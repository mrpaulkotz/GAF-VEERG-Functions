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9D7996E-289A-401C-89B7-B91D6C9F8590}" xr6:coauthVersionLast="47" xr6:coauthVersionMax="47" xr10:uidLastSave="{00000000-0000-0000-0000-000000000000}"/>
  <bookViews>
    <workbookView xWindow="615" yWindow="2460" windowWidth="37785" windowHeight="19140" activeTab="1"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Data quality" sheetId="78" r:id="rId6"/>
    <sheet name="Constants - Common" sheetId="74" r:id="rId7"/>
  </sheets>
  <externalReferences>
    <externalReference r:id="rId8"/>
  </externalReferences>
  <definedNames>
    <definedName name="Common_Equations.Common_ConvertCH4ToCO2e" localSheetId="5">_xlfn.LAMBDA(_xlpm.E_CH4,_xlpm.GWP_CH4, _xlpm.E_CH4 * _xlpm.GWP_CH4)</definedName>
    <definedName name="Common_Equations.Common_ConvertCH4ToCO2e">_xlfn.LAMBDA(_xlpm.E_CH4,_xlpm.GWP_CH4, _xlpm.E_CH4 * _xlpm.GWP_CH4)</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5">_xlfn.LAMBDA(_xlpm.E_N2O,_xlpm.GWP_N2O, _xlpm.E_N2O * _xlpm.GWP_N2O)</definedName>
    <definedName name="Common_Equations.Common_ConvertN2OToCO2e">_xlfn.LAMBDA(_xlpm.E_N2O,_xlpm.GWP_N2O, _xlpm.E_N2O * _xlpm.GWP_N2O)</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5">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5">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5">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5">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5">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5">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5">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5">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5">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5">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5">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5">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5">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5">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5">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5">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5">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0" i="13" l="1"/>
  <c r="E49" i="13"/>
  <c r="E48" i="13"/>
  <c r="E47" i="13"/>
  <c r="E46" i="13"/>
  <c r="E45" i="13"/>
  <c r="F38" i="13"/>
  <c r="E38" i="13"/>
  <c r="F37" i="13"/>
  <c r="E37" i="13"/>
  <c r="F36" i="13"/>
  <c r="E36" i="13"/>
  <c r="F35" i="13"/>
  <c r="E35" i="13"/>
  <c r="F34" i="13"/>
  <c r="E34" i="13"/>
  <c r="J7" i="78"/>
  <c r="E8" i="76" l="1" a="1"/>
  <c r="E8" i="76" s="1"/>
  <c r="E10" i="76" a="1"/>
  <c r="E10" i="76" s="1"/>
  <c r="E9" i="76" a="1"/>
  <c r="E9" i="76" s="1"/>
  <c r="F13" i="13" l="1" a="1"/>
  <c r="F13" i="13" s="1"/>
  <c r="E13" i="13" a="1"/>
  <c r="E13" i="13" s="1"/>
  <c r="E15" i="13" a="1"/>
  <c r="E15" i="13" s="1"/>
  <c r="F15" i="13" s="1"/>
  <c r="E16" i="13" a="1"/>
  <c r="E16" i="13" s="1"/>
  <c r="F14" i="13" a="1"/>
  <c r="F14" i="13"/>
  <c r="E14" i="13" a="1"/>
  <c r="E14" i="13" s="1"/>
  <c r="F16" i="13" l="1"/>
  <c r="G73" i="13" l="1"/>
  <c r="G74" i="13" s="1"/>
  <c r="G70" i="13"/>
  <c r="G71" i="13" s="1"/>
  <c r="E30" i="72" l="1"/>
  <c r="E25" i="72"/>
  <c r="E27" i="72" l="1" a="1"/>
  <c r="E27" i="72" s="1"/>
  <c r="E22" i="72" a="1"/>
  <c r="E22" i="72" s="1"/>
  <c r="F72" i="13" l="1"/>
  <c r="F63" i="13"/>
  <c r="F61" i="13"/>
  <c r="F62" i="13" s="1"/>
  <c r="F70" i="13"/>
  <c r="F71" i="13" s="1"/>
  <c r="F75" i="13"/>
  <c r="F64" i="13"/>
  <c r="F65" i="13" s="1"/>
  <c r="F73" i="13"/>
  <c r="F74" i="13" s="1"/>
  <c r="F66" i="13"/>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E12" i="13" a="1"/>
  <c r="E12" i="13" s="1"/>
  <c r="E11" i="13" a="1"/>
  <c r="E11" i="13" s="1"/>
  <c r="E10" i="13" a="1"/>
  <c r="E10" i="13" s="1"/>
  <c r="E9" i="13" a="1"/>
  <c r="E9" i="13" s="1"/>
  <c r="E8" i="13" a="1"/>
  <c r="E8" i="13" s="1"/>
  <c r="F8" i="13" s="1"/>
  <c r="I8" i="13" s="1"/>
  <c r="F7" i="13" a="1"/>
  <c r="F7" i="13" s="1"/>
  <c r="E7" i="13" a="1"/>
  <c r="E7" i="13" s="1"/>
  <c r="D34" i="13" a="1"/>
  <c r="D45" i="13" a="1"/>
  <c r="D30" i="13" a="1"/>
  <c r="D30"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19" i="13" l="1" a="1"/>
  <c r="I19" i="13" s="1"/>
  <c r="H7" i="13" a="1"/>
  <c r="H7" i="13" s="1"/>
  <c r="H25" i="13" s="1"/>
  <c r="I7" i="13" a="1"/>
  <c r="I7" i="13" s="1"/>
  <c r="I25" i="13" s="1"/>
  <c r="I21" i="13" a="1"/>
  <c r="I21" i="13" s="1"/>
  <c r="H22" i="13" a="1"/>
  <c r="H22" i="13" s="1"/>
  <c r="H9" i="13" a="1"/>
  <c r="H9" i="13" s="1"/>
  <c r="H12" i="13" a="1"/>
  <c r="H12" i="13" s="1"/>
  <c r="H15" i="13" a="1"/>
  <c r="H15" i="13" s="1"/>
  <c r="H16" i="13" a="1"/>
  <c r="H16" i="13" s="1"/>
  <c r="I15" i="13" a="1"/>
  <c r="I15" i="13" s="1"/>
  <c r="I16" i="13" a="1"/>
  <c r="I16" i="13" s="1"/>
  <c r="H13" i="13" a="1"/>
  <c r="H13" i="13" s="1"/>
  <c r="I13" i="13" a="1"/>
  <c r="I13" i="13" s="1"/>
  <c r="H14" i="13" a="1"/>
  <c r="H14" i="13" s="1"/>
  <c r="I14" i="13" a="1"/>
  <c r="I14" i="13" s="1"/>
  <c r="H18" i="13" a="1"/>
  <c r="H18" i="13" s="1"/>
  <c r="D45" i="13"/>
  <c r="D34" i="13"/>
  <c r="F17" i="13"/>
  <c r="I17" i="13" s="1"/>
  <c r="F23" i="13"/>
  <c r="I23" i="13" s="1"/>
  <c r="F18" i="13"/>
  <c r="I18" i="13" s="1" a="1"/>
  <c r="I18" i="13" s="1"/>
  <c r="H24" i="13"/>
  <c r="F24" i="13"/>
  <c r="I24" i="13" s="1"/>
  <c r="F11" i="13"/>
  <c r="I11" i="13" s="1" a="1"/>
  <c r="I11" i="13" s="1"/>
  <c r="H11" i="13" a="1"/>
  <c r="H11" i="13" s="1"/>
  <c r="F10" i="13"/>
  <c r="I10" i="13" s="1"/>
  <c r="H10" i="13"/>
  <c r="F12" i="13"/>
  <c r="I12" i="13" s="1" a="1"/>
  <c r="I12" i="13" s="1"/>
  <c r="H21" i="13" a="1"/>
  <c r="H21" i="13" s="1"/>
  <c r="H8" i="13"/>
  <c r="F20" i="13"/>
  <c r="I20" i="13" s="1"/>
  <c r="F22" i="13"/>
  <c r="I22" i="13" s="1" a="1"/>
  <c r="I22" i="13" s="1"/>
  <c r="H19" i="13" a="1"/>
  <c r="H19" i="13" s="1"/>
  <c r="F9" i="13"/>
  <c r="I9" i="13" s="1" a="1"/>
  <c r="I9" i="13" s="1"/>
  <c r="E19" i="75"/>
  <c r="E20" i="75"/>
  <c r="E21" i="75" s="1"/>
  <c r="H54" i="74"/>
  <c r="H51" i="74"/>
  <c r="H49" i="74"/>
  <c r="G64" i="13"/>
  <c r="G65" i="13" s="1"/>
  <c r="H53" i="74"/>
  <c r="H48" i="74"/>
  <c r="H52" i="74"/>
  <c r="H50" i="74"/>
  <c r="G61" i="13" l="1"/>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<sst xmlns="http://schemas.openxmlformats.org/spreadsheetml/2006/main" count="312" uniqueCount="201">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</sst>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12" fillId="6" borderId="0" xfId="29">
      <alignment horizontal="center" vertical="center"/>
      <protection locked="0"/>
    </xf>
    <xf numFmtId="0" fontId="0" fillId="0" borderId="0" xfId="14"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calculatedColumnFormula>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abSelected="1" topLeftCell="A27" zoomScaleNormal="100" workbookViewId="0">
      <selection activeCell="E51" sqref="E5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ref="H7">Common_Equations.Common_ConvertN2OToCO2e(E7,_xlfn.XLOOKUP("N2O", Table_GWPData[Gas],Table_GWPData[CO2-e factor]))</f>
        <v>#NAME?</v>
      </c>
      <c r="I7" s="19" t="e" cm="1">
        <f t="array" ref="I7">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ref="H16">Common_Equations.Common_ConvertCH4ToCO2e(E16,_xlfn.XLOOKUP("CH4", Table_GWPData[Gas],Table_GWPData[CO2-e factor]))</f>
        <v>#NAME?</v>
      </c>
      <c r="I16" s="19" t="e" cm="1">
        <f t="array" ref="I16">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ref="H18">Common_Equations.Common_ConvertCH4ToCO2e(E18,_xlfn.XLOOKUP("CH4", Table_GWPData[Gas],Table_GWPData[CO2-e factor]))</f>
        <v>#NAME?</v>
      </c>
      <c r="I18" s="19" t="e" cm="1">
        <f t="array" ref="I18">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SUM(H7:H24)</f>
        <v>#NAME?</v>
      </c>
      <c r="I25" s="20" t="e">
        <f>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IF(ISBLANK($D34), 0, IF(ISNUMBER(SEARCH("reporting", $D34)), Result_Enterprise_Method1, "Enter value"))</f>
        <v>#NAME?</v>
      </c>
      <c r="F34" s="87" t="e">
        <f>IF(ISBLANK($D34), 0,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0, IF(ISNUMBER(SEARCH("reporting", $D35)), Result_Enterprise_Method1, "Enter value"))</f>
        <v>Enter value</v>
      </c>
      <c r="F35" s="87" t="str">
        <f>IF(ISBLANK($D35), 0, IF(ISNUMBER(SEARCH("reporting", $D35)), Result_Enterprise_Method2, "Enter value"))</f>
        <v>Enter value</v>
      </c>
      <c r="G35" s="16" t="s">
        <v>8</v>
      </c>
      <c r="H35" s="14"/>
      <c r="I35" s="9"/>
      <c r="J35" s="9"/>
      <c r="K35" s="9"/>
    </row>
    <row r="36" spans="3:11" ht="20.100000000000001" customHeight="1" x14ac:dyDescent="0.3">
      <c r="C36" s="9"/>
      <c r="D36" s="1"/>
      <c r="E36" s="87">
        <f>IF(ISBLANK($D36), 0, IF(ISNUMBER(SEARCH("reporting", $D36)), Result_Enterprise_Method1, "Enter value"))</f>
        <v>0</v>
      </c>
      <c r="F36" s="87">
        <f>IF(ISBLANK($D36), 0, IF(ISNUMBER(SEARCH("reporting", $D36)), Result_Enterprise_Method2, "Enter value"))</f>
        <v>0</v>
      </c>
      <c r="G36" s="16" t="s">
        <v>8</v>
      </c>
      <c r="H36" s="14"/>
      <c r="I36" s="9"/>
      <c r="J36" s="9"/>
      <c r="K36" s="9"/>
    </row>
    <row r="37" spans="3:11" ht="20.100000000000001" customHeight="1" x14ac:dyDescent="0.3">
      <c r="C37" s="9"/>
      <c r="D37" s="1"/>
      <c r="E37" s="87">
        <f>IF(ISBLANK($D37), 0, IF(ISNUMBER(SEARCH("reporting", $D37)), Result_Enterprise_Method1, "Enter value"))</f>
        <v>0</v>
      </c>
      <c r="F37" s="87">
        <f>IF(ISBLANK($D37), 0, IF(ISNUMBER(SEARCH("reporting", $D37)), Result_Enterprise_Method2, "Enter value"))</f>
        <v>0</v>
      </c>
      <c r="G37" s="16" t="s">
        <v>8</v>
      </c>
      <c r="H37" s="14"/>
      <c r="I37" s="9"/>
      <c r="J37" s="9"/>
      <c r="K37" s="9"/>
    </row>
    <row r="38" spans="3:11" ht="20.100000000000001" customHeight="1" x14ac:dyDescent="0.3">
      <c r="C38" s="9"/>
      <c r="D38" s="89"/>
      <c r="E38" s="87">
        <f>IF(ISBLANK($D38), 0, IF(ISNUMBER(SEARCH("reporting", $D38)), Result_Enterprise_Method1, "Enter value"))</f>
        <v>0</v>
      </c>
      <c r="F38" s="87">
        <f>IF(ISBLANK($D38), 0, IF(ISNUMBER(SEARCH("reporting", $D38)), Result_Enterprise_Method2, "Enter value"))</f>
        <v>0</v>
      </c>
      <c r="G38" s="16" t="s">
        <v>8</v>
      </c>
      <c r="H38" s="14"/>
      <c r="I38" s="9"/>
      <c r="J38" s="9"/>
      <c r="K38" s="9"/>
    </row>
    <row r="39" spans="3:11" ht="20.100000000000001" customHeight="1" x14ac:dyDescent="0.3">
      <c r="C39" s="9"/>
      <c r="D39" s="15" t="s">
        <v>133</v>
      </c>
      <c r="E39" s="20" t="e">
        <f>SUM(E34:E38)</f>
        <v>#NAME?</v>
      </c>
      <c r="F39" s="20" t="e">
        <f>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0,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0, "Enter value")</f>
        <v>Enter value</v>
      </c>
      <c r="F46" s="16" t="s">
        <v>132</v>
      </c>
      <c r="G46" s="1"/>
      <c r="H46" s="1"/>
      <c r="I46" s="1"/>
      <c r="J46" s="1"/>
      <c r="K46" s="9"/>
    </row>
    <row r="47" spans="3:11" ht="20.100000000000001" customHeight="1" x14ac:dyDescent="0.25">
      <c r="C47" s="9"/>
      <c r="D47" s="1"/>
      <c r="E47" s="87">
        <f t="shared" si="2"/>
        <v>0</v>
      </c>
      <c r="F47" s="16" t="s">
        <v>132</v>
      </c>
      <c r="G47" s="1"/>
      <c r="H47" s="1"/>
      <c r="I47" s="1"/>
      <c r="J47" s="1"/>
      <c r="K47" s="9"/>
    </row>
    <row r="48" spans="3:11" ht="20.100000000000001" customHeight="1" x14ac:dyDescent="0.25">
      <c r="C48" s="9"/>
      <c r="D48" s="1"/>
      <c r="E48" s="87">
        <f t="shared" si="2"/>
        <v>0</v>
      </c>
      <c r="F48" s="16" t="s">
        <v>132</v>
      </c>
      <c r="G48" s="1"/>
      <c r="H48" s="1"/>
      <c r="I48" s="1"/>
      <c r="J48" s="1"/>
      <c r="K48" s="9"/>
    </row>
    <row r="49" spans="3:11" ht="20.100000000000001" customHeight="1" x14ac:dyDescent="0.25">
      <c r="C49" s="9"/>
      <c r="D49" s="1"/>
      <c r="E49" s="87">
        <f t="shared" si="2"/>
        <v>0</v>
      </c>
      <c r="F49" s="16" t="s">
        <v>132</v>
      </c>
      <c r="G49" s="1"/>
      <c r="H49" s="1"/>
      <c r="I49" s="9"/>
      <c r="J49" s="9"/>
      <c r="K49" s="9"/>
    </row>
    <row r="50" spans="3:11" ht="20.100000000000001" customHeight="1" x14ac:dyDescent="0.3">
      <c r="C50" s="9"/>
      <c r="D50" s="15" t="s">
        <v>134</v>
      </c>
      <c r="E50" s="20">
        <f>SUM(E45:E49)</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Result_EmissionsForWholeProductionCycle_Method1-Result_CarbonRemovalsFromPlantings</f>
        <v>#NAME?</v>
      </c>
      <c r="F56" s="88" t="e">
        <f>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(Result_EmissionsForWholeProductionCycle_Method1/F61)*G61</f>
        <v>#NAME?</v>
      </c>
      <c r="I61" s="19" t="e">
        <f>(Result_EmissionsForWholeProductionCycle_Method2/F61)*G61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(Result_EmissionsForWholeProductionCycle_Method1/F62)*G62</f>
        <v>#NAME?</v>
      </c>
      <c r="I62" s="19" t="e">
        <f>(Result_EmissionsForWholeProductionCycle_Method2/F62)*G62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(Result_EmissionsForWholeProductionCycle_Method1/F64)*G64</f>
        <v>#NAME?</v>
      </c>
      <c r="I64" s="19" t="e">
        <f>(Result_EmissionsForWholeProductionCycle_Method2/F64)*G64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(Result_NetEmissions_Method1/F65)*G65</f>
        <v>#NAME?</v>
      </c>
      <c r="I65" s="19" t="e">
        <f>(Result_NetEmissions_Method2/F65)*G65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Result_EmissionsForWholeProductionCycle_Method1*G70/F70</f>
        <v>#NAME?</v>
      </c>
      <c r="I70" s="19" t="e">
        <f>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Result_EmissionsForWholeProductionCycle_Method1*G71/F71</f>
        <v>#NAME?</v>
      </c>
      <c r="I71" s="19" t="e">
        <f>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Result_EmissionsForWholeProductionCycle_Method1*G73/F73</f>
        <v>#NAME?</v>
      </c>
      <c r="I73" s="19" t="e">
        <f>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Result_EmissionsForWholeProductionCycle_Method1*G74/F74</f>
        <v>#NAME?</v>
      </c>
      <c r="I74" s="19" t="e">
        <f>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115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69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3"/>
  <sheetViews>
    <sheetView showGridLines="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7"/>
  <sheetViews>
    <sheetView showGridLines="0"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189</v>
      </c>
    </row>
    <row r="2" spans="3:13" s="3" customFormat="1" x14ac:dyDescent="0.25"/>
    <row r="3" spans="3:13" ht="20.25" x14ac:dyDescent="0.25">
      <c r="C3" s="40"/>
      <c r="D3" s="40"/>
      <c r="E3" s="40"/>
      <c r="F3" s="40"/>
      <c r="G3" s="40"/>
      <c r="H3" s="40"/>
      <c r="I3" s="40"/>
      <c r="J3" s="40"/>
      <c r="K3" s="40"/>
      <c r="L3" s="40"/>
      <c r="M3" s="40"/>
    </row>
    <row r="6" spans="3:13" x14ac:dyDescent="0.25">
      <c r="D6" s="93" t="s">
        <v>190</v>
      </c>
      <c r="E6" s="93" t="s">
        <v>191</v>
      </c>
      <c r="F6" s="93" t="s">
        <v>192</v>
      </c>
      <c r="G6" s="93" t="s">
        <v>193</v>
      </c>
      <c r="H6" s="93" t="s">
        <v>194</v>
      </c>
      <c r="I6" s="93" t="s">
        <v>195</v>
      </c>
      <c r="J6" s="93" t="s">
        <v>196</v>
      </c>
    </row>
    <row r="7" spans="3:13" x14ac:dyDescent="0.25">
      <c r="D7" s="94" t="s">
        <v>197</v>
      </c>
      <c r="E7" s="24" t="s">
        <v>198</v>
      </c>
      <c r="F7" s="24" t="s">
        <v>199</v>
      </c>
      <c r="G7" s="24" t="s">
        <v>200</v>
      </c>
      <c r="H7" s="94"/>
      <c r="I7" s="94"/>
      <c r="J7" s="26">
        <f>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f>
        <v>12</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22</v>
      </c>
      <c r="E6" s="31" t="s">
        <v>23</v>
      </c>
      <c r="F6" s="31" t="s">
        <v>24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26</v>
      </c>
      <c r="E47" s="31" t="s">
        <v>28</v>
      </c>
      <c r="F47" s="31" t="s">
        <v>29</v>
      </c>
      <c r="G47" s="31" t="s">
        <v>30</v>
      </c>
      <c r="H47" s="31" t="s">
        <v>31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32</v>
      </c>
      <c r="E63" s="31" t="s">
        <v>33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49</v>
      </c>
      <c r="E109" s="31" t="s">
        <v>34</v>
      </c>
      <c r="F109" s="31" t="s">
        <v>50</v>
      </c>
      <c r="G109" s="31" t="s">
        <v>51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52</v>
      </c>
      <c r="E119" s="31" t="s">
        <v>53</v>
      </c>
      <c r="F119" s="31" t="s">
        <v>41</v>
      </c>
      <c r="G119" s="31" t="s">
        <v>42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54</v>
      </c>
      <c r="E127" s="31" t="s">
        <v>55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58</v>
      </c>
      <c r="E142" s="31" t="s">
        <v>57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59</v>
      </c>
      <c r="E153" s="31" t="s">
        <v>60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85</v>
      </c>
      <c r="E257" s="31" t="s">
        <v>86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Home</vt:lpstr>
      <vt:lpstr>Results</vt:lpstr>
      <vt:lpstr>Input - Site</vt:lpstr>
      <vt:lpstr>Input - Enterprise</vt:lpstr>
      <vt:lpstr>Input - Fert Prod System</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2026-08-06T07:31:41Z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