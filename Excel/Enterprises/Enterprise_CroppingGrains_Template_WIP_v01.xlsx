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49329EF-716C-4C92-8FE2-E377C89757A9}" xr6:coauthVersionLast="47" xr6:coauthVersionMax="47" xr10:uidLastSave="{00000000-0000-0000-0000-000000000000}"/>
  <bookViews>
    <workbookView xWindow="1350" yWindow="600" windowWidth="36255" windowHeight="19140" activeTab="3" xr2:uid="{992023F3-CAB7-4E5B-A348-08D563A0EF40}"/>
  </bookViews>
  <sheets>
    <sheet name="Home" sheetId="71" r:id="rId1"/>
    <sheet name="Results" sheetId="13" r:id="rId2"/>
    <sheet name="Input - Site" sheetId="75" r:id="rId3"/>
    <sheet name="Input - Enterprise" sheetId="72" r:id="rId4"/>
    <sheet name="Input - Fert Prod System" sheetId="76" r:id="rId5"/>
    <sheet name="Constants - Common" sheetId="74"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76" l="1" a="1"/>
  <c r="E8" i="76" s="1"/>
  <c r="E10" i="76" a="1"/>
  <c r="E10" i="76" s="1"/>
  <c r="E9" i="76" a="1"/>
  <c r="E9" i="76" s="1"/>
  <c r="E49" i="13" l="1"/>
  <c r="E48" i="13"/>
  <c r="E47" i="13"/>
  <c r="F13" i="13" a="1"/>
  <c r="F13" i="13" s="1"/>
  <c r="E13" i="13" a="1"/>
  <c r="E13" i="13" s="1"/>
  <c r="H15" i="13" a="1"/>
  <c r="H15" i="13" s="1"/>
  <c r="E15" i="13" a="1"/>
  <c r="E15" i="13" s="1"/>
  <c r="F15" i="13" s="1"/>
  <c r="I15" i="13" s="1" a="1"/>
  <c r="I15" i="13" s="1"/>
  <c r="E16" i="13" a="1"/>
  <c r="E16" i="13" s="1"/>
  <c r="H16" i="13" s="1" a="1"/>
  <c r="H16" i="13" s="1"/>
  <c r="F14" i="13" a="1"/>
  <c r="F14" i="13"/>
  <c r="E14" i="13" a="1"/>
  <c r="E14" i="13" s="1"/>
  <c r="F16" i="13" l="1"/>
  <c r="I16" i="13" s="1" a="1"/>
  <c r="I16" i="13" s="1"/>
  <c r="G73" i="13" l="1"/>
  <c r="G74" i="13" s="1"/>
  <c r="G70" i="13"/>
  <c r="G71" i="13" s="1"/>
  <c r="F75" i="13" l="1"/>
  <c r="F73" i="13"/>
  <c r="F74" i="13" s="1"/>
  <c r="F64" i="13"/>
  <c r="F65" i="13" s="1"/>
  <c r="F72" i="13"/>
  <c r="F63" i="13"/>
  <c r="F70" i="13"/>
  <c r="F71" i="13" s="1"/>
  <c r="F61" i="13"/>
  <c r="F62" i="13" s="1"/>
  <c r="F66" i="13"/>
  <c r="E30" i="72"/>
  <c r="E25" i="72"/>
  <c r="E27" i="72" l="1" a="1"/>
  <c r="E27" i="72" s="1"/>
  <c r="E22" i="72" a="1"/>
  <c r="E22" i="72" s="1"/>
  <c r="E24" i="13" l="1" a="1"/>
  <c r="E24" i="13" s="1"/>
  <c r="E23" i="13" a="1"/>
  <c r="E23" i="13" s="1"/>
  <c r="H23" i="13" s="1"/>
  <c r="E22" i="13" a="1"/>
  <c r="E22" i="13" s="1"/>
  <c r="H22" i="13" s="1" a="1"/>
  <c r="H22" i="13" s="1"/>
  <c r="E21" i="13" a="1"/>
  <c r="E21" i="13" s="1"/>
  <c r="F21" i="13" s="1"/>
  <c r="I21" i="13" s="1" a="1"/>
  <c r="I21" i="13" s="1"/>
  <c r="E20" i="13" a="1"/>
  <c r="E20" i="13" s="1"/>
  <c r="H20" i="13" s="1"/>
  <c r="E19" i="13" a="1"/>
  <c r="E19" i="13" s="1"/>
  <c r="F19" i="13" s="1"/>
  <c r="I19" i="13" s="1" a="1"/>
  <c r="I19" i="13" s="1"/>
  <c r="E18" i="13" a="1"/>
  <c r="E18" i="13" s="1"/>
  <c r="H18" i="13" s="1" a="1"/>
  <c r="H18" i="13" s="1"/>
  <c r="E17" i="13" a="1"/>
  <c r="E17" i="13" s="1"/>
  <c r="H17" i="13" s="1"/>
  <c r="I14" i="13" a="1"/>
  <c r="I14" i="13" s="1"/>
  <c r="H14" i="13" a="1"/>
  <c r="H14" i="13" s="1"/>
  <c r="I13" i="13" a="1"/>
  <c r="I13" i="13" s="1"/>
  <c r="H13" i="13" a="1"/>
  <c r="H13" i="13" s="1"/>
  <c r="E12" i="13" a="1"/>
  <c r="E12" i="13" s="1"/>
  <c r="H12" i="13" s="1" a="1"/>
  <c r="H12" i="13" s="1"/>
  <c r="E11" i="13" a="1"/>
  <c r="E11" i="13" s="1"/>
  <c r="E10" i="13" a="1"/>
  <c r="E10" i="13" s="1"/>
  <c r="E9" i="13" a="1"/>
  <c r="E9" i="13" s="1"/>
  <c r="H9" i="13" s="1" a="1"/>
  <c r="H9" i="13" s="1"/>
  <c r="E8" i="13" a="1"/>
  <c r="E8" i="13" s="1"/>
  <c r="F8" i="13" s="1"/>
  <c r="I8" i="13" s="1"/>
  <c r="F7" i="13" a="1"/>
  <c r="F7" i="13" s="1"/>
  <c r="I7" i="13" s="1" a="1"/>
  <c r="I7" i="13" s="1"/>
  <c r="I25" i="13" s="1"/>
  <c r="E7" i="13" a="1"/>
  <c r="E7" i="13" s="1"/>
  <c r="H7" i="13" s="1" a="1"/>
  <c r="H7" i="13" s="1"/>
  <c r="H25" i="13" s="1"/>
  <c r="F38" i="13"/>
  <c r="F37" i="13"/>
  <c r="E38" i="13"/>
  <c r="E37" i="13"/>
  <c r="D34" i="13" a="1"/>
  <c r="D45" i="13" a="1"/>
  <c r="D30" i="13" a="1"/>
  <c r="D30"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D45" i="13" l="1"/>
  <c r="E45" i="13" s="1"/>
  <c r="E46" i="13"/>
  <c r="D34" i="13"/>
  <c r="F35" i="13"/>
  <c r="E35" i="13"/>
  <c r="F17" i="13"/>
  <c r="I17" i="13" s="1"/>
  <c r="F23" i="13"/>
  <c r="I23" i="13" s="1"/>
  <c r="F18" i="13"/>
  <c r="I18" i="13" s="1" a="1"/>
  <c r="I18" i="13" s="1"/>
  <c r="H24" i="13"/>
  <c r="F24" i="13"/>
  <c r="I24" i="13" s="1"/>
  <c r="F11" i="13"/>
  <c r="I11" i="13" s="1" a="1"/>
  <c r="I11" i="13" s="1"/>
  <c r="H11" i="13" a="1"/>
  <c r="H11" i="13" s="1"/>
  <c r="F10" i="13"/>
  <c r="I10" i="13" s="1"/>
  <c r="H10" i="13"/>
  <c r="F12" i="13"/>
  <c r="I12" i="13" s="1" a="1"/>
  <c r="I12" i="13" s="1"/>
  <c r="H21" i="13" a="1"/>
  <c r="H21" i="13" s="1"/>
  <c r="H8" i="13"/>
  <c r="F20" i="13"/>
  <c r="I20" i="13" s="1"/>
  <c r="F22" i="13"/>
  <c r="I22" i="13" s="1" a="1"/>
  <c r="I22" i="13" s="1"/>
  <c r="H19" i="13" a="1"/>
  <c r="H19" i="13" s="1"/>
  <c r="F9" i="13"/>
  <c r="I9" i="13" s="1" a="1"/>
  <c r="I9" i="13" s="1"/>
  <c r="E19" i="75"/>
  <c r="E20" i="75"/>
  <c r="E21" i="75" s="1"/>
  <c r="E36" i="13"/>
  <c r="F36" i="13"/>
  <c r="H54" i="74"/>
  <c r="H51" i="74"/>
  <c r="H49" i="74"/>
  <c r="G64" i="13"/>
  <c r="G65" i="13" s="1"/>
  <c r="H53" i="74"/>
  <c r="H48" i="74"/>
  <c r="H52" i="74"/>
  <c r="H50" i="74"/>
  <c r="F34" i="13" l="1"/>
  <c r="E34" i="13"/>
  <c r="E50" i="13"/>
  <c r="G61" i="13"/>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<sst xmlns="http://schemas.openxmlformats.org/spreadsheetml/2006/main" count="300" uniqueCount="189">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</sst>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3">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34" sqref="D3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ref="H7">Common_Equations.Common_ConvertN2OToCO2e(E7,_xlfn.XLOOKUP("N2O", Table_GWPData[Gas],Table_GWPData[CO2-e factor]))</f>
        <v>#NAME?</v>
      </c>
      <c r="I7" s="19" t="e" cm="1">
        <f t="array" ref="I7">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ref="H16">Common_Equations.Common_ConvertCH4ToCO2e(E16,_xlfn.XLOOKUP("CH4", Table_GWPData[Gas],Table_GWPData[CO2-e factor]))</f>
        <v>#NAME?</v>
      </c>
      <c r="I16" s="19" t="e" cm="1">
        <f t="array" ref="I16">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ref="H18">Common_Equations.Common_ConvertCH4ToCO2e(E18,_xlfn.XLOOKUP("CH4", Table_GWPData[Gas],Table_GWPData[CO2-e factor]))</f>
        <v>#NAME?</v>
      </c>
      <c r="I18" s="19" t="e" cm="1">
        <f t="array" ref="I18">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SUM(H7:H24)</f>
        <v>#NAME?</v>
      </c>
      <c r="I25" s="20" t="e">
        <f>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IF(ISBLANK($D34), "", IF(ISNUMBER(SEARCH("reporting", $D34)), Result_Enterprise_Method1, "Enter value"))</f>
        <v>#NAME?</v>
      </c>
      <c r="F34" s="87" t="e">
        <f>IF(ISBLANK($D34), "",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 IF(ISNUMBER(SEARCH("reporting", $D35)), Result_Enterprise_Method1, "Enter value"))</f>
        <v>Enter value</v>
      </c>
      <c r="F35" s="87" t="str">
        <f>IF(ISBLANK($D35), "", IF(ISNUMBER(SEARCH("reporting", $D35)), Result_Enterprise_Method2, "Enter value"))</f>
        <v>Enter value</v>
      </c>
      <c r="G35" s="16" t="s">
        <v>8</v>
      </c>
      <c r="H35" s="14"/>
      <c r="I35" s="9"/>
      <c r="J35" s="9"/>
      <c r="K35" s="9"/>
    </row>
    <row r="36" spans="3:11" ht="20.100000000000001" customHeight="1" x14ac:dyDescent="0.3">
      <c r="C36" s="9"/>
      <c r="D36" s="1"/>
      <c r="E36" s="87" t="str">
        <f>IF(ISBLANK($D36), "", IF(ISNUMBER(SEARCH("reporting", $D36)), Result_Enterprise_Method1, "Enter value"))</f>
        <v/>
      </c>
      <c r="F36" s="87" t="str">
        <f>IF(ISBLANK($D36), "", IF(ISNUMBER(SEARCH("reporting", $D36)), Result_Enterprise_Method2, "Enter value"))</f>
        <v/>
      </c>
      <c r="G36" s="16" t="s">
        <v>8</v>
      </c>
      <c r="H36" s="14"/>
      <c r="I36" s="9"/>
      <c r="J36" s="9"/>
      <c r="K36" s="9"/>
    </row>
    <row r="37" spans="3:11" ht="20.100000000000001" customHeight="1" x14ac:dyDescent="0.3">
      <c r="C37" s="9"/>
      <c r="D37" s="1"/>
      <c r="E37" s="87" t="str">
        <f>IF(ISBLANK($D37), "", IF(ISNUMBER(SEARCH("reporting", $D37)), Result_Enterprise_Method1, "Enter value"))</f>
        <v/>
      </c>
      <c r="F37" s="87" t="str">
        <f>IF(ISBLANK($D37), "", IF(ISNUMBER(SEARCH("reporting", $D37)), Result_Enterprise_Method2, "Enter value"))</f>
        <v/>
      </c>
      <c r="G37" s="16" t="s">
        <v>8</v>
      </c>
      <c r="H37" s="14"/>
      <c r="I37" s="9"/>
      <c r="J37" s="9"/>
      <c r="K37" s="9"/>
    </row>
    <row r="38" spans="3:11" ht="20.100000000000001" customHeight="1" x14ac:dyDescent="0.3">
      <c r="C38" s="9"/>
      <c r="D38" s="89"/>
      <c r="E38" s="87" t="str">
        <f>IF(ISBLANK($D38), "", IF(ISNUMBER(SEARCH("reporting", $D38)), Result_Enterprise_Method1, "Enter value"))</f>
        <v/>
      </c>
      <c r="F38" s="87" t="str">
        <f>IF(ISBLANK($D38), "", IF(ISNUMBER(SEARCH("reporting", $D38)), Result_Enterprise_Method2, "Enter value"))</f>
        <v/>
      </c>
      <c r="G38" s="16" t="s">
        <v>8</v>
      </c>
      <c r="H38" s="14"/>
      <c r="I38" s="9"/>
      <c r="J38" s="9"/>
      <c r="K38" s="9"/>
    </row>
    <row r="39" spans="3:11" ht="20.100000000000001" customHeight="1" x14ac:dyDescent="0.3">
      <c r="C39" s="9"/>
      <c r="D39" s="15" t="s">
        <v>133</v>
      </c>
      <c r="E39" s="20" t="e">
        <f>SUM(E34:E38)</f>
        <v>#NAME?</v>
      </c>
      <c r="F39" s="20" t="e">
        <f>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 "Enter value")</f>
        <v>Enter value</v>
      </c>
      <c r="F46" s="16" t="s">
        <v>132</v>
      </c>
      <c r="G46" s="1"/>
      <c r="H46" s="1"/>
      <c r="I46" s="1"/>
      <c r="J46" s="1"/>
      <c r="K46" s="9"/>
    </row>
    <row r="47" spans="3:11" ht="20.100000000000001" customHeight="1" x14ac:dyDescent="0.25">
      <c r="C47" s="9"/>
      <c r="D47" s="1"/>
      <c r="E47" s="87" t="str">
        <f t="shared" si="2"/>
        <v/>
      </c>
      <c r="F47" s="16" t="s">
        <v>132</v>
      </c>
      <c r="G47" s="1"/>
      <c r="H47" s="1"/>
      <c r="I47" s="1"/>
      <c r="J47" s="1"/>
      <c r="K47" s="9"/>
    </row>
    <row r="48" spans="3:11" ht="20.100000000000001" customHeight="1" x14ac:dyDescent="0.25">
      <c r="C48" s="9"/>
      <c r="D48" s="1"/>
      <c r="E48" s="87" t="str">
        <f t="shared" si="2"/>
        <v/>
      </c>
      <c r="F48" s="16" t="s">
        <v>132</v>
      </c>
      <c r="G48" s="1"/>
      <c r="H48" s="1"/>
      <c r="I48" s="1"/>
      <c r="J48" s="1"/>
      <c r="K48" s="9"/>
    </row>
    <row r="49" spans="3:11" ht="20.100000000000001" customHeight="1" x14ac:dyDescent="0.25">
      <c r="C49" s="9"/>
      <c r="D49" s="1"/>
      <c r="E49" s="87" t="str">
        <f t="shared" si="2"/>
        <v/>
      </c>
      <c r="F49" s="16" t="s">
        <v>132</v>
      </c>
      <c r="G49" s="1"/>
      <c r="H49" s="1"/>
      <c r="I49" s="9"/>
      <c r="J49" s="9"/>
      <c r="K49" s="9"/>
    </row>
    <row r="50" spans="3:11" ht="20.100000000000001" customHeight="1" x14ac:dyDescent="0.3">
      <c r="C50" s="9"/>
      <c r="D50" s="15" t="s">
        <v>134</v>
      </c>
      <c r="E50" s="20">
        <f>SUM(E45:E48)</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Result_EmissionsForWholeProductionCycle_Method1-Result_CarbonRemovalsFromPlantings</f>
        <v>#NAME?</v>
      </c>
      <c r="F56" s="88" t="e">
        <f>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(Result_EmissionsForWholeProductionCycle_Method1/F61)*G61</f>
        <v>#NAME?</v>
      </c>
      <c r="I61" s="19" t="e">
        <f>(Result_EmissionsForWholeProductionCycle_Method2/F61)*G61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(Result_EmissionsForWholeProductionCycle_Method1/F62)*G62</f>
        <v>#NAME?</v>
      </c>
      <c r="I62" s="19" t="e">
        <f>(Result_EmissionsForWholeProductionCycle_Method2/F62)*G62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(Result_EmissionsForWholeProductionCycle_Method1/F64)*G64</f>
        <v>#NAME?</v>
      </c>
      <c r="I64" s="19" t="e">
        <f>(Result_EmissionsForWholeProductionCycle_Method2/F64)*G64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(Result_NetEmissions_Method1/F65)*G65</f>
        <v>#NAME?</v>
      </c>
      <c r="I65" s="19" t="e">
        <f>(Result_NetEmissions_Method2/F65)*G65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Result_EmissionsForWholeProductionCycle_Method1*G70/F70</f>
        <v>#NAME?</v>
      </c>
      <c r="I70" s="19" t="e">
        <f>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Result_EmissionsForWholeProductionCycle_Method1*G71/F71</f>
        <v>#NAME?</v>
      </c>
      <c r="I71" s="19" t="e">
        <f>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Result_EmissionsForWholeProductionCycle_Method1*G73/F73</f>
        <v>#NAME?</v>
      </c>
      <c r="I73" s="19" t="e">
        <f>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Result_EmissionsForWholeProductionCycle_Method1*G74/F74</f>
        <v>#NAME?</v>
      </c>
      <c r="I74" s="19" t="e">
        <f>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115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69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3"/>
  <sheetViews>
    <sheetView showGridLines="0" tabSelected="1"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10"/>
  <sheetViews>
    <sheetView showGridLines="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22</v>
      </c>
      <c r="E6" s="31" t="s">
        <v>23</v>
      </c>
      <c r="F6" s="31" t="s">
        <v>24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26</v>
      </c>
      <c r="E47" s="31" t="s">
        <v>28</v>
      </c>
      <c r="F47" s="31" t="s">
        <v>29</v>
      </c>
      <c r="G47" s="31" t="s">
        <v>30</v>
      </c>
      <c r="H47" s="31" t="s">
        <v>31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32</v>
      </c>
      <c r="E63" s="31" t="s">
        <v>33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49</v>
      </c>
      <c r="E109" s="31" t="s">
        <v>34</v>
      </c>
      <c r="F109" s="31" t="s">
        <v>50</v>
      </c>
      <c r="G109" s="31" t="s">
        <v>51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52</v>
      </c>
      <c r="E119" s="31" t="s">
        <v>53</v>
      </c>
      <c r="F119" s="31" t="s">
        <v>41</v>
      </c>
      <c r="G119" s="31" t="s">
        <v>42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54</v>
      </c>
      <c r="E127" s="31" t="s">
        <v>55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58</v>
      </c>
      <c r="E142" s="31" t="s">
        <v>57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59</v>
      </c>
      <c r="E153" s="31" t="s">
        <v>60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85</v>
      </c>
      <c r="E257" s="31" t="s">
        <v>86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34</vt:i4>
      </vt:variant>
    </vt:vector>
  </HeadingPairs>
  <TitlesOfParts>
    <vt:vector size="40" baseType="lpstr">
      <vt:lpstr>Home</vt:lpstr>
      <vt:lpstr>Results</vt:lpstr>
      <vt:lpstr>Input - Site</vt:lpstr>
      <vt:lpstr>Input - Enterprise</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2026-08-03T07:20:39Z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