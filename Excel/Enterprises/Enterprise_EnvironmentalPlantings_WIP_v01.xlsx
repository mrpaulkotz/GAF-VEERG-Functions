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18E5845B-0390-458F-B68B-620BB419D1EF}" xr6:coauthVersionLast="47" xr6:coauthVersionMax="47" xr10:uidLastSave="{00000000-0000-0000-0000-000000000000}"/>
  <bookViews>
    <workbookView xWindow="1560" yWindow="1560" windowWidth="21600" windowHeight="11295" firstSheet="12" activeTab="16" xr2:uid="{7E1466D3-CE15-41E6-A7E5-3351E07F3C93}"/>
  </bookViews>
  <sheets>
    <sheet name="Home" sheetId="19" r:id="rId1"/>
    <sheet name="Input - Planting" sheetId="4" r:id="rId2"/>
    <sheet name="Input - Fertiliser" sheetId="7" r:id="rId3"/>
    <sheet name="Input - Fuel" sheetId="15" r:id="rId4"/>
    <sheet name="5.1.1.1-2 Inorganic fert N2O" sheetId="8" r:id="rId5"/>
    <sheet name="5.1.1.3-4 Inorganic fert CO2" sheetId="9" r:id="rId6"/>
    <sheet name="5.2.1.1-2 Organic Fert N2O" sheetId="10" r:id="rId7"/>
    <sheet name="5.3.1.1-2 Lime CO2" sheetId="11" r:id="rId8"/>
    <sheet name="5.4.1.1-4 Atmos deposition" sheetId="12" r:id="rId9"/>
    <sheet name="5.5.1.1-2 Leaching and runoff" sheetId="13" r:id="rId10"/>
    <sheet name="8.1.1.1-2 Transport fuel" sheetId="16" r:id="rId11"/>
    <sheet name="8.2.1.1-2 Stationary fuel" sheetId="17" r:id="rId12"/>
    <sheet name="Constants - Fertiliser" sheetId="14" r:id="rId13"/>
    <sheet name="Constants - Fuel" sheetId="18" r:id="rId14"/>
    <sheet name="Constants - Common" sheetId="6" r:id="rId15"/>
    <sheet name="Overview" sheetId="20" r:id="rId16"/>
    <sheet name="Input - Site" sheetId="21" r:id="rId17"/>
  </sheets>
  <externalReferences>
    <externalReference r:id="rId18"/>
    <externalReference r:id="rId19"/>
  </externalReference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'5.1.1.1-2 Inorganic fert N2O'!Common_InputFunctions.Utility_LookupValueInTableNumber(_xlpm.CropType,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'5.1.1.3-4 Inorganic fert CO2'!Common_InputFunctions.Utility_LookupValueInTableNumber(_xlpm.CropType,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'5.2.1.1-2 Organic Fert N2O'!Common_InputFunctions.Utility_LookupValueInTableNumber(_xlpm.CropType,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'5.3.1.1-2 Lime CO2'!Common_InputFunctions.Utility_LookupValueInTableNumber(_xlpm.CropType,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'5.4.1.1-4 Atmos deposition'!Common_InputFunctions.Utility_LookupValueInTableNumber(_xlpm.CropType,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'5.5.1.1-2 Leaching and runoff'!Common_InputFunctions.Utility_LookupValueInTableNumber(_xlpm.CropType,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'Constants - Fertiliser'!Common_InputFunctions.Utility_LookupValueInTableNumber(_xlpm.CropType,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 / (1 + Home!Common_InputFunctions.Utility_LookupValueInTableNumber(_xlpm.CropType,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'Input - Site'!Common_InputFunctions.Utility_LookupValueInTableNumber(_xlpm.CropType,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Overview!Common_InputFunctions.Utility_LookupValueInTableNumber(_xlpm.CropType,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'Input - Fertiliser'!Common_InputFunctions.Utility_LookupValueInTableNumber(_xlpm.CropType,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_xlfn.LET(_xlpm.LeachingZoneFracWET, Home!Common_InputFunctions.Utility_LookupValueInTableNumber(_xlpm.LeachingZone, _xlpm.LeachingZoneLookup, _xlpm.LeachingZoneFracWETLookup), _xlpm.ProductionSystemFracWET, Home!Common_InputFunctions.Utility_LookupValueInTableNumber(_xlpm.ProductionSystem,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4">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0">_xlfn.LAMBDA(_xlpm.Month,_xlpm.LivestockClass,_xlpm.HeadAtStart,_xlpm.LiveweightAtStart,_xlpm.LiveweightGain, Home!CommonLivestock_InputFunctions.LivestockMovement_ProportionalAverageLiveweightAddedDuringMonth(_xlpm.Month, _xlpm.LivestockClass, _xlpm.HeadAtStart) + Home!CommonLivestock_InputFunctions.LivestockMovement_ProportionalAverageLiveweightRemainingAtEndOfMonth(_xlpm.Month,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_xlfn.LAMBDA(_xlpm.Month,_xlpm.LivestockClass, IFERROR('5.1.1.1-2 Inorganic fert N2O'!CommonLivestock_InputFunctions.LivestockMovement_TotalLiveweightAddedDuringMonth(_xlpm.Month, _xlpm.LivestockClass) / '5.1.1.1-2 Inorganic fert N2O'!CommonLivestock_InputFunctions.LivestockMovement_HeadAddedDuringMonth(_xlpm.Month, _xlpm.LivestockClass), 0))</definedName>
    <definedName name="CommonLivestock_InputFunctions.LivestockMovement_AverageLiveweightAddedDuringMonth" localSheetId="5">_xlfn.LAMBDA(_xlpm.Month,_xlpm.LivestockClass, IFERROR('5.1.1.3-4 Inorganic fert CO2'!CommonLivestock_InputFunctions.LivestockMovement_TotalLiveweightAddedDuringMonth(_xlpm.Month, _xlpm.LivestockClass) / '5.1.1.3-4 Inorganic fert CO2'!CommonLivestock_InputFunctions.LivestockMovement_HeadAddedDuringMonth(_xlpm.Month, _xlpm.LivestockClass), 0))</definedName>
    <definedName name="CommonLivestock_InputFunctions.LivestockMovement_AverageLiveweightAddedDuringMonth" localSheetId="6">_xlfn.LAMBDA(_xlpm.Month,_xlpm.LivestockClass, IFERROR('5.2.1.1-2 Organic Fert N2O'!CommonLivestock_InputFunctions.LivestockMovement_TotalLiveweightAddedDuringMonth(_xlpm.Month, _xlpm.LivestockClass) / '5.2.1.1-2 Organic Fert N2O'!CommonLivestock_InputFunctions.LivestockMovement_HeadAddedDuringMonth(_xlpm.Month, _xlpm.LivestockClass), 0))</definedName>
    <definedName name="CommonLivestock_InputFunctions.LivestockMovement_AverageLiveweightAddedDuringMonth" localSheetId="7">_xlfn.LAMBDA(_xlpm.Month,_xlpm.LivestockClass, IFERROR('5.3.1.1-2 Lime CO2'!CommonLivestock_InputFunctions.LivestockMovement_TotalLiveweightAddedDuringMonth(_xlpm.Month, _xlpm.LivestockClass) / '5.3.1.1-2 Lime CO2'!CommonLivestock_InputFunctions.LivestockMovement_HeadAddedDuringMonth(_xlpm.Month, _xlpm.LivestockClass), 0))</definedName>
    <definedName name="CommonLivestock_InputFunctions.LivestockMovement_AverageLiveweightAddedDuringMonth" localSheetId="8">_xlfn.LAMBDA(_xlpm.Month,_xlpm.LivestockClass, IFERROR('5.4.1.1-4 Atmos deposition'!CommonLivestock_InputFunctions.LivestockMovement_TotalLiveweightAddedDuringMonth(_xlpm.Month, _xlpm.LivestockClass) / '5.4.1.1-4 Atmos deposition'!CommonLivestock_InputFunctions.LivestockMovement_HeadAddedDuringMonth(_xlpm.Month, _xlpm.LivestockClass), 0))</definedName>
    <definedName name="CommonLivestock_InputFunctions.LivestockMovement_AverageLiveweightAddedDuringMonth" localSheetId="9">_xlfn.LAMBDA(_xlpm.Month,_xlpm.LivestockClass, IFERROR('5.5.1.1-2 Leaching and runoff'!CommonLivestock_InputFunctions.LivestockMovement_TotalLiveweightAddedDuringMonth(_xlpm.Month, _xlpm.LivestockClass) / '5.5.1.1-2 Leaching and runoff'!CommonLivestock_InputFunctions.LivestockMovement_HeadAddedDuringMonth(_xlpm.Month, _xlpm.LivestockClass), 0))</definedName>
    <definedName name="CommonLivestock_InputFunctions.LivestockMovement_AverageLiveweightAddedDuringMonth" localSheetId="10">_xlfn.LAMBDA(_xlpm.Month,_xlpm.LivestockClass, IFERROR('8.1.1.1-2 Transport fuel'!CommonLivestock_InputFunctions.LivestockMovement_TotalLiveweightAddedDuringMonth(_xlpm.Month, _xlpm.LivestockClass) / '8.1.1.1-2 Transport fuel'!CommonLivestock_InputFunctions.LivestockMovement_HeadAddedDuringMonth(_xlpm.Month, _xlpm.LivestockClass), 0))</definedName>
    <definedName name="CommonLivestock_InputFunctions.LivestockMovement_AverageLiveweightAddedDuringMonth" localSheetId="11">_xlfn.LAMBDA(_xlpm.Month,_xlpm.LivestockClass, IFERROR('8.2.1.1-2 Stationary fuel'!CommonLivestock_InputFunctions.LivestockMovement_TotalLiveweightAddedDuringMonth(_xlpm.Month, _xlpm.LivestockClass) / '8.2.1.1-2 Stationary fuel'!CommonLivestock_InputFunctions.LivestockMovement_HeadAddedDuringMonth(_xlpm.Month, _xlpm.LivestockClass), 0))</definedName>
    <definedName name="CommonLivestock_InputFunctions.LivestockMovement_AverageLiveweightAddedDuringMonth" localSheetId="12">_xlfn.LAMBDA(_xlpm.Month,_xlpm.LivestockClass, IFERROR('Constants - Fertiliser'!CommonLivestock_InputFunctions.LivestockMovement_TotalLiveweightAddedDuringMonth(_xlpm.Month, _xlpm.LivestockClass) / 'Constants - Fertiliser'!CommonLivestock_InputFunctions.LivestockMovement_HeadAddedDuringMonth(_xlpm.Month, _xlpm.LivestockClass), 0))</definedName>
    <definedName name="CommonLivestock_InputFunctions.LivestockMovement_AverageLiveweightAddedDuringMonth" localSheetId="13">_xlfn.LAMBDA(_xlpm.Month,_xlpm.LivestockClass, IFERROR('Constants - Fuel'!CommonLivestock_InputFunctions.LivestockMovement_TotalLiveweightAddedDuringMonth(_xlpm.Month, _xlpm.LivestockClass) / 'Constants - Fuel'!CommonLivestock_InputFunctions.LivestockMovement_HeadAddedDuringMonth(_xlpm.Month, _xlpm.LivestockClass), 0))</definedName>
    <definedName name="CommonLivestock_InputFunctions.LivestockMovement_AverageLiveweightAddedDuringMonth" localSheetId="0">_xlfn.LAMBDA(_xlpm.Month,_xlpm.LivestockClass, IFERROR(Home!CommonLivestock_InputFunctions.LivestockMovement_TotalLiveweightAddedDuringMonth(_xlpm.Month, _xlpm.LivestockClass) / Home!CommonLivestock_InputFunctions.LivestockMovement_HeadAddedDuringMonth(_xlpm.Month, _xlpm.LivestockClass), 0))</definedName>
    <definedName name="CommonLivestock_InputFunctions.LivestockMovement_AverageLiveweightAddedDuringMonth" localSheetId="3">_xlfn.LAMBDA(_xlpm.Month,_xlpm.LivestockClass, IFERROR('Input - Fuel'!CommonLivestock_InputFunctions.LivestockMovement_TotalLiveweightAddedDuringMonth(_xlpm.Month, _xlpm.LivestockClass) / 'Input - Fuel'!CommonLivestock_InputFunctions.LivestockMovement_HeadAddedDuringMonth(_xlpm.Month, _xlpm.LivestockClass), 0))</definedName>
    <definedName name="CommonLivestock_InputFunctions.LivestockMovement_AverageLiveweightAddedDuringMonth" localSheetId="16">_xlfn.LAMBDA(_xlpm.Month,_xlpm.LivestockClass, IFERROR('Input - Site'!CommonLivestock_InputFunctions.LivestockMovement_TotalLiveweightAddedDuringMonth(_xlpm.Month, _xlpm.LivestockClass) / 'Input - Site'!CommonLivestock_InputFunctions.LivestockMovement_HeadAddedDuringMonth(_xlpm.Month, _xlpm.LivestockClass), 0))</definedName>
    <definedName name="CommonLivestock_InputFunctions.LivestockMovement_AverageLiveweightAddedDuringMonth" localSheetId="15">_xlfn.LAMBDA(_xlpm.Month,_xlpm.LivestockClass, IFERROR(Overview!CommonLivestock_InputFunctions.LivestockMovement_TotalLiveweightAddedDuringMonth(_xlpm.Month, _xlpm.LivestockClass) / Overview!CommonLivestock_InputFunctions.LivestockMovement_HeadAddedDuringMonth(_xlpm.Month,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_xlfn.LAMBDA(_xlpm.HeadAtStart,_xlpm.Month,_xlpm.LivestockClass, _xlpm.HeadAtStart + '5.1.1.1-2 Inorganic fert N2O'!CommonLivestock_InputFunctions.LivestockMovement_HeadAddedDuringMonth(_xlpm.Month, _xlpm.LivestockClass) - '5.1.1.1-2 Inorganic fert N2O'!CommonLivestock_InputFunctions.LivestockMovement_HeadLostDuringMonth(_xlpm.Month, _xlpm.LivestockClass))</definedName>
    <definedName name="CommonLivestock_InputFunctions.LivestockMovement_HeadAtEndOfMonth" localSheetId="5">_xlfn.LAMBDA(_xlpm.HeadAtStart,_xlpm.Month,_xlpm.LivestockClass, _xlpm.HeadAtStart + '5.1.1.3-4 Inorganic fert CO2'!CommonLivestock_InputFunctions.LivestockMovement_HeadAddedDuringMonth(_xlpm.Month, _xlpm.LivestockClass) - '5.1.1.3-4 Inorganic fert CO2'!CommonLivestock_InputFunctions.LivestockMovement_HeadLostDuringMonth(_xlpm.Month, _xlpm.LivestockClass))</definedName>
    <definedName name="CommonLivestock_InputFunctions.LivestockMovement_HeadAtEndOfMonth" localSheetId="6">_xlfn.LAMBDA(_xlpm.HeadAtStart,_xlpm.Month,_xlpm.LivestockClass, _xlpm.HeadAtStart + '5.2.1.1-2 Organic Fert N2O'!CommonLivestock_InputFunctions.LivestockMovement_HeadAddedDuringMonth(_xlpm.Month, _xlpm.LivestockClass) - '5.2.1.1-2 Organic Fert N2O'!CommonLivestock_InputFunctions.LivestockMovement_HeadLostDuringMonth(_xlpm.Month, _xlpm.LivestockClass))</definedName>
    <definedName name="CommonLivestock_InputFunctions.LivestockMovement_HeadAtEndOfMonth" localSheetId="7">_xlfn.LAMBDA(_xlpm.HeadAtStart,_xlpm.Month,_xlpm.LivestockClass, _xlpm.HeadAtStart + '5.3.1.1-2 Lime CO2'!CommonLivestock_InputFunctions.LivestockMovement_HeadAddedDuringMonth(_xlpm.Month, _xlpm.LivestockClass) - '5.3.1.1-2 Lime CO2'!CommonLivestock_InputFunctions.LivestockMovement_HeadLostDuringMonth(_xlpm.Month, _xlpm.LivestockClass))</definedName>
    <definedName name="CommonLivestock_InputFunctions.LivestockMovement_HeadAtEndOfMonth" localSheetId="8">_xlfn.LAMBDA(_xlpm.HeadAtStart,_xlpm.Month,_xlpm.LivestockClass, _xlpm.HeadAtStart + '5.4.1.1-4 Atmos deposition'!CommonLivestock_InputFunctions.LivestockMovement_HeadAddedDuringMonth(_xlpm.Month, _xlpm.LivestockClass) - '5.4.1.1-4 Atmos deposition'!CommonLivestock_InputFunctions.LivestockMovement_HeadLostDuringMonth(_xlpm.Month, _xlpm.LivestockClass))</definedName>
    <definedName name="CommonLivestock_InputFunctions.LivestockMovement_HeadAtEndOfMonth" localSheetId="9">_xlfn.LAMBDA(_xlpm.HeadAtStart,_xlpm.Month,_xlpm.LivestockClass, _xlpm.HeadAtStart + '5.5.1.1-2 Leaching and runoff'!CommonLivestock_InputFunctions.LivestockMovement_HeadAddedDuringMonth(_xlpm.Month, _xlpm.LivestockClass) - '5.5.1.1-2 Leaching and runoff'!CommonLivestock_InputFunctions.LivestockMovement_HeadLostDuringMonth(_xlpm.Month, _xlpm.LivestockClass))</definedName>
    <definedName name="CommonLivestock_InputFunctions.LivestockMovement_HeadAtEndOfMonth" localSheetId="10">_xlfn.LAMBDA(_xlpm.HeadAtStart,_xlpm.Month,_xlpm.LivestockClass, _xlpm.HeadAtStart + '8.1.1.1-2 Transport fuel'!CommonLivestock_InputFunctions.LivestockMovement_HeadAddedDuringMonth(_xlpm.Month, _xlpm.LivestockClass) - '8.1.1.1-2 Transport fuel'!CommonLivestock_InputFunctions.LivestockMovement_HeadLostDuringMonth(_xlpm.Month, _xlpm.LivestockClass))</definedName>
    <definedName name="CommonLivestock_InputFunctions.LivestockMovement_HeadAtEndOfMonth" localSheetId="11">_xlfn.LAMBDA(_xlpm.HeadAtStart,_xlpm.Month,_xlpm.LivestockClass, _xlpm.HeadAtStart + '8.2.1.1-2 Stationary fuel'!CommonLivestock_InputFunctions.LivestockMovement_HeadAddedDuringMonth(_xlpm.Month, _xlpm.LivestockClass) - '8.2.1.1-2 Stationary fuel'!CommonLivestock_InputFunctions.LivestockMovement_HeadLostDuringMonth(_xlpm.Month, _xlpm.LivestockClass))</definedName>
    <definedName name="CommonLivestock_InputFunctions.LivestockMovement_HeadAtEndOfMonth" localSheetId="12">_xlfn.LAMBDA(_xlpm.HeadAtStart,_xlpm.Month,_xlpm.LivestockClass, _xlpm.HeadAtStart + 'Constants - Fertiliser'!CommonLivestock_InputFunctions.LivestockMovement_HeadAddedDuringMonth(_xlpm.Month, _xlpm.LivestockClass) - 'Constants - Fertiliser'!CommonLivestock_InputFunctions.LivestockMovement_HeadLostDuringMonth(_xlpm.Month, _xlpm.LivestockClass))</definedName>
    <definedName name="CommonLivestock_InputFunctions.LivestockMovement_HeadAtEndOfMonth" localSheetId="13">_xlfn.LAMBDA(_xlpm.HeadAtStart,_xlpm.Month,_xlpm.LivestockClass, _xlpm.HeadAtStart + 'Constants - Fuel'!CommonLivestock_InputFunctions.LivestockMovement_HeadAddedDuringMonth(_xlpm.Month, _xlpm.LivestockClass) - 'Constants - Fuel'!CommonLivestock_InputFunctions.LivestockMovement_HeadLostDuringMonth(_xlpm.Month, _xlpm.LivestockClass))</definedName>
    <definedName name="CommonLivestock_InputFunctions.LivestockMovement_HeadAtEndOfMonth" localSheetId="0">_xlfn.LAMBDA(_xlpm.HeadAtStart,_xlpm.Month,_xlpm.LivestockClass, _xlpm.HeadAtStart + Home!CommonLivestock_InputFunctions.LivestockMovement_HeadAddedDuringMonth(_xlpm.Month, _xlpm.LivestockClass) - Home!CommonLivestock_InputFunctions.LivestockMovement_HeadLostDuringMonth(_xlpm.Month, _xlpm.LivestockClass))</definedName>
    <definedName name="CommonLivestock_InputFunctions.LivestockMovement_HeadAtEndOfMonth" localSheetId="3">_xlfn.LAMBDA(_xlpm.HeadAtStart,_xlpm.Month,_xlpm.LivestockClass, _xlpm.HeadAtStart + 'Input - Fuel'!CommonLivestock_InputFunctions.LivestockMovement_HeadAddedDuringMonth(_xlpm.Month, _xlpm.LivestockClass) - 'Input - Fuel'!CommonLivestock_InputFunctions.LivestockMovement_HeadLostDuringMonth(_xlpm.Month, _xlpm.LivestockClass))</definedName>
    <definedName name="CommonLivestock_InputFunctions.LivestockMovement_HeadAtEndOfMonth" localSheetId="16">_xlfn.LAMBDA(_xlpm.HeadAtStart,_xlpm.Month,_xlpm.LivestockClass, _xlpm.HeadAtStart + 'Input - Site'!CommonLivestock_InputFunctions.LivestockMovement_HeadAddedDuringMonth(_xlpm.Month, _xlpm.LivestockClass) - 'Input - Site'!CommonLivestock_InputFunctions.LivestockMovement_HeadLostDuringMonth(_xlpm.Month, _xlpm.LivestockClass))</definedName>
    <definedName name="CommonLivestock_InputFunctions.LivestockMovement_HeadAtEndOfMonth" localSheetId="15">_xlfn.LAMBDA(_xlpm.HeadAtStart,_xlpm.Month,_xlpm.LivestockClass, _xlpm.HeadAtStart + Overview!CommonLivestock_InputFunctions.LivestockMovement_HeadAddedDuringMonth(_xlpm.Month, _xlpm.LivestockClass) - Overview!CommonLivestock_InputFunctions.LivestockMovement_HeadLostDuringMonth(_xlpm.Month,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_xlfn.LAMBDA(_xlpm.Month,_xlpm.LivestockClass,_xlpm.HeadAtStartOfMonth, MAX(_xlpm.HeadAtStartOfMonth - '5.1.1.1-2 Inorganic fert N2O'!CommonLivestock_InputFunctions.LivestockMovement_HeadLostDuringMonth(_xlpm.Month,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'5.1.1.3-4 Inorganic fert CO2'!CommonLivestock_InputFunctions.LivestockMovement_HeadLostDuringMonth(_xlpm.Month,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'5.2.1.1-2 Organic Fert N2O'!CommonLivestock_InputFunctions.LivestockMovement_HeadLostDuringMonth(_xlpm.Month,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'5.3.1.1-2 Lime CO2'!CommonLivestock_InputFunctions.LivestockMovement_HeadLostDuringMonth(_xlpm.Month,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'5.4.1.1-4 Atmos deposition'!CommonLivestock_InputFunctions.LivestockMovement_HeadLostDuringMonth(_xlpm.Month,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'5.5.1.1-2 Leaching and runoff'!CommonLivestock_InputFunctions.LivestockMovement_HeadLostDuringMonth(_xlpm.Month,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'8.1.1.1-2 Transport fuel'!CommonLivestock_InputFunctions.LivestockMovement_HeadLostDuringMonth(_xlpm.Month,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'8.2.1.1-2 Stationary fuel'!CommonLivestock_InputFunctions.LivestockMovement_HeadLostDuringMonth(_xlpm.Month,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'Constants - Fertiliser'!CommonLivestock_InputFunctions.LivestockMovement_HeadLostDuringMonth(_xlpm.Month,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'Constants - Fuel'!CommonLivestock_InputFunctions.LivestockMovement_HeadLostDuringMonth(_xlpm.Month, _xlpm.LivestockClass), 0))</definedName>
    <definedName name="CommonLivestock_InputFunctions.LivestockMovement_HeadRemainingAtMonthEnd" localSheetId="0">_xlfn.LAMBDA(_xlpm.Month,_xlpm.LivestockClass,_xlpm.HeadAtStartOfMonth, MAX(_xlpm.HeadAtStartOfMonth - Home!CommonLivestock_InputFunctions.LivestockMovement_HeadLostDuringMonth(_xlpm.Month,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'Input - Fuel'!CommonLivestock_InputFunctions.LivestockMovement_HeadLostDuringMonth(_xlpm.Month,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'Input - Site'!CommonLivestock_InputFunctions.LivestockMovement_HeadLostDuringMonth(_xlpm.Month,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Overview!CommonLivestock_InputFunctions.LivestockMovement_HeadLostDuringMonth(_xlpm.Month,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0">_xlfn.LAMBDA(_xlpm.LivestockClass,_xlpm.MovementDate,_xlpm.WeightAtMovementDate,_xlpm.Head, IFERROR(_xlpm.Head * (_xlpm.WeightAtMovementDate + Home!CommonLivestock_InputFunctions.LivestockMovement_LiveweightGrownDuringMonthPerHead(_xlpm.LivestockClass,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_xlfn.LAMBDA(_xlpm.LivestockClass,_xlpm.MovementDate, IFERROR('5.1.1.1-2 Inorganic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IFERROR('5.1.1.3-4 Inorganic fert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IFERROR('5.2.1.1-2 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IFERROR('5.3.1.1-2 Lime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IFERROR('5.4.1.1-4 Atmos deposition'!CommonLivestock_InputFunctions.LivestockMovement_GetMovementLiveweightGain(_xlpm.LivestockClass,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IFERROR('5.5.1.1-2 Leaching and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IFERROR('8.1.1.1-2 Transport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IFERROR('8.2.1.1-2 Stationary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IFERROR('Constants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IFERROR('Constants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0">_xlfn.LAMBDA(_xlpm.LivestockClass,_xlpm.MovementDate, IFERROR(Home!CommonLivestock_InputFunctions.LivestockMovement_GetMovementLiveweightGain(_xlpm.LivestockClass,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IFERROR('Input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IFERROR('Input - Site'!CommonLivestock_InputFunctions.LivestockMovement_GetMovementLiveweightGain(_xlpm.LivestockClass,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IFERROR(Overview!CommonLivestock_InputFunctions.LivestockMovement_GetMovementLiveweightGain(_xlpm.LivestockClass,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0">_xlfn.LAMBDA(_xlpm.LivestockClass,_xlpm.Month, Home!CommonLivestock_InputFunctions.LivestockMovement_LiveweightGrownDuringMonthPerHead(_xlpm.LivestockClass,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0">_xlfn.LAMBDA(_xlpm.LivestockClass,_xlpm.Month,_xlpm.HeadAtStartOfMonth, Home!CommonLivestock_InputFunctions.LivestockMovement_HeadRemainingAtMonthEnd(_xlpm.Month, _xlpm.LivestockClass, _xlpm.HeadAtStartOfMonth) * Home!CommonLivestock_InputFunctions.LivestockMovement_LiveweightGrownFromMonthStartPerHead(_xlpm.LivestockClass,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0">_xlfn.LAMBDA(_xlpm.LivestockClass,_xlpm.MovementDate,_xlpm.Head, Home!CommonLivestock_InputFunctions.LivestockMovement_LiveweightGrownDuringMonthPerHead(_xlpm.LivestockClass,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0">_xlfn.LAMBDA(_xlpm.Month,_xlpm.LivestockClass,_xlpm.HeadAtStart, Home!CommonLivestock_InputFunctions.LivestockMovement_ProportionHeadAddedDuringMonth(_xlpm.Month, _xlpm.LivestockClass, _xlpm.HeadAtStart) * Home!CommonLivestock_InputFunctions.LivestockMovement_AverageLiveweightAddedDuringMonth(_xlpm.Month,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0">_xlfn.LAMBDA(_xlpm.Month,_xlpm.LivestockClass,_xlpm.HeadAtStart,_xlpm.LiveweightAtStart,_xlpm.LiveweightGain, Home!CommonLivestock_InputFunctions.LivestockMovement_ProportionHeadRemainingAtEndOfMonth(_xlpm.Month,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_xlfn.LAMBDA(_xlpm.Month,_xlpm.LivestockClass,_xlpm.HeadAtStart, IFERROR(MIN(1, '5.1.1.1-2 Inorganic fert N2O'!CommonLivestock_InputFunctions.LivestockMovement_HeadAddedDuringMonth(_xlpm.Month,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'5.1.1.3-4 Inorganic fert CO2'!CommonLivestock_InputFunctions.LivestockMovement_HeadAddedDuringMonth(_xlpm.Month,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'5.2.1.1-2 Organic Fert N2O'!CommonLivestock_InputFunctions.LivestockMovement_HeadAddedDuringMonth(_xlpm.Month,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'5.3.1.1-2 Lime CO2'!CommonLivestock_InputFunctions.LivestockMovement_HeadAddedDuringMonth(_xlpm.Month,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'5.4.1.1-4 Atmos deposition'!CommonLivestock_InputFunctions.LivestockMovement_HeadAddedDuringMonth(_xlpm.Month,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'5.5.1.1-2 Leaching and runoff'!CommonLivestock_InputFunctions.LivestockMovement_HeadAddedDuringMonth(_xlpm.Month,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'8.1.1.1-2 Transport fuel'!CommonLivestock_InputFunctions.LivestockMovement_HeadAddedDuringMonth(_xlpm.Month,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'8.2.1.1-2 Stationary fuel'!CommonLivestock_InputFunctions.LivestockMovement_HeadAddedDuringMonth(_xlpm.Month,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'Constants - Fertiliser'!CommonLivestock_InputFunctions.LivestockMovement_HeadAddedDuringMonth(_xlpm.Month,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'Constants - Fuel'!CommonLivestock_InputFunctions.LivestockMovement_HeadAddedDuringMonth(_xlpm.Month,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0">_xlfn.LAMBDA(_xlpm.Month,_xlpm.LivestockClass,_xlpm.HeadAtStart, IFERROR(MIN(1, Home!CommonLivestock_InputFunctions.LivestockMovement_HeadAddedDuringMonth(_xlpm.Month, _xlpm.LivestockClass) / Home!CommonLivestock_InputFunctions.LivestockMovement_HeadAtEndOfMonth(_xlpm.HeadAtStart,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'Input - Fuel'!CommonLivestock_InputFunctions.LivestockMovement_HeadAddedDuringMonth(_xlpm.Month,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'Input - Site'!CommonLivestock_InputFunctions.LivestockMovement_HeadAddedDuringMonth(_xlpm.Month,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Overview!CommonLivestock_InputFunctions.LivestockMovement_HeadAddedDuringMonth(_xlpm.Month,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0">_xlfn.LAMBDA(_xlpm.Month,_xlpm.LivestockClass,_xlpm.HeadAtStart, IFERROR(MIN(1, Home!CommonLivestock_InputFunctions.LivestockMovement_HeadRemainingAtMonthEnd(_xlpm.Month, _xlpm.LivestockClass, _xlpm.HeadAtStart) / Home!CommonLivestock_InputFunctions.LivestockMovement_HeadAtEndOfMonth(_xlpm.HeadAtStart,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_xlfn.LAMBDA(_xlpm.Month,_xlpm.LivestockClass,_xlpm.HeadAtStart, '5.1.1.1-2 Inorganic fert N2O'!CommonLivestock_InputFunctions.LivestockMovement_LiveweightGrownFromMonthStartTotal(_xlpm.LivestockClass, _xlpm.Month, _xlpm.HeadAtStart) + '5.1.1.1-2 Inorganic fert N2O'!CommonLivestock_InputFunctions.LivestockMovement_TotalLiveweightGrownDuringMonth(_xlpm.Month,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'5.1.1.3-4 Inorganic fert CO2'!CommonLivestock_InputFunctions.LivestockMovement_LiveweightGrownFromMonthStartTotal(_xlpm.LivestockClass, _xlpm.Month, _xlpm.HeadAtStart) + '5.1.1.3-4 Inorganic fert CO2'!CommonLivestock_InputFunctions.LivestockMovement_TotalLiveweightGrownDuringMonth(_xlpm.Month,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'5.2.1.1-2 Organic Fert N2O'!CommonLivestock_InputFunctions.LivestockMovement_LiveweightGrownFromMonthStartTotal(_xlpm.LivestockClass, _xlpm.Month, _xlpm.HeadAtStart) + '5.2.1.1-2 Organic Fert N2O'!CommonLivestock_InputFunctions.LivestockMovement_TotalLiveweightGrownDuringMonth(_xlpm.Month,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'5.3.1.1-2 Lime CO2'!CommonLivestock_InputFunctions.LivestockMovement_TotalLiveweightGrownDuringMonth(_xlpm.Month,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'5.4.1.1-4 Atmos deposition'!CommonLivestock_InputFunctions.LivestockMovement_TotalLiveweightGrownDuringMonth(_xlpm.Month,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'5.5.1.1-2 Leaching and runoff'!CommonLivestock_InputFunctions.LivestockMovement_TotalLiveweightGrownDuringMonth(_xlpm.Month,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'8.1.1.1-2 Transport fuel'!CommonLivestock_InputFunctions.LivestockMovement_LiveweightGrownFromMonthStartTotal(_xlpm.LivestockClass, _xlpm.Month, _xlpm.HeadAtStart) + '8.1.1.1-2 Transport fuel'!CommonLivestock_InputFunctions.LivestockMovement_TotalLiveweightGrownDuringMonth(_xlpm.Month,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'8.2.1.1-2 Stationary fuel'!CommonLivestock_InputFunctions.LivestockMovement_LiveweightGrownFromMonthStartTotal(_xlpm.LivestockClass, _xlpm.Month, _xlpm.HeadAtStart) + '8.2.1.1-2 Stationary fuel'!CommonLivestock_InputFunctions.LivestockMovement_TotalLiveweightGrownDuringMonth(_xlpm.Month,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'Constants - Fertiliser'!CommonLivestock_InputFunctions.LivestockMovement_LiveweightGrownFromMonthStartTotal(_xlpm.LivestockClass, _xlpm.Month, _xlpm.HeadAtStart) + 'Constants - Fertiliser'!CommonLivestock_InputFunctions.LivestockMovement_TotalLiveweightGrownDuringMonth(_xlpm.Month,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'Constants - Fuel'!CommonLivestock_InputFunctions.LivestockMovement_LiveweightGrownFromMonthStartTotal(_xlpm.LivestockClass, _xlpm.Month, _xlpm.HeadAtStart) + 'Constants - Fuel'!CommonLivestock_InputFunctions.LivestockMovement_TotalLiveweightGrownDuringMonth(_xlpm.Month, _xlpm.LivestockClass))</definedName>
    <definedName name="CommonLivestock_InputFunctions.LivestockMovement_TotalLiveweightGrownDuringMonthAddedAndRemaining" localSheetId="0">_xlfn.LAMBDA(_xlpm.Month,_xlpm.LivestockClass,_xlpm.HeadAtStart, Home!CommonLivestock_InputFunctions.LivestockMovement_LiveweightGrownFromMonthStartTotal(_xlpm.LivestockClass, _xlpm.Month, _xlpm.HeadAtStart) + Home!CommonLivestock_InputFunctions.LivestockMovement_TotalLiveweightGrownDuringMonth(_xlpm.Month,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Fuel'!CommonLivestock_InputFunctions.LivestockMovement_LiveweightGrownFromMonthStartTotal(_xlpm.LivestockClass, _xlpm.Month, _xlpm.HeadAtStart) + 'Input - Fuel'!CommonLivestock_InputFunctions.LivestockMovement_TotalLiveweightGrownDuringMonth(_xlpm.Month,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'Input - Site'!CommonLivestock_InputFunctions.LivestockMovement_LiveweightGrownFromMonthStartTotal(_xlpm.LivestockClass, _xlpm.Month, _xlpm.HeadAtStart) + 'Input - Site'!CommonLivestock_InputFunctions.LivestockMovement_TotalLiveweightGrownDuringMonth(_xlpm.Month,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Overview!CommonLivestock_InputFunctions.LivestockMovement_LiveweightGrownFromMonthStartTotal(_xlpm.LivestockClass, _xlpm.Month, _xlpm.HeadAtStart) + Overview!CommonLivestock_InputFunctions.LivestockMovement_TotalLiveweightGrownDuringMonth(_xlpm.Month,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Home!Fertiliser_InputFunctions.Fertiliser_SumProductApplied(_xlpm.ChemicalCompound, _xlpm.ProductIngredient1, _xlpm.calculatedAmount1) + IFERROR(Home!Fertiliser_InputFunctions.Fertiliser_SumProductApplied(_xlpm.ChemicalCompound, _xlpm.ProductIngredient2, _xlpm.calculatedAmount2), 0) + IFERROR(Home!Fertiliser_InputFunctions.Fertiliser_SumProductApplied(_xlpm.ChemicalCompound,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Site'!Fertiliser_InputFunctions.Fertiliser_SumProductApplied(_xlpm.ChemicalCompound, _xlpm.ProductIngredient1, _xlpm.calculatedAmount1) + IFERROR('Input - Site'!Fertiliser_InputFunctions.Fertiliser_SumProductApplied(_xlpm.ChemicalCompound, _xlpm.ProductIngredient2, _xlpm.calculatedAmount2), 0) + IFERROR('Input - Site'!Fertiliser_InputFunctions.Fertiliser_SumProductApplied(_xlpm.ChemicalCompound,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Home!Fertiliser_InputFunctions.Fertiliser_SumProductApplied(_xlpm.ChemicalCompound, _xlpm.ProductIngredient1, _xlpm.calculatedAmount1) + IFERROR(Home!Fertiliser_InputFunctions.Fertiliser_SumProductApplied(_xlpm.ChemicalCompound, _xlpm.ProductIngredient2, _xlpm.calculatedAmount2), 0) + IFERROR(Home!Fertiliser_InputFunctions.Fertiliser_SumProductApplied(_xlpm.ChemicalCompound, _xlpm.ProductIngredient3, _xlpm.calculatedAmount3), 0) + IFERROR(Home!Fertiliser_InputFunctions.Fertiliser_SumProductApplied(_xlpm.ChemicalCompound, _xlpm.ProductIngredient4, _xlpm.calculatedAmount4), 0) + IFERROR(Home!Fertiliser_InputFunctions.Fertiliser_SumProductApplied(_xlpm.ChemicalCompound, _xlpm.ProductIngredient5, _xlpm.calculatedAmount5), 0) + IFERROR(Home!Fertiliser_InputFunctions.Fertiliser_SumProductApplied(_xlpm.ChemicalCompound,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Site'!Fertiliser_InputFunctions.Fertiliser_SumProductApplied(_xlpm.ChemicalCompound, _xlpm.ProductIngredient1, _xlpm.calculatedAmount1) + IFERROR('Input - Site'!Fertiliser_InputFunctions.Fertiliser_SumProductApplied(_xlpm.ChemicalCompound, _xlpm.ProductIngredient2, _xlpm.calculatedAmount2), 0) + IFERROR('Input - Site'!Fertiliser_InputFunctions.Fertiliser_SumProductApplied(_xlpm.ChemicalCompound, _xlpm.ProductIngredient3, _xlpm.calculatedAmount3), 0) + IFERROR('Input - Site'!Fertiliser_InputFunctions.Fertiliser_SumProductApplied(_xlpm.ChemicalCompound, _xlpm.ProductIngredient4, _xlpm.calculatedAmount4), 0) + IFERROR('Input - Site'!Fertiliser_InputFunctions.Fertiliser_SumProductApplied(_xlpm.ChemicalCompound, _xlpm.ProductIngredient5, _xlpm.calculatedAmount5), 0) + IFERROR('Input - Site'!Fertiliser_InputFunctions.Fertiliser_SumProductApplied(_xlpm.ChemicalCompound,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Home!Fertiliser_InputFunctions.Fertiliser_SumProductApplied(_xlpm.ChemicalCompound, _xlpm.ProductIngredient1, _xlpm.calculatedAmount1, _xlpm.Source, _xlpm.ProductIngredientSource) + IFERROR(Home!Fertiliser_InputFunctions.Fertiliser_SumProductApplied(_xlpm.ChemicalCompound, _xlpm.ProductIngredient2, _xlpm.calculatedAmount2, _xlpm.Source, _xlpm.ProductIngredientSource), 0) + IFERROR(Home!Fertiliser_InputFunctions.Fertiliser_SumProductApplied(_xlpm.ChemicalCompound, _xlpm.ProductIngredient3, _xlpm.calculatedAmount3, _xlpm.Source, _xlpm.ProductIngredientSource), 0) + IFERROR(Home!Fertiliser_InputFunctions.Fertiliser_SumProductApplied(_xlpm.ChemicalCompound, _xlpm.ProductIngredient4, _xlpm.calculatedAmount4, _xlpm.Source, _xlpm.ProductIngredientSource), 0) + IFERROR(Home!Fertiliser_InputFunctions.Fertiliser_SumProductApplied(_xlpm.ChemicalCompound, _xlpm.ProductIngredient5, _xlpm.calculatedAmount5, _xlpm.Source, _xlpm.ProductIngredientSource), 0) + IFERROR(Home!Fertiliser_InputFunctions.Fertiliser_SumProductApplied(_xlpm.ChemicalCompound,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Site'!Fertiliser_InputFunctions.Fertiliser_SumProductApplied(_xlpm.ChemicalCompound, _xlpm.ProductIngredient1, _xlpm.calculatedAmount1, _xlpm.Source, _xlpm.ProductIngredientSource) + IFERROR('Input - Site'!Fertiliser_InputFunctions.Fertiliser_SumProductApplied(_xlpm.ChemicalCompound, _xlpm.ProductIngredient2, _xlpm.calculatedAmount2, _xlpm.Source, _xlpm.ProductIngredientSource), 0) + IFERROR('Input - Site'!Fertiliser_InputFunctions.Fertiliser_SumProductApplied(_xlpm.ChemicalCompound, _xlpm.ProductIngredient3, _xlpm.calculatedAmount3, _xlpm.Source, _xlpm.ProductIngredientSource), 0) + IFERROR('Input - Site'!Fertiliser_InputFunctions.Fertiliser_SumProductApplied(_xlpm.ChemicalCompound, _xlpm.ProductIngredient4, _xlpm.calculatedAmount4, _xlpm.Source, _xlpm.ProductIngredientSource), 0) + IFERROR('Input - Site'!Fertiliser_InputFunctions.Fertiliser_SumProductApplied(_xlpm.ChemicalCompound, _xlpm.ProductIngredient5, _xlpm.calculatedAmount5, _xlpm.Source, _xlpm.ProductIngredientSource), 0) + IFERROR('Input - 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'8.1.1.1-2 Transport fuel'!Fuel_Equations.VEERG_8_FuelCombustion(_xlpm.Q_Transtq, _xlpm.EC_Transq, _xlpm.EF_Trans1tqg))</definedName>
    <definedName name="Fuel_Equations.VEERG_8_1_1_1__1_FuelCombustionTransport" localSheetId="11">_xlfn.LAMBDA(_xlpm.Q_Transtq,_xlpm.EC_Transq,_xlpm.EF_Trans1tqg, '8.2.1.1-2 Stationary fuel'!Fuel_Equations.VEERG_8_FuelCombustion(_xlpm.Q_Transtq, _xlpm.EC_Transq, _xlpm.EF_Trans1tqg))</definedName>
    <definedName name="Fuel_Equations.VEERG_8_1_1_1__1_FuelCombustionTransport" localSheetId="13">_xlfn.LAMBDA(_xlpm.Q_Transtq,_xlpm.EC_Transq,_xlpm.EF_Trans1tqg, 'Constants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'8.1.1.1-2 Transport fuel'!Fuel_Equations.VEERG_8_FuelCombustion(_xlpm.Q_SCq, _xlpm.EC_SCq, _xlpm.EF_SC1qg))</definedName>
    <definedName name="Fuel_Equations.VEERG_8_2_1_1__1_FuelCombustionStationary" localSheetId="11">_xlfn.LAMBDA(_xlpm.Q_SCq,_xlpm.EC_SCq,_xlpm.EF_SC1qg, '8.2.1.1-2 Stationary fuel'!Fuel_Equations.VEERG_8_FuelCombustion(_xlpm.Q_SCq, _xlpm.EC_SCq, _xlpm.EF_SC1qg))</definedName>
    <definedName name="Fuel_Equations.VEERG_8_2_1_1__1_FuelCombustionStationary" localSheetId="13">_xlfn.LAMBDA(_xlpm.Q_SCq,_xlpm.EC_SCq,_xlpm.EF_SC1qg, 'Constants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Enterprise_ProductionTimeframeEnd">#REF!</definedName>
    <definedName name="X_Cell_Enterprise_ProductionTimeframeStart">#REF!</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 localSheetId="16">'Input - Site'!$E$21</definedName>
    <definedName name="X_Cell_Site_State">'[2]Input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21" l="1"/>
  <c r="A27" i="21"/>
  <c r="A26" i="21"/>
  <c r="A25" i="21"/>
  <c r="A21" i="21"/>
  <c r="A20" i="21"/>
  <c r="A19" i="21"/>
  <c r="A18" i="21"/>
  <c r="A17" i="21"/>
  <c r="A16" i="21"/>
  <c r="A15" i="21"/>
  <c r="A14" i="21"/>
  <c r="A10" i="21"/>
  <c r="A9" i="21"/>
  <c r="A8" i="21"/>
  <c r="A7" i="21"/>
  <c r="A3" i="21"/>
  <c r="A28" i="20"/>
  <c r="A27" i="20"/>
  <c r="A26" i="20"/>
  <c r="A25" i="20"/>
  <c r="A21" i="20"/>
  <c r="A20" i="20"/>
  <c r="A19" i="20"/>
  <c r="A18" i="20"/>
  <c r="A17" i="20"/>
  <c r="A16" i="20"/>
  <c r="A15" i="20"/>
  <c r="A14" i="20"/>
  <c r="A10" i="20"/>
  <c r="A9" i="20"/>
  <c r="A8" i="20"/>
  <c r="A7" i="20"/>
  <c r="A3" i="20"/>
  <c r="A28" i="6"/>
  <c r="A27" i="6"/>
  <c r="A26" i="6"/>
  <c r="A25" i="6"/>
  <c r="A21" i="6"/>
  <c r="A20" i="6"/>
  <c r="A19" i="6"/>
  <c r="A18" i="6"/>
  <c r="A17" i="6"/>
  <c r="A16" i="6"/>
  <c r="A15" i="6"/>
  <c r="A14" i="6"/>
  <c r="A10" i="6"/>
  <c r="A9" i="6"/>
  <c r="A8" i="6"/>
  <c r="A7" i="6"/>
  <c r="A3" i="6"/>
  <c r="A28" i="18"/>
  <c r="A27" i="18"/>
  <c r="A26" i="18"/>
  <c r="A25" i="18"/>
  <c r="A21" i="18"/>
  <c r="A20" i="18"/>
  <c r="A19" i="18"/>
  <c r="A18" i="18"/>
  <c r="A17" i="18"/>
  <c r="A16" i="18"/>
  <c r="A15" i="18"/>
  <c r="A14" i="18"/>
  <c r="A10" i="18"/>
  <c r="A9" i="18"/>
  <c r="A8" i="18"/>
  <c r="A7" i="18"/>
  <c r="A3" i="18"/>
  <c r="A28" i="14"/>
  <c r="A27" i="14"/>
  <c r="A26" i="14"/>
  <c r="A25" i="14"/>
  <c r="A21" i="14"/>
  <c r="A20" i="14"/>
  <c r="A19" i="14"/>
  <c r="A18" i="14"/>
  <c r="A17" i="14"/>
  <c r="A16" i="14"/>
  <c r="A15" i="14"/>
  <c r="A14" i="14"/>
  <c r="A10" i="14"/>
  <c r="A9" i="14"/>
  <c r="A8" i="14"/>
  <c r="A7" i="14"/>
  <c r="A3" i="14"/>
  <c r="A28" i="17"/>
  <c r="A27" i="17"/>
  <c r="A26" i="17"/>
  <c r="A25" i="17"/>
  <c r="A21" i="17"/>
  <c r="A20" i="17"/>
  <c r="A19" i="17"/>
  <c r="A18" i="17"/>
  <c r="A17" i="17"/>
  <c r="A16" i="17"/>
  <c r="A15" i="17"/>
  <c r="A14" i="17"/>
  <c r="A10" i="17"/>
  <c r="A9" i="17"/>
  <c r="A8" i="17"/>
  <c r="A7" i="17"/>
  <c r="A3" i="17"/>
  <c r="A28" i="16"/>
  <c r="A27" i="16"/>
  <c r="A26" i="16"/>
  <c r="A25" i="16"/>
  <c r="A21" i="16"/>
  <c r="A20" i="16"/>
  <c r="A19" i="16"/>
  <c r="A18" i="16"/>
  <c r="A17" i="16"/>
  <c r="A16" i="16"/>
  <c r="A15" i="16"/>
  <c r="A14" i="16"/>
  <c r="A10" i="16"/>
  <c r="A9" i="16"/>
  <c r="A8" i="16"/>
  <c r="A7" i="16"/>
  <c r="A3" i="16"/>
  <c r="A28" i="13"/>
  <c r="A27" i="13"/>
  <c r="A26" i="13"/>
  <c r="A25" i="13"/>
  <c r="A21" i="13"/>
  <c r="A20" i="13"/>
  <c r="A19" i="13"/>
  <c r="A18" i="13"/>
  <c r="A17" i="13"/>
  <c r="A16" i="13"/>
  <c r="A15" i="13"/>
  <c r="A14" i="13"/>
  <c r="A10" i="13"/>
  <c r="A9" i="13"/>
  <c r="A8" i="13"/>
  <c r="A7" i="13"/>
  <c r="A3" i="13"/>
  <c r="A28" i="12"/>
  <c r="A27" i="12"/>
  <c r="A26" i="12"/>
  <c r="A25" i="12"/>
  <c r="A21" i="12"/>
  <c r="A20" i="12"/>
  <c r="A19" i="12"/>
  <c r="A18" i="12"/>
  <c r="A17" i="12"/>
  <c r="A16" i="12"/>
  <c r="A15" i="12"/>
  <c r="A14" i="12"/>
  <c r="A10" i="12"/>
  <c r="A9" i="12"/>
  <c r="A8" i="12"/>
  <c r="A7" i="12"/>
  <c r="A3" i="12"/>
  <c r="A28" i="11"/>
  <c r="A27" i="11"/>
  <c r="A26" i="11"/>
  <c r="A25" i="11"/>
  <c r="A21" i="11"/>
  <c r="A20" i="11"/>
  <c r="A19" i="11"/>
  <c r="A18" i="11"/>
  <c r="A17" i="11"/>
  <c r="A16" i="11"/>
  <c r="A15" i="11"/>
  <c r="A14" i="11"/>
  <c r="A10" i="11"/>
  <c r="A9" i="11"/>
  <c r="A8" i="11"/>
  <c r="A7" i="11"/>
  <c r="A3" i="11"/>
  <c r="A28" i="10"/>
  <c r="A27" i="10"/>
  <c r="A26" i="10"/>
  <c r="A25" i="10"/>
  <c r="A21" i="10"/>
  <c r="A20" i="10"/>
  <c r="A19" i="10"/>
  <c r="A18" i="10"/>
  <c r="A17" i="10"/>
  <c r="A16" i="10"/>
  <c r="A15" i="10"/>
  <c r="A14" i="10"/>
  <c r="A10" i="10"/>
  <c r="A9" i="10"/>
  <c r="A8" i="10"/>
  <c r="A7" i="10"/>
  <c r="A3" i="10"/>
  <c r="A28" i="9"/>
  <c r="A27" i="9"/>
  <c r="A26" i="9"/>
  <c r="A25" i="9"/>
  <c r="A21" i="9"/>
  <c r="A20" i="9"/>
  <c r="A19" i="9"/>
  <c r="A18" i="9"/>
  <c r="A17" i="9"/>
  <c r="A16" i="9"/>
  <c r="A15" i="9"/>
  <c r="A14" i="9"/>
  <c r="A10" i="9"/>
  <c r="A9" i="9"/>
  <c r="A8" i="9"/>
  <c r="A7" i="9"/>
  <c r="A3" i="9"/>
  <c r="A28" i="8"/>
  <c r="A27" i="8"/>
  <c r="A26" i="8"/>
  <c r="A25" i="8"/>
  <c r="A21" i="8"/>
  <c r="A20" i="8"/>
  <c r="A19" i="8"/>
  <c r="A18" i="8"/>
  <c r="A17" i="8"/>
  <c r="A16" i="8"/>
  <c r="A15" i="8"/>
  <c r="A14" i="8"/>
  <c r="A10" i="8"/>
  <c r="A9" i="8"/>
  <c r="A8" i="8"/>
  <c r="A7" i="8"/>
  <c r="A3" i="8"/>
  <c r="A28" i="15"/>
  <c r="A27" i="15"/>
  <c r="A26" i="15"/>
  <c r="A25" i="15"/>
  <c r="A21" i="15"/>
  <c r="A20" i="15"/>
  <c r="A19" i="15"/>
  <c r="A18" i="15"/>
  <c r="A17" i="15"/>
  <c r="A16" i="15"/>
  <c r="A15" i="15"/>
  <c r="A14" i="15"/>
  <c r="A10" i="15"/>
  <c r="A9" i="15"/>
  <c r="A8" i="15"/>
  <c r="A7" i="15"/>
  <c r="A3" i="15"/>
  <c r="A28" i="7"/>
  <c r="A27" i="7"/>
  <c r="A26" i="7"/>
  <c r="A25" i="7"/>
  <c r="A21" i="7"/>
  <c r="A20" i="7"/>
  <c r="A19" i="7"/>
  <c r="A18" i="7"/>
  <c r="A17" i="7"/>
  <c r="A16" i="7"/>
  <c r="A15" i="7"/>
  <c r="A14" i="7"/>
  <c r="A10" i="7"/>
  <c r="A9" i="7"/>
  <c r="A8" i="7"/>
  <c r="A7" i="7"/>
  <c r="A3" i="7"/>
  <c r="A28" i="4"/>
  <c r="A27" i="4"/>
  <c r="A26" i="4"/>
  <c r="A25" i="4"/>
  <c r="A21" i="4"/>
  <c r="A20" i="4"/>
  <c r="A19" i="4"/>
  <c r="A18" i="4"/>
  <c r="A17" i="4"/>
  <c r="A16" i="4"/>
  <c r="A15" i="4"/>
  <c r="A14" i="4"/>
  <c r="A10" i="4"/>
  <c r="A9" i="4"/>
  <c r="A8" i="4"/>
  <c r="A7" i="4"/>
  <c r="A3" i="4"/>
  <c r="A28" i="19"/>
  <c r="A27" i="19"/>
  <c r="A26" i="19"/>
  <c r="A25" i="19"/>
  <c r="A21" i="19"/>
  <c r="A20" i="19"/>
  <c r="A19" i="19"/>
  <c r="A18" i="19"/>
  <c r="A17" i="19"/>
  <c r="A16" i="19"/>
  <c r="A15" i="19"/>
  <c r="A14" i="19"/>
  <c r="A10" i="19"/>
  <c r="A9" i="19"/>
  <c r="A8" i="19"/>
  <c r="A7" i="19"/>
  <c r="A3" i="19"/>
  <c r="E33" i="21"/>
  <c r="E32" i="21"/>
  <c r="E31" i="21"/>
  <c r="E30" i="21"/>
  <c r="M40" i="17" a="1"/>
  <c r="M40" i="17" s="1"/>
  <c r="L40" i="17" a="1"/>
  <c r="L40" i="17" s="1"/>
  <c r="K40" i="17" a="1"/>
  <c r="K40" i="17" s="1"/>
  <c r="J40" i="17"/>
  <c r="I40" i="17"/>
  <c r="H40" i="17"/>
  <c r="G40" i="17"/>
  <c r="F40" i="17"/>
  <c r="E40" i="17"/>
  <c r="M39" i="17" a="1"/>
  <c r="M39" i="17" s="1"/>
  <c r="L39" i="17" a="1"/>
  <c r="L39" i="17" s="1"/>
  <c r="J39" i="17"/>
  <c r="I39" i="17"/>
  <c r="H39" i="17"/>
  <c r="G39" i="17"/>
  <c r="F39" i="17"/>
  <c r="E39" i="17"/>
  <c r="M38" i="17" a="1"/>
  <c r="M38" i="17" s="1"/>
  <c r="L38" i="17" a="1"/>
  <c r="L38" i="17" s="1"/>
  <c r="K38" i="17"/>
  <c r="J38" i="17"/>
  <c r="I38" i="17"/>
  <c r="H38" i="17"/>
  <c r="G38" i="17"/>
  <c r="F38" i="17"/>
  <c r="E38" i="17"/>
  <c r="M37" i="17" a="1"/>
  <c r="M37" i="17" s="1"/>
  <c r="L37" i="17" a="1"/>
  <c r="L37" i="17" s="1"/>
  <c r="K37" i="17"/>
  <c r="J37" i="17"/>
  <c r="I37" i="17"/>
  <c r="H37" i="17"/>
  <c r="G37" i="17"/>
  <c r="F37" i="17"/>
  <c r="E37" i="17"/>
  <c r="M36" i="17" a="1"/>
  <c r="M36" i="17" s="1"/>
  <c r="L36" i="17" a="1"/>
  <c r="L36" i="17" s="1"/>
  <c r="K36" i="17"/>
  <c r="J36" i="17"/>
  <c r="I36" i="17"/>
  <c r="H36" i="17"/>
  <c r="G36" i="17"/>
  <c r="F36" i="17"/>
  <c r="E36" i="17"/>
  <c r="M35" i="17" a="1"/>
  <c r="M35" i="17" s="1"/>
  <c r="L35" i="17" a="1"/>
  <c r="L35" i="17" s="1"/>
  <c r="K35" i="17"/>
  <c r="J35" i="17"/>
  <c r="I35" i="17"/>
  <c r="H35" i="17"/>
  <c r="G35" i="17"/>
  <c r="F35" i="17"/>
  <c r="E35" i="17"/>
  <c r="M34" i="17" a="1"/>
  <c r="M34" i="17" s="1"/>
  <c r="L34" i="17" a="1"/>
  <c r="L34" i="17" s="1"/>
  <c r="K34" i="17"/>
  <c r="J34" i="17"/>
  <c r="I34" i="17"/>
  <c r="H34" i="17"/>
  <c r="G34" i="17"/>
  <c r="F34" i="17"/>
  <c r="E34" i="17"/>
  <c r="M33" i="17" a="1"/>
  <c r="M33" i="17" s="1"/>
  <c r="L33" i="17" a="1"/>
  <c r="L33" i="17" s="1"/>
  <c r="K33" i="17"/>
  <c r="J33" i="17"/>
  <c r="I33" i="17"/>
  <c r="H33" i="17"/>
  <c r="G33" i="17"/>
  <c r="F33" i="17"/>
  <c r="E33" i="17"/>
  <c r="M32" i="17" a="1"/>
  <c r="M32" i="17" s="1"/>
  <c r="L32" i="17" a="1"/>
  <c r="L32" i="17" s="1"/>
  <c r="K32" i="17"/>
  <c r="J32" i="17"/>
  <c r="I32" i="17"/>
  <c r="H32" i="17"/>
  <c r="G32" i="17"/>
  <c r="F32" i="17"/>
  <c r="E32" i="17"/>
  <c r="D32" i="17"/>
  <c r="M31" i="17" a="1"/>
  <c r="M31" i="17" s="1"/>
  <c r="L31" i="17" a="1"/>
  <c r="L31" i="17" s="1"/>
  <c r="K31" i="17"/>
  <c r="J31" i="17"/>
  <c r="I31" i="17"/>
  <c r="H31" i="17"/>
  <c r="G31" i="17"/>
  <c r="F31" i="17"/>
  <c r="E31" i="17"/>
  <c r="M30" i="17" a="1"/>
  <c r="M30" i="17" s="1"/>
  <c r="L30" i="17" a="1"/>
  <c r="L30" i="17" s="1"/>
  <c r="K30" i="17"/>
  <c r="J30" i="17"/>
  <c r="I30" i="17"/>
  <c r="H30" i="17"/>
  <c r="G30" i="17"/>
  <c r="F30" i="17"/>
  <c r="E30" i="17"/>
  <c r="M29" i="17" a="1"/>
  <c r="M29" i="17" s="1"/>
  <c r="L29" i="17" a="1"/>
  <c r="L29" i="17" s="1"/>
  <c r="K29" i="17"/>
  <c r="J29" i="17"/>
  <c r="I29" i="17"/>
  <c r="H29" i="17"/>
  <c r="G29" i="17"/>
  <c r="F29" i="17"/>
  <c r="E29" i="17"/>
  <c r="M28" i="17" a="1"/>
  <c r="M28" i="17" s="1"/>
  <c r="L28" i="17" a="1"/>
  <c r="L28" i="17" s="1"/>
  <c r="K28" i="17"/>
  <c r="J28" i="17"/>
  <c r="I28" i="17"/>
  <c r="H28" i="17"/>
  <c r="G28" i="17"/>
  <c r="F28" i="17"/>
  <c r="E28" i="17"/>
  <c r="M27" i="17" a="1"/>
  <c r="M27" i="17" s="1"/>
  <c r="L27" i="17" a="1"/>
  <c r="L27" i="17" s="1"/>
  <c r="K27" i="17"/>
  <c r="J27" i="17"/>
  <c r="I27" i="17"/>
  <c r="H27" i="17"/>
  <c r="G27" i="17"/>
  <c r="F27" i="17"/>
  <c r="E27" i="17"/>
  <c r="M26" i="17" a="1"/>
  <c r="M26" i="17" s="1"/>
  <c r="L26" i="17" a="1"/>
  <c r="L26" i="17" s="1"/>
  <c r="K26" i="17"/>
  <c r="J26" i="17"/>
  <c r="I26" i="17"/>
  <c r="H26" i="17"/>
  <c r="G26" i="17"/>
  <c r="F26" i="17"/>
  <c r="E26" i="17"/>
  <c r="M25" i="17" a="1"/>
  <c r="M25" i="17" s="1"/>
  <c r="L25" i="17" a="1"/>
  <c r="L25" i="17" s="1"/>
  <c r="K25" i="17"/>
  <c r="J25" i="17"/>
  <c r="I25" i="17"/>
  <c r="H25" i="17"/>
  <c r="G25" i="17"/>
  <c r="F25" i="17"/>
  <c r="E25" i="17"/>
  <c r="D25" i="17"/>
  <c r="M39" i="16" a="1"/>
  <c r="M39" i="16" s="1"/>
  <c r="L39" i="16" a="1"/>
  <c r="L39" i="16" s="1"/>
  <c r="K39" i="16" a="1"/>
  <c r="K39" i="16" s="1"/>
  <c r="J39" i="16" a="1"/>
  <c r="J39" i="16" s="1"/>
  <c r="I39" i="16" a="1"/>
  <c r="I39" i="16" s="1"/>
  <c r="H39" i="16" a="1"/>
  <c r="H39" i="16" s="1"/>
  <c r="G39" i="16" a="1"/>
  <c r="G39" i="16" s="1"/>
  <c r="F39" i="16"/>
  <c r="E39" i="16"/>
  <c r="M38" i="16" a="1"/>
  <c r="M38" i="16" s="1"/>
  <c r="L38" i="16" a="1"/>
  <c r="L38" i="16" s="1"/>
  <c r="K38" i="16" a="1"/>
  <c r="K38" i="16" s="1"/>
  <c r="J38" i="16" a="1"/>
  <c r="J38" i="16" s="1"/>
  <c r="I38" i="16" a="1"/>
  <c r="I38" i="16" s="1"/>
  <c r="H38" i="16" a="1"/>
  <c r="H38" i="16" s="1"/>
  <c r="G38" i="16" a="1"/>
  <c r="G38" i="16" s="1"/>
  <c r="F38" i="16"/>
  <c r="E38" i="16"/>
  <c r="M37" i="16" a="1"/>
  <c r="M37" i="16" s="1"/>
  <c r="L37" i="16" a="1"/>
  <c r="L37" i="16" s="1"/>
  <c r="K37" i="16" a="1"/>
  <c r="K37" i="16" s="1"/>
  <c r="J37" i="16" a="1"/>
  <c r="J37" i="16" s="1"/>
  <c r="I37" i="16" a="1"/>
  <c r="I37" i="16" s="1"/>
  <c r="H37" i="16" a="1"/>
  <c r="H37" i="16" s="1"/>
  <c r="G37" i="16" a="1"/>
  <c r="G37" i="16" s="1"/>
  <c r="F37" i="16"/>
  <c r="E37" i="16"/>
  <c r="D37" i="16"/>
  <c r="M36" i="16" a="1"/>
  <c r="M36" i="16" s="1"/>
  <c r="L36" i="16" a="1"/>
  <c r="L36" i="16" s="1"/>
  <c r="K36" i="16" a="1"/>
  <c r="K36" i="16" s="1"/>
  <c r="J36" i="16" a="1"/>
  <c r="J36" i="16" s="1"/>
  <c r="I36" i="16" a="1"/>
  <c r="I36" i="16" s="1"/>
  <c r="H36" i="16" a="1"/>
  <c r="H36" i="16" s="1"/>
  <c r="G36" i="16" a="1"/>
  <c r="G36" i="16" s="1"/>
  <c r="F36" i="16"/>
  <c r="E36" i="16"/>
  <c r="M35" i="16" a="1"/>
  <c r="M35" i="16" s="1"/>
  <c r="L35" i="16" a="1"/>
  <c r="L35" i="16" s="1"/>
  <c r="K35" i="16" a="1"/>
  <c r="K35" i="16" s="1"/>
  <c r="J35" i="16" a="1"/>
  <c r="J35" i="16" s="1"/>
  <c r="I35" i="16" a="1"/>
  <c r="I35" i="16" s="1"/>
  <c r="H35" i="16" a="1"/>
  <c r="H35" i="16" s="1"/>
  <c r="G35" i="16" a="1"/>
  <c r="G35" i="16" s="1"/>
  <c r="F35" i="16"/>
  <c r="E35" i="16"/>
  <c r="M34" i="16" a="1"/>
  <c r="M34" i="16" s="1"/>
  <c r="L34" i="16" a="1"/>
  <c r="L34" i="16" s="1"/>
  <c r="K34" i="16" a="1"/>
  <c r="K34" i="16" s="1"/>
  <c r="J34" i="16" a="1"/>
  <c r="J34" i="16" s="1"/>
  <c r="I34" i="16" a="1"/>
  <c r="I34" i="16" s="1"/>
  <c r="H34" i="16" a="1"/>
  <c r="H34" i="16" s="1"/>
  <c r="G34" i="16" a="1"/>
  <c r="G34" i="16" s="1"/>
  <c r="F34" i="16"/>
  <c r="E34" i="16"/>
  <c r="D34" i="16"/>
  <c r="M33" i="16" a="1"/>
  <c r="M33" i="16" s="1"/>
  <c r="L33" i="16" a="1"/>
  <c r="L33" i="16" s="1"/>
  <c r="K33" i="16" a="1"/>
  <c r="K33" i="16" s="1"/>
  <c r="J33" i="16" a="1"/>
  <c r="J33" i="16" s="1"/>
  <c r="I33" i="16" a="1"/>
  <c r="I33" i="16" s="1"/>
  <c r="H33" i="16" a="1"/>
  <c r="H33" i="16" s="1"/>
  <c r="G33" i="16" a="1"/>
  <c r="G33" i="16" s="1"/>
  <c r="F33" i="16"/>
  <c r="E33" i="16"/>
  <c r="D33" i="16"/>
  <c r="M32" i="16" a="1"/>
  <c r="M32" i="16" s="1"/>
  <c r="L32" i="16" a="1"/>
  <c r="L32" i="16" s="1"/>
  <c r="K32" i="16" a="1"/>
  <c r="K32" i="16" s="1"/>
  <c r="J32" i="16" a="1"/>
  <c r="J32" i="16" s="1"/>
  <c r="I32" i="16" a="1"/>
  <c r="I32" i="16" s="1"/>
  <c r="H32" i="16" a="1"/>
  <c r="H32" i="16" s="1"/>
  <c r="G32" i="16" a="1"/>
  <c r="G32" i="16" s="1"/>
  <c r="F32" i="16"/>
  <c r="E32" i="16"/>
  <c r="M31" i="16" a="1"/>
  <c r="M31" i="16" s="1"/>
  <c r="L31" i="16" a="1"/>
  <c r="L31" i="16" s="1"/>
  <c r="K31" i="16" a="1"/>
  <c r="K31" i="16" s="1"/>
  <c r="J31" i="16" a="1"/>
  <c r="J31" i="16" s="1"/>
  <c r="I31" i="16" a="1"/>
  <c r="I31" i="16" s="1"/>
  <c r="H31" i="16" a="1"/>
  <c r="H31" i="16" s="1"/>
  <c r="G31" i="16" a="1"/>
  <c r="G31" i="16" s="1"/>
  <c r="F31" i="16"/>
  <c r="E31" i="16"/>
  <c r="M30" i="16" a="1"/>
  <c r="M30" i="16" s="1"/>
  <c r="L30" i="16" a="1"/>
  <c r="L30" i="16" s="1"/>
  <c r="K30" i="16" a="1"/>
  <c r="K30" i="16" s="1"/>
  <c r="J30" i="16" a="1"/>
  <c r="J30" i="16" s="1"/>
  <c r="I30" i="16" a="1"/>
  <c r="I30" i="16" s="1"/>
  <c r="H30" i="16" a="1"/>
  <c r="H30" i="16" s="1"/>
  <c r="G30" i="16" a="1"/>
  <c r="G30" i="16" s="1"/>
  <c r="F30" i="16"/>
  <c r="E30" i="16"/>
  <c r="M29" i="16" a="1"/>
  <c r="M29" i="16" s="1"/>
  <c r="L29" i="16" a="1"/>
  <c r="L29" i="16" s="1"/>
  <c r="K29" i="16" a="1"/>
  <c r="K29" i="16" s="1"/>
  <c r="J29" i="16" a="1"/>
  <c r="J29" i="16" s="1"/>
  <c r="I29" i="16" a="1"/>
  <c r="I29" i="16" s="1"/>
  <c r="H29" i="16" a="1"/>
  <c r="H29" i="16" s="1"/>
  <c r="G29" i="16" a="1"/>
  <c r="G29" i="16" s="1"/>
  <c r="F29" i="16"/>
  <c r="E29" i="16"/>
  <c r="M28" i="16" a="1"/>
  <c r="M28" i="16" s="1"/>
  <c r="L28" i="16" a="1"/>
  <c r="L28" i="16" s="1"/>
  <c r="K28" i="16" a="1"/>
  <c r="K28" i="16" s="1"/>
  <c r="J28" i="16" a="1"/>
  <c r="J28" i="16" s="1"/>
  <c r="I28" i="16" a="1"/>
  <c r="I28" i="16" s="1"/>
  <c r="H28" i="16" a="1"/>
  <c r="H28" i="16" s="1"/>
  <c r="G28" i="16" a="1"/>
  <c r="G28" i="16" s="1"/>
  <c r="F28" i="16"/>
  <c r="E28" i="16"/>
  <c r="M27" i="16" a="1"/>
  <c r="M27" i="16"/>
  <c r="L27" i="16" a="1"/>
  <c r="L27" i="16" s="1"/>
  <c r="K27" i="16" a="1"/>
  <c r="K27" i="16" s="1"/>
  <c r="J27" i="16" a="1"/>
  <c r="J27" i="16" s="1"/>
  <c r="I27" i="16" a="1"/>
  <c r="I27" i="16" s="1"/>
  <c r="H27" i="16" a="1"/>
  <c r="H27" i="16" s="1"/>
  <c r="G27" i="16" a="1"/>
  <c r="G27" i="16" s="1"/>
  <c r="F27" i="16"/>
  <c r="E27" i="16"/>
  <c r="M26" i="16" a="1"/>
  <c r="M26" i="16" s="1"/>
  <c r="L26" i="16" a="1"/>
  <c r="L26" i="16" s="1"/>
  <c r="K26" i="16" a="1"/>
  <c r="K26" i="16" s="1"/>
  <c r="J26" i="16" a="1"/>
  <c r="J26" i="16" s="1"/>
  <c r="I26" i="16" a="1"/>
  <c r="I26" i="16" s="1"/>
  <c r="H26" i="16" a="1"/>
  <c r="H26" i="16" s="1"/>
  <c r="G26" i="16" a="1"/>
  <c r="G26" i="16" s="1"/>
  <c r="F26" i="16"/>
  <c r="E26" i="16"/>
  <c r="M25" i="16" a="1"/>
  <c r="M25" i="16" s="1"/>
  <c r="L25" i="16" a="1"/>
  <c r="L25" i="16" s="1"/>
  <c r="K25" i="16" a="1"/>
  <c r="K25" i="16" s="1"/>
  <c r="J25" i="16" a="1"/>
  <c r="J25" i="16" s="1"/>
  <c r="I25" i="16" a="1"/>
  <c r="I25" i="16" s="1"/>
  <c r="H25" i="16" a="1"/>
  <c r="H25" i="16" s="1"/>
  <c r="G25" i="16" a="1"/>
  <c r="G25" i="16" s="1"/>
  <c r="F25" i="16"/>
  <c r="E25" i="16"/>
  <c r="D25" i="16"/>
  <c r="G97" i="13"/>
  <c r="J92" i="13"/>
  <c r="J91" i="13"/>
  <c r="E75" i="13"/>
  <c r="D75" i="13"/>
  <c r="E74" i="13"/>
  <c r="D74" i="13"/>
  <c r="E73" i="13"/>
  <c r="D73" i="13"/>
  <c r="E72" i="13"/>
  <c r="D72" i="13"/>
  <c r="E71" i="13"/>
  <c r="D71" i="13"/>
  <c r="E70" i="13"/>
  <c r="D70" i="13"/>
  <c r="E69" i="13"/>
  <c r="D69" i="13"/>
  <c r="E68" i="13"/>
  <c r="D68" i="13"/>
  <c r="I57" i="13"/>
  <c r="D23" i="13" a="1"/>
  <c r="D23" i="13" s="1"/>
  <c r="I15" i="13"/>
  <c r="G149" i="12"/>
  <c r="D134" i="12" a="1"/>
  <c r="D134" i="12" s="1"/>
  <c r="I126" i="12"/>
  <c r="E112" i="12"/>
  <c r="E111" i="12"/>
  <c r="E110" i="12"/>
  <c r="E109" i="12"/>
  <c r="E108" i="12"/>
  <c r="E107" i="12"/>
  <c r="E106" i="12"/>
  <c r="E105" i="12"/>
  <c r="D102" i="12" a="1"/>
  <c r="D102" i="12" s="1"/>
  <c r="I97" i="12"/>
  <c r="G82" i="12"/>
  <c r="D59" i="12" a="1"/>
  <c r="D59" i="12" s="1"/>
  <c r="J51" i="12"/>
  <c r="G37" i="12" a="1"/>
  <c r="G37" i="12" s="1"/>
  <c r="F37" i="12" a="1"/>
  <c r="F37" i="12" s="1"/>
  <c r="G36" i="12" a="1"/>
  <c r="G36" i="12" s="1"/>
  <c r="F36" i="12" a="1"/>
  <c r="F36" i="12" s="1"/>
  <c r="G35" i="12" a="1"/>
  <c r="G35" i="12" s="1"/>
  <c r="F35" i="12" a="1"/>
  <c r="F35" i="12" s="1"/>
  <c r="G34" i="12" a="1"/>
  <c r="G34" i="12" s="1"/>
  <c r="F34" i="12" a="1"/>
  <c r="F34" i="12" s="1"/>
  <c r="G33" i="12" a="1"/>
  <c r="G33" i="12" s="1"/>
  <c r="F33" i="12" a="1"/>
  <c r="F33" i="12" s="1"/>
  <c r="G32" i="12" a="1"/>
  <c r="G32" i="12" s="1"/>
  <c r="F32" i="12" a="1"/>
  <c r="F32" i="12" s="1"/>
  <c r="G31" i="12" a="1"/>
  <c r="G31" i="12" s="1"/>
  <c r="F31" i="12" a="1"/>
  <c r="F31" i="12" s="1"/>
  <c r="G30" i="12" a="1"/>
  <c r="G30" i="12" s="1"/>
  <c r="F30" i="12" a="1"/>
  <c r="F30" i="12" s="1"/>
  <c r="G29" i="12" a="1"/>
  <c r="G29" i="12" s="1"/>
  <c r="F29" i="12" a="1"/>
  <c r="F29" i="12" s="1"/>
  <c r="G28" i="12" a="1"/>
  <c r="G28" i="12" s="1"/>
  <c r="F28" i="12" a="1"/>
  <c r="F28" i="12" s="1"/>
  <c r="G27" i="12" a="1"/>
  <c r="G27" i="12" s="1"/>
  <c r="F27" i="12" a="1"/>
  <c r="F27" i="12" s="1"/>
  <c r="G26" i="12" a="1"/>
  <c r="G26" i="12" s="1"/>
  <c r="F26" i="12" a="1"/>
  <c r="F26" i="12" s="1"/>
  <c r="G25" i="12" a="1"/>
  <c r="G25" i="12" s="1"/>
  <c r="F25" i="12" a="1"/>
  <c r="F25" i="12" s="1"/>
  <c r="G24" i="12" a="1"/>
  <c r="G24" i="12" s="1"/>
  <c r="F24" i="12" a="1"/>
  <c r="F24" i="12" s="1"/>
  <c r="G23" i="12" a="1"/>
  <c r="G23" i="12" s="1"/>
  <c r="F23" i="12" a="1"/>
  <c r="F23" i="12" s="1"/>
  <c r="G22" i="12" a="1"/>
  <c r="G22" i="12" s="1"/>
  <c r="F22" i="12" a="1"/>
  <c r="F22" i="12" s="1"/>
  <c r="G21" i="12" a="1"/>
  <c r="G21" i="12" s="1"/>
  <c r="F21" i="12" a="1"/>
  <c r="F21" i="12" s="1"/>
  <c r="G20" i="12" a="1"/>
  <c r="G20" i="12" s="1"/>
  <c r="F20" i="12" a="1"/>
  <c r="F20" i="12" s="1"/>
  <c r="G19" i="12" a="1"/>
  <c r="G19" i="12" s="1"/>
  <c r="F19" i="12" a="1"/>
  <c r="F19" i="12" s="1"/>
  <c r="D19" i="12" a="1"/>
  <c r="D19" i="12" s="1"/>
  <c r="G25" i="11" a="1"/>
  <c r="G25" i="11" s="1"/>
  <c r="F25" i="11" a="1"/>
  <c r="F25" i="11" s="1"/>
  <c r="E25" i="11" a="1"/>
  <c r="E25" i="11" s="1"/>
  <c r="D25" i="11" a="1"/>
  <c r="D25" i="11" s="1"/>
  <c r="I20" i="11"/>
  <c r="I19" i="11"/>
  <c r="I18" i="11"/>
  <c r="I16" i="11"/>
  <c r="I15" i="11"/>
  <c r="G53" i="10"/>
  <c r="K46" i="10"/>
  <c r="H20" i="10" a="1"/>
  <c r="H20" i="10" s="1"/>
  <c r="G20" i="10" a="1"/>
  <c r="G20" i="10" s="1"/>
  <c r="F20" i="10" a="1"/>
  <c r="F20" i="10" s="1"/>
  <c r="E20" i="10" a="1"/>
  <c r="E20" i="10" s="1"/>
  <c r="D20" i="10" a="1"/>
  <c r="D20" i="10" s="1"/>
  <c r="D58" i="9" a="1"/>
  <c r="D58" i="9" s="1"/>
  <c r="I51" i="9"/>
  <c r="I50" i="9"/>
  <c r="F37" i="9" a="1"/>
  <c r="F37" i="9" s="1"/>
  <c r="E37" i="9" a="1"/>
  <c r="E37" i="9" s="1"/>
  <c r="F36" i="9" a="1"/>
  <c r="F36" i="9" s="1"/>
  <c r="E36" i="9" a="1"/>
  <c r="E36" i="9" s="1"/>
  <c r="F35" i="9" a="1"/>
  <c r="F35" i="9" s="1"/>
  <c r="E35" i="9" a="1"/>
  <c r="E35" i="9" s="1"/>
  <c r="F34" i="9" a="1"/>
  <c r="F34" i="9" s="1"/>
  <c r="E34" i="9" a="1"/>
  <c r="E34" i="9" s="1"/>
  <c r="F33" i="9" a="1"/>
  <c r="F33" i="9" s="1"/>
  <c r="E33" i="9" a="1"/>
  <c r="E33" i="9" s="1"/>
  <c r="F32" i="9" a="1"/>
  <c r="F32" i="9" s="1"/>
  <c r="E32" i="9" a="1"/>
  <c r="E32" i="9" s="1"/>
  <c r="F31" i="9" a="1"/>
  <c r="F31" i="9" s="1"/>
  <c r="E31" i="9" a="1"/>
  <c r="E31" i="9" s="1"/>
  <c r="F30" i="9" a="1"/>
  <c r="F30" i="9" s="1"/>
  <c r="E30" i="9" a="1"/>
  <c r="E30" i="9" s="1"/>
  <c r="F29" i="9" a="1"/>
  <c r="F29" i="9" s="1"/>
  <c r="E29" i="9" a="1"/>
  <c r="E29" i="9" s="1"/>
  <c r="F28" i="9" a="1"/>
  <c r="F28" i="9" s="1"/>
  <c r="E28" i="9" a="1"/>
  <c r="E28" i="9" s="1"/>
  <c r="F27" i="9" a="1"/>
  <c r="F27" i="9" s="1"/>
  <c r="E27" i="9" a="1"/>
  <c r="E27" i="9" s="1"/>
  <c r="F26" i="9" a="1"/>
  <c r="F26" i="9" s="1"/>
  <c r="E26" i="9" a="1"/>
  <c r="E26" i="9" s="1"/>
  <c r="F25" i="9" a="1"/>
  <c r="F25" i="9" s="1"/>
  <c r="E25" i="9" a="1"/>
  <c r="E25" i="9" s="1"/>
  <c r="F24" i="9" a="1"/>
  <c r="F24" i="9" s="1"/>
  <c r="E24" i="9" a="1"/>
  <c r="E24" i="9" s="1"/>
  <c r="F23" i="9" a="1"/>
  <c r="F23" i="9" s="1"/>
  <c r="E23" i="9" a="1"/>
  <c r="E23" i="9" s="1"/>
  <c r="F22" i="9" a="1"/>
  <c r="F22" i="9" s="1"/>
  <c r="E22" i="9" a="1"/>
  <c r="E22" i="9" s="1"/>
  <c r="F21" i="9" a="1"/>
  <c r="F21" i="9" s="1"/>
  <c r="E21" i="9" a="1"/>
  <c r="E21" i="9" s="1"/>
  <c r="F20" i="9" a="1"/>
  <c r="F20" i="9" s="1"/>
  <c r="E20" i="9" a="1"/>
  <c r="E20" i="9" s="1"/>
  <c r="F19" i="9" a="1"/>
  <c r="F19" i="9" s="1"/>
  <c r="E19" i="9" a="1"/>
  <c r="E19" i="9" s="1"/>
  <c r="D19" i="9" a="1"/>
  <c r="D19" i="9" s="1"/>
  <c r="P91" i="8"/>
  <c r="G83" i="8"/>
  <c r="N82" i="8" a="1"/>
  <c r="N82" i="8" s="1"/>
  <c r="N77" i="8" a="1"/>
  <c r="N77" i="8" s="1"/>
  <c r="S69" i="8"/>
  <c r="D60" i="8" a="1"/>
  <c r="D60" i="8" s="1"/>
  <c r="W54" i="8"/>
  <c r="W53" i="8"/>
  <c r="I51" i="8"/>
  <c r="P50" i="8" a="1"/>
  <c r="P50" i="8" s="1"/>
  <c r="O50" i="8" a="1"/>
  <c r="O50" i="8" s="1"/>
  <c r="N50" i="8" a="1"/>
  <c r="N50" i="8" s="1"/>
  <c r="W47" i="8"/>
  <c r="W46" i="8"/>
  <c r="P45" i="8" a="1"/>
  <c r="P45" i="8" s="1"/>
  <c r="O45" i="8" a="1"/>
  <c r="O45" i="8" s="1"/>
  <c r="N45" i="8" a="1"/>
  <c r="N45" i="8" s="1"/>
  <c r="F37" i="8" a="1"/>
  <c r="F37" i="8" s="1"/>
  <c r="E37" i="8" a="1"/>
  <c r="E37" i="8" s="1"/>
  <c r="F36" i="8" a="1"/>
  <c r="F36" i="8" s="1"/>
  <c r="E36" i="8" a="1"/>
  <c r="E36" i="8" s="1"/>
  <c r="F35" i="8" a="1"/>
  <c r="F35" i="8" s="1"/>
  <c r="E35" i="8" a="1"/>
  <c r="E35" i="8" s="1"/>
  <c r="F34" i="8" a="1"/>
  <c r="F34" i="8" s="1"/>
  <c r="E34" i="8" a="1"/>
  <c r="E34" i="8" s="1"/>
  <c r="F33" i="8" a="1"/>
  <c r="F33" i="8" s="1"/>
  <c r="E33" i="8" a="1"/>
  <c r="E33" i="8" s="1"/>
  <c r="F32" i="8" a="1"/>
  <c r="F32" i="8" s="1"/>
  <c r="E32" i="8" a="1"/>
  <c r="E32" i="8" s="1"/>
  <c r="F31" i="8" a="1"/>
  <c r="F31" i="8" s="1"/>
  <c r="E31" i="8" a="1"/>
  <c r="E31" i="8" s="1"/>
  <c r="F30" i="8" a="1"/>
  <c r="F30" i="8" s="1"/>
  <c r="E30" i="8" a="1"/>
  <c r="E30" i="8" s="1"/>
  <c r="F29" i="8" a="1"/>
  <c r="F29" i="8" s="1"/>
  <c r="E29" i="8" a="1"/>
  <c r="E29" i="8" s="1"/>
  <c r="F28" i="8" a="1"/>
  <c r="F28" i="8" s="1"/>
  <c r="E28" i="8" a="1"/>
  <c r="E28" i="8" s="1"/>
  <c r="F27" i="8" a="1"/>
  <c r="F27" i="8" s="1"/>
  <c r="E27" i="8" a="1"/>
  <c r="E27" i="8" s="1"/>
  <c r="F26" i="8" a="1"/>
  <c r="F26" i="8" s="1"/>
  <c r="E26" i="8" a="1"/>
  <c r="E26" i="8" s="1"/>
  <c r="F25" i="8" a="1"/>
  <c r="F25" i="8" s="1"/>
  <c r="E25" i="8" a="1"/>
  <c r="E25" i="8" s="1"/>
  <c r="F24" i="8" a="1"/>
  <c r="F24" i="8" s="1"/>
  <c r="E24" i="8" a="1"/>
  <c r="E24" i="8" s="1"/>
  <c r="F23" i="8" a="1"/>
  <c r="F23" i="8" s="1"/>
  <c r="E23" i="8" a="1"/>
  <c r="E23" i="8" s="1"/>
  <c r="F22" i="8" a="1"/>
  <c r="F22" i="8" s="1"/>
  <c r="E22" i="8" a="1"/>
  <c r="E22" i="8" s="1"/>
  <c r="F21" i="8" a="1"/>
  <c r="F21" i="8" s="1"/>
  <c r="E21" i="8" a="1"/>
  <c r="E21" i="8" s="1"/>
  <c r="F20" i="8" a="1"/>
  <c r="F20" i="8" s="1"/>
  <c r="E20" i="8" a="1"/>
  <c r="E20" i="8" s="1"/>
  <c r="F19" i="8" a="1"/>
  <c r="F19" i="8" s="1"/>
  <c r="E19" i="8" a="1"/>
  <c r="E19" i="8" s="1"/>
  <c r="D19" i="8" a="1"/>
  <c r="D19" i="8" s="1"/>
  <c r="J21" i="15" a="1"/>
  <c r="J21" i="15" s="1"/>
  <c r="G21" i="15" a="1"/>
  <c r="G21" i="15" s="1"/>
  <c r="J20" i="15" a="1"/>
  <c r="J20" i="15" s="1"/>
  <c r="G20" i="15" a="1"/>
  <c r="G20" i="15" s="1"/>
  <c r="J19" i="15" a="1"/>
  <c r="J19" i="15" s="1"/>
  <c r="G19" i="15" a="1"/>
  <c r="G19" i="15" s="1"/>
  <c r="J18" i="15" a="1"/>
  <c r="J18" i="15" s="1"/>
  <c r="G18" i="15" a="1"/>
  <c r="G18" i="15" s="1"/>
  <c r="J17" i="15" a="1"/>
  <c r="J17" i="15" s="1"/>
  <c r="G17" i="15" a="1"/>
  <c r="G17" i="15" s="1"/>
  <c r="P28" i="7"/>
  <c r="P27" i="7"/>
  <c r="P26" i="7"/>
  <c r="X22" i="7"/>
  <c r="W22" i="7"/>
  <c r="V22" i="7"/>
  <c r="U22" i="7" a="1"/>
  <c r="U22" i="7" s="1"/>
  <c r="T22" i="7" a="1"/>
  <c r="T22" i="7" s="1"/>
  <c r="S22" i="7" a="1"/>
  <c r="S22" i="7" s="1"/>
  <c r="R22" i="7" a="1"/>
  <c r="R22" i="7" s="1"/>
  <c r="Q22" i="7" a="1"/>
  <c r="Q22" i="7" s="1"/>
  <c r="P22" i="7" a="1"/>
  <c r="P22" i="7" s="1"/>
  <c r="O22" i="7" a="1"/>
  <c r="O22" i="7" s="1"/>
  <c r="N22" i="7" a="1"/>
  <c r="N22" i="7" s="1"/>
  <c r="M22" i="7" a="1"/>
  <c r="M22" i="7" s="1"/>
  <c r="L22" i="7" a="1"/>
  <c r="L22" i="7" s="1"/>
  <c r="K22" i="7" a="1"/>
  <c r="K22" i="7" s="1"/>
  <c r="J22" i="7" a="1"/>
  <c r="J22" i="7" s="1"/>
  <c r="G22" i="7"/>
  <c r="F22" i="7"/>
  <c r="X21" i="7"/>
  <c r="W21" i="7"/>
  <c r="V21" i="7"/>
  <c r="U21" i="7" a="1"/>
  <c r="U21" i="7" s="1"/>
  <c r="T21" i="7" a="1"/>
  <c r="T21" i="7" s="1"/>
  <c r="S21" i="7" a="1"/>
  <c r="S21" i="7" s="1"/>
  <c r="R21" i="7" a="1"/>
  <c r="R21" i="7" s="1"/>
  <c r="Q21" i="7" a="1"/>
  <c r="Q21" i="7" s="1"/>
  <c r="P21" i="7" a="1"/>
  <c r="P21" i="7" s="1"/>
  <c r="O21" i="7" a="1"/>
  <c r="O21" i="7" s="1"/>
  <c r="N21" i="7" a="1"/>
  <c r="N21" i="7" s="1"/>
  <c r="M21" i="7" a="1"/>
  <c r="M21" i="7" s="1"/>
  <c r="L21" i="7" a="1"/>
  <c r="L21" i="7" s="1"/>
  <c r="K21" i="7" a="1"/>
  <c r="K21" i="7" s="1"/>
  <c r="J21" i="7" a="1"/>
  <c r="J21" i="7" s="1"/>
  <c r="G21" i="7"/>
  <c r="F21" i="7"/>
  <c r="X20" i="7"/>
  <c r="W20" i="7"/>
  <c r="V20" i="7"/>
  <c r="U20" i="7" a="1"/>
  <c r="U20" i="7" s="1"/>
  <c r="T20" i="7" a="1"/>
  <c r="T20" i="7" s="1"/>
  <c r="S20" i="7" a="1"/>
  <c r="S20" i="7" s="1"/>
  <c r="R20" i="7" a="1"/>
  <c r="R20" i="7" s="1"/>
  <c r="Q20" i="7" a="1"/>
  <c r="Q20" i="7" s="1"/>
  <c r="P20" i="7" a="1"/>
  <c r="P20" i="7" s="1"/>
  <c r="O20" i="7" a="1"/>
  <c r="O20" i="7" s="1"/>
  <c r="N20" i="7" a="1"/>
  <c r="N20" i="7" s="1"/>
  <c r="M20" i="7" a="1"/>
  <c r="M20" i="7" s="1"/>
  <c r="L20" i="7" a="1"/>
  <c r="L20" i="7" s="1"/>
  <c r="K20" i="7" a="1"/>
  <c r="K20" i="7" s="1"/>
  <c r="J20" i="7" a="1"/>
  <c r="J20" i="7" s="1"/>
  <c r="G20" i="7"/>
  <c r="F20" i="7"/>
  <c r="X19" i="7"/>
  <c r="W19" i="7"/>
  <c r="V19" i="7"/>
  <c r="U19" i="7" a="1"/>
  <c r="U19" i="7" s="1"/>
  <c r="T19" i="7" a="1"/>
  <c r="T19" i="7" s="1"/>
  <c r="S19" i="7" a="1"/>
  <c r="S19" i="7" s="1"/>
  <c r="R19" i="7" a="1"/>
  <c r="R19" i="7" s="1"/>
  <c r="Q19" i="7" a="1"/>
  <c r="Q19" i="7" s="1"/>
  <c r="P19" i="7" a="1"/>
  <c r="P19" i="7" s="1"/>
  <c r="O19" i="7" a="1"/>
  <c r="O19" i="7" s="1"/>
  <c r="N19" i="7" a="1"/>
  <c r="N19" i="7" s="1"/>
  <c r="M19" i="7" a="1"/>
  <c r="M19" i="7" s="1"/>
  <c r="L19" i="7" a="1"/>
  <c r="L19" i="7" s="1"/>
  <c r="K19" i="7" a="1"/>
  <c r="K19" i="7" s="1"/>
  <c r="J19" i="7" a="1"/>
  <c r="J19" i="7" s="1"/>
  <c r="G19" i="7"/>
  <c r="F19" i="7"/>
  <c r="X18" i="7"/>
  <c r="W18" i="7"/>
  <c r="V18" i="7"/>
  <c r="U18" i="7" a="1"/>
  <c r="U18" i="7" s="1"/>
  <c r="T18" i="7" a="1"/>
  <c r="T18" i="7" s="1"/>
  <c r="S18" i="7" a="1"/>
  <c r="S18" i="7" s="1"/>
  <c r="R18" i="7" a="1"/>
  <c r="R18" i="7" s="1"/>
  <c r="Q18" i="7" a="1"/>
  <c r="Q18" i="7" s="1"/>
  <c r="P18" i="7" a="1"/>
  <c r="P18" i="7" s="1"/>
  <c r="O18" i="7" a="1"/>
  <c r="O18" i="7" s="1"/>
  <c r="N18" i="7" a="1"/>
  <c r="N18" i="7" s="1"/>
  <c r="M18" i="7" a="1"/>
  <c r="M18" i="7" s="1"/>
  <c r="L18" i="7" a="1"/>
  <c r="L18" i="7" s="1"/>
  <c r="K18" i="7" a="1"/>
  <c r="K18" i="7" s="1"/>
  <c r="J18" i="7" a="1"/>
  <c r="J18" i="7" s="1"/>
  <c r="G18" i="7"/>
  <c r="F18" i="7"/>
  <c r="E29" i="21"/>
  <c r="E13" i="21"/>
  <c r="E139" i="18"/>
  <c r="G138" i="18"/>
  <c r="E138" i="18"/>
  <c r="G137" i="18"/>
  <c r="E137" i="18"/>
  <c r="D137" i="18"/>
  <c r="G136" i="18"/>
  <c r="E136" i="18"/>
  <c r="D136" i="18"/>
  <c r="G135" i="18"/>
  <c r="E135" i="18"/>
  <c r="D135" i="18"/>
  <c r="G134" i="18"/>
  <c r="E134" i="18"/>
  <c r="D134" i="18"/>
  <c r="G133" i="18"/>
  <c r="F133" i="18"/>
  <c r="E133" i="18"/>
  <c r="D133" i="18"/>
  <c r="I132" i="18"/>
  <c r="G132" i="18"/>
  <c r="F132" i="18"/>
  <c r="E132" i="18"/>
  <c r="D132" i="18"/>
  <c r="I131" i="18"/>
  <c r="H131" i="18"/>
  <c r="G131" i="18"/>
  <c r="F131" i="18"/>
  <c r="E131" i="18"/>
  <c r="D131" i="18"/>
  <c r="F120" i="18" a="1"/>
  <c r="F120" i="18" s="1"/>
  <c r="E120" i="18" a="1"/>
  <c r="E120" i="18" s="1"/>
  <c r="D120" i="18" a="1"/>
  <c r="D120" i="18" s="1"/>
  <c r="F119" i="18" a="1"/>
  <c r="F119" i="18" s="1"/>
  <c r="E119" i="18" a="1"/>
  <c r="E119" i="18" s="1"/>
  <c r="D119" i="18" a="1"/>
  <c r="D119" i="18" s="1"/>
  <c r="F118" i="18" a="1"/>
  <c r="F118" i="18" s="1"/>
  <c r="E118" i="18" a="1"/>
  <c r="E118" i="18" s="1"/>
  <c r="D118" i="18" a="1"/>
  <c r="D118" i="18" s="1"/>
  <c r="F117" i="18" a="1"/>
  <c r="F117" i="18" s="1"/>
  <c r="E117" i="18" a="1"/>
  <c r="E117" i="18" s="1"/>
  <c r="D117" i="18" a="1"/>
  <c r="D117" i="18" s="1"/>
  <c r="F116" i="18" a="1"/>
  <c r="F116" i="18" s="1"/>
  <c r="E116" i="18" a="1"/>
  <c r="E116" i="18" s="1"/>
  <c r="D116" i="18" a="1"/>
  <c r="D116" i="18" s="1"/>
  <c r="F115" i="18" a="1"/>
  <c r="F115" i="18" s="1"/>
  <c r="E115" i="18" a="1"/>
  <c r="E115" i="18" s="1"/>
  <c r="D115" i="18" a="1"/>
  <c r="D115" i="18" s="1"/>
  <c r="F114" i="18" a="1"/>
  <c r="F114" i="18" s="1"/>
  <c r="E114" i="18" a="1"/>
  <c r="E114" i="18" s="1"/>
  <c r="D114" i="18" a="1"/>
  <c r="D114" i="18" s="1"/>
  <c r="G113" i="18" a="1"/>
  <c r="G113" i="18" s="1"/>
  <c r="F113" i="18" a="1"/>
  <c r="F113" i="18" s="1"/>
  <c r="E113" i="18" a="1"/>
  <c r="E113" i="18" s="1"/>
  <c r="D113" i="18" a="1"/>
  <c r="D113" i="18" s="1"/>
  <c r="D110" i="18" a="1"/>
  <c r="D110" i="18" s="1"/>
  <c r="D109" i="18" a="1"/>
  <c r="D109" i="18" s="1"/>
  <c r="D108" i="18" a="1"/>
  <c r="D108" i="18" s="1"/>
  <c r="D107" i="18" a="1"/>
  <c r="D107" i="18" s="1"/>
  <c r="J104" i="18" a="1"/>
  <c r="J104" i="18" s="1"/>
  <c r="I104" i="18" a="1"/>
  <c r="I104" i="18" s="1"/>
  <c r="H104" i="18" a="1"/>
  <c r="H104" i="18" s="1"/>
  <c r="G104" i="18" a="1"/>
  <c r="G104" i="18" s="1"/>
  <c r="F104" i="18" a="1"/>
  <c r="F104" i="18" s="1"/>
  <c r="E104" i="18" a="1"/>
  <c r="E104" i="18" s="1"/>
  <c r="D104" i="18" a="1"/>
  <c r="D104" i="18" s="1"/>
  <c r="J103" i="18" a="1"/>
  <c r="J103" i="18" s="1"/>
  <c r="I103" i="18" a="1"/>
  <c r="I103" i="18" s="1"/>
  <c r="H103" i="18" a="1"/>
  <c r="H103" i="18" s="1"/>
  <c r="G103" i="18" a="1"/>
  <c r="G103" i="18" s="1"/>
  <c r="F103" i="18" a="1"/>
  <c r="F103" i="18" s="1"/>
  <c r="E103" i="18" a="1"/>
  <c r="E103" i="18" s="1"/>
  <c r="D103" i="18" a="1"/>
  <c r="D103" i="18" s="1"/>
  <c r="J102" i="18" a="1"/>
  <c r="J102" i="18" s="1"/>
  <c r="I102" i="18" a="1"/>
  <c r="I102" i="18" s="1"/>
  <c r="H102" i="18" a="1"/>
  <c r="H102" i="18" s="1"/>
  <c r="G102" i="18" a="1"/>
  <c r="G102" i="18" s="1"/>
  <c r="F102" i="18" a="1"/>
  <c r="F102" i="18" s="1"/>
  <c r="E102" i="18" a="1"/>
  <c r="E102" i="18" s="1"/>
  <c r="D102" i="18" a="1"/>
  <c r="D102" i="18" s="1"/>
  <c r="J101" i="18" a="1"/>
  <c r="J101" i="18" s="1"/>
  <c r="I101" i="18" a="1"/>
  <c r="I101" i="18" s="1"/>
  <c r="H101" i="18" a="1"/>
  <c r="H101" i="18" s="1"/>
  <c r="G101" i="18" a="1"/>
  <c r="G101" i="18" s="1"/>
  <c r="F101" i="18" a="1"/>
  <c r="F101" i="18" s="1"/>
  <c r="E101" i="18" a="1"/>
  <c r="E101" i="18" s="1"/>
  <c r="D101" i="18" a="1"/>
  <c r="D101" i="18" s="1"/>
  <c r="J100" i="18" a="1"/>
  <c r="J100" i="18" s="1"/>
  <c r="I100" i="18" a="1"/>
  <c r="I100" i="18" s="1"/>
  <c r="H100" i="18" a="1"/>
  <c r="H100" i="18" s="1"/>
  <c r="G100" i="18" a="1"/>
  <c r="G100" i="18" s="1"/>
  <c r="F100" i="18" a="1"/>
  <c r="F100" i="18" s="1"/>
  <c r="E100" i="18" a="1"/>
  <c r="E100" i="18" s="1"/>
  <c r="D100" i="18" a="1"/>
  <c r="D100" i="18" s="1"/>
  <c r="J99" i="18" a="1"/>
  <c r="J99" i="18" s="1"/>
  <c r="I99" i="18" a="1"/>
  <c r="I99" i="18" s="1"/>
  <c r="H99" i="18" a="1"/>
  <c r="H99" i="18" s="1"/>
  <c r="G99" i="18" a="1"/>
  <c r="G99" i="18" s="1"/>
  <c r="F99" i="18" a="1"/>
  <c r="F99" i="18" s="1"/>
  <c r="E99" i="18" a="1"/>
  <c r="E99" i="18" s="1"/>
  <c r="D99" i="18" a="1"/>
  <c r="D99" i="18" s="1"/>
  <c r="J98" i="18" a="1"/>
  <c r="J98" i="18" s="1"/>
  <c r="I98" i="18" a="1"/>
  <c r="I98" i="18" s="1"/>
  <c r="H98" i="18" a="1"/>
  <c r="H98" i="18" s="1"/>
  <c r="G98" i="18" a="1"/>
  <c r="G98" i="18" s="1"/>
  <c r="F98" i="18" a="1"/>
  <c r="F98" i="18" s="1"/>
  <c r="E98" i="18" a="1"/>
  <c r="E98" i="18" s="1"/>
  <c r="D98" i="18" a="1"/>
  <c r="D98" i="18" s="1"/>
  <c r="J97" i="18" a="1"/>
  <c r="J97" i="18" s="1"/>
  <c r="I97" i="18" a="1"/>
  <c r="I97" i="18" s="1"/>
  <c r="H97" i="18" a="1"/>
  <c r="H97" i="18" s="1"/>
  <c r="G97" i="18" a="1"/>
  <c r="G97" i="18" s="1"/>
  <c r="F97" i="18" a="1"/>
  <c r="F97" i="18" s="1"/>
  <c r="E97" i="18" a="1"/>
  <c r="E97" i="18" s="1"/>
  <c r="D97" i="18" a="1"/>
  <c r="D97" i="18" s="1"/>
  <c r="J96" i="18" a="1"/>
  <c r="J96" i="18" s="1"/>
  <c r="I96" i="18" a="1"/>
  <c r="I96" i="18" s="1"/>
  <c r="H96" i="18" a="1"/>
  <c r="H96" i="18" s="1"/>
  <c r="G96" i="18" a="1"/>
  <c r="G96" i="18" s="1"/>
  <c r="F96" i="18" a="1"/>
  <c r="F96" i="18" s="1"/>
  <c r="E96" i="18" a="1"/>
  <c r="E96" i="18" s="1"/>
  <c r="D96" i="18" a="1"/>
  <c r="D96" i="18" s="1"/>
  <c r="J95" i="18" a="1"/>
  <c r="J95" i="18" s="1"/>
  <c r="I95" i="18" a="1"/>
  <c r="I95" i="18" s="1"/>
  <c r="H95" i="18" a="1"/>
  <c r="H95" i="18" s="1"/>
  <c r="G95" i="18" a="1"/>
  <c r="G95" i="18" s="1"/>
  <c r="F95" i="18" a="1"/>
  <c r="F95" i="18" s="1"/>
  <c r="E95" i="18" a="1"/>
  <c r="E95" i="18" s="1"/>
  <c r="D95" i="18" a="1"/>
  <c r="D95" i="18" s="1"/>
  <c r="J94" i="18" a="1"/>
  <c r="J94" i="18" s="1"/>
  <c r="I94" i="18" a="1"/>
  <c r="I94" i="18" s="1"/>
  <c r="H94" i="18" a="1"/>
  <c r="H94" i="18" s="1"/>
  <c r="G94" i="18" a="1"/>
  <c r="G94" i="18" s="1"/>
  <c r="F94" i="18" a="1"/>
  <c r="F94" i="18" s="1"/>
  <c r="E94" i="18" a="1"/>
  <c r="E94" i="18" s="1"/>
  <c r="D94" i="18" a="1"/>
  <c r="D94" i="18" s="1"/>
  <c r="J93" i="18" a="1"/>
  <c r="J93" i="18" s="1"/>
  <c r="I93" i="18" a="1"/>
  <c r="I93" i="18" s="1"/>
  <c r="H93" i="18" a="1"/>
  <c r="H93" i="18" s="1"/>
  <c r="G93" i="18" a="1"/>
  <c r="G93" i="18" s="1"/>
  <c r="F93" i="18" a="1"/>
  <c r="F93" i="18" s="1"/>
  <c r="E93" i="18" a="1"/>
  <c r="E93" i="18" s="1"/>
  <c r="D93" i="18" a="1"/>
  <c r="D93" i="18" s="1"/>
  <c r="J92" i="18" a="1"/>
  <c r="J92" i="18" s="1"/>
  <c r="I92" i="18" a="1"/>
  <c r="I92" i="18" s="1"/>
  <c r="H92" i="18" a="1"/>
  <c r="H92" i="18" s="1"/>
  <c r="G92" i="18" a="1"/>
  <c r="G92" i="18" s="1"/>
  <c r="F92" i="18" a="1"/>
  <c r="F92" i="18" s="1"/>
  <c r="E92" i="18" a="1"/>
  <c r="E92" i="18" s="1"/>
  <c r="D92" i="18" a="1"/>
  <c r="D92" i="18" s="1"/>
  <c r="J91" i="18" a="1"/>
  <c r="J91" i="18" s="1"/>
  <c r="I91" i="18" a="1"/>
  <c r="I91" i="18" s="1"/>
  <c r="H91" i="18" a="1"/>
  <c r="H91" i="18" s="1"/>
  <c r="G91" i="18" a="1"/>
  <c r="G91" i="18" s="1"/>
  <c r="F91" i="18" a="1"/>
  <c r="F91" i="18" s="1"/>
  <c r="E91" i="18" a="1"/>
  <c r="E91" i="18" s="1"/>
  <c r="D91" i="18" a="1"/>
  <c r="D91" i="18" s="1"/>
  <c r="J90" i="18" a="1"/>
  <c r="J90" i="18" s="1"/>
  <c r="I90" i="18" a="1"/>
  <c r="I90" i="18" s="1"/>
  <c r="H90" i="18" a="1"/>
  <c r="H90" i="18" s="1"/>
  <c r="G90" i="18" a="1"/>
  <c r="G90" i="18" s="1"/>
  <c r="F90" i="18" a="1"/>
  <c r="F90" i="18" s="1"/>
  <c r="E90" i="18" a="1"/>
  <c r="E90" i="18" s="1"/>
  <c r="D90" i="18" a="1"/>
  <c r="D90" i="18" s="1"/>
  <c r="J89" i="18" a="1"/>
  <c r="J89" i="18" s="1"/>
  <c r="I89" i="18" a="1"/>
  <c r="I89" i="18" s="1"/>
  <c r="H89" i="18" a="1"/>
  <c r="H89" i="18" s="1"/>
  <c r="G89" i="18" a="1"/>
  <c r="G89" i="18" s="1"/>
  <c r="F89" i="18" a="1"/>
  <c r="F89" i="18" s="1"/>
  <c r="E89" i="18" a="1"/>
  <c r="E89" i="18" s="1"/>
  <c r="D89" i="18" a="1"/>
  <c r="D89" i="18" s="1"/>
  <c r="J88" i="18" a="1"/>
  <c r="J88" i="18" s="1"/>
  <c r="I88" i="18" a="1"/>
  <c r="I88" i="18" s="1"/>
  <c r="H88" i="18" a="1"/>
  <c r="H88" i="18" s="1"/>
  <c r="G88" i="18" a="1"/>
  <c r="G88" i="18" s="1"/>
  <c r="F88" i="18" a="1"/>
  <c r="F88" i="18" s="1"/>
  <c r="E88" i="18" a="1"/>
  <c r="E88" i="18" s="1"/>
  <c r="D88" i="18" a="1"/>
  <c r="D88" i="18" s="1"/>
  <c r="J87" i="18" a="1"/>
  <c r="J87" i="18" s="1"/>
  <c r="I87" i="18" a="1"/>
  <c r="I87" i="18" s="1"/>
  <c r="H87" i="18" a="1"/>
  <c r="H87" i="18" s="1"/>
  <c r="G87" i="18" a="1"/>
  <c r="G87" i="18" s="1"/>
  <c r="F87" i="18" a="1"/>
  <c r="F87" i="18" s="1"/>
  <c r="E87" i="18" a="1"/>
  <c r="E87" i="18" s="1"/>
  <c r="D87" i="18" a="1"/>
  <c r="D87" i="18" s="1"/>
  <c r="D84" i="18" a="1"/>
  <c r="D84" i="18" s="1"/>
  <c r="D83" i="18" a="1"/>
  <c r="D83" i="18" s="1"/>
  <c r="D82" i="18" a="1"/>
  <c r="D82" i="18" s="1"/>
  <c r="D81" i="18" a="1"/>
  <c r="D81" i="18" s="1"/>
  <c r="K77" i="18" a="1"/>
  <c r="K77" i="18" s="1"/>
  <c r="J77" i="18" a="1"/>
  <c r="J77" i="18" s="1"/>
  <c r="I77" i="18" a="1"/>
  <c r="I77" i="18" s="1"/>
  <c r="H77" i="18" a="1"/>
  <c r="H77" i="18" s="1"/>
  <c r="G77" i="18" a="1"/>
  <c r="G77" i="18" s="1"/>
  <c r="F77" i="18" a="1"/>
  <c r="F77" i="18" s="1"/>
  <c r="E77" i="18" a="1"/>
  <c r="E77" i="18" s="1"/>
  <c r="D77" i="18" a="1"/>
  <c r="D77" i="18" s="1"/>
  <c r="K76" i="18" a="1"/>
  <c r="K76" i="18" s="1"/>
  <c r="J76" i="18" a="1"/>
  <c r="J76" i="18" s="1"/>
  <c r="I76" i="18" a="1"/>
  <c r="I76" i="18" s="1"/>
  <c r="H76" i="18" a="1"/>
  <c r="H76" i="18" s="1"/>
  <c r="G76" i="18" a="1"/>
  <c r="G76" i="18" s="1"/>
  <c r="F76" i="18" a="1"/>
  <c r="F76" i="18" s="1"/>
  <c r="E76" i="18" a="1"/>
  <c r="E76" i="18" s="1"/>
  <c r="D76" i="18" a="1"/>
  <c r="D76" i="18" s="1"/>
  <c r="K75" i="18" a="1"/>
  <c r="K75" i="18" s="1"/>
  <c r="J75" i="18" a="1"/>
  <c r="J75" i="18" s="1"/>
  <c r="I75" i="18" a="1"/>
  <c r="I75" i="18" s="1"/>
  <c r="H75" i="18" a="1"/>
  <c r="H75" i="18" s="1"/>
  <c r="G75" i="18" a="1"/>
  <c r="G75" i="18" s="1"/>
  <c r="F75" i="18" a="1"/>
  <c r="F75" i="18" s="1"/>
  <c r="E75" i="18" a="1"/>
  <c r="E75" i="18" s="1"/>
  <c r="D75" i="18" a="1"/>
  <c r="D75" i="18" s="1"/>
  <c r="K74" i="18" a="1"/>
  <c r="K74" i="18" s="1"/>
  <c r="J74" i="18" a="1"/>
  <c r="J74" i="18" s="1"/>
  <c r="I74" i="18" a="1"/>
  <c r="I74" i="18" s="1"/>
  <c r="H74" i="18" a="1"/>
  <c r="H74" i="18" s="1"/>
  <c r="G74" i="18" a="1"/>
  <c r="G74" i="18" s="1"/>
  <c r="F74" i="18" a="1"/>
  <c r="F74" i="18" s="1"/>
  <c r="E74" i="18" a="1"/>
  <c r="E74" i="18" s="1"/>
  <c r="D74" i="18" a="1"/>
  <c r="D74" i="18" s="1"/>
  <c r="K73" i="18" a="1"/>
  <c r="K73" i="18" s="1"/>
  <c r="J73" i="18" a="1"/>
  <c r="J73" i="18" s="1"/>
  <c r="I73" i="18" a="1"/>
  <c r="I73" i="18" s="1"/>
  <c r="H73" i="18" a="1"/>
  <c r="H73" i="18" s="1"/>
  <c r="G73" i="18" a="1"/>
  <c r="G73" i="18" s="1"/>
  <c r="F73" i="18" a="1"/>
  <c r="F73" i="18" s="1"/>
  <c r="E73" i="18" a="1"/>
  <c r="E73" i="18" s="1"/>
  <c r="D73" i="18" a="1"/>
  <c r="D73" i="18" s="1"/>
  <c r="K72" i="18" a="1"/>
  <c r="K72" i="18" s="1"/>
  <c r="J72" i="18" a="1"/>
  <c r="J72" i="18" s="1"/>
  <c r="I72" i="18" a="1"/>
  <c r="I72" i="18" s="1"/>
  <c r="H72" i="18" a="1"/>
  <c r="H72" i="18" s="1"/>
  <c r="G72" i="18" a="1"/>
  <c r="G72" i="18" s="1"/>
  <c r="F72" i="18" a="1"/>
  <c r="F72" i="18" s="1"/>
  <c r="E72" i="18" a="1"/>
  <c r="E72" i="18" s="1"/>
  <c r="D72" i="18" a="1"/>
  <c r="D72" i="18" s="1"/>
  <c r="K71" i="18" a="1"/>
  <c r="K71" i="18" s="1"/>
  <c r="J71" i="18" a="1"/>
  <c r="J71" i="18" s="1"/>
  <c r="I71" i="18" a="1"/>
  <c r="I71" i="18" s="1"/>
  <c r="H71" i="18" a="1"/>
  <c r="H71" i="18" s="1"/>
  <c r="G71" i="18" a="1"/>
  <c r="G71" i="18" s="1"/>
  <c r="F71" i="18" a="1"/>
  <c r="F71" i="18" s="1"/>
  <c r="E71" i="18" a="1"/>
  <c r="E71" i="18" s="1"/>
  <c r="D71" i="18" a="1"/>
  <c r="D71" i="18" s="1"/>
  <c r="K70" i="18" a="1"/>
  <c r="K70" i="18" s="1"/>
  <c r="J70" i="18" a="1"/>
  <c r="J70" i="18" s="1"/>
  <c r="I70" i="18" a="1"/>
  <c r="I70" i="18" s="1"/>
  <c r="H70" i="18" a="1"/>
  <c r="H70" i="18" s="1"/>
  <c r="G70" i="18" a="1"/>
  <c r="G70" i="18" s="1"/>
  <c r="F70" i="18" a="1"/>
  <c r="F70" i="18" s="1"/>
  <c r="E70" i="18" a="1"/>
  <c r="E70" i="18" s="1"/>
  <c r="D70" i="18" a="1"/>
  <c r="D70" i="18" s="1"/>
  <c r="K69" i="18" a="1"/>
  <c r="K69" i="18" s="1"/>
  <c r="J69" i="18" a="1"/>
  <c r="J69" i="18" s="1"/>
  <c r="I69" i="18" a="1"/>
  <c r="I69" i="18" s="1"/>
  <c r="H69" i="18" a="1"/>
  <c r="H69" i="18" s="1"/>
  <c r="G69" i="18" a="1"/>
  <c r="G69" i="18" s="1"/>
  <c r="F69" i="18" a="1"/>
  <c r="F69" i="18" s="1"/>
  <c r="E69" i="18" a="1"/>
  <c r="E69" i="18" s="1"/>
  <c r="D69" i="18" a="1"/>
  <c r="D69" i="18" s="1"/>
  <c r="K68" i="18" a="1"/>
  <c r="K68" i="18" s="1"/>
  <c r="J68" i="18" a="1"/>
  <c r="J68" i="18" s="1"/>
  <c r="I68" i="18" a="1"/>
  <c r="I68" i="18" s="1"/>
  <c r="H68" i="18" a="1"/>
  <c r="H68" i="18" s="1"/>
  <c r="G68" i="18" a="1"/>
  <c r="G68" i="18" s="1"/>
  <c r="F68" i="18" a="1"/>
  <c r="F68" i="18" s="1"/>
  <c r="E68" i="18" a="1"/>
  <c r="E68" i="18" s="1"/>
  <c r="D68" i="18" a="1"/>
  <c r="D68" i="18" s="1"/>
  <c r="K67" i="18" a="1"/>
  <c r="K67" i="18" s="1"/>
  <c r="J67" i="18" a="1"/>
  <c r="J67" i="18" s="1"/>
  <c r="I67" i="18" a="1"/>
  <c r="I67" i="18" s="1"/>
  <c r="H67" i="18" a="1"/>
  <c r="H67" i="18" s="1"/>
  <c r="G67" i="18" a="1"/>
  <c r="G67" i="18" s="1"/>
  <c r="F67" i="18" a="1"/>
  <c r="F67" i="18" s="1"/>
  <c r="E67" i="18" a="1"/>
  <c r="E67" i="18" s="1"/>
  <c r="D67" i="18" a="1"/>
  <c r="D67" i="18" s="1"/>
  <c r="K66" i="18" a="1"/>
  <c r="K66" i="18" s="1"/>
  <c r="J66" i="18" a="1"/>
  <c r="J66" i="18" s="1"/>
  <c r="I66" i="18" a="1"/>
  <c r="I66" i="18" s="1"/>
  <c r="H66" i="18" a="1"/>
  <c r="H66" i="18" s="1"/>
  <c r="G66" i="18" a="1"/>
  <c r="G66" i="18" s="1"/>
  <c r="F66" i="18" a="1"/>
  <c r="F66" i="18" s="1"/>
  <c r="E66" i="18" a="1"/>
  <c r="E66" i="18" s="1"/>
  <c r="D66" i="18" a="1"/>
  <c r="D66" i="18" s="1"/>
  <c r="K65" i="18" a="1"/>
  <c r="K65" i="18" s="1"/>
  <c r="J65" i="18" a="1"/>
  <c r="J65" i="18" s="1"/>
  <c r="I65" i="18" a="1"/>
  <c r="I65" i="18" s="1"/>
  <c r="H65" i="18" a="1"/>
  <c r="H65" i="18" s="1"/>
  <c r="G65" i="18" a="1"/>
  <c r="G65" i="18" s="1"/>
  <c r="F65" i="18" a="1"/>
  <c r="F65" i="18" s="1"/>
  <c r="E65" i="18" a="1"/>
  <c r="E65" i="18" s="1"/>
  <c r="D65" i="18" a="1"/>
  <c r="D65" i="18" s="1"/>
  <c r="K64" i="18" a="1"/>
  <c r="K64" i="18" s="1"/>
  <c r="J64" i="18" a="1"/>
  <c r="J64" i="18" s="1"/>
  <c r="I64" i="18" a="1"/>
  <c r="I64" i="18" s="1"/>
  <c r="H64" i="18" a="1"/>
  <c r="H64" i="18" s="1"/>
  <c r="G64" i="18" a="1"/>
  <c r="G64" i="18" s="1"/>
  <c r="F64" i="18" a="1"/>
  <c r="F64" i="18" s="1"/>
  <c r="E64" i="18" a="1"/>
  <c r="E64" i="18" s="1"/>
  <c r="D64" i="18" a="1"/>
  <c r="D64" i="18" s="1"/>
  <c r="K63" i="18" a="1"/>
  <c r="K63" i="18" s="1"/>
  <c r="J63" i="18" a="1"/>
  <c r="J63" i="18" s="1"/>
  <c r="I63" i="18" a="1"/>
  <c r="I63" i="18" s="1"/>
  <c r="H63" i="18" a="1"/>
  <c r="H63" i="18" s="1"/>
  <c r="G63" i="18" a="1"/>
  <c r="G63" i="18" s="1"/>
  <c r="F63" i="18" a="1"/>
  <c r="F63" i="18" s="1"/>
  <c r="E63" i="18" a="1"/>
  <c r="E63" i="18" s="1"/>
  <c r="D63" i="18" a="1"/>
  <c r="D63" i="18" s="1"/>
  <c r="K62" i="18" a="1"/>
  <c r="K62" i="18" s="1"/>
  <c r="J62" i="18" a="1"/>
  <c r="J62" i="18" s="1"/>
  <c r="I62" i="18" a="1"/>
  <c r="I62" i="18" s="1"/>
  <c r="H62" i="18" a="1"/>
  <c r="H62" i="18" s="1"/>
  <c r="G62" i="18" a="1"/>
  <c r="G62" i="18" s="1"/>
  <c r="F62" i="18" a="1"/>
  <c r="F62" i="18" s="1"/>
  <c r="E62" i="18" a="1"/>
  <c r="E62" i="18" s="1"/>
  <c r="D62" i="18" a="1"/>
  <c r="D62" i="18" s="1"/>
  <c r="K61" i="18" a="1"/>
  <c r="K61" i="18" s="1"/>
  <c r="J61" i="18" a="1"/>
  <c r="J61" i="18" s="1"/>
  <c r="I61" i="18" a="1"/>
  <c r="I61" i="18" s="1"/>
  <c r="H61" i="18" a="1"/>
  <c r="H61" i="18" s="1"/>
  <c r="G61" i="18" a="1"/>
  <c r="G61" i="18" s="1"/>
  <c r="F61" i="18" a="1"/>
  <c r="F61" i="18" s="1"/>
  <c r="E61" i="18" a="1"/>
  <c r="E61" i="18" s="1"/>
  <c r="D61" i="18" a="1"/>
  <c r="D61" i="18" s="1"/>
  <c r="K60" i="18" a="1"/>
  <c r="K60" i="18" s="1"/>
  <c r="J60" i="18" a="1"/>
  <c r="J60" i="18" s="1"/>
  <c r="I60" i="18" a="1"/>
  <c r="I60" i="18" s="1"/>
  <c r="H60" i="18" a="1"/>
  <c r="H60" i="18" s="1"/>
  <c r="G60" i="18" a="1"/>
  <c r="G60" i="18" s="1"/>
  <c r="F60" i="18" a="1"/>
  <c r="F60" i="18" s="1"/>
  <c r="E60" i="18" a="1"/>
  <c r="E60" i="18" s="1"/>
  <c r="D60" i="18" a="1"/>
  <c r="D60" i="18" s="1"/>
  <c r="K59" i="18" a="1"/>
  <c r="K59" i="18" s="1"/>
  <c r="J59" i="18" a="1"/>
  <c r="J59" i="18" s="1"/>
  <c r="I59" i="18" a="1"/>
  <c r="I59" i="18" s="1"/>
  <c r="H59" i="18" a="1"/>
  <c r="H59" i="18" s="1"/>
  <c r="G59" i="18" a="1"/>
  <c r="G59" i="18" s="1"/>
  <c r="F59" i="18" a="1"/>
  <c r="F59" i="18" s="1"/>
  <c r="E59" i="18" a="1"/>
  <c r="E59" i="18" s="1"/>
  <c r="D59" i="18" a="1"/>
  <c r="D59" i="18" s="1"/>
  <c r="K58" i="18" a="1"/>
  <c r="K58" i="18" s="1"/>
  <c r="J58" i="18" a="1"/>
  <c r="J58" i="18" s="1"/>
  <c r="I58" i="18" a="1"/>
  <c r="I58" i="18" s="1"/>
  <c r="H58" i="18" a="1"/>
  <c r="H58" i="18" s="1"/>
  <c r="G58" i="18" a="1"/>
  <c r="G58" i="18" s="1"/>
  <c r="F58" i="18" a="1"/>
  <c r="F58" i="18" s="1"/>
  <c r="E58" i="18" a="1"/>
  <c r="E58" i="18" s="1"/>
  <c r="D58" i="18" a="1"/>
  <c r="D58" i="18" s="1"/>
  <c r="K57" i="18" a="1"/>
  <c r="K57" i="18" s="1"/>
  <c r="J57" i="18" a="1"/>
  <c r="J57" i="18" s="1"/>
  <c r="I57" i="18" a="1"/>
  <c r="I57" i="18" s="1"/>
  <c r="H57" i="18" a="1"/>
  <c r="H57" i="18" s="1"/>
  <c r="G57" i="18" a="1"/>
  <c r="G57" i="18" s="1"/>
  <c r="F57" i="18" a="1"/>
  <c r="F57" i="18" s="1"/>
  <c r="E57" i="18" a="1"/>
  <c r="E57" i="18" s="1"/>
  <c r="D57" i="18" a="1"/>
  <c r="D57" i="18" s="1"/>
  <c r="K56" i="18" a="1"/>
  <c r="K56" i="18" s="1"/>
  <c r="J56" i="18" a="1"/>
  <c r="J56" i="18" s="1"/>
  <c r="I56" i="18" a="1"/>
  <c r="I56" i="18" s="1"/>
  <c r="H56" i="18" a="1"/>
  <c r="H56" i="18" s="1"/>
  <c r="G56" i="18" a="1"/>
  <c r="G56" i="18" s="1"/>
  <c r="F56" i="18" a="1"/>
  <c r="F56" i="18" s="1"/>
  <c r="E56" i="18" a="1"/>
  <c r="E56" i="18" s="1"/>
  <c r="D56" i="18" a="1"/>
  <c r="D56" i="18" s="1"/>
  <c r="K55" i="18" a="1"/>
  <c r="K55" i="18" s="1"/>
  <c r="J55" i="18" a="1"/>
  <c r="J55" i="18" s="1"/>
  <c r="I55" i="18" a="1"/>
  <c r="I55" i="18" s="1"/>
  <c r="H55" i="18" a="1"/>
  <c r="H55" i="18" s="1"/>
  <c r="G55" i="18" a="1"/>
  <c r="G55" i="18" s="1"/>
  <c r="F55" i="18" a="1"/>
  <c r="F55" i="18" s="1"/>
  <c r="E55" i="18" a="1"/>
  <c r="E55" i="18" s="1"/>
  <c r="D55" i="18" a="1"/>
  <c r="D55" i="18" s="1"/>
  <c r="K54" i="18" a="1"/>
  <c r="K54" i="18" s="1"/>
  <c r="J54" i="18" a="1"/>
  <c r="J54" i="18" s="1"/>
  <c r="I54" i="18" a="1"/>
  <c r="I54" i="18" s="1"/>
  <c r="H54" i="18" a="1"/>
  <c r="H54" i="18" s="1"/>
  <c r="G54" i="18" a="1"/>
  <c r="G54" i="18" s="1"/>
  <c r="F54" i="18" a="1"/>
  <c r="F54" i="18" s="1"/>
  <c r="E54" i="18" a="1"/>
  <c r="E54" i="18" s="1"/>
  <c r="D54" i="18" a="1"/>
  <c r="D54" i="18" s="1"/>
  <c r="D52" i="18" a="1"/>
  <c r="D52" i="18" s="1"/>
  <c r="D51" i="18" a="1"/>
  <c r="D51" i="18" s="1"/>
  <c r="D50" i="18" a="1"/>
  <c r="D50" i="18" s="1"/>
  <c r="D49" i="18" a="1"/>
  <c r="D49" i="18" s="1"/>
  <c r="J43" i="18" a="1"/>
  <c r="J43" i="18" s="1"/>
  <c r="I43" i="18" a="1"/>
  <c r="I43" i="18" s="1"/>
  <c r="H43" i="18" a="1"/>
  <c r="H43" i="18" s="1"/>
  <c r="G43" i="18" a="1"/>
  <c r="G43" i="18" s="1"/>
  <c r="F43" i="18" a="1"/>
  <c r="F43" i="18" s="1"/>
  <c r="E43" i="18" a="1"/>
  <c r="E43" i="18" s="1"/>
  <c r="D43" i="18" a="1"/>
  <c r="D43" i="18" s="1"/>
  <c r="J42" i="18" a="1"/>
  <c r="J42" i="18" s="1"/>
  <c r="I42" i="18" a="1"/>
  <c r="I42" i="18" s="1"/>
  <c r="H42" i="18" a="1"/>
  <c r="H42" i="18" s="1"/>
  <c r="G42" i="18" a="1"/>
  <c r="G42" i="18" s="1"/>
  <c r="F42" i="18" a="1"/>
  <c r="F42" i="18" s="1"/>
  <c r="E42" i="18" a="1"/>
  <c r="E42" i="18" s="1"/>
  <c r="D42" i="18" a="1"/>
  <c r="D42" i="18" s="1"/>
  <c r="J41" i="18" a="1"/>
  <c r="J41" i="18" s="1"/>
  <c r="I41" i="18" a="1"/>
  <c r="I41" i="18" s="1"/>
  <c r="H41" i="18" a="1"/>
  <c r="H41" i="18" s="1"/>
  <c r="G41" i="18" a="1"/>
  <c r="G41" i="18" s="1"/>
  <c r="F41" i="18" a="1"/>
  <c r="F41" i="18" s="1"/>
  <c r="E41" i="18" a="1"/>
  <c r="E41" i="18" s="1"/>
  <c r="D41" i="18" a="1"/>
  <c r="D41" i="18" s="1"/>
  <c r="J40" i="18" a="1"/>
  <c r="J40" i="18" s="1"/>
  <c r="I40" i="18" a="1"/>
  <c r="I40" i="18" s="1"/>
  <c r="H40" i="18" a="1"/>
  <c r="H40" i="18" s="1"/>
  <c r="G40" i="18" a="1"/>
  <c r="G40" i="18" s="1"/>
  <c r="F40" i="18" a="1"/>
  <c r="F40" i="18" s="1"/>
  <c r="E40" i="18" a="1"/>
  <c r="E40" i="18" s="1"/>
  <c r="D40" i="18" a="1"/>
  <c r="D40" i="18" s="1"/>
  <c r="D38" i="18" a="1"/>
  <c r="D38" i="18" s="1"/>
  <c r="D37" i="18" a="1"/>
  <c r="D37" i="18" s="1"/>
  <c r="L34" i="18" a="1"/>
  <c r="L34" i="18" s="1"/>
  <c r="K34" i="18" a="1"/>
  <c r="K34" i="18" s="1"/>
  <c r="J34" i="18" a="1"/>
  <c r="J34" i="18" s="1"/>
  <c r="I34" i="18" a="1"/>
  <c r="I34" i="18" s="1"/>
  <c r="H34" i="18" a="1"/>
  <c r="H34" i="18" s="1"/>
  <c r="G34" i="18" a="1"/>
  <c r="G34" i="18" s="1"/>
  <c r="F34" i="18" a="1"/>
  <c r="F34" i="18" s="1"/>
  <c r="E34" i="18" a="1"/>
  <c r="E34" i="18" s="1"/>
  <c r="D34" i="18" a="1"/>
  <c r="D34" i="18" s="1"/>
  <c r="L33" i="18" a="1"/>
  <c r="L33" i="18" s="1"/>
  <c r="K33" i="18" a="1"/>
  <c r="K33" i="18" s="1"/>
  <c r="J33" i="18" a="1"/>
  <c r="J33" i="18" s="1"/>
  <c r="I33" i="18" a="1"/>
  <c r="I33" i="18" s="1"/>
  <c r="H33" i="18" a="1"/>
  <c r="H33" i="18" s="1"/>
  <c r="G33" i="18" a="1"/>
  <c r="G33" i="18" s="1"/>
  <c r="F33" i="18" a="1"/>
  <c r="F33" i="18" s="1"/>
  <c r="E33" i="18" a="1"/>
  <c r="E33" i="18" s="1"/>
  <c r="D33" i="18" a="1"/>
  <c r="D33" i="18" s="1"/>
  <c r="L32" i="18" a="1"/>
  <c r="L32" i="18" s="1"/>
  <c r="K32" i="18" a="1"/>
  <c r="K32" i="18" s="1"/>
  <c r="J32" i="18" a="1"/>
  <c r="J32" i="18" s="1"/>
  <c r="I32" i="18" a="1"/>
  <c r="I32" i="18" s="1"/>
  <c r="H32" i="18" a="1"/>
  <c r="H32" i="18" s="1"/>
  <c r="G32" i="18" a="1"/>
  <c r="G32" i="18" s="1"/>
  <c r="F32" i="18" a="1"/>
  <c r="F32" i="18" s="1"/>
  <c r="E32" i="18" a="1"/>
  <c r="E32" i="18" s="1"/>
  <c r="D32" i="18" a="1"/>
  <c r="D32" i="18" s="1"/>
  <c r="L31" i="18" a="1"/>
  <c r="L31" i="18" s="1"/>
  <c r="K31" i="18" a="1"/>
  <c r="K31" i="18" s="1"/>
  <c r="J31" i="18" a="1"/>
  <c r="J31" i="18" s="1"/>
  <c r="I31" i="18" a="1"/>
  <c r="I31" i="18" s="1"/>
  <c r="H31" i="18" a="1"/>
  <c r="H31" i="18" s="1"/>
  <c r="G31" i="18" a="1"/>
  <c r="G31" i="18" s="1"/>
  <c r="F31" i="18" a="1"/>
  <c r="F31" i="18" s="1"/>
  <c r="E31" i="18" a="1"/>
  <c r="E31" i="18" s="1"/>
  <c r="D31" i="18" a="1"/>
  <c r="D31" i="18" s="1"/>
  <c r="L30" i="18" a="1"/>
  <c r="L30" i="18" s="1"/>
  <c r="K30" i="18" a="1"/>
  <c r="K30" i="18" s="1"/>
  <c r="J30" i="18" a="1"/>
  <c r="J30" i="18" s="1"/>
  <c r="I30" i="18" a="1"/>
  <c r="I30" i="18" s="1"/>
  <c r="H30" i="18" a="1"/>
  <c r="H30" i="18" s="1"/>
  <c r="G30" i="18" a="1"/>
  <c r="G30" i="18" s="1"/>
  <c r="F30" i="18" a="1"/>
  <c r="F30" i="18" s="1"/>
  <c r="E30" i="18" a="1"/>
  <c r="E30" i="18" s="1"/>
  <c r="D30" i="18" a="1"/>
  <c r="D30" i="18" s="1"/>
  <c r="L29" i="18" a="1"/>
  <c r="L29" i="18" s="1"/>
  <c r="K29" i="18" a="1"/>
  <c r="K29" i="18" s="1"/>
  <c r="J29" i="18" a="1"/>
  <c r="J29" i="18" s="1"/>
  <c r="I29" i="18" a="1"/>
  <c r="I29" i="18" s="1"/>
  <c r="H29" i="18" a="1"/>
  <c r="H29" i="18" s="1"/>
  <c r="G29" i="18" a="1"/>
  <c r="G29" i="18" s="1"/>
  <c r="F29" i="18" a="1"/>
  <c r="F29" i="18" s="1"/>
  <c r="E29" i="18" a="1"/>
  <c r="E29" i="18" s="1"/>
  <c r="D29" i="18" a="1"/>
  <c r="D29" i="18" s="1"/>
  <c r="L28" i="18" a="1"/>
  <c r="L28" i="18" s="1"/>
  <c r="K28" i="18" a="1"/>
  <c r="K28" i="18" s="1"/>
  <c r="J28" i="18" a="1"/>
  <c r="J28" i="18" s="1"/>
  <c r="I28" i="18" a="1"/>
  <c r="I28" i="18" s="1"/>
  <c r="H28" i="18" a="1"/>
  <c r="H28" i="18" s="1"/>
  <c r="G28" i="18" a="1"/>
  <c r="G28" i="18" s="1"/>
  <c r="F28" i="18" a="1"/>
  <c r="F28" i="18" s="1"/>
  <c r="E28" i="18" a="1"/>
  <c r="E28" i="18" s="1"/>
  <c r="D28" i="18" a="1"/>
  <c r="D28" i="18" s="1"/>
  <c r="L27" i="18" a="1"/>
  <c r="L27" i="18" s="1"/>
  <c r="K27" i="18" a="1"/>
  <c r="K27" i="18" s="1"/>
  <c r="J27" i="18" a="1"/>
  <c r="J27" i="18" s="1"/>
  <c r="I27" i="18" a="1"/>
  <c r="I27" i="18" s="1"/>
  <c r="H27" i="18" a="1"/>
  <c r="H27" i="18" s="1"/>
  <c r="G27" i="18" a="1"/>
  <c r="G27" i="18" s="1"/>
  <c r="F27" i="18" a="1"/>
  <c r="F27" i="18" s="1"/>
  <c r="E27" i="18" a="1"/>
  <c r="E27" i="18" s="1"/>
  <c r="D27" i="18" a="1"/>
  <c r="D27" i="18" s="1"/>
  <c r="L26" i="18" a="1"/>
  <c r="L26" i="18" s="1"/>
  <c r="K26" i="18" a="1"/>
  <c r="K26" i="18" s="1"/>
  <c r="J26" i="18" a="1"/>
  <c r="J26" i="18" s="1"/>
  <c r="I26" i="18" a="1"/>
  <c r="I26" i="18" s="1"/>
  <c r="H26" i="18" a="1"/>
  <c r="H26" i="18" s="1"/>
  <c r="G26" i="18" a="1"/>
  <c r="G26" i="18" s="1"/>
  <c r="F26" i="18" a="1"/>
  <c r="F26" i="18" s="1"/>
  <c r="E26" i="18" a="1"/>
  <c r="E26" i="18" s="1"/>
  <c r="D26" i="18" a="1"/>
  <c r="D26" i="18" s="1"/>
  <c r="L25" i="18" a="1"/>
  <c r="L25" i="18" s="1"/>
  <c r="K25" i="18" a="1"/>
  <c r="K25" i="18" s="1"/>
  <c r="J25" i="18" a="1"/>
  <c r="J25" i="18" s="1"/>
  <c r="I25" i="18" a="1"/>
  <c r="I25" i="18" s="1"/>
  <c r="H25" i="18" a="1"/>
  <c r="H25" i="18" s="1"/>
  <c r="G25" i="18" a="1"/>
  <c r="G25" i="18" s="1"/>
  <c r="F25" i="18" a="1"/>
  <c r="F25" i="18" s="1"/>
  <c r="E25" i="18" a="1"/>
  <c r="E25" i="18" s="1"/>
  <c r="D25" i="18" a="1"/>
  <c r="D25" i="18" s="1"/>
  <c r="L24" i="18" a="1"/>
  <c r="L24" i="18" s="1"/>
  <c r="K24" i="18" a="1"/>
  <c r="K24" i="18" s="1"/>
  <c r="J24" i="18" a="1"/>
  <c r="J24" i="18" s="1"/>
  <c r="I24" i="18" a="1"/>
  <c r="I24" i="18" s="1"/>
  <c r="H24" i="18" a="1"/>
  <c r="H24" i="18" s="1"/>
  <c r="G24" i="18" a="1"/>
  <c r="G24" i="18" s="1"/>
  <c r="F24" i="18" a="1"/>
  <c r="F24" i="18" s="1"/>
  <c r="E24" i="18" a="1"/>
  <c r="E24" i="18" s="1"/>
  <c r="D24" i="18" a="1"/>
  <c r="D24" i="18" s="1"/>
  <c r="L23" i="18" a="1"/>
  <c r="L23" i="18" s="1"/>
  <c r="K23" i="18" a="1"/>
  <c r="K23" i="18" s="1"/>
  <c r="J23" i="18" a="1"/>
  <c r="J23" i="18" s="1"/>
  <c r="I23" i="18" a="1"/>
  <c r="I23" i="18" s="1"/>
  <c r="H23" i="18" a="1"/>
  <c r="H23" i="18" s="1"/>
  <c r="G23" i="18" a="1"/>
  <c r="G23" i="18" s="1"/>
  <c r="F23" i="18" a="1"/>
  <c r="F23" i="18" s="1"/>
  <c r="E23" i="18" a="1"/>
  <c r="E23" i="18" s="1"/>
  <c r="D23" i="18" a="1"/>
  <c r="D23" i="18" s="1"/>
  <c r="L22" i="18" a="1"/>
  <c r="L22" i="18" s="1"/>
  <c r="K22" i="18" a="1"/>
  <c r="K22" i="18" s="1"/>
  <c r="J22" i="18" a="1"/>
  <c r="J22" i="18" s="1"/>
  <c r="I22" i="18" a="1"/>
  <c r="I22" i="18" s="1"/>
  <c r="H22" i="18" a="1"/>
  <c r="H22" i="18" s="1"/>
  <c r="G22" i="18" a="1"/>
  <c r="G22" i="18" s="1"/>
  <c r="F22" i="18" a="1"/>
  <c r="F22" i="18" s="1"/>
  <c r="E22" i="18" a="1"/>
  <c r="E22" i="18" s="1"/>
  <c r="D22" i="18" a="1"/>
  <c r="D22" i="18" s="1"/>
  <c r="L21" i="18" a="1"/>
  <c r="L21" i="18" s="1"/>
  <c r="K21" i="18" a="1"/>
  <c r="K21" i="18" s="1"/>
  <c r="J21" i="18" a="1"/>
  <c r="J21" i="18" s="1"/>
  <c r="I21" i="18" a="1"/>
  <c r="I21" i="18" s="1"/>
  <c r="H21" i="18" a="1"/>
  <c r="H21" i="18" s="1"/>
  <c r="G21" i="18" a="1"/>
  <c r="G21" i="18" s="1"/>
  <c r="F21" i="18" a="1"/>
  <c r="F21" i="18" s="1"/>
  <c r="E21" i="18" a="1"/>
  <c r="E21" i="18" s="1"/>
  <c r="D21" i="18" a="1"/>
  <c r="D21" i="18" s="1"/>
  <c r="L20" i="18" a="1"/>
  <c r="L20" i="18" s="1"/>
  <c r="K20" i="18" a="1"/>
  <c r="K20" i="18" s="1"/>
  <c r="J20" i="18" a="1"/>
  <c r="J20" i="18" s="1"/>
  <c r="I20" i="18" a="1"/>
  <c r="I20" i="18" s="1"/>
  <c r="H20" i="18" a="1"/>
  <c r="H20" i="18" s="1"/>
  <c r="G20" i="18" a="1"/>
  <c r="G20" i="18" s="1"/>
  <c r="F20" i="18" a="1"/>
  <c r="F20" i="18" s="1"/>
  <c r="E20" i="18" a="1"/>
  <c r="E20" i="18" s="1"/>
  <c r="D20" i="18" a="1"/>
  <c r="D20" i="18" s="1"/>
  <c r="L19" i="18" a="1"/>
  <c r="L19" i="18" s="1"/>
  <c r="K19" i="18" a="1"/>
  <c r="K19" i="18" s="1"/>
  <c r="J19" i="18" a="1"/>
  <c r="J19" i="18" s="1"/>
  <c r="I19" i="18" a="1"/>
  <c r="I19" i="18" s="1"/>
  <c r="H19" i="18" a="1"/>
  <c r="H19" i="18" s="1"/>
  <c r="G19" i="18" a="1"/>
  <c r="G19" i="18" s="1"/>
  <c r="F19" i="18" a="1"/>
  <c r="F19" i="18" s="1"/>
  <c r="E19" i="18" a="1"/>
  <c r="E19" i="18" s="1"/>
  <c r="D19" i="18" a="1"/>
  <c r="D19" i="18" s="1"/>
  <c r="L18" i="18" a="1"/>
  <c r="L18" i="18" s="1"/>
  <c r="K18" i="18" a="1"/>
  <c r="K18" i="18" s="1"/>
  <c r="J18" i="18" a="1"/>
  <c r="J18" i="18" s="1"/>
  <c r="I18" i="18" a="1"/>
  <c r="I18" i="18" s="1"/>
  <c r="H18" i="18" a="1"/>
  <c r="H18" i="18" s="1"/>
  <c r="G18" i="18" a="1"/>
  <c r="G18" i="18" s="1"/>
  <c r="F18" i="18" a="1"/>
  <c r="F18" i="18" s="1"/>
  <c r="E18" i="18" a="1"/>
  <c r="E18" i="18" s="1"/>
  <c r="D18" i="18" a="1"/>
  <c r="D18" i="18" s="1"/>
  <c r="L17" i="18" a="1"/>
  <c r="L17" i="18" s="1"/>
  <c r="K17" i="18" a="1"/>
  <c r="K17" i="18" s="1"/>
  <c r="J17" i="18" a="1"/>
  <c r="J17" i="18" s="1"/>
  <c r="I17" i="18" a="1"/>
  <c r="I17" i="18" s="1"/>
  <c r="H17" i="18" a="1"/>
  <c r="H17" i="18" s="1"/>
  <c r="G17" i="18" a="1"/>
  <c r="G17" i="18" s="1"/>
  <c r="F17" i="18" a="1"/>
  <c r="F17" i="18" s="1"/>
  <c r="E17" i="18" a="1"/>
  <c r="E17" i="18" s="1"/>
  <c r="D17" i="18" a="1"/>
  <c r="D17" i="18" s="1"/>
  <c r="L16" i="18" a="1"/>
  <c r="L16" i="18" s="1"/>
  <c r="K16" i="18" a="1"/>
  <c r="K16" i="18" s="1"/>
  <c r="J16" i="18" a="1"/>
  <c r="J16" i="18" s="1"/>
  <c r="I16" i="18" a="1"/>
  <c r="I16" i="18" s="1"/>
  <c r="H16" i="18" a="1"/>
  <c r="H16" i="18" s="1"/>
  <c r="G16" i="18" a="1"/>
  <c r="G16" i="18" s="1"/>
  <c r="F16" i="18" a="1"/>
  <c r="F16" i="18" s="1"/>
  <c r="E16" i="18" a="1"/>
  <c r="E16" i="18" s="1"/>
  <c r="D16" i="18" a="1"/>
  <c r="D16" i="18" s="1"/>
  <c r="L15" i="18" a="1"/>
  <c r="L15" i="18" s="1"/>
  <c r="K15" i="18" a="1"/>
  <c r="K15" i="18" s="1"/>
  <c r="J15" i="18" a="1"/>
  <c r="J15" i="18" s="1"/>
  <c r="I15" i="18" a="1"/>
  <c r="I15" i="18" s="1"/>
  <c r="H15" i="18" a="1"/>
  <c r="H15" i="18" s="1"/>
  <c r="G15" i="18" a="1"/>
  <c r="G15" i="18" s="1"/>
  <c r="F15" i="18" a="1"/>
  <c r="F15" i="18" s="1"/>
  <c r="E15" i="18" a="1"/>
  <c r="E15" i="18" s="1"/>
  <c r="D15" i="18" a="1"/>
  <c r="D15" i="18" s="1"/>
  <c r="L14" i="18" a="1"/>
  <c r="L14" i="18" s="1"/>
  <c r="K14" i="18" a="1"/>
  <c r="K14" i="18" s="1"/>
  <c r="J14" i="18" a="1"/>
  <c r="J14" i="18" s="1"/>
  <c r="I14" i="18" a="1"/>
  <c r="I14" i="18" s="1"/>
  <c r="H14" i="18" a="1"/>
  <c r="H14" i="18" s="1"/>
  <c r="G14" i="18" a="1"/>
  <c r="G14" i="18" s="1"/>
  <c r="F14" i="18" a="1"/>
  <c r="F14" i="18" s="1"/>
  <c r="E14" i="18" a="1"/>
  <c r="E14" i="18" s="1"/>
  <c r="D14" i="18" a="1"/>
  <c r="D14" i="18" s="1"/>
  <c r="L13" i="18" a="1"/>
  <c r="L13" i="18" s="1"/>
  <c r="K13" i="18" a="1"/>
  <c r="K13" i="18" s="1"/>
  <c r="J13" i="18" a="1"/>
  <c r="J13" i="18" s="1"/>
  <c r="I13" i="18" a="1"/>
  <c r="I13" i="18" s="1"/>
  <c r="H13" i="18" a="1"/>
  <c r="H13" i="18" s="1"/>
  <c r="G13" i="18" a="1"/>
  <c r="G13" i="18" s="1"/>
  <c r="F13" i="18" a="1"/>
  <c r="F13" i="18" s="1"/>
  <c r="E13" i="18" a="1"/>
  <c r="E13" i="18" s="1"/>
  <c r="D13" i="18" a="1"/>
  <c r="D13" i="18" s="1"/>
  <c r="L12" i="18" a="1"/>
  <c r="L12" i="18" s="1"/>
  <c r="K12" i="18" a="1"/>
  <c r="K12" i="18" s="1"/>
  <c r="J12" i="18" a="1"/>
  <c r="J12" i="18" s="1"/>
  <c r="I12" i="18" a="1"/>
  <c r="I12" i="18" s="1"/>
  <c r="H12" i="18" a="1"/>
  <c r="H12" i="18" s="1"/>
  <c r="G12" i="18" a="1"/>
  <c r="G12" i="18" s="1"/>
  <c r="F12" i="18" a="1"/>
  <c r="F12" i="18" s="1"/>
  <c r="E12" i="18" a="1"/>
  <c r="E12" i="18" s="1"/>
  <c r="D12" i="18" a="1"/>
  <c r="D12" i="18" s="1"/>
  <c r="L11" i="18" a="1"/>
  <c r="L11" i="18" s="1"/>
  <c r="K11" i="18" a="1"/>
  <c r="K11" i="18" s="1"/>
  <c r="J11" i="18" a="1"/>
  <c r="J11" i="18" s="1"/>
  <c r="I11" i="18" a="1"/>
  <c r="I11" i="18" s="1"/>
  <c r="H11" i="18" a="1"/>
  <c r="H11" i="18" s="1"/>
  <c r="G11" i="18" a="1"/>
  <c r="G11" i="18" s="1"/>
  <c r="F11" i="18" a="1"/>
  <c r="F11" i="18" s="1"/>
  <c r="E11" i="18" a="1"/>
  <c r="E11" i="18" s="1"/>
  <c r="D11" i="18" a="1"/>
  <c r="D11" i="18" s="1"/>
  <c r="L10" i="18" a="1"/>
  <c r="L10" i="18" s="1"/>
  <c r="K10" i="18" a="1"/>
  <c r="K10" i="18" s="1"/>
  <c r="J10" i="18" a="1"/>
  <c r="J10" i="18" s="1"/>
  <c r="I10" i="18" a="1"/>
  <c r="I10" i="18" s="1"/>
  <c r="H10" i="18" a="1"/>
  <c r="H10" i="18" s="1"/>
  <c r="G10" i="18" a="1"/>
  <c r="G10" i="18" s="1"/>
  <c r="F10" i="18" a="1"/>
  <c r="F10" i="18" s="1"/>
  <c r="E10" i="18" a="1"/>
  <c r="E10" i="18" s="1"/>
  <c r="D10" i="18" a="1"/>
  <c r="D10" i="18" s="1"/>
  <c r="D8" i="18" a="1"/>
  <c r="D8" i="18" s="1"/>
  <c r="D7" i="18" a="1"/>
  <c r="D7" i="18" s="1"/>
  <c r="D6" i="18" a="1"/>
  <c r="D6" i="18" s="1"/>
  <c r="D5" i="18" a="1"/>
  <c r="D5" i="18" s="1"/>
  <c r="D34" i="17"/>
  <c r="D27" i="17"/>
  <c r="P18" i="17"/>
  <c r="K39" i="17" s="1" a="1"/>
  <c r="K39" i="17" s="1"/>
  <c r="P16" i="17" a="1"/>
  <c r="P16" i="17" s="1"/>
  <c r="I16" i="17" a="1"/>
  <c r="I16" i="17" s="1"/>
  <c r="P15" i="17" a="1"/>
  <c r="P15" i="17" s="1"/>
  <c r="I15" i="17" a="1"/>
  <c r="I15" i="17" s="1"/>
  <c r="P14" i="17" a="1"/>
  <c r="P14" i="17" s="1"/>
  <c r="N14" i="17" a="1"/>
  <c r="N14" i="17" s="1"/>
  <c r="K14" i="17" a="1"/>
  <c r="K14" i="17" s="1"/>
  <c r="I14" i="17" a="1"/>
  <c r="I14" i="17" s="1"/>
  <c r="G14" i="17" a="1"/>
  <c r="G14" i="17" s="1"/>
  <c r="D14" i="17" a="1"/>
  <c r="D14" i="17" s="1"/>
  <c r="L12" i="17" a="1"/>
  <c r="L12" i="17" s="1"/>
  <c r="E12" i="17" a="1"/>
  <c r="E12" i="17" s="1"/>
  <c r="F58" i="17" s="1"/>
  <c r="L11" i="17" a="1"/>
  <c r="L11" i="17" s="1"/>
  <c r="E11" i="17" a="1"/>
  <c r="E11" i="17" s="1"/>
  <c r="K7" i="17" a="1"/>
  <c r="K7" i="17" s="1"/>
  <c r="K6" i="17" a="1"/>
  <c r="K6" i="17" s="1"/>
  <c r="D6" i="17" a="1"/>
  <c r="D6" i="17" s="1"/>
  <c r="K5" i="17" a="1"/>
  <c r="K5" i="17" s="1"/>
  <c r="D5" i="17" a="1"/>
  <c r="D5" i="17" s="1"/>
  <c r="D54" i="16"/>
  <c r="D38" i="16"/>
  <c r="D39" i="16"/>
  <c r="D48" i="16"/>
  <c r="D31" i="16"/>
  <c r="D28" i="16"/>
  <c r="P16" i="16" a="1"/>
  <c r="P16" i="16" s="1"/>
  <c r="I16" i="16" a="1"/>
  <c r="I16" i="16" s="1"/>
  <c r="P15" i="16" a="1"/>
  <c r="P15" i="16" s="1"/>
  <c r="I15" i="16" a="1"/>
  <c r="I15" i="16" s="1"/>
  <c r="P14" i="16" a="1"/>
  <c r="P14" i="16" s="1"/>
  <c r="N14" i="16" a="1"/>
  <c r="N14" i="16" s="1"/>
  <c r="K14" i="16" a="1"/>
  <c r="K14" i="16" s="1"/>
  <c r="I14" i="16" a="1"/>
  <c r="I14" i="16" s="1"/>
  <c r="G14" i="16" a="1"/>
  <c r="G14" i="16" s="1"/>
  <c r="D14" i="16" a="1"/>
  <c r="D14" i="16" s="1"/>
  <c r="L12" i="16" a="1"/>
  <c r="L12" i="16" s="1"/>
  <c r="E12" i="16" a="1"/>
  <c r="E12" i="16" s="1"/>
  <c r="L11" i="16" a="1"/>
  <c r="L11" i="16" s="1"/>
  <c r="E11" i="16" a="1"/>
  <c r="E11" i="16" s="1"/>
  <c r="K6" i="16" a="1"/>
  <c r="K6" i="16" s="1"/>
  <c r="D6" i="16" a="1"/>
  <c r="D6" i="16" s="1"/>
  <c r="K5" i="16" a="1"/>
  <c r="K5" i="16" s="1"/>
  <c r="D5" i="16" a="1"/>
  <c r="D5" i="16" s="1"/>
  <c r="H21" i="15"/>
  <c r="H20" i="15"/>
  <c r="H19" i="15"/>
  <c r="H18" i="15"/>
  <c r="H17" i="15"/>
  <c r="AE153" i="14" a="1"/>
  <c r="AE153" i="14" s="1"/>
  <c r="AD153" i="14" a="1"/>
  <c r="AD153" i="14" s="1"/>
  <c r="AC153" i="14" a="1"/>
  <c r="AC153" i="14" s="1"/>
  <c r="AB153" i="14" a="1"/>
  <c r="AB153" i="14" s="1"/>
  <c r="AA153" i="14" a="1"/>
  <c r="AA153" i="14" s="1"/>
  <c r="Z153" i="14" a="1"/>
  <c r="Z153" i="14" s="1"/>
  <c r="Y153" i="14" a="1"/>
  <c r="Y153" i="14" s="1"/>
  <c r="X153" i="14" a="1"/>
  <c r="X153" i="14" s="1"/>
  <c r="W153" i="14" a="1"/>
  <c r="W153" i="14" s="1"/>
  <c r="V153" i="14" a="1"/>
  <c r="V153" i="14" s="1"/>
  <c r="U153" i="14" a="1"/>
  <c r="U153" i="14" s="1"/>
  <c r="T153" i="14" a="1"/>
  <c r="T153" i="14" s="1"/>
  <c r="S153" i="14" a="1"/>
  <c r="S153" i="14" s="1"/>
  <c r="R153" i="14" a="1"/>
  <c r="R153" i="14" s="1"/>
  <c r="Q153" i="14" a="1"/>
  <c r="Q153" i="14" s="1"/>
  <c r="P153" i="14" a="1"/>
  <c r="P153" i="14" s="1"/>
  <c r="O153" i="14" a="1"/>
  <c r="O153" i="14" s="1"/>
  <c r="N153" i="14" a="1"/>
  <c r="N153" i="14" s="1"/>
  <c r="M153" i="14" a="1"/>
  <c r="M153" i="14" s="1"/>
  <c r="L153" i="14" a="1"/>
  <c r="L153" i="14" s="1"/>
  <c r="K153" i="14" a="1"/>
  <c r="K153" i="14" s="1"/>
  <c r="J153" i="14" a="1"/>
  <c r="J153" i="14" s="1"/>
  <c r="I153" i="14" a="1"/>
  <c r="I153" i="14" s="1"/>
  <c r="H153" i="14" a="1"/>
  <c r="H153" i="14" s="1"/>
  <c r="G153" i="14" a="1"/>
  <c r="G153" i="14" s="1"/>
  <c r="F153" i="14" a="1"/>
  <c r="F153" i="14" s="1"/>
  <c r="E153" i="14" a="1"/>
  <c r="E153" i="14" s="1"/>
  <c r="D153" i="14" a="1"/>
  <c r="D153" i="14" s="1"/>
  <c r="AE152" i="14" a="1"/>
  <c r="AE152" i="14" s="1"/>
  <c r="AD152" i="14" a="1"/>
  <c r="AD152" i="14" s="1"/>
  <c r="AC152" i="14" a="1"/>
  <c r="AC152" i="14" s="1"/>
  <c r="AB152" i="14" a="1"/>
  <c r="AB152" i="14" s="1"/>
  <c r="AA152" i="14" a="1"/>
  <c r="AA152" i="14" s="1"/>
  <c r="Z152" i="14" a="1"/>
  <c r="Z152" i="14" s="1"/>
  <c r="Y152" i="14" a="1"/>
  <c r="Y152" i="14" s="1"/>
  <c r="X152" i="14" a="1"/>
  <c r="X152" i="14" s="1"/>
  <c r="W152" i="14" a="1"/>
  <c r="W152" i="14" s="1"/>
  <c r="V152" i="14" a="1"/>
  <c r="V152" i="14" s="1"/>
  <c r="U152" i="14" a="1"/>
  <c r="U152" i="14" s="1"/>
  <c r="T152" i="14" a="1"/>
  <c r="T152" i="14" s="1"/>
  <c r="S152" i="14" a="1"/>
  <c r="S152" i="14" s="1"/>
  <c r="R152" i="14" a="1"/>
  <c r="R152" i="14" s="1"/>
  <c r="Q152" i="14" a="1"/>
  <c r="Q152" i="14" s="1"/>
  <c r="P152" i="14" a="1"/>
  <c r="P152" i="14" s="1"/>
  <c r="O152" i="14" a="1"/>
  <c r="O152" i="14" s="1"/>
  <c r="N152" i="14" a="1"/>
  <c r="N152" i="14" s="1"/>
  <c r="M152" i="14" a="1"/>
  <c r="M152" i="14" s="1"/>
  <c r="L152" i="14" a="1"/>
  <c r="L152" i="14" s="1"/>
  <c r="K152" i="14" a="1"/>
  <c r="K152" i="14" s="1"/>
  <c r="J152" i="14" a="1"/>
  <c r="J152" i="14" s="1"/>
  <c r="I152" i="14" a="1"/>
  <c r="I152" i="14" s="1"/>
  <c r="H152" i="14" a="1"/>
  <c r="H152" i="14" s="1"/>
  <c r="G152" i="14" a="1"/>
  <c r="G152" i="14" s="1"/>
  <c r="F152" i="14" a="1"/>
  <c r="F152" i="14" s="1"/>
  <c r="E152" i="14" a="1"/>
  <c r="E152" i="14" s="1"/>
  <c r="D152" i="14" a="1"/>
  <c r="D152" i="14" s="1"/>
  <c r="AE151" i="14" a="1"/>
  <c r="AE151" i="14" s="1"/>
  <c r="AD151" i="14" a="1"/>
  <c r="AD151" i="14" s="1"/>
  <c r="AC151" i="14" a="1"/>
  <c r="AC151" i="14" s="1"/>
  <c r="AB151" i="14" a="1"/>
  <c r="AB151" i="14" s="1"/>
  <c r="AA151" i="14" a="1"/>
  <c r="AA151" i="14" s="1"/>
  <c r="Z151" i="14" a="1"/>
  <c r="Z151" i="14" s="1"/>
  <c r="Y151" i="14" a="1"/>
  <c r="Y151" i="14" s="1"/>
  <c r="X151" i="14" a="1"/>
  <c r="X151" i="14" s="1"/>
  <c r="W151" i="14" a="1"/>
  <c r="W151" i="14" s="1"/>
  <c r="V151" i="14" a="1"/>
  <c r="V151" i="14" s="1"/>
  <c r="U151" i="14" a="1"/>
  <c r="U151" i="14" s="1"/>
  <c r="T151" i="14" a="1"/>
  <c r="T151" i="14" s="1"/>
  <c r="S151" i="14" a="1"/>
  <c r="S151" i="14" s="1"/>
  <c r="R151" i="14" a="1"/>
  <c r="R151" i="14" s="1"/>
  <c r="Q151" i="14" a="1"/>
  <c r="Q151" i="14" s="1"/>
  <c r="P151" i="14" a="1"/>
  <c r="P151" i="14" s="1"/>
  <c r="O151" i="14" a="1"/>
  <c r="O151" i="14" s="1"/>
  <c r="N151" i="14" a="1"/>
  <c r="N151" i="14" s="1"/>
  <c r="M151" i="14" a="1"/>
  <c r="M151" i="14" s="1"/>
  <c r="L151" i="14" a="1"/>
  <c r="L151" i="14" s="1"/>
  <c r="K151" i="14" a="1"/>
  <c r="K151" i="14" s="1"/>
  <c r="J151" i="14" a="1"/>
  <c r="J151" i="14" s="1"/>
  <c r="I151" i="14" a="1"/>
  <c r="I151" i="14" s="1"/>
  <c r="H151" i="14" a="1"/>
  <c r="H151" i="14" s="1"/>
  <c r="G151" i="14" a="1"/>
  <c r="G151" i="14" s="1"/>
  <c r="F151" i="14" a="1"/>
  <c r="F151" i="14" s="1"/>
  <c r="E151" i="14" a="1"/>
  <c r="E151" i="14" s="1"/>
  <c r="D151" i="14" a="1"/>
  <c r="D151" i="14" s="1"/>
  <c r="AE150" i="14" a="1"/>
  <c r="AE150" i="14" s="1"/>
  <c r="AD150" i="14" a="1"/>
  <c r="AD150" i="14" s="1"/>
  <c r="AC150" i="14" a="1"/>
  <c r="AC150" i="14" s="1"/>
  <c r="AB150" i="14" a="1"/>
  <c r="AB150" i="14" s="1"/>
  <c r="AA150" i="14" a="1"/>
  <c r="AA150" i="14" s="1"/>
  <c r="Z150" i="14" a="1"/>
  <c r="Z150" i="14" s="1"/>
  <c r="Y150" i="14" a="1"/>
  <c r="Y150" i="14" s="1"/>
  <c r="X150" i="14" a="1"/>
  <c r="X150" i="14" s="1"/>
  <c r="W150" i="14" a="1"/>
  <c r="W150" i="14" s="1"/>
  <c r="V150" i="14" a="1"/>
  <c r="V150" i="14" s="1"/>
  <c r="U150" i="14" a="1"/>
  <c r="U150" i="14" s="1"/>
  <c r="T150" i="14" a="1"/>
  <c r="T150" i="14" s="1"/>
  <c r="S150" i="14" a="1"/>
  <c r="S150" i="14" s="1"/>
  <c r="R150" i="14" a="1"/>
  <c r="R150" i="14" s="1"/>
  <c r="Q150" i="14" a="1"/>
  <c r="Q150" i="14" s="1"/>
  <c r="P150" i="14" a="1"/>
  <c r="P150" i="14" s="1"/>
  <c r="O150" i="14" a="1"/>
  <c r="O150" i="14" s="1"/>
  <c r="N150" i="14" a="1"/>
  <c r="N150" i="14" s="1"/>
  <c r="M150" i="14" a="1"/>
  <c r="M150" i="14" s="1"/>
  <c r="L150" i="14" a="1"/>
  <c r="L150" i="14" s="1"/>
  <c r="K150" i="14" a="1"/>
  <c r="K150" i="14" s="1"/>
  <c r="J150" i="14" a="1"/>
  <c r="J150" i="14" s="1"/>
  <c r="I150" i="14" a="1"/>
  <c r="I150" i="14" s="1"/>
  <c r="H150" i="14" a="1"/>
  <c r="H150" i="14" s="1"/>
  <c r="G150" i="14" a="1"/>
  <c r="G150" i="14" s="1"/>
  <c r="F150" i="14" a="1"/>
  <c r="F150" i="14" s="1"/>
  <c r="E150" i="14" a="1"/>
  <c r="E150" i="14" s="1"/>
  <c r="D150" i="14" a="1"/>
  <c r="D150" i="14" s="1"/>
  <c r="AE149" i="14" a="1"/>
  <c r="AE149" i="14" s="1"/>
  <c r="AD149" i="14" a="1"/>
  <c r="AD149" i="14" s="1"/>
  <c r="AC149" i="14" a="1"/>
  <c r="AC149" i="14" s="1"/>
  <c r="AB149" i="14" a="1"/>
  <c r="AB149" i="14" s="1"/>
  <c r="AA149" i="14" a="1"/>
  <c r="AA149" i="14" s="1"/>
  <c r="Z149" i="14" a="1"/>
  <c r="Z149" i="14" s="1"/>
  <c r="Y149" i="14" a="1"/>
  <c r="Y149" i="14" s="1"/>
  <c r="X149" i="14" a="1"/>
  <c r="X149" i="14" s="1"/>
  <c r="W149" i="14" a="1"/>
  <c r="W149" i="14" s="1"/>
  <c r="V149" i="14" a="1"/>
  <c r="V149" i="14" s="1"/>
  <c r="U149" i="14" a="1"/>
  <c r="U149" i="14" s="1"/>
  <c r="T149" i="14" a="1"/>
  <c r="T149" i="14" s="1"/>
  <c r="S149" i="14" a="1"/>
  <c r="S149" i="14" s="1"/>
  <c r="R149" i="14" a="1"/>
  <c r="R149" i="14" s="1"/>
  <c r="Q149" i="14" a="1"/>
  <c r="Q149" i="14" s="1"/>
  <c r="P149" i="14" a="1"/>
  <c r="P149" i="14" s="1"/>
  <c r="O149" i="14" a="1"/>
  <c r="O149" i="14" s="1"/>
  <c r="N149" i="14" a="1"/>
  <c r="N149" i="14" s="1"/>
  <c r="M149" i="14" a="1"/>
  <c r="M149" i="14" s="1"/>
  <c r="L149" i="14" a="1"/>
  <c r="L149" i="14" s="1"/>
  <c r="K149" i="14" a="1"/>
  <c r="K149" i="14" s="1"/>
  <c r="J149" i="14" a="1"/>
  <c r="J149" i="14" s="1"/>
  <c r="I149" i="14" a="1"/>
  <c r="I149" i="14" s="1"/>
  <c r="H149" i="14" a="1"/>
  <c r="H149" i="14" s="1"/>
  <c r="G149" i="14" a="1"/>
  <c r="G149" i="14" s="1"/>
  <c r="F149" i="14" a="1"/>
  <c r="F149" i="14" s="1"/>
  <c r="E149" i="14" a="1"/>
  <c r="E149" i="14" s="1"/>
  <c r="D149" i="14" a="1"/>
  <c r="D149" i="14" s="1"/>
  <c r="AE148" i="14" a="1"/>
  <c r="AE148" i="14" s="1"/>
  <c r="AD148" i="14" a="1"/>
  <c r="AD148" i="14" s="1"/>
  <c r="AC148" i="14" a="1"/>
  <c r="AC148" i="14" s="1"/>
  <c r="AB148" i="14" a="1"/>
  <c r="AB148" i="14" s="1"/>
  <c r="AA148" i="14" a="1"/>
  <c r="AA148" i="14" s="1"/>
  <c r="Z148" i="14" a="1"/>
  <c r="Z148" i="14" s="1"/>
  <c r="Y148" i="14" a="1"/>
  <c r="Y148" i="14" s="1"/>
  <c r="X148" i="14" a="1"/>
  <c r="X148" i="14" s="1"/>
  <c r="W148" i="14" a="1"/>
  <c r="W148" i="14" s="1"/>
  <c r="V148" i="14" a="1"/>
  <c r="V148" i="14" s="1"/>
  <c r="U148" i="14" a="1"/>
  <c r="U148" i="14" s="1"/>
  <c r="T148" i="14" a="1"/>
  <c r="T148" i="14" s="1"/>
  <c r="S148" i="14" a="1"/>
  <c r="S148" i="14" s="1"/>
  <c r="R148" i="14" a="1"/>
  <c r="R148" i="14" s="1"/>
  <c r="Q148" i="14" a="1"/>
  <c r="Q148" i="14" s="1"/>
  <c r="P148" i="14" a="1"/>
  <c r="P148" i="14" s="1"/>
  <c r="O148" i="14" a="1"/>
  <c r="O148" i="14" s="1"/>
  <c r="N148" i="14" a="1"/>
  <c r="N148" i="14" s="1"/>
  <c r="M148" i="14" a="1"/>
  <c r="M148" i="14" s="1"/>
  <c r="L148" i="14" a="1"/>
  <c r="L148" i="14" s="1"/>
  <c r="K148" i="14" a="1"/>
  <c r="K148" i="14" s="1"/>
  <c r="J148" i="14" a="1"/>
  <c r="J148" i="14" s="1"/>
  <c r="I148" i="14" a="1"/>
  <c r="I148" i="14" s="1"/>
  <c r="H148" i="14" a="1"/>
  <c r="H148" i="14" s="1"/>
  <c r="G148" i="14" a="1"/>
  <c r="G148" i="14" s="1"/>
  <c r="F148" i="14" a="1"/>
  <c r="F148" i="14" s="1"/>
  <c r="E148" i="14" a="1"/>
  <c r="E148" i="14" s="1"/>
  <c r="D148" i="14" a="1"/>
  <c r="D148" i="14" s="1"/>
  <c r="AE147" i="14" a="1"/>
  <c r="AE147" i="14" s="1"/>
  <c r="AD147" i="14" a="1"/>
  <c r="AD147" i="14" s="1"/>
  <c r="AC147" i="14" a="1"/>
  <c r="AC147" i="14" s="1"/>
  <c r="AB147" i="14" a="1"/>
  <c r="AB147" i="14" s="1"/>
  <c r="AA147" i="14" a="1"/>
  <c r="AA147" i="14" s="1"/>
  <c r="Z147" i="14" a="1"/>
  <c r="Z147" i="14" s="1"/>
  <c r="Y147" i="14" a="1"/>
  <c r="Y147" i="14" s="1"/>
  <c r="X147" i="14" a="1"/>
  <c r="X147" i="14" s="1"/>
  <c r="W147" i="14" a="1"/>
  <c r="W147" i="14" s="1"/>
  <c r="V147" i="14" a="1"/>
  <c r="V147" i="14" s="1"/>
  <c r="U147" i="14" a="1"/>
  <c r="U147" i="14" s="1"/>
  <c r="T147" i="14" a="1"/>
  <c r="T147" i="14" s="1"/>
  <c r="S147" i="14" a="1"/>
  <c r="S147" i="14" s="1"/>
  <c r="R147" i="14" a="1"/>
  <c r="R147" i="14" s="1"/>
  <c r="Q147" i="14" a="1"/>
  <c r="Q147" i="14" s="1"/>
  <c r="P147" i="14" a="1"/>
  <c r="P147" i="14" s="1"/>
  <c r="O147" i="14" a="1"/>
  <c r="O147" i="14" s="1"/>
  <c r="N147" i="14" a="1"/>
  <c r="N147" i="14" s="1"/>
  <c r="M147" i="14" a="1"/>
  <c r="M147" i="14" s="1"/>
  <c r="L147" i="14" a="1"/>
  <c r="L147" i="14" s="1"/>
  <c r="K147" i="14" a="1"/>
  <c r="K147" i="14" s="1"/>
  <c r="J147" i="14" a="1"/>
  <c r="J147" i="14" s="1"/>
  <c r="I147" i="14" a="1"/>
  <c r="I147" i="14" s="1"/>
  <c r="H147" i="14" a="1"/>
  <c r="H147" i="14" s="1"/>
  <c r="G147" i="14" a="1"/>
  <c r="G147" i="14" s="1"/>
  <c r="F147" i="14" a="1"/>
  <c r="F147" i="14" s="1"/>
  <c r="E147" i="14" a="1"/>
  <c r="E147" i="14" s="1"/>
  <c r="D147" i="14" a="1"/>
  <c r="D147" i="14" s="1"/>
  <c r="AE146" i="14" a="1"/>
  <c r="AE146" i="14" s="1"/>
  <c r="AD146" i="14" a="1"/>
  <c r="AD146" i="14" s="1"/>
  <c r="AC146" i="14" a="1"/>
  <c r="AC146" i="14" s="1"/>
  <c r="AB146" i="14" a="1"/>
  <c r="AB146" i="14" s="1"/>
  <c r="AA146" i="14" a="1"/>
  <c r="AA146" i="14" s="1"/>
  <c r="Z146" i="14" a="1"/>
  <c r="Z146" i="14" s="1"/>
  <c r="Y146" i="14" a="1"/>
  <c r="Y146" i="14" s="1"/>
  <c r="X146" i="14" a="1"/>
  <c r="X146" i="14" s="1"/>
  <c r="W146" i="14" a="1"/>
  <c r="W146" i="14" s="1"/>
  <c r="V146" i="14" a="1"/>
  <c r="V146" i="14" s="1"/>
  <c r="U146" i="14" a="1"/>
  <c r="U146" i="14" s="1"/>
  <c r="T146" i="14" a="1"/>
  <c r="T146" i="14" s="1"/>
  <c r="S146" i="14" a="1"/>
  <c r="S146" i="14" s="1"/>
  <c r="R146" i="14" a="1"/>
  <c r="R146" i="14" s="1"/>
  <c r="Q146" i="14" a="1"/>
  <c r="Q146" i="14" s="1"/>
  <c r="P146" i="14" a="1"/>
  <c r="P146" i="14" s="1"/>
  <c r="O146" i="14" a="1"/>
  <c r="O146" i="14" s="1"/>
  <c r="N146" i="14" a="1"/>
  <c r="N146" i="14" s="1"/>
  <c r="M146" i="14" a="1"/>
  <c r="M146" i="14" s="1"/>
  <c r="L146" i="14" a="1"/>
  <c r="L146" i="14" s="1"/>
  <c r="K146" i="14" a="1"/>
  <c r="K146" i="14" s="1"/>
  <c r="J146" i="14" a="1"/>
  <c r="J146" i="14" s="1"/>
  <c r="I146" i="14" a="1"/>
  <c r="I146" i="14" s="1"/>
  <c r="H146" i="14" a="1"/>
  <c r="H146" i="14" s="1"/>
  <c r="G146" i="14" a="1"/>
  <c r="G146" i="14" s="1"/>
  <c r="F146" i="14" a="1"/>
  <c r="F146" i="14" s="1"/>
  <c r="E146" i="14" a="1"/>
  <c r="E146" i="14" s="1"/>
  <c r="D146" i="14" a="1"/>
  <c r="D146" i="14" s="1"/>
  <c r="AE145" i="14" a="1"/>
  <c r="AE145" i="14" s="1"/>
  <c r="AD145" i="14" a="1"/>
  <c r="AD145" i="14" s="1"/>
  <c r="AC145" i="14" a="1"/>
  <c r="AC145" i="14" s="1"/>
  <c r="AB145" i="14" a="1"/>
  <c r="AB145" i="14" s="1"/>
  <c r="AA145" i="14" a="1"/>
  <c r="AA145" i="14" s="1"/>
  <c r="Z145" i="14" a="1"/>
  <c r="Z145" i="14" s="1"/>
  <c r="Y145" i="14" a="1"/>
  <c r="Y145" i="14" s="1"/>
  <c r="X145" i="14" a="1"/>
  <c r="X145" i="14" s="1"/>
  <c r="W145" i="14" a="1"/>
  <c r="W145" i="14" s="1"/>
  <c r="V145" i="14" a="1"/>
  <c r="V145" i="14" s="1"/>
  <c r="U145" i="14" a="1"/>
  <c r="U145" i="14" s="1"/>
  <c r="T145" i="14" a="1"/>
  <c r="T145" i="14" s="1"/>
  <c r="S145" i="14" a="1"/>
  <c r="S145" i="14" s="1"/>
  <c r="R145" i="14" a="1"/>
  <c r="R145" i="14" s="1"/>
  <c r="Q145" i="14" a="1"/>
  <c r="Q145" i="14" s="1"/>
  <c r="P145" i="14" a="1"/>
  <c r="P145" i="14" s="1"/>
  <c r="O145" i="14" a="1"/>
  <c r="O145" i="14" s="1"/>
  <c r="N145" i="14" a="1"/>
  <c r="N145" i="14" s="1"/>
  <c r="M145" i="14" a="1"/>
  <c r="M145" i="14" s="1"/>
  <c r="L145" i="14" a="1"/>
  <c r="L145" i="14" s="1"/>
  <c r="K145" i="14" a="1"/>
  <c r="K145" i="14" s="1"/>
  <c r="J145" i="14" a="1"/>
  <c r="J145" i="14" s="1"/>
  <c r="I145" i="14" a="1"/>
  <c r="I145" i="14" s="1"/>
  <c r="H145" i="14" a="1"/>
  <c r="H145" i="14" s="1"/>
  <c r="G145" i="14" a="1"/>
  <c r="G145" i="14" s="1"/>
  <c r="F145" i="14" a="1"/>
  <c r="F145" i="14" s="1"/>
  <c r="E145" i="14" a="1"/>
  <c r="E145" i="14" s="1"/>
  <c r="D145" i="14" a="1"/>
  <c r="D145" i="14" s="1"/>
  <c r="AE144" i="14" a="1"/>
  <c r="AE144" i="14" s="1"/>
  <c r="AD144" i="14" a="1"/>
  <c r="AD144" i="14" s="1"/>
  <c r="AC144" i="14" a="1"/>
  <c r="AC144" i="14" s="1"/>
  <c r="AB144" i="14" a="1"/>
  <c r="AB144" i="14" s="1"/>
  <c r="AA144" i="14" a="1"/>
  <c r="AA144" i="14" s="1"/>
  <c r="Z144" i="14" a="1"/>
  <c r="Z144" i="14" s="1"/>
  <c r="Y144" i="14" a="1"/>
  <c r="Y144" i="14" s="1"/>
  <c r="X144" i="14" a="1"/>
  <c r="X144" i="14" s="1"/>
  <c r="W144" i="14" a="1"/>
  <c r="W144" i="14" s="1"/>
  <c r="V144" i="14" a="1"/>
  <c r="V144" i="14" s="1"/>
  <c r="U144" i="14" a="1"/>
  <c r="U144" i="14" s="1"/>
  <c r="T144" i="14" a="1"/>
  <c r="T144" i="14" s="1"/>
  <c r="S144" i="14" a="1"/>
  <c r="S144" i="14" s="1"/>
  <c r="R144" i="14" a="1"/>
  <c r="R144" i="14" s="1"/>
  <c r="Q144" i="14" a="1"/>
  <c r="Q144" i="14" s="1"/>
  <c r="P144" i="14" a="1"/>
  <c r="P144" i="14" s="1"/>
  <c r="O144" i="14" a="1"/>
  <c r="O144" i="14" s="1"/>
  <c r="N144" i="14" a="1"/>
  <c r="N144" i="14" s="1"/>
  <c r="M144" i="14" a="1"/>
  <c r="M144" i="14" s="1"/>
  <c r="L144" i="14" a="1"/>
  <c r="L144" i="14" s="1"/>
  <c r="K144" i="14" a="1"/>
  <c r="K144" i="14" s="1"/>
  <c r="J144" i="14" a="1"/>
  <c r="J144" i="14" s="1"/>
  <c r="I144" i="14" a="1"/>
  <c r="I144" i="14" s="1"/>
  <c r="H144" i="14" a="1"/>
  <c r="H144" i="14" s="1"/>
  <c r="G144" i="14" a="1"/>
  <c r="G144" i="14" s="1"/>
  <c r="F144" i="14" a="1"/>
  <c r="F144" i="14" s="1"/>
  <c r="E144" i="14" a="1"/>
  <c r="E144" i="14" s="1"/>
  <c r="D144" i="14" a="1"/>
  <c r="D144" i="14" s="1"/>
  <c r="AE143" i="14" a="1"/>
  <c r="AE143" i="14" s="1"/>
  <c r="AD143" i="14" a="1"/>
  <c r="AD143" i="14" s="1"/>
  <c r="AC143" i="14" a="1"/>
  <c r="AC143" i="14" s="1"/>
  <c r="AB143" i="14" a="1"/>
  <c r="AB143" i="14" s="1"/>
  <c r="AA143" i="14" a="1"/>
  <c r="AA143" i="14" s="1"/>
  <c r="Z143" i="14" a="1"/>
  <c r="Z143" i="14" s="1"/>
  <c r="Y143" i="14" a="1"/>
  <c r="Y143" i="14" s="1"/>
  <c r="X143" i="14" a="1"/>
  <c r="X143" i="14" s="1"/>
  <c r="W143" i="14" a="1"/>
  <c r="W143" i="14" s="1"/>
  <c r="V143" i="14" a="1"/>
  <c r="V143" i="14" s="1"/>
  <c r="U143" i="14" a="1"/>
  <c r="U143" i="14" s="1"/>
  <c r="T143" i="14" a="1"/>
  <c r="T143" i="14" s="1"/>
  <c r="S143" i="14" a="1"/>
  <c r="S143" i="14" s="1"/>
  <c r="R143" i="14" a="1"/>
  <c r="R143" i="14" s="1"/>
  <c r="Q143" i="14" a="1"/>
  <c r="Q143" i="14" s="1"/>
  <c r="P143" i="14" a="1"/>
  <c r="P143" i="14" s="1"/>
  <c r="O143" i="14" a="1"/>
  <c r="O143" i="14" s="1"/>
  <c r="N143" i="14" a="1"/>
  <c r="N143" i="14" s="1"/>
  <c r="M143" i="14" a="1"/>
  <c r="M143" i="14" s="1"/>
  <c r="L143" i="14" a="1"/>
  <c r="L143" i="14" s="1"/>
  <c r="K143" i="14" a="1"/>
  <c r="K143" i="14" s="1"/>
  <c r="J143" i="14" a="1"/>
  <c r="J143" i="14" s="1"/>
  <c r="I143" i="14" a="1"/>
  <c r="I143" i="14" s="1"/>
  <c r="H143" i="14" a="1"/>
  <c r="H143" i="14" s="1"/>
  <c r="G143" i="14" a="1"/>
  <c r="G143" i="14" s="1"/>
  <c r="F143" i="14" a="1"/>
  <c r="F143" i="14" s="1"/>
  <c r="E143" i="14" a="1"/>
  <c r="E143" i="14" s="1"/>
  <c r="D143" i="14" a="1"/>
  <c r="D143" i="14" s="1"/>
  <c r="AE142" i="14" a="1"/>
  <c r="AE142" i="14" s="1"/>
  <c r="AD142" i="14" a="1"/>
  <c r="AD142" i="14" s="1"/>
  <c r="AC142" i="14" a="1"/>
  <c r="AC142" i="14" s="1"/>
  <c r="AB142" i="14" a="1"/>
  <c r="AB142" i="14" s="1"/>
  <c r="AA142" i="14" a="1"/>
  <c r="AA142" i="14" s="1"/>
  <c r="Z142" i="14" a="1"/>
  <c r="Z142" i="14" s="1"/>
  <c r="Y142" i="14" a="1"/>
  <c r="Y142" i="14" s="1"/>
  <c r="X142" i="14" a="1"/>
  <c r="X142" i="14" s="1"/>
  <c r="W142" i="14" a="1"/>
  <c r="W142" i="14" s="1"/>
  <c r="V142" i="14" a="1"/>
  <c r="V142" i="14" s="1"/>
  <c r="U142" i="14" a="1"/>
  <c r="U142" i="14" s="1"/>
  <c r="T142" i="14" a="1"/>
  <c r="T142" i="14" s="1"/>
  <c r="S142" i="14" a="1"/>
  <c r="S142" i="14" s="1"/>
  <c r="R142" i="14" a="1"/>
  <c r="R142" i="14" s="1"/>
  <c r="Q142" i="14" a="1"/>
  <c r="Q142" i="14" s="1"/>
  <c r="P142" i="14" a="1"/>
  <c r="P142" i="14" s="1"/>
  <c r="O142" i="14" a="1"/>
  <c r="O142" i="14" s="1"/>
  <c r="N142" i="14" a="1"/>
  <c r="N142" i="14" s="1"/>
  <c r="M142" i="14" a="1"/>
  <c r="M142" i="14" s="1"/>
  <c r="L142" i="14" a="1"/>
  <c r="L142" i="14" s="1"/>
  <c r="K142" i="14" a="1"/>
  <c r="K142" i="14" s="1"/>
  <c r="J142" i="14" a="1"/>
  <c r="J142" i="14" s="1"/>
  <c r="I142" i="14" a="1"/>
  <c r="I142" i="14" s="1"/>
  <c r="H142" i="14" a="1"/>
  <c r="H142" i="14" s="1"/>
  <c r="G142" i="14" a="1"/>
  <c r="G142" i="14" s="1"/>
  <c r="F142" i="14" a="1"/>
  <c r="F142" i="14" s="1"/>
  <c r="E142" i="14" a="1"/>
  <c r="E142" i="14" s="1"/>
  <c r="D142" i="14" a="1"/>
  <c r="D142" i="14" s="1"/>
  <c r="AE141" i="14" a="1"/>
  <c r="AE141" i="14" s="1"/>
  <c r="AD141" i="14" a="1"/>
  <c r="AD141" i="14" s="1"/>
  <c r="AC141" i="14" a="1"/>
  <c r="AC141" i="14" s="1"/>
  <c r="AB141" i="14" a="1"/>
  <c r="AB141" i="14" s="1"/>
  <c r="AA141" i="14" a="1"/>
  <c r="AA141" i="14" s="1"/>
  <c r="Z141" i="14" a="1"/>
  <c r="Z141" i="14" s="1"/>
  <c r="Y141" i="14" a="1"/>
  <c r="Y141" i="14" s="1"/>
  <c r="X141" i="14" a="1"/>
  <c r="X141" i="14" s="1"/>
  <c r="W141" i="14" a="1"/>
  <c r="W141" i="14" s="1"/>
  <c r="V141" i="14" a="1"/>
  <c r="V141" i="14" s="1"/>
  <c r="U141" i="14" a="1"/>
  <c r="U141" i="14" s="1"/>
  <c r="T141" i="14" a="1"/>
  <c r="T141" i="14" s="1"/>
  <c r="S141" i="14" a="1"/>
  <c r="S141" i="14" s="1"/>
  <c r="R141" i="14" a="1"/>
  <c r="R141" i="14" s="1"/>
  <c r="Q141" i="14" a="1"/>
  <c r="Q141" i="14" s="1"/>
  <c r="P141" i="14" a="1"/>
  <c r="P141" i="14" s="1"/>
  <c r="O141" i="14" a="1"/>
  <c r="O141" i="14" s="1"/>
  <c r="N141" i="14" a="1"/>
  <c r="N141" i="14" s="1"/>
  <c r="M141" i="14" a="1"/>
  <c r="M141" i="14" s="1"/>
  <c r="L141" i="14" a="1"/>
  <c r="L141" i="14" s="1"/>
  <c r="K141" i="14" a="1"/>
  <c r="K141" i="14" s="1"/>
  <c r="J141" i="14" a="1"/>
  <c r="J141" i="14" s="1"/>
  <c r="I141" i="14" a="1"/>
  <c r="I141" i="14" s="1"/>
  <c r="H141" i="14" a="1"/>
  <c r="H141" i="14" s="1"/>
  <c r="G141" i="14" a="1"/>
  <c r="G141" i="14" s="1"/>
  <c r="F141" i="14" a="1"/>
  <c r="F141" i="14" s="1"/>
  <c r="E141" i="14" a="1"/>
  <c r="E141" i="14" s="1"/>
  <c r="D141" i="14" a="1"/>
  <c r="D141" i="14" s="1"/>
  <c r="AE140" i="14" a="1"/>
  <c r="AE140" i="14" s="1"/>
  <c r="AD140" i="14" a="1"/>
  <c r="AD140" i="14" s="1"/>
  <c r="AC140" i="14" a="1"/>
  <c r="AC140" i="14" s="1"/>
  <c r="AB140" i="14" a="1"/>
  <c r="AB140" i="14" s="1"/>
  <c r="AA140" i="14" a="1"/>
  <c r="AA140" i="14" s="1"/>
  <c r="Z140" i="14" a="1"/>
  <c r="Z140" i="14" s="1"/>
  <c r="Y140" i="14" a="1"/>
  <c r="Y140" i="14" s="1"/>
  <c r="X140" i="14" a="1"/>
  <c r="X140" i="14" s="1"/>
  <c r="W140" i="14" a="1"/>
  <c r="W140" i="14" s="1"/>
  <c r="V140" i="14" a="1"/>
  <c r="V140" i="14" s="1"/>
  <c r="U140" i="14" a="1"/>
  <c r="U140" i="14" s="1"/>
  <c r="T140" i="14" a="1"/>
  <c r="T140" i="14" s="1"/>
  <c r="S140" i="14" a="1"/>
  <c r="S140" i="14" s="1"/>
  <c r="R140" i="14" a="1"/>
  <c r="R140" i="14" s="1"/>
  <c r="Q140" i="14" a="1"/>
  <c r="Q140" i="14" s="1"/>
  <c r="P140" i="14" a="1"/>
  <c r="P140" i="14" s="1"/>
  <c r="O140" i="14" a="1"/>
  <c r="O140" i="14" s="1"/>
  <c r="N140" i="14" a="1"/>
  <c r="N140" i="14" s="1"/>
  <c r="M140" i="14" a="1"/>
  <c r="M140" i="14" s="1"/>
  <c r="L140" i="14" a="1"/>
  <c r="L140" i="14" s="1"/>
  <c r="K140" i="14" a="1"/>
  <c r="K140" i="14" s="1"/>
  <c r="J140" i="14" a="1"/>
  <c r="J140" i="14" s="1"/>
  <c r="I140" i="14" a="1"/>
  <c r="I140" i="14" s="1"/>
  <c r="H140" i="14" a="1"/>
  <c r="H140" i="14" s="1"/>
  <c r="G140" i="14" a="1"/>
  <c r="G140" i="14" s="1"/>
  <c r="F140" i="14" a="1"/>
  <c r="F140" i="14" s="1"/>
  <c r="E140" i="14" a="1"/>
  <c r="E140" i="14" s="1"/>
  <c r="D140" i="14" a="1"/>
  <c r="D140" i="14" s="1"/>
  <c r="AE139" i="14" a="1"/>
  <c r="AE139" i="14" s="1"/>
  <c r="AD139" i="14" a="1"/>
  <c r="AD139" i="14" s="1"/>
  <c r="AC139" i="14" a="1"/>
  <c r="AC139" i="14" s="1"/>
  <c r="AB139" i="14" a="1"/>
  <c r="AB139" i="14" s="1"/>
  <c r="AA139" i="14" a="1"/>
  <c r="AA139" i="14" s="1"/>
  <c r="Z139" i="14" a="1"/>
  <c r="Z139" i="14" s="1"/>
  <c r="Y139" i="14" a="1"/>
  <c r="Y139" i="14" s="1"/>
  <c r="X139" i="14" a="1"/>
  <c r="X139" i="14" s="1"/>
  <c r="W139" i="14" a="1"/>
  <c r="W139" i="14" s="1"/>
  <c r="V139" i="14" a="1"/>
  <c r="V139" i="14" s="1"/>
  <c r="U139" i="14" a="1"/>
  <c r="U139" i="14" s="1"/>
  <c r="T139" i="14" a="1"/>
  <c r="T139" i="14" s="1"/>
  <c r="S139" i="14" a="1"/>
  <c r="S139" i="14" s="1"/>
  <c r="R139" i="14" a="1"/>
  <c r="R139" i="14" s="1"/>
  <c r="Q139" i="14" a="1"/>
  <c r="Q139" i="14" s="1"/>
  <c r="P139" i="14" a="1"/>
  <c r="P139" i="14" s="1"/>
  <c r="O139" i="14" a="1"/>
  <c r="O139" i="14" s="1"/>
  <c r="N139" i="14" a="1"/>
  <c r="N139" i="14" s="1"/>
  <c r="M139" i="14" a="1"/>
  <c r="M139" i="14" s="1"/>
  <c r="L139" i="14" a="1"/>
  <c r="L139" i="14" s="1"/>
  <c r="K139" i="14" a="1"/>
  <c r="K139" i="14" s="1"/>
  <c r="J139" i="14" a="1"/>
  <c r="J139" i="14" s="1"/>
  <c r="I139" i="14" a="1"/>
  <c r="I139" i="14" s="1"/>
  <c r="H139" i="14" a="1"/>
  <c r="H139" i="14" s="1"/>
  <c r="G139" i="14" a="1"/>
  <c r="G139" i="14" s="1"/>
  <c r="F139" i="14" a="1"/>
  <c r="F139" i="14" s="1"/>
  <c r="E139" i="14" a="1"/>
  <c r="E139" i="14" s="1"/>
  <c r="D139" i="14" a="1"/>
  <c r="D139" i="14" s="1"/>
  <c r="AE138" i="14" a="1"/>
  <c r="AE138" i="14" s="1"/>
  <c r="AD138" i="14" a="1"/>
  <c r="AD138" i="14" s="1"/>
  <c r="AC138" i="14" a="1"/>
  <c r="AC138" i="14" s="1"/>
  <c r="AB138" i="14" a="1"/>
  <c r="AB138" i="14" s="1"/>
  <c r="AA138" i="14" a="1"/>
  <c r="AA138" i="14" s="1"/>
  <c r="Z138" i="14" a="1"/>
  <c r="Z138" i="14" s="1"/>
  <c r="Y138" i="14" a="1"/>
  <c r="Y138" i="14" s="1"/>
  <c r="X138" i="14" a="1"/>
  <c r="X138" i="14" s="1"/>
  <c r="W138" i="14" a="1"/>
  <c r="W138" i="14" s="1"/>
  <c r="V138" i="14" a="1"/>
  <c r="V138" i="14" s="1"/>
  <c r="U138" i="14" a="1"/>
  <c r="U138" i="14" s="1"/>
  <c r="T138" i="14" a="1"/>
  <c r="T138" i="14" s="1"/>
  <c r="S138" i="14" a="1"/>
  <c r="S138" i="14" s="1"/>
  <c r="R138" i="14" a="1"/>
  <c r="R138" i="14" s="1"/>
  <c r="Q138" i="14" a="1"/>
  <c r="Q138" i="14" s="1"/>
  <c r="P138" i="14" a="1"/>
  <c r="P138" i="14" s="1"/>
  <c r="O138" i="14" a="1"/>
  <c r="O138" i="14" s="1"/>
  <c r="N138" i="14" a="1"/>
  <c r="N138" i="14" s="1"/>
  <c r="M138" i="14" a="1"/>
  <c r="M138" i="14" s="1"/>
  <c r="L138" i="14" a="1"/>
  <c r="L138" i="14" s="1"/>
  <c r="K138" i="14" a="1"/>
  <c r="K138" i="14" s="1"/>
  <c r="J138" i="14" a="1"/>
  <c r="J138" i="14" s="1"/>
  <c r="I138" i="14" a="1"/>
  <c r="I138" i="14" s="1"/>
  <c r="H138" i="14" a="1"/>
  <c r="H138" i="14" s="1"/>
  <c r="G138" i="14" a="1"/>
  <c r="G138" i="14" s="1"/>
  <c r="F138" i="14" a="1"/>
  <c r="F138" i="14" s="1"/>
  <c r="E138" i="14" a="1"/>
  <c r="E138" i="14" s="1"/>
  <c r="D138" i="14" a="1"/>
  <c r="D138" i="14" s="1"/>
  <c r="AE137" i="14" a="1"/>
  <c r="AE137" i="14" s="1"/>
  <c r="AD137" i="14" a="1"/>
  <c r="AD137" i="14" s="1"/>
  <c r="AC137" i="14" a="1"/>
  <c r="AC137" i="14" s="1"/>
  <c r="AB137" i="14" a="1"/>
  <c r="AB137" i="14" s="1"/>
  <c r="AA137" i="14" a="1"/>
  <c r="AA137" i="14" s="1"/>
  <c r="Z137" i="14" a="1"/>
  <c r="Z137" i="14" s="1"/>
  <c r="Y137" i="14" a="1"/>
  <c r="Y137" i="14" s="1"/>
  <c r="X137" i="14" a="1"/>
  <c r="X137" i="14" s="1"/>
  <c r="W137" i="14" a="1"/>
  <c r="W137" i="14" s="1"/>
  <c r="V137" i="14" a="1"/>
  <c r="V137" i="14" s="1"/>
  <c r="U137" i="14" a="1"/>
  <c r="U137" i="14" s="1"/>
  <c r="T137" i="14" a="1"/>
  <c r="T137" i="14" s="1"/>
  <c r="S137" i="14" a="1"/>
  <c r="S137" i="14" s="1"/>
  <c r="R137" i="14" a="1"/>
  <c r="R137" i="14" s="1"/>
  <c r="Q137" i="14" a="1"/>
  <c r="Q137" i="14" s="1"/>
  <c r="P137" i="14" a="1"/>
  <c r="P137" i="14" s="1"/>
  <c r="O137" i="14" a="1"/>
  <c r="O137" i="14" s="1"/>
  <c r="N137" i="14" a="1"/>
  <c r="N137" i="14" s="1"/>
  <c r="M137" i="14" a="1"/>
  <c r="M137" i="14" s="1"/>
  <c r="L137" i="14" a="1"/>
  <c r="L137" i="14" s="1"/>
  <c r="K137" i="14" a="1"/>
  <c r="K137" i="14" s="1"/>
  <c r="J137" i="14" a="1"/>
  <c r="J137" i="14" s="1"/>
  <c r="I137" i="14" a="1"/>
  <c r="I137" i="14" s="1"/>
  <c r="H137" i="14" a="1"/>
  <c r="H137" i="14" s="1"/>
  <c r="G137" i="14" a="1"/>
  <c r="G137" i="14" s="1"/>
  <c r="F137" i="14" a="1"/>
  <c r="F137" i="14" s="1"/>
  <c r="E137" i="14" a="1"/>
  <c r="E137" i="14" s="1"/>
  <c r="D137" i="14" a="1"/>
  <c r="D137" i="14" s="1"/>
  <c r="AE136" i="14" a="1"/>
  <c r="AE136" i="14" s="1"/>
  <c r="AD136" i="14" a="1"/>
  <c r="AD136" i="14" s="1"/>
  <c r="AC136" i="14" a="1"/>
  <c r="AC136" i="14" s="1"/>
  <c r="AB136" i="14" a="1"/>
  <c r="AB136" i="14" s="1"/>
  <c r="AA136" i="14" a="1"/>
  <c r="AA136" i="14" s="1"/>
  <c r="Z136" i="14" a="1"/>
  <c r="Z136" i="14" s="1"/>
  <c r="Y136" i="14" a="1"/>
  <c r="Y136" i="14" s="1"/>
  <c r="X136" i="14" a="1"/>
  <c r="X136" i="14" s="1"/>
  <c r="W136" i="14" a="1"/>
  <c r="W136" i="14" s="1"/>
  <c r="V136" i="14" a="1"/>
  <c r="V136" i="14" s="1"/>
  <c r="U136" i="14" a="1"/>
  <c r="U136" i="14" s="1"/>
  <c r="T136" i="14" a="1"/>
  <c r="T136" i="14" s="1"/>
  <c r="S136" i="14" a="1"/>
  <c r="S136" i="14" s="1"/>
  <c r="R136" i="14" a="1"/>
  <c r="R136" i="14" s="1"/>
  <c r="Q136" i="14" a="1"/>
  <c r="Q136" i="14" s="1"/>
  <c r="P136" i="14" a="1"/>
  <c r="P136" i="14" s="1"/>
  <c r="O136" i="14" a="1"/>
  <c r="O136" i="14" s="1"/>
  <c r="N136" i="14" a="1"/>
  <c r="N136" i="14" s="1"/>
  <c r="M136" i="14" a="1"/>
  <c r="M136" i="14" s="1"/>
  <c r="L136" i="14" a="1"/>
  <c r="L136" i="14" s="1"/>
  <c r="K136" i="14" a="1"/>
  <c r="K136" i="14" s="1"/>
  <c r="J136" i="14" a="1"/>
  <c r="J136" i="14" s="1"/>
  <c r="I136" i="14" a="1"/>
  <c r="I136" i="14" s="1"/>
  <c r="H136" i="14" a="1"/>
  <c r="H136" i="14" s="1"/>
  <c r="G136" i="14" a="1"/>
  <c r="G136" i="14" s="1"/>
  <c r="F136" i="14" a="1"/>
  <c r="F136" i="14" s="1"/>
  <c r="E136" i="14" a="1"/>
  <c r="E136" i="14" s="1"/>
  <c r="D136" i="14" a="1"/>
  <c r="D136" i="14" s="1"/>
  <c r="AE135" i="14" a="1"/>
  <c r="AE135" i="14" s="1"/>
  <c r="AD135" i="14" a="1"/>
  <c r="AD135" i="14" s="1"/>
  <c r="AC135" i="14" a="1"/>
  <c r="AC135" i="14" s="1"/>
  <c r="AB135" i="14" a="1"/>
  <c r="AB135" i="14" s="1"/>
  <c r="AA135" i="14" a="1"/>
  <c r="AA135" i="14" s="1"/>
  <c r="Z135" i="14" a="1"/>
  <c r="Z135" i="14" s="1"/>
  <c r="Y135" i="14" a="1"/>
  <c r="Y135" i="14" s="1"/>
  <c r="X135" i="14" a="1"/>
  <c r="X135" i="14" s="1"/>
  <c r="W135" i="14" a="1"/>
  <c r="W135" i="14" s="1"/>
  <c r="V135" i="14" a="1"/>
  <c r="V135" i="14" s="1"/>
  <c r="U135" i="14" a="1"/>
  <c r="U135" i="14" s="1"/>
  <c r="T135" i="14" a="1"/>
  <c r="T135" i="14" s="1"/>
  <c r="S135" i="14" a="1"/>
  <c r="S135" i="14" s="1"/>
  <c r="R135" i="14" a="1"/>
  <c r="R135" i="14" s="1"/>
  <c r="Q135" i="14" a="1"/>
  <c r="Q135" i="14" s="1"/>
  <c r="P135" i="14" a="1"/>
  <c r="P135" i="14" s="1"/>
  <c r="O135" i="14" a="1"/>
  <c r="O135" i="14" s="1"/>
  <c r="N135" i="14" a="1"/>
  <c r="N135" i="14" s="1"/>
  <c r="M135" i="14" a="1"/>
  <c r="M135" i="14" s="1"/>
  <c r="L135" i="14" a="1"/>
  <c r="L135" i="14" s="1"/>
  <c r="K135" i="14" a="1"/>
  <c r="K135" i="14" s="1"/>
  <c r="J135" i="14" a="1"/>
  <c r="J135" i="14" s="1"/>
  <c r="I135" i="14" a="1"/>
  <c r="I135" i="14" s="1"/>
  <c r="H135" i="14" a="1"/>
  <c r="H135" i="14" s="1"/>
  <c r="G135" i="14" a="1"/>
  <c r="G135" i="14" s="1"/>
  <c r="F135" i="14" a="1"/>
  <c r="F135" i="14" s="1"/>
  <c r="E135" i="14" a="1"/>
  <c r="E135" i="14" s="1"/>
  <c r="D135" i="14" a="1"/>
  <c r="D135" i="14" s="1"/>
  <c r="AE134" i="14" a="1"/>
  <c r="AE134" i="14" s="1"/>
  <c r="AD134" i="14" a="1"/>
  <c r="AD134" i="14" s="1"/>
  <c r="AC134" i="14" a="1"/>
  <c r="AC134" i="14" s="1"/>
  <c r="AB134" i="14" a="1"/>
  <c r="AB134" i="14" s="1"/>
  <c r="AA134" i="14" a="1"/>
  <c r="AA134" i="14" s="1"/>
  <c r="Z134" i="14" a="1"/>
  <c r="Z134" i="14" s="1"/>
  <c r="Y134" i="14" a="1"/>
  <c r="Y134" i="14" s="1"/>
  <c r="X134" i="14" a="1"/>
  <c r="X134" i="14" s="1"/>
  <c r="W134" i="14" a="1"/>
  <c r="W134" i="14" s="1"/>
  <c r="V134" i="14" a="1"/>
  <c r="V134" i="14" s="1"/>
  <c r="U134" i="14" a="1"/>
  <c r="U134" i="14" s="1"/>
  <c r="T134" i="14" a="1"/>
  <c r="T134" i="14" s="1"/>
  <c r="S134" i="14" a="1"/>
  <c r="S134" i="14" s="1"/>
  <c r="R134" i="14" a="1"/>
  <c r="R134" i="14" s="1"/>
  <c r="Q134" i="14" a="1"/>
  <c r="Q134" i="14" s="1"/>
  <c r="P134" i="14" a="1"/>
  <c r="P134" i="14" s="1"/>
  <c r="O134" i="14" a="1"/>
  <c r="O134" i="14" s="1"/>
  <c r="N134" i="14" a="1"/>
  <c r="N134" i="14" s="1"/>
  <c r="M134" i="14" a="1"/>
  <c r="M134" i="14" s="1"/>
  <c r="L134" i="14" a="1"/>
  <c r="L134" i="14" s="1"/>
  <c r="K134" i="14" a="1"/>
  <c r="K134" i="14" s="1"/>
  <c r="J134" i="14" a="1"/>
  <c r="J134" i="14" s="1"/>
  <c r="I134" i="14" a="1"/>
  <c r="I134" i="14" s="1"/>
  <c r="H134" i="14" a="1"/>
  <c r="H134" i="14" s="1"/>
  <c r="G134" i="14" a="1"/>
  <c r="G134" i="14" s="1"/>
  <c r="F134" i="14" a="1"/>
  <c r="F134" i="14" s="1"/>
  <c r="E134" i="14" a="1"/>
  <c r="E134" i="14" s="1"/>
  <c r="D134" i="14" a="1"/>
  <c r="D134" i="14" s="1"/>
  <c r="AE133" i="14" a="1"/>
  <c r="AE133" i="14" s="1"/>
  <c r="AD133" i="14" a="1"/>
  <c r="AD133" i="14" s="1"/>
  <c r="AC133" i="14" a="1"/>
  <c r="AC133" i="14" s="1"/>
  <c r="AB133" i="14" a="1"/>
  <c r="AB133" i="14" s="1"/>
  <c r="AA133" i="14" a="1"/>
  <c r="AA133" i="14" s="1"/>
  <c r="Z133" i="14" a="1"/>
  <c r="Z133" i="14" s="1"/>
  <c r="Y133" i="14" a="1"/>
  <c r="Y133" i="14" s="1"/>
  <c r="X133" i="14" a="1"/>
  <c r="X133" i="14" s="1"/>
  <c r="W133" i="14" a="1"/>
  <c r="W133" i="14" s="1"/>
  <c r="V133" i="14" a="1"/>
  <c r="V133" i="14" s="1"/>
  <c r="U133" i="14" a="1"/>
  <c r="U133" i="14" s="1"/>
  <c r="T133" i="14" a="1"/>
  <c r="T133" i="14" s="1"/>
  <c r="S133" i="14" a="1"/>
  <c r="S133" i="14" s="1"/>
  <c r="R133" i="14" a="1"/>
  <c r="R133" i="14" s="1"/>
  <c r="Q133" i="14" a="1"/>
  <c r="Q133" i="14" s="1"/>
  <c r="P133" i="14" a="1"/>
  <c r="P133" i="14" s="1"/>
  <c r="O133" i="14" a="1"/>
  <c r="O133" i="14" s="1"/>
  <c r="N133" i="14" a="1"/>
  <c r="N133" i="14" s="1"/>
  <c r="M133" i="14" a="1"/>
  <c r="M133" i="14" s="1"/>
  <c r="L133" i="14" a="1"/>
  <c r="L133" i="14" s="1"/>
  <c r="K133" i="14" a="1"/>
  <c r="K133" i="14" s="1"/>
  <c r="J133" i="14" a="1"/>
  <c r="J133" i="14" s="1"/>
  <c r="I133" i="14" a="1"/>
  <c r="I133" i="14" s="1"/>
  <c r="H133" i="14" a="1"/>
  <c r="H133" i="14" s="1"/>
  <c r="G133" i="14" a="1"/>
  <c r="G133" i="14" s="1"/>
  <c r="F133" i="14" a="1"/>
  <c r="F133" i="14" s="1"/>
  <c r="E133" i="14" a="1"/>
  <c r="E133" i="14" s="1"/>
  <c r="D133" i="14" a="1"/>
  <c r="D133" i="14" s="1"/>
  <c r="AE132" i="14" a="1"/>
  <c r="AE132" i="14" s="1"/>
  <c r="AD132" i="14" a="1"/>
  <c r="AD132" i="14" s="1"/>
  <c r="AC132" i="14" a="1"/>
  <c r="AC132" i="14" s="1"/>
  <c r="AB132" i="14" a="1"/>
  <c r="AB132" i="14" s="1"/>
  <c r="AA132" i="14" a="1"/>
  <c r="AA132" i="14" s="1"/>
  <c r="Z132" i="14" a="1"/>
  <c r="Z132" i="14" s="1"/>
  <c r="Y132" i="14" a="1"/>
  <c r="Y132" i="14" s="1"/>
  <c r="X132" i="14" a="1"/>
  <c r="X132" i="14" s="1"/>
  <c r="W132" i="14" a="1"/>
  <c r="W132" i="14" s="1"/>
  <c r="V132" i="14" a="1"/>
  <c r="V132" i="14" s="1"/>
  <c r="U132" i="14" a="1"/>
  <c r="U132" i="14" s="1"/>
  <c r="T132" i="14" a="1"/>
  <c r="T132" i="14" s="1"/>
  <c r="S132" i="14" a="1"/>
  <c r="S132" i="14" s="1"/>
  <c r="R132" i="14" a="1"/>
  <c r="R132" i="14" s="1"/>
  <c r="Q132" i="14" a="1"/>
  <c r="Q132" i="14" s="1"/>
  <c r="P132" i="14" a="1"/>
  <c r="P132" i="14" s="1"/>
  <c r="O132" i="14" a="1"/>
  <c r="O132" i="14" s="1"/>
  <c r="N132" i="14" a="1"/>
  <c r="N132" i="14" s="1"/>
  <c r="M132" i="14" a="1"/>
  <c r="M132" i="14" s="1"/>
  <c r="L132" i="14" a="1"/>
  <c r="L132" i="14" s="1"/>
  <c r="K132" i="14" a="1"/>
  <c r="K132" i="14" s="1"/>
  <c r="J132" i="14" a="1"/>
  <c r="J132" i="14" s="1"/>
  <c r="I132" i="14" a="1"/>
  <c r="I132" i="14" s="1"/>
  <c r="H132" i="14" a="1"/>
  <c r="H132" i="14" s="1"/>
  <c r="G132" i="14" a="1"/>
  <c r="G132" i="14" s="1"/>
  <c r="F132" i="14" a="1"/>
  <c r="F132" i="14" s="1"/>
  <c r="E132" i="14" a="1"/>
  <c r="E132" i="14" s="1"/>
  <c r="D132" i="14" a="1"/>
  <c r="D132" i="14" s="1"/>
  <c r="AE131" i="14" a="1"/>
  <c r="AE131" i="14" s="1"/>
  <c r="AD131" i="14" a="1"/>
  <c r="AD131" i="14" s="1"/>
  <c r="AC131" i="14" a="1"/>
  <c r="AC131" i="14" s="1"/>
  <c r="AB131" i="14" a="1"/>
  <c r="AB131" i="14" s="1"/>
  <c r="AA131" i="14" a="1"/>
  <c r="AA131" i="14" s="1"/>
  <c r="Z131" i="14" a="1"/>
  <c r="Z131" i="14" s="1"/>
  <c r="Y131" i="14" a="1"/>
  <c r="Y131" i="14" s="1"/>
  <c r="X131" i="14" a="1"/>
  <c r="X131" i="14" s="1"/>
  <c r="W131" i="14" a="1"/>
  <c r="W131" i="14" s="1"/>
  <c r="V131" i="14" a="1"/>
  <c r="V131" i="14" s="1"/>
  <c r="U131" i="14" a="1"/>
  <c r="U131" i="14" s="1"/>
  <c r="T131" i="14" a="1"/>
  <c r="T131" i="14" s="1"/>
  <c r="S131" i="14" a="1"/>
  <c r="S131" i="14" s="1"/>
  <c r="R131" i="14" a="1"/>
  <c r="R131" i="14" s="1"/>
  <c r="Q131" i="14" a="1"/>
  <c r="Q131" i="14" s="1"/>
  <c r="P131" i="14" a="1"/>
  <c r="P131" i="14" s="1"/>
  <c r="O131" i="14" a="1"/>
  <c r="O131" i="14" s="1"/>
  <c r="N131" i="14" a="1"/>
  <c r="N131" i="14" s="1"/>
  <c r="M131" i="14" a="1"/>
  <c r="M131" i="14" s="1"/>
  <c r="L131" i="14" a="1"/>
  <c r="L131" i="14" s="1"/>
  <c r="K131" i="14" a="1"/>
  <c r="K131" i="14" s="1"/>
  <c r="J131" i="14" a="1"/>
  <c r="J131" i="14" s="1"/>
  <c r="I131" i="14" a="1"/>
  <c r="I131" i="14" s="1"/>
  <c r="H131" i="14" a="1"/>
  <c r="H131" i="14" s="1"/>
  <c r="G131" i="14" a="1"/>
  <c r="G131" i="14" s="1"/>
  <c r="F131" i="14" a="1"/>
  <c r="F131" i="14" s="1"/>
  <c r="E131" i="14" a="1"/>
  <c r="E131" i="14" s="1"/>
  <c r="D131" i="14" a="1"/>
  <c r="D131" i="14" s="1"/>
  <c r="AE130" i="14" a="1"/>
  <c r="AE130" i="14" s="1"/>
  <c r="AD130" i="14" a="1"/>
  <c r="AD130" i="14" s="1"/>
  <c r="AC130" i="14" a="1"/>
  <c r="AC130" i="14" s="1"/>
  <c r="AB130" i="14" a="1"/>
  <c r="AB130" i="14" s="1"/>
  <c r="AA130" i="14" a="1"/>
  <c r="AA130" i="14" s="1"/>
  <c r="Z130" i="14" a="1"/>
  <c r="Z130" i="14" s="1"/>
  <c r="Y130" i="14" a="1"/>
  <c r="Y130" i="14" s="1"/>
  <c r="X130" i="14" a="1"/>
  <c r="X130" i="14" s="1"/>
  <c r="W130" i="14" a="1"/>
  <c r="W130" i="14" s="1"/>
  <c r="V130" i="14" a="1"/>
  <c r="V130" i="14" s="1"/>
  <c r="U130" i="14" a="1"/>
  <c r="U130" i="14" s="1"/>
  <c r="T130" i="14" a="1"/>
  <c r="T130" i="14" s="1"/>
  <c r="S130" i="14" a="1"/>
  <c r="S130" i="14" s="1"/>
  <c r="R130" i="14" a="1"/>
  <c r="R130" i="14" s="1"/>
  <c r="Q130" i="14" a="1"/>
  <c r="Q130" i="14" s="1"/>
  <c r="P130" i="14" a="1"/>
  <c r="P130" i="14" s="1"/>
  <c r="O130" i="14" a="1"/>
  <c r="O130" i="14" s="1"/>
  <c r="N130" i="14" a="1"/>
  <c r="N130" i="14" s="1"/>
  <c r="M130" i="14" a="1"/>
  <c r="M130" i="14" s="1"/>
  <c r="L130" i="14" a="1"/>
  <c r="L130" i="14" s="1"/>
  <c r="K130" i="14" a="1"/>
  <c r="K130" i="14" s="1"/>
  <c r="J130" i="14" a="1"/>
  <c r="J130" i="14" s="1"/>
  <c r="I130" i="14" a="1"/>
  <c r="I130" i="14" s="1"/>
  <c r="H130" i="14" a="1"/>
  <c r="H130" i="14" s="1"/>
  <c r="G130" i="14" a="1"/>
  <c r="G130" i="14" s="1"/>
  <c r="F130" i="14" a="1"/>
  <c r="F130" i="14" s="1"/>
  <c r="E130" i="14" a="1"/>
  <c r="E130" i="14" s="1"/>
  <c r="D130" i="14" a="1"/>
  <c r="D130" i="14" s="1"/>
  <c r="AE129" i="14" a="1"/>
  <c r="AE129" i="14" s="1"/>
  <c r="AD129" i="14" a="1"/>
  <c r="AD129" i="14" s="1"/>
  <c r="AC129" i="14" a="1"/>
  <c r="AC129" i="14" s="1"/>
  <c r="AB129" i="14" a="1"/>
  <c r="AB129" i="14" s="1"/>
  <c r="AA129" i="14" a="1"/>
  <c r="AA129" i="14" s="1"/>
  <c r="Z129" i="14" a="1"/>
  <c r="Z129" i="14" s="1"/>
  <c r="Y129" i="14" a="1"/>
  <c r="Y129" i="14" s="1"/>
  <c r="X129" i="14" a="1"/>
  <c r="X129" i="14" s="1"/>
  <c r="W129" i="14" a="1"/>
  <c r="W129" i="14" s="1"/>
  <c r="V129" i="14" a="1"/>
  <c r="V129" i="14" s="1"/>
  <c r="U129" i="14" a="1"/>
  <c r="U129" i="14" s="1"/>
  <c r="T129" i="14" a="1"/>
  <c r="T129" i="14" s="1"/>
  <c r="S129" i="14" a="1"/>
  <c r="S129" i="14" s="1"/>
  <c r="R129" i="14" a="1"/>
  <c r="R129" i="14" s="1"/>
  <c r="Q129" i="14" a="1"/>
  <c r="Q129" i="14" s="1"/>
  <c r="P129" i="14" a="1"/>
  <c r="P129" i="14" s="1"/>
  <c r="O129" i="14" a="1"/>
  <c r="O129" i="14" s="1"/>
  <c r="N129" i="14" a="1"/>
  <c r="N129" i="14" s="1"/>
  <c r="M129" i="14" a="1"/>
  <c r="M129" i="14" s="1"/>
  <c r="L129" i="14" a="1"/>
  <c r="L129" i="14" s="1"/>
  <c r="K129" i="14" a="1"/>
  <c r="K129" i="14" s="1"/>
  <c r="J129" i="14" a="1"/>
  <c r="J129" i="14" s="1"/>
  <c r="I129" i="14" a="1"/>
  <c r="I129" i="14" s="1"/>
  <c r="H129" i="14" a="1"/>
  <c r="H129" i="14" s="1"/>
  <c r="G129" i="14" a="1"/>
  <c r="G129" i="14" s="1"/>
  <c r="F129" i="14" a="1"/>
  <c r="F129" i="14" s="1"/>
  <c r="E129" i="14" a="1"/>
  <c r="E129" i="14" s="1"/>
  <c r="D129" i="14" a="1"/>
  <c r="D129" i="14" s="1"/>
  <c r="AE128" i="14" a="1"/>
  <c r="AE128" i="14" s="1"/>
  <c r="AD128" i="14" a="1"/>
  <c r="AD128" i="14" s="1"/>
  <c r="AC128" i="14" a="1"/>
  <c r="AC128" i="14" s="1"/>
  <c r="AB128" i="14" a="1"/>
  <c r="AB128" i="14" s="1"/>
  <c r="AA128" i="14" a="1"/>
  <c r="AA128" i="14" s="1"/>
  <c r="Z128" i="14" a="1"/>
  <c r="Z128" i="14" s="1"/>
  <c r="Y128" i="14" a="1"/>
  <c r="Y128" i="14" s="1"/>
  <c r="X128" i="14" a="1"/>
  <c r="X128" i="14" s="1"/>
  <c r="W128" i="14" a="1"/>
  <c r="W128" i="14" s="1"/>
  <c r="V128" i="14" a="1"/>
  <c r="V128" i="14" s="1"/>
  <c r="U128" i="14" a="1"/>
  <c r="U128" i="14" s="1"/>
  <c r="T128" i="14" a="1"/>
  <c r="T128" i="14" s="1"/>
  <c r="S128" i="14" a="1"/>
  <c r="S128" i="14" s="1"/>
  <c r="R128" i="14" a="1"/>
  <c r="R128" i="14" s="1"/>
  <c r="Q128" i="14" a="1"/>
  <c r="Q128" i="14" s="1"/>
  <c r="P128" i="14" a="1"/>
  <c r="P128" i="14" s="1"/>
  <c r="O128" i="14" a="1"/>
  <c r="O128" i="14" s="1"/>
  <c r="N128" i="14" a="1"/>
  <c r="N128" i="14" s="1"/>
  <c r="M128" i="14" a="1"/>
  <c r="M128" i="14" s="1"/>
  <c r="L128" i="14" a="1"/>
  <c r="L128" i="14" s="1"/>
  <c r="K128" i="14" a="1"/>
  <c r="K128" i="14" s="1"/>
  <c r="J128" i="14" a="1"/>
  <c r="J128" i="14" s="1"/>
  <c r="I128" i="14" a="1"/>
  <c r="I128" i="14" s="1"/>
  <c r="H128" i="14" a="1"/>
  <c r="H128" i="14" s="1"/>
  <c r="G128" i="14" a="1"/>
  <c r="G128" i="14" s="1"/>
  <c r="F128" i="14" a="1"/>
  <c r="F128" i="14" s="1"/>
  <c r="E128" i="14" a="1"/>
  <c r="E128" i="14" s="1"/>
  <c r="D128" i="14" a="1"/>
  <c r="D128" i="14" s="1"/>
  <c r="AE127" i="14" a="1"/>
  <c r="AE127" i="14" s="1"/>
  <c r="AD127" i="14" a="1"/>
  <c r="AD127" i="14" s="1"/>
  <c r="AC127" i="14" a="1"/>
  <c r="AC127" i="14" s="1"/>
  <c r="AB127" i="14" a="1"/>
  <c r="AB127" i="14" s="1"/>
  <c r="AA127" i="14" a="1"/>
  <c r="AA127" i="14" s="1"/>
  <c r="Z127" i="14" a="1"/>
  <c r="Z127" i="14" s="1"/>
  <c r="Y127" i="14" a="1"/>
  <c r="Y127" i="14" s="1"/>
  <c r="X127" i="14" a="1"/>
  <c r="X127" i="14" s="1"/>
  <c r="W127" i="14" a="1"/>
  <c r="W127" i="14" s="1"/>
  <c r="V127" i="14" a="1"/>
  <c r="V127" i="14" s="1"/>
  <c r="U127" i="14" a="1"/>
  <c r="U127" i="14" s="1"/>
  <c r="T127" i="14" a="1"/>
  <c r="T127" i="14" s="1"/>
  <c r="S127" i="14" a="1"/>
  <c r="S127" i="14" s="1"/>
  <c r="R127" i="14" a="1"/>
  <c r="R127" i="14" s="1"/>
  <c r="Q127" i="14" a="1"/>
  <c r="Q127" i="14" s="1"/>
  <c r="P127" i="14" a="1"/>
  <c r="P127" i="14" s="1"/>
  <c r="O127" i="14" a="1"/>
  <c r="O127" i="14" s="1"/>
  <c r="N127" i="14" a="1"/>
  <c r="N127" i="14" s="1"/>
  <c r="M127" i="14" a="1"/>
  <c r="M127" i="14" s="1"/>
  <c r="L127" i="14" a="1"/>
  <c r="L127" i="14" s="1"/>
  <c r="K127" i="14" a="1"/>
  <c r="K127" i="14" s="1"/>
  <c r="J127" i="14" a="1"/>
  <c r="J127" i="14" s="1"/>
  <c r="I127" i="14" a="1"/>
  <c r="I127" i="14" s="1"/>
  <c r="H127" i="14" a="1"/>
  <c r="H127" i="14" s="1"/>
  <c r="G127" i="14" a="1"/>
  <c r="G127" i="14" s="1"/>
  <c r="F127" i="14" a="1"/>
  <c r="F127" i="14" s="1"/>
  <c r="E127" i="14" a="1"/>
  <c r="E127" i="14" s="1"/>
  <c r="D127" i="14" a="1"/>
  <c r="D127" i="14" s="1"/>
  <c r="AE126" i="14" a="1"/>
  <c r="AE126" i="14" s="1"/>
  <c r="AD126" i="14" a="1"/>
  <c r="AD126" i="14" s="1"/>
  <c r="AC126" i="14" a="1"/>
  <c r="AC126" i="14" s="1"/>
  <c r="AB126" i="14" a="1"/>
  <c r="AB126" i="14" s="1"/>
  <c r="AA126" i="14" a="1"/>
  <c r="AA126" i="14" s="1"/>
  <c r="Z126" i="14" a="1"/>
  <c r="Z126" i="14" s="1"/>
  <c r="Y126" i="14" a="1"/>
  <c r="Y126" i="14" s="1"/>
  <c r="X126" i="14" a="1"/>
  <c r="X126" i="14" s="1"/>
  <c r="W126" i="14" a="1"/>
  <c r="W126" i="14" s="1"/>
  <c r="V126" i="14" a="1"/>
  <c r="V126" i="14" s="1"/>
  <c r="U126" i="14" a="1"/>
  <c r="U126" i="14" s="1"/>
  <c r="T126" i="14" a="1"/>
  <c r="T126" i="14" s="1"/>
  <c r="S126" i="14" a="1"/>
  <c r="S126" i="14" s="1"/>
  <c r="R126" i="14" a="1"/>
  <c r="R126" i="14" s="1"/>
  <c r="Q126" i="14" a="1"/>
  <c r="Q126" i="14" s="1"/>
  <c r="P126" i="14" a="1"/>
  <c r="P126" i="14" s="1"/>
  <c r="O126" i="14" a="1"/>
  <c r="O126" i="14" s="1"/>
  <c r="N126" i="14" a="1"/>
  <c r="N126" i="14" s="1"/>
  <c r="M126" i="14" a="1"/>
  <c r="M126" i="14" s="1"/>
  <c r="L126" i="14" a="1"/>
  <c r="L126" i="14" s="1"/>
  <c r="K126" i="14" a="1"/>
  <c r="K126" i="14" s="1"/>
  <c r="J126" i="14" a="1"/>
  <c r="J126" i="14" s="1"/>
  <c r="I126" i="14" a="1"/>
  <c r="I126" i="14" s="1"/>
  <c r="H126" i="14" a="1"/>
  <c r="H126" i="14" s="1"/>
  <c r="G126" i="14" a="1"/>
  <c r="G126" i="14" s="1"/>
  <c r="F126" i="14" a="1"/>
  <c r="F126" i="14" s="1"/>
  <c r="E126" i="14" a="1"/>
  <c r="E126" i="14" s="1"/>
  <c r="D126" i="14" a="1"/>
  <c r="D126" i="14" s="1"/>
  <c r="AE125" i="14" a="1"/>
  <c r="AE125" i="14" s="1"/>
  <c r="AD125" i="14" a="1"/>
  <c r="AD125" i="14" s="1"/>
  <c r="AC125" i="14" a="1"/>
  <c r="AC125" i="14" s="1"/>
  <c r="AB125" i="14" a="1"/>
  <c r="AB125" i="14" s="1"/>
  <c r="AA125" i="14" a="1"/>
  <c r="AA125" i="14" s="1"/>
  <c r="Z125" i="14" a="1"/>
  <c r="Z125" i="14" s="1"/>
  <c r="Y125" i="14" a="1"/>
  <c r="Y125" i="14" s="1"/>
  <c r="X125" i="14" a="1"/>
  <c r="X125" i="14" s="1"/>
  <c r="W125" i="14" a="1"/>
  <c r="W125" i="14" s="1"/>
  <c r="V125" i="14" a="1"/>
  <c r="V125" i="14" s="1"/>
  <c r="U125" i="14" a="1"/>
  <c r="U125" i="14" s="1"/>
  <c r="T125" i="14" a="1"/>
  <c r="T125" i="14" s="1"/>
  <c r="S125" i="14" a="1"/>
  <c r="S125" i="14" s="1"/>
  <c r="R125" i="14" a="1"/>
  <c r="R125" i="14" s="1"/>
  <c r="Q125" i="14" a="1"/>
  <c r="Q125" i="14" s="1"/>
  <c r="P125" i="14" a="1"/>
  <c r="P125" i="14" s="1"/>
  <c r="O125" i="14" a="1"/>
  <c r="O125" i="14" s="1"/>
  <c r="N125" i="14" a="1"/>
  <c r="N125" i="14" s="1"/>
  <c r="M125" i="14" a="1"/>
  <c r="M125" i="14" s="1"/>
  <c r="L125" i="14" a="1"/>
  <c r="L125" i="14" s="1"/>
  <c r="K125" i="14" a="1"/>
  <c r="K125" i="14" s="1"/>
  <c r="J125" i="14" a="1"/>
  <c r="J125" i="14" s="1"/>
  <c r="I125" i="14" a="1"/>
  <c r="I125" i="14" s="1"/>
  <c r="H125" i="14" a="1"/>
  <c r="H125" i="14" s="1"/>
  <c r="G125" i="14" a="1"/>
  <c r="G125" i="14" s="1"/>
  <c r="F125" i="14" a="1"/>
  <c r="F125" i="14" s="1"/>
  <c r="E125" i="14" a="1"/>
  <c r="E125" i="14" s="1"/>
  <c r="D125" i="14" a="1"/>
  <c r="D125" i="14" s="1"/>
  <c r="AE124" i="14" a="1"/>
  <c r="AE124" i="14" s="1"/>
  <c r="AD124" i="14" a="1"/>
  <c r="AD124" i="14" s="1"/>
  <c r="AC124" i="14" a="1"/>
  <c r="AC124" i="14" s="1"/>
  <c r="AB124" i="14" a="1"/>
  <c r="AB124" i="14" s="1"/>
  <c r="AA124" i="14" a="1"/>
  <c r="AA124" i="14" s="1"/>
  <c r="Z124" i="14" a="1"/>
  <c r="Z124" i="14" s="1"/>
  <c r="Y124" i="14" a="1"/>
  <c r="Y124" i="14" s="1"/>
  <c r="X124" i="14" a="1"/>
  <c r="X124" i="14" s="1"/>
  <c r="W124" i="14" a="1"/>
  <c r="W124" i="14" s="1"/>
  <c r="V124" i="14" a="1"/>
  <c r="V124" i="14" s="1"/>
  <c r="U124" i="14" a="1"/>
  <c r="U124" i="14" s="1"/>
  <c r="T124" i="14" a="1"/>
  <c r="T124" i="14" s="1"/>
  <c r="S124" i="14" a="1"/>
  <c r="S124" i="14" s="1"/>
  <c r="R124" i="14" a="1"/>
  <c r="R124" i="14" s="1"/>
  <c r="Q124" i="14" a="1"/>
  <c r="Q124" i="14" s="1"/>
  <c r="P124" i="14" a="1"/>
  <c r="P124" i="14" s="1"/>
  <c r="O124" i="14" a="1"/>
  <c r="O124" i="14" s="1"/>
  <c r="N124" i="14" a="1"/>
  <c r="N124" i="14" s="1"/>
  <c r="M124" i="14" a="1"/>
  <c r="M124" i="14" s="1"/>
  <c r="L124" i="14" a="1"/>
  <c r="L124" i="14" s="1"/>
  <c r="K124" i="14" a="1"/>
  <c r="K124" i="14" s="1"/>
  <c r="J124" i="14" a="1"/>
  <c r="J124" i="14" s="1"/>
  <c r="I124" i="14" a="1"/>
  <c r="I124" i="14" s="1"/>
  <c r="H124" i="14" a="1"/>
  <c r="H124" i="14" s="1"/>
  <c r="G124" i="14" a="1"/>
  <c r="G124" i="14" s="1"/>
  <c r="F124" i="14" a="1"/>
  <c r="F124" i="14" s="1"/>
  <c r="E124" i="14" a="1"/>
  <c r="E124" i="14" s="1"/>
  <c r="D124" i="14" a="1"/>
  <c r="D124" i="14" s="1"/>
  <c r="AE123" i="14" a="1"/>
  <c r="AE123" i="14" s="1"/>
  <c r="AD123" i="14" a="1"/>
  <c r="AD123" i="14" s="1"/>
  <c r="AC123" i="14" a="1"/>
  <c r="AC123" i="14" s="1"/>
  <c r="AB123" i="14" a="1"/>
  <c r="AB123" i="14" s="1"/>
  <c r="AA123" i="14" a="1"/>
  <c r="AA123" i="14" s="1"/>
  <c r="Z123" i="14" a="1"/>
  <c r="Z123" i="14" s="1"/>
  <c r="Y123" i="14" a="1"/>
  <c r="Y123" i="14" s="1"/>
  <c r="X123" i="14" a="1"/>
  <c r="X123" i="14" s="1"/>
  <c r="W123" i="14" a="1"/>
  <c r="W123" i="14" s="1"/>
  <c r="V123" i="14" a="1"/>
  <c r="V123" i="14" s="1"/>
  <c r="U123" i="14" a="1"/>
  <c r="U123" i="14" s="1"/>
  <c r="T123" i="14" a="1"/>
  <c r="T123" i="14" s="1"/>
  <c r="S123" i="14" a="1"/>
  <c r="S123" i="14" s="1"/>
  <c r="R123" i="14" a="1"/>
  <c r="R123" i="14" s="1"/>
  <c r="Q123" i="14" a="1"/>
  <c r="Q123" i="14" s="1"/>
  <c r="P123" i="14" a="1"/>
  <c r="P123" i="14" s="1"/>
  <c r="O123" i="14" a="1"/>
  <c r="O123" i="14" s="1"/>
  <c r="N123" i="14" a="1"/>
  <c r="N123" i="14" s="1"/>
  <c r="M123" i="14" a="1"/>
  <c r="M123" i="14" s="1"/>
  <c r="L123" i="14" a="1"/>
  <c r="L123" i="14" s="1"/>
  <c r="K123" i="14" a="1"/>
  <c r="K123" i="14" s="1"/>
  <c r="J123" i="14" a="1"/>
  <c r="J123" i="14" s="1"/>
  <c r="I123" i="14" a="1"/>
  <c r="I123" i="14" s="1"/>
  <c r="H123" i="14" a="1"/>
  <c r="H123" i="14" s="1"/>
  <c r="G123" i="14" a="1"/>
  <c r="G123" i="14" s="1"/>
  <c r="F123" i="14" a="1"/>
  <c r="F123" i="14" s="1"/>
  <c r="E123" i="14" a="1"/>
  <c r="E123" i="14" s="1"/>
  <c r="D123" i="14" a="1"/>
  <c r="D123" i="14" s="1"/>
  <c r="AE122" i="14" a="1"/>
  <c r="AE122" i="14" s="1"/>
  <c r="AD122" i="14" a="1"/>
  <c r="AD122" i="14" s="1"/>
  <c r="AC122" i="14" a="1"/>
  <c r="AC122" i="14" s="1"/>
  <c r="AB122" i="14" a="1"/>
  <c r="AB122" i="14" s="1"/>
  <c r="AA122" i="14" a="1"/>
  <c r="AA122" i="14" s="1"/>
  <c r="Z122" i="14" a="1"/>
  <c r="Z122" i="14" s="1"/>
  <c r="Y122" i="14" a="1"/>
  <c r="Y122" i="14" s="1"/>
  <c r="X122" i="14" a="1"/>
  <c r="X122" i="14" s="1"/>
  <c r="W122" i="14" a="1"/>
  <c r="W122" i="14" s="1"/>
  <c r="V122" i="14" a="1"/>
  <c r="V122" i="14" s="1"/>
  <c r="U122" i="14" a="1"/>
  <c r="U122" i="14" s="1"/>
  <c r="T122" i="14" a="1"/>
  <c r="T122" i="14" s="1"/>
  <c r="S122" i="14" a="1"/>
  <c r="S122" i="14" s="1"/>
  <c r="R122" i="14" a="1"/>
  <c r="R122" i="14" s="1"/>
  <c r="Q122" i="14" a="1"/>
  <c r="Q122" i="14" s="1"/>
  <c r="P122" i="14" a="1"/>
  <c r="P122" i="14" s="1"/>
  <c r="O122" i="14" a="1"/>
  <c r="O122" i="14" s="1"/>
  <c r="N122" i="14" a="1"/>
  <c r="N122" i="14" s="1"/>
  <c r="M122" i="14" a="1"/>
  <c r="M122" i="14" s="1"/>
  <c r="L122" i="14" a="1"/>
  <c r="L122" i="14" s="1"/>
  <c r="K122" i="14" a="1"/>
  <c r="K122" i="14" s="1"/>
  <c r="J122" i="14" a="1"/>
  <c r="J122" i="14" s="1"/>
  <c r="I122" i="14" a="1"/>
  <c r="I122" i="14" s="1"/>
  <c r="H122" i="14" a="1"/>
  <c r="H122" i="14" s="1"/>
  <c r="G122" i="14" a="1"/>
  <c r="G122" i="14" s="1"/>
  <c r="F122" i="14" a="1"/>
  <c r="F122" i="14" s="1"/>
  <c r="E122" i="14" a="1"/>
  <c r="E122" i="14" s="1"/>
  <c r="D122" i="14" a="1"/>
  <c r="D122" i="14" s="1"/>
  <c r="AE121" i="14" a="1"/>
  <c r="AE121" i="14" s="1"/>
  <c r="AD121" i="14" a="1"/>
  <c r="AD121" i="14" s="1"/>
  <c r="AC121" i="14" a="1"/>
  <c r="AC121" i="14" s="1"/>
  <c r="AB121" i="14" a="1"/>
  <c r="AB121" i="14" s="1"/>
  <c r="AA121" i="14" a="1"/>
  <c r="AA121" i="14" s="1"/>
  <c r="Z121" i="14" a="1"/>
  <c r="Z121" i="14" s="1"/>
  <c r="Y121" i="14" a="1"/>
  <c r="Y121" i="14" s="1"/>
  <c r="X121" i="14" a="1"/>
  <c r="X121" i="14" s="1"/>
  <c r="W121" i="14" a="1"/>
  <c r="W121" i="14" s="1"/>
  <c r="V121" i="14" a="1"/>
  <c r="V121" i="14" s="1"/>
  <c r="U121" i="14" a="1"/>
  <c r="U121" i="14" s="1"/>
  <c r="T121" i="14" a="1"/>
  <c r="T121" i="14" s="1"/>
  <c r="S121" i="14" a="1"/>
  <c r="S121" i="14" s="1"/>
  <c r="R121" i="14" a="1"/>
  <c r="R121" i="14" s="1"/>
  <c r="Q121" i="14" a="1"/>
  <c r="Q121" i="14" s="1"/>
  <c r="P121" i="14" a="1"/>
  <c r="P121" i="14" s="1"/>
  <c r="O121" i="14" a="1"/>
  <c r="O121" i="14" s="1"/>
  <c r="N121" i="14" a="1"/>
  <c r="N121" i="14" s="1"/>
  <c r="M121" i="14" a="1"/>
  <c r="M121" i="14" s="1"/>
  <c r="L121" i="14" a="1"/>
  <c r="L121" i="14" s="1"/>
  <c r="K121" i="14" a="1"/>
  <c r="K121" i="14" s="1"/>
  <c r="J121" i="14" a="1"/>
  <c r="J121" i="14" s="1"/>
  <c r="I121" i="14" a="1"/>
  <c r="I121" i="14" s="1"/>
  <c r="H121" i="14" a="1"/>
  <c r="H121" i="14" s="1"/>
  <c r="G121" i="14" a="1"/>
  <c r="G121" i="14" s="1"/>
  <c r="F121" i="14" a="1"/>
  <c r="F121" i="14" s="1"/>
  <c r="E121" i="14" a="1"/>
  <c r="E121" i="14" s="1"/>
  <c r="D121" i="14" a="1"/>
  <c r="D121" i="14" s="1"/>
  <c r="AE120" i="14" a="1"/>
  <c r="AE120" i="14" s="1"/>
  <c r="AD120" i="14" a="1"/>
  <c r="AD120" i="14" s="1"/>
  <c r="AC120" i="14" a="1"/>
  <c r="AC120" i="14" s="1"/>
  <c r="AB120" i="14" a="1"/>
  <c r="AB120" i="14" s="1"/>
  <c r="AA120" i="14" a="1"/>
  <c r="AA120" i="14" s="1"/>
  <c r="Z120" i="14" a="1"/>
  <c r="Z120" i="14" s="1"/>
  <c r="Y120" i="14" a="1"/>
  <c r="Y120" i="14" s="1"/>
  <c r="X120" i="14" a="1"/>
  <c r="X120" i="14" s="1"/>
  <c r="W120" i="14" a="1"/>
  <c r="W120" i="14" s="1"/>
  <c r="V120" i="14" a="1"/>
  <c r="V120" i="14" s="1"/>
  <c r="U120" i="14" a="1"/>
  <c r="U120" i="14" s="1"/>
  <c r="T120" i="14" a="1"/>
  <c r="T120" i="14" s="1"/>
  <c r="S120" i="14" a="1"/>
  <c r="S120" i="14" s="1"/>
  <c r="R120" i="14" a="1"/>
  <c r="R120" i="14" s="1"/>
  <c r="Q120" i="14" a="1"/>
  <c r="Q120" i="14" s="1"/>
  <c r="P120" i="14" a="1"/>
  <c r="P120" i="14" s="1"/>
  <c r="O120" i="14" a="1"/>
  <c r="O120" i="14" s="1"/>
  <c r="N120" i="14" a="1"/>
  <c r="N120" i="14" s="1"/>
  <c r="M120" i="14" a="1"/>
  <c r="M120" i="14" s="1"/>
  <c r="L120" i="14" a="1"/>
  <c r="L120" i="14" s="1"/>
  <c r="K120" i="14" a="1"/>
  <c r="K120" i="14" s="1"/>
  <c r="J120" i="14" a="1"/>
  <c r="J120" i="14" s="1"/>
  <c r="I120" i="14" a="1"/>
  <c r="I120" i="14" s="1"/>
  <c r="H120" i="14" a="1"/>
  <c r="H120" i="14" s="1"/>
  <c r="G120" i="14" a="1"/>
  <c r="G120" i="14" s="1"/>
  <c r="F120" i="14" a="1"/>
  <c r="F120" i="14" s="1"/>
  <c r="E120" i="14" a="1"/>
  <c r="E120" i="14" s="1"/>
  <c r="D120" i="14" a="1"/>
  <c r="D120" i="14" s="1"/>
  <c r="AE119" i="14" a="1"/>
  <c r="AE119" i="14" s="1"/>
  <c r="AD119" i="14" a="1"/>
  <c r="AD119" i="14" s="1"/>
  <c r="AC119" i="14" a="1"/>
  <c r="AC119" i="14" s="1"/>
  <c r="AB119" i="14" a="1"/>
  <c r="AB119" i="14" s="1"/>
  <c r="AA119" i="14" a="1"/>
  <c r="AA119" i="14" s="1"/>
  <c r="Z119" i="14" a="1"/>
  <c r="Z119" i="14" s="1"/>
  <c r="Y119" i="14" a="1"/>
  <c r="Y119" i="14" s="1"/>
  <c r="X119" i="14" a="1"/>
  <c r="X119" i="14" s="1"/>
  <c r="W119" i="14" a="1"/>
  <c r="W119" i="14" s="1"/>
  <c r="V119" i="14" a="1"/>
  <c r="V119" i="14" s="1"/>
  <c r="U119" i="14" a="1"/>
  <c r="U119" i="14" s="1"/>
  <c r="T119" i="14" a="1"/>
  <c r="T119" i="14" s="1"/>
  <c r="S119" i="14" a="1"/>
  <c r="S119" i="14" s="1"/>
  <c r="R119" i="14" a="1"/>
  <c r="R119" i="14" s="1"/>
  <c r="Q119" i="14" a="1"/>
  <c r="Q119" i="14" s="1"/>
  <c r="P119" i="14" a="1"/>
  <c r="P119" i="14" s="1"/>
  <c r="O119" i="14" a="1"/>
  <c r="O119" i="14" s="1"/>
  <c r="N119" i="14" a="1"/>
  <c r="N119" i="14" s="1"/>
  <c r="M119" i="14" a="1"/>
  <c r="M119" i="14" s="1"/>
  <c r="L119" i="14" a="1"/>
  <c r="L119" i="14" s="1"/>
  <c r="K119" i="14" a="1"/>
  <c r="K119" i="14" s="1"/>
  <c r="J119" i="14" a="1"/>
  <c r="J119" i="14" s="1"/>
  <c r="I119" i="14" a="1"/>
  <c r="I119" i="14" s="1"/>
  <c r="H119" i="14" a="1"/>
  <c r="H119" i="14" s="1"/>
  <c r="G119" i="14" a="1"/>
  <c r="G119" i="14" s="1"/>
  <c r="F119" i="14" a="1"/>
  <c r="F119" i="14" s="1"/>
  <c r="E119" i="14" a="1"/>
  <c r="E119" i="14" s="1"/>
  <c r="D119" i="14" a="1"/>
  <c r="D119" i="14" s="1"/>
  <c r="AE118" i="14" a="1"/>
  <c r="AE118" i="14" s="1"/>
  <c r="AD118" i="14" a="1"/>
  <c r="AD118" i="14" s="1"/>
  <c r="AC118" i="14" a="1"/>
  <c r="AC118" i="14" s="1"/>
  <c r="AB118" i="14" a="1"/>
  <c r="AB118" i="14" s="1"/>
  <c r="AA118" i="14" a="1"/>
  <c r="AA118" i="14" s="1"/>
  <c r="Z118" i="14" a="1"/>
  <c r="Z118" i="14" s="1"/>
  <c r="Y118" i="14" a="1"/>
  <c r="Y118" i="14" s="1"/>
  <c r="X118" i="14" a="1"/>
  <c r="X118" i="14" s="1"/>
  <c r="W118" i="14" a="1"/>
  <c r="W118" i="14" s="1"/>
  <c r="V118" i="14" a="1"/>
  <c r="V118" i="14" s="1"/>
  <c r="U118" i="14" a="1"/>
  <c r="U118" i="14" s="1"/>
  <c r="T118" i="14" a="1"/>
  <c r="T118" i="14" s="1"/>
  <c r="S118" i="14" a="1"/>
  <c r="S118" i="14" s="1"/>
  <c r="R118" i="14" a="1"/>
  <c r="R118" i="14" s="1"/>
  <c r="Q118" i="14" a="1"/>
  <c r="Q118" i="14" s="1"/>
  <c r="P118" i="14" a="1"/>
  <c r="P118" i="14" s="1"/>
  <c r="O118" i="14" a="1"/>
  <c r="O118" i="14" s="1"/>
  <c r="N118" i="14" a="1"/>
  <c r="N118" i="14" s="1"/>
  <c r="M118" i="14" a="1"/>
  <c r="M118" i="14" s="1"/>
  <c r="L118" i="14" a="1"/>
  <c r="L118" i="14" s="1"/>
  <c r="K118" i="14" a="1"/>
  <c r="K118" i="14" s="1"/>
  <c r="J118" i="14" a="1"/>
  <c r="J118" i="14" s="1"/>
  <c r="I118" i="14" a="1"/>
  <c r="I118" i="14" s="1"/>
  <c r="H118" i="14" a="1"/>
  <c r="H118" i="14" s="1"/>
  <c r="G118" i="14" a="1"/>
  <c r="G118" i="14" s="1"/>
  <c r="F118" i="14" a="1"/>
  <c r="F118" i="14" s="1"/>
  <c r="E118" i="14" a="1"/>
  <c r="E118" i="14" s="1"/>
  <c r="D118" i="14" a="1"/>
  <c r="D118" i="14" s="1"/>
  <c r="AE117" i="14" a="1"/>
  <c r="AE117" i="14" s="1"/>
  <c r="AD117" i="14" a="1"/>
  <c r="AD117" i="14" s="1"/>
  <c r="AC117" i="14" a="1"/>
  <c r="AC117" i="14" s="1"/>
  <c r="AB117" i="14" a="1"/>
  <c r="AB117" i="14" s="1"/>
  <c r="AA117" i="14" a="1"/>
  <c r="AA117" i="14" s="1"/>
  <c r="Z117" i="14" a="1"/>
  <c r="Z117" i="14" s="1"/>
  <c r="Y117" i="14" a="1"/>
  <c r="Y117" i="14" s="1"/>
  <c r="X117" i="14" a="1"/>
  <c r="X117" i="14" s="1"/>
  <c r="W117" i="14" a="1"/>
  <c r="W117" i="14" s="1"/>
  <c r="V117" i="14" a="1"/>
  <c r="V117" i="14" s="1"/>
  <c r="U117" i="14" a="1"/>
  <c r="U117" i="14" s="1"/>
  <c r="T117" i="14" a="1"/>
  <c r="T117" i="14" s="1"/>
  <c r="S117" i="14" a="1"/>
  <c r="S117" i="14" s="1"/>
  <c r="R117" i="14" a="1"/>
  <c r="R117" i="14" s="1"/>
  <c r="Q117" i="14" a="1"/>
  <c r="Q117" i="14" s="1"/>
  <c r="P117" i="14" a="1"/>
  <c r="P117" i="14" s="1"/>
  <c r="O117" i="14" a="1"/>
  <c r="O117" i="14" s="1"/>
  <c r="N117" i="14" a="1"/>
  <c r="N117" i="14" s="1"/>
  <c r="M117" i="14" a="1"/>
  <c r="M117" i="14" s="1"/>
  <c r="L117" i="14" a="1"/>
  <c r="L117" i="14" s="1"/>
  <c r="K117" i="14" a="1"/>
  <c r="K117" i="14" s="1"/>
  <c r="J117" i="14" a="1"/>
  <c r="J117" i="14" s="1"/>
  <c r="I117" i="14" a="1"/>
  <c r="I117" i="14" s="1"/>
  <c r="H117" i="14" a="1"/>
  <c r="H117" i="14" s="1"/>
  <c r="G117" i="14" a="1"/>
  <c r="G117" i="14" s="1"/>
  <c r="F117" i="14" a="1"/>
  <c r="F117" i="14" s="1"/>
  <c r="E117" i="14" a="1"/>
  <c r="E117" i="14" s="1"/>
  <c r="D117" i="14" a="1"/>
  <c r="D117" i="14" s="1"/>
  <c r="AE116" i="14" a="1"/>
  <c r="AE116" i="14" s="1"/>
  <c r="AD116" i="14" a="1"/>
  <c r="AD116" i="14" s="1"/>
  <c r="AC116" i="14" a="1"/>
  <c r="AC116" i="14" s="1"/>
  <c r="AB116" i="14" a="1"/>
  <c r="AB116" i="14" s="1"/>
  <c r="AA116" i="14" a="1"/>
  <c r="AA116" i="14" s="1"/>
  <c r="Z116" i="14" a="1"/>
  <c r="Z116" i="14" s="1"/>
  <c r="Y116" i="14" a="1"/>
  <c r="Y116" i="14" s="1"/>
  <c r="X116" i="14" a="1"/>
  <c r="X116" i="14" s="1"/>
  <c r="W116" i="14" a="1"/>
  <c r="W116" i="14" s="1"/>
  <c r="V116" i="14" a="1"/>
  <c r="V116" i="14" s="1"/>
  <c r="U116" i="14" a="1"/>
  <c r="U116" i="14" s="1"/>
  <c r="T116" i="14" a="1"/>
  <c r="T116" i="14" s="1"/>
  <c r="S116" i="14" a="1"/>
  <c r="S116" i="14" s="1"/>
  <c r="R116" i="14" a="1"/>
  <c r="R116" i="14" s="1"/>
  <c r="Q116" i="14" a="1"/>
  <c r="Q116" i="14" s="1"/>
  <c r="P116" i="14" a="1"/>
  <c r="P116" i="14" s="1"/>
  <c r="O116" i="14" a="1"/>
  <c r="O116" i="14" s="1"/>
  <c r="N116" i="14" a="1"/>
  <c r="N116" i="14" s="1"/>
  <c r="M116" i="14" a="1"/>
  <c r="M116" i="14" s="1"/>
  <c r="L116" i="14" a="1"/>
  <c r="L116" i="14" s="1"/>
  <c r="K116" i="14" a="1"/>
  <c r="K116" i="14" s="1"/>
  <c r="J116" i="14" a="1"/>
  <c r="J116" i="14" s="1"/>
  <c r="I116" i="14" a="1"/>
  <c r="I116" i="14" s="1"/>
  <c r="H116" i="14" a="1"/>
  <c r="H116" i="14" s="1"/>
  <c r="G116" i="14" a="1"/>
  <c r="G116" i="14" s="1"/>
  <c r="F116" i="14" a="1"/>
  <c r="F116" i="14" s="1"/>
  <c r="E116" i="14" a="1"/>
  <c r="E116" i="14" s="1"/>
  <c r="D116" i="14" a="1"/>
  <c r="D116" i="14" s="1"/>
  <c r="AE115" i="14" a="1"/>
  <c r="AE115" i="14" s="1"/>
  <c r="AD115" i="14" a="1"/>
  <c r="AD115" i="14" s="1"/>
  <c r="AC115" i="14" a="1"/>
  <c r="AC115" i="14" s="1"/>
  <c r="AB115" i="14" a="1"/>
  <c r="AB115" i="14" s="1"/>
  <c r="AA115" i="14" a="1"/>
  <c r="AA115" i="14" s="1"/>
  <c r="Z115" i="14" a="1"/>
  <c r="Z115" i="14" s="1"/>
  <c r="Y115" i="14" a="1"/>
  <c r="Y115" i="14" s="1"/>
  <c r="X115" i="14" a="1"/>
  <c r="X115" i="14" s="1"/>
  <c r="W115" i="14" a="1"/>
  <c r="W115" i="14" s="1"/>
  <c r="V115" i="14" a="1"/>
  <c r="V115" i="14" s="1"/>
  <c r="U115" i="14" a="1"/>
  <c r="U115" i="14" s="1"/>
  <c r="T115" i="14" a="1"/>
  <c r="T115" i="14" s="1"/>
  <c r="S115" i="14" a="1"/>
  <c r="S115" i="14" s="1"/>
  <c r="R115" i="14" a="1"/>
  <c r="R115" i="14" s="1"/>
  <c r="Q115" i="14" a="1"/>
  <c r="Q115" i="14" s="1"/>
  <c r="P115" i="14" a="1"/>
  <c r="P115" i="14" s="1"/>
  <c r="O115" i="14" a="1"/>
  <c r="O115" i="14" s="1"/>
  <c r="N115" i="14" a="1"/>
  <c r="N115" i="14" s="1"/>
  <c r="M115" i="14" a="1"/>
  <c r="M115" i="14" s="1"/>
  <c r="L115" i="14" a="1"/>
  <c r="L115" i="14" s="1"/>
  <c r="K115" i="14" a="1"/>
  <c r="K115" i="14" s="1"/>
  <c r="J115" i="14" a="1"/>
  <c r="J115" i="14" s="1"/>
  <c r="I115" i="14" a="1"/>
  <c r="I115" i="14" s="1"/>
  <c r="H115" i="14" a="1"/>
  <c r="H115" i="14" s="1"/>
  <c r="G115" i="14" a="1"/>
  <c r="G115" i="14" s="1"/>
  <c r="F115" i="14" a="1"/>
  <c r="F115" i="14" s="1"/>
  <c r="E115" i="14" a="1"/>
  <c r="E115" i="14" s="1"/>
  <c r="D115" i="14" a="1"/>
  <c r="D115" i="14" s="1"/>
  <c r="AE114" i="14" a="1"/>
  <c r="AE114" i="14" s="1"/>
  <c r="AD114" i="14" a="1"/>
  <c r="AD114" i="14" s="1"/>
  <c r="AC114" i="14" a="1"/>
  <c r="AC114" i="14" s="1"/>
  <c r="AB114" i="14" a="1"/>
  <c r="AB114" i="14" s="1"/>
  <c r="AA114" i="14" a="1"/>
  <c r="AA114" i="14" s="1"/>
  <c r="Z114" i="14" a="1"/>
  <c r="Z114" i="14" s="1"/>
  <c r="Y114" i="14" a="1"/>
  <c r="Y114" i="14" s="1"/>
  <c r="X114" i="14" a="1"/>
  <c r="X114" i="14" s="1"/>
  <c r="W114" i="14" a="1"/>
  <c r="W114" i="14" s="1"/>
  <c r="V114" i="14" a="1"/>
  <c r="V114" i="14" s="1"/>
  <c r="U114" i="14" a="1"/>
  <c r="U114" i="14" s="1"/>
  <c r="T114" i="14" a="1"/>
  <c r="T114" i="14" s="1"/>
  <c r="S114" i="14" a="1"/>
  <c r="S114" i="14" s="1"/>
  <c r="R114" i="14" a="1"/>
  <c r="R114" i="14" s="1"/>
  <c r="Q114" i="14" a="1"/>
  <c r="Q114" i="14" s="1"/>
  <c r="P114" i="14" a="1"/>
  <c r="P114" i="14" s="1"/>
  <c r="O114" i="14" a="1"/>
  <c r="O114" i="14" s="1"/>
  <c r="N114" i="14" a="1"/>
  <c r="N114" i="14" s="1"/>
  <c r="M114" i="14" a="1"/>
  <c r="M114" i="14" s="1"/>
  <c r="L114" i="14" a="1"/>
  <c r="L114" i="14" s="1"/>
  <c r="K114" i="14" a="1"/>
  <c r="K114" i="14" s="1"/>
  <c r="J114" i="14" a="1"/>
  <c r="J114" i="14" s="1"/>
  <c r="I114" i="14" a="1"/>
  <c r="I114" i="14" s="1"/>
  <c r="H114" i="14" a="1"/>
  <c r="H114" i="14" s="1"/>
  <c r="G114" i="14" a="1"/>
  <c r="G114" i="14" s="1"/>
  <c r="F114" i="14" a="1"/>
  <c r="F114" i="14" s="1"/>
  <c r="E114" i="14" a="1"/>
  <c r="E114" i="14" s="1"/>
  <c r="D114" i="14" a="1"/>
  <c r="D114" i="14" s="1"/>
  <c r="AE113" i="14" a="1"/>
  <c r="AE113" i="14" s="1"/>
  <c r="AD113" i="14" a="1"/>
  <c r="AD113" i="14" s="1"/>
  <c r="AC113" i="14" a="1"/>
  <c r="AC113" i="14" s="1"/>
  <c r="AB113" i="14" a="1"/>
  <c r="AB113" i="14" s="1"/>
  <c r="AA113" i="14" a="1"/>
  <c r="AA113" i="14" s="1"/>
  <c r="Z113" i="14" a="1"/>
  <c r="Z113" i="14" s="1"/>
  <c r="Y113" i="14" a="1"/>
  <c r="Y113" i="14" s="1"/>
  <c r="X113" i="14" a="1"/>
  <c r="X113" i="14" s="1"/>
  <c r="W113" i="14" a="1"/>
  <c r="W113" i="14" s="1"/>
  <c r="V113" i="14" a="1"/>
  <c r="V113" i="14" s="1"/>
  <c r="U113" i="14" a="1"/>
  <c r="U113" i="14" s="1"/>
  <c r="T113" i="14" a="1"/>
  <c r="T113" i="14" s="1"/>
  <c r="S113" i="14" a="1"/>
  <c r="S113" i="14" s="1"/>
  <c r="R113" i="14" a="1"/>
  <c r="R113" i="14" s="1"/>
  <c r="Q113" i="14" a="1"/>
  <c r="Q113" i="14" s="1"/>
  <c r="P113" i="14" a="1"/>
  <c r="P113" i="14" s="1"/>
  <c r="O113" i="14" a="1"/>
  <c r="O113" i="14" s="1"/>
  <c r="N113" i="14" a="1"/>
  <c r="N113" i="14" s="1"/>
  <c r="M113" i="14" a="1"/>
  <c r="M113" i="14" s="1"/>
  <c r="L113" i="14" a="1"/>
  <c r="L113" i="14" s="1"/>
  <c r="K113" i="14" a="1"/>
  <c r="K113" i="14" s="1"/>
  <c r="J113" i="14" a="1"/>
  <c r="J113" i="14" s="1"/>
  <c r="I113" i="14" a="1"/>
  <c r="I113" i="14" s="1"/>
  <c r="H113" i="14" a="1"/>
  <c r="H113" i="14" s="1"/>
  <c r="G113" i="14" a="1"/>
  <c r="G113" i="14" s="1"/>
  <c r="F113" i="14" a="1"/>
  <c r="F113" i="14" s="1"/>
  <c r="E113" i="14" a="1"/>
  <c r="E113" i="14" s="1"/>
  <c r="D113" i="14" a="1"/>
  <c r="D113" i="14" s="1"/>
  <c r="AE112" i="14" a="1"/>
  <c r="AE112" i="14" s="1"/>
  <c r="AD112" i="14" a="1"/>
  <c r="AD112" i="14" s="1"/>
  <c r="AC112" i="14" a="1"/>
  <c r="AC112" i="14" s="1"/>
  <c r="AB112" i="14" a="1"/>
  <c r="AB112" i="14" s="1"/>
  <c r="AA112" i="14" a="1"/>
  <c r="AA112" i="14" s="1"/>
  <c r="Z112" i="14" a="1"/>
  <c r="Z112" i="14" s="1"/>
  <c r="Y112" i="14" a="1"/>
  <c r="Y112" i="14" s="1"/>
  <c r="X112" i="14" a="1"/>
  <c r="X112" i="14" s="1"/>
  <c r="W112" i="14" a="1"/>
  <c r="W112" i="14" s="1"/>
  <c r="V112" i="14" a="1"/>
  <c r="V112" i="14" s="1"/>
  <c r="U112" i="14" a="1"/>
  <c r="U112" i="14" s="1"/>
  <c r="T112" i="14" a="1"/>
  <c r="T112" i="14" s="1"/>
  <c r="S112" i="14" a="1"/>
  <c r="S112" i="14" s="1"/>
  <c r="R112" i="14" a="1"/>
  <c r="R112" i="14" s="1"/>
  <c r="Q112" i="14" a="1"/>
  <c r="Q112" i="14" s="1"/>
  <c r="P112" i="14" a="1"/>
  <c r="P112" i="14" s="1"/>
  <c r="O112" i="14" a="1"/>
  <c r="O112" i="14" s="1"/>
  <c r="N112" i="14" a="1"/>
  <c r="N112" i="14" s="1"/>
  <c r="M112" i="14" a="1"/>
  <c r="M112" i="14" s="1"/>
  <c r="L112" i="14" a="1"/>
  <c r="L112" i="14" s="1"/>
  <c r="K112" i="14" a="1"/>
  <c r="K112" i="14" s="1"/>
  <c r="J112" i="14" a="1"/>
  <c r="J112" i="14" s="1"/>
  <c r="I112" i="14" a="1"/>
  <c r="I112" i="14" s="1"/>
  <c r="H112" i="14" a="1"/>
  <c r="H112" i="14" s="1"/>
  <c r="G112" i="14" a="1"/>
  <c r="G112" i="14" s="1"/>
  <c r="F112" i="14" a="1"/>
  <c r="F112" i="14" s="1"/>
  <c r="E112" i="14" a="1"/>
  <c r="E112" i="14" s="1"/>
  <c r="D112" i="14" a="1"/>
  <c r="D112" i="14" s="1"/>
  <c r="AE111" i="14" a="1"/>
  <c r="AE111" i="14" s="1"/>
  <c r="AD111" i="14" a="1"/>
  <c r="AD111" i="14" s="1"/>
  <c r="AC111" i="14" a="1"/>
  <c r="AC111" i="14" s="1"/>
  <c r="AB111" i="14" a="1"/>
  <c r="AB111" i="14" s="1"/>
  <c r="AA111" i="14" a="1"/>
  <c r="AA111" i="14" s="1"/>
  <c r="Z111" i="14" a="1"/>
  <c r="Z111" i="14" s="1"/>
  <c r="Y111" i="14" a="1"/>
  <c r="Y111" i="14" s="1"/>
  <c r="X111" i="14" a="1"/>
  <c r="X111" i="14" s="1"/>
  <c r="W111" i="14" a="1"/>
  <c r="W111" i="14" s="1"/>
  <c r="V111" i="14" a="1"/>
  <c r="V111" i="14" s="1"/>
  <c r="U111" i="14" a="1"/>
  <c r="U111" i="14" s="1"/>
  <c r="T111" i="14" a="1"/>
  <c r="T111" i="14" s="1"/>
  <c r="S111" i="14" a="1"/>
  <c r="S111" i="14" s="1"/>
  <c r="R111" i="14" a="1"/>
  <c r="R111" i="14" s="1"/>
  <c r="Q111" i="14" a="1"/>
  <c r="Q111" i="14" s="1"/>
  <c r="P111" i="14" a="1"/>
  <c r="P111" i="14" s="1"/>
  <c r="O111" i="14" a="1"/>
  <c r="O111" i="14" s="1"/>
  <c r="N111" i="14" a="1"/>
  <c r="N111" i="14" s="1"/>
  <c r="M111" i="14" a="1"/>
  <c r="M111" i="14" s="1"/>
  <c r="L111" i="14" a="1"/>
  <c r="L111" i="14" s="1"/>
  <c r="K111" i="14" a="1"/>
  <c r="K111" i="14" s="1"/>
  <c r="J111" i="14" a="1"/>
  <c r="J111" i="14" s="1"/>
  <c r="I111" i="14" a="1"/>
  <c r="I111" i="14" s="1"/>
  <c r="H111" i="14" a="1"/>
  <c r="H111" i="14" s="1"/>
  <c r="G111" i="14" a="1"/>
  <c r="G111" i="14" s="1"/>
  <c r="F111" i="14" a="1"/>
  <c r="F111" i="14" s="1"/>
  <c r="E111" i="14" a="1"/>
  <c r="E111" i="14" s="1"/>
  <c r="D111" i="14" a="1"/>
  <c r="D111" i="14" s="1"/>
  <c r="AE110" i="14" a="1"/>
  <c r="AE110" i="14" s="1"/>
  <c r="AD110" i="14" a="1"/>
  <c r="AD110" i="14" s="1"/>
  <c r="AC110" i="14" a="1"/>
  <c r="AC110" i="14" s="1"/>
  <c r="AB110" i="14" a="1"/>
  <c r="AB110" i="14" s="1"/>
  <c r="AA110" i="14" a="1"/>
  <c r="AA110" i="14" s="1"/>
  <c r="Z110" i="14" a="1"/>
  <c r="Z110" i="14" s="1"/>
  <c r="Y110" i="14" a="1"/>
  <c r="Y110" i="14" s="1"/>
  <c r="X110" i="14" a="1"/>
  <c r="X110" i="14" s="1"/>
  <c r="W110" i="14" a="1"/>
  <c r="W110" i="14" s="1"/>
  <c r="V110" i="14" a="1"/>
  <c r="V110" i="14" s="1"/>
  <c r="U110" i="14" a="1"/>
  <c r="U110" i="14" s="1"/>
  <c r="T110" i="14" a="1"/>
  <c r="T110" i="14" s="1"/>
  <c r="S110" i="14" a="1"/>
  <c r="S110" i="14" s="1"/>
  <c r="R110" i="14" a="1"/>
  <c r="R110" i="14" s="1"/>
  <c r="Q110" i="14" a="1"/>
  <c r="Q110" i="14" s="1"/>
  <c r="P110" i="14" a="1"/>
  <c r="P110" i="14" s="1"/>
  <c r="O110" i="14" a="1"/>
  <c r="O110" i="14" s="1"/>
  <c r="N110" i="14" a="1"/>
  <c r="N110" i="14" s="1"/>
  <c r="M110" i="14" a="1"/>
  <c r="M110" i="14" s="1"/>
  <c r="L110" i="14" a="1"/>
  <c r="L110" i="14" s="1"/>
  <c r="K110" i="14" a="1"/>
  <c r="K110" i="14" s="1"/>
  <c r="J110" i="14" a="1"/>
  <c r="J110" i="14" s="1"/>
  <c r="I110" i="14" a="1"/>
  <c r="I110" i="14" s="1"/>
  <c r="H110" i="14" a="1"/>
  <c r="H110" i="14" s="1"/>
  <c r="G110" i="14" a="1"/>
  <c r="G110" i="14" s="1"/>
  <c r="F110" i="14" a="1"/>
  <c r="F110" i="14" s="1"/>
  <c r="E110" i="14" a="1"/>
  <c r="E110" i="14" s="1"/>
  <c r="D110" i="14" a="1"/>
  <c r="D110" i="14" s="1"/>
  <c r="AE109" i="14" a="1"/>
  <c r="AE109" i="14" s="1"/>
  <c r="AD109" i="14" a="1"/>
  <c r="AD109" i="14" s="1"/>
  <c r="AC109" i="14" a="1"/>
  <c r="AC109" i="14" s="1"/>
  <c r="AB109" i="14" a="1"/>
  <c r="AB109" i="14" s="1"/>
  <c r="AA109" i="14" a="1"/>
  <c r="AA109" i="14" s="1"/>
  <c r="Z109" i="14" a="1"/>
  <c r="Z109" i="14" s="1"/>
  <c r="Y109" i="14" a="1"/>
  <c r="Y109" i="14" s="1"/>
  <c r="X109" i="14" a="1"/>
  <c r="X109" i="14" s="1"/>
  <c r="W109" i="14" a="1"/>
  <c r="W109" i="14" s="1"/>
  <c r="V109" i="14" a="1"/>
  <c r="V109" i="14" s="1"/>
  <c r="U109" i="14" a="1"/>
  <c r="U109" i="14" s="1"/>
  <c r="T109" i="14" a="1"/>
  <c r="T109" i="14" s="1"/>
  <c r="S109" i="14" a="1"/>
  <c r="S109" i="14" s="1"/>
  <c r="R109" i="14" a="1"/>
  <c r="R109" i="14" s="1"/>
  <c r="Q109" i="14" a="1"/>
  <c r="Q109" i="14" s="1"/>
  <c r="P109" i="14" a="1"/>
  <c r="P109" i="14" s="1"/>
  <c r="O109" i="14" a="1"/>
  <c r="O109" i="14" s="1"/>
  <c r="N109" i="14" a="1"/>
  <c r="N109" i="14" s="1"/>
  <c r="M109" i="14" a="1"/>
  <c r="M109" i="14" s="1"/>
  <c r="L109" i="14" a="1"/>
  <c r="L109" i="14" s="1"/>
  <c r="K109" i="14" a="1"/>
  <c r="K109" i="14" s="1"/>
  <c r="J109" i="14" a="1"/>
  <c r="J109" i="14" s="1"/>
  <c r="I109" i="14" a="1"/>
  <c r="I109" i="14" s="1"/>
  <c r="H109" i="14" a="1"/>
  <c r="H109" i="14" s="1"/>
  <c r="G109" i="14" a="1"/>
  <c r="G109" i="14" s="1"/>
  <c r="F109" i="14" a="1"/>
  <c r="F109" i="14" s="1"/>
  <c r="E109" i="14" a="1"/>
  <c r="E109" i="14" s="1"/>
  <c r="D109" i="14" a="1"/>
  <c r="D109" i="14" s="1"/>
  <c r="AE108" i="14" a="1"/>
  <c r="AE108" i="14" s="1"/>
  <c r="AD108" i="14" a="1"/>
  <c r="AD108" i="14" s="1"/>
  <c r="AC108" i="14" a="1"/>
  <c r="AC108" i="14" s="1"/>
  <c r="AB108" i="14" a="1"/>
  <c r="AB108" i="14" s="1"/>
  <c r="AA108" i="14" a="1"/>
  <c r="AA108" i="14" s="1"/>
  <c r="Z108" i="14" a="1"/>
  <c r="Z108" i="14" s="1"/>
  <c r="Y108" i="14" a="1"/>
  <c r="Y108" i="14" s="1"/>
  <c r="X108" i="14" a="1"/>
  <c r="X108" i="14" s="1"/>
  <c r="W108" i="14" a="1"/>
  <c r="W108" i="14" s="1"/>
  <c r="V108" i="14" a="1"/>
  <c r="V108" i="14" s="1"/>
  <c r="U108" i="14" a="1"/>
  <c r="U108" i="14" s="1"/>
  <c r="T108" i="14" a="1"/>
  <c r="T108" i="14" s="1"/>
  <c r="S108" i="14" a="1"/>
  <c r="S108" i="14" s="1"/>
  <c r="R108" i="14" a="1"/>
  <c r="R108" i="14" s="1"/>
  <c r="Q108" i="14" a="1"/>
  <c r="Q108" i="14" s="1"/>
  <c r="P108" i="14" a="1"/>
  <c r="P108" i="14" s="1"/>
  <c r="O108" i="14" a="1"/>
  <c r="O108" i="14" s="1"/>
  <c r="N108" i="14" a="1"/>
  <c r="N108" i="14" s="1"/>
  <c r="M108" i="14" a="1"/>
  <c r="M108" i="14" s="1"/>
  <c r="L108" i="14" a="1"/>
  <c r="L108" i="14" s="1"/>
  <c r="K108" i="14" a="1"/>
  <c r="K108" i="14" s="1"/>
  <c r="J108" i="14" a="1"/>
  <c r="J108" i="14" s="1"/>
  <c r="I108" i="14" a="1"/>
  <c r="I108" i="14" s="1"/>
  <c r="H108" i="14" a="1"/>
  <c r="H108" i="14" s="1"/>
  <c r="G108" i="14" a="1"/>
  <c r="G108" i="14" s="1"/>
  <c r="F108" i="14" a="1"/>
  <c r="F108" i="14" s="1"/>
  <c r="E108" i="14" a="1"/>
  <c r="E108" i="14" s="1"/>
  <c r="D108" i="14" a="1"/>
  <c r="D108" i="14" s="1"/>
  <c r="AE107" i="14" a="1"/>
  <c r="AE107" i="14" s="1"/>
  <c r="AD107" i="14" a="1"/>
  <c r="AD107" i="14" s="1"/>
  <c r="AC107" i="14" a="1"/>
  <c r="AC107" i="14" s="1"/>
  <c r="AB107" i="14" a="1"/>
  <c r="AB107" i="14" s="1"/>
  <c r="AA107" i="14" a="1"/>
  <c r="AA107" i="14" s="1"/>
  <c r="Z107" i="14" a="1"/>
  <c r="Z107" i="14" s="1"/>
  <c r="Y107" i="14" a="1"/>
  <c r="Y107" i="14" s="1"/>
  <c r="X107" i="14" a="1"/>
  <c r="X107" i="14" s="1"/>
  <c r="W107" i="14" a="1"/>
  <c r="W107" i="14" s="1"/>
  <c r="V107" i="14" a="1"/>
  <c r="V107" i="14" s="1"/>
  <c r="U107" i="14" a="1"/>
  <c r="U107" i="14" s="1"/>
  <c r="T107" i="14" a="1"/>
  <c r="T107" i="14" s="1"/>
  <c r="S107" i="14" a="1"/>
  <c r="S107" i="14" s="1"/>
  <c r="R107" i="14" a="1"/>
  <c r="R107" i="14" s="1"/>
  <c r="Q107" i="14" a="1"/>
  <c r="Q107" i="14" s="1"/>
  <c r="P107" i="14" a="1"/>
  <c r="P107" i="14" s="1"/>
  <c r="O107" i="14" a="1"/>
  <c r="O107" i="14" s="1"/>
  <c r="N107" i="14" a="1"/>
  <c r="N107" i="14" s="1"/>
  <c r="M107" i="14" a="1"/>
  <c r="M107" i="14" s="1"/>
  <c r="L107" i="14" a="1"/>
  <c r="L107" i="14" s="1"/>
  <c r="K107" i="14" a="1"/>
  <c r="K107" i="14" s="1"/>
  <c r="J107" i="14" a="1"/>
  <c r="J107" i="14" s="1"/>
  <c r="I107" i="14" a="1"/>
  <c r="I107" i="14" s="1"/>
  <c r="H107" i="14" a="1"/>
  <c r="H107" i="14" s="1"/>
  <c r="G107" i="14" a="1"/>
  <c r="G107" i="14" s="1"/>
  <c r="F107" i="14" a="1"/>
  <c r="F107" i="14" s="1"/>
  <c r="E107" i="14" a="1"/>
  <c r="E107" i="14" s="1"/>
  <c r="D107" i="14" a="1"/>
  <c r="D107" i="14" s="1"/>
  <c r="AE106" i="14" a="1"/>
  <c r="AE106" i="14" s="1"/>
  <c r="AD106" i="14" a="1"/>
  <c r="AD106" i="14" s="1"/>
  <c r="AC106" i="14" a="1"/>
  <c r="AC106" i="14" s="1"/>
  <c r="AB106" i="14" a="1"/>
  <c r="AB106" i="14" s="1"/>
  <c r="AA106" i="14" a="1"/>
  <c r="AA106" i="14" s="1"/>
  <c r="Z106" i="14" a="1"/>
  <c r="Z106" i="14" s="1"/>
  <c r="Y106" i="14" a="1"/>
  <c r="Y106" i="14" s="1"/>
  <c r="X106" i="14" a="1"/>
  <c r="X106" i="14" s="1"/>
  <c r="W106" i="14" a="1"/>
  <c r="W106" i="14" s="1"/>
  <c r="V106" i="14" a="1"/>
  <c r="V106" i="14" s="1"/>
  <c r="U106" i="14" a="1"/>
  <c r="U106" i="14" s="1"/>
  <c r="T106" i="14" a="1"/>
  <c r="T106" i="14" s="1"/>
  <c r="S106" i="14" a="1"/>
  <c r="S106" i="14" s="1"/>
  <c r="R106" i="14" a="1"/>
  <c r="R106" i="14" s="1"/>
  <c r="Q106" i="14" a="1"/>
  <c r="Q106" i="14" s="1"/>
  <c r="P106" i="14" a="1"/>
  <c r="P106" i="14" s="1"/>
  <c r="O106" i="14" a="1"/>
  <c r="O106" i="14" s="1"/>
  <c r="N106" i="14" a="1"/>
  <c r="N106" i="14" s="1"/>
  <c r="M106" i="14" a="1"/>
  <c r="M106" i="14" s="1"/>
  <c r="L106" i="14" a="1"/>
  <c r="L106" i="14" s="1"/>
  <c r="K106" i="14" a="1"/>
  <c r="K106" i="14" s="1"/>
  <c r="J106" i="14" a="1"/>
  <c r="J106" i="14" s="1"/>
  <c r="I106" i="14" a="1"/>
  <c r="I106" i="14" s="1"/>
  <c r="H106" i="14" a="1"/>
  <c r="H106" i="14" s="1"/>
  <c r="G106" i="14" a="1"/>
  <c r="G106" i="14" s="1"/>
  <c r="F106" i="14" a="1"/>
  <c r="F106" i="14" s="1"/>
  <c r="E106" i="14" a="1"/>
  <c r="E106" i="14" s="1"/>
  <c r="D106" i="14" a="1"/>
  <c r="D106" i="14" s="1"/>
  <c r="AE105" i="14" a="1"/>
  <c r="AE105" i="14" s="1"/>
  <c r="AD105" i="14" a="1"/>
  <c r="AD105" i="14" s="1"/>
  <c r="AC105" i="14" a="1"/>
  <c r="AC105" i="14" s="1"/>
  <c r="AB105" i="14" a="1"/>
  <c r="AB105" i="14" s="1"/>
  <c r="AA105" i="14" a="1"/>
  <c r="AA105" i="14" s="1"/>
  <c r="Z105" i="14" a="1"/>
  <c r="Z105" i="14" s="1"/>
  <c r="Y105" i="14" a="1"/>
  <c r="Y105" i="14" s="1"/>
  <c r="X105" i="14" a="1"/>
  <c r="X105" i="14" s="1"/>
  <c r="W105" i="14" a="1"/>
  <c r="W105" i="14" s="1"/>
  <c r="V105" i="14" a="1"/>
  <c r="V105" i="14" s="1"/>
  <c r="U105" i="14" a="1"/>
  <c r="U105" i="14" s="1"/>
  <c r="T105" i="14" a="1"/>
  <c r="T105" i="14" s="1"/>
  <c r="S105" i="14" a="1"/>
  <c r="S105" i="14" s="1"/>
  <c r="R105" i="14" a="1"/>
  <c r="R105" i="14" s="1"/>
  <c r="Q105" i="14" a="1"/>
  <c r="Q105" i="14" s="1"/>
  <c r="P105" i="14" a="1"/>
  <c r="P105" i="14" s="1"/>
  <c r="O105" i="14" a="1"/>
  <c r="O105" i="14" s="1"/>
  <c r="N105" i="14" a="1"/>
  <c r="N105" i="14" s="1"/>
  <c r="M105" i="14" a="1"/>
  <c r="M105" i="14" s="1"/>
  <c r="L105" i="14" a="1"/>
  <c r="L105" i="14" s="1"/>
  <c r="K105" i="14" a="1"/>
  <c r="K105" i="14" s="1"/>
  <c r="J105" i="14" a="1"/>
  <c r="J105" i="14" s="1"/>
  <c r="I105" i="14" a="1"/>
  <c r="I105" i="14" s="1"/>
  <c r="H105" i="14" a="1"/>
  <c r="H105" i="14" s="1"/>
  <c r="G105" i="14" a="1"/>
  <c r="G105" i="14" s="1"/>
  <c r="F105" i="14" a="1"/>
  <c r="F105" i="14" s="1"/>
  <c r="E105" i="14" a="1"/>
  <c r="E105" i="14" s="1"/>
  <c r="D105" i="14" a="1"/>
  <c r="D105" i="14" s="1"/>
  <c r="AE104" i="14" a="1"/>
  <c r="AE104" i="14" s="1"/>
  <c r="AD104" i="14" a="1"/>
  <c r="AD104" i="14" s="1"/>
  <c r="AC104" i="14" a="1"/>
  <c r="AC104" i="14" s="1"/>
  <c r="AB104" i="14" a="1"/>
  <c r="AB104" i="14" s="1"/>
  <c r="AA104" i="14" a="1"/>
  <c r="AA104" i="14" s="1"/>
  <c r="Z104" i="14" a="1"/>
  <c r="Z104" i="14" s="1"/>
  <c r="Y104" i="14" a="1"/>
  <c r="Y104" i="14" s="1"/>
  <c r="X104" i="14" a="1"/>
  <c r="X104" i="14" s="1"/>
  <c r="W104" i="14" a="1"/>
  <c r="W104" i="14" s="1"/>
  <c r="V104" i="14" a="1"/>
  <c r="V104" i="14" s="1"/>
  <c r="U104" i="14" a="1"/>
  <c r="U104" i="14" s="1"/>
  <c r="T104" i="14" a="1"/>
  <c r="T104" i="14" s="1"/>
  <c r="S104" i="14" a="1"/>
  <c r="S104" i="14" s="1"/>
  <c r="R104" i="14" a="1"/>
  <c r="R104" i="14" s="1"/>
  <c r="Q104" i="14" a="1"/>
  <c r="Q104" i="14" s="1"/>
  <c r="P104" i="14" a="1"/>
  <c r="P104" i="14" s="1"/>
  <c r="O104" i="14" a="1"/>
  <c r="O104" i="14" s="1"/>
  <c r="N104" i="14" a="1"/>
  <c r="N104" i="14" s="1"/>
  <c r="M104" i="14" a="1"/>
  <c r="M104" i="14" s="1"/>
  <c r="L104" i="14" a="1"/>
  <c r="L104" i="14" s="1"/>
  <c r="K104" i="14" a="1"/>
  <c r="K104" i="14" s="1"/>
  <c r="J104" i="14" a="1"/>
  <c r="J104" i="14" s="1"/>
  <c r="I104" i="14" a="1"/>
  <c r="I104" i="14" s="1"/>
  <c r="H104" i="14" a="1"/>
  <c r="H104" i="14" s="1"/>
  <c r="G104" i="14" a="1"/>
  <c r="G104" i="14" s="1"/>
  <c r="F104" i="14" a="1"/>
  <c r="F104" i="14" s="1"/>
  <c r="E104" i="14" a="1"/>
  <c r="E104" i="14" s="1"/>
  <c r="D104" i="14" a="1"/>
  <c r="D104" i="14" s="1"/>
  <c r="AE103" i="14" a="1"/>
  <c r="AE103" i="14" s="1"/>
  <c r="AD103" i="14" a="1"/>
  <c r="AD103" i="14" s="1"/>
  <c r="AC103" i="14" a="1"/>
  <c r="AC103" i="14" s="1"/>
  <c r="AB103" i="14" a="1"/>
  <c r="AB103" i="14" s="1"/>
  <c r="AA103" i="14" a="1"/>
  <c r="AA103" i="14" s="1"/>
  <c r="Z103" i="14" a="1"/>
  <c r="Z103" i="14" s="1"/>
  <c r="Y103" i="14" a="1"/>
  <c r="Y103" i="14" s="1"/>
  <c r="X103" i="14" a="1"/>
  <c r="X103" i="14" s="1"/>
  <c r="W103" i="14" a="1"/>
  <c r="W103" i="14" s="1"/>
  <c r="V103" i="14" a="1"/>
  <c r="V103" i="14" s="1"/>
  <c r="U103" i="14" a="1"/>
  <c r="U103" i="14" s="1"/>
  <c r="T103" i="14" a="1"/>
  <c r="T103" i="14" s="1"/>
  <c r="S103" i="14" a="1"/>
  <c r="S103" i="14" s="1"/>
  <c r="R103" i="14" a="1"/>
  <c r="R103" i="14" s="1"/>
  <c r="Q103" i="14" a="1"/>
  <c r="Q103" i="14" s="1"/>
  <c r="P103" i="14" a="1"/>
  <c r="P103" i="14" s="1"/>
  <c r="O103" i="14" a="1"/>
  <c r="O103" i="14" s="1"/>
  <c r="N103" i="14" a="1"/>
  <c r="N103" i="14" s="1"/>
  <c r="M103" i="14" a="1"/>
  <c r="M103" i="14" s="1"/>
  <c r="L103" i="14" a="1"/>
  <c r="L103" i="14" s="1"/>
  <c r="K103" i="14" a="1"/>
  <c r="K103" i="14" s="1"/>
  <c r="J103" i="14" a="1"/>
  <c r="J103" i="14" s="1"/>
  <c r="I103" i="14" a="1"/>
  <c r="I103" i="14" s="1"/>
  <c r="H103" i="14" a="1"/>
  <c r="H103" i="14" s="1"/>
  <c r="G103" i="14" a="1"/>
  <c r="G103" i="14" s="1"/>
  <c r="F103" i="14" a="1"/>
  <c r="F103" i="14" s="1"/>
  <c r="E103" i="14" a="1"/>
  <c r="E103" i="14" s="1"/>
  <c r="D103" i="14" a="1"/>
  <c r="D103" i="14" s="1"/>
  <c r="AE102" i="14" a="1"/>
  <c r="AE102" i="14" s="1"/>
  <c r="AD102" i="14" a="1"/>
  <c r="AD102" i="14" s="1"/>
  <c r="AC102" i="14" a="1"/>
  <c r="AC102" i="14" s="1"/>
  <c r="AB102" i="14" a="1"/>
  <c r="AB102" i="14" s="1"/>
  <c r="AA102" i="14" a="1"/>
  <c r="AA102" i="14" s="1"/>
  <c r="Z102" i="14" a="1"/>
  <c r="Z102" i="14" s="1"/>
  <c r="Y102" i="14" a="1"/>
  <c r="Y102" i="14" s="1"/>
  <c r="X102" i="14" a="1"/>
  <c r="X102" i="14" s="1"/>
  <c r="W102" i="14" a="1"/>
  <c r="W102" i="14" s="1"/>
  <c r="V102" i="14" a="1"/>
  <c r="V102" i="14" s="1"/>
  <c r="U102" i="14" a="1"/>
  <c r="U102" i="14" s="1"/>
  <c r="T102" i="14" a="1"/>
  <c r="T102" i="14" s="1"/>
  <c r="S102" i="14" a="1"/>
  <c r="S102" i="14" s="1"/>
  <c r="R102" i="14" a="1"/>
  <c r="R102" i="14" s="1"/>
  <c r="Q102" i="14" a="1"/>
  <c r="Q102" i="14" s="1"/>
  <c r="P102" i="14" a="1"/>
  <c r="P102" i="14" s="1"/>
  <c r="O102" i="14" a="1"/>
  <c r="O102" i="14" s="1"/>
  <c r="N102" i="14" a="1"/>
  <c r="N102" i="14" s="1"/>
  <c r="M102" i="14" a="1"/>
  <c r="M102" i="14" s="1"/>
  <c r="L102" i="14" a="1"/>
  <c r="L102" i="14" s="1"/>
  <c r="K102" i="14" a="1"/>
  <c r="K102" i="14" s="1"/>
  <c r="J102" i="14" a="1"/>
  <c r="J102" i="14" s="1"/>
  <c r="I102" i="14" a="1"/>
  <c r="I102" i="14" s="1"/>
  <c r="H102" i="14" a="1"/>
  <c r="H102" i="14" s="1"/>
  <c r="G102" i="14" a="1"/>
  <c r="G102" i="14" s="1"/>
  <c r="F102" i="14" a="1"/>
  <c r="F102" i="14" s="1"/>
  <c r="E102" i="14" a="1"/>
  <c r="E102" i="14" s="1"/>
  <c r="D102" i="14" a="1"/>
  <c r="D102" i="14" s="1"/>
  <c r="AE101" i="14" a="1"/>
  <c r="AE101" i="14" s="1"/>
  <c r="AD101" i="14" a="1"/>
  <c r="AD101" i="14" s="1"/>
  <c r="AC101" i="14" a="1"/>
  <c r="AC101" i="14" s="1"/>
  <c r="AB101" i="14" a="1"/>
  <c r="AB101" i="14" s="1"/>
  <c r="AA101" i="14" a="1"/>
  <c r="AA101" i="14" s="1"/>
  <c r="Z101" i="14" a="1"/>
  <c r="Z101" i="14" s="1"/>
  <c r="Y101" i="14" a="1"/>
  <c r="Y101" i="14" s="1"/>
  <c r="X101" i="14" a="1"/>
  <c r="X101" i="14" s="1"/>
  <c r="W101" i="14" a="1"/>
  <c r="W101" i="14" s="1"/>
  <c r="V101" i="14" a="1"/>
  <c r="V101" i="14" s="1"/>
  <c r="U101" i="14" a="1"/>
  <c r="U101" i="14" s="1"/>
  <c r="T101" i="14" a="1"/>
  <c r="T101" i="14" s="1"/>
  <c r="S101" i="14" a="1"/>
  <c r="S101" i="14" s="1"/>
  <c r="R101" i="14" a="1"/>
  <c r="R101" i="14" s="1"/>
  <c r="Q101" i="14" a="1"/>
  <c r="Q101" i="14" s="1"/>
  <c r="P101" i="14" a="1"/>
  <c r="P101" i="14" s="1"/>
  <c r="O101" i="14" a="1"/>
  <c r="O101" i="14" s="1"/>
  <c r="N101" i="14" a="1"/>
  <c r="N101" i="14" s="1"/>
  <c r="M101" i="14" a="1"/>
  <c r="M101" i="14" s="1"/>
  <c r="L101" i="14" a="1"/>
  <c r="L101" i="14" s="1"/>
  <c r="K101" i="14" a="1"/>
  <c r="K101" i="14" s="1"/>
  <c r="J101" i="14" a="1"/>
  <c r="J101" i="14" s="1"/>
  <c r="I101" i="14" a="1"/>
  <c r="I101" i="14" s="1"/>
  <c r="H101" i="14" a="1"/>
  <c r="H101" i="14" s="1"/>
  <c r="G101" i="14" a="1"/>
  <c r="G101" i="14" s="1"/>
  <c r="F101" i="14" a="1"/>
  <c r="F101" i="14" s="1"/>
  <c r="E101" i="14" a="1"/>
  <c r="E101" i="14" s="1"/>
  <c r="D101" i="14" a="1"/>
  <c r="D101" i="14" s="1"/>
  <c r="AE100" i="14" a="1"/>
  <c r="AE100" i="14" s="1"/>
  <c r="AD100" i="14" a="1"/>
  <c r="AD100" i="14" s="1"/>
  <c r="AC100" i="14" a="1"/>
  <c r="AC100" i="14" s="1"/>
  <c r="AB100" i="14" a="1"/>
  <c r="AB100" i="14" s="1"/>
  <c r="AA100" i="14" a="1"/>
  <c r="AA100" i="14" s="1"/>
  <c r="Z100" i="14" a="1"/>
  <c r="Z100" i="14" s="1"/>
  <c r="Y100" i="14" a="1"/>
  <c r="Y100" i="14" s="1"/>
  <c r="X100" i="14" a="1"/>
  <c r="X100" i="14" s="1"/>
  <c r="W100" i="14" a="1"/>
  <c r="W100" i="14" s="1"/>
  <c r="V100" i="14" a="1"/>
  <c r="V100" i="14" s="1"/>
  <c r="U100" i="14" a="1"/>
  <c r="U100" i="14" s="1"/>
  <c r="T100" i="14" a="1"/>
  <c r="T100" i="14" s="1"/>
  <c r="S100" i="14" a="1"/>
  <c r="S100" i="14" s="1"/>
  <c r="R100" i="14" a="1"/>
  <c r="R100" i="14" s="1"/>
  <c r="Q100" i="14" a="1"/>
  <c r="Q100" i="14" s="1"/>
  <c r="P100" i="14" a="1"/>
  <c r="P100" i="14" s="1"/>
  <c r="O100" i="14" a="1"/>
  <c r="O100" i="14" s="1"/>
  <c r="N100" i="14" a="1"/>
  <c r="N100" i="14" s="1"/>
  <c r="M100" i="14" a="1"/>
  <c r="M100" i="14" s="1"/>
  <c r="L100" i="14" a="1"/>
  <c r="L100" i="14" s="1"/>
  <c r="K100" i="14" a="1"/>
  <c r="K100" i="14" s="1"/>
  <c r="J100" i="14" a="1"/>
  <c r="J100" i="14" s="1"/>
  <c r="I100" i="14" a="1"/>
  <c r="I100" i="14" s="1"/>
  <c r="H100" i="14" a="1"/>
  <c r="H100" i="14" s="1"/>
  <c r="G100" i="14" a="1"/>
  <c r="G100" i="14" s="1"/>
  <c r="F100" i="14" a="1"/>
  <c r="F100" i="14" s="1"/>
  <c r="E100" i="14" a="1"/>
  <c r="E100" i="14" s="1"/>
  <c r="D100" i="14" a="1"/>
  <c r="D100" i="14" s="1"/>
  <c r="AE99" i="14" a="1"/>
  <c r="AE99" i="14" s="1"/>
  <c r="AD99" i="14" a="1"/>
  <c r="AD99" i="14" s="1"/>
  <c r="AC99" i="14" a="1"/>
  <c r="AC99" i="14" s="1"/>
  <c r="AB99" i="14" a="1"/>
  <c r="AB99" i="14" s="1"/>
  <c r="AA99" i="14" a="1"/>
  <c r="AA99" i="14" s="1"/>
  <c r="Z99" i="14" a="1"/>
  <c r="Z99" i="14" s="1"/>
  <c r="Y99" i="14" a="1"/>
  <c r="Y99" i="14" s="1"/>
  <c r="X99" i="14" a="1"/>
  <c r="X99" i="14" s="1"/>
  <c r="W99" i="14" a="1"/>
  <c r="W99" i="14" s="1"/>
  <c r="V99" i="14" a="1"/>
  <c r="V99" i="14" s="1"/>
  <c r="U99" i="14" a="1"/>
  <c r="U99" i="14" s="1"/>
  <c r="T99" i="14" a="1"/>
  <c r="T99" i="14" s="1"/>
  <c r="S99" i="14" a="1"/>
  <c r="S99" i="14" s="1"/>
  <c r="R99" i="14" a="1"/>
  <c r="R99" i="14" s="1"/>
  <c r="Q99" i="14" a="1"/>
  <c r="Q99" i="14" s="1"/>
  <c r="P99" i="14" a="1"/>
  <c r="P99" i="14" s="1"/>
  <c r="O99" i="14" a="1"/>
  <c r="O99" i="14" s="1"/>
  <c r="N99" i="14" a="1"/>
  <c r="N99" i="14" s="1"/>
  <c r="M99" i="14" a="1"/>
  <c r="M99" i="14" s="1"/>
  <c r="L99" i="14" a="1"/>
  <c r="L99" i="14" s="1"/>
  <c r="K99" i="14" a="1"/>
  <c r="K99" i="14" s="1"/>
  <c r="J99" i="14" a="1"/>
  <c r="J99" i="14" s="1"/>
  <c r="I99" i="14" a="1"/>
  <c r="I99" i="14" s="1"/>
  <c r="H99" i="14" a="1"/>
  <c r="H99" i="14" s="1"/>
  <c r="G99" i="14" a="1"/>
  <c r="G99" i="14" s="1"/>
  <c r="F99" i="14" a="1"/>
  <c r="F99" i="14" s="1"/>
  <c r="E99" i="14" a="1"/>
  <c r="E99" i="14" s="1"/>
  <c r="D99" i="14" a="1"/>
  <c r="D99" i="14" s="1"/>
  <c r="AE98" i="14" a="1"/>
  <c r="AE98" i="14" s="1"/>
  <c r="AD98" i="14" a="1"/>
  <c r="AD98" i="14" s="1"/>
  <c r="AC98" i="14" a="1"/>
  <c r="AC98" i="14" s="1"/>
  <c r="AB98" i="14" a="1"/>
  <c r="AB98" i="14" s="1"/>
  <c r="AA98" i="14" a="1"/>
  <c r="AA98" i="14" s="1"/>
  <c r="Z98" i="14" a="1"/>
  <c r="Z98" i="14" s="1"/>
  <c r="Y98" i="14" a="1"/>
  <c r="Y98" i="14" s="1"/>
  <c r="X98" i="14" a="1"/>
  <c r="X98" i="14" s="1"/>
  <c r="W98" i="14" a="1"/>
  <c r="W98" i="14" s="1"/>
  <c r="V98" i="14" a="1"/>
  <c r="V98" i="14" s="1"/>
  <c r="U98" i="14" a="1"/>
  <c r="U98" i="14" s="1"/>
  <c r="T98" i="14" a="1"/>
  <c r="T98" i="14" s="1"/>
  <c r="S98" i="14" a="1"/>
  <c r="S98" i="14" s="1"/>
  <c r="R98" i="14" a="1"/>
  <c r="R98" i="14" s="1"/>
  <c r="Q98" i="14" a="1"/>
  <c r="Q98" i="14" s="1"/>
  <c r="P98" i="14" a="1"/>
  <c r="P98" i="14" s="1"/>
  <c r="O98" i="14" a="1"/>
  <c r="O98" i="14" s="1"/>
  <c r="N98" i="14" a="1"/>
  <c r="N98" i="14" s="1"/>
  <c r="M98" i="14" a="1"/>
  <c r="M98" i="14" s="1"/>
  <c r="L98" i="14" a="1"/>
  <c r="L98" i="14" s="1"/>
  <c r="K98" i="14" a="1"/>
  <c r="K98" i="14" s="1"/>
  <c r="J98" i="14" a="1"/>
  <c r="J98" i="14" s="1"/>
  <c r="I98" i="14" a="1"/>
  <c r="I98" i="14" s="1"/>
  <c r="H98" i="14" a="1"/>
  <c r="H98" i="14" s="1"/>
  <c r="G98" i="14" a="1"/>
  <c r="G98" i="14" s="1"/>
  <c r="F98" i="14" a="1"/>
  <c r="F98" i="14" s="1"/>
  <c r="E98" i="14" a="1"/>
  <c r="E98" i="14" s="1"/>
  <c r="D98" i="14" a="1"/>
  <c r="D98" i="14" s="1"/>
  <c r="AE97" i="14" a="1"/>
  <c r="AE97" i="14" s="1"/>
  <c r="AD97" i="14" a="1"/>
  <c r="AD97" i="14" s="1"/>
  <c r="AC97" i="14" a="1"/>
  <c r="AC97" i="14" s="1"/>
  <c r="AB97" i="14" a="1"/>
  <c r="AB97" i="14" s="1"/>
  <c r="AA97" i="14" a="1"/>
  <c r="AA97" i="14" s="1"/>
  <c r="Z97" i="14" a="1"/>
  <c r="Z97" i="14" s="1"/>
  <c r="Y97" i="14" a="1"/>
  <c r="Y97" i="14" s="1"/>
  <c r="X97" i="14" a="1"/>
  <c r="X97" i="14" s="1"/>
  <c r="W97" i="14" a="1"/>
  <c r="W97" i="14" s="1"/>
  <c r="V97" i="14" a="1"/>
  <c r="V97" i="14" s="1"/>
  <c r="U97" i="14" a="1"/>
  <c r="U97" i="14" s="1"/>
  <c r="T97" i="14" a="1"/>
  <c r="T97" i="14" s="1"/>
  <c r="S97" i="14" a="1"/>
  <c r="S97" i="14" s="1"/>
  <c r="R97" i="14" a="1"/>
  <c r="R97" i="14" s="1"/>
  <c r="Q97" i="14" a="1"/>
  <c r="Q97" i="14" s="1"/>
  <c r="P97" i="14" a="1"/>
  <c r="P97" i="14" s="1"/>
  <c r="O97" i="14" a="1"/>
  <c r="O97" i="14" s="1"/>
  <c r="N97" i="14" a="1"/>
  <c r="N97" i="14" s="1"/>
  <c r="M97" i="14" a="1"/>
  <c r="M97" i="14" s="1"/>
  <c r="L97" i="14" a="1"/>
  <c r="L97" i="14" s="1"/>
  <c r="K97" i="14" a="1"/>
  <c r="K97" i="14" s="1"/>
  <c r="J97" i="14" a="1"/>
  <c r="J97" i="14" s="1"/>
  <c r="I97" i="14" a="1"/>
  <c r="I97" i="14" s="1"/>
  <c r="H97" i="14" a="1"/>
  <c r="H97" i="14" s="1"/>
  <c r="G97" i="14" a="1"/>
  <c r="G97" i="14" s="1"/>
  <c r="F97" i="14" a="1"/>
  <c r="F97" i="14" s="1"/>
  <c r="E97" i="14" a="1"/>
  <c r="E97" i="14" s="1"/>
  <c r="D97" i="14" a="1"/>
  <c r="D97" i="14" s="1"/>
  <c r="AE96" i="14" a="1"/>
  <c r="AE96" i="14" s="1"/>
  <c r="AD96" i="14" a="1"/>
  <c r="AD96" i="14" s="1"/>
  <c r="AC96" i="14" a="1"/>
  <c r="AC96" i="14" s="1"/>
  <c r="AB96" i="14" a="1"/>
  <c r="AB96" i="14" s="1"/>
  <c r="AA96" i="14" a="1"/>
  <c r="AA96" i="14" s="1"/>
  <c r="Z96" i="14" a="1"/>
  <c r="Z96" i="14" s="1"/>
  <c r="Y96" i="14" a="1"/>
  <c r="Y96" i="14" s="1"/>
  <c r="X96" i="14" a="1"/>
  <c r="X96" i="14" s="1"/>
  <c r="W96" i="14" a="1"/>
  <c r="W96" i="14" s="1"/>
  <c r="V96" i="14" a="1"/>
  <c r="V96" i="14" s="1"/>
  <c r="U96" i="14" a="1"/>
  <c r="U96" i="14" s="1"/>
  <c r="T96" i="14" a="1"/>
  <c r="T96" i="14" s="1"/>
  <c r="S96" i="14" a="1"/>
  <c r="S96" i="14" s="1"/>
  <c r="R96" i="14" a="1"/>
  <c r="R96" i="14" s="1"/>
  <c r="Q96" i="14" a="1"/>
  <c r="Q96" i="14" s="1"/>
  <c r="P96" i="14" a="1"/>
  <c r="P96" i="14" s="1"/>
  <c r="O96" i="14" a="1"/>
  <c r="O96" i="14" s="1"/>
  <c r="N96" i="14" a="1"/>
  <c r="N96" i="14" s="1"/>
  <c r="M96" i="14" a="1"/>
  <c r="M96" i="14" s="1"/>
  <c r="L96" i="14" a="1"/>
  <c r="L96" i="14" s="1"/>
  <c r="K96" i="14" a="1"/>
  <c r="K96" i="14" s="1"/>
  <c r="J96" i="14" a="1"/>
  <c r="J96" i="14" s="1"/>
  <c r="I96" i="14" a="1"/>
  <c r="I96" i="14" s="1"/>
  <c r="H96" i="14" a="1"/>
  <c r="H96" i="14" s="1"/>
  <c r="G96" i="14" a="1"/>
  <c r="G96" i="14" s="1"/>
  <c r="F96" i="14" a="1"/>
  <c r="F96" i="14" s="1"/>
  <c r="E96" i="14" a="1"/>
  <c r="E96" i="14" s="1"/>
  <c r="D96" i="14" a="1"/>
  <c r="D96" i="14" s="1"/>
  <c r="AE95" i="14" a="1"/>
  <c r="AE95" i="14" s="1"/>
  <c r="AD95" i="14" a="1"/>
  <c r="AD95" i="14" s="1"/>
  <c r="AC95" i="14" a="1"/>
  <c r="AC95" i="14" s="1"/>
  <c r="AB95" i="14" a="1"/>
  <c r="AB95" i="14" s="1"/>
  <c r="AA95" i="14" a="1"/>
  <c r="AA95" i="14" s="1"/>
  <c r="Z95" i="14" a="1"/>
  <c r="Z95" i="14" s="1"/>
  <c r="Y95" i="14" a="1"/>
  <c r="Y95" i="14" s="1"/>
  <c r="X95" i="14" a="1"/>
  <c r="X95" i="14" s="1"/>
  <c r="W95" i="14" a="1"/>
  <c r="W95" i="14" s="1"/>
  <c r="V95" i="14" a="1"/>
  <c r="V95" i="14" s="1"/>
  <c r="U95" i="14" a="1"/>
  <c r="U95" i="14" s="1"/>
  <c r="T95" i="14" a="1"/>
  <c r="T95" i="14" s="1"/>
  <c r="S95" i="14" a="1"/>
  <c r="S95" i="14" s="1"/>
  <c r="R95" i="14" a="1"/>
  <c r="R95" i="14" s="1"/>
  <c r="Q95" i="14" a="1"/>
  <c r="Q95" i="14" s="1"/>
  <c r="P95" i="14" a="1"/>
  <c r="P95" i="14" s="1"/>
  <c r="O95" i="14" a="1"/>
  <c r="O95" i="14" s="1"/>
  <c r="N95" i="14" a="1"/>
  <c r="N95" i="14" s="1"/>
  <c r="M95" i="14" a="1"/>
  <c r="M95" i="14" s="1"/>
  <c r="L95" i="14" a="1"/>
  <c r="L95" i="14" s="1"/>
  <c r="K95" i="14" a="1"/>
  <c r="K95" i="14" s="1"/>
  <c r="J95" i="14" a="1"/>
  <c r="J95" i="14" s="1"/>
  <c r="I95" i="14" a="1"/>
  <c r="I95" i="14" s="1"/>
  <c r="H95" i="14" a="1"/>
  <c r="H95" i="14" s="1"/>
  <c r="G95" i="14" a="1"/>
  <c r="G95" i="14" s="1"/>
  <c r="F95" i="14" a="1"/>
  <c r="F95" i="14" s="1"/>
  <c r="E95" i="14" a="1"/>
  <c r="E95" i="14" s="1"/>
  <c r="D95" i="14" a="1"/>
  <c r="D95" i="14" s="1"/>
  <c r="AE94" i="14" a="1"/>
  <c r="AE94" i="14" s="1"/>
  <c r="AD94" i="14" a="1"/>
  <c r="AD94" i="14" s="1"/>
  <c r="AC94" i="14" a="1"/>
  <c r="AC94" i="14" s="1"/>
  <c r="AB94" i="14" a="1"/>
  <c r="AB94" i="14" s="1"/>
  <c r="AA94" i="14" a="1"/>
  <c r="AA94" i="14" s="1"/>
  <c r="Z94" i="14" a="1"/>
  <c r="Z94" i="14" s="1"/>
  <c r="Y94" i="14" a="1"/>
  <c r="Y94" i="14" s="1"/>
  <c r="X94" i="14" a="1"/>
  <c r="X94" i="14" s="1"/>
  <c r="W94" i="14" a="1"/>
  <c r="W94" i="14" s="1"/>
  <c r="V94" i="14" a="1"/>
  <c r="V94" i="14" s="1"/>
  <c r="U94" i="14" a="1"/>
  <c r="U94" i="14" s="1"/>
  <c r="T94" i="14" a="1"/>
  <c r="T94" i="14" s="1"/>
  <c r="S94" i="14" a="1"/>
  <c r="S94" i="14" s="1"/>
  <c r="R94" i="14" a="1"/>
  <c r="R94" i="14" s="1"/>
  <c r="Q94" i="14" a="1"/>
  <c r="Q94" i="14" s="1"/>
  <c r="P94" i="14" a="1"/>
  <c r="P94" i="14" s="1"/>
  <c r="O94" i="14" a="1"/>
  <c r="O94" i="14" s="1"/>
  <c r="N94" i="14" a="1"/>
  <c r="N94" i="14" s="1"/>
  <c r="M94" i="14" a="1"/>
  <c r="M94" i="14" s="1"/>
  <c r="L94" i="14" a="1"/>
  <c r="L94" i="14" s="1"/>
  <c r="K94" i="14" a="1"/>
  <c r="K94" i="14" s="1"/>
  <c r="J94" i="14" a="1"/>
  <c r="J94" i="14" s="1"/>
  <c r="I94" i="14" a="1"/>
  <c r="I94" i="14" s="1"/>
  <c r="H94" i="14" a="1"/>
  <c r="H94" i="14" s="1"/>
  <c r="G94" i="14" a="1"/>
  <c r="G94" i="14" s="1"/>
  <c r="F94" i="14" a="1"/>
  <c r="F94" i="14" s="1"/>
  <c r="E94" i="14" a="1"/>
  <c r="E94" i="14" s="1"/>
  <c r="D94" i="14" a="1"/>
  <c r="D94" i="14" s="1"/>
  <c r="AE93" i="14" a="1"/>
  <c r="AE93" i="14" s="1"/>
  <c r="AD93" i="14" a="1"/>
  <c r="AD93" i="14" s="1"/>
  <c r="AC93" i="14" a="1"/>
  <c r="AC93" i="14" s="1"/>
  <c r="AB93" i="14" a="1"/>
  <c r="AB93" i="14" s="1"/>
  <c r="AA93" i="14" a="1"/>
  <c r="AA93" i="14" s="1"/>
  <c r="Z93" i="14" a="1"/>
  <c r="Z93" i="14" s="1"/>
  <c r="Y93" i="14" a="1"/>
  <c r="Y93" i="14" s="1"/>
  <c r="X93" i="14" a="1"/>
  <c r="X93" i="14" s="1"/>
  <c r="W93" i="14" a="1"/>
  <c r="W93" i="14" s="1"/>
  <c r="V93" i="14" a="1"/>
  <c r="V93" i="14" s="1"/>
  <c r="U93" i="14" a="1"/>
  <c r="U93" i="14" s="1"/>
  <c r="T93" i="14" a="1"/>
  <c r="T93" i="14" s="1"/>
  <c r="S93" i="14" a="1"/>
  <c r="S93" i="14" s="1"/>
  <c r="R93" i="14" a="1"/>
  <c r="R93" i="14" s="1"/>
  <c r="Q93" i="14" a="1"/>
  <c r="Q93" i="14" s="1"/>
  <c r="P93" i="14" a="1"/>
  <c r="P93" i="14" s="1"/>
  <c r="O93" i="14" a="1"/>
  <c r="O93" i="14" s="1"/>
  <c r="N93" i="14" a="1"/>
  <c r="N93" i="14" s="1"/>
  <c r="M93" i="14" a="1"/>
  <c r="M93" i="14" s="1"/>
  <c r="L93" i="14" a="1"/>
  <c r="L93" i="14" s="1"/>
  <c r="K93" i="14" a="1"/>
  <c r="K93" i="14" s="1"/>
  <c r="J93" i="14" a="1"/>
  <c r="J93" i="14" s="1"/>
  <c r="I93" i="14" a="1"/>
  <c r="I93" i="14" s="1"/>
  <c r="H93" i="14" a="1"/>
  <c r="H93" i="14" s="1"/>
  <c r="G93" i="14" a="1"/>
  <c r="G93" i="14" s="1"/>
  <c r="F93" i="14" a="1"/>
  <c r="F93" i="14" s="1"/>
  <c r="E93" i="14" a="1"/>
  <c r="E93" i="14" s="1"/>
  <c r="D93" i="14" a="1"/>
  <c r="D93" i="14" s="1"/>
  <c r="AE92" i="14" a="1"/>
  <c r="AE92" i="14" s="1"/>
  <c r="AD92" i="14" a="1"/>
  <c r="AD92" i="14" s="1"/>
  <c r="AC92" i="14" a="1"/>
  <c r="AC92" i="14" s="1"/>
  <c r="AB92" i="14" a="1"/>
  <c r="AB92" i="14" s="1"/>
  <c r="AA92" i="14" a="1"/>
  <c r="AA92" i="14" s="1"/>
  <c r="Z92" i="14" a="1"/>
  <c r="Z92" i="14" s="1"/>
  <c r="Y92" i="14" a="1"/>
  <c r="Y92" i="14" s="1"/>
  <c r="X92" i="14" a="1"/>
  <c r="X92" i="14" s="1"/>
  <c r="W92" i="14" a="1"/>
  <c r="W92" i="14" s="1"/>
  <c r="V92" i="14" a="1"/>
  <c r="V92" i="14" s="1"/>
  <c r="U92" i="14" a="1"/>
  <c r="U92" i="14" s="1"/>
  <c r="T92" i="14" a="1"/>
  <c r="T92" i="14" s="1"/>
  <c r="S92" i="14" a="1"/>
  <c r="S92" i="14" s="1"/>
  <c r="R92" i="14" a="1"/>
  <c r="R92" i="14" s="1"/>
  <c r="Q92" i="14" a="1"/>
  <c r="Q92" i="14" s="1"/>
  <c r="P92" i="14" a="1"/>
  <c r="P92" i="14" s="1"/>
  <c r="O92" i="14" a="1"/>
  <c r="O92" i="14" s="1"/>
  <c r="N92" i="14" a="1"/>
  <c r="N92" i="14" s="1"/>
  <c r="M92" i="14" a="1"/>
  <c r="M92" i="14" s="1"/>
  <c r="L92" i="14" a="1"/>
  <c r="L92" i="14" s="1"/>
  <c r="K92" i="14" a="1"/>
  <c r="K92" i="14" s="1"/>
  <c r="J92" i="14" a="1"/>
  <c r="J92" i="14" s="1"/>
  <c r="I92" i="14" a="1"/>
  <c r="I92" i="14" s="1"/>
  <c r="H92" i="14" a="1"/>
  <c r="H92" i="14" s="1"/>
  <c r="G92" i="14" a="1"/>
  <c r="G92" i="14" s="1"/>
  <c r="F92" i="14" a="1"/>
  <c r="F92" i="14" s="1"/>
  <c r="E92" i="14" a="1"/>
  <c r="E92" i="14" s="1"/>
  <c r="D92" i="14" a="1"/>
  <c r="D92" i="14" s="1"/>
  <c r="AE91" i="14" a="1"/>
  <c r="AE91" i="14" s="1"/>
  <c r="AD91" i="14" a="1"/>
  <c r="AD91" i="14" s="1"/>
  <c r="AC91" i="14" a="1"/>
  <c r="AC91" i="14" s="1"/>
  <c r="AB91" i="14" a="1"/>
  <c r="AB91" i="14" s="1"/>
  <c r="AA91" i="14" a="1"/>
  <c r="AA91" i="14" s="1"/>
  <c r="Z91" i="14" a="1"/>
  <c r="Z91" i="14" s="1"/>
  <c r="Y91" i="14" a="1"/>
  <c r="Y91" i="14" s="1"/>
  <c r="X91" i="14" a="1"/>
  <c r="X91" i="14" s="1"/>
  <c r="W91" i="14" a="1"/>
  <c r="W91" i="14" s="1"/>
  <c r="V91" i="14" a="1"/>
  <c r="V91" i="14" s="1"/>
  <c r="U91" i="14" a="1"/>
  <c r="U91" i="14" s="1"/>
  <c r="T91" i="14" a="1"/>
  <c r="T91" i="14" s="1"/>
  <c r="S91" i="14" a="1"/>
  <c r="S91" i="14" s="1"/>
  <c r="R91" i="14" a="1"/>
  <c r="R91" i="14" s="1"/>
  <c r="Q91" i="14" a="1"/>
  <c r="Q91" i="14" s="1"/>
  <c r="P91" i="14" a="1"/>
  <c r="P91" i="14" s="1"/>
  <c r="O91" i="14" a="1"/>
  <c r="O91" i="14" s="1"/>
  <c r="N91" i="14" a="1"/>
  <c r="N91" i="14" s="1"/>
  <c r="M91" i="14" a="1"/>
  <c r="M91" i="14" s="1"/>
  <c r="L91" i="14" a="1"/>
  <c r="L91" i="14" s="1"/>
  <c r="K91" i="14" a="1"/>
  <c r="K91" i="14" s="1"/>
  <c r="J91" i="14" a="1"/>
  <c r="J91" i="14" s="1"/>
  <c r="I91" i="14" a="1"/>
  <c r="I91" i="14" s="1"/>
  <c r="H91" i="14" a="1"/>
  <c r="H91" i="14" s="1"/>
  <c r="G91" i="14" a="1"/>
  <c r="G91" i="14" s="1"/>
  <c r="F91" i="14" a="1"/>
  <c r="F91" i="14" s="1"/>
  <c r="E91" i="14" a="1"/>
  <c r="E91" i="14" s="1"/>
  <c r="D91" i="14" a="1"/>
  <c r="D91" i="14" s="1"/>
  <c r="AE90" i="14" a="1"/>
  <c r="AE90" i="14" s="1"/>
  <c r="AD90" i="14" a="1"/>
  <c r="AD90" i="14" s="1"/>
  <c r="AC90" i="14" a="1"/>
  <c r="AC90" i="14" s="1"/>
  <c r="AB90" i="14" a="1"/>
  <c r="AB90" i="14" s="1"/>
  <c r="AA90" i="14" a="1"/>
  <c r="AA90" i="14" s="1"/>
  <c r="Z90" i="14" a="1"/>
  <c r="Z90" i="14" s="1"/>
  <c r="Y90" i="14" a="1"/>
  <c r="Y90" i="14" s="1"/>
  <c r="X90" i="14" a="1"/>
  <c r="X90" i="14" s="1"/>
  <c r="W90" i="14" a="1"/>
  <c r="W90" i="14" s="1"/>
  <c r="V90" i="14" a="1"/>
  <c r="V90" i="14" s="1"/>
  <c r="U90" i="14" a="1"/>
  <c r="U90" i="14" s="1"/>
  <c r="T90" i="14" a="1"/>
  <c r="T90" i="14" s="1"/>
  <c r="S90" i="14" a="1"/>
  <c r="S90" i="14" s="1"/>
  <c r="R90" i="14" a="1"/>
  <c r="R90" i="14" s="1"/>
  <c r="Q90" i="14" a="1"/>
  <c r="Q90" i="14" s="1"/>
  <c r="P90" i="14" a="1"/>
  <c r="P90" i="14" s="1"/>
  <c r="O90" i="14" a="1"/>
  <c r="O90" i="14" s="1"/>
  <c r="N90" i="14" a="1"/>
  <c r="N90" i="14" s="1"/>
  <c r="M90" i="14" a="1"/>
  <c r="M90" i="14" s="1"/>
  <c r="L90" i="14" a="1"/>
  <c r="L90" i="14" s="1"/>
  <c r="K90" i="14" a="1"/>
  <c r="K90" i="14" s="1"/>
  <c r="J90" i="14" a="1"/>
  <c r="J90" i="14" s="1"/>
  <c r="I90" i="14" a="1"/>
  <c r="I90" i="14" s="1"/>
  <c r="H90" i="14" a="1"/>
  <c r="H90" i="14" s="1"/>
  <c r="G90" i="14" a="1"/>
  <c r="G90" i="14" s="1"/>
  <c r="F90" i="14" a="1"/>
  <c r="F90" i="14" s="1"/>
  <c r="E90" i="14" a="1"/>
  <c r="E90" i="14" s="1"/>
  <c r="D90" i="14" a="1"/>
  <c r="D90" i="14" s="1"/>
  <c r="F83" i="14" a="1"/>
  <c r="F83" i="14" s="1"/>
  <c r="E83" i="14" a="1"/>
  <c r="E83" i="14" s="1"/>
  <c r="D83" i="14" a="1"/>
  <c r="D83" i="14" s="1"/>
  <c r="D82" i="14" a="1"/>
  <c r="D82" i="14" s="1"/>
  <c r="D81" i="14" a="1"/>
  <c r="D81" i="14" s="1"/>
  <c r="F78" i="14" a="1"/>
  <c r="F78" i="14" s="1"/>
  <c r="E78" i="14" a="1"/>
  <c r="E78" i="14" s="1"/>
  <c r="D78" i="14" a="1"/>
  <c r="D78" i="14" s="1"/>
  <c r="D77" i="14" a="1"/>
  <c r="D77" i="14" s="1"/>
  <c r="D76" i="14" a="1"/>
  <c r="D76" i="14" s="1"/>
  <c r="F73" i="14" a="1"/>
  <c r="F73" i="14" s="1"/>
  <c r="E73" i="14" a="1"/>
  <c r="E73" i="14" s="1"/>
  <c r="D73" i="14" a="1"/>
  <c r="D73" i="14" s="1"/>
  <c r="D72" i="14" a="1"/>
  <c r="D72" i="14" s="1"/>
  <c r="D71" i="14" a="1"/>
  <c r="D71" i="14" s="1"/>
  <c r="F68" i="14" a="1"/>
  <c r="F68" i="14" s="1"/>
  <c r="E68" i="14" a="1"/>
  <c r="E68" i="14" s="1"/>
  <c r="D68" i="14" a="1"/>
  <c r="D68" i="14" s="1"/>
  <c r="F67" i="14" a="1"/>
  <c r="F67" i="14" s="1"/>
  <c r="E67" i="14" a="1"/>
  <c r="E67" i="14" s="1"/>
  <c r="D67" i="14" a="1"/>
  <c r="D67" i="14" s="1"/>
  <c r="F66" i="14" a="1"/>
  <c r="F66" i="14" s="1"/>
  <c r="E66" i="14" a="1"/>
  <c r="E66" i="14" s="1"/>
  <c r="D66" i="14" a="1"/>
  <c r="D66" i="14" s="1"/>
  <c r="D64" i="14" a="1"/>
  <c r="D64" i="14" s="1"/>
  <c r="D63" i="14" a="1"/>
  <c r="D63" i="14" s="1"/>
  <c r="F60" i="14" a="1"/>
  <c r="F60" i="14" s="1"/>
  <c r="E60" i="14" a="1"/>
  <c r="E60" i="14" s="1"/>
  <c r="D60" i="14" a="1"/>
  <c r="D60" i="14" s="1"/>
  <c r="D59" i="14" a="1"/>
  <c r="D59" i="14" s="1"/>
  <c r="D58" i="14" a="1"/>
  <c r="D58" i="14" s="1"/>
  <c r="E55" i="14" a="1"/>
  <c r="E55" i="14" s="1"/>
  <c r="D55" i="14" a="1"/>
  <c r="D55" i="14" s="1"/>
  <c r="E54" i="14" a="1"/>
  <c r="E54" i="14" s="1"/>
  <c r="D54" i="14" a="1"/>
  <c r="D54" i="14" s="1"/>
  <c r="E53" i="14" a="1"/>
  <c r="E53" i="14" s="1"/>
  <c r="D53" i="14" a="1"/>
  <c r="D53" i="14" s="1"/>
  <c r="E52" i="14" a="1"/>
  <c r="E52" i="14" s="1"/>
  <c r="D52" i="14" a="1"/>
  <c r="D52" i="14" s="1"/>
  <c r="E51" i="14" a="1"/>
  <c r="E51" i="14" s="1"/>
  <c r="D51" i="14" a="1"/>
  <c r="D51" i="14" s="1"/>
  <c r="D49" i="14" a="1"/>
  <c r="D49" i="14" s="1"/>
  <c r="D48" i="14" a="1"/>
  <c r="D48" i="14" s="1"/>
  <c r="I38" i="14" a="1"/>
  <c r="I38" i="14" s="1"/>
  <c r="H38" i="14" a="1"/>
  <c r="H38" i="14" s="1"/>
  <c r="G38" i="14" a="1"/>
  <c r="G38" i="14" s="1"/>
  <c r="F38" i="14" a="1"/>
  <c r="F38" i="14" s="1"/>
  <c r="E38" i="14" a="1"/>
  <c r="E38" i="14" s="1"/>
  <c r="D38" i="14" a="1"/>
  <c r="D38" i="14" s="1"/>
  <c r="I37" i="14" a="1"/>
  <c r="I37" i="14" s="1"/>
  <c r="H37" i="14" a="1"/>
  <c r="H37" i="14" s="1"/>
  <c r="G37" i="14" a="1"/>
  <c r="G37" i="14" s="1"/>
  <c r="F37" i="14" a="1"/>
  <c r="F37" i="14" s="1"/>
  <c r="E37" i="14" a="1"/>
  <c r="E37" i="14" s="1"/>
  <c r="D37" i="14" a="1"/>
  <c r="D37" i="14" s="1"/>
  <c r="I36" i="14" a="1"/>
  <c r="I36" i="14" s="1"/>
  <c r="H36" i="14" a="1"/>
  <c r="H36" i="14" s="1"/>
  <c r="G36" i="14" a="1"/>
  <c r="G36" i="14" s="1"/>
  <c r="F36" i="14" a="1"/>
  <c r="F36" i="14" s="1"/>
  <c r="E36" i="14" a="1"/>
  <c r="E36" i="14" s="1"/>
  <c r="D36" i="14" a="1"/>
  <c r="D36" i="14" s="1"/>
  <c r="I35" i="14" a="1"/>
  <c r="I35" i="14" s="1"/>
  <c r="H35" i="14" a="1"/>
  <c r="H35" i="14" s="1"/>
  <c r="G35" i="14" a="1"/>
  <c r="G35" i="14" s="1"/>
  <c r="F35" i="14" a="1"/>
  <c r="F35" i="14" s="1"/>
  <c r="E35" i="14" a="1"/>
  <c r="E35" i="14" s="1"/>
  <c r="D35" i="14" a="1"/>
  <c r="D35" i="14" s="1"/>
  <c r="I34" i="14" a="1"/>
  <c r="I34" i="14" s="1"/>
  <c r="H34" i="14" a="1"/>
  <c r="H34" i="14" s="1"/>
  <c r="G34" i="14" a="1"/>
  <c r="G34" i="14" s="1"/>
  <c r="F34" i="14" a="1"/>
  <c r="F34" i="14" s="1"/>
  <c r="E34" i="14" a="1"/>
  <c r="E34" i="14" s="1"/>
  <c r="D34" i="14" a="1"/>
  <c r="D34" i="14" s="1"/>
  <c r="I33" i="14" a="1"/>
  <c r="I33" i="14" s="1"/>
  <c r="H33" i="14" a="1"/>
  <c r="H33" i="14" s="1"/>
  <c r="G33" i="14" a="1"/>
  <c r="G33" i="14" s="1"/>
  <c r="F33" i="14" a="1"/>
  <c r="F33" i="14" s="1"/>
  <c r="E33" i="14" a="1"/>
  <c r="E33" i="14" s="1"/>
  <c r="D33" i="14" a="1"/>
  <c r="D33" i="14" s="1"/>
  <c r="I32" i="14" a="1"/>
  <c r="I32" i="14" s="1"/>
  <c r="H32" i="14" a="1"/>
  <c r="H32" i="14" s="1"/>
  <c r="G32" i="14" a="1"/>
  <c r="G32" i="14" s="1"/>
  <c r="F32" i="14" a="1"/>
  <c r="F32" i="14" s="1"/>
  <c r="E32" i="14" a="1"/>
  <c r="E32" i="14" s="1"/>
  <c r="D32" i="14" a="1"/>
  <c r="D32" i="14" s="1"/>
  <c r="I31" i="14" a="1"/>
  <c r="I31" i="14" s="1"/>
  <c r="H31" i="14" a="1"/>
  <c r="H31" i="14" s="1"/>
  <c r="G31" i="14" a="1"/>
  <c r="G31" i="14" s="1"/>
  <c r="F31" i="14" a="1"/>
  <c r="F31" i="14" s="1"/>
  <c r="E31" i="14" a="1"/>
  <c r="E31" i="14" s="1"/>
  <c r="D31" i="14" a="1"/>
  <c r="D31" i="14" s="1"/>
  <c r="I30" i="14" a="1"/>
  <c r="I30" i="14" s="1"/>
  <c r="H30" i="14" a="1"/>
  <c r="H30" i="14" s="1"/>
  <c r="G30" i="14" a="1"/>
  <c r="G30" i="14" s="1"/>
  <c r="F30" i="14" a="1"/>
  <c r="F30" i="14" s="1"/>
  <c r="E30" i="14" a="1"/>
  <c r="E30" i="14" s="1"/>
  <c r="D30" i="14" a="1"/>
  <c r="D30" i="14" s="1"/>
  <c r="I29" i="14" a="1"/>
  <c r="I29" i="14" s="1"/>
  <c r="H29" i="14" a="1"/>
  <c r="H29" i="14" s="1"/>
  <c r="G29" i="14" a="1"/>
  <c r="G29" i="14" s="1"/>
  <c r="F29" i="14" a="1"/>
  <c r="F29" i="14" s="1"/>
  <c r="E29" i="14" a="1"/>
  <c r="E29" i="14" s="1"/>
  <c r="D29" i="14" a="1"/>
  <c r="D29" i="14" s="1"/>
  <c r="R28" i="14" a="1"/>
  <c r="R28" i="14" s="1"/>
  <c r="Q28" i="14" a="1"/>
  <c r="Q28" i="14" s="1"/>
  <c r="L28" i="14" a="1"/>
  <c r="L28" i="14" s="1"/>
  <c r="K28" i="14" a="1"/>
  <c r="K28" i="14" s="1"/>
  <c r="I28" i="14" a="1"/>
  <c r="I28" i="14" s="1"/>
  <c r="H28" i="14" a="1"/>
  <c r="H28" i="14" s="1"/>
  <c r="G28" i="14" a="1"/>
  <c r="G28" i="14" s="1"/>
  <c r="F28" i="14" a="1"/>
  <c r="F28" i="14" s="1"/>
  <c r="E28" i="14" a="1"/>
  <c r="E28" i="14" s="1"/>
  <c r="D28" i="14" a="1"/>
  <c r="D28" i="14" s="1"/>
  <c r="R27" i="14" a="1"/>
  <c r="R27" i="14" s="1"/>
  <c r="Q27" i="14" a="1"/>
  <c r="Q27" i="14" s="1"/>
  <c r="L27" i="14" a="1"/>
  <c r="L27" i="14" s="1"/>
  <c r="K27" i="14" a="1"/>
  <c r="K27" i="14" s="1"/>
  <c r="I27" i="14" a="1"/>
  <c r="I27" i="14" s="1"/>
  <c r="H27" i="14" a="1"/>
  <c r="H27" i="14" s="1"/>
  <c r="G27" i="14" a="1"/>
  <c r="G27" i="14" s="1"/>
  <c r="F27" i="14" a="1"/>
  <c r="F27" i="14" s="1"/>
  <c r="E27" i="14" a="1"/>
  <c r="E27" i="14" s="1"/>
  <c r="D27" i="14" a="1"/>
  <c r="D27" i="14" s="1"/>
  <c r="R26" i="14" a="1"/>
  <c r="R26" i="14" s="1"/>
  <c r="Q26" i="14" a="1"/>
  <c r="Q26" i="14" s="1"/>
  <c r="L26" i="14" a="1"/>
  <c r="L26" i="14" s="1"/>
  <c r="K26" i="14" a="1"/>
  <c r="K26" i="14" s="1"/>
  <c r="I26" i="14" a="1"/>
  <c r="I26" i="14" s="1"/>
  <c r="H26" i="14" a="1"/>
  <c r="H26" i="14" s="1"/>
  <c r="G26" i="14" a="1"/>
  <c r="G26" i="14" s="1"/>
  <c r="F26" i="14" a="1"/>
  <c r="F26" i="14" s="1"/>
  <c r="E26" i="14" a="1"/>
  <c r="E26" i="14" s="1"/>
  <c r="D26" i="14" a="1"/>
  <c r="D26" i="14" s="1"/>
  <c r="R25" i="14" a="1"/>
  <c r="R25" i="14" s="1"/>
  <c r="Q25" i="14" a="1"/>
  <c r="Q25" i="14" s="1"/>
  <c r="L25" i="14" a="1"/>
  <c r="L25" i="14" s="1"/>
  <c r="K25" i="14" a="1"/>
  <c r="K25" i="14" s="1"/>
  <c r="I25" i="14" a="1"/>
  <c r="I25" i="14" s="1"/>
  <c r="H25" i="14" a="1"/>
  <c r="H25" i="14" s="1"/>
  <c r="G25" i="14" a="1"/>
  <c r="G25" i="14" s="1"/>
  <c r="F25" i="14" a="1"/>
  <c r="F25" i="14" s="1"/>
  <c r="E25" i="14" a="1"/>
  <c r="E25" i="14" s="1"/>
  <c r="D25" i="14" a="1"/>
  <c r="D25" i="14" s="1"/>
  <c r="R24" i="14" a="1"/>
  <c r="R24" i="14" s="1"/>
  <c r="Q24" i="14" a="1"/>
  <c r="Q24" i="14" s="1"/>
  <c r="L24" i="14" a="1"/>
  <c r="L24" i="14" s="1"/>
  <c r="K24" i="14" a="1"/>
  <c r="K24" i="14" s="1"/>
  <c r="I24" i="14" a="1"/>
  <c r="I24" i="14" s="1"/>
  <c r="H24" i="14" a="1"/>
  <c r="H24" i="14" s="1"/>
  <c r="G24" i="14" a="1"/>
  <c r="G24" i="14" s="1"/>
  <c r="F24" i="14" a="1"/>
  <c r="F24" i="14" s="1"/>
  <c r="E24" i="14" a="1"/>
  <c r="E24" i="14" s="1"/>
  <c r="D24" i="14" a="1"/>
  <c r="D24" i="14" s="1"/>
  <c r="V23" i="14" a="1"/>
  <c r="V23" i="14" s="1"/>
  <c r="R23" i="14" a="1"/>
  <c r="R23" i="14" s="1"/>
  <c r="Q23" i="14" a="1"/>
  <c r="Q23" i="14" s="1"/>
  <c r="L23" i="14" a="1"/>
  <c r="L23" i="14" s="1"/>
  <c r="K23" i="14" a="1"/>
  <c r="K23" i="14" s="1"/>
  <c r="I23" i="14" a="1"/>
  <c r="I23" i="14" s="1"/>
  <c r="H23" i="14" a="1"/>
  <c r="H23" i="14" s="1"/>
  <c r="G23" i="14" a="1"/>
  <c r="G23" i="14" s="1"/>
  <c r="F23" i="14" a="1"/>
  <c r="F23" i="14" s="1"/>
  <c r="E23" i="14" a="1"/>
  <c r="E23" i="14" s="1"/>
  <c r="D23" i="14" a="1"/>
  <c r="D23" i="14" s="1"/>
  <c r="V22" i="14" a="1"/>
  <c r="V22" i="14" s="1"/>
  <c r="R22" i="14" a="1"/>
  <c r="R22" i="14" s="1"/>
  <c r="Q22" i="14" a="1"/>
  <c r="Q22" i="14" s="1"/>
  <c r="L22" i="14" a="1"/>
  <c r="L22" i="14" s="1"/>
  <c r="K22" i="14" a="1"/>
  <c r="K22" i="14" s="1"/>
  <c r="I22" i="14" a="1"/>
  <c r="I22" i="14" s="1"/>
  <c r="H22" i="14" a="1"/>
  <c r="H22" i="14" s="1"/>
  <c r="G22" i="14" a="1"/>
  <c r="G22" i="14" s="1"/>
  <c r="F22" i="14" a="1"/>
  <c r="F22" i="14" s="1"/>
  <c r="E22" i="14" a="1"/>
  <c r="E22" i="14" s="1"/>
  <c r="D22" i="14" a="1"/>
  <c r="D22" i="14" s="1"/>
  <c r="V21" i="14" a="1"/>
  <c r="V21" i="14" s="1"/>
  <c r="R21" i="14" a="1"/>
  <c r="R21" i="14" s="1"/>
  <c r="Q21" i="14" a="1"/>
  <c r="Q21" i="14" s="1"/>
  <c r="L21" i="14" a="1"/>
  <c r="L21" i="14" s="1"/>
  <c r="K21" i="14" a="1"/>
  <c r="K21" i="14" s="1"/>
  <c r="I21" i="14" a="1"/>
  <c r="I21" i="14" s="1"/>
  <c r="H21" i="14" a="1"/>
  <c r="H21" i="14" s="1"/>
  <c r="G21" i="14" a="1"/>
  <c r="G21" i="14" s="1"/>
  <c r="F21" i="14" a="1"/>
  <c r="F21" i="14" s="1"/>
  <c r="E21" i="14" a="1"/>
  <c r="E21" i="14" s="1"/>
  <c r="D21" i="14" a="1"/>
  <c r="D21" i="14" s="1"/>
  <c r="V20" i="14" a="1"/>
  <c r="V20" i="14" s="1"/>
  <c r="R20" i="14" a="1"/>
  <c r="R20" i="14" s="1"/>
  <c r="Q20" i="14" a="1"/>
  <c r="Q20" i="14" s="1"/>
  <c r="L20" i="14" a="1"/>
  <c r="L20" i="14" s="1"/>
  <c r="K20" i="14" a="1"/>
  <c r="K20" i="14" s="1"/>
  <c r="I20" i="14" a="1"/>
  <c r="I20" i="14" s="1"/>
  <c r="H20" i="14" a="1"/>
  <c r="H20" i="14" s="1"/>
  <c r="G20" i="14" a="1"/>
  <c r="G20" i="14" s="1"/>
  <c r="F20" i="14" a="1"/>
  <c r="F20" i="14" s="1"/>
  <c r="E20" i="14" a="1"/>
  <c r="E20" i="14" s="1"/>
  <c r="D20" i="14" a="1"/>
  <c r="D20" i="14" s="1"/>
  <c r="V18" i="14" a="1"/>
  <c r="V18" i="14" s="1"/>
  <c r="Q18" i="14" a="1"/>
  <c r="Q18" i="14" s="1"/>
  <c r="K18" i="14" a="1"/>
  <c r="K18" i="14" s="1"/>
  <c r="V17" i="14" a="1"/>
  <c r="V17" i="14" s="1"/>
  <c r="Q17" i="14" a="1"/>
  <c r="Q17" i="14" s="1"/>
  <c r="K17" i="14" a="1"/>
  <c r="K17" i="14" s="1"/>
  <c r="D7" i="14" a="1"/>
  <c r="D7" i="14" s="1"/>
  <c r="D6" i="14" a="1"/>
  <c r="D6" i="14" s="1"/>
  <c r="D5" i="14" a="1"/>
  <c r="D5" i="14" s="1"/>
  <c r="F99" i="13" a="1"/>
  <c r="F99" i="13" s="1"/>
  <c r="D96" i="13" a="1"/>
  <c r="D96" i="13" s="1"/>
  <c r="H89" i="13" a="1"/>
  <c r="H89" i="13" s="1"/>
  <c r="D89" i="13" a="1"/>
  <c r="D89" i="13" s="1"/>
  <c r="E87" i="13" a="1"/>
  <c r="E87" i="13" s="1"/>
  <c r="F94" i="13" s="1"/>
  <c r="E86" i="13" a="1"/>
  <c r="E86" i="13" s="1"/>
  <c r="D82" i="13" a="1"/>
  <c r="D82" i="13" s="1"/>
  <c r="D81" i="13" a="1"/>
  <c r="D81" i="13" s="1"/>
  <c r="E67" i="13"/>
  <c r="D67" i="13"/>
  <c r="E66" i="13"/>
  <c r="D66" i="13"/>
  <c r="E65" i="13"/>
  <c r="D65" i="13"/>
  <c r="I60" i="13"/>
  <c r="I56" i="13" s="1"/>
  <c r="I59" i="13"/>
  <c r="I58" i="13"/>
  <c r="I55" i="13" a="1"/>
  <c r="I55" i="13" s="1"/>
  <c r="G55" i="13" a="1"/>
  <c r="G55" i="13" s="1"/>
  <c r="D55" i="13" a="1"/>
  <c r="D55" i="13" s="1"/>
  <c r="E53" i="13" a="1"/>
  <c r="E53" i="13" s="1"/>
  <c r="F77" i="13" s="1"/>
  <c r="E52" i="13" a="1"/>
  <c r="E52" i="13" s="1"/>
  <c r="D48" i="13" a="1"/>
  <c r="D48" i="13" s="1"/>
  <c r="D47" i="13" a="1"/>
  <c r="D47" i="13" s="1"/>
  <c r="E41" i="13"/>
  <c r="E40" i="13"/>
  <c r="E39" i="13"/>
  <c r="E38" i="13"/>
  <c r="E37" i="13"/>
  <c r="E36" i="13"/>
  <c r="E35" i="13"/>
  <c r="E34" i="13"/>
  <c r="E33" i="13"/>
  <c r="E32" i="13"/>
  <c r="E31" i="13"/>
  <c r="E30" i="13"/>
  <c r="E29" i="13"/>
  <c r="E28" i="13"/>
  <c r="E27" i="13"/>
  <c r="E26" i="13"/>
  <c r="E25" i="13"/>
  <c r="E24" i="13"/>
  <c r="E23" i="13"/>
  <c r="I18" i="13"/>
  <c r="I14" i="13" s="1"/>
  <c r="I17" i="13"/>
  <c r="I16" i="13"/>
  <c r="I13" i="13" a="1"/>
  <c r="I13" i="13" s="1"/>
  <c r="G13" i="13" a="1"/>
  <c r="G13" i="13" s="1"/>
  <c r="D13" i="13" a="1"/>
  <c r="D13" i="13" s="1"/>
  <c r="E11" i="13" a="1"/>
  <c r="E11" i="13" s="1"/>
  <c r="F43" i="13" s="1"/>
  <c r="E10" i="13" a="1"/>
  <c r="E10" i="13" s="1"/>
  <c r="D6" i="13" a="1"/>
  <c r="D6" i="13" s="1"/>
  <c r="D5" i="13" a="1"/>
  <c r="D5" i="13" s="1"/>
  <c r="F151" i="12" a="1"/>
  <c r="F151" i="12" s="1"/>
  <c r="D148" i="12" a="1"/>
  <c r="D148" i="12" s="1"/>
  <c r="I129" i="12"/>
  <c r="I128" i="12"/>
  <c r="I127" i="12"/>
  <c r="I125" i="12" s="1"/>
  <c r="I124" i="12" a="1"/>
  <c r="I124" i="12" s="1"/>
  <c r="G124" i="12" a="1"/>
  <c r="G124" i="12" s="1"/>
  <c r="D124" i="12" a="1"/>
  <c r="D124" i="12" s="1"/>
  <c r="E122" i="12" a="1"/>
  <c r="E122" i="12" s="1"/>
  <c r="F146" i="12" s="1"/>
  <c r="E121" i="12" a="1"/>
  <c r="E121" i="12" s="1"/>
  <c r="D117" i="12" a="1"/>
  <c r="D117" i="12" s="1"/>
  <c r="D116" i="12" a="1"/>
  <c r="D116" i="12" s="1"/>
  <c r="F112" i="12" a="1"/>
  <c r="F112" i="12" s="1"/>
  <c r="E144" i="12" s="1"/>
  <c r="F111" i="12" a="1"/>
  <c r="F111" i="12" s="1"/>
  <c r="E143" i="12" s="1"/>
  <c r="F110" i="12" a="1"/>
  <c r="F110" i="12" s="1"/>
  <c r="E142" i="12" s="1"/>
  <c r="F109" i="12" a="1"/>
  <c r="F109" i="12" s="1"/>
  <c r="E141" i="12" s="1"/>
  <c r="F108" i="12" a="1"/>
  <c r="F108" i="12" s="1"/>
  <c r="E140" i="12" s="1"/>
  <c r="F107" i="12" a="1"/>
  <c r="F107" i="12" s="1"/>
  <c r="E139" i="12" s="1"/>
  <c r="F106" i="12" a="1"/>
  <c r="F106" i="12" s="1"/>
  <c r="E138" i="12" s="1"/>
  <c r="F105" i="12" a="1"/>
  <c r="F105" i="12" s="1"/>
  <c r="E137" i="12" s="1"/>
  <c r="E104" i="12"/>
  <c r="F104" i="12" s="1" a="1"/>
  <c r="F104" i="12" s="1"/>
  <c r="E136" i="12" s="1"/>
  <c r="E103" i="12"/>
  <c r="F103" i="12" s="1" a="1"/>
  <c r="F103" i="12" s="1"/>
  <c r="E135" i="12" s="1"/>
  <c r="E102" i="12"/>
  <c r="F102" i="12" s="1" a="1"/>
  <c r="F102" i="12" s="1"/>
  <c r="E134" i="12" s="1"/>
  <c r="I96" i="12" a="1"/>
  <c r="I96" i="12" s="1"/>
  <c r="G96" i="12" a="1"/>
  <c r="G96" i="12" s="1"/>
  <c r="D96" i="12" a="1"/>
  <c r="D96" i="12" s="1"/>
  <c r="E94" i="12" a="1"/>
  <c r="E94" i="12" s="1"/>
  <c r="G102" i="12" s="1"/>
  <c r="E93" i="12" a="1"/>
  <c r="E93" i="12" s="1"/>
  <c r="D89" i="12" a="1"/>
  <c r="D89" i="12" s="1"/>
  <c r="D88" i="12" a="1"/>
  <c r="D88" i="12" s="1"/>
  <c r="F84" i="12" a="1"/>
  <c r="F84" i="12" s="1"/>
  <c r="D81" i="12" a="1"/>
  <c r="D81" i="12" s="1"/>
  <c r="J54" i="12"/>
  <c r="J53" i="12"/>
  <c r="J52" i="12"/>
  <c r="J50" i="12" s="1"/>
  <c r="J49" i="12" a="1"/>
  <c r="J49" i="12" s="1"/>
  <c r="H49" i="12" a="1"/>
  <c r="H49" i="12" s="1"/>
  <c r="D49" i="12" a="1"/>
  <c r="D49" i="12" s="1"/>
  <c r="E47" i="12" a="1"/>
  <c r="E47" i="12" s="1"/>
  <c r="E46" i="12" a="1"/>
  <c r="E46" i="12" s="1"/>
  <c r="D42" i="12" a="1"/>
  <c r="D42" i="12" s="1"/>
  <c r="D41" i="12" a="1"/>
  <c r="D41" i="12" s="1"/>
  <c r="E37" i="12"/>
  <c r="E36" i="12"/>
  <c r="E35" i="12"/>
  <c r="E34" i="12"/>
  <c r="E33" i="12"/>
  <c r="E32" i="12"/>
  <c r="E31" i="12"/>
  <c r="E30" i="12"/>
  <c r="E29" i="12"/>
  <c r="E28" i="12"/>
  <c r="E27" i="12"/>
  <c r="E26" i="12"/>
  <c r="E25" i="12"/>
  <c r="E24" i="12"/>
  <c r="E23" i="12"/>
  <c r="E22" i="12"/>
  <c r="E21" i="12"/>
  <c r="E20" i="12"/>
  <c r="E19" i="12"/>
  <c r="I14" i="12" a="1"/>
  <c r="I14" i="12" s="1"/>
  <c r="I13" i="12" a="1"/>
  <c r="I13" i="12" s="1"/>
  <c r="G13" i="12" a="1"/>
  <c r="G13" i="12" s="1"/>
  <c r="D13" i="12" a="1"/>
  <c r="D13" i="12" s="1"/>
  <c r="E11" i="12" a="1"/>
  <c r="E11" i="12" s="1"/>
  <c r="E10" i="12" a="1"/>
  <c r="E10" i="12" s="1"/>
  <c r="D6" i="12" a="1"/>
  <c r="D6" i="12" s="1"/>
  <c r="D5" i="12" a="1"/>
  <c r="D5" i="12" s="1"/>
  <c r="H27" i="11" a="1"/>
  <c r="H27" i="11" s="1"/>
  <c r="I17" i="11" a="1"/>
  <c r="I17" i="11" s="1"/>
  <c r="I14" i="11" a="1"/>
  <c r="I14" i="11" s="1"/>
  <c r="I13" i="11" a="1"/>
  <c r="I13" i="11" s="1"/>
  <c r="G13" i="11" a="1"/>
  <c r="G13" i="11" s="1"/>
  <c r="D13" i="11" a="1"/>
  <c r="D13" i="11" s="1"/>
  <c r="E11" i="11" a="1"/>
  <c r="E11" i="11" s="1"/>
  <c r="E10" i="11" a="1"/>
  <c r="E10" i="11" s="1"/>
  <c r="D6" i="11" a="1"/>
  <c r="D6" i="11" s="1"/>
  <c r="D5" i="11" a="1"/>
  <c r="D5" i="11" s="1"/>
  <c r="F55" i="10" a="1"/>
  <c r="F55" i="10" s="1"/>
  <c r="D52" i="10" a="1"/>
  <c r="D52" i="10" s="1"/>
  <c r="K47" i="10"/>
  <c r="I44" i="10" a="1"/>
  <c r="I44" i="10" s="1"/>
  <c r="D44" i="10" a="1"/>
  <c r="D44" i="10" s="1"/>
  <c r="E42" i="10" a="1"/>
  <c r="E42" i="10" s="1"/>
  <c r="F50" i="10" s="1"/>
  <c r="E41" i="10" a="1"/>
  <c r="E41" i="10" s="1"/>
  <c r="D37" i="10" a="1"/>
  <c r="D37" i="10" s="1"/>
  <c r="D36" i="10" a="1"/>
  <c r="D36" i="10" s="1"/>
  <c r="I30" i="10" a="1"/>
  <c r="I30" i="10" s="1"/>
  <c r="I29" i="10" a="1"/>
  <c r="I29" i="10" s="1"/>
  <c r="I28" i="10" a="1"/>
  <c r="I28" i="10" s="1"/>
  <c r="I27" i="10" a="1"/>
  <c r="I27" i="10" s="1"/>
  <c r="I26" i="10" a="1"/>
  <c r="I26" i="10" s="1"/>
  <c r="I25" i="10" a="1"/>
  <c r="I25" i="10" s="1"/>
  <c r="I24" i="10" a="1"/>
  <c r="I24" i="10" s="1"/>
  <c r="I23" i="10" a="1"/>
  <c r="I23" i="10" s="1"/>
  <c r="I22" i="10" a="1"/>
  <c r="I22" i="10" s="1"/>
  <c r="I21" i="10" a="1"/>
  <c r="I21" i="10" s="1"/>
  <c r="I15" i="10" a="1"/>
  <c r="I15" i="10" s="1"/>
  <c r="I14" i="10" a="1"/>
  <c r="I14" i="10" s="1"/>
  <c r="I13" i="10" a="1"/>
  <c r="I13" i="10" s="1"/>
  <c r="G13" i="10" a="1"/>
  <c r="G13" i="10" s="1"/>
  <c r="D13" i="10" a="1"/>
  <c r="D13" i="10" s="1"/>
  <c r="E11" i="10" a="1"/>
  <c r="E11" i="10" s="1"/>
  <c r="F32" i="10" s="1"/>
  <c r="E10" i="10" a="1"/>
  <c r="E10" i="10" s="1"/>
  <c r="D6" i="10" a="1"/>
  <c r="D6" i="10" s="1"/>
  <c r="D5" i="10" a="1"/>
  <c r="D5" i="10" s="1"/>
  <c r="I53" i="9" a="1"/>
  <c r="I53" i="9" s="1"/>
  <c r="I52" i="9"/>
  <c r="I49" i="9" a="1"/>
  <c r="I49" i="9" s="1"/>
  <c r="G49" i="9" a="1"/>
  <c r="G49" i="9" s="1"/>
  <c r="D49" i="9" a="1"/>
  <c r="D49" i="9" s="1"/>
  <c r="E47" i="9" a="1"/>
  <c r="E47" i="9" s="1"/>
  <c r="F78" i="9" s="1"/>
  <c r="E46" i="9" a="1"/>
  <c r="E46" i="9" s="1"/>
  <c r="D42" i="9" a="1"/>
  <c r="D42" i="9" s="1"/>
  <c r="D41" i="9" a="1"/>
  <c r="D41" i="9" s="1"/>
  <c r="I14" i="9" a="1"/>
  <c r="I14" i="9" s="1"/>
  <c r="I13" i="9" a="1"/>
  <c r="I13" i="9" s="1"/>
  <c r="G13" i="9" a="1"/>
  <c r="G13" i="9" s="1"/>
  <c r="D13" i="9" a="1"/>
  <c r="D13" i="9" s="1"/>
  <c r="E11" i="9" a="1"/>
  <c r="E11" i="9" s="1"/>
  <c r="E10" i="9" a="1"/>
  <c r="E10" i="9" s="1"/>
  <c r="D6" i="9" a="1"/>
  <c r="D6" i="9" s="1"/>
  <c r="D5" i="9" a="1"/>
  <c r="D5" i="9" s="1"/>
  <c r="O93" i="8" a="1"/>
  <c r="O93" i="8" s="1"/>
  <c r="M90" i="8" a="1"/>
  <c r="M90" i="8" s="1"/>
  <c r="F85" i="8" a="1"/>
  <c r="F85" i="8" s="1"/>
  <c r="D82" i="8" a="1"/>
  <c r="D82" i="8" s="1"/>
  <c r="S74" i="8"/>
  <c r="S73" i="8"/>
  <c r="W50" i="8" s="1"/>
  <c r="S71" i="8"/>
  <c r="S70" i="8"/>
  <c r="S67" i="8" a="1"/>
  <c r="S67" i="8" s="1"/>
  <c r="Q67" i="8" a="1"/>
  <c r="Q67" i="8" s="1"/>
  <c r="M67" i="8" a="1"/>
  <c r="M67" i="8" s="1"/>
  <c r="N65" i="8" a="1"/>
  <c r="N65" i="8" s="1"/>
  <c r="N64" i="8" a="1"/>
  <c r="N64" i="8" s="1"/>
  <c r="M59" i="8" a="1"/>
  <c r="M59" i="8" s="1"/>
  <c r="M58" i="8" a="1"/>
  <c r="M58" i="8" s="1"/>
  <c r="I55" i="8"/>
  <c r="V54" i="8" a="1"/>
  <c r="V54" i="8" s="1"/>
  <c r="U54" i="8"/>
  <c r="T54" i="8"/>
  <c r="S54" i="8" a="1"/>
  <c r="S54" i="8" s="1"/>
  <c r="R54" i="8" a="1"/>
  <c r="R54" i="8" s="1"/>
  <c r="Q54" i="8"/>
  <c r="I54" i="8"/>
  <c r="V53" i="8" a="1"/>
  <c r="V53" i="8" s="1"/>
  <c r="T53" i="8"/>
  <c r="U53" i="8" s="1"/>
  <c r="S53" i="8" a="1"/>
  <c r="S53" i="8" s="1"/>
  <c r="R53" i="8" a="1"/>
  <c r="R53" i="8" s="1"/>
  <c r="Q53" i="8"/>
  <c r="I53" i="8"/>
  <c r="R52" i="8" a="1"/>
  <c r="R52" i="8" s="1"/>
  <c r="I52" i="8"/>
  <c r="I50" i="8" s="1"/>
  <c r="T51" i="8"/>
  <c r="R51" i="8" a="1"/>
  <c r="R51" i="8" s="1"/>
  <c r="T49" i="8"/>
  <c r="U49" i="8" s="1"/>
  <c r="S49" i="8" a="1"/>
  <c r="S49" i="8" s="1"/>
  <c r="R49" i="8" a="1"/>
  <c r="R49" i="8" s="1"/>
  <c r="I49" i="8" a="1"/>
  <c r="I49" i="8" s="1"/>
  <c r="G49" i="8" a="1"/>
  <c r="G49" i="8" s="1"/>
  <c r="D49" i="8" a="1"/>
  <c r="D49" i="8" s="1"/>
  <c r="V48" i="8" a="1"/>
  <c r="V48" i="8" s="1"/>
  <c r="T48" i="8"/>
  <c r="S48" i="8" a="1"/>
  <c r="S48" i="8" s="1"/>
  <c r="R48" i="8" a="1"/>
  <c r="R48" i="8" s="1"/>
  <c r="Q48" i="8"/>
  <c r="S47" i="8" a="1"/>
  <c r="S47" i="8" s="1"/>
  <c r="R47" i="8" a="1"/>
  <c r="R47" i="8" s="1"/>
  <c r="E47" i="8" a="1"/>
  <c r="E47" i="8" s="1"/>
  <c r="F80" i="8" s="1"/>
  <c r="V46" i="8" a="1"/>
  <c r="V46" i="8" s="1"/>
  <c r="R46" i="8" a="1"/>
  <c r="R46" i="8" s="1"/>
  <c r="E46" i="8" a="1"/>
  <c r="E46" i="8" s="1"/>
  <c r="U48" i="8"/>
  <c r="Q46" i="8"/>
  <c r="D41" i="8" a="1"/>
  <c r="D41" i="8" s="1"/>
  <c r="D40" i="8" a="1"/>
  <c r="D40" i="8" s="1"/>
  <c r="R35" i="8" a="1"/>
  <c r="R35" i="8" s="1"/>
  <c r="P35" i="8" a="1"/>
  <c r="P35" i="8" s="1"/>
  <c r="M35" i="8" a="1"/>
  <c r="M35" i="8" s="1"/>
  <c r="N33" i="8" a="1"/>
  <c r="N33" i="8" s="1"/>
  <c r="V43" i="8" s="1"/>
  <c r="N32" i="8" a="1"/>
  <c r="N32" i="8" s="1"/>
  <c r="V44" i="8" s="1"/>
  <c r="M28" i="8" a="1"/>
  <c r="M28" i="8" s="1"/>
  <c r="M27" i="8" a="1"/>
  <c r="M27" i="8" s="1"/>
  <c r="R23" i="8" a="1"/>
  <c r="R23" i="8" s="1"/>
  <c r="P23" i="8" a="1"/>
  <c r="P23" i="8" s="1"/>
  <c r="M23" i="8" a="1"/>
  <c r="M23" i="8" s="1"/>
  <c r="N21" i="8" a="1"/>
  <c r="N21" i="8" s="1"/>
  <c r="S43" i="8" s="1"/>
  <c r="N20" i="8" a="1"/>
  <c r="N20" i="8" s="1"/>
  <c r="S44" i="8" s="1"/>
  <c r="M17" i="8" a="1"/>
  <c r="M17" i="8" s="1"/>
  <c r="M16" i="8" a="1"/>
  <c r="M16" i="8" s="1"/>
  <c r="I14" i="8" a="1"/>
  <c r="I14" i="8" s="1"/>
  <c r="I13" i="8" a="1"/>
  <c r="I13" i="8" s="1"/>
  <c r="G13" i="8" a="1"/>
  <c r="G13" i="8" s="1"/>
  <c r="D13" i="8" a="1"/>
  <c r="D13" i="8" s="1"/>
  <c r="R12" i="8" a="1"/>
  <c r="R12" i="8" s="1"/>
  <c r="P12" i="8" a="1"/>
  <c r="P12" i="8" s="1"/>
  <c r="M12" i="8" a="1"/>
  <c r="M12" i="8" s="1"/>
  <c r="E11" i="8" a="1"/>
  <c r="E11" i="8" s="1"/>
  <c r="N10" i="8" a="1"/>
  <c r="N10" i="8" s="1"/>
  <c r="R43" i="8" s="1"/>
  <c r="E10" i="8" a="1"/>
  <c r="E10" i="8" s="1"/>
  <c r="N9" i="8" a="1"/>
  <c r="N9" i="8" s="1"/>
  <c r="R44" i="8" s="1"/>
  <c r="M6" i="8" a="1"/>
  <c r="M6" i="8" s="1"/>
  <c r="D6" i="8" a="1"/>
  <c r="D6" i="8" s="1"/>
  <c r="M5" i="8" a="1"/>
  <c r="M5" i="8" s="1"/>
  <c r="D5" i="8" a="1"/>
  <c r="D5" i="8" s="1"/>
  <c r="I50" i="7"/>
  <c r="H50" i="7"/>
  <c r="G50" i="7"/>
  <c r="J50" i="7" s="1"/>
  <c r="H49" i="7"/>
  <c r="I49" i="7" s="1"/>
  <c r="G49" i="7"/>
  <c r="J49" i="7" s="1"/>
  <c r="H48" i="7"/>
  <c r="I48" i="7" s="1"/>
  <c r="G48" i="7"/>
  <c r="J48" i="7" s="1"/>
  <c r="K39" i="7"/>
  <c r="D35" i="7" s="1"/>
  <c r="F39" i="7"/>
  <c r="G39" i="7" s="1"/>
  <c r="K38" i="7"/>
  <c r="G38" i="7"/>
  <c r="F38" i="7"/>
  <c r="K37" i="7"/>
  <c r="F37" i="7"/>
  <c r="G37" i="7" s="1"/>
  <c r="F28" i="7"/>
  <c r="G28" i="7" s="1"/>
  <c r="G27" i="7"/>
  <c r="F27" i="7"/>
  <c r="F26" i="7"/>
  <c r="G26" i="7" s="1"/>
  <c r="H22" i="7"/>
  <c r="I22" i="7"/>
  <c r="H21" i="7"/>
  <c r="I21" i="7"/>
  <c r="H20" i="7"/>
  <c r="I20" i="7"/>
  <c r="H19" i="7"/>
  <c r="I19" i="7"/>
  <c r="I18" i="7"/>
  <c r="H18" i="7"/>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H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L8" i="17" a="1"/>
  <c r="E7" i="17" a="1"/>
  <c r="L7" i="16" a="1"/>
  <c r="E7" i="16" a="1"/>
  <c r="E7" i="13" a="1"/>
  <c r="E49" i="13" a="1"/>
  <c r="E83" i="13" a="1"/>
  <c r="E90" i="12" a="1"/>
  <c r="E118" i="12" a="1"/>
  <c r="E7" i="12" a="1"/>
  <c r="E43" i="12" a="1"/>
  <c r="E7" i="11" a="1"/>
  <c r="E7" i="10" a="1"/>
  <c r="E38" i="10" a="1"/>
  <c r="E43" i="9" a="1"/>
  <c r="E7" i="9" a="1"/>
  <c r="N60" i="8" a="1"/>
  <c r="E42" i="8" a="1"/>
  <c r="E7" i="8" a="1"/>
  <c r="W48" i="8" l="1"/>
  <c r="W49" i="8"/>
  <c r="W51" i="8"/>
  <c r="W52" i="8"/>
  <c r="W45" i="8"/>
  <c r="K48" i="10"/>
  <c r="K45" i="10" s="1"/>
  <c r="I20" i="10" a="1"/>
  <c r="I20" i="10" s="1"/>
  <c r="T45" i="8"/>
  <c r="V45" i="8" a="1"/>
  <c r="V45" i="8" s="1"/>
  <c r="U45" i="8"/>
  <c r="G24" i="8" a="1"/>
  <c r="G24" i="8" s="1"/>
  <c r="F30" i="13" a="1"/>
  <c r="F30" i="13" s="1"/>
  <c r="E7" i="17"/>
  <c r="L8" i="17"/>
  <c r="F50" i="17"/>
  <c r="D39" i="17"/>
  <c r="D42" i="17"/>
  <c r="D30" i="17"/>
  <c r="Q30" i="17" s="1" a="1"/>
  <c r="Q30" i="17" s="1"/>
  <c r="D37" i="17"/>
  <c r="F51" i="17"/>
  <c r="F43" i="17"/>
  <c r="D28" i="17"/>
  <c r="D35" i="17"/>
  <c r="F52" i="17"/>
  <c r="F44" i="17"/>
  <c r="D26" i="17"/>
  <c r="D33" i="17"/>
  <c r="F55" i="17"/>
  <c r="F45" i="17"/>
  <c r="Q25" i="17" a="1"/>
  <c r="Q25" i="17" s="1"/>
  <c r="D31" i="17"/>
  <c r="D40" i="17"/>
  <c r="F56" i="17"/>
  <c r="D38" i="17"/>
  <c r="F46" i="17"/>
  <c r="D29" i="17"/>
  <c r="D36" i="17"/>
  <c r="D48" i="17"/>
  <c r="F57" i="17"/>
  <c r="F49" i="17"/>
  <c r="F71" i="13" a="1"/>
  <c r="F71" i="13" s="1"/>
  <c r="E7" i="16"/>
  <c r="L7" i="16"/>
  <c r="F62" i="16"/>
  <c r="F52" i="16"/>
  <c r="F70" i="16"/>
  <c r="F43" i="16"/>
  <c r="F61" i="16"/>
  <c r="F51" i="16"/>
  <c r="F69" i="16"/>
  <c r="F50" i="16"/>
  <c r="F58" i="16"/>
  <c r="F68" i="16"/>
  <c r="F49" i="16"/>
  <c r="F57" i="16"/>
  <c r="F67" i="16"/>
  <c r="F56" i="16"/>
  <c r="F46" i="16"/>
  <c r="F64" i="16"/>
  <c r="F55" i="16"/>
  <c r="F45" i="16"/>
  <c r="F63" i="16"/>
  <c r="F44" i="16"/>
  <c r="Q34" i="16" a="1"/>
  <c r="Q34" i="16" s="1"/>
  <c r="P34" i="16" a="1"/>
  <c r="P34" i="16" s="1"/>
  <c r="O34" i="16" a="1"/>
  <c r="O34" i="16" s="1"/>
  <c r="Q25" i="16" a="1"/>
  <c r="Q25" i="16" s="1"/>
  <c r="N25" i="16" a="1"/>
  <c r="N25" i="16" s="1"/>
  <c r="D29" i="16"/>
  <c r="N34" i="16" a="1"/>
  <c r="N34" i="16" s="1"/>
  <c r="O25" i="16" a="1"/>
  <c r="O25" i="16" s="1"/>
  <c r="D32" i="16"/>
  <c r="Q38" i="16" a="1"/>
  <c r="Q38" i="16" s="1"/>
  <c r="D27" i="16"/>
  <c r="Q28" i="16" a="1"/>
  <c r="Q28" i="16" s="1"/>
  <c r="P25" i="16" a="1"/>
  <c r="P25" i="16" s="1"/>
  <c r="D36" i="16"/>
  <c r="N38" i="16" a="1"/>
  <c r="N38" i="16" s="1"/>
  <c r="D26" i="16"/>
  <c r="D60" i="16"/>
  <c r="D35" i="16"/>
  <c r="D42" i="16"/>
  <c r="D30" i="16"/>
  <c r="O31" i="16" a="1"/>
  <c r="O31" i="16" s="1"/>
  <c r="G36" i="8" a="1"/>
  <c r="G36" i="8" s="1"/>
  <c r="I19" i="15"/>
  <c r="I20" i="15"/>
  <c r="H32" i="12" a="1"/>
  <c r="H32" i="12" s="1"/>
  <c r="E72" i="12" s="1"/>
  <c r="I18" i="15"/>
  <c r="I17" i="15"/>
  <c r="I21" i="15"/>
  <c r="F69" i="13" a="1"/>
  <c r="F69" i="13" s="1"/>
  <c r="H36" i="12" a="1"/>
  <c r="H36" i="12" s="1"/>
  <c r="E76" i="12" s="1"/>
  <c r="H25" i="12" a="1"/>
  <c r="H25" i="12" s="1"/>
  <c r="E65" i="12" s="1"/>
  <c r="E83" i="13"/>
  <c r="E49" i="13"/>
  <c r="E7" i="13"/>
  <c r="F135" i="12" a="1"/>
  <c r="F135" i="12" s="1"/>
  <c r="F136" i="12" a="1"/>
  <c r="F136" i="12" s="1"/>
  <c r="F134" i="12" a="1"/>
  <c r="F134" i="12" s="1"/>
  <c r="F24" i="13" a="1"/>
  <c r="F24" i="13" s="1"/>
  <c r="F38" i="13" a="1"/>
  <c r="F38" i="13" s="1"/>
  <c r="H25" i="11" a="1"/>
  <c r="H25" i="11" s="1"/>
  <c r="F139" i="12" a="1"/>
  <c r="F139" i="12" s="1"/>
  <c r="F140" i="12" a="1"/>
  <c r="F140" i="12" s="1"/>
  <c r="H27" i="12" a="1"/>
  <c r="H27" i="12" s="1"/>
  <c r="E67" i="12" s="1"/>
  <c r="F141" i="12" a="1"/>
  <c r="F141" i="12" s="1"/>
  <c r="H21" i="12" a="1"/>
  <c r="H21" i="12" s="1"/>
  <c r="E61" i="12" s="1"/>
  <c r="F142" i="12" a="1"/>
  <c r="F142" i="12" s="1"/>
  <c r="H29" i="11" a="1"/>
  <c r="H29" i="11" s="1"/>
  <c r="H34" i="12" a="1"/>
  <c r="H34" i="12" s="1"/>
  <c r="E74" i="12" s="1"/>
  <c r="G34" i="9" a="1"/>
  <c r="G34" i="9" s="1"/>
  <c r="E73" i="9" s="1" a="1"/>
  <c r="E73" i="9" s="1"/>
  <c r="H35" i="12" a="1"/>
  <c r="H35" i="12" s="1"/>
  <c r="E75" i="12" s="1"/>
  <c r="F143" i="12" a="1"/>
  <c r="F143" i="12" s="1"/>
  <c r="H23" i="12" a="1"/>
  <c r="H23" i="12" s="1"/>
  <c r="E63" i="12" s="1"/>
  <c r="F144" i="12" a="1"/>
  <c r="F144" i="12" s="1"/>
  <c r="F137" i="12" a="1"/>
  <c r="F137" i="12" s="1"/>
  <c r="F138" i="12" a="1"/>
  <c r="F138" i="12" s="1"/>
  <c r="E43" i="12"/>
  <c r="E7" i="12"/>
  <c r="E118" i="12"/>
  <c r="E90" i="12"/>
  <c r="F79" i="12"/>
  <c r="G59" i="12"/>
  <c r="H29" i="12" a="1"/>
  <c r="H29" i="12" s="1"/>
  <c r="E69" i="12" s="1"/>
  <c r="H31" i="12" a="1"/>
  <c r="H31" i="12" s="1"/>
  <c r="E71" i="12" s="1"/>
  <c r="H37" i="12" a="1"/>
  <c r="H37" i="12" s="1"/>
  <c r="E77" i="12" s="1"/>
  <c r="H33" i="12" a="1"/>
  <c r="H33" i="12" s="1"/>
  <c r="E73" i="12" s="1"/>
  <c r="G27" i="9" a="1"/>
  <c r="G27" i="9" s="1"/>
  <c r="E66" i="9" s="1" a="1"/>
  <c r="E66" i="9" s="1"/>
  <c r="H19" i="12" a="1"/>
  <c r="H19" i="12" s="1"/>
  <c r="E59" i="12" s="1"/>
  <c r="H28" i="11" a="1"/>
  <c r="H28" i="11" s="1"/>
  <c r="H20" i="12" a="1"/>
  <c r="H20" i="12" s="1"/>
  <c r="E60" i="12" s="1"/>
  <c r="H22" i="12" a="1"/>
  <c r="H22" i="12" s="1"/>
  <c r="E62" i="12" s="1"/>
  <c r="H24" i="12" a="1"/>
  <c r="H24" i="12" s="1"/>
  <c r="E64" i="12" s="1"/>
  <c r="H26" i="12" a="1"/>
  <c r="H26" i="12" s="1"/>
  <c r="E66" i="12" s="1"/>
  <c r="H28" i="12" a="1"/>
  <c r="H28" i="12" s="1"/>
  <c r="E68" i="12" s="1"/>
  <c r="H30" i="12" a="1"/>
  <c r="H30" i="12" s="1"/>
  <c r="E70" i="12" s="1"/>
  <c r="E7" i="11"/>
  <c r="H26" i="11" a="1"/>
  <c r="H26" i="11" s="1"/>
  <c r="G23" i="8" a="1"/>
  <c r="G23" i="8" s="1"/>
  <c r="E38" i="10"/>
  <c r="E7" i="10"/>
  <c r="E32" i="10"/>
  <c r="K44" i="10" s="1"/>
  <c r="E50" i="10" s="1" a="1"/>
  <c r="E50" i="10" s="1"/>
  <c r="G52" i="10" s="1"/>
  <c r="E55" i="10" s="1" a="1"/>
  <c r="E55" i="10" s="1"/>
  <c r="G35" i="9" a="1"/>
  <c r="G35" i="9" s="1"/>
  <c r="E74" i="9" s="1" a="1"/>
  <c r="E74" i="9" s="1"/>
  <c r="S68" i="8" a="1"/>
  <c r="S68" i="8" s="1"/>
  <c r="O85" i="8" s="1" a="1"/>
  <c r="O85" i="8" s="1"/>
  <c r="P85" i="8" s="1" a="1"/>
  <c r="P85" i="8" s="1"/>
  <c r="G28" i="9" a="1"/>
  <c r="G28" i="9" s="1"/>
  <c r="E67" i="9" s="1" a="1"/>
  <c r="E67" i="9" s="1"/>
  <c r="E7" i="9"/>
  <c r="E43" i="9"/>
  <c r="G21" i="9" a="1"/>
  <c r="G21" i="9" s="1"/>
  <c r="E60" i="9" s="1" a="1"/>
  <c r="E60" i="9" s="1"/>
  <c r="G33" i="9" a="1"/>
  <c r="G33" i="9" s="1"/>
  <c r="E72" i="9" s="1" a="1"/>
  <c r="E72" i="9" s="1"/>
  <c r="G26" i="9" a="1"/>
  <c r="G26" i="9" s="1"/>
  <c r="E65" i="9" s="1" a="1"/>
  <c r="E65" i="9" s="1"/>
  <c r="F58" i="9"/>
  <c r="G22" i="9" a="1"/>
  <c r="G22" i="9" s="1"/>
  <c r="E61" i="9" s="1" a="1"/>
  <c r="E61" i="9" s="1"/>
  <c r="G24" i="9" a="1"/>
  <c r="G24" i="9" s="1"/>
  <c r="E63" i="9" s="1" a="1"/>
  <c r="E63" i="9" s="1"/>
  <c r="G29" i="9" a="1"/>
  <c r="G29" i="9" s="1"/>
  <c r="E68" i="9" s="1" a="1"/>
  <c r="E68" i="9" s="1"/>
  <c r="G31" i="9" a="1"/>
  <c r="G31" i="9" s="1"/>
  <c r="E70" i="9" s="1" a="1"/>
  <c r="E70" i="9" s="1"/>
  <c r="G36" i="9" a="1"/>
  <c r="G36" i="9" s="1"/>
  <c r="E75" i="9" s="1" a="1"/>
  <c r="E75" i="9" s="1"/>
  <c r="G21" i="8" a="1"/>
  <c r="G21" i="8" s="1"/>
  <c r="G20" i="9" a="1"/>
  <c r="G20" i="9" s="1"/>
  <c r="E59" i="9" s="1" a="1"/>
  <c r="E59" i="9" s="1"/>
  <c r="H49" i="6"/>
  <c r="G23" i="9" a="1"/>
  <c r="G23" i="9" s="1"/>
  <c r="E62" i="9" s="1" a="1"/>
  <c r="E62" i="9" s="1"/>
  <c r="G25" i="9" a="1"/>
  <c r="G25" i="9" s="1"/>
  <c r="E64" i="9" s="1" a="1"/>
  <c r="E64" i="9" s="1"/>
  <c r="G30" i="9" a="1"/>
  <c r="G30" i="9" s="1"/>
  <c r="E69" i="9" s="1" a="1"/>
  <c r="E69" i="9" s="1"/>
  <c r="G32" i="9" a="1"/>
  <c r="G32" i="9" s="1"/>
  <c r="E71" i="9" s="1" a="1"/>
  <c r="E71" i="9" s="1"/>
  <c r="G37" i="9" a="1"/>
  <c r="G37" i="9" s="1"/>
  <c r="E76" i="9" s="1" a="1"/>
  <c r="E76" i="9" s="1"/>
  <c r="E7" i="8"/>
  <c r="E42" i="8"/>
  <c r="N60" i="8"/>
  <c r="V52" i="8" a="1"/>
  <c r="V52" i="8" s="1"/>
  <c r="Q45" i="8"/>
  <c r="U51" i="8"/>
  <c r="G27" i="8" a="1"/>
  <c r="G27" i="8" s="1"/>
  <c r="G31" i="8" a="1"/>
  <c r="G31" i="8" s="1"/>
  <c r="G33" i="8" a="1"/>
  <c r="G33" i="8" s="1"/>
  <c r="G35" i="8" a="1"/>
  <c r="G35" i="8" s="1"/>
  <c r="R45" i="8" a="1"/>
  <c r="R45" i="8" s="1"/>
  <c r="S46" i="8" a="1"/>
  <c r="S46" i="8" s="1"/>
  <c r="T47" i="8"/>
  <c r="U47" i="8" s="1"/>
  <c r="V49" i="8" a="1"/>
  <c r="V49" i="8" s="1"/>
  <c r="V51" i="8" a="1"/>
  <c r="V51" i="8" s="1"/>
  <c r="G20" i="8" a="1"/>
  <c r="G20" i="8" s="1"/>
  <c r="S45" i="8" a="1"/>
  <c r="S45" i="8" s="1"/>
  <c r="T46" i="8"/>
  <c r="U46" i="8" s="1"/>
  <c r="V47" i="8" a="1"/>
  <c r="V47" i="8" s="1"/>
  <c r="F60" i="8"/>
  <c r="O88" i="8"/>
  <c r="Q52" i="8"/>
  <c r="G37" i="8" a="1"/>
  <c r="G37" i="8" s="1"/>
  <c r="G22" i="8" a="1"/>
  <c r="G22" i="8" s="1"/>
  <c r="G26" i="8" a="1"/>
  <c r="G26" i="8" s="1"/>
  <c r="G28" i="8" a="1"/>
  <c r="G28" i="8" s="1"/>
  <c r="G30" i="8" a="1"/>
  <c r="G30" i="8" s="1"/>
  <c r="G32" i="8" a="1"/>
  <c r="G32" i="8" s="1"/>
  <c r="G34" i="8" a="1"/>
  <c r="G34" i="8" s="1"/>
  <c r="Q49" i="8"/>
  <c r="Q51" i="8"/>
  <c r="S52" i="8" a="1"/>
  <c r="S52" i="8" s="1"/>
  <c r="Q47" i="8"/>
  <c r="T52" i="8"/>
  <c r="U52" i="8" s="1"/>
  <c r="S51" i="8" a="1"/>
  <c r="S51" i="8" s="1"/>
  <c r="H51" i="6"/>
  <c r="H50" i="6"/>
  <c r="H48" i="6"/>
  <c r="H52" i="6"/>
  <c r="H53" i="6"/>
  <c r="Q39" i="17" l="1" a="1"/>
  <c r="Q39" i="17" s="1"/>
  <c r="Q33" i="17" a="1"/>
  <c r="Q33" i="17" s="1"/>
  <c r="P38" i="16" a="1"/>
  <c r="P38" i="16" s="1"/>
  <c r="N33" i="16" a="1"/>
  <c r="N33" i="16" s="1"/>
  <c r="E49" i="16" s="1"/>
  <c r="Q33" i="16" a="1"/>
  <c r="Q33" i="16" s="1"/>
  <c r="E52" i="16" s="1"/>
  <c r="Q30" i="16" a="1"/>
  <c r="Q30" i="16" s="1"/>
  <c r="O28" i="16" a="1"/>
  <c r="O28" i="16" s="1"/>
  <c r="F72" i="12" a="1"/>
  <c r="F72" i="12" s="1"/>
  <c r="F36" i="13" a="1"/>
  <c r="F36" i="13" s="1"/>
  <c r="F35" i="13" a="1"/>
  <c r="F35" i="13" s="1"/>
  <c r="F32" i="13" a="1"/>
  <c r="F32" i="13" s="1"/>
  <c r="F28" i="13" a="1"/>
  <c r="F28" i="13" s="1"/>
  <c r="F40" i="13" a="1"/>
  <c r="F40" i="13" s="1"/>
  <c r="F31" i="13" a="1"/>
  <c r="F31" i="13" s="1"/>
  <c r="F26" i="13" a="1"/>
  <c r="F26" i="13" s="1"/>
  <c r="F39" i="13" a="1"/>
  <c r="F39" i="13" s="1"/>
  <c r="F25" i="13" a="1"/>
  <c r="F25" i="13" s="1"/>
  <c r="F23" i="13" a="1"/>
  <c r="F23" i="13" s="1"/>
  <c r="F27" i="13" a="1"/>
  <c r="F27" i="13" s="1"/>
  <c r="F33" i="13" a="1"/>
  <c r="F33" i="13" s="1"/>
  <c r="F37" i="13" a="1"/>
  <c r="F37" i="13" s="1"/>
  <c r="F41" i="13" a="1"/>
  <c r="F41" i="13" s="1"/>
  <c r="F29" i="13" a="1"/>
  <c r="F29" i="13" s="1"/>
  <c r="F34" i="13" a="1"/>
  <c r="F34" i="13" s="1"/>
  <c r="Q40" i="17" a="1"/>
  <c r="Q40" i="17" s="1"/>
  <c r="F73" i="12" a="1"/>
  <c r="F73" i="12" s="1"/>
  <c r="F74" i="12" a="1"/>
  <c r="F74" i="12" s="1"/>
  <c r="F70" i="12" a="1"/>
  <c r="F70" i="12" s="1"/>
  <c r="F68" i="12" a="1"/>
  <c r="F68" i="12" s="1"/>
  <c r="F65" i="13" a="1"/>
  <c r="F65" i="13" s="1"/>
  <c r="F70" i="13" a="1"/>
  <c r="F70" i="13" s="1"/>
  <c r="F66" i="13" a="1"/>
  <c r="F66" i="13" s="1"/>
  <c r="F76" i="12" a="1"/>
  <c r="F76" i="12" s="1"/>
  <c r="F74" i="13" a="1"/>
  <c r="F74" i="13" s="1"/>
  <c r="F67" i="13" a="1"/>
  <c r="F67" i="13" s="1"/>
  <c r="P35" i="17" a="1"/>
  <c r="P35" i="17" s="1"/>
  <c r="O35" i="17" a="1"/>
  <c r="O35" i="17" s="1"/>
  <c r="N35" i="17" a="1"/>
  <c r="N35" i="17" s="1"/>
  <c r="Q35" i="17" a="1"/>
  <c r="Q35" i="17" s="1"/>
  <c r="P37" i="17" a="1"/>
  <c r="P37" i="17" s="1"/>
  <c r="O37" i="17" a="1"/>
  <c r="O37" i="17" s="1"/>
  <c r="N37" i="17" a="1"/>
  <c r="N37" i="17" s="1"/>
  <c r="Q37" i="17" a="1"/>
  <c r="Q37" i="17" s="1"/>
  <c r="P28" i="17" a="1"/>
  <c r="P28" i="17" s="1"/>
  <c r="O28" i="17" a="1"/>
  <c r="O28" i="17" s="1"/>
  <c r="N28" i="17" a="1"/>
  <c r="N28" i="17" s="1"/>
  <c r="Q28" i="17" a="1"/>
  <c r="Q28" i="17" s="1"/>
  <c r="O34" i="17" a="1"/>
  <c r="O34" i="17" s="1"/>
  <c r="N34" i="17" a="1"/>
  <c r="N34" i="17" s="1"/>
  <c r="Q34" i="17" a="1"/>
  <c r="Q34" i="17" s="1"/>
  <c r="P34" i="17" a="1"/>
  <c r="P34" i="17" s="1"/>
  <c r="P29" i="17" a="1"/>
  <c r="P29" i="17" s="1"/>
  <c r="O29" i="17" a="1"/>
  <c r="O29" i="17" s="1"/>
  <c r="N29" i="17" a="1"/>
  <c r="N29" i="17" s="1"/>
  <c r="Q29" i="17" a="1"/>
  <c r="Q29" i="17" s="1"/>
  <c r="P31" i="17" a="1"/>
  <c r="P31" i="17" s="1"/>
  <c r="O31" i="17" a="1"/>
  <c r="O31" i="17" s="1"/>
  <c r="N31" i="17" a="1"/>
  <c r="N31" i="17" s="1"/>
  <c r="F66" i="12" a="1"/>
  <c r="F66" i="12" s="1"/>
  <c r="N25" i="17" a="1"/>
  <c r="N25" i="17" s="1"/>
  <c r="P25" i="17" a="1"/>
  <c r="P25" i="17" s="1"/>
  <c r="O25" i="17" a="1"/>
  <c r="O25" i="17" s="1"/>
  <c r="P26" i="17" a="1"/>
  <c r="P26" i="17" s="1"/>
  <c r="O26" i="17" a="1"/>
  <c r="O26" i="17" s="1"/>
  <c r="N26" i="17" a="1"/>
  <c r="N26" i="17" s="1"/>
  <c r="F64" i="12" a="1"/>
  <c r="F64" i="12" s="1"/>
  <c r="P38" i="17" a="1"/>
  <c r="P38" i="17" s="1"/>
  <c r="O38" i="17" a="1"/>
  <c r="O38" i="17" s="1"/>
  <c r="N38" i="17" a="1"/>
  <c r="N38" i="17" s="1"/>
  <c r="O27" i="17" a="1"/>
  <c r="O27" i="17" s="1"/>
  <c r="N27" i="17" a="1"/>
  <c r="N27" i="17" s="1"/>
  <c r="Q27" i="17" a="1"/>
  <c r="Q27" i="17" s="1"/>
  <c r="P27" i="17" a="1"/>
  <c r="P27" i="17" s="1"/>
  <c r="F60" i="12" a="1"/>
  <c r="F60" i="12" s="1"/>
  <c r="Q38" i="17" a="1"/>
  <c r="Q38" i="17" s="1"/>
  <c r="F59" i="12" a="1"/>
  <c r="F59" i="12" s="1"/>
  <c r="F75" i="13" a="1"/>
  <c r="F75" i="13" s="1"/>
  <c r="P39" i="17" a="1"/>
  <c r="P39" i="17" s="1"/>
  <c r="O39" i="17" a="1"/>
  <c r="O39" i="17" s="1"/>
  <c r="N39" i="17" a="1"/>
  <c r="N39" i="17" s="1"/>
  <c r="Q26" i="17" a="1"/>
  <c r="Q26" i="17" s="1"/>
  <c r="F73" i="13" a="1"/>
  <c r="F73" i="13" s="1"/>
  <c r="F68" i="13" a="1"/>
  <c r="F68" i="13" s="1"/>
  <c r="P36" i="17" a="1"/>
  <c r="P36" i="17" s="1"/>
  <c r="O36" i="17" a="1"/>
  <c r="O36" i="17" s="1"/>
  <c r="N36" i="17" a="1"/>
  <c r="N36" i="17" s="1"/>
  <c r="Q36" i="17" a="1"/>
  <c r="Q36" i="17" s="1"/>
  <c r="P40" i="17" a="1"/>
  <c r="P40" i="17" s="1"/>
  <c r="O40" i="17" a="1"/>
  <c r="O40" i="17" s="1"/>
  <c r="N40" i="17" a="1"/>
  <c r="N40" i="17" s="1"/>
  <c r="Q31" i="17" a="1"/>
  <c r="Q31" i="17" s="1"/>
  <c r="F77" i="12" a="1"/>
  <c r="F77" i="12" s="1"/>
  <c r="F72" i="13" a="1"/>
  <c r="F72" i="13" s="1"/>
  <c r="F69" i="12" a="1"/>
  <c r="F69" i="12" s="1"/>
  <c r="P30" i="17" a="1"/>
  <c r="P30" i="17" s="1"/>
  <c r="O30" i="17" a="1"/>
  <c r="O30" i="17" s="1"/>
  <c r="N30" i="17" a="1"/>
  <c r="N30" i="17" s="1"/>
  <c r="N32" i="17" a="1"/>
  <c r="N32" i="17" s="1"/>
  <c r="P32" i="17" a="1"/>
  <c r="P32" i="17" s="1"/>
  <c r="O32" i="17" a="1"/>
  <c r="O32" i="17" s="1"/>
  <c r="P33" i="17" a="1"/>
  <c r="P33" i="17" s="1"/>
  <c r="O33" i="17" a="1"/>
  <c r="O33" i="17" s="1"/>
  <c r="N33" i="17" a="1"/>
  <c r="N33" i="17" s="1"/>
  <c r="Q32" i="17" a="1"/>
  <c r="Q32" i="17" s="1"/>
  <c r="P29" i="16" a="1"/>
  <c r="P29" i="16" s="1"/>
  <c r="O29" i="16" a="1"/>
  <c r="O29" i="16" s="1"/>
  <c r="N29" i="16" a="1"/>
  <c r="N29" i="16" s="1"/>
  <c r="Q29" i="16" a="1"/>
  <c r="Q29" i="16" s="1"/>
  <c r="N35" i="16" a="1"/>
  <c r="N35" i="16" s="1"/>
  <c r="Q35" i="16" a="1"/>
  <c r="Q35" i="16" s="1"/>
  <c r="P35" i="16" a="1"/>
  <c r="P35" i="16" s="1"/>
  <c r="O35" i="16" a="1"/>
  <c r="O35" i="16" s="1"/>
  <c r="P32" i="16" a="1"/>
  <c r="P32" i="16" s="1"/>
  <c r="O32" i="16" a="1"/>
  <c r="O32" i="16" s="1"/>
  <c r="N32" i="16" a="1"/>
  <c r="N32" i="16" s="1"/>
  <c r="O33" i="16" a="1"/>
  <c r="O33" i="16" s="1"/>
  <c r="E50" i="16" s="1"/>
  <c r="Q31" i="16" a="1"/>
  <c r="Q31" i="16" s="1"/>
  <c r="P33" i="16" a="1"/>
  <c r="P33" i="16" s="1"/>
  <c r="E51" i="16" s="1"/>
  <c r="P27" i="16" a="1"/>
  <c r="P27" i="16" s="1"/>
  <c r="O27" i="16" a="1"/>
  <c r="O27" i="16" s="1"/>
  <c r="N27" i="16" a="1"/>
  <c r="N27" i="16" s="1"/>
  <c r="Q27" i="16" a="1"/>
  <c r="Q27" i="16" s="1"/>
  <c r="P31" i="16" a="1"/>
  <c r="P31" i="16" s="1"/>
  <c r="Q39" i="16" a="1"/>
  <c r="Q39" i="16" s="1"/>
  <c r="P39" i="16" a="1"/>
  <c r="P39" i="16" s="1"/>
  <c r="O39" i="16" a="1"/>
  <c r="O39" i="16" s="1"/>
  <c r="N39" i="16" a="1"/>
  <c r="N39" i="16" s="1"/>
  <c r="P37" i="16" a="1"/>
  <c r="P37" i="16" s="1"/>
  <c r="O37" i="16" a="1"/>
  <c r="O37" i="16" s="1"/>
  <c r="N37" i="16" a="1"/>
  <c r="N37" i="16" s="1"/>
  <c r="Q37" i="16" a="1"/>
  <c r="Q37" i="16" s="1"/>
  <c r="N28" i="16" a="1"/>
  <c r="N28" i="16" s="1"/>
  <c r="N31" i="16" a="1"/>
  <c r="N31" i="16" s="1"/>
  <c r="N26" i="16" a="1"/>
  <c r="N26" i="16" s="1"/>
  <c r="Q26" i="16" a="1"/>
  <c r="Q26" i="16" s="1"/>
  <c r="P26" i="16" a="1"/>
  <c r="P26" i="16" s="1"/>
  <c r="O26" i="16" a="1"/>
  <c r="O26" i="16" s="1"/>
  <c r="O36" i="16" a="1"/>
  <c r="O36" i="16" s="1"/>
  <c r="N36" i="16" a="1"/>
  <c r="N36" i="16" s="1"/>
  <c r="Q36" i="16" a="1"/>
  <c r="Q36" i="16" s="1"/>
  <c r="P36" i="16" a="1"/>
  <c r="P36" i="16" s="1"/>
  <c r="P28" i="16" a="1"/>
  <c r="P28" i="16" s="1"/>
  <c r="Q32" i="16" a="1"/>
  <c r="Q32" i="16" s="1"/>
  <c r="E62" i="8" a="1"/>
  <c r="E62" i="8" s="1"/>
  <c r="P30" i="16" a="1"/>
  <c r="P30" i="16" s="1"/>
  <c r="O30" i="16" a="1"/>
  <c r="O30" i="16" s="1"/>
  <c r="N30" i="16" a="1"/>
  <c r="N30" i="16" s="1"/>
  <c r="O38" i="16" a="1"/>
  <c r="O38" i="16" s="1"/>
  <c r="G25" i="8" a="1"/>
  <c r="G25" i="8" s="1"/>
  <c r="E66" i="8" s="1" a="1"/>
  <c r="E66" i="8" s="1"/>
  <c r="F71" i="12" a="1"/>
  <c r="F71" i="12" s="1"/>
  <c r="F61" i="12" a="1"/>
  <c r="F61" i="12" s="1"/>
  <c r="F67" i="12" a="1"/>
  <c r="F67" i="12" s="1"/>
  <c r="F65" i="12" a="1"/>
  <c r="F65" i="12" s="1"/>
  <c r="E146" i="12"/>
  <c r="G148" i="12" s="1"/>
  <c r="E151" i="12" s="1" a="1"/>
  <c r="E151" i="12" s="1"/>
  <c r="F75" i="12" a="1"/>
  <c r="F75" i="12" s="1"/>
  <c r="F63" i="12" a="1"/>
  <c r="F63" i="12" s="1"/>
  <c r="O84" i="8" a="1"/>
  <c r="O84" i="8" s="1"/>
  <c r="P84" i="8" s="1" a="1"/>
  <c r="P84" i="8" s="1"/>
  <c r="O77" i="8" a="1"/>
  <c r="O77" i="8" s="1"/>
  <c r="P77" i="8" s="1" a="1"/>
  <c r="P77" i="8" s="1"/>
  <c r="F62" i="12" a="1"/>
  <c r="F62" i="12" s="1"/>
  <c r="O83" i="8" a="1"/>
  <c r="O83" i="8" s="1"/>
  <c r="P83" i="8" s="1" a="1"/>
  <c r="P83" i="8" s="1"/>
  <c r="O81" i="8" a="1"/>
  <c r="O81" i="8" s="1"/>
  <c r="P81" i="8" s="1" a="1"/>
  <c r="P81" i="8" s="1"/>
  <c r="G29" i="8" a="1"/>
  <c r="G29" i="8" s="1"/>
  <c r="E70" i="8" s="1" a="1"/>
  <c r="E70" i="8" s="1"/>
  <c r="E31" i="11"/>
  <c r="E64" i="8" a="1"/>
  <c r="E64" i="8" s="1"/>
  <c r="G19" i="8" a="1"/>
  <c r="G19" i="8" s="1"/>
  <c r="E60" i="8" s="1" a="1"/>
  <c r="E60" i="8" s="1"/>
  <c r="O86" i="8" a="1"/>
  <c r="O86" i="8" s="1"/>
  <c r="P86" i="8" s="1" a="1"/>
  <c r="P86" i="8" s="1"/>
  <c r="O80" i="8" a="1"/>
  <c r="O80" i="8" s="1"/>
  <c r="P80" i="8" s="1" a="1"/>
  <c r="P80" i="8" s="1"/>
  <c r="O79" i="8" a="1"/>
  <c r="O79" i="8" s="1"/>
  <c r="P79" i="8" s="1" a="1"/>
  <c r="P79" i="8" s="1"/>
  <c r="O78" i="8" a="1"/>
  <c r="O78" i="8" s="1"/>
  <c r="P78" i="8" s="1" a="1"/>
  <c r="P78" i="8" s="1"/>
  <c r="E75" i="8" a="1"/>
  <c r="E75" i="8" s="1"/>
  <c r="E73" i="8" a="1"/>
  <c r="E73" i="8" s="1"/>
  <c r="E74" i="8" a="1"/>
  <c r="E74" i="8" s="1"/>
  <c r="E76" i="8" a="1"/>
  <c r="E76" i="8" s="1"/>
  <c r="E77" i="8" a="1"/>
  <c r="E77" i="8" s="1"/>
  <c r="E72" i="8" a="1"/>
  <c r="E72" i="8" s="1"/>
  <c r="E65" i="8" a="1"/>
  <c r="E65" i="8" s="1"/>
  <c r="E69" i="8" a="1"/>
  <c r="E69" i="8" s="1"/>
  <c r="E61" i="8" a="1"/>
  <c r="E61" i="8" s="1"/>
  <c r="E67" i="8" a="1"/>
  <c r="E67" i="8" s="1"/>
  <c r="E68" i="8" a="1"/>
  <c r="E68" i="8" s="1"/>
  <c r="E63" i="8" a="1"/>
  <c r="E63" i="8" s="1"/>
  <c r="E71" i="8" a="1"/>
  <c r="E71" i="8" s="1"/>
  <c r="E78" i="8" a="1"/>
  <c r="E78" i="8" s="1"/>
  <c r="G19" i="9" a="1"/>
  <c r="G19" i="9" s="1"/>
  <c r="E58" i="9" s="1" a="1"/>
  <c r="E58" i="9" s="1"/>
  <c r="E78" i="9" s="1"/>
  <c r="R50" i="8" a="1"/>
  <c r="R50" i="8" s="1"/>
  <c r="Q50" i="8"/>
  <c r="O82" i="8" a="1"/>
  <c r="O82" i="8" s="1"/>
  <c r="T50" i="8"/>
  <c r="U50" i="8" s="1"/>
  <c r="S50" i="8" a="1"/>
  <c r="S50" i="8" s="1"/>
  <c r="C16" i="4"/>
  <c r="C12" i="4"/>
  <c r="V50" i="8" l="1" a="1"/>
  <c r="V50" i="8" s="1"/>
  <c r="E43" i="13"/>
  <c r="J89" i="13" s="1"/>
  <c r="E43" i="16"/>
  <c r="E57" i="16"/>
  <c r="E77" i="13"/>
  <c r="J90" i="13" s="1"/>
  <c r="E94" i="13" s="1" a="1"/>
  <c r="E94" i="13" s="1"/>
  <c r="G96" i="13" s="1"/>
  <c r="E99" i="13" s="1" a="1"/>
  <c r="E99" i="13" s="1"/>
  <c r="E46" i="16"/>
  <c r="E46" i="17"/>
  <c r="E45" i="17"/>
  <c r="E52" i="17"/>
  <c r="E43" i="17"/>
  <c r="E44" i="17"/>
  <c r="E50" i="17"/>
  <c r="E51" i="17"/>
  <c r="E56" i="16"/>
  <c r="E49" i="17"/>
  <c r="E44" i="16"/>
  <c r="E58" i="16"/>
  <c r="E45" i="16"/>
  <c r="E55" i="16"/>
  <c r="E64" i="16"/>
  <c r="E61" i="16"/>
  <c r="E62" i="16"/>
  <c r="E63" i="16"/>
  <c r="E79" i="12"/>
  <c r="G81" i="12" s="1"/>
  <c r="E84" i="12" s="1" a="1"/>
  <c r="E84" i="12" s="1"/>
  <c r="E80" i="8"/>
  <c r="G82" i="8" s="1"/>
  <c r="E85" i="8" s="1" a="1"/>
  <c r="E85" i="8" s="1"/>
  <c r="P82" i="8" a="1"/>
  <c r="P82" i="8" s="1"/>
  <c r="N88" i="8" s="1"/>
  <c r="P90" i="8" s="1"/>
  <c r="N93" i="8" s="1" a="1"/>
  <c r="N93" i="8" s="1"/>
  <c r="E57" i="17" l="1"/>
  <c r="E58" i="17"/>
  <c r="E70" i="16"/>
  <c r="E56" i="17"/>
  <c r="E67" i="16"/>
  <c r="E69" i="16"/>
  <c r="E55" i="17"/>
  <c r="E68"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<sst xmlns="http://schemas.openxmlformats.org/spreadsheetml/2006/main" count="763" uniqueCount="419">
  <si>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</si>
  <si>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</si>
  <si>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</si>
  <si>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</si>
  <si>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</si>
  <si>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</si>
  <si>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</si>
  <si>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</si>
  <si>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</si>
  <si>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</si>
  <si>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</si>
  <si>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</si>
  <si>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</si>
  <si>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</si>
  <si>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</si>
  <si>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</si>
  <si>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</si>
  <si>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</si>
  <si>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</si>
  <si>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</si>
  <si>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</si>
  <si>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</si>
  <si>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</si>
  <si>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</si>
  <si>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</si>
  <si>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</si>
  <si>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</si>
  <si>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</si>
  <si>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</si>
  <si>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</si>
  <si>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</si>
  <si>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</si>
  <si>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</si>
  <si>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</si>
  <si>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</si>
  <si>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</si>
  <si>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</si>
  <si>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</si>
  <si>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</si>
  <si>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</si>
  <si>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</si>
  <si>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</si>
  <si>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</si>
  <si>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</si>
  <si>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</si>
  <si>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</si>
  <si>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</si>
  <si>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</si>
  <si>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</si>
  <si>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</si>
  <si>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</si>
  <si>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</si>
  <si>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</si>
  <si>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</si>
  <si>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</si>
  <si>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</si>
  <si>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</si>
  <si>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</si>
  <si>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</si>
  <si>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</si>
  <si>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</si>
  <si>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</si>
  <si>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</si>
  <si>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</si>
  <si>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</si>
  <si>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</si>
  <si>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</si>
  <si>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</si>
  <si>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</si>
  <si>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</si>
  <si>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</si>
  <si>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</si>
  <si>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</si>
  <si>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</si>
  <si>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</si>
  <si>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</si>
  <si>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</si>
  <si>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</si>
  <si>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</si>
  <si>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Fertiliser</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</si>
  <si>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</si>
  <si>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</si>
  <si>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</si>
  <si>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INPUTS</t>
  </si>
  <si>
    <t>Crop type</t>
  </si>
  <si>
    <t>Grains</t>
  </si>
  <si>
    <t>Sprinkler irrigation</t>
  </si>
  <si>
    <t>Area under cropping</t>
  </si>
  <si>
    <t>hectares</t>
  </si>
  <si>
    <t>CALCULATIONS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</si>
  <si>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</si>
  <si>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</si>
  <si>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</si>
  <si>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</si>
  <si>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</si>
  <si>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</si>
  <si>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</si>
  <si>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</si>
  <si>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</si>
  <si>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</si>
  <si>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</si>
  <si>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</si>
  <si>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</si>
  <si>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</si>
  <si>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</si>
  <si>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</si>
  <si>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</si>
  <si>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</si>
  <si>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</si>
  <si>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</si>
  <si>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</si>
  <si>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</si>
  <si>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</si>
  <si>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</si>
  <si>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</si>
  <si>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</si>
  <si>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APPENDICES</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</si>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</sst>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9"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sz val="12"/>
      <color theme="1" tint="0.34998626667073579"/>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9"/>
      <color rgb="FF008000"/>
      <name val="Times New Roman"/>
      <family val="1"/>
    </font>
    <font>
      <sz val="12"/>
      <color rgb="FF0070C0"/>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sz val="12"/>
      <color theme="1" tint="0.24994659260841701"/>
      <name val="Times New Roman"/>
      <family val="1"/>
    </font>
    <font>
      <sz val="11"/>
      <color theme="1"/>
      <name val="Times New Roman"/>
      <family val="2"/>
    </font>
    <font>
      <b/>
      <sz val="12"/>
      <color rgb="FFCC6600"/>
      <name val="Times New Roman"/>
      <family val="1"/>
    </font>
    <font>
      <b/>
      <sz val="11"/>
      <color rgb="FF533001"/>
      <name val="Times New Roman"/>
      <family val="1"/>
    </font>
    <font>
      <b/>
      <vertAlign val="subscript"/>
      <sz val="11"/>
      <color rgb="FF533001"/>
      <name val="Times New Roman"/>
      <family val="1"/>
    </font>
    <font>
      <sz val="9"/>
      <name val="Times New Roman"/>
      <family val="1"/>
    </font>
    <font>
      <i/>
      <sz val="10"/>
      <color theme="1" tint="0.14999847407452621"/>
      <name val="Aptos Narrow"/>
      <family val="1"/>
      <scheme val="minor"/>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9"/>
      <color rgb="FF404040"/>
      <name val="Times New Roman"/>
      <family val="1"/>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theme="0"/>
        <bgColor indexed="64"/>
      </patternFill>
    </fill>
    <fill>
      <gradientFill degree="90">
        <stop position="0">
          <color theme="0"/>
        </stop>
        <stop position="1">
          <color theme="0" tint="-5.0965910824915313E-2"/>
        </stop>
      </gradientFill>
    </fill>
    <fill>
      <patternFill patternType="solid">
        <fgColor rgb="FFCC6600"/>
        <bgColor indexed="64"/>
      </patternFill>
    </fill>
    <fill>
      <patternFill patternType="solid">
        <fgColor theme="3" tint="0.89996032593768116"/>
        <bgColor indexed="64"/>
      </patternFill>
    </fill>
    <fill>
      <patternFill patternType="solid">
        <fgColor rgb="FFFFCC66"/>
        <bgColor indexed="64"/>
      </patternFill>
    </fill>
    <fill>
      <patternFill patternType="solid">
        <fgColor rgb="FF0080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2">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5" fillId="0" borderId="0">
      <alignment horizontal="left" vertical="center" indent="1"/>
    </xf>
    <xf numFmtId="0" fontId="10" fillId="4" borderId="0">
      <alignment vertical="center"/>
    </xf>
    <xf numFmtId="0" fontId="4" fillId="6" borderId="1">
      <alignment horizontal="center" vertical="center"/>
    </xf>
    <xf numFmtId="0" fontId="15" fillId="2" borderId="0">
      <alignment horizontal="left" vertical="center" indent="1"/>
    </xf>
    <xf numFmtId="0" fontId="18" fillId="5" borderId="2">
      <alignment horizontal="left" vertical="center" indent="1"/>
    </xf>
    <xf numFmtId="0" fontId="20" fillId="7" borderId="0">
      <alignment horizontal="left" vertical="center" indent="1"/>
    </xf>
    <xf numFmtId="0" fontId="5" fillId="0" borderId="1">
      <alignment horizontal="center" vertical="center"/>
    </xf>
    <xf numFmtId="0" fontId="22" fillId="8" borderId="3">
      <alignment horizontal="left" vertical="center"/>
    </xf>
    <xf numFmtId="0" fontId="25" fillId="2" borderId="0">
      <alignment horizontal="left" vertical="center"/>
    </xf>
    <xf numFmtId="4" fontId="5" fillId="0" borderId="1">
      <alignment horizontal="center" vertical="center"/>
    </xf>
    <xf numFmtId="0" fontId="6" fillId="2" borderId="1">
      <alignment horizontal="center" vertical="center"/>
    </xf>
    <xf numFmtId="0" fontId="9" fillId="0" borderId="0"/>
    <xf numFmtId="43" fontId="9" fillId="0" borderId="0" applyFont="0" applyFill="0" applyBorder="0" applyAlignment="0" applyProtection="0"/>
    <xf numFmtId="0" fontId="5" fillId="0" borderId="1">
      <alignment horizontal="center" vertical="center"/>
    </xf>
    <xf numFmtId="9" fontId="9" fillId="0" borderId="0" applyFont="0" applyFill="0" applyBorder="0" applyAlignment="0" applyProtection="0"/>
    <xf numFmtId="9" fontId="5" fillId="0" borderId="1">
      <alignment horizontal="center" vertical="center"/>
    </xf>
    <xf numFmtId="0" fontId="30" fillId="2" borderId="0">
      <alignment horizontal="left" vertical="center"/>
    </xf>
    <xf numFmtId="0" fontId="31" fillId="9" borderId="0">
      <alignment horizontal="center" vertical="center"/>
      <protection locked="0"/>
    </xf>
    <xf numFmtId="0" fontId="34" fillId="0" borderId="0"/>
    <xf numFmtId="0" fontId="35" fillId="2" borderId="0">
      <alignment horizontal="left" vertical="center"/>
    </xf>
    <xf numFmtId="0" fontId="20" fillId="10" borderId="0">
      <alignment horizontal="left" vertical="center" indent="1"/>
    </xf>
    <xf numFmtId="0" fontId="36" fillId="11" borderId="1">
      <alignment horizontal="center" vertical="center"/>
    </xf>
    <xf numFmtId="0" fontId="37" fillId="12" borderId="1">
      <alignment horizontal="center" vertical="center"/>
    </xf>
    <xf numFmtId="0" fontId="38" fillId="2" borderId="1">
      <alignment horizontal="left" vertical="center"/>
    </xf>
    <xf numFmtId="0" fontId="39" fillId="2" borderId="0">
      <alignment horizontal="left" vertical="center"/>
    </xf>
    <xf numFmtId="0" fontId="40" fillId="2" borderId="0">
      <alignment horizontal="left" vertical="center"/>
    </xf>
    <xf numFmtId="0" fontId="41" fillId="13" borderId="0">
      <alignment horizontal="center" vertical="center"/>
    </xf>
    <xf numFmtId="0" fontId="6" fillId="2" borderId="1">
      <alignment horizontal="left" vertical="center"/>
    </xf>
    <xf numFmtId="0" fontId="41" fillId="13" borderId="0">
      <alignment horizontal="left" vertical="center" indent="1"/>
      <protection locked="0"/>
    </xf>
    <xf numFmtId="4" fontId="6" fillId="2" borderId="1">
      <alignment horizontal="center" vertical="center"/>
    </xf>
    <xf numFmtId="0" fontId="20" fillId="15" borderId="0">
      <alignment horizontal="left" vertical="center" indent="1"/>
    </xf>
    <xf numFmtId="0" fontId="50" fillId="2" borderId="0" applyNumberFormat="0">
      <alignment horizontal="center" vertical="center"/>
    </xf>
    <xf numFmtId="0" fontId="52" fillId="2" borderId="0">
      <alignment horizontal="left" vertical="center"/>
    </xf>
    <xf numFmtId="0" fontId="20" fillId="16" borderId="0">
      <alignment horizontal="left" vertical="center" indent="1"/>
    </xf>
    <xf numFmtId="0" fontId="59" fillId="2" borderId="0">
      <alignment vertical="center"/>
    </xf>
    <xf numFmtId="169" fontId="62" fillId="2" borderId="29">
      <alignment horizontal="center" vertical="center"/>
    </xf>
    <xf numFmtId="0" fontId="66" fillId="0" borderId="0" applyNumberFormat="0" applyFill="0" applyBorder="0" applyAlignment="0" applyProtection="0"/>
    <xf numFmtId="3" fontId="5" fillId="0" borderId="1">
      <alignment horizontal="center" vertical="center"/>
    </xf>
  </cellStyleXfs>
  <cellXfs count="211">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5" fillId="0" borderId="0" xfId="14">
      <alignment horizontal="left" vertical="center" indent="1"/>
    </xf>
    <xf numFmtId="0" fontId="10" fillId="4" borderId="0" xfId="15">
      <alignment vertical="center"/>
    </xf>
    <xf numFmtId="0" fontId="5" fillId="5" borderId="0" xfId="1" applyFont="1" applyFill="1" applyAlignment="1">
      <alignment horizontal="left" vertical="center" indent="1"/>
    </xf>
    <xf numFmtId="0" fontId="4" fillId="6" borderId="1" xfId="16">
      <alignment horizontal="center" vertical="center"/>
    </xf>
    <xf numFmtId="0" fontId="15" fillId="2" borderId="0" xfId="17">
      <alignment horizontal="left" vertical="center" indent="1"/>
    </xf>
    <xf numFmtId="0" fontId="19" fillId="5" borderId="2" xfId="18" applyFont="1">
      <alignment horizontal="left" vertical="center" indent="1"/>
    </xf>
    <xf numFmtId="0" fontId="20" fillId="7" borderId="0" xfId="19">
      <alignment horizontal="left" vertical="center" indent="1"/>
    </xf>
    <xf numFmtId="0" fontId="5" fillId="0" borderId="1" xfId="20">
      <alignment horizontal="center" vertical="center"/>
    </xf>
    <xf numFmtId="0" fontId="21" fillId="5" borderId="2" xfId="18" applyFont="1">
      <alignment horizontal="left" vertical="center" indent="1"/>
    </xf>
    <xf numFmtId="0" fontId="22" fillId="8" borderId="4" xfId="21" applyBorder="1">
      <alignment horizontal="left" vertical="center"/>
    </xf>
    <xf numFmtId="0" fontId="22" fillId="8" borderId="5" xfId="21" applyBorder="1">
      <alignment horizontal="left" vertical="center"/>
    </xf>
    <xf numFmtId="0" fontId="22" fillId="8" borderId="6" xfId="21" applyBorder="1">
      <alignment horizontal="left" vertical="center"/>
    </xf>
    <xf numFmtId="0" fontId="23" fillId="2" borderId="0" xfId="6" applyFont="1" applyFill="1" applyAlignment="1">
      <alignment horizontal="center" vertical="center"/>
    </xf>
    <xf numFmtId="0" fontId="23" fillId="2" borderId="0" xfId="6" applyFont="1" applyFill="1"/>
    <xf numFmtId="0" fontId="24" fillId="2" borderId="0" xfId="6" applyFont="1" applyFill="1"/>
    <xf numFmtId="0" fontId="22" fillId="8" borderId="7" xfId="21" applyBorder="1">
      <alignment horizontal="left" vertical="center"/>
    </xf>
    <xf numFmtId="0" fontId="22" fillId="8" borderId="8" xfId="21" applyBorder="1">
      <alignment horizontal="left" vertical="center"/>
    </xf>
    <xf numFmtId="0" fontId="22" fillId="8" borderId="9" xfId="21" applyBorder="1">
      <alignment horizontal="left" vertical="center"/>
    </xf>
    <xf numFmtId="0" fontId="22" fillId="8" borderId="10" xfId="21" applyBorder="1">
      <alignment horizontal="left" vertical="center"/>
    </xf>
    <xf numFmtId="0" fontId="25" fillId="2" borderId="0" xfId="22">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6" borderId="1" xfId="16" applyAlignment="1">
      <alignment horizontal="center" vertical="center" wrapText="1"/>
    </xf>
    <xf numFmtId="4" fontId="0" fillId="0" borderId="0" xfId="23" applyFont="1" applyBorder="1" applyAlignment="1">
      <alignment horizontal="center" vertical="center" wrapText="1"/>
    </xf>
    <xf numFmtId="0" fontId="6" fillId="2" borderId="1" xfId="24">
      <alignment horizontal="center" vertical="center"/>
    </xf>
    <xf numFmtId="0" fontId="6" fillId="2" borderId="1" xfId="24" applyAlignment="1">
      <alignment horizontal="center" vertical="center" wrapText="1"/>
    </xf>
    <xf numFmtId="0" fontId="26" fillId="2" borderId="0" xfId="25" applyFont="1" applyFill="1" applyAlignment="1">
      <alignment horizontal="left" vertical="center" wrapText="1"/>
    </xf>
    <xf numFmtId="2" fontId="23" fillId="2" borderId="0" xfId="26" applyNumberFormat="1" applyFont="1" applyFill="1" applyBorder="1" applyAlignment="1" applyProtection="1">
      <alignment horizontal="center" wrapText="1"/>
      <protection locked="0"/>
    </xf>
    <xf numFmtId="1" fontId="23" fillId="2" borderId="0" xfId="26" applyNumberFormat="1" applyFont="1" applyFill="1" applyBorder="1" applyAlignment="1" applyProtection="1">
      <alignment horizontal="center" wrapText="1"/>
      <protection locked="0"/>
    </xf>
    <xf numFmtId="0" fontId="23" fillId="2" borderId="0" xfId="6" applyFont="1" applyFill="1" applyAlignment="1">
      <alignment horizontal="left" wrapText="1"/>
    </xf>
    <xf numFmtId="0" fontId="24" fillId="2" borderId="0" xfId="6" applyFont="1" applyFill="1" applyAlignment="1">
      <alignment wrapText="1"/>
    </xf>
    <xf numFmtId="0" fontId="11" fillId="2" borderId="0" xfId="8" applyAlignment="1">
      <alignment horizontal="left" vertical="center" wrapText="1"/>
    </xf>
    <xf numFmtId="0" fontId="25" fillId="2" borderId="0" xfId="22" applyAlignment="1">
      <alignment horizontal="left" vertical="center" wrapText="1"/>
    </xf>
    <xf numFmtId="0" fontId="9" fillId="2" borderId="0" xfId="6" applyFill="1" applyAlignment="1">
      <alignment wrapText="1"/>
    </xf>
    <xf numFmtId="0" fontId="5" fillId="0" borderId="1" xfId="27">
      <alignment horizontal="center" vertical="center"/>
    </xf>
    <xf numFmtId="0" fontId="27" fillId="6" borderId="1" xfId="16" applyFont="1" applyAlignment="1">
      <alignment horizontal="center" vertical="center" wrapText="1"/>
    </xf>
    <xf numFmtId="9" fontId="0" fillId="0" borderId="0" xfId="28" applyFont="1" applyFill="1" applyBorder="1" applyAlignment="1">
      <alignment horizontal="center" vertical="center" wrapText="1"/>
    </xf>
    <xf numFmtId="0" fontId="27" fillId="6" borderId="1" xfId="16" applyFont="1">
      <alignment horizontal="center" vertical="center"/>
    </xf>
    <xf numFmtId="9" fontId="5" fillId="0" borderId="1" xfId="29">
      <alignment horizontal="center" vertical="center"/>
    </xf>
    <xf numFmtId="0" fontId="28" fillId="2" borderId="0" xfId="8" applyFont="1">
      <alignment horizontal="left" vertical="center"/>
    </xf>
    <xf numFmtId="4" fontId="29" fillId="0" borderId="1" xfId="23" applyFont="1" applyAlignment="1">
      <alignment horizontal="center" vertical="center" wrapText="1"/>
    </xf>
    <xf numFmtId="9" fontId="0" fillId="0" borderId="11" xfId="28" applyFont="1" applyFill="1" applyBorder="1" applyAlignment="1">
      <alignment horizontal="center" vertical="center" wrapText="1"/>
    </xf>
    <xf numFmtId="0" fontId="22" fillId="8" borderId="12" xfId="21" applyBorder="1">
      <alignment horizontal="left" vertical="center"/>
    </xf>
    <xf numFmtId="0" fontId="22" fillId="8" borderId="0" xfId="21" applyBorder="1">
      <alignment horizontal="left" vertical="center"/>
    </xf>
    <xf numFmtId="0" fontId="22" fillId="8" borderId="13" xfId="21" applyBorder="1">
      <alignment horizontal="left" vertical="center"/>
    </xf>
    <xf numFmtId="0" fontId="30" fillId="2" borderId="0" xfId="30">
      <alignment horizontal="left" vertical="center"/>
    </xf>
    <xf numFmtId="0" fontId="31" fillId="9" borderId="0" xfId="31" applyAlignment="1">
      <alignment horizontal="center" vertical="center" wrapText="1"/>
      <protection locked="0"/>
    </xf>
    <xf numFmtId="0" fontId="0" fillId="0" borderId="0" xfId="27" applyFont="1" applyBorder="1" applyAlignment="1">
      <alignment horizontal="center" vertical="center" wrapText="1"/>
    </xf>
    <xf numFmtId="9" fontId="0" fillId="0" borderId="0" xfId="29" applyFont="1" applyBorder="1" applyAlignment="1">
      <alignment horizontal="center" vertical="center" wrapText="1"/>
    </xf>
    <xf numFmtId="9" fontId="4" fillId="2" borderId="0" xfId="28" applyFont="1" applyFill="1" applyAlignment="1">
      <alignment horizontal="center" vertical="center" wrapText="1"/>
    </xf>
    <xf numFmtId="0" fontId="9" fillId="0" borderId="0" xfId="6" applyAlignment="1">
      <alignment wrapText="1"/>
    </xf>
    <xf numFmtId="9" fontId="9" fillId="2" borderId="0" xfId="6" applyNumberFormat="1" applyFill="1"/>
    <xf numFmtId="0" fontId="35" fillId="2" borderId="0" xfId="33">
      <alignment horizontal="left" vertical="center"/>
    </xf>
    <xf numFmtId="0" fontId="20" fillId="10" borderId="0" xfId="34">
      <alignment horizontal="left" vertical="center" indent="1"/>
    </xf>
    <xf numFmtId="0" fontId="6" fillId="2" borderId="1" xfId="24" applyAlignment="1">
      <alignment horizontal="left" vertical="center"/>
    </xf>
    <xf numFmtId="0" fontId="6" fillId="2" borderId="14" xfId="24" applyBorder="1" applyAlignment="1">
      <alignment horizontal="left" vertical="center"/>
    </xf>
    <xf numFmtId="0" fontId="6" fillId="2" borderId="15" xfId="24" applyBorder="1" applyAlignment="1">
      <alignment horizontal="left" vertical="center"/>
    </xf>
    <xf numFmtId="0" fontId="36" fillId="11" borderId="1" xfId="35">
      <alignment horizontal="center" vertical="center"/>
    </xf>
    <xf numFmtId="0" fontId="37" fillId="12" borderId="1" xfId="36">
      <alignment horizontal="center" vertical="center"/>
    </xf>
    <xf numFmtId="0" fontId="38" fillId="2" borderId="14" xfId="37" applyBorder="1">
      <alignment horizontal="left" vertical="center"/>
    </xf>
    <xf numFmtId="0" fontId="6" fillId="2" borderId="16" xfId="24" applyBorder="1">
      <alignment horizontal="center" vertical="center"/>
    </xf>
    <xf numFmtId="0" fontId="38" fillId="2" borderId="1" xfId="37">
      <alignment horizontal="left" vertical="center"/>
    </xf>
    <xf numFmtId="0" fontId="6" fillId="2" borderId="16" xfId="24" applyBorder="1" applyAlignment="1">
      <alignment horizontal="left" vertical="center"/>
    </xf>
    <xf numFmtId="0" fontId="39" fillId="2" borderId="0" xfId="38">
      <alignment horizontal="left" vertical="center"/>
    </xf>
    <xf numFmtId="0" fontId="40" fillId="2" borderId="0" xfId="39">
      <alignment horizontal="left" vertical="center"/>
    </xf>
    <xf numFmtId="0" fontId="41" fillId="13" borderId="0" xfId="40">
      <alignment horizontal="center" vertical="center"/>
    </xf>
    <xf numFmtId="0" fontId="31" fillId="9" borderId="0" xfId="31">
      <alignment horizontal="center" vertical="center"/>
      <protection locked="0"/>
    </xf>
    <xf numFmtId="0" fontId="11" fillId="2" borderId="17" xfId="8" applyBorder="1">
      <alignment horizontal="left" vertical="center"/>
    </xf>
    <xf numFmtId="0" fontId="11" fillId="14" borderId="0" xfId="8" applyFill="1">
      <alignment horizontal="left" vertical="center"/>
    </xf>
    <xf numFmtId="0" fontId="15" fillId="2" borderId="0" xfId="17" applyAlignment="1">
      <alignment horizontal="center" vertical="center"/>
    </xf>
    <xf numFmtId="0" fontId="44" fillId="2" borderId="17" xfId="8" applyFont="1" applyBorder="1">
      <alignment horizontal="left" vertical="center"/>
    </xf>
    <xf numFmtId="0" fontId="46" fillId="2" borderId="17" xfId="8" applyFont="1" applyBorder="1">
      <alignment horizontal="left" vertical="center"/>
    </xf>
    <xf numFmtId="0" fontId="47" fillId="2" borderId="17" xfId="12" applyFont="1" applyBorder="1">
      <alignment horizontal="left" vertical="center"/>
    </xf>
    <xf numFmtId="0" fontId="6" fillId="2" borderId="15" xfId="24" applyBorder="1">
      <alignment horizontal="center" vertical="center"/>
    </xf>
    <xf numFmtId="0" fontId="15" fillId="2" borderId="17" xfId="12" applyBorder="1">
      <alignment horizontal="left" vertical="center"/>
    </xf>
    <xf numFmtId="0" fontId="6" fillId="2" borderId="1" xfId="41">
      <alignment horizontal="left" vertical="center"/>
    </xf>
    <xf numFmtId="0" fontId="41" fillId="13" borderId="0" xfId="42">
      <alignment horizontal="left" vertical="center" indent="1"/>
      <protection locked="0"/>
    </xf>
    <xf numFmtId="4" fontId="6" fillId="2" borderId="1" xfId="24" applyNumberFormat="1">
      <alignment horizontal="center" vertical="center"/>
    </xf>
    <xf numFmtId="9" fontId="6" fillId="2" borderId="1" xfId="24" applyNumberFormat="1">
      <alignment horizontal="center" vertical="center"/>
    </xf>
    <xf numFmtId="0" fontId="33" fillId="2" borderId="0" xfId="6" applyFont="1" applyFill="1"/>
    <xf numFmtId="0" fontId="28" fillId="2" borderId="17" xfId="8" applyFont="1" applyBorder="1">
      <alignment horizontal="left" vertical="center"/>
    </xf>
    <xf numFmtId="0" fontId="15" fillId="2" borderId="17" xfId="17" applyBorder="1">
      <alignment horizontal="left" vertical="center" indent="1"/>
    </xf>
    <xf numFmtId="0" fontId="11" fillId="2" borderId="18" xfId="8" applyBorder="1">
      <alignment horizontal="left" vertical="center"/>
    </xf>
    <xf numFmtId="0" fontId="6" fillId="2" borderId="14" xfId="41" applyBorder="1">
      <alignment horizontal="left" vertical="center"/>
    </xf>
    <xf numFmtId="0" fontId="6" fillId="2" borderId="15" xfId="41" applyBorder="1">
      <alignment horizontal="left" vertical="center"/>
    </xf>
    <xf numFmtId="0" fontId="6" fillId="2" borderId="16" xfId="41" applyBorder="1">
      <alignment horizontal="left" vertical="center"/>
    </xf>
    <xf numFmtId="3" fontId="6" fillId="2" borderId="1" xfId="24" applyNumberFormat="1">
      <alignment horizontal="center" vertical="center"/>
    </xf>
    <xf numFmtId="4" fontId="6" fillId="2" borderId="1" xfId="43">
      <alignment horizontal="center" vertical="center"/>
    </xf>
    <xf numFmtId="0" fontId="47" fillId="2" borderId="17" xfId="17" applyFont="1" applyBorder="1">
      <alignment horizontal="left" vertical="center" indent="1"/>
    </xf>
    <xf numFmtId="0" fontId="41" fillId="13" borderId="0" xfId="40" applyAlignment="1">
      <alignment horizontal="center" vertical="center" wrapText="1"/>
    </xf>
    <xf numFmtId="0" fontId="11" fillId="2" borderId="19" xfId="8" applyBorder="1">
      <alignment horizontal="left" vertical="center"/>
    </xf>
    <xf numFmtId="0" fontId="41" fillId="13" borderId="0" xfId="42" applyAlignment="1">
      <alignment horizontal="center" vertical="center"/>
      <protection locked="0"/>
    </xf>
    <xf numFmtId="0" fontId="20" fillId="15" borderId="0" xfId="44">
      <alignment horizontal="left" vertical="center" indent="1"/>
    </xf>
    <xf numFmtId="0" fontId="9" fillId="0" borderId="0" xfId="6" applyAlignment="1">
      <alignment vertical="center"/>
    </xf>
    <xf numFmtId="0" fontId="9" fillId="0" borderId="0" xfId="6" applyAlignment="1">
      <alignment vertical="center" wrapText="1"/>
    </xf>
    <xf numFmtId="0" fontId="0" fillId="0" borderId="0" xfId="1" applyFont="1" applyFill="1" applyAlignment="1">
      <alignment horizontal="center" vertical="center"/>
    </xf>
    <xf numFmtId="9" fontId="0" fillId="0" borderId="0" xfId="29" applyFont="1" applyBorder="1">
      <alignment horizontal="center" vertical="center"/>
    </xf>
    <xf numFmtId="9" fontId="0" fillId="0" borderId="1" xfId="29" applyFont="1">
      <alignment horizontal="center" vertical="center"/>
    </xf>
    <xf numFmtId="0" fontId="4" fillId="6" borderId="20" xfId="16" applyBorder="1">
      <alignment horizontal="center" vertical="center"/>
    </xf>
    <xf numFmtId="0" fontId="6" fillId="2" borderId="20" xfId="24" applyBorder="1">
      <alignment horizontal="center" vertical="center"/>
    </xf>
    <xf numFmtId="9" fontId="0" fillId="0" borderId="20" xfId="29" applyFont="1" applyBorder="1">
      <alignment horizontal="center" vertical="center"/>
    </xf>
    <xf numFmtId="0" fontId="50" fillId="2" borderId="0" xfId="45" applyAlignment="1">
      <alignment horizontal="left" vertical="center"/>
    </xf>
    <xf numFmtId="166" fontId="51" fillId="2" borderId="1" xfId="24" applyNumberFormat="1" applyFont="1">
      <alignment horizontal="center" vertical="center"/>
    </xf>
    <xf numFmtId="0" fontId="52" fillId="2" borderId="0" xfId="46">
      <alignment horizontal="left" vertical="center"/>
    </xf>
    <xf numFmtId="4" fontId="6" fillId="2" borderId="20" xfId="43" applyBorder="1">
      <alignment horizontal="center" vertical="center"/>
    </xf>
    <xf numFmtId="166" fontId="51" fillId="2" borderId="20" xfId="24" applyNumberFormat="1" applyFont="1" applyBorder="1">
      <alignment horizontal="center" vertical="center"/>
    </xf>
    <xf numFmtId="0" fontId="4" fillId="2" borderId="17" xfId="1" applyBorder="1">
      <alignment horizontal="left" vertical="center"/>
    </xf>
    <xf numFmtId="0" fontId="50" fillId="2" borderId="17" xfId="45" applyBorder="1" applyAlignment="1">
      <alignment horizontal="left" vertical="center"/>
    </xf>
    <xf numFmtId="0" fontId="6" fillId="2" borderId="21" xfId="24" applyBorder="1">
      <alignment horizontal="center" vertical="center"/>
    </xf>
    <xf numFmtId="0" fontId="6" fillId="2" borderId="22" xfId="24" applyBorder="1">
      <alignment horizontal="center" vertical="center"/>
    </xf>
    <xf numFmtId="4" fontId="6" fillId="2" borderId="21" xfId="43" applyBorder="1">
      <alignment horizontal="center" vertical="center"/>
    </xf>
    <xf numFmtId="4" fontId="6" fillId="2" borderId="23" xfId="43" applyBorder="1">
      <alignment horizontal="center" vertical="center"/>
    </xf>
    <xf numFmtId="166" fontId="51" fillId="2" borderId="23" xfId="24" applyNumberFormat="1" applyFont="1" applyBorder="1">
      <alignment horizontal="center" vertical="center"/>
    </xf>
    <xf numFmtId="166" fontId="51" fillId="2" borderId="21" xfId="24" applyNumberFormat="1" applyFont="1" applyBorder="1">
      <alignment horizontal="center" vertical="center"/>
    </xf>
    <xf numFmtId="0" fontId="6" fillId="2" borderId="23" xfId="24" applyBorder="1">
      <alignment horizontal="center" vertical="center"/>
    </xf>
    <xf numFmtId="0" fontId="51" fillId="2" borderId="23" xfId="24" applyFont="1" applyBorder="1">
      <alignment horizontal="center" vertical="center"/>
    </xf>
    <xf numFmtId="0" fontId="4" fillId="2" borderId="19" xfId="1" applyBorder="1">
      <alignment horizontal="left" vertical="center"/>
    </xf>
    <xf numFmtId="167" fontId="33" fillId="2" borderId="19" xfId="6" applyNumberFormat="1" applyFont="1" applyFill="1" applyBorder="1"/>
    <xf numFmtId="0" fontId="15" fillId="2" borderId="19" xfId="17" applyBorder="1">
      <alignment horizontal="left" vertical="center" indent="1"/>
    </xf>
    <xf numFmtId="168" fontId="33" fillId="2" borderId="0" xfId="6" applyNumberFormat="1" applyFont="1" applyFill="1" applyAlignment="1">
      <alignment vertical="center"/>
    </xf>
    <xf numFmtId="167" fontId="33" fillId="2" borderId="19" xfId="6" applyNumberFormat="1" applyFont="1" applyFill="1" applyBorder="1" applyAlignment="1">
      <alignment vertical="center"/>
    </xf>
    <xf numFmtId="0" fontId="33" fillId="2" borderId="0" xfId="6" applyFont="1" applyFill="1" applyAlignment="1">
      <alignment vertical="center"/>
    </xf>
    <xf numFmtId="167" fontId="53" fillId="2" borderId="19" xfId="6" applyNumberFormat="1" applyFont="1" applyFill="1" applyBorder="1" applyAlignment="1">
      <alignment vertical="center"/>
    </xf>
    <xf numFmtId="168" fontId="51" fillId="2" borderId="1" xfId="43" applyNumberFormat="1" applyFont="1">
      <alignment horizontal="center" vertical="center"/>
    </xf>
    <xf numFmtId="168" fontId="51" fillId="2" borderId="20" xfId="43" applyNumberFormat="1" applyFont="1" applyBorder="1">
      <alignment horizontal="center" vertical="center"/>
    </xf>
    <xf numFmtId="168" fontId="51" fillId="2" borderId="23" xfId="43" applyNumberFormat="1" applyFont="1" applyBorder="1">
      <alignment horizontal="center" vertical="center"/>
    </xf>
    <xf numFmtId="0" fontId="54" fillId="0" borderId="0" xfId="6" applyFont="1" applyAlignment="1">
      <alignment vertical="center" wrapText="1"/>
    </xf>
    <xf numFmtId="0" fontId="55" fillId="0" borderId="0" xfId="6" applyFont="1" applyAlignment="1">
      <alignment horizontal="left" vertical="center"/>
    </xf>
    <xf numFmtId="0" fontId="55" fillId="0" borderId="0" xfId="8" applyFont="1" applyFill="1">
      <alignment horizontal="left" vertical="center"/>
    </xf>
    <xf numFmtId="0" fontId="54" fillId="0" borderId="0" xfId="6" applyFont="1" applyAlignment="1">
      <alignment vertical="center"/>
    </xf>
    <xf numFmtId="0" fontId="54"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4" fillId="2" borderId="0" xfId="6" applyFont="1" applyFill="1" applyAlignment="1">
      <alignment horizontal="left" vertical="center"/>
    </xf>
    <xf numFmtId="0" fontId="28" fillId="2" borderId="0" xfId="8" applyFont="1" applyAlignment="1">
      <alignment horizontal="right" vertical="center"/>
    </xf>
    <xf numFmtId="0" fontId="56" fillId="2" borderId="0" xfId="6" applyFont="1" applyFill="1"/>
    <xf numFmtId="0" fontId="54" fillId="0" borderId="0" xfId="6" applyFont="1"/>
    <xf numFmtId="0" fontId="54" fillId="0" borderId="0" xfId="1" applyFont="1" applyFill="1">
      <alignment horizontal="left" vertical="center"/>
    </xf>
    <xf numFmtId="0" fontId="54" fillId="2" borderId="0" xfId="6" applyFont="1" applyFill="1"/>
    <xf numFmtId="0" fontId="54" fillId="2" borderId="0" xfId="1" applyFont="1">
      <alignment horizontal="left" vertical="center"/>
    </xf>
    <xf numFmtId="0" fontId="57" fillId="5" borderId="0" xfId="13" applyFont="1" applyFill="1"/>
    <xf numFmtId="0" fontId="11" fillId="5" borderId="0" xfId="8" applyFill="1">
      <alignment horizontal="left" vertical="center"/>
    </xf>
    <xf numFmtId="0" fontId="9" fillId="5" borderId="0" xfId="6" applyFill="1"/>
    <xf numFmtId="0" fontId="10" fillId="16" borderId="0" xfId="15" applyFill="1">
      <alignment vertical="center"/>
    </xf>
    <xf numFmtId="0" fontId="20" fillId="16" borderId="0" xfId="47">
      <alignment horizontal="left" vertical="center" indent="1"/>
    </xf>
    <xf numFmtId="0" fontId="58" fillId="8" borderId="7" xfId="21"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9" fillId="2" borderId="0" xfId="48">
      <alignment vertical="center"/>
    </xf>
    <xf numFmtId="0" fontId="13" fillId="0" borderId="0" xfId="10" applyFill="1">
      <alignment vertical="center"/>
    </xf>
    <xf numFmtId="0" fontId="11" fillId="0" borderId="0" xfId="8" applyFill="1">
      <alignment horizontal="left" vertical="center"/>
    </xf>
    <xf numFmtId="0" fontId="22" fillId="8" borderId="25" xfId="21" applyBorder="1">
      <alignment horizontal="left" vertical="center"/>
    </xf>
    <xf numFmtId="0" fontId="22" fillId="8" borderId="26" xfId="21" applyBorder="1">
      <alignment horizontal="left" vertical="center"/>
    </xf>
    <xf numFmtId="0" fontId="22" fillId="8" borderId="27" xfId="21" applyBorder="1">
      <alignment horizontal="left" vertical="center"/>
    </xf>
    <xf numFmtId="0" fontId="22" fillId="8" borderId="28" xfId="21" applyBorder="1">
      <alignment horizontal="left" vertical="center"/>
    </xf>
    <xf numFmtId="0" fontId="60" fillId="0" borderId="0" xfId="17" applyFont="1" applyFill="1" applyAlignment="1">
      <alignment horizontal="left" vertical="center"/>
    </xf>
    <xf numFmtId="0" fontId="5" fillId="0" borderId="0" xfId="1" applyFont="1" applyFill="1">
      <alignment horizontal="left" vertical="center"/>
    </xf>
    <xf numFmtId="0" fontId="58" fillId="8" borderId="4" xfId="21" applyFont="1" applyBorder="1">
      <alignment horizontal="left" vertical="center"/>
    </xf>
    <xf numFmtId="4" fontId="5" fillId="2" borderId="0" xfId="23" applyFill="1" applyBorder="1">
      <alignment horizontal="center" vertical="center"/>
    </xf>
    <xf numFmtId="0" fontId="31" fillId="2" borderId="0" xfId="31" applyFill="1">
      <alignment horizontal="center" vertical="center"/>
      <protection locked="0"/>
    </xf>
    <xf numFmtId="0" fontId="26" fillId="0" borderId="0" xfId="6" applyFont="1" applyAlignment="1" applyProtection="1">
      <alignment horizontal="center" vertical="center"/>
      <protection locked="0"/>
    </xf>
    <xf numFmtId="4" fontId="61" fillId="0" borderId="0" xfId="23" applyFont="1" applyBorder="1">
      <alignment horizontal="center" vertical="center"/>
    </xf>
    <xf numFmtId="169" fontId="62" fillId="2" borderId="0" xfId="49" applyBorder="1">
      <alignment horizontal="center" vertical="center"/>
    </xf>
    <xf numFmtId="4" fontId="61" fillId="2" borderId="0" xfId="23" applyFont="1" applyFill="1" applyBorder="1">
      <alignment horizontal="center" vertical="center"/>
    </xf>
    <xf numFmtId="0" fontId="61" fillId="2" borderId="0" xfId="17" applyFont="1" applyAlignment="1">
      <alignment horizontal="center" vertical="center"/>
    </xf>
    <xf numFmtId="0" fontId="61" fillId="2" borderId="0" xfId="8" applyFont="1" applyAlignment="1">
      <alignment horizontal="center" vertical="center"/>
    </xf>
    <xf numFmtId="165" fontId="61" fillId="2" borderId="0" xfId="8" applyNumberFormat="1" applyFont="1" applyAlignment="1">
      <alignment horizontal="center" vertical="center"/>
    </xf>
    <xf numFmtId="9" fontId="61" fillId="2" borderId="0" xfId="28"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1" fillId="2" borderId="0" xfId="6" applyFont="1" applyFill="1"/>
    <xf numFmtId="0" fontId="61" fillId="0" borderId="0" xfId="6" applyFont="1"/>
    <xf numFmtId="0" fontId="63" fillId="2" borderId="0" xfId="1" applyFont="1" applyAlignment="1">
      <alignment horizontal="center" vertical="center"/>
    </xf>
    <xf numFmtId="0" fontId="64" fillId="2" borderId="0" xfId="1" applyFont="1" applyAlignment="1">
      <alignment horizontal="center" vertical="center"/>
    </xf>
    <xf numFmtId="165" fontId="64" fillId="2" borderId="0" xfId="1" applyNumberFormat="1" applyFont="1" applyAlignment="1">
      <alignment horizontal="center" vertical="center"/>
    </xf>
    <xf numFmtId="0" fontId="64" fillId="2" borderId="0" xfId="6" applyFont="1" applyFill="1" applyAlignment="1">
      <alignment horizontal="center" vertical="center"/>
    </xf>
    <xf numFmtId="0" fontId="65" fillId="2" borderId="0" xfId="6" applyFont="1" applyFill="1" applyAlignment="1">
      <alignment horizontal="center" vertical="center"/>
    </xf>
    <xf numFmtId="0" fontId="65" fillId="2" borderId="0" xfId="6" applyFont="1" applyFill="1" applyAlignment="1">
      <alignment horizontal="left" vertical="center"/>
    </xf>
    <xf numFmtId="14" fontId="4" fillId="2" borderId="0" xfId="1" applyNumberFormat="1">
      <alignment horizontal="left" vertical="center"/>
    </xf>
    <xf numFmtId="0" fontId="22" fillId="8" borderId="3" xfId="21">
      <alignment horizontal="left" vertical="center"/>
    </xf>
    <xf numFmtId="0" fontId="66" fillId="2" borderId="0" xfId="50" applyFill="1" applyBorder="1"/>
    <xf numFmtId="165" fontId="5" fillId="2" borderId="0" xfId="51" applyNumberFormat="1" applyFill="1" applyBorder="1">
      <alignment horizontal="center" vertical="center"/>
    </xf>
    <xf numFmtId="170" fontId="4" fillId="2" borderId="0" xfId="26" applyNumberFormat="1" applyFont="1" applyFill="1" applyBorder="1" applyAlignment="1">
      <alignment horizontal="center" vertical="center"/>
    </xf>
    <xf numFmtId="0" fontId="0" fillId="2" borderId="0" xfId="1" applyFont="1">
      <alignment horizontal="left" vertical="center"/>
    </xf>
    <xf numFmtId="0" fontId="67" fillId="2" borderId="0" xfId="6" applyFont="1" applyFill="1"/>
    <xf numFmtId="0" fontId="68" fillId="5" borderId="2" xfId="18" applyFont="1">
      <alignment horizontal="left" vertical="center" indent="1"/>
    </xf>
  </cellXfs>
  <cellStyles count="52">
    <cellStyle name="Alert" xfId="30" xr:uid="{D9860AB2-ED5A-4704-B14F-0D5F69790AA0}"/>
    <cellStyle name="Arguments" xfId="41" xr:uid="{534FD34A-A05A-410A-BD3F-359718E7BCE8}"/>
    <cellStyle name="Arguments hyperlink" xfId="37" xr:uid="{1E96EF01-F5EA-4EB1-A1CE-3FBFE50D1CF3}"/>
    <cellStyle name="Back to top link" xfId="32" xr:uid="{EE65FD89-44E6-4B92-9D5B-40F4F679BF50}"/>
    <cellStyle name="Block heading" xfId="9" xr:uid="{6065A2C3-09F5-4515-87ED-A07ECE03B60A}"/>
    <cellStyle name="Block subheading" xfId="22" xr:uid="{BF00B716-0FE4-4B92-91DC-BAEC3933F310}"/>
    <cellStyle name="Code" xfId="33" xr:uid="{5BD82FAD-7C28-4759-B53C-0C1321AB46A7}"/>
    <cellStyle name="Comma 2" xfId="26" xr:uid="{B748C139-F7FA-445C-813A-6CB0890AA96E}"/>
    <cellStyle name="Content bold" xfId="1" xr:uid="{90EECC7A-90CF-4913-9525-0D57B2C3C25A}"/>
    <cellStyle name="Content hidden" xfId="46" xr:uid="{1D7E7FC3-C0DA-40B1-96C9-430AAE9833F8}"/>
    <cellStyle name="Content normal" xfId="8" xr:uid="{7064D260-35DF-4E40-B005-5927849D5F2D}"/>
    <cellStyle name="Equation column header" xfId="40" xr:uid="{98778C7F-77DC-4631-8D4E-7E86E1DD1AD1}"/>
    <cellStyle name="Equation source" xfId="10" xr:uid="{A6980CD5-F033-4A4E-A310-20CA2DBA147C}"/>
    <cellStyle name="Equation table header" xfId="42" xr:uid="{A729BA86-6D6F-4360-B1AD-913B80D50FDC}"/>
    <cellStyle name="Hyperlink" xfId="50" builtinId="8"/>
    <cellStyle name="Information tip" xfId="21" xr:uid="{A6BABC4C-035D-425D-B2BF-5AA6ADCD4671}"/>
    <cellStyle name="Information variation" xfId="11" xr:uid="{3DFDDBB8-017E-4A9E-BD36-920C2DA5EB07}"/>
    <cellStyle name="Input block subheading" xfId="48" xr:uid="{262A19CD-4320-406B-9FC5-5578281988B0}"/>
    <cellStyle name="Input date" xfId="2" xr:uid="{2CBAF3EB-BBB3-44B0-B98B-27C0B711C4C8}"/>
    <cellStyle name="Input number 2 decimal places" xfId="23" xr:uid="{878828E8-A234-4746-A559-2F5FC0837EF1}"/>
    <cellStyle name="Input number 2 decimal places calculated" xfId="43" xr:uid="{CD72F6A9-8861-41F1-AF04-284CB5C877E6}"/>
    <cellStyle name="Input number general" xfId="20" xr:uid="{F89A40A8-BC3A-49C9-B38A-EB748B9B2153}"/>
    <cellStyle name="Input number general calculated" xfId="24" xr:uid="{DFC70155-DA81-4B77-89B1-98803ADDB1D1}"/>
    <cellStyle name="Input number no decimals" xfId="51" xr:uid="{0496C7A0-0313-4359-900D-AFC1733351B4}"/>
    <cellStyle name="Input number no decimals calculated" xfId="3" xr:uid="{3E2DE6DD-181A-4A3F-B39E-0927DF0A1DA2}"/>
    <cellStyle name="Input page heading" xfId="13" xr:uid="{4EF1CF71-DFB0-4735-95DD-E3BE30FCA95A}"/>
    <cellStyle name="Input page section heading" xfId="15" xr:uid="{F24CB5B3-2CF8-41A5-BBB9-30BD66660423}"/>
    <cellStyle name="Input percent" xfId="29" xr:uid="{F9A57ACF-003A-46E9-B12C-AA79D4350CBD}"/>
    <cellStyle name="Input select" xfId="16" xr:uid="{60EC020A-B40D-4BAF-9E03-8B6AD25BA836}"/>
    <cellStyle name="Input table column header" xfId="31" xr:uid="{01E2DCC7-D9D2-4606-9353-084DFB567188}"/>
    <cellStyle name="Input text" xfId="27" xr:uid="{7479156E-10A5-43F9-A5A1-8312B0E108F1}"/>
    <cellStyle name="Input text calculated" xfId="45" xr:uid="{BFA53F33-9351-448C-B1BB-AE17AECCFAC1}"/>
    <cellStyle name="Menu link default" xfId="14" xr:uid="{890FE801-BF22-4390-BD48-0C7FA7674A58}"/>
    <cellStyle name="Menu link selected" xfId="44" xr:uid="{7750DB80-A49D-428F-97BB-AA79F8405825}"/>
    <cellStyle name="Menu link selected equations" xfId="34" xr:uid="{9812DD27-D080-4723-A4B7-BDAB59732B4D}"/>
    <cellStyle name="Menu link selected input" xfId="19" xr:uid="{D77CE988-B672-4D09-97AA-334897E77AB2}"/>
    <cellStyle name="Menu link selected results" xfId="47" xr:uid="{067C4FDA-5867-4523-8EDC-9DEA3E54E67C}"/>
    <cellStyle name="Menu section title" xfId="18" xr:uid="{4CCAFA3F-FE60-46DA-AA4F-8843ADF3FFFA}"/>
    <cellStyle name="Normal" xfId="0" builtinId="0"/>
    <cellStyle name="Normal 2" xfId="6" xr:uid="{EE6542E1-CDF9-4701-B44A-AABE5F401092}"/>
    <cellStyle name="Normal 5" xfId="25" xr:uid="{AE9C5799-8CE6-4B9C-84C7-29258DDE59C8}"/>
    <cellStyle name="Number display decimal total" xfId="49" xr:uid="{F529C9A2-56D7-41E3-A13D-4E10F13119BB}"/>
    <cellStyle name="Page heading" xfId="4" xr:uid="{5606267B-8272-44F0-B060-3CC8D7791322}"/>
    <cellStyle name="Page section heading" xfId="7" xr:uid="{0C5541E1-B1FC-4A0E-9019-EAF0F6D84C6B}"/>
    <cellStyle name="Page source" xfId="5" xr:uid="{BDB1E337-77B0-445D-A39B-72CE8D02F2A9}"/>
    <cellStyle name="Percent 2" xfId="28" xr:uid="{DD73DD17-29F7-4D12-AAF6-8BDD1DDA17EF}"/>
    <cellStyle name="Table description" xfId="39" xr:uid="{FDF46CBF-09D0-4A39-8E2D-C25B5D462F66}"/>
    <cellStyle name="Table name" xfId="38" xr:uid="{F0F85731-C48E-4514-9CA7-807C2B3D014D}"/>
    <cellStyle name="Unit" xfId="17" xr:uid="{B32CCEC4-054F-4CC7-8BBC-F2687C8287F6}"/>
    <cellStyle name="Unit no indent" xfId="12" xr:uid="{1E2A3F46-D52F-45EA-B250-19AA59D3DC20}"/>
    <cellStyle name="Variable type input" xfId="35" xr:uid="{C2D24705-0650-4BAD-B66B-09BE8FB4B36A}"/>
    <cellStyle name="Variable type other" xfId="36" xr:uid="{B8E5BFAD-0F45-4C48-8A33-FA6201942630}"/>
  </cellStyles>
  <dxfs count="279">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s>
  <tableStyles count="2" defaultTableStyle="TableStyleMedium2" defaultPivotStyle="PivotStyleLight16">
    <tableStyle name="Editable table" pivot="0" count="6" xr9:uid="{E49689D3-DDB7-4860-A7A4-91BE10046A12}">
      <tableStyleElement type="wholeTable" dxfId="236"/>
      <tableStyleElement type="headerRow" dxfId="235"/>
      <tableStyleElement type="totalRow" dxfId="234"/>
      <tableStyleElement type="firstColumn" dxfId="233"/>
      <tableStyleElement type="firstRowStripe" dxfId="232"/>
      <tableStyleElement type="secondRowStripe" dxfId="231"/>
    </tableStyle>
    <tableStyle name="Equation table" pivot="0" count="6" xr9:uid="{F81B4736-567E-441A-AD84-F5C27A32236A}">
      <tableStyleElement type="wholeTable" dxfId="278"/>
      <tableStyleElement type="headerRow" dxfId="277"/>
      <tableStyleElement type="totalRow" dxfId="276"/>
      <tableStyleElement type="firstColumn" dxfId="275"/>
      <tableStyleElement type="firstRowStripe" dxfId="274"/>
      <tableStyleElement type="secondRowStripe" dxfId="27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22/10/relationships/richValueRel" Target="richData/richValueRel.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RichValueStructure" Target="richData/rdrichvaluestructure.xml"/><Relationship Id="rId30" Type="http://schemas.openxmlformats.org/officeDocument/2006/relationships/customXml" Target="../customXml/item1.xml"/><Relationship Id="rId8" Type="http://schemas.openxmlformats.org/officeDocument/2006/relationships/worksheet" Target="worksheets/sheet8.xml"/></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072DBE5-3660-4701-AAA6-A3355681EB9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7072DBE5-3660-4701-AAA6-A3355681EB9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3D3BA8A-7362-4A73-848D-EBCC7F72552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53D3BA8A-7362-4A73-848D-EBCC7F72552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E23F7EC8-7504-44DF-9284-6E65BFA2AA87}"/>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E23F7EC8-7504-44DF-9284-6E65BFA2AA87}"/>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8D58329A-2138-4251-85D7-677C3DCD5DBF}"/>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8D58329A-2138-4251-85D7-677C3DCD5DBF}"/>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C1F100F5-CD92-4C5A-8CBF-63D300B5D5AC}"/>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C1F100F5-CD92-4C5A-8CBF-63D300B5D5AC}"/>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3892A682-C218-46CE-8643-9DE183C02C81}"/>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3892A682-C218-46CE-8643-9DE183C02C81}"/>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CEF405CE-7522-4B81-87DC-22E5DCA77161}"/>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CEF405CE-7522-4B81-87DC-22E5DCA77161}"/>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B68EFD2-3C32-4F4B-A520-7AF7BFFE934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3B68EFD2-3C32-4F4B-A520-7AF7BFFE934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6A3B292-B09D-4FC7-A096-C72878A3149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96A3B292-B09D-4FC7-A096-C72878A3149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19C577D-83B3-434A-9BF6-D2F9AB47465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719C577D-83B3-434A-9BF6-D2F9AB47465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AC1ADE2F-F266-48FA-B99A-4F5E34FAA368}"/>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AC1ADE2F-F266-48FA-B99A-4F5E34FAA368}"/>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E75CB9E-A92B-4443-BA38-49CE87F4023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9E75CB9E-A92B-4443-BA38-49CE87F4023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CBA94FB-E2DD-4F33-BB59-FE73A87EEC4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ACBA94FB-E2DD-4F33-BB59-FE73A87EEC4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9E34419-9CAC-441D-894A-DD9F62B56D9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C9E34419-9CAC-441D-894A-DD9F62B56D9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9FE285D5-D1F3-48AF-9FDD-34CB61332B8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9FE285D5-D1F3-48AF-9FDD-34CB61332B8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BD8B0EC0-6913-4937-8491-3E0B9EE5925D}"/>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BD8B0EC0-6913-4937-8491-3E0B9EE5925D}"/>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E5FE023-8FD5-4A7C-9E13-A39190B117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6E5FE023-8FD5-4A7C-9E13-A39190B117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B57A3E4-7205-4A30-8020-985C179C0D5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2B57A3E4-7205-4A30-8020-985C179C0D5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E9AEC240-7DAE-4AC8-ABF2-AA376CA9FCC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E9AEC240-7DAE-4AC8-ABF2-AA376CA9FCC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5E848980-B2B4-4FFA-B3A2-BC1744167D0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5E848980-B2B4-4FFA-B3A2-BC1744167D0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09C4F66C-879E-4655-B1C9-EA1BBBBDFF9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09C4F66C-879E-4655-B1C9-EA1BBBBDFF9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55A7B92F-CB9E-4ABF-8DE8-2F98B63A39D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55A7B92F-CB9E-4ABF-8DE8-2F98B63A39D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E19AB64-8C8D-49B0-9DCE-9813044634D9}"/>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4E19AB64-8C8D-49B0-9DCE-9813044634D9}"/>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71D2AB03-1A6E-4AEC-9EFE-BF2FE271F394}"/>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71D2AB03-1A6E-4AEC-9EFE-BF2FE271F394}"/>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3C77A2D0-B16A-46DA-8C75-5F14BEF54F6E}"/>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0DB4F5EF-FF97-4172-BB03-62B3B176F97C}"/>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B3B3E413-9AC9-42AB-8881-747B93CDC295}"/>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14702348-D162-4059-94CF-4CD2B5F65CFB}"/>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980D339-B18E-489B-B1FC-2215647BD893}"/>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1053B8C0-9104-4FB1-8BAA-948E3266552E}"/>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62DA81A4-2264-461D-A927-A24CA07C632B}"/>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1F024FE2-5BF7-491F-A506-05CF92CF215D}"/>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8231A6F1-80EE-4028-A3AC-28C47BD5EF91}"/>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51815760-8AEC-42F2-ACC7-C1E104DD9D93}"/>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B8EA3E82-9095-44E8-963D-6EC0106CEF38}"/>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F32FE35E-E253-4AE8-8B4A-B1DF86186F3C}"/>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1EBAE369-DEFE-4900-90A4-ADC02D5AB182}"/>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E4562A9F-564D-4671-A5B0-C2BF933494CB}"/>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19BF9794-387A-4E9C-964F-FDCE72ACADDD}"/>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77102005-D8C2-4379-A5D5-A8C3A8B449C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1C9D66E7-A675-45DB-A2F6-571F0679429A}"/>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FDE11FA3-5D94-4AFD-B410-E8BBCCCFFD6C}"/>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9717ED97-16AE-4849-B959-6364189555DB}"/>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5536C2D4-02AB-4F41-B56E-078EEB05D443}"/>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E97C4D7B-6CD1-4071-83F3-EFD78B6842E6}"/>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1CC8B956-8508-4133-8CF0-28FD899D74E0}"/>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10B45A05-7A5F-4147-9046-0412C392C0C0}"/>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D556DF9C-97F6-413D-8E0C-0FB7F8724D75}"/>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F8F03EC9-D2EE-4553-B566-78ECB319F82E}"/>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B516CB77-369E-4B43-ABE1-146D7BAC8E89}"/>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3A72EB5B-B5DF-4841-9CE9-A5C099D0A870}"/>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DD1D09EF-5561-4988-BB0A-D1D4CCA44E02}"/>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CB3812DF-C4F5-44E8-8F05-AB40B2843D7F}"/>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CDD674F9-EB02-4A2F-B77C-9A4F78958CC3}"/>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AF8EB7DF-942E-4EFD-95AA-7DFABCCD9553}"/>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A507324E-26BC-407A-9319-76BA983FCB9E}"/>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A3309D89-C2A3-4B1F-A7EB-799C05E2FB49}"/>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A630FFFC-02AC-4D0D-BAB5-B22DD83B1C97}"/>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A7F4E6CF-8A0B-483C-8389-10B634AE41A9}"/>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891B0F7A-1C9E-4979-BEC6-D0C0B3E8A3DC}"/>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443F9B46-AD6B-47DD-8078-707815613D35}"/>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row r="21">
          <cell r="E21" t="str">
            <v>Western Australia</v>
          </cell>
        </row>
      </sheetData>
      <sheetData sheetId="4"/>
      <sheetData sheetId="5"/>
      <sheetData sheetId="6"/>
      <sheetData sheetId="7"/>
      <sheetData sheetId="8"/>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7E9F4B-6E4E-4854-9059-6424897755D6}" name="Table_Input_InorganicFertiliser_Brands" displayName="Table_Input_InorganicFertiliser_Brands" ref="D17:X22" headerRowDxfId="202" dataDxfId="201" totalsRowDxfId="200">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506476A5-2325-437D-BB26-9ABA18EF2428}" name="Product (select)" dataDxfId="198" totalsRowDxfId="199" dataCellStyle="Input select"/>
    <tableColumn id="23" xr3:uid="{B50C6A8A-C724-4F2B-BC90-536CFC4DAE3C}" name="Amount applied per hectare" totalsRowFunction="custom" dataDxfId="196" totalsRowDxfId="197">
      <totalsRowFormula>SUM(Table_Input_InorganicFertiliser_Brands[[#Headers],[#Data],[Amount applied per hectare]])</totalsRowFormula>
    </tableColumn>
    <tableColumn id="12" xr3:uid="{CFAFF2AB-72C9-4544-A8DD-644EF523CD8E}" name="Application unit" dataDxfId="194" totalsRowDxfId="195" dataCellStyle="Input number 2 decimal places"/>
    <tableColumn id="9" xr3:uid="{1AAA8B36-3D96-4A50-BF62-87C417371BE9}" name="Density" dataDxfId="192" totalsRowDxfId="193" dataCellStyle="Input number 2 decimal places"/>
    <tableColumn id="6" xr3:uid="{EDAE2DE5-19A6-42FD-9DC9-97F41BCDB23A}" name="Application area (ha)" dataDxfId="190" totalsRowDxfId="191">
      <calculatedColumnFormula>$E$9</calculatedColumnFormula>
    </tableColumn>
    <tableColumn id="1" xr3:uid="{4862DE02-0E00-41B2-B720-08CFC37F0666}" name="Total applied (kg)" dataDxfId="188" totalsRowDxfId="18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81FBB2D8-1385-41B0-B19D-9372937B7D2F}" name="Ingredient 1" dataDxfId="186" totalsRowDxfId="187" dataCellStyle="Input number general calculated"/>
    <tableColumn id="4" xr3:uid="{7D946543-E9D0-445F-B71F-406B50556C04}" name="Ingredient 1 percent" dataDxfId="184" totalsRowDxfId="185" dataCellStyle="Input number general calculated"/>
    <tableColumn id="7" xr3:uid="{0AB4AA61-47F7-46BD-A563-60ED21E0B7F9}" name="Ingredient 2" dataDxfId="183" dataCellStyle="Input number general calculated"/>
    <tableColumn id="8" xr3:uid="{80608211-929C-401E-8D04-CB13561AF7C3}" name="Ingredient 2 percent" dataDxfId="181" totalsRowDxfId="182" dataCellStyle="Input number general calculated"/>
    <tableColumn id="10" xr3:uid="{6CF4B0BF-759E-4276-8AF5-B6FA6F154C85}" name="Ingredient 3" dataDxfId="179" totalsRowDxfId="180" dataCellStyle="Input number general calculated"/>
    <tableColumn id="11" xr3:uid="{2B34A368-B993-48AF-A6AD-25B5276CC964}" name="Ingredient 3 percent" dataDxfId="177" totalsRowDxfId="178" dataCellStyle="Input number general calculated"/>
    <tableColumn id="13" xr3:uid="{0D7E72DF-02D1-4C7C-AE74-31C5582D3C08}" name="Ingredient 4" dataDxfId="175" totalsRowDxfId="176" dataCellStyle="Input number general calculated"/>
    <tableColumn id="14" xr3:uid="{EE0115B3-6E7F-4A2B-A0AC-AC79AE78A7BE}" name="Ingredient 4 percent" dataDxfId="174" dataCellStyle="Input number general calculated"/>
    <tableColumn id="16" xr3:uid="{BD1B9C10-8BD8-4ADD-981E-BC08DD90599D}" name="Ingredient 5" dataDxfId="173" dataCellStyle="Input number general calculated"/>
    <tableColumn id="17" xr3:uid="{E4C00515-881E-4BC0-A05A-7554BAACD0C5}" name="Ingredient 5 percent" dataDxfId="172" dataCellStyle="Input number general calculated"/>
    <tableColumn id="19" xr3:uid="{0B40BD6A-846A-4A82-9CC9-D8B2321C0A87}" name="Ingredient 6" dataDxfId="171" dataCellStyle="Input number general calculated"/>
    <tableColumn id="20" xr3:uid="{59E6D76A-9CD0-421E-9F65-058AEA7F1618}" name="Ingredient 6 percent" dataDxfId="170" dataCellStyle="Input number general calculated"/>
    <tableColumn id="5" xr3:uid="{203D31CF-A637-4F74-BB86-E688BC812A70}" name="N application rate (kg/ha)" dataDxfId="168" totalsRowDxfId="169" dataCellStyle="Input number general calculated"/>
    <tableColumn id="15" xr3:uid="{8FA30CD8-145A-4361-BA8C-2E46D5141BE6}" name="Urea source" dataDxfId="166" totalsRowDxfId="167" dataCellStyle="Input number general calculated"/>
    <tableColumn id="18" xr3:uid="{5D075700-1432-49D8-94E4-ACCB64D91E11}" name="Ammonia source" dataDxfId="164" totalsRowDxfId="165"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81BAC3A-C144-4336-BF27-30163833D213}" name="Table_Input_InorganicFertiliser_Custom" displayName="Table_Input_InorganicFertiliser_Custom" ref="D25:R28" totalsRowShown="0" headerRowDxfId="163" dataDxfId="162">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753B80AE-F7AC-45EC-AA03-5D538EECAEC1}" name="Custom blend name" dataCellStyle="Input text"/>
    <tableColumn id="2" xr3:uid="{BD53AF9D-7903-4DEA-86FA-9E349672FC4E}" name="Amount applied (kg / ha)" dataDxfId="161"/>
    <tableColumn id="3" xr3:uid="{F91169C5-51DC-4D4B-8D9C-0F7134D19BD4}" name="Application area (ha)" dataDxfId="160" dataCellStyle="Input number 2 decimal places">
      <calculatedColumnFormula>$E$9</calculatedColumnFormula>
    </tableColumn>
    <tableColumn id="4" xr3:uid="{801BE690-5DC6-49A0-8AD6-4233943C1B72}" name="Total applied (kg)" dataDxfId="159" dataCellStyle="Input number general calculated">
      <calculatedColumnFormula>Table_Input_InorganicFertiliser_Custom[[#This Row],[Amount applied (kg / ha)]]*Table_Input_InorganicFertiliser_Custom[[#This Row],[Application area (ha)]]</calculatedColumnFormula>
    </tableColumn>
    <tableColumn id="5" xr3:uid="{E039CCB5-BB4A-4F99-98A7-A20ACB8A18AD}" name="Ingredient 1 (select)" dataDxfId="158" dataCellStyle="Input select"/>
    <tableColumn id="6" xr3:uid="{6643A184-C759-4A69-8D8B-C84173E6BD82}" name="Ingredient 1 percent" dataDxfId="157"/>
    <tableColumn id="8" xr3:uid="{2A7893DF-5E7E-4BF9-996C-7C9C0D3B8EED}" name="Ingredient 2" dataDxfId="156" dataCellStyle="Input select"/>
    <tableColumn id="9" xr3:uid="{22ADB6CF-2E61-4A65-9A9A-49A34D6D0C8D}" name="Ingredient 2 percent" dataDxfId="155"/>
    <tableColumn id="11" xr3:uid="{2CF7CE3F-230B-4B8A-94F3-1ABC7BCC65DD}" name="Ingredient 3" dataDxfId="154" dataCellStyle="Input select"/>
    <tableColumn id="12" xr3:uid="{F131E3D0-B317-4B7A-9002-6F882BA40305}" name="Ingredient 3 percent" dataDxfId="153"/>
    <tableColumn id="14" xr3:uid="{EF2332AA-CC47-4389-9FA5-01A68D29A936}" name="Ingredient 4" dataDxfId="152" dataCellStyle="Input select"/>
    <tableColumn id="15" xr3:uid="{B2BE57CA-29E8-43B9-B7B1-D240FE8249E7}" name="Ingredient 4 percent" dataCellStyle="Input percent"/>
    <tableColumn id="7" xr3:uid="{65449C87-945B-4CC8-BA98-A752D9C46D7D}" name="N application rate (kg/ha)" dataDxfId="151" dataCellStyle="Input number general calculated"/>
    <tableColumn id="10" xr3:uid="{C189E257-9C7E-4725-8120-42345391A937}" name="Urea source (Select)" dataCellStyle="Input select"/>
    <tableColumn id="13" xr3:uid="{2632D3EC-47AE-461D-89B7-40EF11E51840}"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4308199-0EAC-476D-BEE3-67ABACBD19E1}" name="Table_Input_Lime" displayName="Table_Input_Lime" ref="D36:K39" totalsRowShown="0" headerRowDxfId="150" dataDxfId="149"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8ED511C-F5B8-4264-863C-2DEA66E64C73}" name="Product" dataDxfId="148"/>
    <tableColumn id="2" xr3:uid="{2F1CF634-DBCF-4418-B0E3-56F1BA240C2B}" name="Amount applied (t/hectare)" dataDxfId="147"/>
    <tableColumn id="4" xr3:uid="{E291A4F3-5F3B-4590-AB60-551E45B325D9}" name="Application area (ha)" dataDxfId="146">
      <calculatedColumnFormula>$E$9</calculatedColumnFormula>
    </tableColumn>
    <tableColumn id="3" xr3:uid="{7896FA8C-5EBA-4D28-94D1-84B7029E8826}" name="Total amount applied (t)" dataDxfId="145" dataCellStyle="Input number general calculated">
      <calculatedColumnFormula>IFERROR(Table_Input_Lime[[#This Row],[Amount applied (t/hectare)]]*Table_Input_Lime[[#This Row],[Application area (ha)]], 0)</calculatedColumnFormula>
    </tableColumn>
    <tableColumn id="6" xr3:uid="{86BBB180-7532-4B07-9182-2CE128987D70}" name="Percent Lime CaCO3" dataDxfId="144"/>
    <tableColumn id="8" xr3:uid="{DF91BD8F-8A22-480F-890B-B51F83110658}" name="Percent Dolomite CaMg(CO3)2" dataDxfId="143"/>
    <tableColumn id="7" xr3:uid="{83E6BC33-DE70-487B-A833-131A746CEB36}" name="Percent Gypsum" dataDxfId="142"/>
    <tableColumn id="10" xr3:uid="{8D872DD7-80ED-40B3-A606-AE32846D3CBE}" name="Total" dataDxfId="141"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087F9E4-6FA1-4A1D-B0F7-851339441DAA}" name="Table_Input_OrganicFertiliser" displayName="Table_Input_OrganicFertiliser" ref="D47:J50" totalsRowShown="0" headerRowDxfId="140" dataDxfId="139"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D495ECA-0562-4C76-8668-455C8C769581}" name="Organic fertiliser type (select)" dataDxfId="138" dataCellStyle="Input select"/>
    <tableColumn id="5" xr3:uid="{2CDEA1FB-B6F0-46AC-936C-BAA86F4F3E83}" name="Percentage of N in fertiliser" dataDxfId="137"/>
    <tableColumn id="2" xr3:uid="{033563E2-F313-475E-B5D5-702F832785AE}" name="Amount applied (kg/hectare)" dataDxfId="136"/>
    <tableColumn id="11" xr3:uid="{6AA4CBA7-8B77-4F33-9195-6133C61FEA0F}" name="Amount N applied (kg/hectare)" dataDxfId="135" dataCellStyle="Input number general calculated">
      <calculatedColumnFormula>Table_Input_OrganicFertiliser[[#This Row],[Amount applied (kg/hectare)]]*Table_Input_OrganicFertiliser[[#This Row],[Percentage of N in fertiliser]]</calculatedColumnFormula>
    </tableColumn>
    <tableColumn id="4" xr3:uid="{2F781BF5-78E7-4B81-98D8-68D3F39C9C7C}" name="Application area (ha)" dataDxfId="134">
      <calculatedColumnFormula>$E$9</calculatedColumnFormula>
    </tableColumn>
    <tableColumn id="7" xr3:uid="{6CB5CD7C-144A-4E76-A44B-12D5C539F46E}" name="Total organic fertliser applied" dataDxfId="133" dataCellStyle="Input number general calculated">
      <calculatedColumnFormula>Table_Input_OrganicFertiliser[[#This Row],[Amount applied (kg/hectare)]]*Table_Input_OrganicFertiliser[[#This Row],[Application area (ha)]]</calculatedColumnFormula>
    </tableColumn>
    <tableColumn id="3" xr3:uid="{E3F5B5B3-6B3E-4143-A580-C5CDE2812B40}" name="Total nitrogen applied (kg)" dataDxfId="13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D86C3F7-9C7D-41FA-8CAC-26D3B5BBE087}" name="Table_Input_Fuel" displayName="Table_Input_Fuel" ref="D16:J21" totalsRowDxfId="57"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428AF874-8F68-4AD2-8872-D3D199504474}" name="Fuel use (select)" totalsRowFunction="average" totalsRowDxfId="56" dataCellStyle="Input select" totalsRowCellStyle="Input select"/>
    <tableColumn id="3" xr3:uid="{73E79EDF-5660-4CF9-9A42-13B79F9FE09B}" name="Fuel type (select)" totalsRowDxfId="55" dataCellStyle="Input select" totalsRowCellStyle="Input select"/>
    <tableColumn id="4" xr3:uid="{7DEDDC01-6D37-42BC-A86A-738343421A95}" name="Amount purchased" totalsRowDxfId="54" totalsRowCellStyle="Content bold"/>
    <tableColumn id="6" xr3:uid="{FBF0929F-BD1B-46DD-83B3-05797CD440D6}" name="Amount unit" totalsRowDxfId="53" dataCellStyle="Input number general calculated"/>
    <tableColumn id="5" xr3:uid="{F53D468F-1D41-4C5D-8955-082DB48BB351}" name="Percent consumed" totalsRowDxfId="52" totalsRowCellStyle="Input percent">
      <calculatedColumnFormula>1</calculatedColumnFormula>
    </tableColumn>
    <tableColumn id="1" xr3:uid="{E42026A0-999F-405C-8366-F4C3498D12BD}" name="Amount consumed" totalsRowFunction="custom" totalsRowDxfId="51"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608B247A-A333-49DE-B29C-FFC2BDB20217}" name="Amount consumed unit" totalsRowDxfId="50"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C14F091-5082-44C7-8728-313B3EF2A89C}"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79C7138-0F31-4EC8-ADDD-206CA74ECCDB}"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2397EB7D-C8DB-41E2-A713-E8D0112CC4B5}" name="FNinorganic f">
      <calculatedColumnFormula array="1">Common_InputFunctions.Utility_DisplayArrayInTable(Fertiliser_SourceData.Fertiliser_ChemicalCompoundElements_Data(),Table_Fertiliser_ChemicalCompounds[[#Headers],[Fertiliser type f]], 0)</calculatedColumnFormula>
    </tableColumn>
    <tableColumn id="3" xr3:uid="{4A65CBDF-C972-4BE8-8A86-F9E49D7728C5}" name="FU f">
      <calculatedColumnFormula array="1">Common_InputFunctions.Utility_DisplayArrayInTable(Fertiliser_SourceData.Fertiliser_ChemicalCompoundElements_Data(),Table_Fertiliser_ChemicalCompounds[[#Headers],[Fertiliser type f]], 0)</calculatedColumnFormula>
    </tableColumn>
    <tableColumn id="4" xr3:uid="{E6507347-8FAB-497C-B7BF-AA6D56BBAA70}" name="Basis">
      <calculatedColumnFormula array="1">Common_InputFunctions.Utility_DisplayArrayInTable(Fertiliser_SourceData.Fertiliser_ChemicalCompoundElements_Data(),Table_Fertiliser_ChemicalCompounds[[#Headers],[Fertiliser type f]], 0)</calculatedColumnFormula>
    </tableColumn>
    <tableColumn id="5" xr3:uid="{20CDAE11-8DE6-4DF6-B266-B12C3A119AF7}"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3951600D-043B-4586-BDA2-FE592785DF7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21A8D83-1B44-4FD9-8A6F-3BCB947FB880}"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1AE20C21-7DCF-4844-B581-50B867A8B076}" name="Include or Exclude" dataDxfId="130" totalsRowDxfId="131">
      <calculatedColumnFormula array="1">Common_InputFunctions.Utility_DisplayArrayInTable(Fertiliser_SourceData.Fertiliser_Products_Data1(),FertiliserProducts[[#Headers],[Include or Exclude]], -1)</calculatedColumnFormula>
    </tableColumn>
    <tableColumn id="2" xr3:uid="{A12DF741-0C82-4D17-A187-DB0DDBA07669}" name="Notes" dataDxfId="128" totalsRowDxfId="129">
      <calculatedColumnFormula array="1">Common_InputFunctions.Utility_DisplayArrayInTable(Fertiliser_SourceData.Fertiliser_Products_Data1(),FertiliserProducts[[#Headers],[Include or Exclude]], 0)</calculatedColumnFormula>
    </tableColumn>
    <tableColumn id="3" xr3:uid="{06E63FEA-468C-4A48-8527-4985C3984294}" name="Company" dataDxfId="126" totalsRowDxfId="127">
      <calculatedColumnFormula array="1">Common_InputFunctions.Utility_DisplayArrayInTable(Fertiliser_SourceData.Fertiliser_Products_Data1(),FertiliserProducts[[#Headers],[Include or Exclude]], 0)</calculatedColumnFormula>
    </tableColumn>
    <tableColumn id="4" xr3:uid="{0DE08298-4C9B-4FAA-B57A-AC9BE288D168}" name="Product name" dataDxfId="124" totalsRowDxfId="125">
      <calculatedColumnFormula array="1">Common_InputFunctions.Utility_DisplayArrayInTable(Fertiliser_SourceData.Fertiliser_Products_Data1(),FertiliserProducts[[#Headers],[Include or Exclude]], 0)</calculatedColumnFormula>
    </tableColumn>
    <tableColumn id="5" xr3:uid="{BF3CDBD1-6394-4F96-8A0C-775455752FF2}" name="Unit" dataDxfId="122" totalsRowDxfId="123">
      <calculatedColumnFormula array="1">Common_InputFunctions.Utility_DisplayArrayInTable(Fertiliser_SourceData.Fertiliser_Products_Data1(),FertiliserProducts[[#Headers],[Include or Exclude]], 0,4)</calculatedColumnFormula>
    </tableColumn>
    <tableColumn id="6" xr3:uid="{E45CF023-FCCF-4B02-9CD0-CC03EFB4EB76}" name="Density / gravity" dataDxfId="120" totalsRowDxfId="121">
      <calculatedColumnFormula array="1">Common_InputFunctions.Utility_DisplayArrayInTable(Fertiliser_SourceData.Fertiliser_Products_Data1(),FertiliserProducts[[#Headers],[Include or Exclude]], 0,4)</calculatedColumnFormula>
    </tableColumn>
    <tableColumn id="7" xr3:uid="{E0E687FD-5FFB-4097-988A-CCC89026E4D5}" name="Urea source" dataDxfId="118" totalsRowDxfId="119">
      <calculatedColumnFormula array="1">Common_InputFunctions.Utility_DisplayArrayInTable(Fertiliser_SourceData.Fertiliser_Products_Data1(),FertiliserProducts[[#Headers],[Include or Exclude]], 0,4)</calculatedColumnFormula>
    </tableColumn>
    <tableColumn id="8" xr3:uid="{1A3C3200-19E0-4836-93D0-AFBC47809FF0}" name="Ammonia source" dataDxfId="116" totalsRowDxfId="117">
      <calculatedColumnFormula array="1">Common_InputFunctions.Utility_DisplayArrayInTable(Fertiliser_SourceData.Fertiliser_Products_Data1(),FertiliserProducts[[#Headers],[Include or Exclude]], 0,4)</calculatedColumnFormula>
    </tableColumn>
    <tableColumn id="9" xr3:uid="{34A68465-7099-4BE7-9B78-1CEC69ABF20F}" name="Ingredient 1" dataDxfId="114" totalsRowDxfId="115">
      <calculatedColumnFormula array="1">Common_InputFunctions.Utility_DisplayArrayInTable(Fertiliser_SourceData.Fertiliser_Products_Data1(),FertiliserProducts[[#Headers],[Include or Exclude]], 0,4)</calculatedColumnFormula>
    </tableColumn>
    <tableColumn id="10" xr3:uid="{1CCADAEA-2F68-4497-B20D-667B9ADB52F3}" name="Ingredient 1 percent" dataDxfId="112" totalsRowDxfId="113">
      <calculatedColumnFormula array="1">Common_InputFunctions.Utility_DisplayArrayInTable(Fertiliser_SourceData.Fertiliser_Products_Data1(),FertiliserProducts[[#Headers],[Include or Exclude]], 0,4)</calculatedColumnFormula>
    </tableColumn>
    <tableColumn id="11" xr3:uid="{C41408BA-CA53-4128-A071-DC98839D02AC}" name="Ingredient 2" dataDxfId="110" totalsRowDxfId="111">
      <calculatedColumnFormula array="1">Common_InputFunctions.Utility_DisplayArrayInTable(Fertiliser_SourceData.Fertiliser_Products_Data1(),FertiliserProducts[[#Headers],[Include or Exclude]], 0,4)</calculatedColumnFormula>
    </tableColumn>
    <tableColumn id="12" xr3:uid="{FDA85083-3286-44C4-B049-DDFB57278F7B}" name="Ingredient 2 percent" dataDxfId="108" totalsRowDxfId="109">
      <calculatedColumnFormula array="1">Common_InputFunctions.Utility_DisplayArrayInTable(Fertiliser_SourceData.Fertiliser_Products_Data1(),FertiliserProducts[[#Headers],[Include or Exclude]], 0,4)</calculatedColumnFormula>
    </tableColumn>
    <tableColumn id="13" xr3:uid="{578E180D-8C00-455F-A294-1A97F7A7DBC5}" name="Ingredient 3" dataDxfId="106" totalsRowDxfId="107">
      <calculatedColumnFormula array="1">Common_InputFunctions.Utility_DisplayArrayInTable(Fertiliser_SourceData.Fertiliser_Products_Data1(),FertiliserProducts[[#Headers],[Include or Exclude]], 0,4)</calculatedColumnFormula>
    </tableColumn>
    <tableColumn id="14" xr3:uid="{E66B55FA-5FD2-4D94-9A65-B699ABF4E0A8}" name="Ingredient 3 percent" dataDxfId="104" totalsRowDxfId="105">
      <calculatedColumnFormula array="1">Common_InputFunctions.Utility_DisplayArrayInTable(Fertiliser_SourceData.Fertiliser_Products_Data1(),FertiliserProducts[[#Headers],[Include or Exclude]], 0,4)</calculatedColumnFormula>
    </tableColumn>
    <tableColumn id="15" xr3:uid="{34202E4C-6CA6-40CD-AE1F-2B08D8CEB01F}" name="Ingredient 4" dataDxfId="102" totalsRowDxfId="103">
      <calculatedColumnFormula array="1">Common_InputFunctions.Utility_DisplayArrayInTable(Fertiliser_SourceData.Fertiliser_Products_Data1(),FertiliserProducts[[#Headers],[Include or Exclude]], 0,4)</calculatedColumnFormula>
    </tableColumn>
    <tableColumn id="16" xr3:uid="{89EA3E36-86F8-46B5-B5C2-E4FC7314BFEF}" name="Ingredient 4 percent" dataDxfId="100" totalsRowDxfId="101">
      <calculatedColumnFormula array="1">Common_InputFunctions.Utility_DisplayArrayInTable(Fertiliser_SourceData.Fertiliser_Products_Data1(),FertiliserProducts[[#Headers],[Include or Exclude]], 0,4)</calculatedColumnFormula>
    </tableColumn>
    <tableColumn id="17" xr3:uid="{7043CFB3-CDD2-4A2A-B524-37D47C02D738}" name="Ingredient 5" dataDxfId="98" totalsRowDxfId="99">
      <calculatedColumnFormula array="1">Common_InputFunctions.Utility_DisplayArrayInTable(Fertiliser_SourceData.Fertiliser_Products_Data1(),FertiliserProducts[[#Headers],[Include or Exclude]], 0,4)</calculatedColumnFormula>
    </tableColumn>
    <tableColumn id="18" xr3:uid="{A6AEE9A2-6D80-497F-B7C6-8775C02F32B6}" name="Ingredient 5 percent" dataDxfId="96" totalsRowDxfId="97">
      <calculatedColumnFormula array="1">Common_InputFunctions.Utility_DisplayArrayInTable(Fertiliser_SourceData.Fertiliser_Products_Data1(),FertiliserProducts[[#Headers],[Include or Exclude]], 0,4)</calculatedColumnFormula>
    </tableColumn>
    <tableColumn id="19" xr3:uid="{8F7A36D2-14C4-49BA-B2F3-1683B6CA980A}" name="Ingredient 6" dataDxfId="94" totalsRowDxfId="95">
      <calculatedColumnFormula array="1">Common_InputFunctions.Utility_DisplayArrayInTable(Fertiliser_SourceData.Fertiliser_Products_Data1(),FertiliserProducts[[#Headers],[Include or Exclude]], 0,4)</calculatedColumnFormula>
    </tableColumn>
    <tableColumn id="37" xr3:uid="{50BF00E8-F89E-4FB2-8436-C53FBC9F3DE2}" name="Ingredient 6 percent" dataDxfId="92" totalsRowDxfId="93">
      <calculatedColumnFormula array="1">Common_InputFunctions.Utility_DisplayArrayInTable(Fertiliser_SourceData.Fertiliser_Products_Data1(),FertiliserProducts[[#Headers],[Include or Exclude]], 0,4)</calculatedColumnFormula>
    </tableColumn>
    <tableColumn id="20" xr3:uid="{CF82B8A1-6673-4745-AA22-FB7785918A80}" name="Ingredient 7" dataDxfId="91">
      <calculatedColumnFormula array="1">Common_InputFunctions.Utility_DisplayArrayInTable(Fertiliser_SourceData.Fertiliser_Products_Data1(),FertiliserProducts[[#Headers],[Include or Exclude]], 0,4)</calculatedColumnFormula>
    </tableColumn>
    <tableColumn id="24" xr3:uid="{4CE05B51-96CE-4B1A-8572-3AB3340CECEB}" name="Ingredient 7 percent" dataDxfId="90">
      <calculatedColumnFormula array="1">Common_InputFunctions.Utility_DisplayArrayInTable(Fertiliser_SourceData.Fertiliser_Products_Data1(),FertiliserProducts[[#Headers],[Include or Exclude]], 0,4)</calculatedColumnFormula>
    </tableColumn>
    <tableColumn id="23" xr3:uid="{A3867533-38D0-4137-B132-58525B1C8C92}" name="Ingredient 8" dataDxfId="89">
      <calculatedColumnFormula array="1">Common_InputFunctions.Utility_DisplayArrayInTable(Fertiliser_SourceData.Fertiliser_Products_Data1(),FertiliserProducts[[#Headers],[Include or Exclude]], 0,4)</calculatedColumnFormula>
    </tableColumn>
    <tableColumn id="26" xr3:uid="{D5607C74-E608-4F7B-8A98-EF535B51FB1F}" name="Ingredient 8 percent" dataDxfId="88">
      <calculatedColumnFormula array="1">Common_InputFunctions.Utility_DisplayArrayInTable(Fertiliser_SourceData.Fertiliser_Products_Data1(),FertiliserProducts[[#Headers],[Include or Exclude]], 0,4)</calculatedColumnFormula>
    </tableColumn>
    <tableColumn id="25" xr3:uid="{A371A68F-E3EB-4D79-AA4C-4D533E9E6047}" name="Ingredient 9" dataDxfId="87">
      <calculatedColumnFormula array="1">Common_InputFunctions.Utility_DisplayArrayInTable(Fertiliser_SourceData.Fertiliser_Products_Data1(),FertiliserProducts[[#Headers],[Include or Exclude]], 0,4)</calculatedColumnFormula>
    </tableColumn>
    <tableColumn id="30" xr3:uid="{AEAFCCB1-22CA-4DFF-8818-FF5E21BA695A}" name="Ingredient 9 percent" dataDxfId="86">
      <calculatedColumnFormula array="1">Common_InputFunctions.Utility_DisplayArrayInTable(Fertiliser_SourceData.Fertiliser_Products_Data1(),FertiliserProducts[[#Headers],[Include or Exclude]], 0,4)</calculatedColumnFormula>
    </tableColumn>
    <tableColumn id="29" xr3:uid="{E5B32053-69B1-4015-BE41-5ABF9A187C68}" name="Imngredient 10" dataDxfId="85">
      <calculatedColumnFormula array="1">Common_InputFunctions.Utility_DisplayArrayInTable(Fertiliser_SourceData.Fertiliser_Products_Data1(),FertiliserProducts[[#Headers],[Include or Exclude]], 0,4)</calculatedColumnFormula>
    </tableColumn>
    <tableColumn id="28" xr3:uid="{9A11899D-0DAA-4F2F-BC42-B1B4161EF177}" name="Ingredient 10 percent" dataDxfId="8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A5127CF-40A0-4DFC-8B71-66DAF68250E2}"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0E78C9E1-2EFF-4E60-90FC-D8FB2802D060}" name="Fertiliser type f">
      <calculatedColumnFormula array="1">Common_InputFunctions.Utility_DisplayArrayInTable(Fertiliser_SourceData.Fertiliser_FracGASF_Data(), Table_SourceData_Fertiliser_FracGASF[[#Headers],[Fertiliser type f]], 0)</calculatedColumnFormula>
    </tableColumn>
    <tableColumn id="2" xr3:uid="{FD270D70-B64E-44B0-8AD7-9830827FB87F}" name="FracGASF f" dataDxfId="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F854DEA-5AF2-4BAB-9777-DBFF2D85A32E}" name="Table_SourceData_Fertiliser_CropProdSystems" displayName="Table_SourceData_Fertiliser_CropProdSystems" ref="D41:D43" totalsRowShown="0">
  <autoFilter ref="D41:D43" xr:uid="{24F3A11E-40F5-4BB9-BFF4-A71FA2ADA0EF}">
    <filterColumn colId="0" hiddenButton="1"/>
  </autoFilter>
  <tableColumns count="1">
    <tableColumn id="1" xr3:uid="{E9191692-CFEC-44E8-963A-22681F0797A6}"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3DBBC5-222E-4F41-A764-3DD57B82686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6DD27701-1141-4DDD-9973-6F439AD1EC15}"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EB7FFF4-79F8-4344-A22D-06D466BB4DD5}" name="Table_SourceData_Fertiliser_CropTypes" displayName="Table_SourceData_Fertiliser_CropTypes" ref="F41:F45" totalsRowShown="0">
  <autoFilter ref="F41:F45" xr:uid="{CB5044B5-FA3C-4AA2-B1AB-72F7E61D072F}">
    <filterColumn colId="0" hiddenButton="1"/>
  </autoFilter>
  <tableColumns count="1">
    <tableColumn id="1" xr3:uid="{202E17C2-2427-4FFE-8430-C88FAD7AE0E0}"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BD02688-B0DB-48C3-AA90-412953BFBDEE}" name="Table_SourceData_OrganicFertiliserTypes" displayName="Table_SourceData_OrganicFertiliserTypes" ref="J41:J46" totalsRowShown="0">
  <autoFilter ref="J41:J46" xr:uid="{B44627B1-537E-4ABC-92C3-57282CEE5B40}">
    <filterColumn colId="0" hiddenButton="1"/>
  </autoFilter>
  <tableColumns count="1">
    <tableColumn id="1" xr3:uid="{43A9CDA4-2738-43AC-9CA3-674B174D9CF9}"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FB94C56-C513-40D8-B5D4-39B69556426E}"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FD84FB26-24A3-4343-A669-C1D94DD902B5}" name="Element">
      <calculatedColumnFormula array="1">Common_InputFunctions.Utility_DisplayArrayInTable(Fertiliser_SourceData.Fertiliser_LimeDolomiteGypsumConstants_Data(), Table_SourceData_Fertiliser_LimeDolomiteConstants[[#Headers],[Element]], 0)</calculatedColumnFormula>
    </tableColumn>
    <tableColumn id="2" xr3:uid="{255D7A42-1641-4AEF-8A75-61D49D6F0970}" name="P" dataDxfId="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741BFD0B-3B32-4D22-8852-C0ED01170E44}" name="EF" dataDxfId="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7FA238E-03D8-453F-B287-9CE1857AC476}" name="Table2" displayName="Table2" ref="K19:L28" totalsRowShown="0" dataDxfId="80" dataCellStyle="Content normal">
  <autoFilter ref="K19:L28" xr:uid="{27B93029-EB1F-4C4A-A946-CD673A8A6C46}">
    <filterColumn colId="0" hiddenButton="1"/>
    <filterColumn colId="1" hiddenButton="1"/>
  </autoFilter>
  <tableColumns count="2">
    <tableColumn id="1" xr3:uid="{057EBF6E-1ADB-4A91-8DBC-E3384A3327E2}" name="Fertiliser type f" dataDxfId="79" dataCellStyle="Content normal">
      <calculatedColumnFormula array="1">Common_InputFunctions.Utility_DisplayArrayInTable(Fertiliser_SourceData.Fertiliser_FractionNCommonFertilisers_Data(), Table2[[#Headers],[Fertiliser type f]], 0)</calculatedColumnFormula>
    </tableColumn>
    <tableColumn id="2" xr3:uid="{85F488F4-3C2B-438C-8F9C-9DAE049E7A6C}" name="FNinorganic f" dataDxfId="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3BDA427-9734-4A7F-A839-41CF32B32F1C}" name="Table28" displayName="Table28" ref="Q19:R28" totalsRowShown="0" dataDxfId="77" dataCellStyle="Content normal">
  <autoFilter ref="Q19:R28" xr:uid="{791CEA59-796C-47AB-86BC-41E8F699030C}">
    <filterColumn colId="0" hiddenButton="1"/>
    <filterColumn colId="1" hiddenButton="1"/>
  </autoFilter>
  <tableColumns count="2">
    <tableColumn id="1" xr3:uid="{4F2C7506-E013-4022-B5A1-A839FB9974E1}" name="Fertiliser type f" dataDxfId="76" dataCellStyle="Content normal">
      <calculatedColumnFormula array="1">Common_InputFunctions.Utility_DisplayArrayInTable(Fertiliser_SourceData.Fertiliser_FractionUreaCommonFertilisers_Data(), Table28[[#Headers],[Fertiliser type f]], 0)</calculatedColumnFormula>
    </tableColumn>
    <tableColumn id="2" xr3:uid="{CD76742D-558B-42F8-ADD5-5B0E365DCF06}" name="FNinorganic f" dataDxfId="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2C45F86-A88C-4658-B650-1CE9BFB92203}"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E5F8C9F9-C6A5-4C64-A60C-92A49DE2ABC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F070E94-7586-4272-B7B8-FBC869E7F686}" name="Table_Fuel_EFs_StationaryLiquid" displayName="Table_Fuel_EFs_StationaryLiquid" ref="D53:K77" totalsRowShown="0" headerRowDxfId="49" dataDxfId="4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AA18302-2223-46A7-A3D2-6789DD6C7D37}" name="Fuel combusted" dataDxfId="47">
      <calculatedColumnFormula array="1">Common_InputFunctions.Utility_DisplayArrayInTable(Fuel_SourceData.Fuel_Scope1Scope3EmissionFactorsStationaryLiquid_Data(), Table_Fuel_EFs_StationaryLiquid[[#Headers],[Fuel combusted]],0)</calculatedColumnFormula>
    </tableColumn>
    <tableColumn id="2" xr3:uid="{BDB06241-4042-4972-880E-24837D979535}" name="Energy Content Factor (GJ per unit of fuel)" dataDxfId="46">
      <calculatedColumnFormula array="1">Common_InputFunctions.Utility_DisplayArrayInTable(Fuel_SourceData.Fuel_Scope1Scope3EmissionFactorsStationaryLiquid_Data(), Table_Fuel_EFs_StationaryLiquid[[#Headers],[Fuel combusted]],0)</calculatedColumnFormula>
    </tableColumn>
    <tableColumn id="3" xr3:uid="{8DEAA8D9-4812-45D0-B01F-160A684D97D0}" name="Fuel unit" dataDxfId="45">
      <calculatedColumnFormula array="1">Common_InputFunctions.Utility_DisplayArrayInTable(Fuel_SourceData.Fuel_Scope1Scope3EmissionFactorsStationaryLiquid_Data(), Table_Fuel_EFs_StationaryLiquid[[#Headers],[Fuel combusted]],0)</calculatedColumnFormula>
    </tableColumn>
    <tableColumn id="4" xr3:uid="{8F957816-0FF3-4622-9D65-9131EE4D81FC}" name="Scope 1 Emission Factor (kg CO2 - e / GJ) CO2" dataDxfId="44">
      <calculatedColumnFormula array="1">Common_InputFunctions.Utility_DisplayArrayInTable(Fuel_SourceData.Fuel_Scope1Scope3EmissionFactorsStationaryLiquid_Data(), Table_Fuel_EFs_StationaryLiquid[[#Headers],[Fuel combusted]],0)</calculatedColumnFormula>
    </tableColumn>
    <tableColumn id="5" xr3:uid="{4D105557-8AC0-47BC-B142-88CAECA30E46}" name="Scope 1 Emission Factor (kg CO2 - e / GJ) CH4" dataDxfId="43">
      <calculatedColumnFormula array="1">Common_InputFunctions.Utility_DisplayArrayInTable(Fuel_SourceData.Fuel_Scope1Scope3EmissionFactorsStationaryLiquid_Data(), Table_Fuel_EFs_StationaryLiquid[[#Headers],[Fuel combusted]],0)</calculatedColumnFormula>
    </tableColumn>
    <tableColumn id="6" xr3:uid="{92DEF4DC-AA8D-4FED-8590-9C43E81D4A46}" name="Scope 1 Emission Factor (kg CO2 - e / GJ) N2O" dataDxfId="42">
      <calculatedColumnFormula array="1">Common_InputFunctions.Utility_DisplayArrayInTable(Fuel_SourceData.Fuel_Scope1Scope3EmissionFactorsStationaryLiquid_Data(), Table_Fuel_EFs_StationaryLiquid[[#Headers],[Fuel combusted]],0)</calculatedColumnFormula>
    </tableColumn>
    <tableColumn id="7" xr3:uid="{E29908BF-5B16-4726-ACF2-62A0BB396B98}" name="Scope 1 Emission Factor (kg CO2 - e / GJ) Combined gases" dataDxfId="41">
      <calculatedColumnFormula array="1">Common_InputFunctions.Utility_DisplayArrayInTable(Fuel_SourceData.Fuel_Scope1Scope3EmissionFactorsStationaryLiquid_Data(), Table_Fuel_EFs_StationaryLiquid[[#Headers],[Fuel combusted]],0)</calculatedColumnFormula>
    </tableColumn>
    <tableColumn id="8" xr3:uid="{A5AE47E3-12B7-46F3-8A9B-FDF798303ABA}" name="Scope 3 Emission Factor (kg CO2 - e / GJ)" dataDxfId="4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AC46C2A-194D-429B-855F-D7AF7D24CFD5}" name="Table_Fuel_EFs_Transport" displayName="Table_Fuel_EFs_Transport" ref="D9:L34" totalsRowShown="0" headerRowDxfId="39" dataDxfId="3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C21488D6-5B25-4B1E-A360-20FA89BD61E8}" name="Transport type" dataDxfId="37">
      <calculatedColumnFormula array="1">Common_InputFunctions.Utility_DisplayArrayInTable(Fuel_SourceData.Fuel_Scope1Scope3EmissionFactorsTransport_Data(), Table_Fuel_EFs_Transport[[#Headers],[Transport type]], 0)</calculatedColumnFormula>
    </tableColumn>
    <tableColumn id="2" xr3:uid="{AA0577D1-4A4D-4EC8-9F7C-CD6F5849B360}" name="Fuel combusted" dataDxfId="36">
      <calculatedColumnFormula array="1">Common_InputFunctions.Utility_DisplayArrayInTable(Fuel_SourceData.Fuel_Scope1Scope3EmissionFactorsTransport_Data(), Table_Fuel_EFs_Transport[[#Headers],[Transport type]], 0)</calculatedColumnFormula>
    </tableColumn>
    <tableColumn id="3" xr3:uid="{8BF5C8E7-3D00-4C77-82A7-733643E0505C}" name="Energy Content Factor (GJ per unit of fuel)" dataDxfId="35">
      <calculatedColumnFormula array="1">Common_InputFunctions.Utility_DisplayArrayInTable(Fuel_SourceData.Fuel_Scope1Scope3EmissionFactorsTransport_Data(), Table_Fuel_EFs_Transport[[#Headers],[Transport type]], 0)</calculatedColumnFormula>
    </tableColumn>
    <tableColumn id="4" xr3:uid="{E54E78BC-B60C-4D74-9DE9-9E3CC31DE8AC}" name="Fuel unit" dataDxfId="34">
      <calculatedColumnFormula array="1">Common_InputFunctions.Utility_DisplayArrayInTable(Fuel_SourceData.Fuel_Scope1Scope3EmissionFactorsTransport_Data(), Table_Fuel_EFs_Transport[[#Headers],[Transport type]], 0)</calculatedColumnFormula>
    </tableColumn>
    <tableColumn id="8" xr3:uid="{B903B5DB-EF1B-4799-9567-7CCAC24F7DB5}" name="Scope 1 Emission Factor (kg CO2 - e / GJ) CO2" dataDxfId="33">
      <calculatedColumnFormula array="1">Common_InputFunctions.Utility_DisplayArrayInTable(Fuel_SourceData.Fuel_Scope1Scope3EmissionFactorsTransport_Data(), Table_Fuel_EFs_Transport[[#Headers],[Transport type]], 0)</calculatedColumnFormula>
    </tableColumn>
    <tableColumn id="9" xr3:uid="{6D8D1704-67E9-45FC-AF94-B575D301517D}" name="Scope 1 Emission Factor (kg CO2 - e / GJ) CH4" dataDxfId="32">
      <calculatedColumnFormula array="1">Common_InputFunctions.Utility_DisplayArrayInTable(Fuel_SourceData.Fuel_Scope1Scope3EmissionFactorsTransport_Data(), Table_Fuel_EFs_Transport[[#Headers],[Transport type]], 0)</calculatedColumnFormula>
    </tableColumn>
    <tableColumn id="10" xr3:uid="{0924A3F5-65DA-4442-8F41-C0B2AF754309}" name="Scope 1 Emission Factor (kg CO2 - e / GJ) N2O" dataDxfId="31">
      <calculatedColumnFormula array="1">Common_InputFunctions.Utility_DisplayArrayInTable(Fuel_SourceData.Fuel_Scope1Scope3EmissionFactorsTransport_Data(), Table_Fuel_EFs_Transport[[#Headers],[Transport type]], 0)</calculatedColumnFormula>
    </tableColumn>
    <tableColumn id="11" xr3:uid="{281DCA32-EDB1-4329-8591-44979B78AA71}" name="Scope 1 Emission Factor (kg CO2 - e / GJ) Combined gases" dataDxfId="30">
      <calculatedColumnFormula array="1">Common_InputFunctions.Utility_DisplayArrayInTable(Fuel_SourceData.Fuel_Scope1Scope3EmissionFactorsTransport_Data(), Table_Fuel_EFs_Transport[[#Headers],[Transport type]], 0)</calculatedColumnFormula>
    </tableColumn>
    <tableColumn id="12" xr3:uid="{BFFA56D5-783F-49FB-A030-971323C2B1AA}" name="Scope 3 Emission Factor (kg CO2 - e / GJ)" dataDxfId="2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C620D00-2367-45ED-A162-05017C591E7E}" name="Table_FuelTypesPerUse" displayName="Table_FuelTypesPerUse" ref="D130:I139" totalsRowShown="0" headerRowDxfId="28" dataDxfId="2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CA320A52-67F0-4D63-9DCD-6AD22001CFB2}" name="Generators" dataDxfId="26"/>
    <tableColumn id="2" xr3:uid="{E13CE0AE-16EC-47AF-A69D-843001AA72E7}" name="Power standalone machinery or heating" dataDxfId="25"/>
    <tableColumn id="3" xr3:uid="{E9C76092-D6CE-4A9A-B230-49978F598117}" name="Aviation" dataDxfId="24"/>
    <tableColumn id="5" xr3:uid="{5BFA07D6-8105-4CA9-B3DD-7906642035FA}" name="Cars and light commercial vehicles" dataDxfId="23"/>
    <tableColumn id="7" xr3:uid="{575FD980-A610-4E7F-B765-6EA521B3B088}" name="Off-road Agriculture and forestry equipment" dataDxfId="22" dataCellStyle="Content bold"/>
    <tableColumn id="8" xr3:uid="{4E7C6DA2-4773-4D0D-A050-DFCDED0D68B3}" name="Vessels" dataDxfId="21"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73193DA-472D-4B12-86D4-7BDFDCDF950E}" name="Table_Fuel_EFs_StationaryGaseous" displayName="Table_Fuel_EFs_StationaryGaseous" ref="D86:J104" totalsRowShown="0" headerRowDxfId="20" dataDxfId="1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37169BB-7D33-4AFE-A025-F68A5E5F5292}" name="Fuel combusted" dataDxfId="18">
      <calculatedColumnFormula array="1">Common_InputFunctions.Utility_DisplayArrayInTable(Fuel_SourceData.Fuel_Scope1EmissionFactorsStationaryGaseous_Data(), Table_Fuel_EFs_StationaryGaseous[[#Headers],[Fuel combusted]],0)</calculatedColumnFormula>
    </tableColumn>
    <tableColumn id="2" xr3:uid="{F517741D-AA15-4CA8-8694-9CB8EAC228A8}" name="Energy Content Factor (GJ per unit of fuel)" dataDxfId="17">
      <calculatedColumnFormula array="1">Common_InputFunctions.Utility_DisplayArrayInTable(Fuel_SourceData.Fuel_Scope1EmissionFactorsStationaryGaseous_Data(), Table_Fuel_EFs_StationaryGaseous[[#Headers],[Fuel combusted]],0)</calculatedColumnFormula>
    </tableColumn>
    <tableColumn id="3" xr3:uid="{F50D3BE3-2567-4216-9641-846D592092E5}" name="Fuel unit" dataDxfId="16">
      <calculatedColumnFormula array="1">Common_InputFunctions.Utility_DisplayArrayInTable(Fuel_SourceData.Fuel_Scope1EmissionFactorsStationaryGaseous_Data(), Table_Fuel_EFs_StationaryGaseous[[#Headers],[Fuel combusted]],0)</calculatedColumnFormula>
    </tableColumn>
    <tableColumn id="4" xr3:uid="{C4D22FB3-2BB1-474A-BF83-42F2FEB78404}" name="Scope 1 Emission Factor (kg CO2 - e / GJ) CO2" dataDxfId="15">
      <calculatedColumnFormula array="1">Common_InputFunctions.Utility_DisplayArrayInTable(Fuel_SourceData.Fuel_Scope1EmissionFactorsStationaryGaseous_Data(), Table_Fuel_EFs_StationaryGaseous[[#Headers],[Fuel combusted]],0)</calculatedColumnFormula>
    </tableColumn>
    <tableColumn id="5" xr3:uid="{9E043795-6614-4EE7-89A9-BD72BD9B3D4B}" name="Scope 1 Emission Factor (kg CO2 - e / GJ) CH4" dataDxfId="14">
      <calculatedColumnFormula array="1">Common_InputFunctions.Utility_DisplayArrayInTable(Fuel_SourceData.Fuel_Scope1EmissionFactorsStationaryGaseous_Data(), Table_Fuel_EFs_StationaryGaseous[[#Headers],[Fuel combusted]],0)</calculatedColumnFormula>
    </tableColumn>
    <tableColumn id="6" xr3:uid="{17CA33A5-E0FA-42C4-92C7-A0A140F3EC58}" name="Scope 1 Emission Factor (kg CO2 - e / GJ) N2O" dataDxfId="13">
      <calculatedColumnFormula array="1">Common_InputFunctions.Utility_DisplayArrayInTable(Fuel_SourceData.Fuel_Scope1EmissionFactorsStationaryGaseous_Data(), Table_Fuel_EFs_StationaryGaseous[[#Headers],[Fuel combusted]],0)</calculatedColumnFormula>
    </tableColumn>
    <tableColumn id="7" xr3:uid="{E89CF574-681F-49B9-8F54-D54CA4530B71}" name="Scope 1 Emission Factor (kg CO2 - e / GJ) Combined gases" dataDxfId="1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D66F32-FAB9-424E-AA61-2C7AC15720FC}" name="Table_Fuel_EFs_StationaryGaseous34" displayName="Table_Fuel_EFs_StationaryGaseous34" ref="D112:F120" headerRowDxfId="11" totalsRowDxfId="10">
  <autoFilter ref="D112:F120" xr:uid="{7D6CE29D-2354-4FAC-9965-9A66FFA42416}">
    <filterColumn colId="0" hiddenButton="1"/>
    <filterColumn colId="1" hiddenButton="1"/>
    <filterColumn colId="2" hiddenButton="1"/>
  </autoFilter>
  <tableColumns count="3">
    <tableColumn id="1" xr3:uid="{1D32B314-D44F-418D-9D21-9C1C0DE91A7B}" name="State or territory" totalsRowDxfId="9">
      <calculatedColumnFormula array="1">Common_InputFunctions.Utility_DisplayArrayInTable(Fuel_SourceData.Fuel_Scope3EmissionFactorsStationaryGaseous_Data(), Table_Fuel_EFs_StationaryGaseous34[[#Headers],[State or territory]],0)</calculatedColumnFormula>
    </tableColumn>
    <tableColumn id="2" xr3:uid="{4E7BB8C9-062B-4493-9F6F-27D8A1F7CDC2}" name="Metro" totalsRowDxfId="8">
      <calculatedColumnFormula array="1">Common_InputFunctions.Utility_DisplayArrayInTable(Fuel_SourceData.Fuel_Scope3EmissionFactorsStationaryGaseous_Data(), Table_Fuel_EFs_StationaryGaseous34[[#Headers],[State or territory]],0)</calculatedColumnFormula>
    </tableColumn>
    <tableColumn id="3" xr3:uid="{33D10204-6529-40FF-8867-5F6FAD3B7F8B}" name="Non-metro" totalsRowDxfId="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6449E93-59BC-46B6-8F92-82541B9C8EF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D27DE6ED-A843-4358-8077-EC85C29AA0EB}" name="Fuel type"/>
    <tableColumn id="2" xr3:uid="{833F46FF-BD9C-4EF4-BA78-92A6932CEAEB}" name="Unit"/>
    <tableColumn id="3" xr3:uid="{5C5DDC9B-EA81-4DEC-A15B-1283BB0F6757}" name="Input Unit" dataDxfId="6"/>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1759E77-76A8-4CD7-BF03-E57CB4A14335}"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17F9A25-78EB-4C39-B36E-60B923A173B7}"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FFAECF0F-F346-424B-963C-AC9A4E56CB2C}" name="Fuel type q" dataDxfId="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DD0EB12F-604B-4C0B-B38B-53C85A8FBB73}" name="ECTrans,q (GJ/kL)" dataDxfId="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132F605-353C-48B2-B7EF-B8AE54BDC827}" name="Scope 1 CO2 EFTran,1,tqg (kg CO2-e/GJ)" dataDxfId="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0A07D92E-CD1B-4868-AD1A-13B92D62B960}" name="Scope 1 CH4 EFTran,1,tgg (kg CO2-e/GJ)" dataDxfId="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11FE327F-3BCD-4A35-A704-C4D89807EBA9}" name="Scope 1 N2O EFTran,1,tgg (kg CO2-e/GJ)" dataDxfId="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1F7835F-DF45-4A75-8116-E7A3B0D80383}" name="Scope 3 EFTrans,3,q (kg CO2-e/GJ)" dataDxfId="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272"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271"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270"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269"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268"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267"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266"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265"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264"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263"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262"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261"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260"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259"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25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25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25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25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25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25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2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2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2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2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2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2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2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2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2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2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2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2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2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2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2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23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88F1A7-7610-4A07-8C91-3315749870A3}">
  <dimension ref="A1:A160"/>
  <sheetViews>
    <sheetView workbookViewId="0">
      <selection activeCell="A28" sqref="A28"/>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8" t="str">
        <f>HYPERLINK("#'Home'!A1", "Home")</f>
        <v>Home</v>
      </c>
    </row>
    <row r="4" spans="1:1" ht="15.75" x14ac:dyDescent="0.25">
      <c r="A4"/>
    </row>
    <row r="5" spans="1:1" ht="15.75" x14ac:dyDescent="0.25">
      <c r="A5"/>
    </row>
    <row r="6" spans="1:1" x14ac:dyDescent="0.25">
      <c r="A6" s="29" t="s">
        <v>83</v>
      </c>
    </row>
    <row r="7" spans="1:1" ht="15.75" x14ac:dyDescent="0.25">
      <c r="A7" s="24" t="str">
        <f>HYPERLINK("#'Input - Planting'!A1", "Planting")</f>
        <v>Planting</v>
      </c>
    </row>
    <row r="8" spans="1:1" ht="15.75" x14ac:dyDescent="0.25">
      <c r="A8" s="24" t="str">
        <f>HYPERLINK("#'Input - Fertiliser'!A1", "Fertiliser")</f>
        <v>Fertiliser</v>
      </c>
    </row>
    <row r="9" spans="1:1" ht="15.75" x14ac:dyDescent="0.25">
      <c r="A9" s="24" t="str">
        <f>HYPERLINK("#'Input - Fuel'!A1", "Fuel")</f>
        <v>Fuel</v>
      </c>
    </row>
    <row r="10" spans="1:1" ht="15.75" x14ac:dyDescent="0.25">
      <c r="A10" s="24" t="str">
        <f>HYPERLINK("#'Input - Site'!A1", "Site")</f>
        <v>Site</v>
      </c>
    </row>
    <row r="11" spans="1:1" ht="15.75" x14ac:dyDescent="0.25">
      <c r="A11"/>
    </row>
    <row r="12" spans="1:1" ht="15.75" x14ac:dyDescent="0.25">
      <c r="A12"/>
    </row>
    <row r="13" spans="1:1" x14ac:dyDescent="0.25">
      <c r="A13" s="32" t="s">
        <v>89</v>
      </c>
    </row>
    <row r="14" spans="1:1" ht="15.75" x14ac:dyDescent="0.25">
      <c r="A14" s="24" t="str">
        <f>HYPERLINK("#'5.1.1.1-2 Inorganic fert N2O'!A1", "5.1.1.1-2 Inorganic fert N2O")</f>
        <v>5.1.1.1-2 Inorganic fert N2O</v>
      </c>
    </row>
    <row r="15" spans="1:1" ht="15.75" x14ac:dyDescent="0.25">
      <c r="A15" s="24" t="str">
        <f>HYPERLINK("#'5.1.1.3-4 Inorganic fert CO2'!A1", "5.1.1.3-4 Inorganic fert CO2")</f>
        <v>5.1.1.3-4 Inorganic fert CO2</v>
      </c>
    </row>
    <row r="16" spans="1:1" ht="15.75" x14ac:dyDescent="0.25">
      <c r="A16" s="24" t="str">
        <f>HYPERLINK("#'5.2.1.1-2 Organic Fert N2O'!A1", "5.2.1.1-2 Organic fert N2O")</f>
        <v>5.2.1.1-2 Organic fert N2O</v>
      </c>
    </row>
    <row r="17" spans="1:1" ht="15.75" x14ac:dyDescent="0.25">
      <c r="A17" s="24" t="str">
        <f>HYPERLINK("#'5.3.1.1-2 Lime CO2'!A1", "5.3.1.1-2 Lime CO2")</f>
        <v>5.3.1.1-2 Lime CO2</v>
      </c>
    </row>
    <row r="18" spans="1:1" ht="15.75" x14ac:dyDescent="0.25">
      <c r="A18" s="24" t="str">
        <f>HYPERLINK("#'5.4.1.1-4 Atmos deposition'!A1", "5.4.1.1-4 Atmos. deposition")</f>
        <v>5.4.1.1-4 Atmos. deposition</v>
      </c>
    </row>
    <row r="19" spans="1:1" ht="15.75" x14ac:dyDescent="0.25">
      <c r="A19" s="24" t="str">
        <f>HYPERLINK("#'5.5.1.1-2 Leaching and runoff'!A1", "5.5.1.1-2 Leaching &amp; runoff")</f>
        <v>5.5.1.1-2 Leaching &amp; runoff</v>
      </c>
    </row>
    <row r="20" spans="1:1" ht="15.75" x14ac:dyDescent="0.25">
      <c r="A20" s="24" t="str">
        <f>HYPERLINK("#'8.1.1.1-2 Transport fuel'!A1", "8.1.1.1-2 Transport fuel")</f>
        <v>8.1.1.1-2 Transport fuel</v>
      </c>
    </row>
    <row r="21" spans="1:1" ht="15.75" x14ac:dyDescent="0.25">
      <c r="A21" s="24" t="str">
        <f>HYPERLINK("#'8.2.1.1-2 Stationary fuel'!A1", "8.2.1.1-2 Stationary fuel")</f>
        <v>8.2.1.1-2 Stationary fuel</v>
      </c>
    </row>
    <row r="22" spans="1:1" ht="15.75" x14ac:dyDescent="0.25">
      <c r="A22"/>
    </row>
    <row r="23" spans="1:1" ht="15.75" x14ac:dyDescent="0.25">
      <c r="A23"/>
    </row>
    <row r="24" spans="1:1" x14ac:dyDescent="0.25">
      <c r="A24" s="210" t="s">
        <v>116</v>
      </c>
    </row>
    <row r="25" spans="1:1" ht="15.75" x14ac:dyDescent="0.25">
      <c r="A25" s="24" t="str">
        <f>HYPERLINK("#'Constants - Fertiliser'!A1", "Constants - Fertiliser")</f>
        <v>Constants - Fertiliser</v>
      </c>
    </row>
    <row r="26" spans="1:1" ht="15.75" x14ac:dyDescent="0.25">
      <c r="A26" s="24" t="str">
        <f>HYPERLINK("#'Constants - Fuel'!A1", "Constants - Fuel")</f>
        <v>Constants - Fuel</v>
      </c>
    </row>
    <row r="27" spans="1:1" ht="15.75" x14ac:dyDescent="0.25">
      <c r="A27" s="24" t="str">
        <f>HYPERLINK("#'Constants - Common'!A1", "Constants - Common")</f>
        <v>Constants - Common</v>
      </c>
    </row>
    <row r="28" spans="1:1" ht="15.75" x14ac:dyDescent="0.25">
      <c r="A28" s="24" t="str">
        <f>HYPERLINK("#'Overview'!A1", "Overview")</f>
        <v>Overview</v>
      </c>
    </row>
    <row r="29" spans="1:1" ht="15.75" x14ac:dyDescent="0.25">
      <c r="A29"/>
    </row>
    <row r="30" spans="1:1" ht="15.75" x14ac:dyDescent="0.25">
      <c r="A30"/>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8"/>
  <sheetViews>
    <sheetView workbookViewId="0">
      <selection activeCell="A28" sqref="A28"/>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4" t="str">
        <f>HYPERLINK("#'Home'!A1", "Home")</f>
        <v>Home</v>
      </c>
      <c r="B3" s="1" t="s">
        <v>3</v>
      </c>
      <c r="C3">
        <v>-33.8688</v>
      </c>
    </row>
    <row r="4" spans="1:4" x14ac:dyDescent="0.25">
      <c r="B4" s="1" t="s">
        <v>4</v>
      </c>
      <c r="C4">
        <v>151.20930000000001</v>
      </c>
    </row>
    <row r="5" spans="1:4" x14ac:dyDescent="0.25">
      <c r="B5" s="1" t="s">
        <v>5</v>
      </c>
      <c r="C5" s="3">
        <v>43831</v>
      </c>
    </row>
    <row r="6" spans="1:4" x14ac:dyDescent="0.25">
      <c r="A6" s="29" t="s">
        <v>83</v>
      </c>
      <c r="B6" s="1" t="s">
        <v>12</v>
      </c>
      <c r="C6" t="s">
        <v>0</v>
      </c>
    </row>
    <row r="7" spans="1:4" x14ac:dyDescent="0.25">
      <c r="A7" s="30" t="str">
        <f>HYPERLINK("#'Input - Planting'!A1", "Planting")</f>
        <v>Planting</v>
      </c>
    </row>
    <row r="8" spans="1:4" x14ac:dyDescent="0.25">
      <c r="A8" s="24" t="str">
        <f>HYPERLINK("#'Input - Fertiliser'!A1", "Fertiliser")</f>
        <v>Fertiliser</v>
      </c>
      <c r="B8" s="1" t="s">
        <v>6</v>
      </c>
      <c r="C8">
        <v>100</v>
      </c>
    </row>
    <row r="9" spans="1:4" x14ac:dyDescent="0.25">
      <c r="A9" s="24" t="str">
        <f>HYPERLINK("#'Input - Fuel'!A1", "Fuel")</f>
        <v>Fuel</v>
      </c>
    </row>
    <row r="10" spans="1:4" x14ac:dyDescent="0.25">
      <c r="A10" s="24" t="str">
        <f>HYPERLINK("#'Input - Site'!A1", "Site")</f>
        <v>Site</v>
      </c>
    </row>
    <row r="11" spans="1:4" x14ac:dyDescent="0.25">
      <c r="B11" s="5" t="s">
        <v>7</v>
      </c>
      <c r="C11" s="6">
        <v>45292</v>
      </c>
    </row>
    <row r="12" spans="1:4" x14ac:dyDescent="0.25">
      <c r="B12" s="5" t="s">
        <v>8</v>
      </c>
      <c r="C12" s="7">
        <f>DATE(YEAR(C11)+1,MONTH(C11),DAY(C11))-1</f>
        <v>45657</v>
      </c>
    </row>
    <row r="13" spans="1:4" x14ac:dyDescent="0.25">
      <c r="A13" s="32" t="s">
        <v>89</v>
      </c>
    </row>
    <row r="14" spans="1:4" ht="22.5" x14ac:dyDescent="0.3">
      <c r="A14" s="24" t="str">
        <f>HYPERLINK("#'5.1.1.1-2 Inorganic fert N2O'!A1", "5.1.1.1-2 Inorganic fert N2O")</f>
        <v>5.1.1.1-2 Inorganic fert N2O</v>
      </c>
      <c r="B14" s="4" t="s">
        <v>1</v>
      </c>
    </row>
    <row r="15" spans="1:4" x14ac:dyDescent="0.25">
      <c r="A15" s="24" t="str">
        <f>HYPERLINK("#'5.1.1.3-4 Inorganic fert CO2'!A1", "5.1.1.3-4 Inorganic fert CO2")</f>
        <v>5.1.1.3-4 Inorganic fert CO2</v>
      </c>
      <c r="B15" s="1" t="s">
        <v>9</v>
      </c>
      <c r="C15">
        <v>123</v>
      </c>
      <c r="D15" s="2" t="s">
        <v>10</v>
      </c>
    </row>
    <row r="16" spans="1:4" x14ac:dyDescent="0.25">
      <c r="A16" s="24" t="str">
        <f>HYPERLINK("#'5.2.1.1-2 Organic Fert N2O'!A1", "5.2.1.1-2 Organic fert N2O")</f>
        <v>5.2.1.1-2 Organic fert N2O</v>
      </c>
      <c r="B16" s="1" t="s">
        <v>11</v>
      </c>
      <c r="C16">
        <f>C8*X_Result_Planting_CarbonCapturedPerHectare</f>
        <v>12300</v>
      </c>
      <c r="D16" s="2" t="s">
        <v>2</v>
      </c>
    </row>
    <row r="17" spans="1:1" x14ac:dyDescent="0.25">
      <c r="A17" s="24" t="str">
        <f>HYPERLINK("#'5.3.1.1-2 Lime CO2'!A1", "5.3.1.1-2 Lime CO2")</f>
        <v>5.3.1.1-2 Lime CO2</v>
      </c>
    </row>
    <row r="18" spans="1:1" x14ac:dyDescent="0.25">
      <c r="A18" s="24" t="str">
        <f>HYPERLINK("#'5.4.1.1-4 Atmos deposition'!A1", "5.4.1.1-4 Atmos. deposition")</f>
        <v>5.4.1.1-4 Atmos. deposition</v>
      </c>
    </row>
    <row r="19" spans="1:1" x14ac:dyDescent="0.25">
      <c r="A19" s="24" t="str">
        <f>HYPERLINK("#'5.5.1.1-2 Leaching and runoff'!A1", "5.5.1.1-2 Leaching &amp; runoff")</f>
        <v>5.5.1.1-2 Leaching &amp; runoff</v>
      </c>
    </row>
    <row r="20" spans="1:1" x14ac:dyDescent="0.25">
      <c r="A20" s="24" t="str">
        <f>HYPERLINK("#'8.1.1.1-2 Transport fuel'!A1", "8.1.1.1-2 Transport fuel")</f>
        <v>8.1.1.1-2 Transport fuel</v>
      </c>
    </row>
    <row r="21" spans="1:1" x14ac:dyDescent="0.25">
      <c r="A21" s="24" t="str">
        <f>HYPERLINK("#'8.2.1.1-2 Stationary fuel'!A1", "8.2.1.1-2 Stationary fuel")</f>
        <v>8.2.1.1-2 Stationary fuel</v>
      </c>
    </row>
    <row r="24" spans="1:1" x14ac:dyDescent="0.25">
      <c r="A24" s="210" t="s">
        <v>116</v>
      </c>
    </row>
    <row r="25" spans="1:1" x14ac:dyDescent="0.25">
      <c r="A25" s="24" t="str">
        <f>HYPERLINK("#'Constants - Fertiliser'!A1", "Constants - Fertiliser")</f>
        <v>Constants - Fertiliser</v>
      </c>
    </row>
    <row r="26" spans="1:1" x14ac:dyDescent="0.25">
      <c r="A26" s="24" t="str">
        <f>HYPERLINK("#'Constants - Fuel'!A1", "Constants - Fuel")</f>
        <v>Constants - Fuel</v>
      </c>
    </row>
    <row r="27" spans="1:1" x14ac:dyDescent="0.25">
      <c r="A27" s="24" t="str">
        <f>HYPERLINK("#'Constants - Common'!A1", "Constants - Common")</f>
        <v>Constants - Common</v>
      </c>
    </row>
    <row r="28" spans="1:1" x14ac:dyDescent="0.25">
      <c r="A28" s="24" t="str">
        <f>HYPERLINK("#'Overview'!A1", "Overview")</f>
        <v>Overview</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DA887-B80B-4003-B26D-6AAA0BB819C3}">
  <dimension ref="A1:Y366"/>
  <sheetViews>
    <sheetView showGridLines="0" topLeftCell="A5"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79</v>
      </c>
    </row>
    <row r="2" spans="1:25" s="9" customFormat="1" ht="20.100000000000001" customHeight="1" x14ac:dyDescent="0.25">
      <c r="A2"/>
    </row>
    <row r="3" spans="1:25" ht="20.100000000000001" customHeight="1" x14ac:dyDescent="0.25">
      <c r="A3" s="24" t="str">
        <f>HYPERLINK("#'Home'!A1", "Home")</f>
        <v>Home</v>
      </c>
      <c r="C3" s="25"/>
      <c r="D3" s="25"/>
      <c r="E3" s="25"/>
      <c r="F3" s="25"/>
      <c r="G3" s="25"/>
      <c r="H3" s="25"/>
      <c r="I3" s="25"/>
      <c r="J3" s="25"/>
      <c r="K3" s="25"/>
      <c r="L3" s="25"/>
      <c r="M3" s="25"/>
      <c r="N3" s="25"/>
      <c r="O3" s="25"/>
      <c r="P3" s="25"/>
      <c r="Q3" s="25"/>
      <c r="R3" s="25"/>
      <c r="S3" s="25"/>
      <c r="T3" s="25"/>
      <c r="U3" s="25"/>
      <c r="V3" s="25"/>
      <c r="W3" s="25"/>
      <c r="X3" s="25"/>
      <c r="Y3" s="25"/>
    </row>
    <row r="4" spans="1:25" ht="20.100000000000001" customHeight="1" x14ac:dyDescent="0.25">
      <c r="A4"/>
    </row>
    <row r="5" spans="1:25" ht="20.100000000000001" customHeight="1" x14ac:dyDescent="0.25">
      <c r="A5"/>
    </row>
    <row r="6" spans="1:25" ht="20.100000000000001" customHeight="1" x14ac:dyDescent="0.25">
      <c r="A6" s="29" t="s">
        <v>83</v>
      </c>
      <c r="D6" s="15" t="s">
        <v>80</v>
      </c>
      <c r="E6" s="27" t="s">
        <v>81</v>
      </c>
      <c r="F6" s="28" t="s">
        <v>82</v>
      </c>
    </row>
    <row r="7" spans="1:25" ht="20.100000000000001" customHeight="1" x14ac:dyDescent="0.25">
      <c r="A7" s="24" t="str">
        <f>HYPERLINK("#'Input - Planting'!A1", "Planting")</f>
        <v>Planting</v>
      </c>
      <c r="D7" s="15" t="s">
        <v>84</v>
      </c>
      <c r="E7" s="27" t="s">
        <v>85</v>
      </c>
      <c r="F7" s="28" t="s">
        <v>82</v>
      </c>
    </row>
    <row r="8" spans="1:25" ht="20.100000000000001" customHeight="1" x14ac:dyDescent="0.25">
      <c r="A8" s="30" t="str">
        <f>HYPERLINK("#'Input - Fertiliser'!A1", "Fertiliser")</f>
        <v>Fertiliser</v>
      </c>
      <c r="D8" s="15" t="s">
        <v>56</v>
      </c>
      <c r="E8" s="27" t="s">
        <v>86</v>
      </c>
      <c r="F8" s="28" t="s">
        <v>82</v>
      </c>
    </row>
    <row r="9" spans="1:25" ht="20.100000000000001" customHeight="1" x14ac:dyDescent="0.25">
      <c r="A9" s="24" t="str">
        <f>HYPERLINK("#'Input - Fuel'!A1", "Fuel")</f>
        <v>Fuel</v>
      </c>
      <c r="D9" s="15" t="s">
        <v>87</v>
      </c>
      <c r="E9" s="31">
        <v>100</v>
      </c>
      <c r="F9" s="28" t="s">
        <v>88</v>
      </c>
    </row>
    <row r="10" spans="1:25" ht="20.100000000000001" customHeight="1" x14ac:dyDescent="0.25">
      <c r="A10" s="24" t="str">
        <f>HYPERLINK("#'Input - Site'!A1", "Site")</f>
        <v>Site</v>
      </c>
    </row>
    <row r="11" spans="1:25" ht="20.100000000000001" customHeight="1" x14ac:dyDescent="0.25">
      <c r="A11"/>
      <c r="D11" s="16" t="s">
        <v>90</v>
      </c>
      <c r="E11" s="14"/>
      <c r="F11" s="14"/>
      <c r="G11" s="14"/>
      <c r="H11" s="14"/>
      <c r="I11" s="14"/>
      <c r="J11" s="14"/>
      <c r="K11" s="14"/>
      <c r="L11" s="14"/>
      <c r="M11" s="14"/>
    </row>
    <row r="12" spans="1:25" ht="20.100000000000001" customHeight="1" x14ac:dyDescent="0.25">
      <c r="A12"/>
      <c r="D12" s="21"/>
      <c r="E12" s="21"/>
      <c r="F12" s="21"/>
      <c r="G12" s="21"/>
      <c r="H12" s="21"/>
      <c r="I12" s="21"/>
      <c r="J12" s="21"/>
      <c r="K12" s="21"/>
      <c r="L12" s="21"/>
      <c r="M12" s="21"/>
    </row>
    <row r="13" spans="1:25" ht="20.100000000000001" customHeight="1" x14ac:dyDescent="0.25">
      <c r="A13" s="32" t="s">
        <v>89</v>
      </c>
      <c r="D13" s="33" t="s">
        <v>91</v>
      </c>
      <c r="E13" s="34"/>
      <c r="F13" s="34"/>
      <c r="G13" s="34"/>
      <c r="H13" s="35"/>
      <c r="I13" s="36"/>
      <c r="J13" s="37"/>
      <c r="K13" s="38"/>
      <c r="L13" s="38"/>
      <c r="M13" s="38"/>
    </row>
    <row r="14" spans="1:25" ht="20.100000000000001" customHeight="1" x14ac:dyDescent="0.25">
      <c r="A14" s="24" t="str">
        <f>HYPERLINK("#'5.1.1.1-2 Inorganic fert N2O'!A1", "5.1.1.1-2 Inorganic fert N2O")</f>
        <v>5.1.1.1-2 Inorganic fert N2O</v>
      </c>
      <c r="D14" s="39" t="s">
        <v>92</v>
      </c>
      <c r="E14" s="40"/>
      <c r="F14" s="40"/>
      <c r="G14" s="41"/>
      <c r="H14" s="42"/>
      <c r="I14" s="21"/>
      <c r="J14" s="21"/>
      <c r="K14" s="21"/>
      <c r="L14" s="21"/>
      <c r="M14" s="21"/>
    </row>
    <row r="15" spans="1:25" ht="20.100000000000001" customHeight="1" x14ac:dyDescent="0.25">
      <c r="A15" s="24" t="str">
        <f>HYPERLINK("#'5.1.1.3-4 Inorganic fert CO2'!A1", "5.1.1.3-4 Inorganic fert CO2")</f>
        <v>5.1.1.3-4 Inorganic fert CO2</v>
      </c>
      <c r="D15" s="21"/>
      <c r="E15" s="21"/>
      <c r="F15" s="21"/>
      <c r="G15" s="21"/>
      <c r="H15" s="21"/>
      <c r="I15" s="21"/>
      <c r="J15" s="21"/>
      <c r="K15" s="21"/>
      <c r="L15" s="21"/>
      <c r="M15" s="21"/>
    </row>
    <row r="16" spans="1:25" ht="20.100000000000001" customHeight="1" x14ac:dyDescent="0.25">
      <c r="A16" s="24" t="str">
        <f>HYPERLINK("#'5.2.1.1-2 Organic Fert N2O'!A1", "5.2.1.1-2 Organic fert N2O")</f>
        <v>5.2.1.1-2 Organic fert N2O</v>
      </c>
      <c r="D16" s="43" t="s">
        <v>93</v>
      </c>
      <c r="E16" s="21"/>
      <c r="F16" s="21"/>
      <c r="G16" s="21"/>
      <c r="H16" s="21"/>
      <c r="I16" s="21"/>
      <c r="J16" s="21"/>
      <c r="K16" s="21"/>
      <c r="L16" s="21"/>
      <c r="M16" s="21"/>
    </row>
    <row r="17" spans="1:24" ht="36" customHeight="1" x14ac:dyDescent="0.25">
      <c r="A17" s="24" t="str">
        <f>HYPERLINK("#'5.3.1.1-2 Lime CO2'!A1", "5.3.1.1-2 Lime CO2")</f>
        <v>5.3.1.1-2 Lime CO2</v>
      </c>
      <c r="D17" s="44" t="s">
        <v>94</v>
      </c>
      <c r="E17" s="45" t="s">
        <v>95</v>
      </c>
      <c r="F17" s="45" t="s">
        <v>96</v>
      </c>
      <c r="G17" s="45" t="s">
        <v>97</v>
      </c>
      <c r="H17" s="45" t="s">
        <v>98</v>
      </c>
      <c r="I17" s="45" t="s">
        <v>99</v>
      </c>
      <c r="J17" s="44" t="s">
        <v>100</v>
      </c>
      <c r="K17" s="44" t="s">
        <v>101</v>
      </c>
      <c r="L17" s="44" t="s">
        <v>102</v>
      </c>
      <c r="M17" s="44" t="s">
        <v>103</v>
      </c>
      <c r="N17" s="44" t="s">
        <v>104</v>
      </c>
      <c r="O17" s="44" t="s">
        <v>105</v>
      </c>
      <c r="P17" s="44" t="s">
        <v>106</v>
      </c>
      <c r="Q17" s="44" t="s">
        <v>107</v>
      </c>
      <c r="R17" s="44" t="s">
        <v>108</v>
      </c>
      <c r="S17" s="44" t="s">
        <v>109</v>
      </c>
      <c r="T17" s="44" t="s">
        <v>110</v>
      </c>
      <c r="U17" s="44" t="s">
        <v>111</v>
      </c>
      <c r="V17" s="44" t="s">
        <v>112</v>
      </c>
      <c r="W17" s="44" t="s">
        <v>113</v>
      </c>
      <c r="X17" s="44" t="s">
        <v>114</v>
      </c>
    </row>
    <row r="18" spans="1:24" ht="36" customHeight="1" x14ac:dyDescent="0.25">
      <c r="A18" s="24" t="str">
        <f>HYPERLINK("#'5.4.1.1-4 Atmos deposition'!A1", "5.4.1.1-4 Atmos. deposition")</f>
        <v>5.4.1.1-4 Atmos. deposition</v>
      </c>
      <c r="D18" s="46" t="s">
        <v>115</v>
      </c>
      <c r="E18" s="47">
        <v>100</v>
      </c>
      <c r="F18" s="48" t="str">
        <f>_xlfn.XLOOKUP(Table_Input_InorganicFertiliser_Brands[[#This Row],[Product (select)]],FertiliserProducts[Product name],FertiliserProducts[Unit])</f>
        <v>L</v>
      </c>
      <c r="G18" s="48">
        <f>_xlfn.XLOOKUP(Table_Input_InorganicFertiliser_Brands[[#This Row],[Product (select)]],FertiliserProducts[Product name],FertiliserProducts[Density / gravity])</f>
        <v>1.26</v>
      </c>
      <c r="H18" s="47">
        <f>$E$9</f>
        <v>100</v>
      </c>
      <c r="I18" s="49">
        <f>(Table_Input_InorganicFertiliser_Brands[[#This Row],[Amount applied per hectare]]*Table_Input_InorganicFertiliser_Brands[[#This Row],[Density]])*Table_Input_InorganicFertiliser_Brands[[#This Row],[Application area (ha)]]</f>
        <v>12600</v>
      </c>
      <c r="J18" s="49"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49"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49"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49"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49"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49"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49"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49"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49"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49"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49"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49"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48" t="str">
        <f>_xlfn.XLOOKUP(Table_Input_InorganicFertiliser_Brands[[#This Row],[Product (select)]],FertiliserProducts[Product name],FertiliserProducts[Urea source])</f>
        <v/>
      </c>
      <c r="X18" s="48" t="str">
        <f>_xlfn.XLOOKUP(Table_Input_InorganicFertiliser_Brands[[#This Row],[Product (select)]],FertiliserProducts[Product name],FertiliserProducts[Ammonia source])</f>
        <v/>
      </c>
    </row>
    <row r="19" spans="1:24" ht="36" customHeight="1" x14ac:dyDescent="0.25">
      <c r="A19" s="24" t="str">
        <f>HYPERLINK("#'5.5.1.1-2 Leaching and runoff'!A1", "5.5.1.1-2 Leaching &amp; runoff")</f>
        <v>5.5.1.1-2 Leaching &amp; runoff</v>
      </c>
      <c r="D19" s="46" t="s">
        <v>117</v>
      </c>
      <c r="E19" s="47">
        <v>100</v>
      </c>
      <c r="F19" s="48" t="str">
        <f>_xlfn.XLOOKUP(Table_Input_InorganicFertiliser_Brands[[#This Row],[Product (select)]],FertiliserProducts[Product name],FertiliserProducts[Unit])</f>
        <v>L</v>
      </c>
      <c r="G19" s="48">
        <f>_xlfn.XLOOKUP(Table_Input_InorganicFertiliser_Brands[[#This Row],[Product (select)]],FertiliserProducts[Product name],FertiliserProducts[Density / gravity])</f>
        <v>1.2849999999999999</v>
      </c>
      <c r="H19" s="47">
        <f>$E$9</f>
        <v>100</v>
      </c>
      <c r="I19" s="49">
        <f>(Table_Input_InorganicFertiliser_Brands[[#This Row],[Amount applied per hectare]]*Table_Input_InorganicFertiliser_Brands[[#This Row],[Density]])*Table_Input_InorganicFertiliser_Brands[[#This Row],[Application area (ha)]]</f>
        <v>12850</v>
      </c>
      <c r="J19" s="49"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49"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49"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49"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49"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49"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49"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49"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49"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49"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49"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49"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49" t="str">
        <f>_xlfn.XLOOKUP(Table_Input_InorganicFertiliser_Brands[[#This Row],[Product (select)]],FertiliserProducts[Product name],FertiliserProducts[Urea source])</f>
        <v/>
      </c>
      <c r="X19" s="49" t="str">
        <f>_xlfn.XLOOKUP(Table_Input_InorganicFertiliser_Brands[[#This Row],[Product (select)]],FertiliserProducts[Product name],FertiliserProducts[Ammonia source])</f>
        <v/>
      </c>
    </row>
    <row r="20" spans="1:24" ht="36" customHeight="1" x14ac:dyDescent="0.25">
      <c r="A20" s="24" t="str">
        <f>HYPERLINK("#'8.1.1.1-2 Transport fuel'!A1", "8.1.1.1-2 Transport fuel")</f>
        <v>8.1.1.1-2 Transport fuel</v>
      </c>
      <c r="D20" s="46" t="s">
        <v>117</v>
      </c>
      <c r="E20" s="47">
        <v>100</v>
      </c>
      <c r="F20" s="48" t="str">
        <f>_xlfn.XLOOKUP(Table_Input_InorganicFertiliser_Brands[[#This Row],[Product (select)]],FertiliserProducts[Product name],FertiliserProducts[Unit])</f>
        <v>L</v>
      </c>
      <c r="G20" s="48">
        <f>_xlfn.XLOOKUP(Table_Input_InorganicFertiliser_Brands[[#This Row],[Product (select)]],FertiliserProducts[Product name],FertiliserProducts[Density / gravity])</f>
        <v>1.2849999999999999</v>
      </c>
      <c r="H20" s="47">
        <f>$E$9</f>
        <v>100</v>
      </c>
      <c r="I20" s="49">
        <f>(Table_Input_InorganicFertiliser_Brands[[#This Row],[Amount applied per hectare]]*Table_Input_InorganicFertiliser_Brands[[#This Row],[Density]])*Table_Input_InorganicFertiliser_Brands[[#This Row],[Application area (ha)]]</f>
        <v>12850</v>
      </c>
      <c r="J20" s="49"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49"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49"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49"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49"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49"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49"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49"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49"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49"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49"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49"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49" t="str">
        <f>_xlfn.XLOOKUP(Table_Input_InorganicFertiliser_Brands[[#This Row],[Product (select)]],FertiliserProducts[Product name],FertiliserProducts[Urea source])</f>
        <v/>
      </c>
      <c r="X20" s="49" t="str">
        <f>_xlfn.XLOOKUP(Table_Input_InorganicFertiliser_Brands[[#This Row],[Product (select)]],FertiliserProducts[Product name],FertiliserProducts[Ammonia source])</f>
        <v/>
      </c>
    </row>
    <row r="21" spans="1:24" ht="36" customHeight="1" x14ac:dyDescent="0.25">
      <c r="A21" s="24" t="str">
        <f>HYPERLINK("#'8.2.1.1-2 Stationary fuel'!A1", "8.2.1.1-2 Stationary fuel")</f>
        <v>8.2.1.1-2 Stationary fuel</v>
      </c>
      <c r="D21" s="46" t="s">
        <v>118</v>
      </c>
      <c r="E21" s="47">
        <v>100</v>
      </c>
      <c r="F21" s="48" t="str">
        <f>_xlfn.XLOOKUP(Table_Input_InorganicFertiliser_Brands[[#This Row],[Product (select)]],FertiliserProducts[Product name],FertiliserProducts[Unit])</f>
        <v>L</v>
      </c>
      <c r="G21" s="48">
        <f>_xlfn.XLOOKUP(Table_Input_InorganicFertiliser_Brands[[#This Row],[Product (select)]],FertiliserProducts[Product name],FertiliserProducts[Density / gravity])</f>
        <v>1.26</v>
      </c>
      <c r="H21" s="47">
        <f>$E$9</f>
        <v>100</v>
      </c>
      <c r="I21" s="49">
        <f>(Table_Input_InorganicFertiliser_Brands[[#This Row],[Amount applied per hectare]]*Table_Input_InorganicFertiliser_Brands[[#This Row],[Density]])*Table_Input_InorganicFertiliser_Brands[[#This Row],[Application area (ha)]]</f>
        <v>12600</v>
      </c>
      <c r="J21" s="49"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49"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49"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49"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49"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49"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49"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49"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49"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49"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49"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49"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49" t="str">
        <f>_xlfn.XLOOKUP(Table_Input_InorganicFertiliser_Brands[[#This Row],[Product (select)]],FertiliserProducts[Product name],FertiliserProducts[Urea source])</f>
        <v/>
      </c>
      <c r="X21" s="49" t="str">
        <f>_xlfn.XLOOKUP(Table_Input_InorganicFertiliser_Brands[[#This Row],[Product (select)]],FertiliserProducts[Product name],FertiliserProducts[Ammonia source])</f>
        <v/>
      </c>
    </row>
    <row r="22" spans="1:24" ht="36" customHeight="1" x14ac:dyDescent="0.25">
      <c r="A22"/>
      <c r="D22" s="46" t="s">
        <v>119</v>
      </c>
      <c r="E22" s="47">
        <v>100</v>
      </c>
      <c r="F22" s="48" t="str">
        <f>_xlfn.XLOOKUP(Table_Input_InorganicFertiliser_Brands[[#This Row],[Product (select)]],FertiliserProducts[Product name],FertiliserProducts[Unit])</f>
        <v>L</v>
      </c>
      <c r="G22" s="48">
        <f>_xlfn.XLOOKUP(Table_Input_InorganicFertiliser_Brands[[#This Row],[Product (select)]],FertiliserProducts[Product name],FertiliserProducts[Density / gravity])</f>
        <v>1.5</v>
      </c>
      <c r="H22" s="47">
        <f>$E$9</f>
        <v>100</v>
      </c>
      <c r="I22" s="49">
        <f>(Table_Input_InorganicFertiliser_Brands[[#This Row],[Amount applied per hectare]]*Table_Input_InorganicFertiliser_Brands[[#This Row],[Density]])*Table_Input_InorganicFertiliser_Brands[[#This Row],[Application area (ha)]]</f>
        <v>15000</v>
      </c>
      <c r="J22" s="49"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49"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49"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49"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49"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49"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49"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49"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49"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49"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49"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49"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49" t="str">
        <f>_xlfn.XLOOKUP(Table_Input_InorganicFertiliser_Brands[[#This Row],[Product (select)]],FertiliserProducts[Product name],FertiliserProducts[Urea source])</f>
        <v/>
      </c>
      <c r="X22" s="49" t="str">
        <f>_xlfn.XLOOKUP(Table_Input_InorganicFertiliser_Brands[[#This Row],[Product (select)]],FertiliserProducts[Product name],FertiliserProducts[Ammonia source])</f>
        <v/>
      </c>
    </row>
    <row r="23" spans="1:24" ht="36" customHeight="1" x14ac:dyDescent="0.25">
      <c r="A23"/>
      <c r="D23" s="50"/>
      <c r="E23" s="51"/>
      <c r="F23" s="52"/>
      <c r="G23" s="52"/>
      <c r="H23" s="52"/>
      <c r="I23" s="52"/>
      <c r="J23" s="53"/>
      <c r="K23" s="53"/>
      <c r="L23" s="54"/>
      <c r="M23" s="54"/>
      <c r="N23" s="55"/>
      <c r="O23" s="55"/>
      <c r="P23" s="55"/>
      <c r="Q23" s="55"/>
      <c r="R23" s="55"/>
      <c r="S23" s="55"/>
      <c r="T23" s="55"/>
      <c r="U23" s="55"/>
      <c r="V23" s="55"/>
      <c r="W23" s="55"/>
      <c r="X23" s="55"/>
    </row>
    <row r="24" spans="1:24" ht="36" customHeight="1" x14ac:dyDescent="0.25">
      <c r="A24" s="210" t="s">
        <v>116</v>
      </c>
      <c r="D24" s="56" t="s">
        <v>120</v>
      </c>
      <c r="E24" s="57"/>
      <c r="F24" s="57"/>
      <c r="G24" s="57"/>
      <c r="H24" s="57"/>
      <c r="I24" s="57"/>
      <c r="J24" s="57"/>
      <c r="K24" s="57"/>
      <c r="L24" s="57"/>
      <c r="M24" s="57"/>
      <c r="N24" s="55"/>
      <c r="O24" s="55"/>
      <c r="P24" s="55"/>
      <c r="Q24" s="55"/>
      <c r="R24" s="55"/>
      <c r="S24" s="55"/>
      <c r="T24" s="55"/>
      <c r="V24" s="55"/>
      <c r="W24" s="55"/>
      <c r="X24" s="55"/>
    </row>
    <row r="25" spans="1:24" ht="36" customHeight="1" x14ac:dyDescent="0.25">
      <c r="A25" s="24" t="str">
        <f>HYPERLINK("#'Constants - Fertiliser'!A1", "Constants - Fertiliser")</f>
        <v>Constants - Fertiliser</v>
      </c>
      <c r="D25" s="45" t="s">
        <v>121</v>
      </c>
      <c r="E25" s="45" t="s">
        <v>122</v>
      </c>
      <c r="F25" s="45" t="s">
        <v>98</v>
      </c>
      <c r="G25" s="45" t="s">
        <v>99</v>
      </c>
      <c r="H25" s="45" t="s">
        <v>123</v>
      </c>
      <c r="I25" s="45" t="s">
        <v>101</v>
      </c>
      <c r="J25" s="45" t="s">
        <v>102</v>
      </c>
      <c r="K25" s="45" t="s">
        <v>103</v>
      </c>
      <c r="L25" s="45" t="s">
        <v>104</v>
      </c>
      <c r="M25" s="45" t="s">
        <v>105</v>
      </c>
      <c r="N25" s="45" t="s">
        <v>106</v>
      </c>
      <c r="O25" s="45" t="s">
        <v>107</v>
      </c>
      <c r="P25" s="45" t="s">
        <v>112</v>
      </c>
      <c r="Q25" s="44" t="s">
        <v>124</v>
      </c>
      <c r="R25" s="44" t="s">
        <v>125</v>
      </c>
      <c r="S25" s="55"/>
      <c r="T25" s="55"/>
      <c r="V25" s="55"/>
      <c r="W25" s="55"/>
      <c r="X25" s="55"/>
    </row>
    <row r="26" spans="1:24" ht="36" customHeight="1" x14ac:dyDescent="0.25">
      <c r="A26" s="24" t="str">
        <f>HYPERLINK("#'Constants - Fuel'!A1", "Constants - Fuel")</f>
        <v>Constants - Fuel</v>
      </c>
      <c r="D26" s="58" t="s">
        <v>126</v>
      </c>
      <c r="E26" s="45">
        <v>100</v>
      </c>
      <c r="F26" s="47">
        <f>$E$9</f>
        <v>100</v>
      </c>
      <c r="G26" s="49">
        <f>Table_Input_InorganicFertiliser_Custom[[#This Row],[Amount applied (kg / ha)]]*Table_Input_InorganicFertiliser_Custom[[#This Row],[Application area (ha)]]</f>
        <v>10000</v>
      </c>
      <c r="H26" s="59" t="s">
        <v>127</v>
      </c>
      <c r="I26" s="60">
        <v>0.5</v>
      </c>
      <c r="J26" s="59" t="s">
        <v>128</v>
      </c>
      <c r="K26" s="60">
        <v>0.2</v>
      </c>
      <c r="L26" s="59" t="s">
        <v>129</v>
      </c>
      <c r="M26" s="60">
        <v>0.2</v>
      </c>
      <c r="N26" s="61" t="s">
        <v>130</v>
      </c>
      <c r="O26" s="62">
        <v>0.1</v>
      </c>
      <c r="P26"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7"/>
      <c r="R26" s="27"/>
      <c r="T26" s="63"/>
    </row>
    <row r="27" spans="1:24" ht="20.100000000000001" customHeight="1" x14ac:dyDescent="0.25">
      <c r="A27" s="24" t="str">
        <f>HYPERLINK("#'Constants - Common'!A1", "Constants - Common")</f>
        <v>Constants - Common</v>
      </c>
      <c r="D27" s="58" t="s">
        <v>131</v>
      </c>
      <c r="E27" s="45">
        <v>100</v>
      </c>
      <c r="F27" s="64">
        <f>$E$9</f>
        <v>100</v>
      </c>
      <c r="G27" s="49">
        <f>Table_Input_InorganicFertiliser_Custom[[#This Row],[Amount applied (kg / ha)]]*Table_Input_InorganicFertiliser_Custom[[#This Row],[Application area (ha)]]</f>
        <v>10000</v>
      </c>
      <c r="H27" s="59" t="s">
        <v>132</v>
      </c>
      <c r="I27" s="65">
        <v>1</v>
      </c>
      <c r="J27" s="59"/>
      <c r="K27" s="65"/>
      <c r="L27" s="59"/>
      <c r="M27" s="65"/>
      <c r="N27" s="61"/>
      <c r="O27" s="62"/>
      <c r="P27"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7"/>
      <c r="R27" s="27"/>
      <c r="W27" s="63"/>
    </row>
    <row r="28" spans="1:24" ht="20.100000000000001" customHeight="1" x14ac:dyDescent="0.25">
      <c r="A28" s="24" t="str">
        <f>HYPERLINK("#'Overview'!A1", "Overview")</f>
        <v>Overview</v>
      </c>
      <c r="D28" s="58" t="s">
        <v>133</v>
      </c>
      <c r="E28" s="45">
        <v>100</v>
      </c>
      <c r="F28" s="64">
        <f>$E$9</f>
        <v>100</v>
      </c>
      <c r="G28" s="49">
        <f>Table_Input_InorganicFertiliser_Custom[[#This Row],[Amount applied (kg / ha)]]*Table_Input_InorganicFertiliser_Custom[[#This Row],[Application area (ha)]]</f>
        <v>10000</v>
      </c>
      <c r="H28" s="59" t="s">
        <v>134</v>
      </c>
      <c r="I28" s="65">
        <v>0.5</v>
      </c>
      <c r="J28" s="59"/>
      <c r="K28" s="65"/>
      <c r="L28" s="59"/>
      <c r="M28" s="65"/>
      <c r="N28" s="61"/>
      <c r="O28" s="62"/>
      <c r="P28"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7"/>
      <c r="R28" s="27"/>
    </row>
    <row r="29" spans="1:24" ht="20.100000000000001" customHeight="1" x14ac:dyDescent="0.25">
      <c r="A29"/>
      <c r="V29" s="63"/>
    </row>
    <row r="30" spans="1:24" ht="20.100000000000001" customHeight="1" x14ac:dyDescent="0.25">
      <c r="A30"/>
      <c r="D30" s="16" t="s">
        <v>135</v>
      </c>
      <c r="E30" s="14"/>
      <c r="F30" s="14"/>
      <c r="G30" s="14"/>
      <c r="H30" s="14"/>
      <c r="I30" s="14"/>
      <c r="J30" s="14"/>
      <c r="K30" s="21"/>
      <c r="L30" s="21"/>
      <c r="M30" s="21"/>
    </row>
    <row r="31" spans="1:24" ht="20.100000000000001" customHeight="1" x14ac:dyDescent="0.25">
      <c r="A31"/>
      <c r="D31" s="21"/>
      <c r="E31" s="21"/>
      <c r="F31" s="21"/>
      <c r="G31" s="21"/>
      <c r="H31" s="21"/>
      <c r="I31" s="21"/>
      <c r="J31" s="21"/>
      <c r="K31" s="21"/>
      <c r="L31" s="21"/>
      <c r="M31" s="14"/>
    </row>
    <row r="32" spans="1:24" ht="30" customHeight="1" x14ac:dyDescent="0.25">
      <c r="A32"/>
      <c r="D32" s="33" t="s">
        <v>136</v>
      </c>
      <c r="E32" s="34"/>
      <c r="F32" s="35"/>
      <c r="G32" s="33"/>
      <c r="H32" s="35"/>
      <c r="I32" s="14"/>
      <c r="J32" s="14"/>
      <c r="K32" s="21"/>
      <c r="L32" s="21"/>
      <c r="M32" s="21"/>
    </row>
    <row r="33" spans="1:25" ht="36" customHeight="1" x14ac:dyDescent="0.25">
      <c r="A33"/>
      <c r="D33" s="66" t="s">
        <v>137</v>
      </c>
      <c r="E33" s="67"/>
      <c r="F33" s="68"/>
      <c r="G33" s="66"/>
      <c r="H33" s="68"/>
      <c r="I33" s="21"/>
      <c r="J33" s="21"/>
      <c r="K33" s="21"/>
      <c r="L33" s="21"/>
      <c r="M33" s="14"/>
    </row>
    <row r="34" spans="1:25" ht="36" customHeight="1" x14ac:dyDescent="0.25">
      <c r="A34"/>
      <c r="D34" s="39" t="s">
        <v>92</v>
      </c>
      <c r="E34" s="40"/>
      <c r="F34" s="40"/>
      <c r="G34" s="40"/>
      <c r="H34" s="41"/>
      <c r="I34" s="21"/>
      <c r="J34" s="21"/>
      <c r="K34" s="21"/>
      <c r="L34" s="21"/>
      <c r="M34" s="14"/>
    </row>
    <row r="35" spans="1:25" ht="36" customHeight="1" x14ac:dyDescent="0.25">
      <c r="A35"/>
      <c r="D35" s="69" t="str">
        <f>IF(MAX(Table_Input_Lime[Total]) &gt; 1, "There can not be more than 100% ingredients in a product. Check the table below.", "")</f>
        <v/>
      </c>
    </row>
    <row r="36" spans="1:25" ht="36" customHeight="1" x14ac:dyDescent="0.25">
      <c r="A36"/>
      <c r="D36" s="70" t="s">
        <v>138</v>
      </c>
      <c r="E36" s="70" t="s">
        <v>139</v>
      </c>
      <c r="F36" s="70" t="s">
        <v>98</v>
      </c>
      <c r="G36" s="70" t="s">
        <v>140</v>
      </c>
      <c r="H36" s="70" t="s">
        <v>141</v>
      </c>
      <c r="I36" s="70" t="s">
        <v>142</v>
      </c>
      <c r="J36" s="70" t="s">
        <v>143</v>
      </c>
      <c r="K36" s="70" t="s">
        <v>144</v>
      </c>
    </row>
    <row r="37" spans="1:25" ht="20.100000000000001" customHeight="1" x14ac:dyDescent="0.25">
      <c r="A37"/>
      <c r="D37" s="71" t="s">
        <v>145</v>
      </c>
      <c r="E37" s="47">
        <v>1</v>
      </c>
      <c r="F37" s="47">
        <f>$E$9</f>
        <v>100</v>
      </c>
      <c r="G37" s="49">
        <f>IFERROR(Table_Input_Lime[[#This Row],[Amount applied (t/hectare)]]*Table_Input_Lime[[#This Row],[Application area (ha)]], 0)</f>
        <v>100</v>
      </c>
      <c r="H37" s="72">
        <v>0.8</v>
      </c>
      <c r="I37" s="72">
        <v>0.1</v>
      </c>
      <c r="J37" s="72">
        <v>0.1</v>
      </c>
      <c r="K37" s="73">
        <f>SUM(Table_Input_Lime[[#This Row],[Percent Lime CaCO3]:[Percent Gypsum]])</f>
        <v>1</v>
      </c>
    </row>
    <row r="38" spans="1:25" ht="20.100000000000001" customHeight="1" x14ac:dyDescent="0.25">
      <c r="A38"/>
      <c r="C38" s="55"/>
      <c r="D38" s="71" t="s">
        <v>146</v>
      </c>
      <c r="E38" s="47">
        <v>1</v>
      </c>
      <c r="F38" s="47">
        <f>$E$9</f>
        <v>100</v>
      </c>
      <c r="G38" s="49">
        <f>IFERROR(Table_Input_Lime[[#This Row],[Amount applied (t/hectare)]]*Table_Input_Lime[[#This Row],[Application area (ha)]], 0)</f>
        <v>100</v>
      </c>
      <c r="H38" s="72">
        <v>1</v>
      </c>
      <c r="I38" s="72"/>
      <c r="J38" s="72"/>
      <c r="K38" s="73">
        <f>SUM(Table_Input_Lime[[#This Row],[Percent Lime CaCO3]:[Percent Gypsum]])</f>
        <v>1</v>
      </c>
      <c r="L38" s="14"/>
    </row>
    <row r="39" spans="1:25" ht="20.100000000000001" customHeight="1" x14ac:dyDescent="0.25">
      <c r="A39"/>
      <c r="C39" s="55"/>
      <c r="D39" s="71" t="s">
        <v>147</v>
      </c>
      <c r="E39" s="47">
        <v>1</v>
      </c>
      <c r="F39" s="47">
        <f>$E$9</f>
        <v>100</v>
      </c>
      <c r="G39" s="49">
        <f>IFERROR(Table_Input_Lime[[#This Row],[Amount applied (t/hectare)]]*Table_Input_Lime[[#This Row],[Application area (ha)]], 0)</f>
        <v>100</v>
      </c>
      <c r="H39" s="72">
        <v>0</v>
      </c>
      <c r="I39" s="72"/>
      <c r="J39" s="72">
        <v>1</v>
      </c>
      <c r="K39" s="73">
        <f>SUM(Table_Input_Lime[[#This Row],[Percent Lime CaCO3]:[Percent Gypsum]])</f>
        <v>1</v>
      </c>
      <c r="L39" s="14"/>
      <c r="M39" s="14"/>
    </row>
    <row r="40" spans="1:25" s="74" customFormat="1" ht="20.100000000000001" customHeight="1" x14ac:dyDescent="0.25">
      <c r="A40"/>
      <c r="C40" s="15"/>
      <c r="D40" s="21"/>
      <c r="E40" s="21"/>
      <c r="F40" s="21"/>
      <c r="G40" s="21"/>
      <c r="H40" s="21"/>
      <c r="I40" s="21"/>
      <c r="J40" s="21"/>
      <c r="K40" s="15"/>
      <c r="L40" s="21"/>
      <c r="M40" s="14"/>
      <c r="N40" s="15"/>
      <c r="O40" s="15"/>
      <c r="P40" s="15"/>
      <c r="Q40" s="15"/>
      <c r="R40" s="15"/>
      <c r="S40" s="15"/>
      <c r="T40" s="15"/>
      <c r="U40" s="15"/>
      <c r="V40" s="15"/>
      <c r="W40" s="15"/>
      <c r="X40" s="15"/>
      <c r="Y40" s="15"/>
    </row>
    <row r="41" spans="1:25" s="74" customFormat="1" ht="20.100000000000001" customHeight="1" x14ac:dyDescent="0.25">
      <c r="A41"/>
      <c r="C41" s="15"/>
      <c r="D41" s="21"/>
      <c r="E41" s="21"/>
      <c r="F41" s="21"/>
      <c r="G41" s="21"/>
      <c r="H41" s="21"/>
      <c r="I41" s="21"/>
      <c r="J41" s="75"/>
      <c r="K41" s="14"/>
      <c r="L41" s="21"/>
      <c r="M41" s="21"/>
      <c r="N41" s="15"/>
      <c r="O41" s="15"/>
      <c r="P41" s="15"/>
      <c r="Q41" s="15"/>
      <c r="R41" s="15"/>
      <c r="S41" s="15"/>
      <c r="T41" s="15"/>
      <c r="U41" s="15"/>
      <c r="V41" s="15"/>
      <c r="W41" s="15"/>
      <c r="X41" s="15"/>
      <c r="Y41" s="15"/>
    </row>
    <row r="42" spans="1:25" ht="30" customHeight="1" x14ac:dyDescent="0.25">
      <c r="A42"/>
      <c r="D42" s="16" t="s">
        <v>148</v>
      </c>
      <c r="E42" s="14"/>
      <c r="F42" s="14"/>
      <c r="G42" s="14"/>
      <c r="H42" s="21"/>
      <c r="I42" s="21"/>
      <c r="J42" s="21"/>
      <c r="K42" s="21"/>
      <c r="L42" s="21"/>
      <c r="M42" s="21"/>
      <c r="S42" s="55"/>
    </row>
    <row r="43" spans="1:25" ht="36" customHeight="1" x14ac:dyDescent="0.25">
      <c r="A43"/>
      <c r="D43" s="21"/>
      <c r="E43" s="21"/>
      <c r="F43" s="21"/>
      <c r="G43" s="21"/>
      <c r="H43" s="21"/>
      <c r="I43" s="21"/>
      <c r="J43" s="21"/>
      <c r="K43" s="21"/>
      <c r="L43" s="21"/>
      <c r="M43" s="21"/>
      <c r="Q43" s="55"/>
      <c r="R43" s="55"/>
      <c r="S43" s="55"/>
    </row>
    <row r="44" spans="1:25" ht="36" customHeight="1" x14ac:dyDescent="0.25">
      <c r="A44"/>
      <c r="D44" s="33" t="s">
        <v>136</v>
      </c>
      <c r="E44" s="34"/>
      <c r="F44" s="34"/>
      <c r="G44" s="34"/>
      <c r="H44" s="35"/>
      <c r="I44" s="21"/>
      <c r="J44" s="21"/>
      <c r="K44" s="21"/>
      <c r="L44" s="21"/>
      <c r="M44" s="21"/>
      <c r="O44" s="55"/>
      <c r="P44" s="55"/>
      <c r="Q44" s="55"/>
      <c r="R44" s="55"/>
    </row>
    <row r="45" spans="1:25" ht="36" customHeight="1" x14ac:dyDescent="0.25">
      <c r="A45"/>
      <c r="D45" s="39" t="s">
        <v>92</v>
      </c>
      <c r="E45" s="40"/>
      <c r="F45" s="40"/>
      <c r="G45" s="40"/>
      <c r="H45" s="41"/>
      <c r="I45" s="21"/>
      <c r="J45" s="21"/>
      <c r="K45" s="21"/>
      <c r="L45" s="57"/>
      <c r="M45" s="55"/>
      <c r="N45" s="55"/>
      <c r="O45" s="55"/>
      <c r="P45" s="55"/>
    </row>
    <row r="46" spans="1:25" ht="36" customHeight="1" x14ac:dyDescent="0.25">
      <c r="A46"/>
      <c r="D46" s="21"/>
      <c r="E46" s="21"/>
      <c r="F46" s="21"/>
      <c r="G46" s="21"/>
      <c r="H46" s="21"/>
      <c r="I46" s="21"/>
      <c r="J46" s="21"/>
      <c r="K46" s="21"/>
      <c r="L46" s="57"/>
      <c r="M46" s="55"/>
      <c r="N46" s="55"/>
    </row>
    <row r="47" spans="1:25" ht="20.100000000000001" customHeight="1" x14ac:dyDescent="0.25">
      <c r="A47"/>
      <c r="D47" s="70" t="s">
        <v>149</v>
      </c>
      <c r="E47" s="70" t="s">
        <v>150</v>
      </c>
      <c r="F47" s="70" t="s">
        <v>151</v>
      </c>
      <c r="G47" s="70" t="s">
        <v>152</v>
      </c>
      <c r="H47" s="70" t="s">
        <v>98</v>
      </c>
      <c r="I47" s="70" t="s">
        <v>153</v>
      </c>
      <c r="J47" s="70" t="s">
        <v>154</v>
      </c>
      <c r="K47" s="57"/>
    </row>
    <row r="48" spans="1:25" ht="20.100000000000001" customHeight="1" x14ac:dyDescent="0.25">
      <c r="A48"/>
      <c r="D48" s="46" t="s">
        <v>155</v>
      </c>
      <c r="E48" s="72">
        <v>0.3</v>
      </c>
      <c r="F48" s="47">
        <v>10</v>
      </c>
      <c r="G48" s="49">
        <f>Table_Input_OrganicFertiliser[[#This Row],[Amount applied (kg/hectare)]]*Table_Input_OrganicFertiliser[[#This Row],[Percentage of N in fertiliser]]</f>
        <v>3</v>
      </c>
      <c r="H48" s="47">
        <f>$E$9</f>
        <v>100</v>
      </c>
      <c r="I48" s="49">
        <f>Table_Input_OrganicFertiliser[[#This Row],[Amount applied (kg/hectare)]]*Table_Input_OrganicFertiliser[[#This Row],[Application area (ha)]]</f>
        <v>1000</v>
      </c>
      <c r="J48" s="49">
        <f>IFERROR(Table_Input_OrganicFertiliser[[#This Row],[Amount N applied (kg/hectare)]]*Table_Input_OrganicFertiliser[[#This Row],[Application area (ha)]], 0)</f>
        <v>300</v>
      </c>
      <c r="K48" s="57"/>
    </row>
    <row r="49" spans="1:10" ht="20.100000000000001" customHeight="1" x14ac:dyDescent="0.25">
      <c r="A49"/>
      <c r="D49" s="46" t="s">
        <v>156</v>
      </c>
      <c r="E49" s="72">
        <v>0.25</v>
      </c>
      <c r="F49" s="47">
        <v>10</v>
      </c>
      <c r="G49" s="49">
        <f>Table_Input_OrganicFertiliser[[#This Row],[Amount applied (kg/hectare)]]*Table_Input_OrganicFertiliser[[#This Row],[Percentage of N in fertiliser]]</f>
        <v>2.5</v>
      </c>
      <c r="H49" s="47">
        <f>$E$9</f>
        <v>100</v>
      </c>
      <c r="I49" s="49">
        <f>Table_Input_OrganicFertiliser[[#This Row],[Amount applied (kg/hectare)]]*Table_Input_OrganicFertiliser[[#This Row],[Application area (ha)]]</f>
        <v>1000</v>
      </c>
      <c r="J49" s="49">
        <f>IFERROR(Table_Input_OrganicFertiliser[[#This Row],[Amount N applied (kg/hectare)]]*Table_Input_OrganicFertiliser[[#This Row],[Application area (ha)]], 0)</f>
        <v>250</v>
      </c>
    </row>
    <row r="50" spans="1:10" ht="20.100000000000001" customHeight="1" x14ac:dyDescent="0.25">
      <c r="A50"/>
      <c r="D50" s="46" t="s">
        <v>157</v>
      </c>
      <c r="E50" s="72">
        <v>0.16</v>
      </c>
      <c r="F50" s="47">
        <v>10</v>
      </c>
      <c r="G50" s="49">
        <f>Table_Input_OrganicFertiliser[[#This Row],[Amount applied (kg/hectare)]]*Table_Input_OrganicFertiliser[[#This Row],[Percentage of N in fertiliser]]</f>
        <v>1.6</v>
      </c>
      <c r="H50" s="47">
        <f>$E$9</f>
        <v>100</v>
      </c>
      <c r="I50" s="49">
        <f>Table_Input_OrganicFertiliser[[#This Row],[Amount applied (kg/hectare)]]*Table_Input_OrganicFertiliser[[#This Row],[Application area (ha)]]</f>
        <v>1000</v>
      </c>
      <c r="J50" s="49">
        <f>IFERROR(Table_Input_OrganicFertiliser[[#This Row],[Amount N applied (kg/hectare)]]*Table_Input_OrganicFertiliser[[#This Row],[Application area (ha)]], 0)</f>
        <v>160</v>
      </c>
    </row>
    <row r="51" spans="1:10" ht="20.100000000000001" customHeight="1" x14ac:dyDescent="0.25">
      <c r="A51"/>
    </row>
    <row r="52" spans="1:10" ht="20.100000000000001" customHeight="1" x14ac:dyDescent="0.25">
      <c r="A52"/>
    </row>
    <row r="53" spans="1:10" ht="20.100000000000001" customHeight="1" x14ac:dyDescent="0.25">
      <c r="A53"/>
    </row>
    <row r="54" spans="1:10" ht="20.100000000000001" customHeight="1" x14ac:dyDescent="0.25">
      <c r="A54"/>
    </row>
    <row r="55" spans="1:10" ht="20.100000000000001" customHeight="1" x14ac:dyDescent="0.25">
      <c r="A55"/>
    </row>
    <row r="56" spans="1:10" ht="20.100000000000001" customHeight="1" x14ac:dyDescent="0.25">
      <c r="A56"/>
    </row>
    <row r="57" spans="1:10" ht="20.100000000000001" customHeight="1" x14ac:dyDescent="0.25">
      <c r="A57"/>
    </row>
    <row r="58" spans="1:10" ht="20.100000000000001" customHeight="1" x14ac:dyDescent="0.25">
      <c r="A58"/>
    </row>
    <row r="59" spans="1:10" ht="20.100000000000001" customHeight="1" x14ac:dyDescent="0.25">
      <c r="A59"/>
    </row>
    <row r="60" spans="1:10" ht="20.100000000000001" customHeight="1" x14ac:dyDescent="0.25">
      <c r="A60"/>
    </row>
    <row r="61" spans="1:10" ht="20.100000000000001" customHeight="1" x14ac:dyDescent="0.25">
      <c r="A61"/>
    </row>
    <row r="62" spans="1:10" ht="20.100000000000001" customHeight="1" x14ac:dyDescent="0.25">
      <c r="A62"/>
    </row>
    <row r="63" spans="1:10" ht="20.100000000000001" customHeight="1" x14ac:dyDescent="0.25">
      <c r="A63"/>
    </row>
    <row r="64" spans="1:10"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8"/>
    </row>
    <row r="213" spans="12:12" x14ac:dyDescent="0.25">
      <c r="L213" s="28"/>
    </row>
    <row r="214" spans="12:12" x14ac:dyDescent="0.25">
      <c r="L214" s="28"/>
    </row>
    <row r="215" spans="12:12" x14ac:dyDescent="0.25">
      <c r="L215" s="28"/>
    </row>
    <row r="216" spans="12:12" x14ac:dyDescent="0.25">
      <c r="L216" s="28"/>
    </row>
    <row r="218" spans="12:12" x14ac:dyDescent="0.25">
      <c r="L218" s="28"/>
    </row>
    <row r="220" spans="12:12" x14ac:dyDescent="0.25">
      <c r="L220" s="28"/>
    </row>
    <row r="221" spans="12:12" x14ac:dyDescent="0.25">
      <c r="L221" s="28"/>
    </row>
    <row r="222" spans="12:12" x14ac:dyDescent="0.25">
      <c r="L222" s="28"/>
    </row>
    <row r="223" spans="12:12" x14ac:dyDescent="0.25">
      <c r="L223" s="28"/>
    </row>
    <row r="225" spans="12:12" x14ac:dyDescent="0.25">
      <c r="L225" s="28"/>
    </row>
    <row r="233" spans="12:12" x14ac:dyDescent="0.25">
      <c r="L233" s="28"/>
    </row>
    <row r="234" spans="12:12" x14ac:dyDescent="0.25">
      <c r="L234" s="28"/>
    </row>
    <row r="235" spans="12:12" x14ac:dyDescent="0.25">
      <c r="L235" s="28"/>
    </row>
    <row r="238" spans="12:12" x14ac:dyDescent="0.25">
      <c r="L238" s="28"/>
    </row>
    <row r="239" spans="12:12" x14ac:dyDescent="0.25">
      <c r="L239" s="28"/>
    </row>
    <row r="240" spans="12:12" x14ac:dyDescent="0.25">
      <c r="L240" s="28"/>
    </row>
    <row r="243" spans="11:12" x14ac:dyDescent="0.25">
      <c r="L243" s="28"/>
    </row>
    <row r="244" spans="11:12" x14ac:dyDescent="0.25">
      <c r="L244" s="28"/>
    </row>
    <row r="245" spans="11:12" x14ac:dyDescent="0.25">
      <c r="L245" s="28"/>
    </row>
    <row r="248" spans="11:12" x14ac:dyDescent="0.25">
      <c r="L248" s="28"/>
    </row>
    <row r="249" spans="11:12" x14ac:dyDescent="0.25">
      <c r="L249" s="28"/>
    </row>
    <row r="250" spans="11:12" x14ac:dyDescent="0.25">
      <c r="L250" s="28"/>
    </row>
    <row r="251" spans="11:12" x14ac:dyDescent="0.25">
      <c r="K251" s="28"/>
    </row>
    <row r="256" spans="11:12" x14ac:dyDescent="0.25">
      <c r="K256" s="28"/>
    </row>
    <row r="257" spans="11:12" x14ac:dyDescent="0.25">
      <c r="L257" s="28"/>
    </row>
    <row r="258" spans="11:12" x14ac:dyDescent="0.25">
      <c r="L258" s="28"/>
    </row>
    <row r="259" spans="11:12" x14ac:dyDescent="0.25">
      <c r="L259" s="28"/>
    </row>
    <row r="261" spans="11:12" x14ac:dyDescent="0.25">
      <c r="K261" s="28"/>
    </row>
    <row r="262" spans="11:12" x14ac:dyDescent="0.25">
      <c r="L262" s="28"/>
    </row>
    <row r="263" spans="11:12" x14ac:dyDescent="0.25">
      <c r="L263" s="28"/>
    </row>
    <row r="264" spans="11:12" x14ac:dyDescent="0.25">
      <c r="L264" s="28"/>
    </row>
    <row r="266" spans="11:12" x14ac:dyDescent="0.25">
      <c r="K266" s="28"/>
    </row>
    <row r="267" spans="11:12" x14ac:dyDescent="0.25">
      <c r="K267" s="28"/>
      <c r="L267" s="28"/>
    </row>
    <row r="268" spans="11:12" x14ac:dyDescent="0.25">
      <c r="K268" s="28"/>
      <c r="L268" s="28"/>
    </row>
    <row r="269" spans="11:12" x14ac:dyDescent="0.25">
      <c r="K269" s="28"/>
      <c r="L269" s="28"/>
    </row>
    <row r="270" spans="11:12" x14ac:dyDescent="0.25">
      <c r="K270" s="28"/>
    </row>
    <row r="272" spans="11:12" x14ac:dyDescent="0.25">
      <c r="K272" s="28"/>
      <c r="L272" s="28"/>
    </row>
    <row r="273" spans="11:12" x14ac:dyDescent="0.25">
      <c r="L273" s="28"/>
    </row>
    <row r="274" spans="11:12" x14ac:dyDescent="0.25">
      <c r="K274" s="28"/>
      <c r="L274" s="28"/>
    </row>
    <row r="275" spans="11:12" x14ac:dyDescent="0.25">
      <c r="K275" s="28"/>
    </row>
    <row r="276" spans="11:12" x14ac:dyDescent="0.25">
      <c r="K276" s="28"/>
    </row>
    <row r="277" spans="11:12" x14ac:dyDescent="0.25">
      <c r="K277" s="28"/>
    </row>
    <row r="279" spans="11:12" x14ac:dyDescent="0.25">
      <c r="K279" s="28"/>
    </row>
    <row r="285" spans="11:12" x14ac:dyDescent="0.25">
      <c r="K285" s="28"/>
    </row>
    <row r="290" spans="11:11" x14ac:dyDescent="0.25">
      <c r="K290" s="28"/>
    </row>
    <row r="295" spans="11:11" x14ac:dyDescent="0.25">
      <c r="K295" s="28"/>
    </row>
    <row r="300" spans="11:11" x14ac:dyDescent="0.25">
      <c r="K300" s="28"/>
    </row>
    <row r="301" spans="11:11" x14ac:dyDescent="0.25">
      <c r="K301" s="28"/>
    </row>
    <row r="302" spans="11:11" x14ac:dyDescent="0.25">
      <c r="K302" s="28"/>
    </row>
    <row r="303" spans="11:11" x14ac:dyDescent="0.25">
      <c r="K303" s="28"/>
    </row>
    <row r="304" spans="11:11" x14ac:dyDescent="0.25">
      <c r="K304" s="28"/>
    </row>
    <row r="306" spans="11:11" x14ac:dyDescent="0.25">
      <c r="K306" s="28"/>
    </row>
    <row r="308" spans="11:11" x14ac:dyDescent="0.25">
      <c r="K308" s="28"/>
    </row>
    <row r="309" spans="11:11" x14ac:dyDescent="0.25">
      <c r="K309" s="28"/>
    </row>
    <row r="310" spans="11:11" x14ac:dyDescent="0.25">
      <c r="K310" s="28"/>
    </row>
    <row r="311" spans="11:11" x14ac:dyDescent="0.25">
      <c r="K311" s="28"/>
    </row>
    <row r="313" spans="11:11" x14ac:dyDescent="0.25">
      <c r="K313" s="28"/>
    </row>
    <row r="321" spans="11:11" x14ac:dyDescent="0.25">
      <c r="K321" s="28"/>
    </row>
    <row r="322" spans="11:11" x14ac:dyDescent="0.25">
      <c r="K322" s="28"/>
    </row>
    <row r="323" spans="11:11" x14ac:dyDescent="0.25">
      <c r="K323" s="28"/>
    </row>
    <row r="326" spans="11:11" x14ac:dyDescent="0.25">
      <c r="K326" s="28"/>
    </row>
    <row r="327" spans="11:11" x14ac:dyDescent="0.25">
      <c r="K327" s="28"/>
    </row>
    <row r="328" spans="11:11" x14ac:dyDescent="0.25">
      <c r="K328" s="28"/>
    </row>
    <row r="331" spans="11:11" x14ac:dyDescent="0.25">
      <c r="K331" s="28"/>
    </row>
    <row r="332" spans="11:11" x14ac:dyDescent="0.25">
      <c r="K332" s="28"/>
    </row>
    <row r="333" spans="11:11" x14ac:dyDescent="0.25">
      <c r="K333" s="28"/>
    </row>
    <row r="336" spans="11:11" x14ac:dyDescent="0.25">
      <c r="K336" s="28"/>
    </row>
    <row r="337" spans="11:11" x14ac:dyDescent="0.25">
      <c r="K337" s="28"/>
    </row>
    <row r="338" spans="11:11" x14ac:dyDescent="0.25">
      <c r="K338" s="28"/>
    </row>
    <row r="345" spans="11:11" x14ac:dyDescent="0.25">
      <c r="K345" s="28"/>
    </row>
    <row r="346" spans="11:11" x14ac:dyDescent="0.25">
      <c r="K346" s="28"/>
    </row>
    <row r="347" spans="11:11" x14ac:dyDescent="0.25">
      <c r="K347" s="28"/>
    </row>
    <row r="350" spans="11:11" x14ac:dyDescent="0.25">
      <c r="K350" s="28"/>
    </row>
    <row r="351" spans="11:11" x14ac:dyDescent="0.25">
      <c r="K351" s="28"/>
    </row>
    <row r="352" spans="11:11" x14ac:dyDescent="0.25">
      <c r="K352" s="28"/>
    </row>
    <row r="355" spans="4:11" x14ac:dyDescent="0.25">
      <c r="K355" s="28"/>
    </row>
    <row r="356" spans="4:11" x14ac:dyDescent="0.25">
      <c r="K356" s="28"/>
    </row>
    <row r="357" spans="4:11" x14ac:dyDescent="0.25">
      <c r="K357" s="28"/>
    </row>
    <row r="360" spans="4:11" x14ac:dyDescent="0.25">
      <c r="K360" s="28"/>
    </row>
    <row r="361" spans="4:11" x14ac:dyDescent="0.25">
      <c r="K361" s="28"/>
    </row>
    <row r="362" spans="4:11" x14ac:dyDescent="0.25">
      <c r="K362" s="28"/>
    </row>
    <row r="366" spans="4:11" x14ac:dyDescent="0.25">
      <c r="D366" s="69"/>
    </row>
  </sheetData>
  <conditionalFormatting sqref="F52 L186 K188 L190:L191 K192:K193 L194:L195 K196:K197 L200:L201 K202:K203 L204:L205 K206:K207 L211:L216 K213">
    <cfRule type="cellIs" dxfId="230" priority="19" operator="lessThan">
      <formula>0</formula>
    </cfRule>
  </conditionalFormatting>
  <conditionalFormatting sqref="F155:F156">
    <cfRule type="cellIs" dxfId="229" priority="15" operator="lessThan">
      <formula>0</formula>
    </cfRule>
  </conditionalFormatting>
  <conditionalFormatting sqref="F167:F168">
    <cfRule type="cellIs" dxfId="228" priority="14" operator="lessThan">
      <formula>0</formula>
    </cfRule>
  </conditionalFormatting>
  <conditionalFormatting sqref="F255:F256">
    <cfRule type="cellIs" dxfId="227" priority="27" operator="lessThan">
      <formula>0</formula>
    </cfRule>
  </conditionalFormatting>
  <conditionalFormatting sqref="F260:F261">
    <cfRule type="cellIs" dxfId="226" priority="26" operator="lessThan">
      <formula>0</formula>
    </cfRule>
  </conditionalFormatting>
  <conditionalFormatting sqref="F265:F266">
    <cfRule type="cellIs" dxfId="225" priority="25" operator="lessThan">
      <formula>0</formula>
    </cfRule>
  </conditionalFormatting>
  <conditionalFormatting sqref="F289:F290">
    <cfRule type="cellIs" dxfId="224" priority="24" operator="lessThan">
      <formula>0</formula>
    </cfRule>
  </conditionalFormatting>
  <conditionalFormatting sqref="F294:F295">
    <cfRule type="cellIs" dxfId="223" priority="23" operator="lessThan">
      <formula>0</formula>
    </cfRule>
  </conditionalFormatting>
  <conditionalFormatting sqref="F299:F300">
    <cfRule type="cellIs" dxfId="222" priority="22" operator="lessThan">
      <formula>0</formula>
    </cfRule>
  </conditionalFormatting>
  <conditionalFormatting sqref="H47:H50 F131:F132">
    <cfRule type="cellIs" dxfId="221"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20" priority="21" operator="lessThan">
      <formula>0</formula>
    </cfRule>
  </conditionalFormatting>
  <conditionalFormatting sqref="I36:I41 F143:F144">
    <cfRule type="cellIs" dxfId="219" priority="16" operator="lessThan">
      <formula>0</formula>
    </cfRule>
  </conditionalFormatting>
  <conditionalFormatting sqref="I62:I66">
    <cfRule type="cellIs" dxfId="218" priority="4" operator="lessThan">
      <formula>0</formula>
    </cfRule>
  </conditionalFormatting>
  <conditionalFormatting sqref="I70 M107 I129:J129">
    <cfRule type="cellIs" dxfId="217" priority="20" operator="lessThan">
      <formula>0</formula>
    </cfRule>
  </conditionalFormatting>
  <conditionalFormatting sqref="I81:I83">
    <cfRule type="cellIs" dxfId="216" priority="3" operator="lessThan">
      <formula>0</formula>
    </cfRule>
  </conditionalFormatting>
  <conditionalFormatting sqref="I87:I90">
    <cfRule type="cellIs" dxfId="215" priority="2" operator="lessThan">
      <formula>0</formula>
    </cfRule>
  </conditionalFormatting>
  <conditionalFormatting sqref="I94:I98">
    <cfRule type="cellIs" dxfId="214" priority="1" operator="lessThan">
      <formula>0</formula>
    </cfRule>
  </conditionalFormatting>
  <conditionalFormatting sqref="J157">
    <cfRule type="cellIs" dxfId="213" priority="18" operator="lessThan">
      <formula>0</formula>
    </cfRule>
  </conditionalFormatting>
  <conditionalFormatting sqref="L119:L122">
    <cfRule type="cellIs" dxfId="212" priority="8" operator="lessThan">
      <formula>0</formula>
    </cfRule>
  </conditionalFormatting>
  <conditionalFormatting sqref="L125">
    <cfRule type="cellIs" dxfId="211" priority="13" operator="lessThan">
      <formula>0</formula>
    </cfRule>
  </conditionalFormatting>
  <conditionalFormatting sqref="L131:L134">
    <cfRule type="cellIs" dxfId="210" priority="7" operator="lessThan">
      <formula>0</formula>
    </cfRule>
  </conditionalFormatting>
  <conditionalFormatting sqref="L137">
    <cfRule type="cellIs" dxfId="209" priority="12" operator="lessThan">
      <formula>0</formula>
    </cfRule>
  </conditionalFormatting>
  <conditionalFormatting sqref="L143:L146">
    <cfRule type="cellIs" dxfId="208" priority="6" operator="lessThan">
      <formula>0</formula>
    </cfRule>
  </conditionalFormatting>
  <conditionalFormatting sqref="L149">
    <cfRule type="cellIs" dxfId="207" priority="11" operator="lessThan">
      <formula>0</formula>
    </cfRule>
  </conditionalFormatting>
  <conditionalFormatting sqref="L155:L158">
    <cfRule type="cellIs" dxfId="206" priority="5" operator="lessThan">
      <formula>0</formula>
    </cfRule>
  </conditionalFormatting>
  <conditionalFormatting sqref="L161">
    <cfRule type="cellIs" dxfId="205" priority="10" operator="lessThan">
      <formula>0</formula>
    </cfRule>
  </conditionalFormatting>
  <conditionalFormatting sqref="L165:L166">
    <cfRule type="cellIs" dxfId="204" priority="9" operator="lessThan">
      <formula>0</formula>
    </cfRule>
  </conditionalFormatting>
  <conditionalFormatting sqref="L218 L220:L223 L225 J233:J235 J238:J240">
    <cfRule type="cellIs" dxfId="203" priority="28" operator="lessThan">
      <formula>0</formula>
    </cfRule>
  </conditionalFormatting>
  <dataValidations count="12">
    <dataValidation type="list" allowBlank="1" showInputMessage="1" showErrorMessage="1" sqref="Q26:R28" xr:uid="{6FF7B521-A3D6-41E3-B892-E84A4BA50EF1}">
      <formula1>INDIRECT("Table_SourceData_Fertiliser_UreaAmmoniaSources[Source]")</formula1>
    </dataValidation>
    <dataValidation type="list" allowBlank="1" showInputMessage="1" showErrorMessage="1" sqref="D18:D22" xr:uid="{43972BF8-CC5F-4A34-BC72-028380A4F7F6}">
      <formula1>INDIRECT("FertiliserProducts[Product Name]")</formula1>
    </dataValidation>
    <dataValidation type="list" allowBlank="1" showInputMessage="1" showErrorMessage="1" sqref="D48:D50" xr:uid="{F783CC2C-9217-472A-8576-D3A1E2B1F2AB}">
      <formula1>INDIRECT("Table_SourceData_OrganicFertiliserTypes[Organic fertiliser type]")</formula1>
    </dataValidation>
    <dataValidation type="list" allowBlank="1" showInputMessage="1" showErrorMessage="1" sqref="H26:H28 J26:J28 L26:L28 N26:N28" xr:uid="{02D6E031-043C-43FE-9A75-13E3AAB2E322}">
      <formula1>INDIRECT("Table_Fertiliser_ChemicalCompounds[Fertiliser type f]")</formula1>
    </dataValidation>
    <dataValidation type="list" allowBlank="1" showInputMessage="1" showErrorMessage="1" sqref="E7" xr:uid="{0A4C0535-6AE9-454B-84DD-9131F9398D86}">
      <formula1>INDIRECT("Table_SourceData_Fertiliser_CropTypes[Production system]")</formula1>
    </dataValidation>
    <dataValidation type="list" allowBlank="1" showInputMessage="1" showErrorMessage="1" sqref="E8" xr:uid="{B863AB57-3358-4859-A6BD-66D57AFDAB4C}">
      <formula1>INDIRECT("Table_SourceData_Fertiliser_IrrigationMethods[Irrigation method]")</formula1>
    </dataValidation>
    <dataValidation type="list" allowBlank="1" showInputMessage="1" showErrorMessage="1" sqref="E6" xr:uid="{85E55CDA-29A2-43F0-BEBC-25E7C7CC2B09}">
      <formula1>INDIRECT("Table_SourceData_Fertiliser_CropProdSystems[Production system]")</formula1>
    </dataValidation>
    <dataValidation type="list" allowBlank="1" showInputMessage="1" showErrorMessage="1" sqref="E69" xr:uid="{D9D1ED83-4F6B-4447-BB86-85A319F60231}">
      <formula1>INDIRECT("Table_SourceData_Swine_CropProdSystems[Production system]")</formula1>
    </dataValidation>
    <dataValidation type="list" allowBlank="1" showInputMessage="1" showErrorMessage="1" sqref="E70" xr:uid="{198D8B6D-FB8E-4760-B399-A012A9E95750}">
      <formula1>INDIRECT("Table_SourceData_Swine_IrrigationMethods[Irrigation method]")</formula1>
    </dataValidation>
    <dataValidation type="list" allowBlank="1" showInputMessage="1" showErrorMessage="1" sqref="E254 E259 E264 E298 E293 E288 E166 E154 E130 E142" xr:uid="{69CACF12-B406-46AA-B2E3-E7C54FECF0D1}">
      <formula1>"Yes, No"</formula1>
    </dataValidation>
    <dataValidation type="list" allowBlank="1" showInputMessage="1" showErrorMessage="1" sqref="E230" xr:uid="{7C6943DD-654D-467E-AA54-BEFEE366A707}">
      <formula1>INDIRECT("Table_SourceData_Dairy_ProductionSystemTemplates[Area]")</formula1>
    </dataValidation>
    <dataValidation type="list" allowBlank="1" showInputMessage="1" showErrorMessage="1" sqref="D282" xr:uid="{BDA2EB78-D607-4C0C-9AC8-9AB12670B016}">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82CB8-85A7-47D7-8841-ACE2822B60BC}">
  <dimension ref="A1:K346"/>
  <sheetViews>
    <sheetView showGridLines="0" topLeftCell="A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287</v>
      </c>
    </row>
    <row r="2" spans="1:11" s="9" customFormat="1" ht="20.100000000000001" customHeight="1" x14ac:dyDescent="0.25">
      <c r="A2"/>
    </row>
    <row r="3" spans="1:11" ht="20.100000000000001" customHeight="1" x14ac:dyDescent="0.25">
      <c r="A3" s="24" t="str">
        <f>HYPERLINK("#'Home'!A1", "Home")</f>
        <v>Home</v>
      </c>
      <c r="C3" s="25"/>
      <c r="D3" s="25"/>
      <c r="E3" s="25"/>
      <c r="F3" s="25"/>
      <c r="G3" s="25"/>
      <c r="H3" s="25"/>
      <c r="I3" s="25"/>
      <c r="J3" s="25"/>
      <c r="K3" s="25"/>
    </row>
    <row r="4" spans="1:11" ht="20.100000000000001" customHeight="1" x14ac:dyDescent="0.25">
      <c r="A4"/>
    </row>
    <row r="5" spans="1:11" ht="20.100000000000001" customHeight="1" x14ac:dyDescent="0.25">
      <c r="A5"/>
      <c r="D5" s="16" t="s">
        <v>288</v>
      </c>
      <c r="E5" s="14"/>
      <c r="F5" s="14"/>
      <c r="G5" s="14"/>
      <c r="H5" s="14"/>
    </row>
    <row r="6" spans="1:11" ht="20.100000000000001" customHeight="1" x14ac:dyDescent="0.25">
      <c r="A6" s="29" t="s">
        <v>83</v>
      </c>
      <c r="D6" s="21"/>
      <c r="E6" s="21"/>
      <c r="F6" s="21"/>
      <c r="G6" s="21"/>
      <c r="H6" s="21"/>
      <c r="I6" s="21"/>
      <c r="J6" s="21"/>
    </row>
    <row r="7" spans="1:11" ht="20.100000000000001" customHeight="1" x14ac:dyDescent="0.25">
      <c r="A7" s="24" t="str">
        <f>HYPERLINK("#'Input - Planting'!A1", "Planting")</f>
        <v>Planting</v>
      </c>
      <c r="D7" s="15" t="s">
        <v>289</v>
      </c>
    </row>
    <row r="8" spans="1:11" ht="20.100000000000001" customHeight="1" x14ac:dyDescent="0.25">
      <c r="A8" s="24" t="str">
        <f>HYPERLINK("#'Input - Fertiliser'!A1", "Fertiliser")</f>
        <v>Fertiliser</v>
      </c>
      <c r="D8" s="15" t="s">
        <v>290</v>
      </c>
    </row>
    <row r="9" spans="1:11" ht="20.100000000000001" customHeight="1" x14ac:dyDescent="0.25">
      <c r="A9" s="30" t="str">
        <f>HYPERLINK("#'Input - Fuel'!A1", "Fuel")</f>
        <v>Fuel</v>
      </c>
      <c r="D9" s="15" t="s">
        <v>291</v>
      </c>
    </row>
    <row r="10" spans="1:11" ht="20.100000000000001" customHeight="1" x14ac:dyDescent="0.25">
      <c r="A10" s="24" t="str">
        <f>HYPERLINK("#'Input - Site'!A1", "Site")</f>
        <v>Site</v>
      </c>
    </row>
    <row r="11" spans="1:11" ht="20.100000000000001" customHeight="1" x14ac:dyDescent="0.25">
      <c r="A11"/>
      <c r="D11" s="15" t="s">
        <v>292</v>
      </c>
      <c r="E11" s="27" t="s">
        <v>293</v>
      </c>
      <c r="F11" s="28" t="s">
        <v>82</v>
      </c>
    </row>
    <row r="12" spans="1:11" ht="20.100000000000001" customHeight="1" x14ac:dyDescent="0.25">
      <c r="A12"/>
    </row>
    <row r="13" spans="1:11" ht="20.100000000000001" customHeight="1" x14ac:dyDescent="0.25">
      <c r="A13" s="32" t="s">
        <v>89</v>
      </c>
      <c r="D13" s="33" t="s">
        <v>294</v>
      </c>
      <c r="E13" s="34"/>
      <c r="F13" s="34"/>
      <c r="G13" s="34"/>
      <c r="H13" s="35"/>
    </row>
    <row r="14" spans="1:11" ht="20.100000000000001" customHeight="1" x14ac:dyDescent="0.25">
      <c r="A14" s="24" t="str">
        <f>HYPERLINK("#'5.1.1.1-2 Inorganic fert N2O'!A1", "5.1.1.1-2 Inorganic fert N2O")</f>
        <v>5.1.1.1-2 Inorganic fert N2O</v>
      </c>
      <c r="D14" s="39" t="s">
        <v>295</v>
      </c>
      <c r="E14" s="40"/>
      <c r="F14" s="40"/>
      <c r="G14" s="40"/>
      <c r="H14" s="41"/>
    </row>
    <row r="15" spans="1:11" ht="20.100000000000001" customHeight="1" x14ac:dyDescent="0.25">
      <c r="A15" s="24" t="str">
        <f>HYPERLINK("#'5.1.1.3-4 Inorganic fert CO2'!A1", "5.1.1.3-4 Inorganic fert CO2")</f>
        <v>5.1.1.3-4 Inorganic fert CO2</v>
      </c>
      <c r="D15" s="21"/>
      <c r="E15" s="21"/>
      <c r="F15" s="21"/>
      <c r="G15" s="21"/>
      <c r="H15" s="21"/>
      <c r="I15" s="21"/>
      <c r="J15" s="21"/>
    </row>
    <row r="16" spans="1:11" ht="20.100000000000001" customHeight="1" x14ac:dyDescent="0.25">
      <c r="A16" s="24" t="str">
        <f>HYPERLINK("#'5.2.1.1-2 Organic Fert N2O'!A1", "5.2.1.1-2 Organic fert N2O")</f>
        <v>5.2.1.1-2 Organic fert N2O</v>
      </c>
      <c r="D16" s="90" t="s">
        <v>296</v>
      </c>
      <c r="E16" s="90" t="s">
        <v>297</v>
      </c>
      <c r="F16" s="90" t="s">
        <v>298</v>
      </c>
      <c r="G16" s="90" t="s">
        <v>299</v>
      </c>
      <c r="H16" s="90" t="s">
        <v>300</v>
      </c>
      <c r="I16" s="90" t="s">
        <v>301</v>
      </c>
      <c r="J16" s="90" t="s">
        <v>302</v>
      </c>
    </row>
    <row r="17" spans="1:10" ht="20.100000000000001" customHeight="1" x14ac:dyDescent="0.25">
      <c r="A17" s="24" t="str">
        <f>HYPERLINK("#'5.3.1.1-2 Lime CO2'!A1", "5.3.1.1-2 Lime CO2")</f>
        <v>5.3.1.1-2 Lime CO2</v>
      </c>
      <c r="D17" s="27" t="s">
        <v>303</v>
      </c>
      <c r="E17" s="27" t="s">
        <v>304</v>
      </c>
      <c r="F17" s="119">
        <v>100</v>
      </c>
      <c r="G17" s="48" t="str" cm="1">
        <f t="array" ref="G17">Common_InputFunctions.Utility_LookupValueInTable(Table_Input_Fuel[[#This Row],[Fuel type (select)]],Table_FuelTypes_Units[Fuel type], Table_FuelTypes_Units[Input Unit])</f>
        <v>GJ</v>
      </c>
      <c r="H17" s="120">
        <f>1</f>
        <v>1</v>
      </c>
      <c r="I17" s="48">
        <f>Table_Input_Fuel[[#This Row],[Amount purchased]]*Table_Input_Fuel[[#This Row],[Percent consumed]]*IF(Table_Input_Fuel[[#This Row],[Amount unit]]="L", 10^-3, 1)</f>
        <v>100</v>
      </c>
      <c r="J17" s="48" t="str" cm="1">
        <f t="array" ref="J17">Common_InputFunctions.Utility_LookupValueInTable(Table_Input_Fuel[[#This Row],[Fuel type (select)]],Table_FuelTypes_Units[Fuel type], Table_FuelTypes_Units[Unit])</f>
        <v>GJ</v>
      </c>
    </row>
    <row r="18" spans="1:10" ht="20.100000000000001" customHeight="1" x14ac:dyDescent="0.25">
      <c r="A18" s="24" t="str">
        <f>HYPERLINK("#'5.4.1.1-4 Atmos deposition'!A1", "5.4.1.1-4 Atmos. deposition")</f>
        <v>5.4.1.1-4 Atmos. deposition</v>
      </c>
      <c r="D18" s="27" t="s">
        <v>303</v>
      </c>
      <c r="E18" s="27" t="s">
        <v>305</v>
      </c>
      <c r="F18" s="119">
        <v>10000</v>
      </c>
      <c r="G18" s="48" t="str" cm="1">
        <f t="array" ref="G18">Common_InputFunctions.Utility_LookupValueInTable(Table_Input_Fuel[[#This Row],[Fuel type (select)]],Table_FuelTypes_Units[Fuel type], Table_FuelTypes_Units[Input Unit])</f>
        <v>L</v>
      </c>
      <c r="H18" s="121">
        <f>1</f>
        <v>1</v>
      </c>
      <c r="I18" s="48">
        <f>Table_Input_Fuel[[#This Row],[Amount purchased]]*Table_Input_Fuel[[#This Row],[Percent consumed]]*IF(Table_Input_Fuel[[#This Row],[Amount unit]]="L", 10^-3, 1)</f>
        <v>10</v>
      </c>
      <c r="J18" s="48" t="str" cm="1">
        <f t="array" ref="J18">Common_InputFunctions.Utility_LookupValueInTable(Table_Input_Fuel[[#This Row],[Fuel type (select)]],Table_FuelTypes_Units[Fuel type], Table_FuelTypes_Units[Unit])</f>
        <v>kL</v>
      </c>
    </row>
    <row r="19" spans="1:10" ht="20.100000000000001" customHeight="1" x14ac:dyDescent="0.25">
      <c r="A19" s="24" t="str">
        <f>HYPERLINK("#'5.5.1.1-2 Leaching and runoff'!A1", "5.5.1.1-2 Leaching &amp; runoff")</f>
        <v>5.5.1.1-2 Leaching &amp; runoff</v>
      </c>
      <c r="D19" s="27" t="s">
        <v>306</v>
      </c>
      <c r="E19" s="27" t="s">
        <v>307</v>
      </c>
      <c r="F19" s="119">
        <v>10000</v>
      </c>
      <c r="G19" s="48" t="str" cm="1">
        <f t="array" ref="G19">Common_InputFunctions.Utility_LookupValueInTable(Table_Input_Fuel[[#This Row],[Fuel type (select)]],Table_FuelTypes_Units[Fuel type], Table_FuelTypes_Units[Input Unit])</f>
        <v>L</v>
      </c>
      <c r="H19" s="121">
        <f>1</f>
        <v>1</v>
      </c>
      <c r="I19" s="48">
        <f>Table_Input_Fuel[[#This Row],[Amount purchased]]*Table_Input_Fuel[[#This Row],[Percent consumed]]*IF(Table_Input_Fuel[[#This Row],[Amount unit]]="L", 10^-3, 1)</f>
        <v>10</v>
      </c>
      <c r="J19" s="48" t="str" cm="1">
        <f t="array" ref="J19">Common_InputFunctions.Utility_LookupValueInTable(Table_Input_Fuel[[#This Row],[Fuel type (select)]],Table_FuelTypes_Units[Fuel type], Table_FuelTypes_Units[Unit])</f>
        <v>kL</v>
      </c>
    </row>
    <row r="20" spans="1:10" ht="20.100000000000001" customHeight="1" x14ac:dyDescent="0.25">
      <c r="A20" s="24" t="str">
        <f>HYPERLINK("#'8.1.1.1-2 Transport fuel'!A1", "8.1.1.1-2 Transport fuel")</f>
        <v>8.1.1.1-2 Transport fuel</v>
      </c>
      <c r="D20" s="27" t="s">
        <v>308</v>
      </c>
      <c r="E20" s="27" t="s">
        <v>307</v>
      </c>
      <c r="F20" s="119">
        <v>10000</v>
      </c>
      <c r="G20" s="48" t="str" cm="1">
        <f t="array" ref="G20">Common_InputFunctions.Utility_LookupValueInTable(Table_Input_Fuel[[#This Row],[Fuel type (select)]],Table_FuelTypes_Units[Fuel type], Table_FuelTypes_Units[Input Unit])</f>
        <v>L</v>
      </c>
      <c r="H20" s="121">
        <f>1</f>
        <v>1</v>
      </c>
      <c r="I20" s="48">
        <f>Table_Input_Fuel[[#This Row],[Amount purchased]]*Table_Input_Fuel[[#This Row],[Percent consumed]]*IF(Table_Input_Fuel[[#This Row],[Amount unit]]="L", 10^-3, 1)</f>
        <v>10</v>
      </c>
      <c r="J20" s="48" t="str" cm="1">
        <f t="array" ref="J20">Common_InputFunctions.Utility_LookupValueInTable(Table_Input_Fuel[[#This Row],[Fuel type (select)]],Table_FuelTypes_Units[Fuel type], Table_FuelTypes_Units[Unit])</f>
        <v>kL</v>
      </c>
    </row>
    <row r="21" spans="1:10" ht="20.100000000000001" customHeight="1" x14ac:dyDescent="0.25">
      <c r="A21" s="24" t="str">
        <f>HYPERLINK("#'8.2.1.1-2 Stationary fuel'!A1", "8.2.1.1-2 Stationary fuel")</f>
        <v>8.2.1.1-2 Stationary fuel</v>
      </c>
      <c r="D21" s="122" t="s">
        <v>309</v>
      </c>
      <c r="E21" s="122" t="s">
        <v>310</v>
      </c>
      <c r="F21" s="119">
        <v>10000</v>
      </c>
      <c r="G21" s="123" t="str" cm="1">
        <f t="array" ref="G21">Common_InputFunctions.Utility_LookupValueInTable(Table_Input_Fuel[[#This Row],[Fuel type (select)]],Table_FuelTypes_Units[Fuel type], Table_FuelTypes_Units[Input Unit])</f>
        <v>L</v>
      </c>
      <c r="H21" s="124">
        <f>1</f>
        <v>1</v>
      </c>
      <c r="I21" s="123">
        <f>Table_Input_Fuel[[#This Row],[Amount purchased]]*Table_Input_Fuel[[#This Row],[Percent consumed]]*IF(Table_Input_Fuel[[#This Row],[Amount unit]]="L", 10^-3, 1)</f>
        <v>10</v>
      </c>
      <c r="J21" s="48" t="str" cm="1">
        <f t="array" ref="J21">Common_InputFunctions.Utility_LookupValueInTable(Table_Input_Fuel[[#This Row],[Fuel type (select)]],Table_FuelTypes_Units[Fuel type], Table_FuelTypes_Units[Unit])</f>
        <v>kL</v>
      </c>
    </row>
    <row r="22" spans="1:10" ht="20.100000000000001" customHeight="1" x14ac:dyDescent="0.25">
      <c r="A22"/>
    </row>
    <row r="23" spans="1:10" ht="20.100000000000001" customHeight="1" x14ac:dyDescent="0.25">
      <c r="A23"/>
    </row>
    <row r="24" spans="1:10" ht="20.100000000000001" customHeight="1" x14ac:dyDescent="0.25">
      <c r="A24" s="210" t="s">
        <v>116</v>
      </c>
    </row>
    <row r="25" spans="1:10" ht="20.100000000000001" customHeight="1" x14ac:dyDescent="0.25">
      <c r="A25" s="24" t="str">
        <f>HYPERLINK("#'Constants - Fertiliser'!A1", "Constants - Fertiliser")</f>
        <v>Constants - Fertiliser</v>
      </c>
    </row>
    <row r="26" spans="1:10" ht="20.100000000000001" customHeight="1" x14ac:dyDescent="0.25">
      <c r="A26" s="24" t="str">
        <f>HYPERLINK("#'Constants - Fuel'!A1", "Constants - Fuel")</f>
        <v>Constants - Fuel</v>
      </c>
    </row>
    <row r="27" spans="1:10" ht="20.100000000000001" customHeight="1" x14ac:dyDescent="0.25">
      <c r="A27" s="24" t="str">
        <f>HYPERLINK("#'Constants - Common'!A1", "Constants - Common")</f>
        <v>Constants - Common</v>
      </c>
    </row>
    <row r="28" spans="1:10" ht="20.100000000000001" customHeight="1" x14ac:dyDescent="0.25">
      <c r="A28" s="24" t="str">
        <f>HYPERLINK("#'Overview'!A1", "Overview")</f>
        <v>Overview</v>
      </c>
    </row>
    <row r="29" spans="1:10" ht="20.100000000000001" customHeight="1" x14ac:dyDescent="0.25">
      <c r="A29"/>
    </row>
    <row r="30" spans="1:10" ht="20.100000000000001" customHeight="1" x14ac:dyDescent="0.25">
      <c r="A30"/>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5"/>
      <c r="K38" s="55"/>
    </row>
    <row r="39" spans="1:11" ht="20.100000000000001" customHeight="1" x14ac:dyDescent="0.25">
      <c r="A39"/>
      <c r="C39" s="55"/>
      <c r="K39" s="55"/>
    </row>
    <row r="40" spans="1:11" s="74" customFormat="1" ht="20.100000000000001" customHeight="1" x14ac:dyDescent="0.25">
      <c r="A40"/>
      <c r="C40" s="15"/>
      <c r="D40" s="15"/>
      <c r="E40" s="15"/>
      <c r="F40" s="15"/>
      <c r="G40" s="15"/>
      <c r="H40" s="15"/>
      <c r="I40" s="15"/>
      <c r="J40" s="15"/>
      <c r="K40" s="15"/>
    </row>
    <row r="41" spans="1:11" s="74"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69"/>
    </row>
  </sheetData>
  <conditionalFormatting sqref="F32">
    <cfRule type="cellIs" dxfId="74" priority="9" operator="lessThan">
      <formula>0</formula>
    </cfRule>
  </conditionalFormatting>
  <conditionalFormatting sqref="F111:F112">
    <cfRule type="cellIs" dxfId="73" priority="8" operator="lessThan">
      <formula>0</formula>
    </cfRule>
  </conditionalFormatting>
  <conditionalFormatting sqref="F123:F124">
    <cfRule type="cellIs" dxfId="72" priority="7" operator="lessThan">
      <formula>0</formula>
    </cfRule>
  </conditionalFormatting>
  <conditionalFormatting sqref="F135:F136">
    <cfRule type="cellIs" dxfId="71" priority="6" operator="lessThan">
      <formula>0</formula>
    </cfRule>
  </conditionalFormatting>
  <conditionalFormatting sqref="F147:F148">
    <cfRule type="cellIs" dxfId="70" priority="5" operator="lessThan">
      <formula>0</formula>
    </cfRule>
  </conditionalFormatting>
  <conditionalFormatting sqref="F235:F236">
    <cfRule type="cellIs" dxfId="69" priority="17" operator="lessThan">
      <formula>0</formula>
    </cfRule>
  </conditionalFormatting>
  <conditionalFormatting sqref="F240:F241">
    <cfRule type="cellIs" dxfId="68" priority="16" operator="lessThan">
      <formula>0</formula>
    </cfRule>
  </conditionalFormatting>
  <conditionalFormatting sqref="F245:F246">
    <cfRule type="cellIs" dxfId="67" priority="15" operator="lessThan">
      <formula>0</formula>
    </cfRule>
  </conditionalFormatting>
  <conditionalFormatting sqref="F269:F270">
    <cfRule type="cellIs" dxfId="66" priority="14" operator="lessThan">
      <formula>0</formula>
    </cfRule>
  </conditionalFormatting>
  <conditionalFormatting sqref="F274:F275">
    <cfRule type="cellIs" dxfId="65" priority="13" operator="lessThan">
      <formula>0</formula>
    </cfRule>
  </conditionalFormatting>
  <conditionalFormatting sqref="F279:F280">
    <cfRule type="cellIs" dxfId="64" priority="12" operator="lessThan">
      <formula>0</formula>
    </cfRule>
  </conditionalFormatting>
  <conditionalFormatting sqref="I26:J27 H28:H30 I31:J31 I33:J35 I37:J38 I189:J189 E195:G195 I195:J195">
    <cfRule type="cellIs" dxfId="63" priority="11" operator="lessThan">
      <formula>0</formula>
    </cfRule>
  </conditionalFormatting>
  <conditionalFormatting sqref="I42:J46">
    <cfRule type="cellIs" dxfId="62" priority="4" operator="lessThan">
      <formula>0</formula>
    </cfRule>
  </conditionalFormatting>
  <conditionalFormatting sqref="I50:J50 I109:J109">
    <cfRule type="cellIs" dxfId="61" priority="10" operator="lessThan">
      <formula>0</formula>
    </cfRule>
  </conditionalFormatting>
  <conditionalFormatting sqref="I61:J63">
    <cfRule type="cellIs" dxfId="60" priority="3" operator="lessThan">
      <formula>0</formula>
    </cfRule>
  </conditionalFormatting>
  <conditionalFormatting sqref="I67:J70">
    <cfRule type="cellIs" dxfId="59" priority="2" operator="lessThan">
      <formula>0</formula>
    </cfRule>
  </conditionalFormatting>
  <conditionalFormatting sqref="I74:J78">
    <cfRule type="cellIs" dxfId="58" priority="1" operator="lessThan">
      <formula>0</formula>
    </cfRule>
  </conditionalFormatting>
  <dataValidations count="9">
    <dataValidation type="list" allowBlank="1" showInputMessage="1" showErrorMessage="1" sqref="E17:E21" xr:uid="{AA3AE7D6-D6F6-485D-9081-A0B2CD12D883}">
      <formula1>_xlfn.TRIMRANGE(INDIRECT("Table_FuelTypesPerUse["&amp;D17&amp;"]"))</formula1>
    </dataValidation>
    <dataValidation type="list" allowBlank="1" showInputMessage="1" showErrorMessage="1" sqref="D17:D21" xr:uid="{44920715-55A0-4768-B458-84935BFBEBDB}">
      <formula1>INDIRECT("Table_FuelTypesPerUse[#Headers]")</formula1>
    </dataValidation>
    <dataValidation type="list" allowBlank="1" showInputMessage="1" showErrorMessage="1" sqref="E11" xr:uid="{A1DC21A4-DFE6-42EE-9D54-4961582A9852}">
      <formula1>"Metro, Non-metro"</formula1>
    </dataValidation>
    <dataValidation type="list" allowBlank="1" showInputMessage="1" showErrorMessage="1" sqref="D29:D30" xr:uid="{AE999063-A094-456E-8D76-263136161A25}">
      <formula1>INDIRECT("Table_SourceData_OrganicFertiliserTypes[Organic fertiliser type]")</formula1>
    </dataValidation>
    <dataValidation type="list" allowBlank="1" showInputMessage="1" showErrorMessage="1" sqref="E49" xr:uid="{C51BD49B-3A7E-46D6-972D-45EC5E6783D8}">
      <formula1>INDIRECT("Table_SourceData_Swine_CropProdSystems[Production system]")</formula1>
    </dataValidation>
    <dataValidation type="list" allowBlank="1" showInputMessage="1" showErrorMessage="1" sqref="E50" xr:uid="{AC089120-09BE-4D2F-BC71-16A5030AB4ED}">
      <formula1>INDIRECT("Table_SourceData_Swine_IrrigationMethods[Irrigation method]")</formula1>
    </dataValidation>
    <dataValidation type="list" allowBlank="1" showInputMessage="1" showErrorMessage="1" sqref="E234 E239 E244 E278 E273 E268 E146 E134 E110 E122" xr:uid="{D4E247D0-DABA-4B30-8BF3-6B618AA93E0E}">
      <formula1>"Yes, No"</formula1>
    </dataValidation>
    <dataValidation type="list" allowBlank="1" showInputMessage="1" showErrorMessage="1" sqref="E210" xr:uid="{A2321FC8-3E69-4A54-97AE-FC404D848267}">
      <formula1>INDIRECT("Table_SourceData_Dairy_ProductionSystemTemplates[Area]")</formula1>
    </dataValidation>
    <dataValidation type="list" allowBlank="1" showInputMessage="1" showErrorMessage="1" sqref="D262" xr:uid="{FF1E532D-F920-4311-9295-A3632A8ED9A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946AE-2AFC-49E6-BF3B-B6C2DA768CC6}">
  <dimension ref="A1:X342"/>
  <sheetViews>
    <sheetView showGridLines="0" topLeftCell="B46"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158</v>
      </c>
      <c r="K1" s="10"/>
    </row>
    <row r="2" spans="1:24" s="9" customFormat="1" ht="20.100000000000001" customHeight="1" x14ac:dyDescent="0.25">
      <c r="A2"/>
      <c r="K2" s="10"/>
    </row>
    <row r="3" spans="1:24" ht="20.100000000000001" customHeight="1" x14ac:dyDescent="0.25">
      <c r="A3" s="24" t="str">
        <f>HYPERLINK("#'Home'!A1", "Home")</f>
        <v>Home</v>
      </c>
      <c r="C3" s="12"/>
      <c r="D3" s="12" t="s">
        <v>159</v>
      </c>
      <c r="E3" s="12"/>
      <c r="F3" s="12"/>
      <c r="G3" s="12"/>
      <c r="H3" s="12"/>
      <c r="I3" s="12"/>
      <c r="J3" s="12"/>
      <c r="L3" s="12"/>
      <c r="M3" s="12" t="s">
        <v>160</v>
      </c>
      <c r="N3" s="12"/>
      <c r="O3" s="12"/>
      <c r="P3" s="12"/>
      <c r="Q3" s="12"/>
      <c r="R3" s="12"/>
      <c r="S3" s="12"/>
      <c r="T3" s="12"/>
      <c r="U3" s="12"/>
      <c r="V3" s="12"/>
      <c r="W3" s="12"/>
      <c r="X3" s="12"/>
    </row>
    <row r="4" spans="1:24" ht="20.100000000000001" customHeight="1" x14ac:dyDescent="0.25">
      <c r="A4"/>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s="29" t="s">
        <v>83</v>
      </c>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24" t="str">
        <f>HYPERLINK("#'Input - Planting'!A1", "Planting")</f>
        <v>Planting</v>
      </c>
      <c r="D7" s="76" t="s">
        <v>161</v>
      </c>
      <c r="E7" s="76" t="str" cm="1">
        <f t="array" aca="1" ref="E7" ca="1">Common_InputFunctions.Utility_DisplayFunctionName(G19)</f>
        <v>=Fertiliser_Equations_InorganicN2O.VEERG_5_1_1_1__2_MassOfNitrogenInInorganicFertiliser</v>
      </c>
    </row>
    <row r="8" spans="1:24" ht="20.100000000000001" customHeight="1" x14ac:dyDescent="0.25">
      <c r="A8" s="24" t="str">
        <f>HYPERLINK("#'Input - Fertiliser'!A1", "Fertiliser")</f>
        <v>Fertiliser</v>
      </c>
    </row>
    <row r="9" spans="1:24" ht="20.100000000000001" customHeight="1" x14ac:dyDescent="0.25">
      <c r="A9" s="24" t="str">
        <f>HYPERLINK("#'Input - Fuel'!A1", "Fuel")</f>
        <v>Fuel</v>
      </c>
      <c r="M9" s="63" t="s">
        <v>162</v>
      </c>
      <c r="N9" s="15" t="str" cm="1">
        <f t="array" ref="N9">Fertiliser_Equations_InorganicN2O.VEERG_5_1_1_2__1_EmissionFactorIrrigatedMaize_Variable()</f>
        <v>EF_fjIrrigatedMaizeN2O</v>
      </c>
    </row>
    <row r="10" spans="1:24" ht="20.100000000000001" customHeight="1" x14ac:dyDescent="0.25">
      <c r="A10" s="24" t="str">
        <f>HYPERLINK("#'Input - Site'!A1", "Site")</f>
        <v>Site</v>
      </c>
      <c r="D10" s="63" t="s">
        <v>162</v>
      </c>
      <c r="E10" s="15" t="str" cm="1">
        <f t="array" ref="E10">Fertiliser_Equations_InorganicN2O.VEERG_5_1_1_1__2_MassOfNitrogenInInorganicFertiliser_Variable()</f>
        <v>MN_jf</v>
      </c>
      <c r="M10" s="63" t="s">
        <v>163</v>
      </c>
      <c r="N10" s="20" t="str" cm="1">
        <f t="array" ref="N10">Fertiliser_Equations_InorganicN2O.VEERG_5_1_1_2__1_EmissionFactorIrrigatedMaize_Unit()</f>
        <v>kg N2O-N/kg N applied</v>
      </c>
    </row>
    <row r="11" spans="1:24" ht="20.100000000000001" customHeight="1" x14ac:dyDescent="0.25">
      <c r="A11"/>
      <c r="D11" s="63" t="s">
        <v>163</v>
      </c>
      <c r="E11" s="20" t="str" cm="1">
        <f t="array" ref="E11">Fertiliser_Equations_InorganicN2O.VEERG_5_1_1_1__2_MassOfNitrogenInInorganicFertiliser_Unit()</f>
        <v>kg N</v>
      </c>
    </row>
    <row r="12" spans="1:24" ht="20.100000000000001" customHeight="1" x14ac:dyDescent="0.25">
      <c r="A12"/>
      <c r="M12" s="78" t="str" cm="1">
        <f t="array" ref="M12:N13">_xlfn.CHOOSECOLS(Fertiliser_Equations_InorganicN2O.VEERG_5_1_1_2__1_EmissionFactorIrrigatedMaize_Arguments(), 1, 2)</f>
        <v>N_fjIrrigatedMaize</v>
      </c>
      <c r="N12" s="79" t="str">
        <v>application rate of inorganic fertiliser type f in the irrigated maize crop</v>
      </c>
      <c r="O12" s="80"/>
      <c r="P12" s="78" t="str" cm="1">
        <f t="array" ref="P12:Q13">_xlfn.CHOOSECOLS(Fertiliser_Equations_InorganicN2O.VEERG_5_1_1_2__1_EmissionFactorIrrigatedMaize_Arguments(), 3,4)</f>
        <v>kg N/ha</v>
      </c>
      <c r="Q12" s="81" t="str">
        <v>Input</v>
      </c>
      <c r="R12" s="83" t="str" cm="1">
        <f t="array" aca="1" ref="R12" ca="1">HYPERLINK(Common_InputFunctions.Utility_SourceHyperlink($M$41), $M$41)</f>
        <v>M2_Table_FertApplications</v>
      </c>
      <c r="S12" s="84"/>
    </row>
    <row r="13" spans="1:24" ht="20.100000000000001" customHeight="1" x14ac:dyDescent="0.25">
      <c r="A13" s="32" t="s">
        <v>89</v>
      </c>
      <c r="D13" s="78" t="str" cm="1">
        <f t="array" ref="D13:E14">_xlfn.CHOOSECOLS(Fertiliser_Equations_InorganicN2O.VEERG_5_1_1_1__2_MassOfNitrogenInInorganicFertiliser_Arguments(), 1,2)</f>
        <v>TM_jf</v>
      </c>
      <c r="E13" s="78" t="str">
        <v>total mass of inorganic fertiliser type f applied to production system j</v>
      </c>
      <c r="F13" s="78"/>
      <c r="G13" s="78" t="str" cm="1">
        <f t="array" ref="G13:H14">_xlfn.CHOOSECOLS(Fertiliser_Equations_InorganicN2O.VEERG_5_1_1_1__2_MassOfNitrogenInInorganicFertiliser_Arguments(), 3,4)</f>
        <v>kg</v>
      </c>
      <c r="H13" s="81" t="str">
        <v>Input</v>
      </c>
      <c r="I13" s="85" t="str" cm="1">
        <f t="array" aca="1" ref="I13" ca="1">HYPERLINK(Common_InputFunctions.Utility_SourceHyperlink($D$16), $D$16)</f>
        <v>Table_MN_j_f</v>
      </c>
      <c r="M13" s="78" t="str">
        <v>f</v>
      </c>
      <c r="N13" s="79" t="str">
        <v>Inorganic fertiliser type</v>
      </c>
      <c r="O13" s="80"/>
      <c r="P13" s="78" t="str">
        <v/>
      </c>
      <c r="Q13" s="82" t="str">
        <v>Constant</v>
      </c>
      <c r="R13" s="79" t="s">
        <v>164</v>
      </c>
      <c r="S13" s="84"/>
    </row>
    <row r="14" spans="1:24" ht="20.100000000000001" customHeight="1" x14ac:dyDescent="0.25">
      <c r="A14" s="77" t="str">
        <f>HYPERLINK("#'5.1.1.1-2 Inorganic fert N2O'!A1", "5.1.1.1-2 Inorganic fert N2O")</f>
        <v>5.1.1.1-2 Inorganic fert N2O</v>
      </c>
      <c r="D14" s="78" t="str">
        <v>FN_inorganicf</v>
      </c>
      <c r="E14" s="79" t="str">
        <v xml:space="preserve">fraction of nitrogen in inorganic fertiliser type f </v>
      </c>
      <c r="F14" s="86"/>
      <c r="G14" s="78" t="str">
        <v>kg N/kg</v>
      </c>
      <c r="H14" s="82" t="str">
        <v>Constant</v>
      </c>
      <c r="I14" s="85" t="str" cm="1">
        <f t="array" aca="1" ref="I14" ca="1">HYPERLINK(Common_InputFunctions.Utility_SourceHyperlink($D$16), $D$16)</f>
        <v>Table_MN_j_f</v>
      </c>
    </row>
    <row r="15" spans="1:24" ht="20.100000000000001" customHeight="1" x14ac:dyDescent="0.25">
      <c r="A15" s="24" t="str">
        <f>HYPERLINK("#'5.1.1.3-4 Inorganic fert CO2'!A1", "5.1.1.3-4 Inorganic fert CO2")</f>
        <v>5.1.1.3-4 Inorganic fert CO2</v>
      </c>
    </row>
    <row r="16" spans="1:24" ht="20.100000000000001" customHeight="1" x14ac:dyDescent="0.25">
      <c r="A16" s="24" t="str">
        <f>HYPERLINK("#'5.2.1.1-2 Organic Fert N2O'!A1", "5.2.1.1-2 Organic fert N2O")</f>
        <v>5.2.1.1-2 Organic fert N2O</v>
      </c>
      <c r="D16" s="87" t="s">
        <v>165</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24" t="str">
        <f>HYPERLINK("#'5.3.1.1-2 Lime CO2'!A1", "5.3.1.1-2 Lime CO2")</f>
        <v>5.3.1.1-2 Lime CO2</v>
      </c>
      <c r="D17" s="88" t="s">
        <v>166</v>
      </c>
      <c r="M17" s="18" t="str" cm="1">
        <f t="array" ref="M17">Fertiliser_Equations_InorganicN2O.VEERG_5_1_1_2__2_EmissionFactorNonIrrigatedGrainsHighRainfall_Source()</f>
        <v>VEERG 2026: 5.1.1.2, Equation (2)</v>
      </c>
    </row>
    <row r="18" spans="1:19" ht="20.100000000000001" customHeight="1" x14ac:dyDescent="0.25">
      <c r="A18" s="24" t="str">
        <f>HYPERLINK("#'5.4.1.1-4 Atmos deposition'!A1", "5.4.1.1-4 Atmos. deposition")</f>
        <v>5.4.1.1-4 Atmos. deposition</v>
      </c>
      <c r="D18" s="89" t="s">
        <v>167</v>
      </c>
      <c r="E18" s="90" t="s">
        <v>168</v>
      </c>
      <c r="F18" s="89" t="s">
        <v>169</v>
      </c>
      <c r="G18" s="89" t="s">
        <v>170</v>
      </c>
    </row>
    <row r="19" spans="1:19"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f],Table_Fertiliser_ChemicalCompounds[FNinorganic f])</f>
        <v>0.1</v>
      </c>
      <c r="G19" s="48" cm="1">
        <f t="array" ref="G19">Fertiliser_Equations_InorganicN2O.VEERG_5_1_1_1__2_MassOfNitrogenInInorganicFertiliser(E19,F19)</f>
        <v>0</v>
      </c>
    </row>
    <row r="20" spans="1:19"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f],Table_Fertiliser_ChemicalCompounds[FNinorganic f])</f>
        <v>0.18</v>
      </c>
      <c r="G20" s="48" cm="1">
        <f t="array" ref="G20">Fertiliser_Equations_InorganicN2O.VEERG_5_1_1_1__2_MassOfNitrogenInInorganicFertiliser(E20,F20)</f>
        <v>0</v>
      </c>
      <c r="M20" s="63" t="s">
        <v>162</v>
      </c>
      <c r="N20" s="15" t="str" cm="1">
        <f t="array" ref="N20">Fertiliser_Equations_InorganicN2O.VEERG_5_1_1_2__2_EmissionFactorNonIrrigatedGrainsHighRainfall_Variable()</f>
        <v>EF_fjNonIrrigatedGrainsN2O</v>
      </c>
    </row>
    <row r="21" spans="1:19"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f],Table_Fertiliser_ChemicalCompounds[FNinorganic f])</f>
        <v>0.46</v>
      </c>
      <c r="G21" s="48" cm="1">
        <f t="array" ref="G21">Fertiliser_Equations_InorganicN2O.VEERG_5_1_1_1__2_MassOfNitrogenInInorganicFertiliser(E21,F21)</f>
        <v>4600</v>
      </c>
      <c r="M21" s="63" t="s">
        <v>163</v>
      </c>
      <c r="N21" s="20" t="str" cm="1">
        <f t="array" ref="N21">Fertiliser_Equations_InorganicN2O.VEERG_5_1_1_2__2_EmissionFactorNonIrrigatedGrainsHighRainfall_Unit()</f>
        <v>kg N2O-N/kg N applied</v>
      </c>
    </row>
    <row r="22" spans="1:19"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f],Table_Fertiliser_ChemicalCompounds[FNinorganic f])</f>
        <v>0.21</v>
      </c>
      <c r="G22" s="48" cm="1">
        <f t="array" ref="G22">Fertiliser_Equations_InorganicN2O.VEERG_5_1_1_1__2_MassOfNitrogenInInorganicFertiliser(E22,F22)</f>
        <v>0</v>
      </c>
    </row>
    <row r="23" spans="1:19"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f],Table_Fertiliser_ChemicalCompounds[FNinorganic f])</f>
        <v>0.32</v>
      </c>
      <c r="G23" s="48" cm="1">
        <f t="array" ref="G23">Fertiliser_Equations_InorganicN2O.VEERG_5_1_1_1__2_MassOfNitrogenInInorganicFertiliser(E23,F23)</f>
        <v>0</v>
      </c>
      <c r="M23" s="78" t="str" cm="1">
        <f t="array" ref="M23:N24">_xlfn.CHOOSECOLS(Fertiliser_Equations_InorganicN2O.VEERG_5_1_1_2__2_EmissionFactorNonIrrigatedGrainsHighRainfall_Arguments(), 1, 2)</f>
        <v>N_fjNonIrrigatedGrains</v>
      </c>
      <c r="N23" s="79" t="str">
        <v>application rate of inorganic fertiliser type f in the grains crop</v>
      </c>
      <c r="O23" s="80"/>
      <c r="P23" s="78" t="str" cm="1">
        <f t="array" ref="P23:Q24">_xlfn.CHOOSECOLS(Fertiliser_Equations_InorganicN2O.VEERG_5_1_1_2__2_EmissionFactorNonIrrigatedGrainsHighRainfall_Arguments(), 3,4)</f>
        <v>kg N/ha</v>
      </c>
      <c r="Q23" s="81" t="str">
        <v>Input</v>
      </c>
      <c r="R23" s="83" t="str" cm="1">
        <f t="array" aca="1" ref="R23" ca="1">HYPERLINK(Common_InputFunctions.Utility_SourceHyperlink($M$41), $M$41)</f>
        <v>M2_Table_FertApplications</v>
      </c>
      <c r="S23" s="86"/>
    </row>
    <row r="24" spans="1:19"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f],Table_Fertiliser_ChemicalCompounds[FNinorganic f])</f>
        <v>0.33700000000000002</v>
      </c>
      <c r="G24" s="48" cm="1">
        <f t="array" ref="G24">Fertiliser_Equations_InorganicN2O.VEERG_5_1_1_1__2_MassOfNitrogenInInorganicFertiliser(E24,F24)</f>
        <v>0</v>
      </c>
      <c r="I24" s="28"/>
      <c r="M24" s="78" t="str">
        <v>f</v>
      </c>
      <c r="N24" s="79" t="str">
        <v>Inorganic fertiliser type</v>
      </c>
      <c r="O24" s="80"/>
      <c r="P24" s="78" t="str">
        <v/>
      </c>
      <c r="Q24" s="82" t="str">
        <v>Constant</v>
      </c>
      <c r="R24" s="79" t="s">
        <v>164</v>
      </c>
      <c r="S24" s="86"/>
    </row>
    <row r="25" spans="1:19"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f],Table_Fertiliser_ChemicalCompounds[FNinorganic f])</f>
        <v>0.27</v>
      </c>
      <c r="G25" s="48" cm="1">
        <f t="array" ref="G25">Fertiliser_Equations_InorganicN2O.VEERG_5_1_1_1__2_MassOfNitrogenInInorganicFertiliser(E25,F25)</f>
        <v>0</v>
      </c>
      <c r="I25" s="28"/>
    </row>
    <row r="26" spans="1:19"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f],Table_Fertiliser_ChemicalCompounds[FNinorganic f])</f>
        <v>1</v>
      </c>
      <c r="G26" s="48" cm="1">
        <f t="array" ref="G26">Fertiliser_Equations_InorganicN2O.VEERG_5_1_1_1__2_MassOfNitrogenInInorganicFertiliser(E26,F26)</f>
        <v>0</v>
      </c>
      <c r="I26" s="28"/>
    </row>
    <row r="27" spans="1:19"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8" cm="1">
        <f t="array" ref="F27">Common_InputFunctions.Utility_LookupValueInTableNumber(D27,Table_Fertiliser_ChemicalCompounds[Fertiliser type f],Table_Fertiliser_ChemicalCompounds[FNinorganic f])</f>
        <v>1</v>
      </c>
      <c r="G27" s="48" cm="1">
        <f t="array" ref="G27">Fertiliser_Equations_InorganicN2O.VEERG_5_1_1_1__2_MassOfNitrogenInInorganicFertiliser(E27,F27)</f>
        <v>1980</v>
      </c>
      <c r="I27" s="28"/>
      <c r="M27" s="16" t="str" cm="1">
        <f t="array" ref="M27">Fertiliser_Equations_InorganicN2O.VEERG_5_1_1_2__3_EmissionFactorCotton_Title()</f>
        <v>Emission factor for nitrous oxide for cotton</v>
      </c>
    </row>
    <row r="28" spans="1:19"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8" cm="1">
        <f t="array" ref="F28">Common_InputFunctions.Utility_LookupValueInTableNumber(D28,Table_Fertiliser_ChemicalCompounds[Fertiliser type f],Table_Fertiliser_ChemicalCompounds[FNinorganic f])</f>
        <v>1</v>
      </c>
      <c r="G28" s="48" cm="1">
        <f t="array" ref="G28">Fertiliser_Equations_InorganicN2O.VEERG_5_1_1_1__2_MassOfNitrogenInInorganicFertiliser(E28,F28)</f>
        <v>1537.2</v>
      </c>
      <c r="I28" s="28"/>
      <c r="M28" s="18" t="str" cm="1">
        <f t="array" ref="M28">Fertiliser_Equations_InorganicN2O.VEERG_5_1_1_2__3_EmissionFactorCotton_Source()</f>
        <v>VEERG 2026: 5.1.1.2, Equation (3)</v>
      </c>
    </row>
    <row r="29" spans="1:19"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8" cm="1">
        <f t="array" ref="F29">Common_InputFunctions.Utility_LookupValueInTableNumber(D29,Table_Fertiliser_ChemicalCompounds[Fertiliser type f],Table_Fertiliser_ChemicalCompounds[FNinorganic f])</f>
        <v>0</v>
      </c>
      <c r="G29" s="48" cm="1">
        <f t="array" ref="G29">Fertiliser_Equations_InorganicN2O.VEERG_5_1_1_1__2_MassOfNitrogenInInorganicFertiliser(E29,F29)</f>
        <v>0</v>
      </c>
      <c r="I29" s="28"/>
    </row>
    <row r="30" spans="1:19"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8" cm="1">
        <f t="array" ref="F30">Common_InputFunctions.Utility_LookupValueInTableNumber(D30,Table_Fertiliser_ChemicalCompounds[Fertiliser type f],Table_Fertiliser_ChemicalCompounds[FNinorganic f])</f>
        <v>0</v>
      </c>
      <c r="G30" s="48" cm="1">
        <f t="array" ref="G30">Fertiliser_Equations_InorganicN2O.VEERG_5_1_1_1__2_MassOfNitrogenInInorganicFertiliser(E30,F30)</f>
        <v>0</v>
      </c>
      <c r="I30" s="28"/>
    </row>
    <row r="31" spans="1:19"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f],Table_Fertiliser_ChemicalCompounds[FNinorganic f])</f>
        <v>0</v>
      </c>
      <c r="G31" s="48" cm="1">
        <f t="array" ref="G31">Fertiliser_Equations_InorganicN2O.VEERG_5_1_1_1__2_MassOfNitrogenInInorganicFertiliser(E31,F31)</f>
        <v>0</v>
      </c>
      <c r="I31" s="28"/>
    </row>
    <row r="32" spans="1:19"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f],Table_Fertiliser_ChemicalCompounds[FNinorganic f])</f>
        <v>0</v>
      </c>
      <c r="G32" s="48" cm="1">
        <f t="array" ref="G32">Fertiliser_Equations_InorganicN2O.VEERG_5_1_1_1__2_MassOfNitrogenInInorganicFertiliser(E32,F32)</f>
        <v>0</v>
      </c>
      <c r="I32" s="28"/>
      <c r="M32" s="63" t="s">
        <v>162</v>
      </c>
      <c r="N32" s="15" t="str" cm="1">
        <f t="array" ref="N32">Fertiliser_Equations_InorganicN2O.VEERG_5_1_1_2__3_EmissionFactorCotton_Variable()</f>
        <v>EF_fjCottonN2O</v>
      </c>
    </row>
    <row r="33" spans="1:23"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f],Table_Fertiliser_ChemicalCompounds[FNinorganic f])</f>
        <v>0</v>
      </c>
      <c r="G33" s="48" cm="1">
        <f t="array" ref="G33">Fertiliser_Equations_InorganicN2O.VEERG_5_1_1_1__2_MassOfNitrogenInInorganicFertiliser(E33,F33)</f>
        <v>0</v>
      </c>
      <c r="I33" s="28"/>
      <c r="M33" s="63" t="s">
        <v>163</v>
      </c>
      <c r="N33" s="20" t="str" cm="1">
        <f t="array" ref="N33">Fertiliser_Equations_InorganicN2O.VEERG_5_1_1_2__3_EmissionFactorCotton_Unit()</f>
        <v>kg N2O-N/kg N applied</v>
      </c>
    </row>
    <row r="34" spans="1:23"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f],Table_Fertiliser_ChemicalCompounds[FNinorganic f])</f>
        <v>0</v>
      </c>
      <c r="G34" s="48" cm="1">
        <f t="array" ref="G34">Fertiliser_Equations_InorganicN2O.VEERG_5_1_1_1__2_MassOfNitrogenInInorganicFertiliser(E34,F34)</f>
        <v>0</v>
      </c>
      <c r="I34" s="28"/>
    </row>
    <row r="35" spans="1:23"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f],Table_Fertiliser_ChemicalCompounds[FNinorganic f])</f>
        <v>0</v>
      </c>
      <c r="G35" s="48" cm="1">
        <f t="array" ref="G35">Fertiliser_Equations_InorganicN2O.VEERG_5_1_1_1__2_MassOfNitrogenInInorganicFertiliser(E35,F35)</f>
        <v>0</v>
      </c>
      <c r="I35" s="28"/>
      <c r="M35" s="78" t="str" cm="1">
        <f t="array" ref="M35:N36">_xlfn.CHOOSECOLS(Fertiliser_Equations_InorganicN2O.VEERG_5_1_1_2__3_EmissionFactorCotton_Arguments(), 1, 2)</f>
        <v>N_fjCotton</v>
      </c>
      <c r="N35" s="79" t="str">
        <v>application rate of inorganic fertiliser type f in the cotton crop</v>
      </c>
      <c r="O35" s="80"/>
      <c r="P35" s="79" t="str" cm="1">
        <f t="array" ref="P35:Q36">_xlfn.CHOOSECOLS(Fertiliser_Equations_InorganicN2O.VEERG_5_1_1_2__3_EmissionFactorCotton_Arguments(), 3,4)</f>
        <v>kg N/ha</v>
      </c>
      <c r="Q35" s="81" t="str">
        <v>Input</v>
      </c>
      <c r="R35" s="83" t="str" cm="1">
        <f t="array" aca="1" ref="R35" ca="1">HYPERLINK(Common_InputFunctions.Utility_SourceHyperlink($M$41), $M$41)</f>
        <v>M2_Table_FertApplications</v>
      </c>
      <c r="S35" s="86"/>
    </row>
    <row r="36" spans="1:23"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f],Table_Fertiliser_ChemicalCompounds[FNinorganic f])</f>
        <v>0.82350000000000001</v>
      </c>
      <c r="G36" s="48" cm="1">
        <f t="array" ref="G36">Fertiliser_Equations_InorganicN2O.VEERG_5_1_1_1__2_MassOfNitrogenInInorganicFertiliser(E36,F36)</f>
        <v>4117.5</v>
      </c>
      <c r="I36" s="28"/>
      <c r="M36" s="78" t="str">
        <v>f</v>
      </c>
      <c r="N36" s="79" t="str">
        <v>Inorganic fertiliser type</v>
      </c>
      <c r="O36" s="80"/>
      <c r="P36" s="79" t="str">
        <v/>
      </c>
      <c r="Q36" s="82" t="str">
        <v>Constant</v>
      </c>
      <c r="R36" s="79" t="s">
        <v>164</v>
      </c>
      <c r="S36" s="86"/>
    </row>
    <row r="37" spans="1:23"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f],Table_Fertiliser_ChemicalCompounds[FNinorganic f])</f>
        <v>0.155</v>
      </c>
      <c r="G37" s="48" cm="1">
        <f t="array" ref="G37">Fertiliser_Equations_InorganicN2O.VEERG_5_1_1_1__2_MassOfNitrogenInInorganicFertiliser(E37,F37)</f>
        <v>775</v>
      </c>
      <c r="H37" s="63"/>
      <c r="I37" s="28"/>
    </row>
    <row r="38" spans="1:23" ht="20.100000000000001" customHeight="1" x14ac:dyDescent="0.25">
      <c r="A38"/>
      <c r="N38" s="69"/>
      <c r="O38" s="69"/>
      <c r="P38" s="69"/>
    </row>
    <row r="39" spans="1:23" ht="20.100000000000001" customHeight="1" x14ac:dyDescent="0.25">
      <c r="A39"/>
      <c r="C39" s="91"/>
      <c r="D39" s="91"/>
      <c r="E39" s="91"/>
      <c r="F39" s="91"/>
      <c r="G39" s="91"/>
      <c r="H39" s="91"/>
      <c r="I39" s="91"/>
      <c r="J39" s="91"/>
      <c r="M39" s="69" t="s">
        <v>171</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87" t="s">
        <v>172</v>
      </c>
      <c r="T41" s="92" t="s">
        <v>173</v>
      </c>
    </row>
    <row r="42" spans="1:23" ht="20.100000000000001" customHeight="1" x14ac:dyDescent="0.25">
      <c r="A42"/>
      <c r="D42" s="76" t="s">
        <v>161</v>
      </c>
      <c r="E42" s="76" t="str" cm="1">
        <f t="array" aca="1" ref="E42" ca="1">Common_InputFunctions.Utility_DisplayFunctionName($E$60)</f>
        <v>=Fertiliser_Equations_InorganicN2O.VEERG_5_1_1_1__1_InorganicFertiliserApplicationN2OEmissions</v>
      </c>
      <c r="F42" s="28"/>
      <c r="M42" s="88" t="s">
        <v>174</v>
      </c>
    </row>
    <row r="43" spans="1:23" ht="20.100000000000001" customHeight="1" x14ac:dyDescent="0.25">
      <c r="A43"/>
      <c r="F43" s="28"/>
      <c r="O43" s="93" t="s">
        <v>175</v>
      </c>
      <c r="P43" s="93" t="s">
        <v>88</v>
      </c>
      <c r="Q43" s="93" t="s">
        <v>176</v>
      </c>
      <c r="R43" s="93" t="str">
        <f>$N$10</f>
        <v>kg N2O-N/kg N applied</v>
      </c>
      <c r="S43" s="93" t="str">
        <f>$N$21</f>
        <v>kg N2O-N/kg N applied</v>
      </c>
      <c r="T43" s="93" t="s">
        <v>175</v>
      </c>
      <c r="U43" s="93" t="s">
        <v>176</v>
      </c>
      <c r="V43" s="93" t="str">
        <f>$N$33</f>
        <v>kg N2O-N/kg N applied</v>
      </c>
      <c r="W43" s="93" t="s">
        <v>177</v>
      </c>
    </row>
    <row r="44" spans="1:23" ht="20.100000000000001" customHeight="1" x14ac:dyDescent="0.25">
      <c r="A44"/>
      <c r="F44" s="28"/>
      <c r="M44" s="89" t="s">
        <v>178</v>
      </c>
      <c r="N44" s="90" t="s">
        <v>178</v>
      </c>
      <c r="O44" s="90" t="s">
        <v>179</v>
      </c>
      <c r="P44" s="90" t="s">
        <v>180</v>
      </c>
      <c r="Q44" s="89" t="s">
        <v>181</v>
      </c>
      <c r="R44" s="89" t="str">
        <f>N9</f>
        <v>EF_fjIrrigatedMaizeN2O</v>
      </c>
      <c r="S44" s="89" t="str">
        <f>N20</f>
        <v>EF_fjNonIrrigatedGrainsN2O</v>
      </c>
      <c r="T44" s="89" t="s">
        <v>182</v>
      </c>
      <c r="U44" s="89" t="s">
        <v>183</v>
      </c>
      <c r="V44" s="89" t="str">
        <f>N32</f>
        <v>EF_fjCottonN2O</v>
      </c>
      <c r="W44" s="89" t="s">
        <v>184</v>
      </c>
    </row>
    <row r="45" spans="1:23" ht="20.100000000000001" customHeight="1" x14ac:dyDescent="0.25">
      <c r="A45"/>
      <c r="F45" s="28"/>
      <c r="M45" s="48" t="s">
        <v>185</v>
      </c>
      <c r="N45" s="48" t="str" cm="1">
        <f t="array" ref="N45:N49">Table_Input_InorganicFertiliser_Brands[Product (select)]</f>
        <v>Aqua Finish</v>
      </c>
      <c r="O45" s="48" cm="1">
        <f t="array" ref="O45:O49">Table_Input_InorganicFertiliser_Brands[N application rate (kg/ha)]</f>
        <v>3.2759999999999998</v>
      </c>
      <c r="P45" s="48" cm="1">
        <f t="array" ref="P45:P49">Table_Input_InorganicFertiliser_Brands[Application area (ha)]</f>
        <v>100</v>
      </c>
      <c r="Q45" s="48">
        <f>O45*P45</f>
        <v>327.59999999999997</v>
      </c>
      <c r="R45" s="48" cm="1">
        <f t="array" ref="R45">IF(O45&gt;0, Fertiliser_Equations_InorganicN2O.VEERG_5_1_1_2__1_EmissionFactorIrrigatedMaize(O45), 0)</f>
        <v>-1.2741640000000002E-3</v>
      </c>
      <c r="S45" s="48" cm="1">
        <f t="array" ref="S45">IF(O45&gt;0, Fertiliser_Equations_InorganicN2O.VEERG_5_1_1_2__2_EmissionFactorNonIrrigatedGrainsHighRainfall(O45), 0)</f>
        <v>1.0267E-3</v>
      </c>
      <c r="T45" s="48">
        <f>IF(O45&gt;0, MIN(300, O45), 0)</f>
        <v>3.2759999999999998</v>
      </c>
      <c r="U45" s="48">
        <f>P45*T45</f>
        <v>327.59999999999997</v>
      </c>
      <c r="V45" s="48" cm="1">
        <f t="array" ref="V45">IF(O45&gt;0, Fertiliser_Equations_InorganicN2O.VEERG_5_1_1_2__3_EmissionFactorCotton(T45), 0)</f>
        <v>2.902753508679765E-5</v>
      </c>
      <c r="W45" s="48">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3" t="s">
        <v>162</v>
      </c>
      <c r="E46" s="15" t="str" cm="1">
        <f t="array" ref="E46">Fertiliser_Equations_InorganicN2O.VEERG_5_1_1_1__1_InorganicFertiliserApplicationN2OEmissions_Variable()</f>
        <v>E_N2O</v>
      </c>
      <c r="F46" s="28"/>
      <c r="M46" s="48" t="s">
        <v>185</v>
      </c>
      <c r="N46" s="48" t="str">
        <v>CalPhos</v>
      </c>
      <c r="O46" s="48">
        <v>0</v>
      </c>
      <c r="P46" s="48">
        <v>100</v>
      </c>
      <c r="Q46" s="48">
        <f>O46*P46</f>
        <v>0</v>
      </c>
      <c r="R46" s="48" cm="1">
        <f t="array" ref="R46">IF(O46&gt;0, Fertiliser_Equations_InorganicN2O.VEERG_5_1_1_2__1_EmissionFactorIrrigatedMaize(O46), 0)</f>
        <v>0</v>
      </c>
      <c r="S46" s="48" cm="1">
        <f t="array" ref="S46">IF(O46&gt;0, Fertiliser_Equations_InorganicN2O.VEERG_5_1_1_2__2_EmissionFactorNonIrrigatedGrainsHighRainfall(O46), 0)</f>
        <v>0</v>
      </c>
      <c r="T46" s="48">
        <f t="shared" ref="T46:T54" si="0">IF(O46&gt;0, MIN(300, O46), 0)</f>
        <v>0</v>
      </c>
      <c r="U46" s="48">
        <f t="shared" ref="U46:U54" si="1">P46*T46</f>
        <v>0</v>
      </c>
      <c r="V46" s="48" cm="1">
        <f t="array" ref="V46">IF(O46&gt;0, Fertiliser_Equations_InorganicN2O.VEERG_5_1_1_2__3_EmissionFactorCotton(T46), 0)</f>
        <v>0</v>
      </c>
      <c r="W46" s="48">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3" t="s">
        <v>163</v>
      </c>
      <c r="E47" s="20" t="str" cm="1">
        <f t="array" ref="E47">Fertiliser_Equations_InorganicN2O.VEERG_5_1_1_1__1_InorganicFertiliserApplicationN2OEmissions_Unit()</f>
        <v>t N2O</v>
      </c>
      <c r="F47" s="28"/>
      <c r="M47" s="48" t="s">
        <v>185</v>
      </c>
      <c r="N47" s="48" t="str">
        <v>CalPhos</v>
      </c>
      <c r="O47" s="48">
        <v>0</v>
      </c>
      <c r="P47" s="48">
        <v>100</v>
      </c>
      <c r="Q47" s="48">
        <f t="shared" ref="Q47:Q54" si="2">O47*P47</f>
        <v>0</v>
      </c>
      <c r="R47" s="48" cm="1">
        <f t="array" ref="R47">IF(O47&gt;0, Fertiliser_Equations_InorganicN2O.VEERG_5_1_1_2__1_EmissionFactorIrrigatedMaize(O47), 0)</f>
        <v>0</v>
      </c>
      <c r="S47" s="48" cm="1">
        <f t="array" ref="S47">IF(O47&gt;0, Fertiliser_Equations_InorganicN2O.VEERG_5_1_1_2__2_EmissionFactorNonIrrigatedGrainsHighRainfall(O47), 0)</f>
        <v>0</v>
      </c>
      <c r="T47" s="48">
        <f t="shared" si="0"/>
        <v>0</v>
      </c>
      <c r="U47" s="48">
        <f t="shared" si="1"/>
        <v>0</v>
      </c>
      <c r="V47" s="48" cm="1">
        <f t="array" ref="V47">IF(O47&gt;0, Fertiliser_Equations_InorganicN2O.VEERG_5_1_1_2__3_EmissionFactorCotton(T47), 0)</f>
        <v>0</v>
      </c>
      <c r="W47" s="48">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8"/>
      <c r="M48" s="48" t="s">
        <v>185</v>
      </c>
      <c r="N48" s="48" t="str">
        <v>Aqua Grow</v>
      </c>
      <c r="O48" s="48">
        <v>12.096</v>
      </c>
      <c r="P48" s="48">
        <v>100</v>
      </c>
      <c r="Q48" s="48">
        <f t="shared" si="2"/>
        <v>1209.5999999999999</v>
      </c>
      <c r="R48" s="48" cm="1">
        <f t="array" ref="R48">IF(O48&gt;0, Fertiliser_Equations_InorganicN2O.VEERG_5_1_1_2__1_EmissionFactorIrrigatedMaize(O48), 0)</f>
        <v>-7.3614399999999999E-4</v>
      </c>
      <c r="S48" s="48" cm="1">
        <f t="array" ref="S48">IF(O48&gt;0, Fertiliser_Equations_InorganicN2O.VEERG_5_1_1_2__2_EmissionFactorNonIrrigatedGrainsHighRainfall(O48), 0)</f>
        <v>1.6881999999999999E-3</v>
      </c>
      <c r="T48" s="48">
        <f t="shared" si="0"/>
        <v>12.096</v>
      </c>
      <c r="U48" s="48">
        <f t="shared" si="1"/>
        <v>1209.5999999999999</v>
      </c>
      <c r="V48" s="48" cm="1">
        <f t="array" ref="V48">IF(O48&gt;0, Fertiliser_Equations_InorganicN2O.VEERG_5_1_1_2__3_EmissionFactorCotton(T48), 0)</f>
        <v>2.903266653082426E-5</v>
      </c>
      <c r="W48" s="48">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78" t="str" cm="1">
        <f t="array" ref="D49:E55">_xlfn.CHOOSECOLS(Fertiliser_Equations_InorganicN2O.VEERG_5_1_1_1__1_InorganicFertiliserApplicationN2OEmissions_Arguments(), 1, 2)</f>
        <v>MN_jf</v>
      </c>
      <c r="E49" s="79" t="str">
        <v>mass of nitrogen in inorganic fertiliser type f applied to production system j</v>
      </c>
      <c r="F49" s="80"/>
      <c r="G49" s="78" t="str" cm="1">
        <f t="array" ref="G49:H55">_xlfn.CHOOSECOLS(Fertiliser_Equations_InorganicN2O.VEERG_5_1_1_1__1_InorganicFertiliserApplicationN2OEmissions_Arguments(), 3,4)</f>
        <v>kg N</v>
      </c>
      <c r="H49" s="82" t="str">
        <v>Calculated from 5.1.1.1 (2)</v>
      </c>
      <c r="I49" s="85" t="str" cm="1">
        <f t="array" aca="1" ref="I49" ca="1">HYPERLINK(Common_InputFunctions.Utility_SourceHyperlink(D16), D16)</f>
        <v>Table_MN_j_f</v>
      </c>
      <c r="M49" s="48" t="s">
        <v>185</v>
      </c>
      <c r="N49" s="48" t="str">
        <v>Aqua NitroCal</v>
      </c>
      <c r="O49" s="48">
        <v>19.8</v>
      </c>
      <c r="P49" s="48">
        <v>100</v>
      </c>
      <c r="Q49" s="48">
        <f t="shared" si="2"/>
        <v>1980</v>
      </c>
      <c r="R49" s="48" cm="1">
        <f t="array" ref="R49">IF(O49&gt;0, Fertiliser_Equations_InorganicN2O.VEERG_5_1_1_2__1_EmissionFactorIrrigatedMaize(O49), 0)</f>
        <v>-2.6619999999999991E-4</v>
      </c>
      <c r="S49" s="48" cm="1">
        <f t="array" ref="S49">IF(O49&gt;0, Fertiliser_Equations_InorganicN2O.VEERG_5_1_1_2__2_EmissionFactorNonIrrigatedGrainsHighRainfall(O49), 0)</f>
        <v>2.2660000000000002E-3</v>
      </c>
      <c r="T49" s="48">
        <f t="shared" si="0"/>
        <v>19.8</v>
      </c>
      <c r="U49" s="48">
        <f t="shared" si="1"/>
        <v>1980</v>
      </c>
      <c r="V49" s="48" cm="1">
        <f t="array" ref="V49">IF(O49&gt;0, Fertiliser_Equations_InorganicN2O.VEERG_5_1_1_2__3_EmissionFactorCotton(T49), 0)</f>
        <v>2.9038198888180622E-5</v>
      </c>
      <c r="W49" s="48">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78" t="str">
        <v>EF_jN2O</v>
      </c>
      <c r="E50" s="79" t="str">
        <v>emission factor for nitrous oxide for inorganic fertilisers</v>
      </c>
      <c r="F50" s="80"/>
      <c r="G50" s="78" t="str">
        <v>kg N2O-N/kg N applied</v>
      </c>
      <c r="H50" s="82" t="str">
        <v>Constant</v>
      </c>
      <c r="I50" s="7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8" t="s">
        <v>186</v>
      </c>
      <c r="N50" s="48" t="str" cm="1">
        <f t="array" ref="N50:N52">Table_Input_InorganicFertiliser_Custom[Custom blend name]</f>
        <v>My first custom blend</v>
      </c>
      <c r="O50" s="48" cm="1">
        <f t="array" ref="O50:O52">Table_Input_InorganicFertiliser_Custom[N application rate (kg/ha)]</f>
        <v>7.75</v>
      </c>
      <c r="P50" s="48" cm="1">
        <f t="array" ref="P50:P52">Table_Input_InorganicFertiliser_Custom[Application area (ha)]</f>
        <v>100</v>
      </c>
      <c r="Q50" s="48">
        <f t="shared" si="2"/>
        <v>775</v>
      </c>
      <c r="R50" s="48" cm="1">
        <f t="array" ref="R50">IF(O50&gt;0, Fertiliser_Equations_InorganicN2O.VEERG_5_1_1_2__1_EmissionFactorIrrigatedMaize(O50), 0)</f>
        <v>-1.00125E-3</v>
      </c>
      <c r="S50" s="48" cm="1">
        <f t="array" ref="S50">IF(O50&gt;0, Fertiliser_Equations_InorganicN2O.VEERG_5_1_1_2__2_EmissionFactorNonIrrigatedGrainsHighRainfall(O50), 0)</f>
        <v>1.36225E-3</v>
      </c>
      <c r="T50" s="48">
        <f t="shared" si="0"/>
        <v>7.75</v>
      </c>
      <c r="U50" s="48">
        <f t="shared" si="1"/>
        <v>775</v>
      </c>
      <c r="V50" s="48" cm="1">
        <f t="array" ref="V50">IF(O50&gt;0, Fertiliser_Equations_InorganicN2O.VEERG_5_1_1_2__3_EmissionFactorCotton(T50), 0)</f>
        <v>2.9029995329592254E-5</v>
      </c>
      <c r="W50" s="48">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78" t="str">
        <v>C_N2O</v>
      </c>
      <c r="E51" s="79" t="str">
        <v>factor to convert elemental mass of nitrous oxide to molecular mass</v>
      </c>
      <c r="F51" s="80"/>
      <c r="G51" s="78" t="str">
        <v/>
      </c>
      <c r="H51" s="82" t="str">
        <v>Constant</v>
      </c>
      <c r="I51" s="78">
        <f>Common_InputFunctions.Utility_LookupValueInTableNumber("N2O",Table_GasToMolecularConversionFactor[Gas],Table_GasToMolecularConversionFactor[Conversion factor combined])</f>
        <v>1.5714285714285714</v>
      </c>
      <c r="M51" s="48" t="s">
        <v>186</v>
      </c>
      <c r="N51" s="48" t="str">
        <v>My second custom blend</v>
      </c>
      <c r="O51" s="48">
        <v>46</v>
      </c>
      <c r="P51" s="48">
        <v>100</v>
      </c>
      <c r="Q51" s="48">
        <f t="shared" si="2"/>
        <v>4600</v>
      </c>
      <c r="R51" s="48" cm="1">
        <f t="array" ref="R51">IF(O51&gt;0, Fertiliser_Equations_InorganicN2O.VEERG_5_1_1_2__1_EmissionFactorIrrigatedMaize(O51), 0)</f>
        <v>1.3320000000000001E-3</v>
      </c>
      <c r="S51" s="48" cm="1">
        <f t="array" ref="S51">IF(O51&gt;0, Fertiliser_Equations_InorganicN2O.VEERG_5_1_1_2__2_EmissionFactorNonIrrigatedGrainsHighRainfall(O51), 0)</f>
        <v>4.2309999999999995E-3</v>
      </c>
      <c r="T51" s="48">
        <f t="shared" si="0"/>
        <v>46</v>
      </c>
      <c r="U51" s="48">
        <f t="shared" si="1"/>
        <v>4600</v>
      </c>
      <c r="V51" s="48" cm="1">
        <f t="array" ref="V51">IF(O51&gt;0, Fertiliser_Equations_InorganicN2O.VEERG_5_1_1_2__3_EmissionFactorCotton(T51), 0)</f>
        <v>2.9068248573243379E-5</v>
      </c>
      <c r="W51" s="48">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78" t="str">
        <v>j</v>
      </c>
      <c r="E52" s="79" t="str">
        <v>Production system</v>
      </c>
      <c r="F52" s="80"/>
      <c r="G52" s="78" t="str">
        <v/>
      </c>
      <c r="H52" s="81" t="str">
        <v>Input</v>
      </c>
      <c r="I52" s="78" t="str">
        <f>X_Cell_Fertiliser_ProductionSystem</f>
        <v>Crop</v>
      </c>
      <c r="M52" s="48" t="s">
        <v>186</v>
      </c>
      <c r="N52" s="48" t="str">
        <v>My third custom blend</v>
      </c>
      <c r="O52" s="48">
        <v>41.174999999999997</v>
      </c>
      <c r="P52" s="48">
        <v>100</v>
      </c>
      <c r="Q52" s="48">
        <f t="shared" si="2"/>
        <v>4117.5</v>
      </c>
      <c r="R52" s="48" cm="1">
        <f t="array" ref="R52">IF(O52&gt;0, Fertiliser_Equations_InorganicN2O.VEERG_5_1_1_2__1_EmissionFactorIrrigatedMaize(O52), 0)</f>
        <v>1.0376749999999998E-3</v>
      </c>
      <c r="S52" s="48" cm="1">
        <f t="array" ref="S52">IF(O52&gt;0, Fertiliser_Equations_InorganicN2O.VEERG_5_1_1_2__2_EmissionFactorNonIrrigatedGrainsHighRainfall(O52), 0)</f>
        <v>3.8691250000000002E-3</v>
      </c>
      <c r="T52" s="48">
        <f t="shared" si="0"/>
        <v>41.174999999999997</v>
      </c>
      <c r="U52" s="48">
        <f t="shared" si="1"/>
        <v>4117.5</v>
      </c>
      <c r="V52" s="48" cm="1">
        <f t="array" ref="V52">IF(O52&gt;0, Fertiliser_Equations_InorganicN2O.VEERG_5_1_1_2__3_EmissionFactorCotton(T52), 0)</f>
        <v>2.9061000580963132E-5</v>
      </c>
      <c r="W52" s="48">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78" t="str">
        <v>f</v>
      </c>
      <c r="E53" s="79" t="str">
        <v>Inorganic fertiliser type</v>
      </c>
      <c r="F53" s="80"/>
      <c r="G53" s="78" t="str">
        <v/>
      </c>
      <c r="H53" s="82" t="str">
        <v>Constant</v>
      </c>
      <c r="I53" s="78" t="str">
        <f>"See " &amp; D57</f>
        <v>See M1_Table_E_N2O</v>
      </c>
      <c r="M53" s="48" t="s">
        <v>186</v>
      </c>
      <c r="N53" s="48"/>
      <c r="O53" s="48"/>
      <c r="P53" s="48"/>
      <c r="Q53" s="48">
        <f t="shared" si="2"/>
        <v>0</v>
      </c>
      <c r="R53" s="48" cm="1">
        <f t="array" ref="R53">IF(O53&gt;0, Fertiliser_Equations_InorganicN2O.VEERG_5_1_1_2__1_EmissionFactorIrrigatedMaize(O53), 0)</f>
        <v>0</v>
      </c>
      <c r="S53" s="48" cm="1">
        <f t="array" ref="S53">IF(O53&gt;0, Fertiliser_Equations_InorganicN2O.VEERG_5_1_1_2__2_EmissionFactorNonIrrigatedGrainsHighRainfall(O53), 0)</f>
        <v>0</v>
      </c>
      <c r="T53" s="48">
        <f t="shared" si="0"/>
        <v>0</v>
      </c>
      <c r="U53" s="48">
        <f t="shared" si="1"/>
        <v>0</v>
      </c>
      <c r="V53" s="48" cm="1">
        <f t="array" ref="V53">IF(O53&gt;0, Fertiliser_Equations_InorganicN2O.VEERG_5_1_1_2__3_EmissionFactorCotton(T53), 0)</f>
        <v>0</v>
      </c>
      <c r="W53" s="48">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78" t="str">
        <v>ir</v>
      </c>
      <c r="E54" s="79" t="str">
        <v>irrigation method</v>
      </c>
      <c r="F54" s="80"/>
      <c r="G54" s="78" t="str">
        <v/>
      </c>
      <c r="H54" s="81" t="str">
        <v>Input</v>
      </c>
      <c r="I54" s="78" t="str">
        <f>X_Cell_Fertiliser_IrrigationMethod</f>
        <v>Sprinkler irrigation</v>
      </c>
      <c r="M54" s="48" t="s">
        <v>186</v>
      </c>
      <c r="N54" s="48"/>
      <c r="O54" s="48"/>
      <c r="P54" s="48"/>
      <c r="Q54" s="48">
        <f t="shared" si="2"/>
        <v>0</v>
      </c>
      <c r="R54" s="48" cm="1">
        <f t="array" ref="R54">IF(O54&gt;0, Fertiliser_Equations_InorganicN2O.VEERG_5_1_1_2__1_EmissionFactorIrrigatedMaize(O54), 0)</f>
        <v>0</v>
      </c>
      <c r="S54" s="48" cm="1">
        <f t="array" ref="S54">IF(O54&gt;0, Fertiliser_Equations_InorganicN2O.VEERG_5_1_1_2__2_EmissionFactorNonIrrigatedGrainsHighRainfall(O54), 0)</f>
        <v>0</v>
      </c>
      <c r="T54" s="48">
        <f t="shared" si="0"/>
        <v>0</v>
      </c>
      <c r="U54" s="48">
        <f t="shared" si="1"/>
        <v>0</v>
      </c>
      <c r="V54" s="48" cm="1">
        <f t="array" ref="V54">IF(O54&gt;0, Fertiliser_Equations_InorganicN2O.VEERG_5_1_1_2__3_EmissionFactorCotton(T54), 0)</f>
        <v>0</v>
      </c>
      <c r="W54" s="48">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78" t="str">
        <v>z</v>
      </c>
      <c r="E55" s="79" t="str">
        <v>rainfall zone</v>
      </c>
      <c r="F55" s="80"/>
      <c r="G55" s="78" t="str">
        <v/>
      </c>
      <c r="H55" s="81" t="str">
        <v>Input</v>
      </c>
      <c r="I55" s="78" t="str">
        <f>X_Cell_Site_RainfallZone</f>
        <v>Low rainfall</v>
      </c>
    </row>
    <row r="56" spans="1:24" ht="20.100000000000001" customHeight="1" x14ac:dyDescent="0.25">
      <c r="A56"/>
      <c r="F56" s="28"/>
    </row>
    <row r="57" spans="1:24" ht="20.100000000000001" customHeight="1" x14ac:dyDescent="0.25">
      <c r="A57"/>
      <c r="D57" s="87" t="s">
        <v>187</v>
      </c>
      <c r="F57" s="28"/>
      <c r="L57" s="91"/>
      <c r="M57" s="91"/>
      <c r="N57" s="91"/>
      <c r="O57" s="91"/>
      <c r="P57" s="91"/>
      <c r="Q57" s="91"/>
      <c r="R57" s="91"/>
      <c r="S57" s="91"/>
      <c r="T57" s="91"/>
      <c r="U57" s="91"/>
      <c r="V57" s="91"/>
      <c r="W57" s="91"/>
      <c r="X57" s="91"/>
    </row>
    <row r="58" spans="1:24" ht="20.100000000000001" customHeight="1" x14ac:dyDescent="0.25">
      <c r="A58"/>
      <c r="D58" s="88" t="s">
        <v>188</v>
      </c>
      <c r="F58" s="28"/>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89" t="s">
        <v>167</v>
      </c>
      <c r="E59" s="89" t="s">
        <v>189</v>
      </c>
      <c r="M59" s="18" t="str" cm="1">
        <f t="array" ref="M59">Fertiliser_Equations_InorganicN2O.VEERG_5_1_1_1__1_InorganicFertiliserApplicationN2OEmissions_Source()</f>
        <v>VEERG 2026: 5.1.1.1, Equation (1)</v>
      </c>
    </row>
    <row r="60" spans="1:24" ht="20.100000000000001" customHeight="1" x14ac:dyDescent="0.25">
      <c r="A60"/>
      <c r="D60" s="48" t="str" cm="1">
        <f t="array" ref="D60:D78">Table_Fertiliser_ChemicalCompounds[Fertiliser type f]</f>
        <v>Monoammonium phosphate (MAP)</v>
      </c>
      <c r="E60" s="48" cm="1">
        <f t="array" ref="E60">Fertiliser_Equations_InorganicN2O.VEERG_5_1_1_1__1_InorganicFertiliserApplicationN2OEmissions(G19,$I$50,$I$51)</f>
        <v>0</v>
      </c>
      <c r="F60" s="28" t="str">
        <f>E47</f>
        <v>t N2O</v>
      </c>
      <c r="M60" s="76" t="s">
        <v>161</v>
      </c>
      <c r="N60" s="76" t="str" cm="1">
        <f t="array" aca="1" ref="N60" ca="1">Common_InputFunctions.Utility_DisplayFunctionName($E$60)</f>
        <v>=Fertiliser_Equations_InorganicN2O.VEERG_5_1_1_1__1_InorganicFertiliserApplicationN2OEmissions</v>
      </c>
    </row>
    <row r="61" spans="1:24" ht="20.100000000000001" customHeight="1" x14ac:dyDescent="0.25">
      <c r="A61"/>
      <c r="D61" s="48" t="str">
        <v>Diammonium phosphate (DAP)</v>
      </c>
      <c r="E61" s="48" cm="1">
        <f t="array" ref="E61">Fertiliser_Equations_InorganicN2O.VEERG_5_1_1_1__1_InorganicFertiliserApplicationN2OEmissions(G20,$I$50,$I$51)</f>
        <v>0</v>
      </c>
    </row>
    <row r="62" spans="1:24" ht="20.100000000000001" customHeight="1" x14ac:dyDescent="0.25">
      <c r="A62"/>
      <c r="D62" s="48" t="str">
        <v>Urea</v>
      </c>
      <c r="E62" s="48" cm="1">
        <f t="array" ref="E62">Fertiliser_Equations_InorganicN2O.VEERG_5_1_1_1__1_InorganicFertiliserApplicationN2OEmissions(G21,$I$50,$I$51)</f>
        <v>5.0599999999999999E-2</v>
      </c>
    </row>
    <row r="63" spans="1:24" ht="20.100000000000001" customHeight="1" x14ac:dyDescent="0.25">
      <c r="A63"/>
      <c r="D63" s="48" t="str">
        <v>Sulphate of ammonia (SOA)</v>
      </c>
      <c r="E63" s="48" cm="1">
        <f t="array" ref="E63">Fertiliser_Equations_InorganicN2O.VEERG_5_1_1_1__1_InorganicFertiliserApplicationN2OEmissions(G22,$I$50,$I$51)</f>
        <v>0</v>
      </c>
    </row>
    <row r="64" spans="1:24" ht="20.100000000000001" customHeight="1" x14ac:dyDescent="0.25">
      <c r="A64"/>
      <c r="D64" s="48" t="str">
        <v>Urea-ammonium nitrate (UAN)</v>
      </c>
      <c r="E64" s="48" cm="1">
        <f t="array" ref="E64">Fertiliser_Equations_InorganicN2O.VEERG_5_1_1_1__1_InorganicFertiliserApplicationN2OEmissions(G23,$I$50,$I$51)</f>
        <v>0</v>
      </c>
      <c r="M64" s="63" t="s">
        <v>162</v>
      </c>
      <c r="N64" s="15" t="str" cm="1">
        <f t="array" ref="N64">Fertiliser_Equations_InorganicN2O.VEERG_5_1_1_1__1_InorganicFertiliserApplicationN2OEmissions_Variable()</f>
        <v>E_N2O</v>
      </c>
    </row>
    <row r="65" spans="1:19" ht="20.100000000000001" customHeight="1" x14ac:dyDescent="0.25">
      <c r="A65"/>
      <c r="D65" s="48" t="str">
        <v>Ammonium nitrate (AN)</v>
      </c>
      <c r="E65" s="48" cm="1">
        <f t="array" ref="E65">Fertiliser_Equations_InorganicN2O.VEERG_5_1_1_1__1_InorganicFertiliserApplicationN2OEmissions(G24,$I$50,$I$51)</f>
        <v>0</v>
      </c>
      <c r="M65" s="63" t="s">
        <v>163</v>
      </c>
      <c r="N65" s="20" t="str" cm="1">
        <f t="array" ref="N65">Fertiliser_Equations_InorganicN2O.VEERG_5_1_1_1__1_InorganicFertiliserApplicationN2OEmissions_Unit()</f>
        <v>t N2O</v>
      </c>
    </row>
    <row r="66" spans="1:19" ht="20.100000000000001" customHeight="1" x14ac:dyDescent="0.25">
      <c r="A66"/>
      <c r="D66" s="48" t="str">
        <v>Calcium ammonium nitrate (CAN)</v>
      </c>
      <c r="E66" s="48" cm="1">
        <f t="array" ref="E66">Fertiliser_Equations_InorganicN2O.VEERG_5_1_1_1__1_InorganicFertiliserApplicationN2OEmissions(G25,$I$50,$I$51)</f>
        <v>0</v>
      </c>
    </row>
    <row r="67" spans="1:19" ht="20.100000000000001" customHeight="1" x14ac:dyDescent="0.25">
      <c r="A67"/>
      <c r="D67" s="48" t="str">
        <v>Nitrogen - Ammoniacal</v>
      </c>
      <c r="E67" s="48" cm="1">
        <f t="array" ref="E67">Fertiliser_Equations_InorganicN2O.VEERG_5_1_1_1__1_InorganicFertiliserApplicationN2OEmissions(G26,$I$50,$I$51)</f>
        <v>0</v>
      </c>
      <c r="M67" s="78" t="str" cm="1">
        <f t="array" ref="M67:N74">_xlfn.CHOOSECOLS(Fertiliser_Equations_InorganicN2O.VEERG_5_1_1_1__1_InorganicFertiliserApplicationN2OEmissions_Arguments_Method2(), 1, 2)</f>
        <v>MN_jf</v>
      </c>
      <c r="N67" s="79" t="str">
        <v>mass of nitrogen in inorganic fertiliser type f applied to production system j</v>
      </c>
      <c r="O67" s="80"/>
      <c r="P67" s="86"/>
      <c r="Q67" s="78" t="str" cm="1">
        <f t="array" ref="Q67:R74">_xlfn.CHOOSECOLS(Fertiliser_Equations_InorganicN2O.VEERG_5_1_1_1__1_InorganicFertiliserApplicationN2OEmissions_Arguments_Method2(), 3,4)</f>
        <v>kg N</v>
      </c>
      <c r="R67" s="82" t="str">
        <v>Calculated from 5.1.1.1 (2)</v>
      </c>
      <c r="S67" s="85" t="str" cm="1">
        <f t="array" aca="1" ref="S67" ca="1">HYPERLINK(Common_InputFunctions.Utility_SourceHyperlink(M41), M41)</f>
        <v>M2_Table_FertApplications</v>
      </c>
    </row>
    <row r="68" spans="1:19" ht="20.100000000000001" customHeight="1" x14ac:dyDescent="0.25">
      <c r="A68"/>
      <c r="D68" s="48" t="str">
        <v>Nitrogen - Nitrate</v>
      </c>
      <c r="E68" s="48" cm="1">
        <f t="array" ref="E68">Fertiliser_Equations_InorganicN2O.VEERG_5_1_1_1__1_InorganicFertiliserApplicationN2OEmissions(G27,$I$50,$I$51)</f>
        <v>2.1779999999999997E-2</v>
      </c>
      <c r="M68" s="78" t="str">
        <v>EF_jN2O</v>
      </c>
      <c r="N68" s="79" t="str">
        <v>emission factor for nitrous oxide for inorganic fertilisers</v>
      </c>
      <c r="O68" s="80"/>
      <c r="P68" s="86"/>
      <c r="Q68" s="78" t="str">
        <v>kg N2O-N/kg N applied</v>
      </c>
      <c r="R68" s="82" t="str">
        <v>Calculated from 5.1.1.2 (1)(2)(3)</v>
      </c>
      <c r="S68" s="78" t="str" cm="1">
        <f t="array" ref="S68">_xlfn.IFS(
  AND(S70="crop", S71="grains", S73="not irrigated", S74="high rainfall"), $S$44,
  AND(S70="Crop", S71="maize", S73&lt;&gt;"not irrigated"), $R$44,
  AND(S70="Crop", S71="cotton"), $V$44,
  TRUE, $W$44
)</f>
        <v>EF_jN2O</v>
      </c>
    </row>
    <row r="69" spans="1:19" ht="20.100000000000001" customHeight="1" x14ac:dyDescent="0.25">
      <c r="A69"/>
      <c r="D69" s="48" t="str">
        <v>Nitrogen - Generic</v>
      </c>
      <c r="E69" s="48" cm="1">
        <f t="array" ref="E69">Fertiliser_Equations_InorganicN2O.VEERG_5_1_1_1__1_InorganicFertiliserApplicationN2OEmissions(G28,$I$50,$I$51)</f>
        <v>1.6909200000000003E-2</v>
      </c>
      <c r="M69" s="78" t="str">
        <v>C_N2O</v>
      </c>
      <c r="N69" s="79" t="str">
        <v>factor to convert elemental mass of nitrous oxide to molecular mass</v>
      </c>
      <c r="O69" s="80"/>
      <c r="P69" s="86"/>
      <c r="Q69" s="78" t="str">
        <v/>
      </c>
      <c r="R69" s="82" t="str">
        <v>Constant</v>
      </c>
      <c r="S69" s="78">
        <f>Common_InputFunctions.Utility_LookupValueInTableNumber("N2O",Table_GasToMolecularConversionFactor[Gas],Table_GasToMolecularConversionFactor[Conversion factor combined])</f>
        <v>1.5714285714285714</v>
      </c>
    </row>
    <row r="70" spans="1:19" ht="20.100000000000001" customHeight="1" x14ac:dyDescent="0.25">
      <c r="A70"/>
      <c r="D70" s="48" t="str">
        <v>Phosphorus - Generic</v>
      </c>
      <c r="E70" s="48" cm="1">
        <f t="array" ref="E70">Fertiliser_Equations_InorganicN2O.VEERG_5_1_1_1__1_InorganicFertiliserApplicationN2OEmissions(G29,$I$50,$I$51)</f>
        <v>0</v>
      </c>
      <c r="M70" s="78" t="str">
        <v>j</v>
      </c>
      <c r="N70" s="79" t="str">
        <v>Production system</v>
      </c>
      <c r="O70" s="80"/>
      <c r="P70" s="86"/>
      <c r="Q70" s="78" t="str">
        <v/>
      </c>
      <c r="R70" s="81" t="str">
        <v>Input</v>
      </c>
      <c r="S70" s="78" t="str">
        <f>X_Cell_Fertiliser_ProductionSystem</f>
        <v>Crop</v>
      </c>
    </row>
    <row r="71" spans="1:19" ht="20.100000000000001" customHeight="1" x14ac:dyDescent="0.25">
      <c r="A71"/>
      <c r="D71" s="48" t="str">
        <v>Potassium - Generic</v>
      </c>
      <c r="E71" s="48" cm="1">
        <f t="array" ref="E71">Fertiliser_Equations_InorganicN2O.VEERG_5_1_1_1__1_InorganicFertiliserApplicationN2OEmissions(G30,$I$50,$I$51)</f>
        <v>0</v>
      </c>
      <c r="M71" s="78" t="str">
        <v>c</v>
      </c>
      <c r="N71" s="79" t="str">
        <v>Crop type</v>
      </c>
      <c r="O71" s="80"/>
      <c r="P71" s="86"/>
      <c r="Q71" s="78" t="str">
        <v/>
      </c>
      <c r="R71" s="81" t="str">
        <v>Input</v>
      </c>
      <c r="S71" s="78" t="str">
        <f>X_Cell_Fertiliser_CropType</f>
        <v>Grains</v>
      </c>
    </row>
    <row r="72" spans="1:19" ht="20.100000000000001" customHeight="1" x14ac:dyDescent="0.25">
      <c r="A72"/>
      <c r="D72" s="48" t="str">
        <v>Sulfur - Generic</v>
      </c>
      <c r="E72" s="48" cm="1">
        <f t="array" ref="E72">Fertiliser_Equations_InorganicN2O.VEERG_5_1_1_1__1_InorganicFertiliserApplicationN2OEmissions(G31,$I$50,$I$51)</f>
        <v>0</v>
      </c>
      <c r="M72" s="78" t="str">
        <v>f</v>
      </c>
      <c r="N72" s="79" t="str">
        <v>Inorganic fertiliser type</v>
      </c>
      <c r="O72" s="80"/>
      <c r="P72" s="86"/>
      <c r="Q72" s="78" t="str">
        <v/>
      </c>
      <c r="R72" s="82" t="str">
        <v>Constant</v>
      </c>
      <c r="S72" s="78" t="s">
        <v>190</v>
      </c>
    </row>
    <row r="73" spans="1:19" ht="20.100000000000001" customHeight="1" x14ac:dyDescent="0.25">
      <c r="A73"/>
      <c r="D73" s="48" t="str">
        <v>Zinc - Generic</v>
      </c>
      <c r="E73" s="48" cm="1">
        <f t="array" ref="E73">Fertiliser_Equations_InorganicN2O.VEERG_5_1_1_1__1_InorganicFertiliserApplicationN2OEmissions(G32,$I$50,$I$51)</f>
        <v>0</v>
      </c>
      <c r="M73" s="78" t="str">
        <v>ir</v>
      </c>
      <c r="N73" s="79" t="str">
        <v>irrigation method</v>
      </c>
      <c r="O73" s="80"/>
      <c r="P73" s="86"/>
      <c r="Q73" s="78" t="str">
        <v/>
      </c>
      <c r="R73" s="81" t="str">
        <v>Input</v>
      </c>
      <c r="S73" s="78" t="str">
        <f>X_Cell_Fertiliser_IrrigationMethod</f>
        <v>Sprinkler irrigation</v>
      </c>
    </row>
    <row r="74" spans="1:19" ht="20.100000000000001" customHeight="1" x14ac:dyDescent="0.25">
      <c r="A74"/>
      <c r="D74" s="48" t="str">
        <v>Muriate of potash (MOP)</v>
      </c>
      <c r="E74" s="48" cm="1">
        <f t="array" ref="E74">Fertiliser_Equations_InorganicN2O.VEERG_5_1_1_1__1_InorganicFertiliserApplicationN2OEmissions(G33,$I$50,$I$51)</f>
        <v>0</v>
      </c>
      <c r="M74" s="79" t="str">
        <v>z</v>
      </c>
      <c r="N74" s="79" t="str">
        <v>rainfall zone</v>
      </c>
      <c r="O74" s="80"/>
      <c r="P74" s="80"/>
      <c r="Q74" s="78" t="str">
        <v/>
      </c>
      <c r="R74" s="81" t="str">
        <v>Input</v>
      </c>
      <c r="S74" s="78" t="str">
        <f>X_Cell_Site_RainfallZone</f>
        <v>Low rainfall</v>
      </c>
    </row>
    <row r="75" spans="1:19" ht="20.100000000000001" customHeight="1" x14ac:dyDescent="0.25">
      <c r="A75"/>
      <c r="D75" s="48" t="str">
        <v>Double superphosphate</v>
      </c>
      <c r="E75" s="48" cm="1">
        <f t="array" ref="E75">Fertiliser_Equations_InorganicN2O.VEERG_5_1_1_1__1_InorganicFertiliserApplicationN2OEmissions(G34,$I$50,$I$51)</f>
        <v>0</v>
      </c>
    </row>
    <row r="76" spans="1:19" ht="20.100000000000001" customHeight="1" x14ac:dyDescent="0.25">
      <c r="A76"/>
      <c r="D76" s="48" t="str">
        <v>Single superphosphate (SSP)</v>
      </c>
      <c r="E76" s="48" cm="1">
        <f t="array" ref="E76">Fertiliser_Equations_InorganicN2O.VEERG_5_1_1_1__1_InorganicFertiliserApplicationN2OEmissions(G35,$I$50,$I$51)</f>
        <v>0</v>
      </c>
      <c r="M76" s="89" t="s">
        <v>178</v>
      </c>
      <c r="N76" s="89" t="s">
        <v>178</v>
      </c>
      <c r="O76" s="89" t="s">
        <v>191</v>
      </c>
      <c r="P76" s="89" t="s">
        <v>189</v>
      </c>
    </row>
    <row r="77" spans="1:19" ht="20.100000000000001" customHeight="1" x14ac:dyDescent="0.25">
      <c r="A77"/>
      <c r="D77" s="48" t="str">
        <v>Ammonia</v>
      </c>
      <c r="E77" s="48" cm="1">
        <f t="array" ref="E77">Fertiliser_Equations_InorganicN2O.VEERG_5_1_1_1__1_InorganicFertiliserApplicationN2OEmissions(G36,$I$50,$I$51)</f>
        <v>4.5292500000000006E-2</v>
      </c>
      <c r="M77" s="48" t="s">
        <v>185</v>
      </c>
      <c r="N77" s="48" t="str" cm="1">
        <f t="array" ref="N77:N81">Table_Input_InorganicFertiliser_Brands[Product (select)]</f>
        <v>Aqua Finish</v>
      </c>
      <c r="O77" s="48" cm="1">
        <f t="array" ref="O77">_xlfn.XLOOKUP(N77,$N$45:$N$54,_xlfn.XLOOKUP($S$68,$R$44:$W$44,$R$45:$W$54), "")</f>
        <v>7.0000000000000001E-3</v>
      </c>
      <c r="P77" s="48" cm="1">
        <f t="array" ref="P77">Fertiliser_Equations_InorganicN2O.VEERG_5_1_1_1__1_InorganicFertiliserApplicationN2OEmissions(Q45,O77,$S$69)</f>
        <v>3.6035999999999993E-3</v>
      </c>
    </row>
    <row r="78" spans="1:19" ht="20.100000000000001" customHeight="1" x14ac:dyDescent="0.25">
      <c r="A78"/>
      <c r="D78" s="48" t="str">
        <v>Calcium nitrate</v>
      </c>
      <c r="E78" s="48" cm="1">
        <f t="array" ref="E78">Fertiliser_Equations_InorganicN2O.VEERG_5_1_1_1__1_InorganicFertiliserApplicationN2OEmissions(G37,$I$50,$I$51)</f>
        <v>8.5250000000000013E-3</v>
      </c>
      <c r="M78" s="48" t="s">
        <v>185</v>
      </c>
      <c r="N78" s="48" t="str">
        <v>CalPhos</v>
      </c>
      <c r="O78" s="48" cm="1">
        <f t="array" ref="O78">_xlfn.XLOOKUP(N78,$N$45:$N$54,_xlfn.XLOOKUP($S$68,$R$44:$W$44,$R$45:$W$54), FALSE)</f>
        <v>0</v>
      </c>
      <c r="P78" s="48" cm="1">
        <f t="array" ref="P78">Fertiliser_Equations_InorganicN2O.VEERG_5_1_1_1__1_InorganicFertiliserApplicationN2OEmissions(Q46,O78,$S$69)</f>
        <v>0</v>
      </c>
    </row>
    <row r="79" spans="1:19" ht="20.100000000000001" customHeight="1" x14ac:dyDescent="0.25">
      <c r="A79"/>
      <c r="M79" s="48" t="s">
        <v>185</v>
      </c>
      <c r="N79" s="48" t="str">
        <v>CalPhos</v>
      </c>
      <c r="O79" s="48" cm="1">
        <f t="array" ref="O79">_xlfn.XLOOKUP(N79,$N$45:$N$54,_xlfn.XLOOKUP($S$68,$R$44:$W$44,$R$45:$W$54))</f>
        <v>0</v>
      </c>
      <c r="P79" s="48" cm="1">
        <f t="array" ref="P79">Fertiliser_Equations_InorganicN2O.VEERG_5_1_1_1__1_InorganicFertiliserApplicationN2OEmissions(Q47,O79,$S$69)</f>
        <v>0</v>
      </c>
    </row>
    <row r="80" spans="1:19" ht="20.100000000000001" customHeight="1" x14ac:dyDescent="0.25">
      <c r="A80"/>
      <c r="D80" s="94" t="s">
        <v>192</v>
      </c>
      <c r="E80" s="95">
        <f>SUM(E60:E78)</f>
        <v>0.1431067</v>
      </c>
      <c r="F80" s="96" t="str">
        <f>$E$47</f>
        <v>t N2O</v>
      </c>
      <c r="M80" s="48" t="s">
        <v>185</v>
      </c>
      <c r="N80" s="48" t="str">
        <v>Aqua Grow</v>
      </c>
      <c r="O80" s="48" cm="1">
        <f t="array" ref="O80">_xlfn.XLOOKUP(N80,$N$45:$N$54,_xlfn.XLOOKUP($S$68,$R$44:$W$44,$R$45:$W$54))</f>
        <v>7.0000000000000001E-3</v>
      </c>
      <c r="P80" s="48" cm="1">
        <f t="array" ref="P80">Fertiliser_Equations_InorganicN2O.VEERG_5_1_1_1__1_InorganicFertiliserApplicationN2OEmissions(Q48,O80,$S$69)</f>
        <v>1.3305600000000001E-2</v>
      </c>
    </row>
    <row r="81" spans="1:16" ht="20.100000000000001" customHeight="1" x14ac:dyDescent="0.25">
      <c r="A81"/>
      <c r="M81" s="48" t="s">
        <v>185</v>
      </c>
      <c r="N81" s="48" t="str">
        <v>Aqua NitroCal</v>
      </c>
      <c r="O81" s="48" cm="1">
        <f t="array" ref="O81">_xlfn.XLOOKUP(N81,$N$45:$N$54,_xlfn.XLOOKUP($S$68,$R$44:$W$44,$R$45:$W$54))</f>
        <v>7.0000000000000001E-3</v>
      </c>
      <c r="P81" s="48" cm="1">
        <f t="array" ref="P81">Fertiliser_Equations_InorganicN2O.VEERG_5_1_1_1__1_InorganicFertiliserApplicationN2OEmissions(Q49,O81,$S$69)</f>
        <v>2.1779999999999997E-2</v>
      </c>
    </row>
    <row r="82" spans="1:16" ht="20.100000000000001" customHeight="1" x14ac:dyDescent="0.25">
      <c r="A82"/>
      <c r="D82" s="78" t="str" cm="1">
        <f t="array" ref="D82:E83">Common_Equations.Common_ConvertN2OToCO2e_Arguments()</f>
        <v>EN2O</v>
      </c>
      <c r="E82" s="79" t="str">
        <v>Nitrous oxide emissions (t N2O)</v>
      </c>
      <c r="F82" s="97"/>
      <c r="G82" s="48">
        <f>E80</f>
        <v>0.1431067</v>
      </c>
      <c r="M82" s="48" t="s">
        <v>186</v>
      </c>
      <c r="N82" s="48" t="str" cm="1">
        <f t="array" ref="N82:N84">Table_Input_InorganicFertiliser_Custom[Custom blend name]</f>
        <v>My first custom blend</v>
      </c>
      <c r="O82" s="48" cm="1">
        <f t="array" ref="O82">_xlfn.XLOOKUP(N82,$N$45:$N$54,_xlfn.XLOOKUP($S$68,$R$44:$W$44,$R$45:$W$54))</f>
        <v>7.0000000000000001E-3</v>
      </c>
      <c r="P82" s="48" cm="1">
        <f t="array" ref="P82">Fertiliser_Equations_InorganicN2O.VEERG_5_1_1_1__1_InorganicFertiliserApplicationN2OEmissions(Q50,O82,$S$69)</f>
        <v>8.5250000000000013E-3</v>
      </c>
    </row>
    <row r="83" spans="1:16" ht="20.100000000000001" customHeight="1" x14ac:dyDescent="0.25">
      <c r="A83"/>
      <c r="D83" s="78" t="str">
        <v>GWPN2O</v>
      </c>
      <c r="E83" s="79" t="str">
        <v>Global warming potential for nitrous oxide (t CO2-e / t N2O)</v>
      </c>
      <c r="F83" s="97"/>
      <c r="G83" s="48">
        <f>Common_InputFunctions.Utility_LookupValueInTableNumber("N2O",Table_GWPData[Gas],Table_GWPData[CO2-e factor])</f>
        <v>265</v>
      </c>
      <c r="M83" s="48" t="s">
        <v>186</v>
      </c>
      <c r="N83" s="48" t="str">
        <v>My second custom blend</v>
      </c>
      <c r="O83" s="48" cm="1">
        <f t="array" ref="O83">_xlfn.XLOOKUP(N83,$N$45:$N$54,_xlfn.XLOOKUP($S$68,$R$44:$W$44,$R$45:$W$54))</f>
        <v>7.0000000000000001E-3</v>
      </c>
      <c r="P83" s="48" cm="1">
        <f t="array" ref="P83">Fertiliser_Equations_InorganicN2O.VEERG_5_1_1_1__1_InorganicFertiliserApplicationN2OEmissions(Q51,O83,$S$69)</f>
        <v>5.0599999999999999E-2</v>
      </c>
    </row>
    <row r="84" spans="1:16" ht="20.100000000000001" customHeight="1" x14ac:dyDescent="0.25">
      <c r="A84"/>
      <c r="M84" s="48" t="s">
        <v>186</v>
      </c>
      <c r="N84" s="48" t="str">
        <v>My third custom blend</v>
      </c>
      <c r="O84" s="48" cm="1">
        <f t="array" ref="O84">_xlfn.XLOOKUP(N84,$N$45:$N$54,_xlfn.XLOOKUP($S$68,$R$44:$W$44,$R$45:$W$54))</f>
        <v>7.0000000000000001E-3</v>
      </c>
      <c r="P84" s="48" cm="1">
        <f t="array" ref="P84">Fertiliser_Equations_InorganicN2O.VEERG_5_1_1_1__1_InorganicFertiliserApplicationN2OEmissions(Q52,O84,$S$69)</f>
        <v>4.5292500000000006E-2</v>
      </c>
    </row>
    <row r="85" spans="1:16" ht="20.100000000000001" customHeight="1" x14ac:dyDescent="0.25">
      <c r="A85"/>
      <c r="D85" s="91" t="s">
        <v>193</v>
      </c>
      <c r="E85" s="91" cm="1">
        <f t="array" ref="E85">Common_Equations.Common_ConvertN2OToCO2e(G82,G83)</f>
        <v>37.923275500000003</v>
      </c>
      <c r="F85" s="98" t="str" cm="1">
        <f t="array" ref="F85">Common_Equations.Common_ConvertN2OToCO2e_Unit()</f>
        <v>t CO2e</v>
      </c>
      <c r="M85" s="48" t="s">
        <v>186</v>
      </c>
      <c r="N85" s="48"/>
      <c r="O85" s="48" cm="1">
        <f t="array" ref="O85">_xlfn.XLOOKUP(N85,$N$45:$N$54,_xlfn.XLOOKUP($S$68,$R$44:$W$44,$R$45:$W$54))</f>
        <v>0</v>
      </c>
      <c r="P85" s="48" cm="1">
        <f t="array" ref="P85">Fertiliser_Equations_InorganicN2O.VEERG_5_1_1_1__1_InorganicFertiliserApplicationN2OEmissions(Q53,O85,$S$69)</f>
        <v>0</v>
      </c>
    </row>
    <row r="86" spans="1:16" ht="20.100000000000001" customHeight="1" x14ac:dyDescent="0.25">
      <c r="A86"/>
      <c r="M86" s="48" t="s">
        <v>186</v>
      </c>
      <c r="N86" s="48"/>
      <c r="O86" s="48" cm="1">
        <f t="array" ref="O86">_xlfn.XLOOKUP(N86,$N$45:$N$54,_xlfn.XLOOKUP($S$68,$R$44:$W$44,$R$45:$W$54))</f>
        <v>0</v>
      </c>
      <c r="P86" s="48"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4" t="s">
        <v>192</v>
      </c>
      <c r="N88" s="95">
        <f>SUM(P77:P86)</f>
        <v>0.1431067</v>
      </c>
      <c r="O88" s="96" t="str">
        <f>$E$47</f>
        <v>t N2O</v>
      </c>
    </row>
    <row r="89" spans="1:16" ht="20.100000000000001" customHeight="1" x14ac:dyDescent="0.25">
      <c r="A89"/>
    </row>
    <row r="90" spans="1:16" ht="20.100000000000001" customHeight="1" x14ac:dyDescent="0.25">
      <c r="A90"/>
      <c r="M90" s="78" t="str" cm="1">
        <f t="array" ref="M90:N91">Common_Equations.Common_ConvertN2OToCO2e_Arguments()</f>
        <v>EN2O</v>
      </c>
      <c r="N90" s="79" t="str">
        <v>Nitrous oxide emissions (t N2O)</v>
      </c>
      <c r="O90" s="97"/>
      <c r="P90" s="48">
        <f>N88</f>
        <v>0.1431067</v>
      </c>
    </row>
    <row r="91" spans="1:16" ht="20.100000000000001" customHeight="1" x14ac:dyDescent="0.25">
      <c r="A91"/>
      <c r="M91" s="78" t="str">
        <v>GWPN2O</v>
      </c>
      <c r="N91" s="79" t="str">
        <v>Global warming potential for nitrous oxide (t CO2-e / t N2O)</v>
      </c>
      <c r="O91" s="97"/>
      <c r="P91" s="48">
        <f>Common_InputFunctions.Utility_LookupValueInTableNumber("N2O",Table_GWPData[Gas],Table_GWPData[CO2-e factor])</f>
        <v>265</v>
      </c>
    </row>
    <row r="92" spans="1:16" ht="20.100000000000001" customHeight="1" x14ac:dyDescent="0.25">
      <c r="A92"/>
    </row>
    <row r="93" spans="1:16" ht="20.100000000000001" customHeight="1" x14ac:dyDescent="0.25">
      <c r="A93"/>
      <c r="M93" s="91" t="s">
        <v>193</v>
      </c>
      <c r="N93" s="91" cm="1">
        <f t="array" ref="N93">Common_Equations.Common_ConvertN2OToCO2e(P90,P91)</f>
        <v>37.923275500000003</v>
      </c>
      <c r="O93" s="98"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2015DDF3-9805-4952-9837-86C9018D4E69}"/>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97D7F-E6BE-4804-B28A-221E2CFF0107}">
  <dimension ref="A1:U165"/>
  <sheetViews>
    <sheetView showGridLines="0" topLeftCell="A51"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194</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s="29" t="s">
        <v>83</v>
      </c>
      <c r="D6" s="18" t="str" cm="1">
        <f t="array" ref="D6">Fertiliser_Equations_InorganicCO2.VEERG_5_1_1_3__2_MassOfUreaInInorganicFertiliser_Source()</f>
        <v>VEERG 2026: 5.1.1.3, Equation (2)</v>
      </c>
    </row>
    <row r="7" spans="1:21" ht="20.100000000000001" customHeight="1" x14ac:dyDescent="0.25">
      <c r="A7" s="24" t="str">
        <f>HYPERLINK("#'Input - Planting'!A1", "Planting")</f>
        <v>Planting</v>
      </c>
      <c r="D7" s="76" t="s">
        <v>161</v>
      </c>
      <c r="E7" s="76" t="str" cm="1">
        <f t="array" aca="1" ref="E7" ca="1">Common_InputFunctions.Utility_DisplayFunctionName(G19)</f>
        <v>=Fertiliser_Equations_InorganicCO2.VEERG_5_1_1_3__2_MassOfUreaInInorganicFertiliser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Fertiliser_Equations_InorganicCO2.VEERG_5_1_1_3__2_MassOfUreaInInorganicFertiliser_Variable()</f>
        <v>MU_jf</v>
      </c>
    </row>
    <row r="11" spans="1:21" ht="20.100000000000001" customHeight="1" x14ac:dyDescent="0.25">
      <c r="A11"/>
      <c r="D11" s="63" t="s">
        <v>163</v>
      </c>
      <c r="E11" s="20" t="str" cm="1">
        <f t="array" ref="E11">Fertiliser_Equations_InorganicCO2.VEERG_5_1_1_3__2_MassOfUreaInInorganicFertiliser_Unit()</f>
        <v>kg urea</v>
      </c>
    </row>
    <row r="12" spans="1:21" ht="20.100000000000001" customHeight="1" x14ac:dyDescent="0.25">
      <c r="A12"/>
    </row>
    <row r="13" spans="1:21" ht="20.100000000000001" customHeight="1" x14ac:dyDescent="0.25">
      <c r="A13" s="32" t="s">
        <v>89</v>
      </c>
      <c r="D13" s="78" t="str" cm="1">
        <f t="array" ref="D13:E14">_xlfn.CHOOSECOLS(Fertiliser_Equations_InorganicCO2.VEERG_5_1_1_3__2_MassOfUreaInInorganicFertiliser_Arguments(), 1, 2)</f>
        <v>TM_jf</v>
      </c>
      <c r="E13" s="79" t="str">
        <v>total mass of inorganic fertiliser type f applied to production system j</v>
      </c>
      <c r="F13" s="86"/>
      <c r="G13" s="78" t="str" cm="1">
        <f t="array" ref="G13:H14">_xlfn.CHOOSECOLS(Fertiliser_Equations_InorganicCO2.VEERG_5_1_1_3__2_MassOfUreaInInorganicFertiliser_Arguments(), 3, 4)</f>
        <v>kg</v>
      </c>
      <c r="H13" s="81" t="str">
        <v>Input</v>
      </c>
      <c r="I13" s="85" t="str" cm="1">
        <f t="array" aca="1" ref="I13" ca="1">HYPERLINK(Common_InputFunctions.Utility_SourceHyperlink($D$16), $D$16)</f>
        <v>Table_MU_j_f</v>
      </c>
    </row>
    <row r="14" spans="1:21" ht="20.100000000000001" customHeight="1" x14ac:dyDescent="0.25">
      <c r="A14" s="24" t="str">
        <f>HYPERLINK("#'5.1.1.1-2 Inorganic fert N2O'!A1", "5.1.1.1-2 Inorganic fert N2O")</f>
        <v>5.1.1.1-2 Inorganic fert N2O</v>
      </c>
      <c r="D14" s="78" t="str">
        <v>FU_f</v>
      </c>
      <c r="E14" s="79" t="str">
        <v>fraction of urea in fertiliser type f</v>
      </c>
      <c r="F14" s="86"/>
      <c r="G14" s="78" t="str">
        <v>kg urea/kg</v>
      </c>
      <c r="H14" s="82" t="str">
        <v>Lookup</v>
      </c>
      <c r="I14" s="85" t="str" cm="1">
        <f t="array" aca="1" ref="I14" ca="1">HYPERLINK(Common_InputFunctions.Utility_SourceHyperlink($D$16), $D$16)</f>
        <v>Table_MU_j_f</v>
      </c>
    </row>
    <row r="15" spans="1:21" ht="20.100000000000001" customHeight="1" x14ac:dyDescent="0.25">
      <c r="A15" s="77"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195</v>
      </c>
    </row>
    <row r="17" spans="1:7" ht="20.100000000000001" customHeight="1" x14ac:dyDescent="0.25">
      <c r="A17" s="24" t="str">
        <f>HYPERLINK("#'5.3.1.1-2 Lime CO2'!A1", "5.3.1.1-2 Lime CO2")</f>
        <v>5.3.1.1-2 Lime CO2</v>
      </c>
      <c r="D17" s="88" t="s">
        <v>196</v>
      </c>
    </row>
    <row r="18" spans="1:7" ht="20.100000000000001" customHeight="1" x14ac:dyDescent="0.25">
      <c r="A18" s="24" t="str">
        <f>HYPERLINK("#'5.4.1.1-4 Atmos deposition'!A1", "5.4.1.1-4 Atmos. deposition")</f>
        <v>5.4.1.1-4 Atmos. deposition</v>
      </c>
      <c r="D18" s="89" t="s">
        <v>167</v>
      </c>
      <c r="E18" s="90" t="s">
        <v>168</v>
      </c>
      <c r="F18" s="89" t="s">
        <v>197</v>
      </c>
      <c r="G18" s="89" t="s">
        <v>198</v>
      </c>
    </row>
    <row r="19" spans="1:7"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f],Table_Fertiliser_ChemicalCompounds[FU f])</f>
        <v>0</v>
      </c>
      <c r="G19" s="48" cm="1">
        <f t="array" ref="G19">Fertiliser_Equations_InorganicCO2.VEERG_5_1_1_3__2_MassOfUreaInInorganicFertiliser(E19,F19)</f>
        <v>0</v>
      </c>
    </row>
    <row r="20" spans="1:7"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f],Table_Fertiliser_ChemicalCompounds[FU f])</f>
        <v>0</v>
      </c>
      <c r="G20" s="48" cm="1">
        <f t="array" ref="G20">Fertiliser_Equations_InorganicCO2.VEERG_5_1_1_3__2_MassOfUreaInInorganicFertiliser(E20,F20)</f>
        <v>0</v>
      </c>
    </row>
    <row r="21" spans="1:7"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f],Table_Fertiliser_ChemicalCompounds[FU f])</f>
        <v>1</v>
      </c>
      <c r="G21" s="48" cm="1">
        <f t="array" ref="G21">Fertiliser_Equations_InorganicCO2.VEERG_5_1_1_3__2_MassOfUreaInInorganicFertiliser(E21,F21)</f>
        <v>10000</v>
      </c>
    </row>
    <row r="22" spans="1:7"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f],Table_Fertiliser_ChemicalCompounds[FU f])</f>
        <v>0</v>
      </c>
      <c r="G22" s="48" cm="1">
        <f t="array" ref="G22">Fertiliser_Equations_InorganicCO2.VEERG_5_1_1_3__2_MassOfUreaInInorganicFertiliser(E22,F22)</f>
        <v>0</v>
      </c>
    </row>
    <row r="23" spans="1:7"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f],Table_Fertiliser_ChemicalCompounds[FU f])</f>
        <v>0.35</v>
      </c>
      <c r="G23" s="48" cm="1">
        <f t="array" ref="G23">Fertiliser_Equations_InorganicCO2.VEERG_5_1_1_3__2_MassOfUreaInInorganicFertiliser(E23,F23)</f>
        <v>0</v>
      </c>
    </row>
    <row r="24" spans="1:7"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f],Table_Fertiliser_ChemicalCompounds[FU f])</f>
        <v>0</v>
      </c>
      <c r="G24" s="48" cm="1">
        <f t="array" ref="G24">Fertiliser_Equations_InorganicCO2.VEERG_5_1_1_3__2_MassOfUreaInInorganicFertiliser(E24,F24)</f>
        <v>0</v>
      </c>
    </row>
    <row r="25" spans="1:7"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f],Table_Fertiliser_ChemicalCompounds[FU f])</f>
        <v>0</v>
      </c>
      <c r="G25" s="48" cm="1">
        <f t="array" ref="G25">Fertiliser_Equations_InorganicCO2.VEERG_5_1_1_3__2_MassOfUreaInInorganicFertiliser(E25,F25)</f>
        <v>0</v>
      </c>
    </row>
    <row r="26" spans="1:7"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f],Table_Fertiliser_ChemicalCompounds[FU f])</f>
        <v>0</v>
      </c>
      <c r="G26" s="48" cm="1">
        <f t="array" ref="G26">Fertiliser_Equations_InorganicCO2.VEERG_5_1_1_3__2_MassOfUreaInInorganicFertiliser(E26,F26)</f>
        <v>0</v>
      </c>
    </row>
    <row r="27" spans="1:7"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8" cm="1">
        <f t="array" ref="F27">Common_InputFunctions.Utility_LookupValueInTableNumber(D27,Table_Fertiliser_ChemicalCompounds[Fertiliser type f],Table_Fertiliser_ChemicalCompounds[FU f])</f>
        <v>0</v>
      </c>
      <c r="G27" s="48" cm="1">
        <f t="array" ref="G27">Fertiliser_Equations_InorganicCO2.VEERG_5_1_1_3__2_MassOfUreaInInorganicFertiliser(E27,F27)</f>
        <v>0</v>
      </c>
    </row>
    <row r="28" spans="1:7"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8" cm="1">
        <f t="array" ref="F28">Common_InputFunctions.Utility_LookupValueInTableNumber(D28,Table_Fertiliser_ChemicalCompounds[Fertiliser type f],Table_Fertiliser_ChemicalCompounds[FU f])</f>
        <v>0</v>
      </c>
      <c r="G28" s="48" cm="1">
        <f t="array" ref="G28">Fertiliser_Equations_InorganicCO2.VEERG_5_1_1_3__2_MassOfUreaInInorganicFertiliser(E28,F28)</f>
        <v>0</v>
      </c>
    </row>
    <row r="29" spans="1:7"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8" cm="1">
        <f t="array" ref="F29">Common_InputFunctions.Utility_LookupValueInTableNumber(D29,Table_Fertiliser_ChemicalCompounds[Fertiliser type f],Table_Fertiliser_ChemicalCompounds[FU f])</f>
        <v>0</v>
      </c>
      <c r="G29" s="48" cm="1">
        <f t="array" ref="G29">Fertiliser_Equations_InorganicCO2.VEERG_5_1_1_3__2_MassOfUreaInInorganicFertiliser(E29,F29)</f>
        <v>0</v>
      </c>
    </row>
    <row r="30" spans="1:7"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8" cm="1">
        <f t="array" ref="F30">Common_InputFunctions.Utility_LookupValueInTableNumber(D30,Table_Fertiliser_ChemicalCompounds[Fertiliser type f],Table_Fertiliser_ChemicalCompounds[FU f])</f>
        <v>0</v>
      </c>
      <c r="G30" s="48" cm="1">
        <f t="array" ref="G30">Fertiliser_Equations_InorganicCO2.VEERG_5_1_1_3__2_MassOfUreaInInorganicFertiliser(E30,F30)</f>
        <v>0</v>
      </c>
    </row>
    <row r="31" spans="1:7"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f],Table_Fertiliser_ChemicalCompounds[FU f])</f>
        <v>0</v>
      </c>
      <c r="G31" s="48" cm="1">
        <f t="array" ref="G31">Fertiliser_Equations_InorganicCO2.VEERG_5_1_1_3__2_MassOfUreaInInorganicFertiliser(E31,F31)</f>
        <v>0</v>
      </c>
    </row>
    <row r="32" spans="1:7"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f],Table_Fertiliser_ChemicalCompounds[FU f])</f>
        <v>0</v>
      </c>
      <c r="G32" s="48" cm="1">
        <f t="array" ref="G32">Fertiliser_Equations_InorganicCO2.VEERG_5_1_1_3__2_MassOfUreaInInorganicFertiliser(E32,F32)</f>
        <v>0</v>
      </c>
    </row>
    <row r="33" spans="1:12"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f],Table_Fertiliser_ChemicalCompounds[FU f])</f>
        <v>0</v>
      </c>
      <c r="G33" s="48" cm="1">
        <f t="array" ref="G33">Fertiliser_Equations_InorganicCO2.VEERG_5_1_1_3__2_MassOfUreaInInorganicFertiliser(E33,F33)</f>
        <v>0</v>
      </c>
    </row>
    <row r="34" spans="1:12"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f],Table_Fertiliser_ChemicalCompounds[FU f])</f>
        <v>0</v>
      </c>
      <c r="G34" s="48" cm="1">
        <f t="array" ref="G34">Fertiliser_Equations_InorganicCO2.VEERG_5_1_1_3__2_MassOfUreaInInorganicFertiliser(E34,F34)</f>
        <v>0</v>
      </c>
    </row>
    <row r="35" spans="1:12"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f],Table_Fertiliser_ChemicalCompounds[FU f])</f>
        <v>0</v>
      </c>
      <c r="G35" s="48" cm="1">
        <f t="array" ref="G35">Fertiliser_Equations_InorganicCO2.VEERG_5_1_1_3__2_MassOfUreaInInorganicFertiliser(E35,F35)</f>
        <v>0</v>
      </c>
    </row>
    <row r="36" spans="1:12"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f],Table_Fertiliser_ChemicalCompounds[FU f])</f>
        <v>0</v>
      </c>
      <c r="G36" s="48" cm="1">
        <f t="array" ref="G36">Fertiliser_Equations_InorganicCO2.VEERG_5_1_1_3__2_MassOfUreaInInorganicFertiliser(E36,F36)</f>
        <v>0</v>
      </c>
    </row>
    <row r="37" spans="1:12"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f],Table_Fertiliser_ChemicalCompounds[FU f])</f>
        <v>0</v>
      </c>
      <c r="G37" s="48"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1"/>
      <c r="D40" s="91"/>
      <c r="E40" s="91"/>
      <c r="F40" s="91"/>
      <c r="G40" s="91"/>
      <c r="H40" s="91"/>
      <c r="I40" s="91"/>
      <c r="J40" s="91"/>
      <c r="K40" s="91"/>
      <c r="L40" s="91"/>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6" t="s">
        <v>161</v>
      </c>
      <c r="E43" s="76"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Fertiliser_Equations_InorganicCO2.VEERG_5_1_1_3__1_InorganicFertiliserApplicationCO2Emissions_Variable()</f>
        <v>E_CO2</v>
      </c>
    </row>
    <row r="47" spans="1:12" ht="20.100000000000001" customHeight="1" x14ac:dyDescent="0.25">
      <c r="A47"/>
      <c r="D47" s="63" t="s">
        <v>163</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78" t="str" cm="1">
        <f t="array" ref="D49:E53">_xlfn.CHOOSECOLS(Fertiliser_Equations_InorganicCO2.VEERG_5_1_1_3__1_InorganicFertiliserApplicationCO2Emissions_Arguments(), 1, 2)</f>
        <v>MU_jf</v>
      </c>
      <c r="E49" s="79" t="str">
        <v>mass of urea of inorganic fertiliser type f applied to production system j</v>
      </c>
      <c r="F49" s="86"/>
      <c r="G49" s="78" t="str" cm="1">
        <f t="array" ref="G49:H53">_xlfn.CHOOSECOLS(Fertiliser_Equations_InorganicCO2.VEERG_5_1_1_3__1_InorganicFertiliserApplicationCO2Emissions_Arguments(), 3,4)</f>
        <v>kg urea</v>
      </c>
      <c r="H49" s="82" t="str">
        <v>Calculated</v>
      </c>
      <c r="I49" s="85" t="str" cm="1">
        <f t="array" aca="1" ref="I49" ca="1">HYPERLINK(Common_InputFunctions.Utility_SourceHyperlink($D$16), $D$16)</f>
        <v>Table_MU_j_f</v>
      </c>
    </row>
    <row r="50" spans="1:9" ht="20.100000000000001" customHeight="1" x14ac:dyDescent="0.25">
      <c r="A50"/>
      <c r="D50" s="78" t="str">
        <v>EF_ureaCO2</v>
      </c>
      <c r="E50" s="79" t="str">
        <v>emission factor for carbon emissions from urea-based fertilisers</v>
      </c>
      <c r="F50" s="86"/>
      <c r="G50" s="78" t="str">
        <v>kg C/kg urea</v>
      </c>
      <c r="H50" s="82" t="str">
        <v>Constant</v>
      </c>
      <c r="I50" s="78">
        <f>'Constants - Fertiliser'!$E$60</f>
        <v>0.2</v>
      </c>
    </row>
    <row r="51" spans="1:9" ht="20.100000000000001" customHeight="1" x14ac:dyDescent="0.25">
      <c r="A51"/>
      <c r="D51" s="78" t="str">
        <v>C_CO2</v>
      </c>
      <c r="E51" s="79" t="str">
        <v>factor to convert elemental mass of carbon to molecular mass of carbon dioxide</v>
      </c>
      <c r="F51" s="86"/>
      <c r="G51" s="78" t="str">
        <v/>
      </c>
      <c r="H51" s="82" t="str">
        <v>Constant</v>
      </c>
      <c r="I51" s="78">
        <f>Common_InputFunctions.Utility_LookupValueInTableNumber("CO2",Table_GasToMolecularConversionFactor[Gas], Table_GasToMolecularConversionFactor[Conversion factor combined])</f>
        <v>3.6666666666666665</v>
      </c>
    </row>
    <row r="52" spans="1:9" ht="20.100000000000001" customHeight="1" x14ac:dyDescent="0.25">
      <c r="A52"/>
      <c r="D52" s="78" t="str">
        <v>j</v>
      </c>
      <c r="E52" s="79" t="str">
        <v>Production system</v>
      </c>
      <c r="F52" s="86"/>
      <c r="G52" s="78" t="str">
        <v/>
      </c>
      <c r="H52" s="81" t="str">
        <v>Input</v>
      </c>
      <c r="I52" s="78" t="str">
        <f>X_Cell_Fertiliser_ProductionSystem</f>
        <v>Crop</v>
      </c>
    </row>
    <row r="53" spans="1:9" ht="20.100000000000001" customHeight="1" x14ac:dyDescent="0.25">
      <c r="A53"/>
      <c r="D53" s="78" t="str">
        <v>f</v>
      </c>
      <c r="E53" s="79" t="str">
        <v>Inorganic fertiliser type</v>
      </c>
      <c r="F53" s="86"/>
      <c r="G53" s="78" t="str">
        <v/>
      </c>
      <c r="H53" s="82" t="str">
        <v>Lookup</v>
      </c>
      <c r="I53" s="85" t="str" cm="1">
        <f t="array" aca="1" ref="I53" ca="1">HYPERLINK(Common_InputFunctions.Utility_SourceHyperlink($D$16), $D$16)</f>
        <v>Table_MU_j_f</v>
      </c>
    </row>
    <row r="54" spans="1:9" ht="20.100000000000001" customHeight="1" x14ac:dyDescent="0.25">
      <c r="A54"/>
    </row>
    <row r="55" spans="1:9" ht="20.100000000000001" customHeight="1" x14ac:dyDescent="0.25">
      <c r="A55"/>
      <c r="D55" s="87" t="s">
        <v>199</v>
      </c>
    </row>
    <row r="56" spans="1:9" ht="20.100000000000001" customHeight="1" x14ac:dyDescent="0.25">
      <c r="A56"/>
      <c r="D56" s="88" t="s">
        <v>200</v>
      </c>
    </row>
    <row r="57" spans="1:9" ht="20.100000000000001" customHeight="1" x14ac:dyDescent="0.25">
      <c r="A57"/>
      <c r="D57" s="89" t="s">
        <v>167</v>
      </c>
      <c r="E57" s="89" t="s">
        <v>189</v>
      </c>
    </row>
    <row r="58" spans="1:9" ht="20.100000000000001" customHeight="1" x14ac:dyDescent="0.25">
      <c r="A58"/>
      <c r="D58" s="48" t="str" cm="1">
        <f t="array" ref="D58:D76">Table_Fertiliser_ChemicalCompounds[Fertiliser type f]</f>
        <v>Monoammonium phosphate (MAP)</v>
      </c>
      <c r="E58" s="48" cm="1">
        <f t="array" ref="E58">Fertiliser_Equations_InorganicCO2.VEERG_5_1_1_3__1_InorganicFertiliserApplicationCO2Emissions(G19,$I$50,$I$51)</f>
        <v>0</v>
      </c>
      <c r="F58" s="28" t="str">
        <f>$E$47</f>
        <v>t CO2</v>
      </c>
    </row>
    <row r="59" spans="1:9" ht="20.100000000000001" customHeight="1" x14ac:dyDescent="0.25">
      <c r="A59"/>
      <c r="D59" s="48" t="str">
        <v>Diammonium phosphate (DAP)</v>
      </c>
      <c r="E59" s="48" cm="1">
        <f t="array" ref="E59">Fertiliser_Equations_InorganicCO2.VEERG_5_1_1_3__1_InorganicFertiliserApplicationCO2Emissions(G20,$I$50,$I$51)</f>
        <v>0</v>
      </c>
    </row>
    <row r="60" spans="1:9" ht="20.100000000000001" customHeight="1" x14ac:dyDescent="0.25">
      <c r="A60"/>
      <c r="D60" s="48" t="str">
        <v>Urea</v>
      </c>
      <c r="E60" s="48" cm="1">
        <f t="array" ref="E60">Fertiliser_Equations_InorganicCO2.VEERG_5_1_1_3__1_InorganicFertiliserApplicationCO2Emissions(G21,$I$50,$I$51)</f>
        <v>7.333333333333333</v>
      </c>
    </row>
    <row r="61" spans="1:9" ht="20.100000000000001" customHeight="1" x14ac:dyDescent="0.25">
      <c r="A61"/>
      <c r="D61" s="48" t="str">
        <v>Sulphate of ammonia (SOA)</v>
      </c>
      <c r="E61" s="48" cm="1">
        <f t="array" ref="E61">Fertiliser_Equations_InorganicCO2.VEERG_5_1_1_3__1_InorganicFertiliserApplicationCO2Emissions(G22,$I$50,$I$51)</f>
        <v>0</v>
      </c>
    </row>
    <row r="62" spans="1:9" ht="20.100000000000001" customHeight="1" x14ac:dyDescent="0.25">
      <c r="A62"/>
      <c r="D62" s="48" t="str">
        <v>Urea-ammonium nitrate (UAN)</v>
      </c>
      <c r="E62" s="48" cm="1">
        <f t="array" ref="E62">Fertiliser_Equations_InorganicCO2.VEERG_5_1_1_3__1_InorganicFertiliserApplicationCO2Emissions(G23,$I$50,$I$51)</f>
        <v>0</v>
      </c>
    </row>
    <row r="63" spans="1:9" ht="20.100000000000001" customHeight="1" x14ac:dyDescent="0.25">
      <c r="A63"/>
      <c r="D63" s="48" t="str">
        <v>Ammonium nitrate (AN)</v>
      </c>
      <c r="E63" s="48" cm="1">
        <f t="array" ref="E63">Fertiliser_Equations_InorganicCO2.VEERG_5_1_1_3__1_InorganicFertiliserApplicationCO2Emissions(G24,$I$50,$I$51)</f>
        <v>0</v>
      </c>
    </row>
    <row r="64" spans="1:9" ht="20.100000000000001" customHeight="1" x14ac:dyDescent="0.25">
      <c r="A64"/>
      <c r="D64" s="48" t="str">
        <v>Calcium ammonium nitrate (CAN)</v>
      </c>
      <c r="E64" s="48" cm="1">
        <f t="array" ref="E64">Fertiliser_Equations_InorganicCO2.VEERG_5_1_1_3__1_InorganicFertiliserApplicationCO2Emissions(G25,$I$50,$I$51)</f>
        <v>0</v>
      </c>
    </row>
    <row r="65" spans="1:6" ht="20.100000000000001" customHeight="1" x14ac:dyDescent="0.25">
      <c r="A65"/>
      <c r="D65" s="48" t="str">
        <v>Nitrogen - Ammoniacal</v>
      </c>
      <c r="E65" s="48" cm="1">
        <f t="array" ref="E65">Fertiliser_Equations_InorganicCO2.VEERG_5_1_1_3__1_InorganicFertiliserApplicationCO2Emissions(G26,$I$50,$I$51)</f>
        <v>0</v>
      </c>
    </row>
    <row r="66" spans="1:6" ht="20.100000000000001" customHeight="1" x14ac:dyDescent="0.25">
      <c r="A66"/>
      <c r="D66" s="48" t="str">
        <v>Nitrogen - Nitrate</v>
      </c>
      <c r="E66" s="48" cm="1">
        <f t="array" ref="E66">Fertiliser_Equations_InorganicCO2.VEERG_5_1_1_3__1_InorganicFertiliserApplicationCO2Emissions(G27,$I$50,$I$51)</f>
        <v>0</v>
      </c>
    </row>
    <row r="67" spans="1:6" ht="20.100000000000001" customHeight="1" x14ac:dyDescent="0.25">
      <c r="A67"/>
      <c r="D67" s="48" t="str">
        <v>Nitrogen - Generic</v>
      </c>
      <c r="E67" s="48" cm="1">
        <f t="array" ref="E67">Fertiliser_Equations_InorganicCO2.VEERG_5_1_1_3__1_InorganicFertiliserApplicationCO2Emissions(G28,$I$50,$I$51)</f>
        <v>0</v>
      </c>
    </row>
    <row r="68" spans="1:6" ht="20.100000000000001" customHeight="1" x14ac:dyDescent="0.25">
      <c r="A68"/>
      <c r="D68" s="48" t="str">
        <v>Phosphorus - Generic</v>
      </c>
      <c r="E68" s="48" cm="1">
        <f t="array" ref="E68">Fertiliser_Equations_InorganicCO2.VEERG_5_1_1_3__1_InorganicFertiliserApplicationCO2Emissions(G29,$I$50,$I$51)</f>
        <v>0</v>
      </c>
    </row>
    <row r="69" spans="1:6" ht="20.100000000000001" customHeight="1" x14ac:dyDescent="0.25">
      <c r="A69"/>
      <c r="D69" s="48" t="str">
        <v>Potassium - Generic</v>
      </c>
      <c r="E69" s="48" cm="1">
        <f t="array" ref="E69">Fertiliser_Equations_InorganicCO2.VEERG_5_1_1_3__1_InorganicFertiliserApplicationCO2Emissions(G30,$I$50,$I$51)</f>
        <v>0</v>
      </c>
    </row>
    <row r="70" spans="1:6" ht="20.100000000000001" customHeight="1" x14ac:dyDescent="0.25">
      <c r="A70"/>
      <c r="D70" s="48" t="str">
        <v>Sulfur - Generic</v>
      </c>
      <c r="E70" s="48" cm="1">
        <f t="array" ref="E70">Fertiliser_Equations_InorganicCO2.VEERG_5_1_1_3__1_InorganicFertiliserApplicationCO2Emissions(G31,$I$50,$I$51)</f>
        <v>0</v>
      </c>
    </row>
    <row r="71" spans="1:6" ht="20.100000000000001" customHeight="1" x14ac:dyDescent="0.25">
      <c r="A71"/>
      <c r="D71" s="48" t="str">
        <v>Zinc - Generic</v>
      </c>
      <c r="E71" s="48" cm="1">
        <f t="array" ref="E71">Fertiliser_Equations_InorganicCO2.VEERG_5_1_1_3__1_InorganicFertiliserApplicationCO2Emissions(G32,$I$50,$I$51)</f>
        <v>0</v>
      </c>
    </row>
    <row r="72" spans="1:6" ht="20.100000000000001" customHeight="1" x14ac:dyDescent="0.25">
      <c r="A72"/>
      <c r="D72" s="48" t="str">
        <v>Muriate of potash (MOP)</v>
      </c>
      <c r="E72" s="48" cm="1">
        <f t="array" ref="E72">Fertiliser_Equations_InorganicCO2.VEERG_5_1_1_3__1_InorganicFertiliserApplicationCO2Emissions(G33,$I$50,$I$51)</f>
        <v>0</v>
      </c>
    </row>
    <row r="73" spans="1:6" ht="20.100000000000001" customHeight="1" x14ac:dyDescent="0.25">
      <c r="A73"/>
      <c r="D73" s="48" t="str">
        <v>Double superphosphate</v>
      </c>
      <c r="E73" s="48" cm="1">
        <f t="array" ref="E73">Fertiliser_Equations_InorganicCO2.VEERG_5_1_1_3__1_InorganicFertiliserApplicationCO2Emissions(G34,$I$50,$I$51)</f>
        <v>0</v>
      </c>
    </row>
    <row r="74" spans="1:6" ht="20.100000000000001" customHeight="1" x14ac:dyDescent="0.25">
      <c r="A74"/>
      <c r="D74" s="48" t="str">
        <v>Single superphosphate (SSP)</v>
      </c>
      <c r="E74" s="48" cm="1">
        <f t="array" ref="E74">Fertiliser_Equations_InorganicCO2.VEERG_5_1_1_3__1_InorganicFertiliserApplicationCO2Emissions(G35,$I$50,$I$51)</f>
        <v>0</v>
      </c>
    </row>
    <row r="75" spans="1:6" ht="20.100000000000001" customHeight="1" x14ac:dyDescent="0.25">
      <c r="A75"/>
      <c r="D75" s="48" t="str">
        <v>Ammonia</v>
      </c>
      <c r="E75" s="48" cm="1">
        <f t="array" ref="E75">Fertiliser_Equations_InorganicCO2.VEERG_5_1_1_3__1_InorganicFertiliserApplicationCO2Emissions(G36,$I$50,$I$51)</f>
        <v>0</v>
      </c>
    </row>
    <row r="76" spans="1:6" ht="20.100000000000001" customHeight="1" x14ac:dyDescent="0.25">
      <c r="A76"/>
      <c r="D76" s="48" t="str">
        <v>Calcium nitrate</v>
      </c>
      <c r="E76" s="48"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4" t="s">
        <v>201</v>
      </c>
      <c r="E78" s="95">
        <f>SUM(E58:E76)</f>
        <v>7.333333333333333</v>
      </c>
      <c r="F78" s="96"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CEC60-BEA2-48B6-BB35-2E367B552393}">
  <dimension ref="A1:U165"/>
  <sheetViews>
    <sheetView showGridLines="0" topLeftCell="A3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202</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s="29" t="s">
        <v>83</v>
      </c>
      <c r="D6" s="18" t="str" cm="1">
        <f t="array" ref="D6">Fertiliser_Equations_OrganicN2O.VEERG_5_2_1_1__2_MassOfNitrogenInOrganicFertiliser_Source()</f>
        <v>VEERG 2026: 5.2.1.1, Equation (2)</v>
      </c>
    </row>
    <row r="7" spans="1:21" ht="20.100000000000001" customHeight="1" x14ac:dyDescent="0.25">
      <c r="A7" s="24" t="str">
        <f>HYPERLINK("#'Input - Planting'!A1", "Planting")</f>
        <v>Planting</v>
      </c>
      <c r="D7" s="76" t="s">
        <v>161</v>
      </c>
      <c r="E7" s="76" t="str" cm="1">
        <f t="array" aca="1" ref="E7" ca="1">Common_InputFunctions.Utility_DisplayFunctionName($I$20)</f>
        <v>=Fertiliser_Equations_OrganicN2O.VEERG_5_2_1_1__2_MassOfNitrogenInOrganicFertiliser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Fertiliser_Equations_OrganicN2O.VEERG_5_2_1_1__2_MassOfNitrogenInOrganicFertiliser_Variable()</f>
        <v>MNSoil_jf</v>
      </c>
    </row>
    <row r="11" spans="1:21" ht="20.100000000000001" customHeight="1" x14ac:dyDescent="0.25">
      <c r="A11"/>
      <c r="D11" s="63" t="s">
        <v>163</v>
      </c>
      <c r="E11" s="20" t="str" cm="1">
        <f t="array" ref="E11">Fertiliser_Equations_OrganicN2O.VEERG_5_2_1_1__2_MassOfNitrogenInOrganicFertiliser_Unit()</f>
        <v>kg N</v>
      </c>
    </row>
    <row r="12" spans="1:21" ht="20.100000000000001" customHeight="1" x14ac:dyDescent="0.25">
      <c r="A12"/>
    </row>
    <row r="13" spans="1:21" ht="20.100000000000001" customHeight="1" x14ac:dyDescent="0.25">
      <c r="A13" s="32" t="s">
        <v>89</v>
      </c>
      <c r="D13" s="78" t="str" cm="1">
        <f t="array" ref="D13:E15">_xlfn.CHOOSECOLS(Fertiliser_Equations_OrganicN2O.VEERG_5_2_1_1__2_MassOfNitrogenInOrganicFertiliser_Arguments(), 1, 2)</f>
        <v>M_organicjf</v>
      </c>
      <c r="E13" s="79" t="str">
        <v>mass of organic fertiliser type f applied to production system j</v>
      </c>
      <c r="F13" s="86"/>
      <c r="G13" s="99" t="str" cm="1">
        <f t="array" ref="G13:H15">_xlfn.CHOOSECOLS(Fertiliser_Equations_OrganicN2O.VEERG_5_2_1_1__2_MassOfNitrogenInOrganicFertiliser_Arguments(), 3,4)</f>
        <v>kg</v>
      </c>
      <c r="H13" s="81" t="str">
        <v>Input</v>
      </c>
      <c r="I13" s="85" t="str" cm="1">
        <f t="array" aca="1" ref="I13" ca="1">HYPERLINK(Common_InputFunctions.Utility_SourceHyperlink($D$17), $D$17)</f>
        <v>Table_MNSoil_j_f</v>
      </c>
    </row>
    <row r="14" spans="1:21" ht="20.100000000000001" customHeight="1" x14ac:dyDescent="0.25">
      <c r="A14" s="24" t="str">
        <f>HYPERLINK("#'5.1.1.1-2 Inorganic fert N2O'!A1", "5.1.1.1-2 Inorganic fert N2O")</f>
        <v>5.1.1.1-2 Inorganic fert N2O</v>
      </c>
      <c r="D14" s="78" t="str">
        <v>FN_organicf</v>
      </c>
      <c r="E14" s="79" t="str">
        <v>nitrogen fraction of organic fertiliser type f</v>
      </c>
      <c r="F14" s="86"/>
      <c r="G14" s="99" t="str">
        <v>kg N/kg</v>
      </c>
      <c r="H14" s="81" t="str">
        <v>Input</v>
      </c>
      <c r="I14" s="85" t="str" cm="1">
        <f t="array" aca="1" ref="I14" ca="1">HYPERLINK(Common_InputFunctions.Utility_SourceHyperlink($D$17), $D$17)</f>
        <v>Table_MNSoil_j_f</v>
      </c>
    </row>
    <row r="15" spans="1:21" ht="20.100000000000001" customHeight="1" x14ac:dyDescent="0.25">
      <c r="A15" s="24" t="str">
        <f>HYPERLINK("#'5.1.1.3-4 Inorganic fert CO2'!A1", "5.1.1.3-4 Inorganic fert CO2")</f>
        <v>5.1.1.3-4 Inorganic fert CO2</v>
      </c>
      <c r="D15" s="78" t="str">
        <v>f</v>
      </c>
      <c r="E15" s="79" t="str">
        <v>Organic fertiliser type</v>
      </c>
      <c r="F15" s="86"/>
      <c r="G15" s="99" t="str">
        <v/>
      </c>
      <c r="H15" s="81" t="str">
        <v>Input</v>
      </c>
      <c r="I15" s="85" t="str" cm="1">
        <f t="array" aca="1" ref="I15" ca="1">HYPERLINK(Common_InputFunctions.Utility_SourceHyperlink($D$17), $D$17)</f>
        <v>Table_MNSoil_j_f</v>
      </c>
    </row>
    <row r="16" spans="1:21" ht="20.100000000000001" customHeight="1" x14ac:dyDescent="0.25">
      <c r="A16" s="77" t="str">
        <f>HYPERLINK("#'5.2.1.1-2 Organic Fert N2O'!A1", "5.2.1.1-2 Organic fert N2O")</f>
        <v>5.2.1.1-2 Organic fert N2O</v>
      </c>
    </row>
    <row r="17" spans="1:10" ht="20.100000000000001" customHeight="1" x14ac:dyDescent="0.25">
      <c r="A17" s="24" t="str">
        <f>HYPERLINK("#'5.3.1.1-2 Lime CO2'!A1", "5.3.1.1-2 Lime CO2")</f>
        <v>5.3.1.1-2 Lime CO2</v>
      </c>
      <c r="D17" s="87" t="s">
        <v>203</v>
      </c>
    </row>
    <row r="18" spans="1:10" ht="20.100000000000001" customHeight="1" x14ac:dyDescent="0.25">
      <c r="A18" s="24" t="str">
        <f>HYPERLINK("#'5.4.1.1-4 Atmos deposition'!A1", "5.4.1.1-4 Atmos. deposition")</f>
        <v>5.4.1.1-4 Atmos. deposition</v>
      </c>
      <c r="D18" s="88" t="s">
        <v>204</v>
      </c>
    </row>
    <row r="19" spans="1:10" ht="20.100000000000001" customHeight="1" x14ac:dyDescent="0.25">
      <c r="A19" s="24" t="str">
        <f>HYPERLINK("#'5.5.1.1-2 Leaching and runoff'!A1", "5.5.1.1-2 Leaching &amp; runoff")</f>
        <v>5.5.1.1-2 Leaching &amp; runoff</v>
      </c>
      <c r="D19" s="90" t="s">
        <v>205</v>
      </c>
      <c r="E19" s="90" t="s">
        <v>206</v>
      </c>
      <c r="F19" s="90" t="s">
        <v>98</v>
      </c>
      <c r="G19" s="100" t="s">
        <v>207</v>
      </c>
      <c r="H19" s="100" t="s">
        <v>208</v>
      </c>
      <c r="I19" s="100" t="s">
        <v>209</v>
      </c>
    </row>
    <row r="20" spans="1:10" ht="20.100000000000001" customHeight="1" x14ac:dyDescent="0.25">
      <c r="A20" s="24" t="str">
        <f>HYPERLINK("#'8.1.1.1-2 Transport fuel'!A1", "8.1.1.1-2 Transport fuel")</f>
        <v>8.1.1.1-2 Transport fuel</v>
      </c>
      <c r="D20" s="48" t="str" cm="1">
        <f t="array" ref="D20:D22">Table_Input_OrganicFertiliser[Organic fertiliser type (select)]</f>
        <v>Manure - Other</v>
      </c>
      <c r="E20" s="101" cm="1">
        <f t="array" ref="E20:E22">Table_Input_OrganicFertiliser[Amount applied (kg/hectare)]</f>
        <v>10</v>
      </c>
      <c r="F20" s="101" cm="1">
        <f t="array" ref="F20:F22">Table_Input_OrganicFertiliser[Application area (ha)]</f>
        <v>100</v>
      </c>
      <c r="G20" s="48" cm="1">
        <f t="array" ref="G20:G22">Table_Input_OrganicFertiliser[Amount applied (kg/hectare)]*Table_Input_OrganicFertiliser[Application area (ha)]</f>
        <v>1000</v>
      </c>
      <c r="H20" s="102" cm="1">
        <f t="array" ref="H20:H22">Table_Input_OrganicFertiliser[Percentage of N in fertiliser]</f>
        <v>0.3</v>
      </c>
      <c r="I20" s="48" cm="1">
        <f t="array" ref="I20">Fertiliser_Equations_OrganicN2O.VEERG_5_2_1_1__2_MassOfNitrogenInOrganicFertiliser(G20,H20)</f>
        <v>300</v>
      </c>
    </row>
    <row r="21" spans="1:10" ht="20.100000000000001" customHeight="1" x14ac:dyDescent="0.25">
      <c r="A21" s="24" t="str">
        <f>HYPERLINK("#'8.2.1.1-2 Stationary fuel'!A1", "8.2.1.1-2 Stationary fuel")</f>
        <v>8.2.1.1-2 Stationary fuel</v>
      </c>
      <c r="D21" s="48" t="str">
        <v>Manure - Poultry</v>
      </c>
      <c r="E21" s="48">
        <v>10</v>
      </c>
      <c r="F21" s="48">
        <v>100</v>
      </c>
      <c r="G21" s="48">
        <v>1000</v>
      </c>
      <c r="H21" s="48">
        <v>0.25</v>
      </c>
      <c r="I21" s="48" cm="1">
        <f t="array" ref="I21">Fertiliser_Equations_Organic.VEERG_5_2_1_1__2_MassOfNitrogenInOrganicFertiliser(G21,H21)</f>
        <v>250</v>
      </c>
    </row>
    <row r="22" spans="1:10" ht="20.100000000000001" customHeight="1" x14ac:dyDescent="0.25">
      <c r="A22"/>
      <c r="D22" s="48" t="str">
        <v>Other organic fertiliser</v>
      </c>
      <c r="E22" s="48">
        <v>10</v>
      </c>
      <c r="F22" s="48">
        <v>100</v>
      </c>
      <c r="G22" s="48">
        <v>1000</v>
      </c>
      <c r="H22" s="48">
        <v>0.16</v>
      </c>
      <c r="I22" s="48" cm="1">
        <f t="array" ref="I22">Fertiliser_Equations_Organic.VEERG_5_2_1_1__2_MassOfNitrogenInOrganicFertiliser(G22,H22)</f>
        <v>160</v>
      </c>
    </row>
    <row r="23" spans="1:10" ht="20.100000000000001" customHeight="1" x14ac:dyDescent="0.25">
      <c r="A23"/>
      <c r="D23" s="48"/>
      <c r="E23" s="48"/>
      <c r="F23" s="48"/>
      <c r="G23" s="48"/>
      <c r="H23" s="48"/>
      <c r="I23" s="48" cm="1">
        <f t="array" ref="I23">Fertiliser_Equations_Organic.VEERG_5_2_1_1__2_MassOfNitrogenInOrganicFertiliser(G23,H23)</f>
        <v>0</v>
      </c>
    </row>
    <row r="24" spans="1:10" ht="20.100000000000001" customHeight="1" x14ac:dyDescent="0.25">
      <c r="A24" s="210" t="s">
        <v>116</v>
      </c>
      <c r="D24" s="48"/>
      <c r="E24" s="48"/>
      <c r="F24" s="48"/>
      <c r="G24" s="48"/>
      <c r="H24" s="48"/>
      <c r="I24" s="48" cm="1">
        <f t="array" ref="I24">Fertiliser_Equations_Organic.VEERG_5_2_1_1__2_MassOfNitrogenInOrganicFertiliser(G24,H24)</f>
        <v>0</v>
      </c>
    </row>
    <row r="25" spans="1:10" ht="20.100000000000001" customHeight="1" x14ac:dyDescent="0.25">
      <c r="A25" s="24" t="str">
        <f>HYPERLINK("#'Constants - Fertiliser'!A1", "Constants - Fertiliser")</f>
        <v>Constants - Fertiliser</v>
      </c>
      <c r="D25" s="48"/>
      <c r="E25" s="48"/>
      <c r="F25" s="48"/>
      <c r="G25" s="48"/>
      <c r="H25" s="48"/>
      <c r="I25" s="48" cm="1">
        <f t="array" ref="I25">Fertiliser_Equations_Organic.VEERG_5_2_1_1__2_MassOfNitrogenInOrganicFertiliser(G25,H25)</f>
        <v>0</v>
      </c>
    </row>
    <row r="26" spans="1:10" ht="20.100000000000001" customHeight="1" x14ac:dyDescent="0.25">
      <c r="A26" s="24" t="str">
        <f>HYPERLINK("#'Constants - Fuel'!A1", "Constants - Fuel")</f>
        <v>Constants - Fuel</v>
      </c>
      <c r="D26" s="48"/>
      <c r="E26" s="48"/>
      <c r="F26" s="48"/>
      <c r="G26" s="48"/>
      <c r="H26" s="48"/>
      <c r="I26" s="48" cm="1">
        <f t="array" ref="I26">Fertiliser_Equations_Organic.VEERG_5_2_1_1__2_MassOfNitrogenInOrganicFertiliser(G26,H26)</f>
        <v>0</v>
      </c>
    </row>
    <row r="27" spans="1:10" ht="20.100000000000001" customHeight="1" x14ac:dyDescent="0.25">
      <c r="A27" s="24" t="str">
        <f>HYPERLINK("#'Constants - Common'!A1", "Constants - Common")</f>
        <v>Constants - Common</v>
      </c>
      <c r="D27" s="48"/>
      <c r="E27" s="48"/>
      <c r="F27" s="48"/>
      <c r="G27" s="48"/>
      <c r="H27" s="48"/>
      <c r="I27" s="48" cm="1">
        <f t="array" ref="I27">Fertiliser_Equations_Organic.VEERG_5_2_1_1__2_MassOfNitrogenInOrganicFertiliser(G27,H27)</f>
        <v>0</v>
      </c>
    </row>
    <row r="28" spans="1:10" ht="20.100000000000001" customHeight="1" x14ac:dyDescent="0.25">
      <c r="A28" s="24" t="str">
        <f>HYPERLINK("#'Overview'!A1", "Overview")</f>
        <v>Overview</v>
      </c>
      <c r="D28" s="48"/>
      <c r="E28" s="48"/>
      <c r="F28" s="48"/>
      <c r="G28" s="48"/>
      <c r="H28" s="48"/>
      <c r="I28" s="48" cm="1">
        <f t="array" ref="I28">Fertiliser_Equations_Organic.VEERG_5_2_1_1__2_MassOfNitrogenInOrganicFertiliser(G28,H28)</f>
        <v>0</v>
      </c>
    </row>
    <row r="29" spans="1:10" ht="20.100000000000001" customHeight="1" x14ac:dyDescent="0.25">
      <c r="A29"/>
      <c r="D29" s="48"/>
      <c r="E29" s="48"/>
      <c r="F29" s="48"/>
      <c r="G29" s="48"/>
      <c r="H29" s="48"/>
      <c r="I29" s="48" cm="1">
        <f t="array" ref="I29">Fertiliser_Equations_Organic.VEERG_5_2_1_1__2_MassOfNitrogenInOrganicFertiliser(G29,H29)</f>
        <v>0</v>
      </c>
    </row>
    <row r="30" spans="1:10" ht="20.100000000000001" customHeight="1" x14ac:dyDescent="0.25">
      <c r="A30"/>
      <c r="D30" s="48"/>
      <c r="E30" s="48"/>
      <c r="F30" s="48"/>
      <c r="G30" s="48"/>
      <c r="H30" s="48"/>
      <c r="I30" s="48" cm="1">
        <f t="array" ref="I30">Fertiliser_Equations_Organic.VEERG_5_2_1_1__2_MassOfNitrogenInOrganicFertiliser(G30,H30)</f>
        <v>0</v>
      </c>
    </row>
    <row r="31" spans="1:10" ht="20.100000000000001" customHeight="1" x14ac:dyDescent="0.25">
      <c r="A31"/>
      <c r="D31" s="103"/>
      <c r="E31" s="103"/>
      <c r="F31" s="103"/>
      <c r="G31" s="103"/>
      <c r="H31" s="103"/>
      <c r="I31" s="103"/>
      <c r="J31" s="103"/>
    </row>
    <row r="32" spans="1:10" ht="20.100000000000001" customHeight="1" x14ac:dyDescent="0.25">
      <c r="A32"/>
      <c r="D32" s="104" t="s">
        <v>210</v>
      </c>
      <c r="E32" s="104">
        <f>SUM(I20:I30)</f>
        <v>710</v>
      </c>
      <c r="F32" s="105" t="str">
        <f>$E$11</f>
        <v>kg N</v>
      </c>
      <c r="G32" s="103"/>
      <c r="H32" s="103"/>
      <c r="I32" s="103"/>
      <c r="J32" s="103"/>
    </row>
    <row r="33" spans="1:12" ht="20.100000000000001" customHeight="1" x14ac:dyDescent="0.25">
      <c r="A33"/>
    </row>
    <row r="34" spans="1:12" ht="20.100000000000001" customHeight="1" x14ac:dyDescent="0.25">
      <c r="A34"/>
    </row>
    <row r="35" spans="1:12" ht="20.100000000000001" customHeight="1" x14ac:dyDescent="0.25">
      <c r="A35"/>
      <c r="C35" s="106"/>
      <c r="D35" s="106"/>
      <c r="E35" s="106"/>
      <c r="F35" s="106"/>
      <c r="G35" s="106"/>
      <c r="H35" s="106"/>
      <c r="I35" s="106"/>
      <c r="J35" s="106"/>
      <c r="K35" s="106"/>
      <c r="L35" s="106"/>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6" t="s">
        <v>161</v>
      </c>
      <c r="E38" s="76"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3" t="s">
        <v>162</v>
      </c>
      <c r="E41" s="15" t="str" cm="1">
        <f t="array" ref="E41">Fertiliser_Equations_OrganicN2O.VEERG_5_2_1_1__1_OrganicFertiliserApplicationN2OEmissions_Variable()</f>
        <v>E_N2O</v>
      </c>
    </row>
    <row r="42" spans="1:12" ht="20.100000000000001" customHeight="1" x14ac:dyDescent="0.25">
      <c r="A42"/>
      <c r="D42" s="63" t="s">
        <v>163</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99" t="str" cm="1">
        <f t="array" ref="D44:E48">_xlfn.CHOOSECOLS(Fertiliser_Equations_OrganicN2O.VEERG_5_2_1_1__1_OrganicFertiliserApplicationN2OEmissions_Arguments(), 1, 2)</f>
        <v>MNSoil_jf</v>
      </c>
      <c r="E44" s="107" t="str">
        <v>mass of nitrogen in organic fertiliser type f applied to production system j</v>
      </c>
      <c r="F44" s="108"/>
      <c r="G44" s="108"/>
      <c r="H44" s="109"/>
      <c r="I44" s="99" t="str" cm="1">
        <f t="array" ref="I44:J48">_xlfn.CHOOSECOLS(Fertiliser_Equations_OrganicN2O.VEERG_5_2_1_1__1_OrganicFertiliserApplicationN2OEmissions_Arguments(), 3,4)</f>
        <v>kg N</v>
      </c>
      <c r="J44" s="82" t="str">
        <v>Calculated from 5.2.1.1 (2)</v>
      </c>
      <c r="K44" s="99">
        <f>$E$32</f>
        <v>710</v>
      </c>
    </row>
    <row r="45" spans="1:12" ht="20.100000000000001" customHeight="1" x14ac:dyDescent="0.25">
      <c r="A45"/>
      <c r="D45" s="99" t="str">
        <v>EF_N2Oi</v>
      </c>
      <c r="E45" s="107" t="str">
        <v>emission factor for direct nitrous oxide emissions from organic fertiliser applied to soils and aquatic systems in climate zone i</v>
      </c>
      <c r="F45" s="108"/>
      <c r="G45" s="108"/>
      <c r="H45" s="109"/>
      <c r="I45" s="99" t="str">
        <v>kg N2O-N/kg N</v>
      </c>
      <c r="J45" s="82" t="str">
        <v>Lookup</v>
      </c>
      <c r="K45" s="9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99" t="str">
        <v>C_N2O</v>
      </c>
      <c r="E46" s="107" t="str">
        <v>factor to convert elemental mass of nitrous oxide to molecular mass</v>
      </c>
      <c r="F46" s="108"/>
      <c r="G46" s="108"/>
      <c r="H46" s="109"/>
      <c r="I46" s="99" t="str">
        <v/>
      </c>
      <c r="J46" s="82" t="str">
        <v>Constant</v>
      </c>
      <c r="K46" s="78">
        <f>Common_InputFunctions.Utility_LookupValueInTableNumber("N2O",Table_GasToMolecularConversionFactor[Gas],Table_GasToMolecularConversionFactor[Conversion factor combined])</f>
        <v>1.5714285714285714</v>
      </c>
    </row>
    <row r="47" spans="1:12" ht="20.100000000000001" customHeight="1" x14ac:dyDescent="0.25">
      <c r="A47"/>
      <c r="D47" s="99" t="str">
        <v>j</v>
      </c>
      <c r="E47" s="107" t="str">
        <v>Production system</v>
      </c>
      <c r="F47" s="108"/>
      <c r="G47" s="108"/>
      <c r="H47" s="109"/>
      <c r="I47" s="99" t="str">
        <v/>
      </c>
      <c r="J47" s="81" t="str">
        <v>Input</v>
      </c>
      <c r="K47" s="99" t="str">
        <f>X_Cell_Fertiliser_ProductionSystem</f>
        <v>Crop</v>
      </c>
    </row>
    <row r="48" spans="1:12" ht="20.100000000000001" customHeight="1" x14ac:dyDescent="0.25">
      <c r="A48"/>
      <c r="D48" s="99" t="str">
        <v>i</v>
      </c>
      <c r="E48" s="107" t="str">
        <v>Wet or dry climate zone</v>
      </c>
      <c r="F48" s="108"/>
      <c r="G48" s="108"/>
      <c r="H48" s="109"/>
      <c r="I48" s="99" t="str">
        <v/>
      </c>
      <c r="J48" s="81" t="str">
        <v>Input</v>
      </c>
      <c r="K48" s="99" t="str">
        <f>X_Cell_Site_WetOrDryClimateZone</f>
        <v>Dry climate zone</v>
      </c>
    </row>
    <row r="49" spans="1:7" ht="20.100000000000001" customHeight="1" x14ac:dyDescent="0.25">
      <c r="A49"/>
    </row>
    <row r="50" spans="1:7" ht="20.100000000000001" customHeight="1" x14ac:dyDescent="0.25">
      <c r="A50"/>
      <c r="D50" s="94" t="s">
        <v>192</v>
      </c>
      <c r="E50" s="95" cm="1">
        <f t="array" ref="E50">Fertiliser_Equations_OrganicN2O.VEERG_5_2_1_1__1_OrganicFertiliserApplicationN2OEmissions(K44,K45,K46)</f>
        <v>5.5785714285714293E-3</v>
      </c>
      <c r="F50" s="96" t="str">
        <f>$E$42</f>
        <v>t N2O</v>
      </c>
    </row>
    <row r="51" spans="1:7" ht="20.100000000000001" customHeight="1" x14ac:dyDescent="0.25">
      <c r="A51"/>
    </row>
    <row r="52" spans="1:7" ht="20.100000000000001" customHeight="1" x14ac:dyDescent="0.25">
      <c r="A52"/>
      <c r="D52" s="78" t="str" cm="1">
        <f t="array" ref="D52:E53">Common_Equations.Common_ConvertN2OToCO2e_Arguments()</f>
        <v>EN2O</v>
      </c>
      <c r="E52" s="79" t="str">
        <v>Nitrous oxide emissions (t N2O)</v>
      </c>
      <c r="F52" s="97"/>
      <c r="G52" s="48">
        <f>E50</f>
        <v>5.5785714285714293E-3</v>
      </c>
    </row>
    <row r="53" spans="1:7" ht="20.100000000000001" customHeight="1" x14ac:dyDescent="0.25">
      <c r="A53"/>
      <c r="D53" s="78" t="str">
        <v>GWPN2O</v>
      </c>
      <c r="E53" s="79" t="str">
        <v>Global warming potential for nitrous oxide (t CO2-e / t N2O)</v>
      </c>
      <c r="F53" s="97"/>
      <c r="G53" s="48">
        <f>Common_InputFunctions.Utility_LookupValueInTableNumber("N2O",Table_GWPData[Gas],Table_GWPData[CO2-e factor])</f>
        <v>265</v>
      </c>
    </row>
    <row r="54" spans="1:7" ht="20.100000000000001" customHeight="1" x14ac:dyDescent="0.25">
      <c r="A54"/>
    </row>
    <row r="55" spans="1:7" ht="20.100000000000001" customHeight="1" x14ac:dyDescent="0.25">
      <c r="A55"/>
      <c r="D55" s="91" t="s">
        <v>193</v>
      </c>
      <c r="E55" s="91" cm="1">
        <f t="array" ref="E55">Common_Equations.Common_ConvertN2OToCO2e(G52,G53)</f>
        <v>1.4783214285714288</v>
      </c>
      <c r="F55" s="98"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D2A6E-E68C-4D5E-AE4B-ACA179B9C1F5}">
  <dimension ref="A1:U165"/>
  <sheetViews>
    <sheetView showGridLines="0" topLeftCell="A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s="29" t="s">
        <v>83</v>
      </c>
      <c r="D6" s="18" t="str" cm="1">
        <f t="array" ref="D6">Fertiliser_Equations_Lime.VEERG_5_3_1_1__1_LimeApplicationCO2Emissions_Source()</f>
        <v>VEERG 2026: 5.3.1.1, Equation (1)</v>
      </c>
    </row>
    <row r="7" spans="1:21" ht="20.100000000000001" customHeight="1" x14ac:dyDescent="0.25">
      <c r="A7" s="24" t="str">
        <f>HYPERLINK("#'Input - Planting'!A1", "Planting")</f>
        <v>Planting</v>
      </c>
      <c r="D7" s="76" t="s">
        <v>161</v>
      </c>
      <c r="E7" s="76" t="str" cm="1">
        <f t="array" aca="1" ref="E7" ca="1">Common_InputFunctions.Utility_DisplayFunctionName(H25)</f>
        <v>=Fertiliser_Equations_Lime.VEERG_5_3_1_1__1_LimeApplicationCO2Emissions</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Fertiliser_Equations_Lime.VEERG_5_3_1_1__1_LimeApplicationCO2Emissions_Variable()</f>
        <v>E_lime</v>
      </c>
    </row>
    <row r="11" spans="1:21" ht="20.100000000000001" customHeight="1" x14ac:dyDescent="0.25">
      <c r="A11"/>
      <c r="D11" s="63" t="s">
        <v>163</v>
      </c>
      <c r="E11" s="20" t="str" cm="1">
        <f t="array" ref="E11">Fertiliser_Equations_Lime.VEERG_5_3_1_1__1_LimeApplicationCO2Emissions_Unit()</f>
        <v>t CO2</v>
      </c>
    </row>
    <row r="12" spans="1:21" ht="20.100000000000001" customHeight="1" x14ac:dyDescent="0.25">
      <c r="A12"/>
    </row>
    <row r="13" spans="1:21" ht="20.100000000000001" customHeight="1" x14ac:dyDescent="0.25">
      <c r="A13" s="32" t="s">
        <v>89</v>
      </c>
      <c r="D13" s="99" t="str" cm="1">
        <f t="array" ref="D13:E20">_xlfn.CHOOSECOLS(Fertiliser_Equations_Lime.VEERG_5_3_1_1__1_LimeApplicationCO2Emissions_Arguments(), 1, 2)</f>
        <v>M_lime</v>
      </c>
      <c r="E13" s="107" t="str">
        <v>total mass of lime applied to production system</v>
      </c>
      <c r="F13" s="109"/>
      <c r="G13" s="99" t="str" cm="1">
        <f t="array" ref="G13:H20">_xlfn.CHOOSECOLS(Fertiliser_Equations_Lime.VEERG_5_3_1_1__1_LimeApplicationCO2Emissions_Arguments(), 3,4)</f>
        <v>kg</v>
      </c>
      <c r="H13" s="81" t="str">
        <v>Input</v>
      </c>
      <c r="I13" s="85" t="str" cm="1">
        <f t="array" aca="1" ref="I13" ca="1">HYPERLINK(Common_InputFunctions.Utility_SourceHyperlink($D$22), $D$22)</f>
        <v>Table_E_lime</v>
      </c>
    </row>
    <row r="14" spans="1:21" ht="20.100000000000001" customHeight="1" x14ac:dyDescent="0.25">
      <c r="A14" s="24" t="str">
        <f>HYPERLINK("#'5.1.1.1-2 Inorganic fert N2O'!A1", "5.1.1.1-2 Inorganic fert N2O")</f>
        <v>5.1.1.1-2 Inorganic fert N2O</v>
      </c>
      <c r="D14" s="99" t="str">
        <v>FracLime</v>
      </c>
      <c r="E14" s="107" t="str">
        <v>fraction of lime as limestone (CaCO3)</v>
      </c>
      <c r="F14" s="109"/>
      <c r="G14" s="99" t="str">
        <v>fraction</v>
      </c>
      <c r="H14" s="81" t="str">
        <v>Input</v>
      </c>
      <c r="I14" s="85" t="str" cm="1">
        <f t="array" aca="1" ref="I14" ca="1">HYPERLINK(Common_InputFunctions.Utility_SourceHyperlink($D$22), $D$22)</f>
        <v>Table_E_lime</v>
      </c>
    </row>
    <row r="15" spans="1:21" ht="20.100000000000001" customHeight="1" x14ac:dyDescent="0.25">
      <c r="A15" s="24" t="str">
        <f>HYPERLINK("#'5.1.1.3-4 Inorganic fert CO2'!A1", "5.1.1.3-4 Inorganic fert CO2")</f>
        <v>5.1.1.3-4 Inorganic fert CO2</v>
      </c>
      <c r="D15" s="99" t="str">
        <v>P_lime</v>
      </c>
      <c r="E15" s="107" t="str">
        <v>fractional purity of limestone</v>
      </c>
      <c r="F15" s="109"/>
      <c r="G15" s="99" t="str">
        <v>fraction</v>
      </c>
      <c r="H15" s="82" t="str">
        <v>Constant</v>
      </c>
      <c r="I15" s="99">
        <f>'Constants - Fertiliser'!$E$66</f>
        <v>0.9</v>
      </c>
    </row>
    <row r="16" spans="1:21" ht="20.100000000000001" customHeight="1" x14ac:dyDescent="0.25">
      <c r="A16" s="24" t="str">
        <f>HYPERLINK("#'5.2.1.1-2 Organic Fert N2O'!A1", "5.2.1.1-2 Organic fert N2O")</f>
        <v>5.2.1.1-2 Organic fert N2O</v>
      </c>
      <c r="D16" s="99" t="str">
        <v>EF_lime</v>
      </c>
      <c r="E16" s="107" t="str">
        <v>emission factor for limestone fraction of lime</v>
      </c>
      <c r="F16" s="109"/>
      <c r="G16" s="99" t="str">
        <v>kg C/kg</v>
      </c>
      <c r="H16" s="82" t="str">
        <v>Constant</v>
      </c>
      <c r="I16" s="99">
        <f>'Constants - Fertiliser'!$F$66</f>
        <v>0.12</v>
      </c>
    </row>
    <row r="17" spans="1:9" ht="20.100000000000001" customHeight="1" x14ac:dyDescent="0.25">
      <c r="A17" s="77" t="str">
        <f>HYPERLINK("#'5.3.1.1-2 Lime CO2'!A1", "5.3.1.1-2 Lime CO2")</f>
        <v>5.3.1.1-2 Lime CO2</v>
      </c>
      <c r="D17" s="99" t="str">
        <v>FracDol</v>
      </c>
      <c r="E17" s="107" t="str">
        <v>fraction of lime as dolomite</v>
      </c>
      <c r="F17" s="109"/>
      <c r="G17" s="99" t="str">
        <v>fraction</v>
      </c>
      <c r="H17" s="81" t="str">
        <v>Input</v>
      </c>
      <c r="I17" s="85" t="str" cm="1">
        <f t="array" aca="1" ref="I17" ca="1">HYPERLINK(Common_InputFunctions.Utility_SourceHyperlink($D$22), $D$22)</f>
        <v>Table_E_lime</v>
      </c>
    </row>
    <row r="18" spans="1:9" ht="20.100000000000001" customHeight="1" x14ac:dyDescent="0.25">
      <c r="A18" s="24" t="str">
        <f>HYPERLINK("#'5.4.1.1-4 Atmos deposition'!A1", "5.4.1.1-4 Atmos. deposition")</f>
        <v>5.4.1.1-4 Atmos. deposition</v>
      </c>
      <c r="D18" s="99" t="str">
        <v>P_dol</v>
      </c>
      <c r="E18" s="107" t="str">
        <v>fractional purity of dolomite</v>
      </c>
      <c r="F18" s="109"/>
      <c r="G18" s="99" t="str">
        <v>fraction</v>
      </c>
      <c r="H18" s="82" t="str">
        <v>Constant</v>
      </c>
      <c r="I18" s="99">
        <f>'Constants - Fertiliser'!$E$67</f>
        <v>0.95</v>
      </c>
    </row>
    <row r="19" spans="1:9" ht="20.100000000000001" customHeight="1" x14ac:dyDescent="0.25">
      <c r="A19" s="24" t="str">
        <f>HYPERLINK("#'5.5.1.1-2 Leaching and runoff'!A1", "5.5.1.1-2 Leaching &amp; runoff")</f>
        <v>5.5.1.1-2 Leaching &amp; runoff</v>
      </c>
      <c r="D19" s="99" t="str">
        <v>EF_dol</v>
      </c>
      <c r="E19" s="107" t="str">
        <v>emission factor for dolomite fraction of lime</v>
      </c>
      <c r="F19" s="109"/>
      <c r="G19" s="99" t="str">
        <v>kg C/kg</v>
      </c>
      <c r="H19" s="82" t="str">
        <v>Constant</v>
      </c>
      <c r="I19" s="99">
        <f>'Constants - Fertiliser'!$F$67</f>
        <v>0.13</v>
      </c>
    </row>
    <row r="20" spans="1:9" ht="20.100000000000001" customHeight="1" x14ac:dyDescent="0.25">
      <c r="A20" s="24" t="str">
        <f>HYPERLINK("#'8.1.1.1-2 Transport fuel'!A1", "8.1.1.1-2 Transport fuel")</f>
        <v>8.1.1.1-2 Transport fuel</v>
      </c>
      <c r="D20" s="99" t="str">
        <v>C_CO2</v>
      </c>
      <c r="E20" s="107" t="str">
        <v>factor to convert elemental mass of carbon dioxide to molecular mass</v>
      </c>
      <c r="F20" s="109"/>
      <c r="G20" s="99" t="str">
        <v/>
      </c>
      <c r="H20" s="82" t="str">
        <v>Constant</v>
      </c>
      <c r="I20" s="78">
        <f>Common_InputFunctions.Utility_LookupValueInTableNumber("CO2",Table_GasToMolecularConversionFactor[Gas], Table_GasToMolecularConversionFactor[Conversion factor combined])</f>
        <v>3.6666666666666665</v>
      </c>
    </row>
    <row r="21" spans="1:9" ht="20.100000000000001" customHeight="1" x14ac:dyDescent="0.25">
      <c r="A21" s="24" t="str">
        <f>HYPERLINK("#'8.2.1.1-2 Stationary fuel'!A1", "8.2.1.1-2 Stationary fuel")</f>
        <v>8.2.1.1-2 Stationary fuel</v>
      </c>
    </row>
    <row r="22" spans="1:9" ht="20.100000000000001" customHeight="1" x14ac:dyDescent="0.25">
      <c r="A22"/>
      <c r="D22" s="87" t="s">
        <v>212</v>
      </c>
    </row>
    <row r="23" spans="1:9" ht="20.100000000000001" customHeight="1" x14ac:dyDescent="0.25">
      <c r="A23"/>
      <c r="D23" s="88" t="s">
        <v>213</v>
      </c>
    </row>
    <row r="24" spans="1:9" ht="20.100000000000001" customHeight="1" x14ac:dyDescent="0.25">
      <c r="A24" s="210" t="s">
        <v>116</v>
      </c>
      <c r="D24" s="90" t="s">
        <v>214</v>
      </c>
      <c r="E24" s="90" t="s">
        <v>215</v>
      </c>
      <c r="F24" s="90" t="s">
        <v>216</v>
      </c>
      <c r="G24" s="90" t="s">
        <v>217</v>
      </c>
      <c r="H24" s="89" t="s">
        <v>218</v>
      </c>
    </row>
    <row r="25" spans="1:9" ht="20.100000000000001" customHeight="1" x14ac:dyDescent="0.25">
      <c r="A25" s="24" t="str">
        <f>HYPERLINK("#'Constants - Fertiliser'!A1", "Constants - Fertiliser")</f>
        <v>Constants - Fertiliser</v>
      </c>
      <c r="D25" s="48" t="str" cm="1">
        <f t="array" ref="D25:D27">Table_Input_Lime[Product]</f>
        <v>Lime product 1</v>
      </c>
      <c r="E25" s="110" cm="1">
        <f t="array" ref="E25:E27">Table_Input_Lime[Total amount applied (t)]*10^3</f>
        <v>100000</v>
      </c>
      <c r="F25" s="111" cm="1">
        <f t="array" ref="F25:F27">Table_Input_Lime[Percent Lime CaCO3]</f>
        <v>0.8</v>
      </c>
      <c r="G25" s="111" cm="1">
        <f t="array" ref="G25:G27">Table_Input_Lime[Percent Dolomite CaMg(CO3)2]</f>
        <v>0.1</v>
      </c>
      <c r="H25" s="48" cm="1">
        <f t="array" ref="H25">Fertiliser_Equations_Lime.VEERG_5_3_1_1__1_LimeApplicationCO2Emissions(E25,F25,$I$15,$I$16,G25,$I$18,$I$19,$I$20)</f>
        <v>36.208333333333329</v>
      </c>
    </row>
    <row r="26" spans="1:9" ht="20.100000000000001" customHeight="1" x14ac:dyDescent="0.25">
      <c r="A26" s="24" t="str">
        <f>HYPERLINK("#'Constants - Fuel'!A1", "Constants - Fuel")</f>
        <v>Constants - Fuel</v>
      </c>
      <c r="D26" s="48" t="str">
        <v>Lime product 2</v>
      </c>
      <c r="E26" s="48">
        <v>100000</v>
      </c>
      <c r="F26" s="48">
        <v>1</v>
      </c>
      <c r="G26" s="48">
        <v>0</v>
      </c>
      <c r="H26" s="48" cm="1">
        <f t="array" ref="H26">Fertiliser_Equations_Lime.VEERG_5_3_1_1__1_LimeApplicationCO2Emissions(E26,F26,$I$15,$I$16,G26,$I$18,$I$19,$I$20)</f>
        <v>39.6</v>
      </c>
    </row>
    <row r="27" spans="1:9" ht="20.100000000000001" customHeight="1" x14ac:dyDescent="0.25">
      <c r="A27" s="24" t="str">
        <f>HYPERLINK("#'Constants - Common'!A1", "Constants - Common")</f>
        <v>Constants - Common</v>
      </c>
      <c r="D27" s="48" t="str">
        <v>Lime product 3</v>
      </c>
      <c r="E27" s="48">
        <v>100000</v>
      </c>
      <c r="F27" s="48">
        <v>0</v>
      </c>
      <c r="G27" s="48">
        <v>0</v>
      </c>
      <c r="H27" s="48" cm="1">
        <f t="array" ref="H27">Fertiliser_Equations_Lime.VEERG_5_3_1_1__1_LimeApplicationCO2Emissions(E27,F27,$I$15,$I$16,G27,$I$18,$I$19,$I$20)</f>
        <v>0</v>
      </c>
    </row>
    <row r="28" spans="1:9" ht="20.100000000000001" customHeight="1" x14ac:dyDescent="0.25">
      <c r="A28" s="24" t="str">
        <f>HYPERLINK("#'Overview'!A1", "Overview")</f>
        <v>Overview</v>
      </c>
      <c r="D28" s="48"/>
      <c r="E28" s="48"/>
      <c r="F28" s="48"/>
      <c r="G28" s="48"/>
      <c r="H28" s="48" cm="1">
        <f t="array" ref="H28">Fertiliser_Equations_Lime.VEERG_5_3_1_1__1_LimeApplicationCO2Emissions(E28,F28,$I$15,$I$16,G28,$I$18,$I$19,$I$20)</f>
        <v>0</v>
      </c>
    </row>
    <row r="29" spans="1:9" ht="20.100000000000001" customHeight="1" x14ac:dyDescent="0.25">
      <c r="A29"/>
      <c r="D29" s="48"/>
      <c r="E29" s="48"/>
      <c r="F29" s="48"/>
      <c r="G29" s="48"/>
      <c r="H29" s="48" cm="1">
        <f t="array" ref="H29">Fertiliser_Equations_Lime.VEERG_5_3_1_1__1_LimeApplicationCO2Emissions(E29,F29,$I$15,$I$16,G29,$I$18,$I$19,$I$20)</f>
        <v>0</v>
      </c>
    </row>
    <row r="30" spans="1:9" ht="20.100000000000001" customHeight="1" x14ac:dyDescent="0.25">
      <c r="A30"/>
    </row>
    <row r="31" spans="1:9" ht="20.100000000000001" customHeight="1" x14ac:dyDescent="0.25">
      <c r="A31"/>
      <c r="D31" s="94" t="s">
        <v>219</v>
      </c>
      <c r="E31" s="95">
        <f>SUM(H25:H29)</f>
        <v>75.808333333333337</v>
      </c>
      <c r="F31" s="112" t="s">
        <v>220</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F3F31-9E90-43F9-907B-70659F27CF93}">
  <dimension ref="A1:U165"/>
  <sheetViews>
    <sheetView showGridLines="0" topLeftCell="A137"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29" t="s">
        <v>83</v>
      </c>
      <c r="D6" s="18" t="str" cm="1">
        <f t="array" ref="D6">Fertiliser_Equations_AtmosphericDeposition.VEERG_5_4_1_1__2_MassOfNitrogenVolatilisedFromInorganicFertiliser_Source()</f>
        <v>VEERG 2026: 5.4.1.1, Equation (2)</v>
      </c>
    </row>
    <row r="7" spans="1:21" ht="20.100000000000001" customHeight="1" x14ac:dyDescent="0.25">
      <c r="A7" s="24" t="str">
        <f>HYPERLINK("#'Input - Planting'!A1", "Planting")</f>
        <v>Planting</v>
      </c>
      <c r="D7" s="76" t="s">
        <v>161</v>
      </c>
      <c r="E7" s="76" t="str" cm="1">
        <f t="array" aca="1" ref="E7" ca="1">Common_InputFunctions.Utility_DisplayFunctionName(H19)</f>
        <v>=Fertiliser_Equations_AtmosphericDeposition.VEERG_5_4_1_1__2_MassOfNitrogenVolatilisedFromInorganicFertiliser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Fertiliser_Equations_AtmosphericDeposition.VEERG_5_4_1_1__2_MassOfNitrogenVolatilisedFromInorganicFertiliser_Variable()</f>
        <v>M_volinorganicjf</v>
      </c>
    </row>
    <row r="11" spans="1:21" ht="20.100000000000001" customHeight="1" x14ac:dyDescent="0.25">
      <c r="A11"/>
      <c r="D11" s="63" t="s">
        <v>163</v>
      </c>
      <c r="E11" s="20" t="str" cm="1">
        <f t="array" ref="E11">Fertiliser_Equations_AtmosphericDeposition.VEERG_5_4_1_1__2_MassOfNitrogenVolatilisedFromInorganicFertiliser_Unit()</f>
        <v>kg N</v>
      </c>
    </row>
    <row r="12" spans="1:21" ht="20.100000000000001" customHeight="1" x14ac:dyDescent="0.25">
      <c r="A12"/>
    </row>
    <row r="13" spans="1:21" ht="20.100000000000001" customHeight="1" x14ac:dyDescent="0.25">
      <c r="A13" s="32" t="s">
        <v>89</v>
      </c>
      <c r="D13" s="99" t="str" cm="1">
        <f t="array" ref="D13:E14">_xlfn.CHOOSECOLS(Fertiliser_Equations_AtmosphericDeposition.VEERG_5_4_1_1__2_MassOfNitrogenVolatilisedFromInorganicFertiliser_Arguments(), 1, 2)</f>
        <v>MN_jf</v>
      </c>
      <c r="E13" s="107" t="str">
        <v>mass of nitrogen in inorganic fertiliser applied</v>
      </c>
      <c r="F13" s="109"/>
      <c r="G13" s="99" t="str" cm="1">
        <f t="array" ref="G13:H14">_xlfn.CHOOSECOLS(Fertiliser_Equations_AtmosphericDeposition.VEERG_5_4_1_1__2_MassOfNitrogenVolatilisedFromInorganicFertiliser_Arguments(), 3,4)</f>
        <v>kg N</v>
      </c>
      <c r="H13" s="82" t="str">
        <v>Calculated from 5.1.1.1 (2)</v>
      </c>
      <c r="I13" s="85" t="str" cm="1">
        <f t="array" aca="1" ref="I13" ca="1">HYPERLINK(Common_InputFunctions.Utility_SourceHyperlink($D$16),$D$16)</f>
        <v>Table_M_vol_inorganic_j_f</v>
      </c>
    </row>
    <row r="14" spans="1:21" ht="20.100000000000001" customHeight="1" x14ac:dyDescent="0.25">
      <c r="A14" s="24" t="str">
        <f>HYPERLINK("#'5.1.1.1-2 Inorganic fert N2O'!A1", "5.1.1.1-2 Inorganic fert N2O")</f>
        <v>5.1.1.1-2 Inorganic fert N2O</v>
      </c>
      <c r="D14" s="99" t="str">
        <v>FracGASF_f</v>
      </c>
      <c r="E14" s="107" t="str">
        <v>fraction of inorganic fertiliser that volatilises</v>
      </c>
      <c r="F14" s="109"/>
      <c r="G14" s="99" t="str">
        <v>(kg NH3-N + NOx-N)/kg N</v>
      </c>
      <c r="H14" s="82" t="str">
        <v>Constant</v>
      </c>
      <c r="I14" s="85" t="str" cm="1">
        <f t="array" aca="1" ref="I14" ca="1">HYPERLINK(Common_InputFunctions.Utility_SourceHyperlink($D$16),$D$16)</f>
        <v>Table_M_vol_inorganic_j_f</v>
      </c>
    </row>
    <row r="15" spans="1:21" ht="20.100000000000001" customHeight="1" x14ac:dyDescent="0.25">
      <c r="A15" s="24"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222</v>
      </c>
    </row>
    <row r="17" spans="1:8" ht="20.100000000000001" customHeight="1" x14ac:dyDescent="0.25">
      <c r="A17" s="24" t="str">
        <f>HYPERLINK("#'5.3.1.1-2 Lime CO2'!A1", "5.3.1.1-2 Lime CO2")</f>
        <v>5.3.1.1-2 Lime CO2</v>
      </c>
      <c r="D17" s="88" t="s">
        <v>223</v>
      </c>
    </row>
    <row r="18" spans="1:8" ht="20.100000000000001" customHeight="1" x14ac:dyDescent="0.25">
      <c r="A18" s="77" t="str">
        <f>HYPERLINK("#'5.4.1.1-4 Atmos deposition'!A1", "5.4.1.1-4 Atmos. deposition")</f>
        <v>5.4.1.1-4 Atmos. deposition</v>
      </c>
      <c r="D18" s="89" t="s">
        <v>224</v>
      </c>
      <c r="E18" s="89" t="s">
        <v>225</v>
      </c>
      <c r="F18" s="89" t="s">
        <v>226</v>
      </c>
      <c r="G18" s="113" t="s">
        <v>227</v>
      </c>
      <c r="H18" s="113" t="s">
        <v>228</v>
      </c>
    </row>
    <row r="19" spans="1:8"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f>INDEX(Table_MN_j_f,2,4)</f>
        <v>0</v>
      </c>
      <c r="F19" s="48" t="str" cm="1">
        <f t="array" ref="F19">Common_InputFunctions.Utility_LookupValueInTable(D19, Table_Fertiliser_ChemicalCompounds[Fertiliser type f],Table_Fertiliser_ChemicalCompounds[Basis])</f>
        <v>Ammonium-based fertilisers</v>
      </c>
      <c r="G19" s="48" cm="1">
        <f t="array" ref="G19">Common_InputFunctions.Utility_LookupValueInTableNumber(F19, Table_SourceData_Fertiliser_FracGASF[Fertiliser type f],Table_SourceData_Fertiliser_FracGASF[FracGASF f])</f>
        <v>0.08</v>
      </c>
      <c r="H19" s="48" cm="1">
        <f t="array" ref="H19">Fertiliser_Equations_AtmosphericDeposition.VEERG_5_4_1_1__2_MassOfNitrogenVolatilisedFromInorganicFertiliser(E19,G19)</f>
        <v>0</v>
      </c>
    </row>
    <row r="20" spans="1:8" ht="20.100000000000001" customHeight="1" x14ac:dyDescent="0.25">
      <c r="A20" s="24" t="str">
        <f>HYPERLINK("#'8.1.1.1-2 Transport fuel'!A1", "8.1.1.1-2 Transport fuel")</f>
        <v>8.1.1.1-2 Transport fuel</v>
      </c>
      <c r="D20" s="48" t="str">
        <v>Diammonium phosphate (DAP)</v>
      </c>
      <c r="E20" s="48">
        <f>INDEX(Table_MN_j_f,3,4)</f>
        <v>0</v>
      </c>
      <c r="F20" s="48" t="str" cm="1">
        <f t="array" ref="F20">Common_InputFunctions.Utility_LookupValueInTable(D20, Table_Fertiliser_ChemicalCompounds[Fertiliser type f],Table_Fertiliser_ChemicalCompounds[Basis])</f>
        <v>Ammonium-based fertilisers</v>
      </c>
      <c r="G20" s="48" cm="1">
        <f t="array" ref="G20">Common_InputFunctions.Utility_LookupValueInTableNumber(F20, Table_SourceData_Fertiliser_FracGASF[Fertiliser type f],Table_SourceData_Fertiliser_FracGASF[FracGASF f])</f>
        <v>0.08</v>
      </c>
      <c r="H20" s="48" cm="1">
        <f t="array" ref="H20">Fertiliser_Equations_AtmosphericDeposition.VEERG_5_4_1_1__2_MassOfNitrogenVolatilisedFromInorganicFertiliser(E20,G20)</f>
        <v>0</v>
      </c>
    </row>
    <row r="21" spans="1:8" ht="20.100000000000001" customHeight="1" x14ac:dyDescent="0.25">
      <c r="A21" s="24" t="str">
        <f>HYPERLINK("#'8.2.1.1-2 Stationary fuel'!A1", "8.2.1.1-2 Stationary fuel")</f>
        <v>8.2.1.1-2 Stationary fuel</v>
      </c>
      <c r="D21" s="48" t="str">
        <v>Urea</v>
      </c>
      <c r="E21" s="48">
        <f>INDEX(Table_MN_j_f,4,4)</f>
        <v>4600</v>
      </c>
      <c r="F21" s="48" t="str" cm="1">
        <f t="array" ref="F21">Common_InputFunctions.Utility_LookupValueInTable(D21, Table_Fertiliser_ChemicalCompounds[Fertiliser type f],Table_Fertiliser_ChemicalCompounds[Basis])</f>
        <v>Urea-based fertilisers</v>
      </c>
      <c r="G21" s="48" cm="1">
        <f t="array" ref="G21">Common_InputFunctions.Utility_LookupValueInTableNumber(F21, Table_SourceData_Fertiliser_FracGASF[Fertiliser type f],Table_SourceData_Fertiliser_FracGASF[FracGASF f])</f>
        <v>0.15</v>
      </c>
      <c r="H21" s="48" cm="1">
        <f t="array" ref="H21">Fertiliser_Equations_AtmosphericDeposition.VEERG_5_4_1_1__2_MassOfNitrogenVolatilisedFromInorganicFertiliser(E21,G21)</f>
        <v>690</v>
      </c>
    </row>
    <row r="22" spans="1:8" ht="20.100000000000001" customHeight="1" x14ac:dyDescent="0.25">
      <c r="A22"/>
      <c r="D22" s="48" t="str">
        <v>Sulphate of ammonia (SOA)</v>
      </c>
      <c r="E22" s="48">
        <f>INDEX(Table_MN_j_f,5,4)</f>
        <v>0</v>
      </c>
      <c r="F22" s="48" t="str" cm="1">
        <f t="array" ref="F22">Common_InputFunctions.Utility_LookupValueInTable(D22, Table_Fertiliser_ChemicalCompounds[Fertiliser type f],Table_Fertiliser_ChemicalCompounds[Basis])</f>
        <v>Ammonium-based fertilisers</v>
      </c>
      <c r="G22" s="48" cm="1">
        <f t="array" ref="G22">Common_InputFunctions.Utility_LookupValueInTableNumber(F22, Table_SourceData_Fertiliser_FracGASF[Fertiliser type f],Table_SourceData_Fertiliser_FracGASF[FracGASF f])</f>
        <v>0.08</v>
      </c>
      <c r="H22" s="48" cm="1">
        <f t="array" ref="H22">Fertiliser_Equations_AtmosphericDeposition.VEERG_5_4_1_1__2_MassOfNitrogenVolatilisedFromInorganicFertiliser(E22,G22)</f>
        <v>0</v>
      </c>
    </row>
    <row r="23" spans="1:8" ht="20.100000000000001" customHeight="1" x14ac:dyDescent="0.25">
      <c r="A23"/>
      <c r="D23" s="48" t="str">
        <v>Urea-ammonium nitrate (UAN)</v>
      </c>
      <c r="E23" s="48">
        <f>INDEX(Table_MN_j_f,6,4)</f>
        <v>0</v>
      </c>
      <c r="F23" s="48" t="str" cm="1">
        <f t="array" ref="F23">Common_InputFunctions.Utility_LookupValueInTable(D23, Table_Fertiliser_ChemicalCompounds[Fertiliser type f],Table_Fertiliser_ChemicalCompounds[Basis])</f>
        <v>Urea-based fertilisers</v>
      </c>
      <c r="G23" s="48" cm="1">
        <f t="array" ref="G23">Common_InputFunctions.Utility_LookupValueInTableNumber(F23, Table_SourceData_Fertiliser_FracGASF[Fertiliser type f],Table_SourceData_Fertiliser_FracGASF[FracGASF f])</f>
        <v>0.15</v>
      </c>
      <c r="H23" s="48" cm="1">
        <f t="array" ref="H23">Fertiliser_Equations_AtmosphericDeposition.VEERG_5_4_1_1__2_MassOfNitrogenVolatilisedFromInorganicFertiliser(E23,G23)</f>
        <v>0</v>
      </c>
    </row>
    <row r="24" spans="1:8" ht="20.100000000000001" customHeight="1" x14ac:dyDescent="0.25">
      <c r="A24" s="210" t="s">
        <v>116</v>
      </c>
      <c r="D24" s="48" t="str">
        <v>Ammonium nitrate (AN)</v>
      </c>
      <c r="E24" s="48">
        <f>INDEX(Table_MN_j_f,7,4)</f>
        <v>0</v>
      </c>
      <c r="F24" s="48" t="str" cm="1">
        <f t="array" ref="F24">Common_InputFunctions.Utility_LookupValueInTable(D24, Table_Fertiliser_ChemicalCompounds[Fertiliser type f],Table_Fertiliser_ChemicalCompounds[Basis])</f>
        <v>Ammonium-nitrate based fertilisers</v>
      </c>
      <c r="G24" s="48" cm="1">
        <f t="array" ref="G24">Common_InputFunctions.Utility_LookupValueInTableNumber(F24, Table_SourceData_Fertiliser_FracGASF[Fertiliser type f],Table_SourceData_Fertiliser_FracGASF[FracGASF f])</f>
        <v>0.05</v>
      </c>
      <c r="H24" s="48" cm="1">
        <f t="array" ref="H24">Fertiliser_Equations_AtmosphericDeposition.VEERG_5_4_1_1__2_MassOfNitrogenVolatilisedFromInorganicFertiliser(E24,G24)</f>
        <v>0</v>
      </c>
    </row>
    <row r="25" spans="1:8" ht="20.100000000000001" customHeight="1" x14ac:dyDescent="0.25">
      <c r="A25" s="24" t="str">
        <f>HYPERLINK("#'Constants - Fertiliser'!A1", "Constants - Fertiliser")</f>
        <v>Constants - Fertiliser</v>
      </c>
      <c r="D25" s="48" t="str">
        <v>Calcium ammonium nitrate (CAN)</v>
      </c>
      <c r="E25" s="48">
        <f>INDEX(Table_MN_j_f,8,4)</f>
        <v>0</v>
      </c>
      <c r="F25" s="48" t="str" cm="1">
        <f t="array" ref="F25">Common_InputFunctions.Utility_LookupValueInTable(D25, Table_Fertiliser_ChemicalCompounds[Fertiliser type f],Table_Fertiliser_ChemicalCompounds[Basis])</f>
        <v>Ammonium-nitrate based fertilisers</v>
      </c>
      <c r="G25" s="48" cm="1">
        <f t="array" ref="G25">Common_InputFunctions.Utility_LookupValueInTableNumber(F25, Table_SourceData_Fertiliser_FracGASF[Fertiliser type f],Table_SourceData_Fertiliser_FracGASF[FracGASF f])</f>
        <v>0.05</v>
      </c>
      <c r="H25" s="48" cm="1">
        <f t="array" ref="H25">Fertiliser_Equations_AtmosphericDeposition.VEERG_5_4_1_1__2_MassOfNitrogenVolatilisedFromInorganicFertiliser(E25,G25)</f>
        <v>0</v>
      </c>
    </row>
    <row r="26" spans="1:8" ht="20.100000000000001" customHeight="1" x14ac:dyDescent="0.25">
      <c r="A26" s="24" t="str">
        <f>HYPERLINK("#'Constants - Fuel'!A1", "Constants - Fuel")</f>
        <v>Constants - Fuel</v>
      </c>
      <c r="D26" s="48" t="str">
        <v>Nitrogen - Ammoniacal</v>
      </c>
      <c r="E26" s="48">
        <f>INDEX(Table_MN_j_f,9,4)</f>
        <v>0</v>
      </c>
      <c r="F26" s="48" t="str" cm="1">
        <f t="array" ref="F26">Common_InputFunctions.Utility_LookupValueInTable(D26, Table_Fertiliser_ChemicalCompounds[Fertiliser type f],Table_Fertiliser_ChemicalCompounds[Basis])</f>
        <v>Ammonium-based fertilisers</v>
      </c>
      <c r="G26" s="48" cm="1">
        <f t="array" ref="G26">Common_InputFunctions.Utility_LookupValueInTableNumber(F26, Table_SourceData_Fertiliser_FracGASF[Fertiliser type f],Table_SourceData_Fertiliser_FracGASF[FracGASF f])</f>
        <v>0.08</v>
      </c>
      <c r="H26" s="48" cm="1">
        <f t="array" ref="H26">Fertiliser_Equations_AtmosphericDeposition.VEERG_5_4_1_1__2_MassOfNitrogenVolatilisedFromInorganicFertiliser(E26,G26)</f>
        <v>0</v>
      </c>
    </row>
    <row r="27" spans="1:8" ht="20.100000000000001" customHeight="1" x14ac:dyDescent="0.25">
      <c r="A27" s="24" t="str">
        <f>HYPERLINK("#'Constants - Common'!A1", "Constants - Common")</f>
        <v>Constants - Common</v>
      </c>
      <c r="D27" s="48" t="str">
        <v>Nitrogen - Nitrate</v>
      </c>
      <c r="E27" s="48">
        <f>INDEX(Table_MN_j_f,10,4)</f>
        <v>1980</v>
      </c>
      <c r="F27" s="48" t="str" cm="1">
        <f t="array" ref="F27">Common_InputFunctions.Utility_LookupValueInTable(D27, Table_Fertiliser_ChemicalCompounds[Fertiliser type f],Table_Fertiliser_ChemicalCompounds[Basis])</f>
        <v>Nitrate-based fertilisers</v>
      </c>
      <c r="G27" s="48" cm="1">
        <f t="array" ref="G27">Common_InputFunctions.Utility_LookupValueInTableNumber(F27, Table_SourceData_Fertiliser_FracGASF[Fertiliser type f],Table_SourceData_Fertiliser_FracGASF[FracGASF f])</f>
        <v>0.01</v>
      </c>
      <c r="H27" s="48" cm="1">
        <f t="array" ref="H27">Fertiliser_Equations_AtmosphericDeposition.VEERG_5_4_1_1__2_MassOfNitrogenVolatilisedFromInorganicFertiliser(E27,G27)</f>
        <v>19.8</v>
      </c>
    </row>
    <row r="28" spans="1:8" ht="20.100000000000001" customHeight="1" x14ac:dyDescent="0.25">
      <c r="A28" s="24" t="str">
        <f>HYPERLINK("#'Overview'!A1", "Overview")</f>
        <v>Overview</v>
      </c>
      <c r="D28" s="48" t="str">
        <v>Nitrogen - Generic</v>
      </c>
      <c r="E28" s="48">
        <f>INDEX(Table_MN_j_f,11,4)</f>
        <v>1537.2</v>
      </c>
      <c r="F28" s="48" t="str" cm="1">
        <f t="array" ref="F28">Common_InputFunctions.Utility_LookupValueInTable(D28, Table_Fertiliser_ChemicalCompounds[Fertiliser type f],Table_Fertiliser_ChemicalCompounds[Basis])</f>
        <v>Urea-based fertilisers</v>
      </c>
      <c r="G28" s="48" cm="1">
        <f t="array" ref="G28">Common_InputFunctions.Utility_LookupValueInTableNumber(F28, Table_SourceData_Fertiliser_FracGASF[Fertiliser type f],Table_SourceData_Fertiliser_FracGASF[FracGASF f])</f>
        <v>0.15</v>
      </c>
      <c r="H28" s="48" cm="1">
        <f t="array" ref="H28">Fertiliser_Equations_AtmosphericDeposition.VEERG_5_4_1_1__2_MassOfNitrogenVolatilisedFromInorganicFertiliser(E28,G28)</f>
        <v>230.57999999999998</v>
      </c>
    </row>
    <row r="29" spans="1:8" ht="20.100000000000001" customHeight="1" x14ac:dyDescent="0.25">
      <c r="A29"/>
      <c r="D29" s="48" t="str">
        <v>Phosphorus - Generic</v>
      </c>
      <c r="E29" s="48">
        <f>INDEX(Table_MN_j_f,12,4)</f>
        <v>0</v>
      </c>
      <c r="F29" s="48" t="str" cm="1">
        <f t="array" ref="F29">Common_InputFunctions.Utility_LookupValueInTable(D29, Table_Fertiliser_ChemicalCompounds[Fertiliser type f],Table_Fertiliser_ChemicalCompounds[Basis])</f>
        <v>Other fertilisers</v>
      </c>
      <c r="G29" s="48" cm="1">
        <f t="array" ref="G29">Common_InputFunctions.Utility_LookupValueInTableNumber(F29, Table_SourceData_Fertiliser_FracGASF[Fertiliser type f],Table_SourceData_Fertiliser_FracGASF[FracGASF f])</f>
        <v>0.11</v>
      </c>
      <c r="H29" s="48" cm="1">
        <f t="array" ref="H29">Fertiliser_Equations_AtmosphericDeposition.VEERG_5_4_1_1__2_MassOfNitrogenVolatilisedFromInorganicFertiliser(E29,G29)</f>
        <v>0</v>
      </c>
    </row>
    <row r="30" spans="1:8" ht="20.100000000000001" customHeight="1" x14ac:dyDescent="0.25">
      <c r="A30"/>
      <c r="D30" s="48" t="str">
        <v>Potassium - Generic</v>
      </c>
      <c r="E30" s="48">
        <f>INDEX(Table_MN_j_f,13,4)</f>
        <v>0</v>
      </c>
      <c r="F30" s="48" t="str" cm="1">
        <f t="array" ref="F30">Common_InputFunctions.Utility_LookupValueInTable(D30, Table_Fertiliser_ChemicalCompounds[Fertiliser type f],Table_Fertiliser_ChemicalCompounds[Basis])</f>
        <v>Other fertilisers</v>
      </c>
      <c r="G30" s="48" cm="1">
        <f t="array" ref="G30">Common_InputFunctions.Utility_LookupValueInTableNumber(F30, Table_SourceData_Fertiliser_FracGASF[Fertiliser type f],Table_SourceData_Fertiliser_FracGASF[FracGASF f])</f>
        <v>0.11</v>
      </c>
      <c r="H30" s="48" cm="1">
        <f t="array" ref="H30">Fertiliser_Equations_AtmosphericDeposition.VEERG_5_4_1_1__2_MassOfNitrogenVolatilisedFromInorganicFertiliser(E30,G30)</f>
        <v>0</v>
      </c>
    </row>
    <row r="31" spans="1:8" ht="20.100000000000001" customHeight="1" x14ac:dyDescent="0.25">
      <c r="A31"/>
      <c r="D31" s="48" t="str">
        <v>Sulfur - Generic</v>
      </c>
      <c r="E31" s="48">
        <f>INDEX(Table_MN_j_f,14,4)</f>
        <v>0</v>
      </c>
      <c r="F31" s="48" t="str" cm="1">
        <f t="array" ref="F31">Common_InputFunctions.Utility_LookupValueInTable(D31, Table_Fertiliser_ChemicalCompounds[Fertiliser type f],Table_Fertiliser_ChemicalCompounds[Basis])</f>
        <v>Other fertilisers</v>
      </c>
      <c r="G31" s="48" cm="1">
        <f t="array" ref="G31">Common_InputFunctions.Utility_LookupValueInTableNumber(F31, Table_SourceData_Fertiliser_FracGASF[Fertiliser type f],Table_SourceData_Fertiliser_FracGASF[FracGASF f])</f>
        <v>0.11</v>
      </c>
      <c r="H31" s="48" cm="1">
        <f t="array" ref="H31">Fertiliser_Equations_AtmosphericDeposition.VEERG_5_4_1_1__2_MassOfNitrogenVolatilisedFromInorganicFertiliser(E31,G31)</f>
        <v>0</v>
      </c>
    </row>
    <row r="32" spans="1:8" ht="20.100000000000001" customHeight="1" x14ac:dyDescent="0.25">
      <c r="A32"/>
      <c r="D32" s="48" t="str">
        <v>Zinc - Generic</v>
      </c>
      <c r="E32" s="48">
        <f>INDEX(Table_MN_j_f,15,4)</f>
        <v>0</v>
      </c>
      <c r="F32" s="48" t="str" cm="1">
        <f t="array" ref="F32">Common_InputFunctions.Utility_LookupValueInTable(D32, Table_Fertiliser_ChemicalCompounds[Fertiliser type f],Table_Fertiliser_ChemicalCompounds[Basis])</f>
        <v>Other fertilisers</v>
      </c>
      <c r="G32" s="48" cm="1">
        <f t="array" ref="G32">Common_InputFunctions.Utility_LookupValueInTableNumber(F32, Table_SourceData_Fertiliser_FracGASF[Fertiliser type f],Table_SourceData_Fertiliser_FracGASF[FracGASF f])</f>
        <v>0.11</v>
      </c>
      <c r="H32" s="48" cm="1">
        <f t="array" ref="H32">Fertiliser_Equations_AtmosphericDeposition.VEERG_5_4_1_1__2_MassOfNitrogenVolatilisedFromInorganicFertiliser(E32,G32)</f>
        <v>0</v>
      </c>
    </row>
    <row r="33" spans="1:12" ht="20.100000000000001" customHeight="1" x14ac:dyDescent="0.25">
      <c r="A33"/>
      <c r="D33" s="48" t="str">
        <v>Muriate of potash (MOP)</v>
      </c>
      <c r="E33" s="48">
        <f>INDEX(Table_MN_j_f,16,4)</f>
        <v>0</v>
      </c>
      <c r="F33" s="48" t="str" cm="1">
        <f t="array" ref="F33">Common_InputFunctions.Utility_LookupValueInTable(D33, Table_Fertiliser_ChemicalCompounds[Fertiliser type f],Table_Fertiliser_ChemicalCompounds[Basis])</f>
        <v>Other fertilisers</v>
      </c>
      <c r="G33" s="48" cm="1">
        <f t="array" ref="G33">Common_InputFunctions.Utility_LookupValueInTableNumber(F33, Table_SourceData_Fertiliser_FracGASF[Fertiliser type f],Table_SourceData_Fertiliser_FracGASF[FracGASF f])</f>
        <v>0.11</v>
      </c>
      <c r="H33" s="48" cm="1">
        <f t="array" ref="H33">Fertiliser_Equations_AtmosphericDeposition.VEERG_5_4_1_1__2_MassOfNitrogenVolatilisedFromInorganicFertiliser(E33,G33)</f>
        <v>0</v>
      </c>
    </row>
    <row r="34" spans="1:12" ht="20.100000000000001" customHeight="1" x14ac:dyDescent="0.25">
      <c r="A34"/>
      <c r="D34" s="48" t="str">
        <v>Double superphosphate</v>
      </c>
      <c r="E34" s="48">
        <f>INDEX(Table_MN_j_f,17,4)</f>
        <v>0</v>
      </c>
      <c r="F34" s="48" t="str" cm="1">
        <f t="array" ref="F34">Common_InputFunctions.Utility_LookupValueInTable(D34, Table_Fertiliser_ChemicalCompounds[Fertiliser type f],Table_Fertiliser_ChemicalCompounds[Basis])</f>
        <v>Other fertilisers</v>
      </c>
      <c r="G34" s="48" cm="1">
        <f t="array" ref="G34">Common_InputFunctions.Utility_LookupValueInTableNumber(F34, Table_SourceData_Fertiliser_FracGASF[Fertiliser type f],Table_SourceData_Fertiliser_FracGASF[FracGASF f])</f>
        <v>0.11</v>
      </c>
      <c r="H34" s="48" cm="1">
        <f t="array" ref="H34">Fertiliser_Equations_AtmosphericDeposition.VEERG_5_4_1_1__2_MassOfNitrogenVolatilisedFromInorganicFertiliser(E34,G34)</f>
        <v>0</v>
      </c>
    </row>
    <row r="35" spans="1:12" ht="20.100000000000001" customHeight="1" x14ac:dyDescent="0.25">
      <c r="A35"/>
      <c r="D35" s="48" t="str">
        <v>Single superphosphate (SSP)</v>
      </c>
      <c r="E35" s="48">
        <f>INDEX(Table_MN_j_f,18,4)</f>
        <v>0</v>
      </c>
      <c r="F35" s="48" t="str" cm="1">
        <f t="array" ref="F35">Common_InputFunctions.Utility_LookupValueInTable(D35, Table_Fertiliser_ChemicalCompounds[Fertiliser type f],Table_Fertiliser_ChemicalCompounds[Basis])</f>
        <v>Other fertilisers</v>
      </c>
      <c r="G35" s="48" cm="1">
        <f t="array" ref="G35">Common_InputFunctions.Utility_LookupValueInTableNumber(F35, Table_SourceData_Fertiliser_FracGASF[Fertiliser type f],Table_SourceData_Fertiliser_FracGASF[FracGASF f])</f>
        <v>0.11</v>
      </c>
      <c r="H35" s="48" cm="1">
        <f t="array" ref="H35">Fertiliser_Equations_AtmosphericDeposition.VEERG_5_4_1_1__2_MassOfNitrogenVolatilisedFromInorganicFertiliser(E35,G35)</f>
        <v>0</v>
      </c>
    </row>
    <row r="36" spans="1:12" ht="20.100000000000001" customHeight="1" x14ac:dyDescent="0.25">
      <c r="A36"/>
      <c r="D36" s="48" t="str">
        <v>Ammonia</v>
      </c>
      <c r="E36" s="48">
        <f>INDEX(Table_MN_j_f,19,4)</f>
        <v>4117.5</v>
      </c>
      <c r="F36" s="48" t="str" cm="1">
        <f t="array" ref="F36">Common_InputFunctions.Utility_LookupValueInTable(D36, Table_Fertiliser_ChemicalCompounds[Fertiliser type f],Table_Fertiliser_ChemicalCompounds[Basis])</f>
        <v>Ammonium-based fertilisers</v>
      </c>
      <c r="G36" s="48" cm="1">
        <f t="array" ref="G36">Common_InputFunctions.Utility_LookupValueInTableNumber(F36, Table_SourceData_Fertiliser_FracGASF[Fertiliser type f],Table_SourceData_Fertiliser_FracGASF[FracGASF f])</f>
        <v>0.08</v>
      </c>
      <c r="H36" s="48" cm="1">
        <f t="array" ref="H36">Fertiliser_Equations_AtmosphericDeposition.VEERG_5_4_1_1__2_MassOfNitrogenVolatilisedFromInorganicFertiliser(E36,G36)</f>
        <v>329.40000000000003</v>
      </c>
    </row>
    <row r="37" spans="1:12" ht="20.100000000000001" customHeight="1" x14ac:dyDescent="0.25">
      <c r="A37"/>
      <c r="D37" s="48" t="str">
        <v>Calcium nitrate</v>
      </c>
      <c r="E37" s="48">
        <f>INDEX(Table_MN_j_f,20,4)</f>
        <v>775</v>
      </c>
      <c r="F37" s="48" t="str" cm="1">
        <f t="array" ref="F37">Common_InputFunctions.Utility_LookupValueInTable(D37, Table_Fertiliser_ChemicalCompounds[Fertiliser type f],Table_Fertiliser_ChemicalCompounds[Basis])</f>
        <v>Nitrate-based fertilisers</v>
      </c>
      <c r="G37" s="48" cm="1">
        <f t="array" ref="G37">Common_InputFunctions.Utility_LookupValueInTableNumber(F37, Table_SourceData_Fertiliser_FracGASF[Fertiliser type f],Table_SourceData_Fertiliser_FracGASF[FracGASF f])</f>
        <v>0.01</v>
      </c>
      <c r="H37" s="48"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6"/>
      <c r="D40" s="106"/>
      <c r="E40" s="106"/>
      <c r="F40" s="106"/>
      <c r="G40" s="106"/>
      <c r="H40" s="106"/>
      <c r="I40" s="106"/>
      <c r="J40" s="106"/>
      <c r="K40" s="106"/>
      <c r="L40" s="106"/>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6" t="s">
        <v>161</v>
      </c>
      <c r="E43" s="76"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Fertiliser_Equations_AtmosphericDeposition.VEERG_5_4_1_1__1_InorganicFertiliserAtmosphericDepositionN2OEmissions_Variable()</f>
        <v>E_adinorganic</v>
      </c>
    </row>
    <row r="47" spans="1:12" ht="20.100000000000001" customHeight="1" x14ac:dyDescent="0.25">
      <c r="A47"/>
      <c r="D47" s="63" t="s">
        <v>163</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99" t="str" cm="1">
        <f t="array" ref="D49:E54">_xlfn.CHOOSECOLS(Fertiliser_Equations_AtmosphericDeposition.VEERG_5_4_1_1__1_InorganicFertiliserAtmosphericDepositionN2OEmissions_Arguments(), 1, 2)</f>
        <v>M_volinorganicjf</v>
      </c>
      <c r="E49" s="107" t="str">
        <v>mass of nitrogen volatilised from inorganic fertiliser applied to production system</v>
      </c>
      <c r="F49" s="108"/>
      <c r="G49" s="109"/>
      <c r="H49" s="99" t="str" cm="1">
        <f t="array" ref="H49:I54">_xlfn.CHOOSECOLS(Fertiliser_Equations_AtmosphericDeposition.VEERG_5_4_1_1__1_InorganicFertiliserAtmosphericDepositionN2OEmissions_Arguments(), 3,4)</f>
        <v>kg N</v>
      </c>
      <c r="I49" s="82" t="str">
        <v>Calculated from 5.4.1.1 (2)</v>
      </c>
      <c r="J49" s="85" t="str" cm="1">
        <f t="array" aca="1" ref="J49" ca="1">HYPERLINK(Common_InputFunctions.Utility_SourceHyperlink($D$16),$D$16)</f>
        <v>Table_M_vol_inorganic_j_f</v>
      </c>
    </row>
    <row r="50" spans="1:10" ht="20.100000000000001" customHeight="1" x14ac:dyDescent="0.25">
      <c r="A50"/>
      <c r="D50" s="99" t="str">
        <v>EF_N2Oj</v>
      </c>
      <c r="E50" s="107" t="str">
        <v>emission factor for atmospheric deposition</v>
      </c>
      <c r="F50" s="108"/>
      <c r="G50" s="109"/>
      <c r="H50" s="99" t="str">
        <v>kg N2O-N/kg N</v>
      </c>
      <c r="I50" s="82" t="str">
        <v>Constant</v>
      </c>
      <c r="J50" s="99">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99" t="str">
        <v>C_N2O</v>
      </c>
      <c r="E51" s="107" t="str">
        <v>factor to convert elemental mass of nitrous oxide to molecular mass</v>
      </c>
      <c r="F51" s="108"/>
      <c r="G51" s="109"/>
      <c r="H51" s="99" t="str">
        <v/>
      </c>
      <c r="I51" s="82" t="str">
        <v>Constant</v>
      </c>
      <c r="J51" s="78">
        <f>Common_InputFunctions.Utility_LookupValueInTableNumber("N2O",Table_GasToMolecularConversionFactor[Gas],Table_GasToMolecularConversionFactor[Conversion factor combined])</f>
        <v>1.5714285714285714</v>
      </c>
    </row>
    <row r="52" spans="1:10" ht="20.100000000000001" customHeight="1" x14ac:dyDescent="0.25">
      <c r="A52"/>
      <c r="D52" s="99" t="str">
        <v>j</v>
      </c>
      <c r="E52" s="107" t="str">
        <v>Production system</v>
      </c>
      <c r="F52" s="108"/>
      <c r="G52" s="109"/>
      <c r="H52" s="99" t="str">
        <v/>
      </c>
      <c r="I52" s="81" t="str">
        <v>Input</v>
      </c>
      <c r="J52" s="99" t="str">
        <f>X_Cell_Fertiliser_ProductionSystem</f>
        <v>Crop</v>
      </c>
    </row>
    <row r="53" spans="1:10" ht="20.100000000000001" customHeight="1" x14ac:dyDescent="0.25">
      <c r="A53"/>
      <c r="D53" s="99" t="str">
        <v>ir</v>
      </c>
      <c r="E53" s="107" t="str">
        <v>irrigation method</v>
      </c>
      <c r="F53" s="108"/>
      <c r="G53" s="109"/>
      <c r="H53" s="99" t="str">
        <v/>
      </c>
      <c r="I53" s="81" t="str">
        <v>Input</v>
      </c>
      <c r="J53" s="99" t="str">
        <f>X_Cell_Fertiliser_IrrigationMethod</f>
        <v>Sprinkler irrigation</v>
      </c>
    </row>
    <row r="54" spans="1:10" ht="20.100000000000001" customHeight="1" x14ac:dyDescent="0.25">
      <c r="A54"/>
      <c r="D54" s="99" t="str">
        <v>r</v>
      </c>
      <c r="E54" s="107" t="str">
        <v>rainfall region</v>
      </c>
      <c r="F54" s="108"/>
      <c r="G54" s="109"/>
      <c r="H54" s="99" t="str">
        <v/>
      </c>
      <c r="I54" s="81" t="str">
        <v>Input</v>
      </c>
      <c r="J54" s="99" t="str">
        <f>X_Cell_Site_RainfallZone</f>
        <v>Low rainfall</v>
      </c>
    </row>
    <row r="55" spans="1:10" ht="20.100000000000001" customHeight="1" x14ac:dyDescent="0.25">
      <c r="A55"/>
    </row>
    <row r="56" spans="1:10" ht="20.100000000000001" customHeight="1" x14ac:dyDescent="0.25">
      <c r="A56"/>
      <c r="D56" s="87" t="s">
        <v>229</v>
      </c>
    </row>
    <row r="57" spans="1:10" ht="20.100000000000001" customHeight="1" x14ac:dyDescent="0.25">
      <c r="A57"/>
      <c r="D57" s="88" t="s">
        <v>230</v>
      </c>
    </row>
    <row r="58" spans="1:10" ht="20.100000000000001" customHeight="1" x14ac:dyDescent="0.25">
      <c r="A58"/>
      <c r="D58" s="89" t="s">
        <v>224</v>
      </c>
      <c r="E58" s="113" t="s">
        <v>228</v>
      </c>
      <c r="F58" s="113" t="s">
        <v>231</v>
      </c>
    </row>
    <row r="59" spans="1:10" ht="20.100000000000001" customHeight="1" x14ac:dyDescent="0.25">
      <c r="A59"/>
      <c r="D59" s="48" t="str" cm="1">
        <f t="array" ref="D59:D77">Table_Fertiliser_ChemicalCompounds[Fertiliser type f]</f>
        <v>Monoammonium phosphate (MAP)</v>
      </c>
      <c r="E59" s="48">
        <f t="shared" ref="E59:E77" si="0">H19</f>
        <v>0</v>
      </c>
      <c r="F59" s="48" cm="1">
        <f t="array" ref="F59">Fertiliser_Equations_AtmosphericDeposition.VEERG_5_4_1_1__1_InorganicFertiliserAtmosphericDepositionN2OEmissions(E59,$J$50,$J$51)</f>
        <v>0</v>
      </c>
      <c r="G59" s="28" t="str">
        <f>E47</f>
        <v>t N2O</v>
      </c>
    </row>
    <row r="60" spans="1:10" ht="20.100000000000001" customHeight="1" x14ac:dyDescent="0.25">
      <c r="A60"/>
      <c r="D60" s="48" t="str">
        <v>Diammonium phosphate (DAP)</v>
      </c>
      <c r="E60" s="48">
        <f t="shared" si="0"/>
        <v>0</v>
      </c>
      <c r="F60" s="48" cm="1">
        <f t="array" ref="F60">Fertiliser_Equations_AtmosphericDeposition.VEERG_5_4_1_1__1_InorganicFertiliserAtmosphericDepositionN2OEmissions(E60,$J$50,$J$51)</f>
        <v>0</v>
      </c>
    </row>
    <row r="61" spans="1:10" ht="20.100000000000001" customHeight="1" x14ac:dyDescent="0.25">
      <c r="A61"/>
      <c r="D61" s="48" t="str">
        <v>Urea</v>
      </c>
      <c r="E61" s="48">
        <f t="shared" si="0"/>
        <v>690</v>
      </c>
      <c r="F61" s="48" cm="1">
        <f t="array" ref="F61">Fertiliser_Equations_AtmosphericDeposition.VEERG_5_4_1_1__1_InorganicFertiliserAtmosphericDepositionN2OEmissions(E61,$J$50,$J$51)</f>
        <v>7.5900000000000004E-3</v>
      </c>
    </row>
    <row r="62" spans="1:10" ht="20.100000000000001" customHeight="1" x14ac:dyDescent="0.25">
      <c r="A62"/>
      <c r="D62" s="48" t="str">
        <v>Sulphate of ammonia (SOA)</v>
      </c>
      <c r="E62" s="48">
        <f t="shared" si="0"/>
        <v>0</v>
      </c>
      <c r="F62" s="48" cm="1">
        <f t="array" ref="F62">Fertiliser_Equations_AtmosphericDeposition.VEERG_5_4_1_1__1_InorganicFertiliserAtmosphericDepositionN2OEmissions(E62,$J$50,$J$51)</f>
        <v>0</v>
      </c>
    </row>
    <row r="63" spans="1:10" ht="20.100000000000001" customHeight="1" x14ac:dyDescent="0.25">
      <c r="A63"/>
      <c r="D63" s="48" t="str">
        <v>Urea-ammonium nitrate (UAN)</v>
      </c>
      <c r="E63" s="48">
        <f t="shared" si="0"/>
        <v>0</v>
      </c>
      <c r="F63" s="48" cm="1">
        <f t="array" ref="F63">Fertiliser_Equations_AtmosphericDeposition.VEERG_5_4_1_1__1_InorganicFertiliserAtmosphericDepositionN2OEmissions(E63,$J$50,$J$51)</f>
        <v>0</v>
      </c>
    </row>
    <row r="64" spans="1:10" ht="20.100000000000001" customHeight="1" x14ac:dyDescent="0.25">
      <c r="A64"/>
      <c r="D64" s="48" t="str">
        <v>Ammonium nitrate (AN)</v>
      </c>
      <c r="E64" s="48">
        <f t="shared" si="0"/>
        <v>0</v>
      </c>
      <c r="F64" s="48" cm="1">
        <f t="array" ref="F64">Fertiliser_Equations_AtmosphericDeposition.VEERG_5_4_1_1__1_InorganicFertiliserAtmosphericDepositionN2OEmissions(E64,$J$50,$J$51)</f>
        <v>0</v>
      </c>
    </row>
    <row r="65" spans="1:6" ht="20.100000000000001" customHeight="1" x14ac:dyDescent="0.25">
      <c r="A65"/>
      <c r="D65" s="48" t="str">
        <v>Calcium ammonium nitrate (CAN)</v>
      </c>
      <c r="E65" s="48">
        <f t="shared" si="0"/>
        <v>0</v>
      </c>
      <c r="F65" s="48" cm="1">
        <f t="array" ref="F65">Fertiliser_Equations_AtmosphericDeposition.VEERG_5_4_1_1__1_InorganicFertiliserAtmosphericDepositionN2OEmissions(E65,$J$50,$J$51)</f>
        <v>0</v>
      </c>
    </row>
    <row r="66" spans="1:6" ht="20.100000000000001" customHeight="1" x14ac:dyDescent="0.25">
      <c r="A66"/>
      <c r="D66" s="48" t="str">
        <v>Nitrogen - Ammoniacal</v>
      </c>
      <c r="E66" s="48">
        <f t="shared" si="0"/>
        <v>0</v>
      </c>
      <c r="F66" s="48" cm="1">
        <f t="array" ref="F66">Fertiliser_Equations_AtmosphericDeposition.VEERG_5_4_1_1__1_InorganicFertiliserAtmosphericDepositionN2OEmissions(E66,$J$50,$J$51)</f>
        <v>0</v>
      </c>
    </row>
    <row r="67" spans="1:6" ht="20.100000000000001" customHeight="1" x14ac:dyDescent="0.25">
      <c r="A67"/>
      <c r="D67" s="48" t="str">
        <v>Nitrogen - Nitrate</v>
      </c>
      <c r="E67" s="48">
        <f t="shared" si="0"/>
        <v>19.8</v>
      </c>
      <c r="F67" s="48" cm="1">
        <f t="array" ref="F67">Fertiliser_Equations_AtmosphericDeposition.VEERG_5_4_1_1__1_InorganicFertiliserAtmosphericDepositionN2OEmissions(E67,$J$50,$J$51)</f>
        <v>2.1780000000000001E-4</v>
      </c>
    </row>
    <row r="68" spans="1:6" ht="20.100000000000001" customHeight="1" x14ac:dyDescent="0.25">
      <c r="A68"/>
      <c r="D68" s="48" t="str">
        <v>Nitrogen - Generic</v>
      </c>
      <c r="E68" s="48">
        <f t="shared" si="0"/>
        <v>230.57999999999998</v>
      </c>
      <c r="F68" s="48" cm="1">
        <f t="array" ref="F68">Fertiliser_Equations_AtmosphericDeposition.VEERG_5_4_1_1__1_InorganicFertiliserAtmosphericDepositionN2OEmissions(E68,$J$50,$J$51)</f>
        <v>2.53638E-3</v>
      </c>
    </row>
    <row r="69" spans="1:6" ht="20.100000000000001" customHeight="1" x14ac:dyDescent="0.25">
      <c r="A69"/>
      <c r="D69" s="48" t="str">
        <v>Phosphorus - Generic</v>
      </c>
      <c r="E69" s="48">
        <f t="shared" si="0"/>
        <v>0</v>
      </c>
      <c r="F69" s="48" cm="1">
        <f t="array" ref="F69">Fertiliser_Equations_AtmosphericDeposition.VEERG_5_4_1_1__1_InorganicFertiliserAtmosphericDepositionN2OEmissions(E69,$J$50,$J$51)</f>
        <v>0</v>
      </c>
    </row>
    <row r="70" spans="1:6" ht="20.100000000000001" customHeight="1" x14ac:dyDescent="0.25">
      <c r="A70"/>
      <c r="D70" s="48" t="str">
        <v>Potassium - Generic</v>
      </c>
      <c r="E70" s="48">
        <f t="shared" si="0"/>
        <v>0</v>
      </c>
      <c r="F70" s="48" cm="1">
        <f t="array" ref="F70">Fertiliser_Equations_AtmosphericDeposition.VEERG_5_4_1_1__1_InorganicFertiliserAtmosphericDepositionN2OEmissions(E70,$J$50,$J$51)</f>
        <v>0</v>
      </c>
    </row>
    <row r="71" spans="1:6" ht="20.100000000000001" customHeight="1" x14ac:dyDescent="0.25">
      <c r="A71"/>
      <c r="D71" s="48" t="str">
        <v>Sulfur - Generic</v>
      </c>
      <c r="E71" s="48">
        <f t="shared" si="0"/>
        <v>0</v>
      </c>
      <c r="F71" s="48" cm="1">
        <f t="array" ref="F71">Fertiliser_Equations_AtmosphericDeposition.VEERG_5_4_1_1__1_InorganicFertiliserAtmosphericDepositionN2OEmissions(E71,$J$50,$J$51)</f>
        <v>0</v>
      </c>
    </row>
    <row r="72" spans="1:6" ht="20.100000000000001" customHeight="1" x14ac:dyDescent="0.25">
      <c r="A72"/>
      <c r="D72" s="48" t="str">
        <v>Zinc - Generic</v>
      </c>
      <c r="E72" s="48">
        <f t="shared" si="0"/>
        <v>0</v>
      </c>
      <c r="F72" s="48" cm="1">
        <f t="array" ref="F72">Fertiliser_Equations_AtmosphericDeposition.VEERG_5_4_1_1__1_InorganicFertiliserAtmosphericDepositionN2OEmissions(E72,$J$50,$J$51)</f>
        <v>0</v>
      </c>
    </row>
    <row r="73" spans="1:6" ht="20.100000000000001" customHeight="1" x14ac:dyDescent="0.25">
      <c r="A73"/>
      <c r="D73" s="48" t="str">
        <v>Muriate of potash (MOP)</v>
      </c>
      <c r="E73" s="48">
        <f t="shared" si="0"/>
        <v>0</v>
      </c>
      <c r="F73" s="48" cm="1">
        <f t="array" ref="F73">Fertiliser_Equations_AtmosphericDeposition.VEERG_5_4_1_1__1_InorganicFertiliserAtmosphericDepositionN2OEmissions(E73,$J$50,$J$51)</f>
        <v>0</v>
      </c>
    </row>
    <row r="74" spans="1:6" ht="20.100000000000001" customHeight="1" x14ac:dyDescent="0.25">
      <c r="A74"/>
      <c r="D74" s="48" t="str">
        <v>Double superphosphate</v>
      </c>
      <c r="E74" s="48">
        <f t="shared" si="0"/>
        <v>0</v>
      </c>
      <c r="F74" s="48" cm="1">
        <f t="array" ref="F74">Fertiliser_Equations_AtmosphericDeposition.VEERG_5_4_1_1__1_InorganicFertiliserAtmosphericDepositionN2OEmissions(E74,$J$50,$J$51)</f>
        <v>0</v>
      </c>
    </row>
    <row r="75" spans="1:6" ht="20.100000000000001" customHeight="1" x14ac:dyDescent="0.25">
      <c r="A75"/>
      <c r="D75" s="48" t="str">
        <v>Single superphosphate (SSP)</v>
      </c>
      <c r="E75" s="48">
        <f t="shared" si="0"/>
        <v>0</v>
      </c>
      <c r="F75" s="48" cm="1">
        <f t="array" ref="F75">Fertiliser_Equations_AtmosphericDeposition.VEERG_5_4_1_1__1_InorganicFertiliserAtmosphericDepositionN2OEmissions(E75,$J$50,$J$51)</f>
        <v>0</v>
      </c>
    </row>
    <row r="76" spans="1:6" ht="20.100000000000001" customHeight="1" x14ac:dyDescent="0.25">
      <c r="A76"/>
      <c r="D76" s="48" t="str">
        <v>Ammonia</v>
      </c>
      <c r="E76" s="48">
        <f t="shared" si="0"/>
        <v>329.40000000000003</v>
      </c>
      <c r="F76" s="48" cm="1">
        <f t="array" ref="F76">Fertiliser_Equations_AtmosphericDeposition.VEERG_5_4_1_1__1_InorganicFertiliserAtmosphericDepositionN2OEmissions(E76,$J$50,$J$51)</f>
        <v>3.6234000000000001E-3</v>
      </c>
    </row>
    <row r="77" spans="1:6" ht="20.100000000000001" customHeight="1" x14ac:dyDescent="0.25">
      <c r="A77"/>
      <c r="D77" s="48" t="str">
        <v>Calcium nitrate</v>
      </c>
      <c r="E77" s="48">
        <f t="shared" si="0"/>
        <v>7.75</v>
      </c>
      <c r="F77" s="48"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4" t="s">
        <v>232</v>
      </c>
      <c r="E79" s="95">
        <f>SUM(F59:F77)</f>
        <v>1.4052830000000001E-2</v>
      </c>
      <c r="F79" s="96" t="str">
        <f>$E$47</f>
        <v>t N2O</v>
      </c>
    </row>
    <row r="80" spans="1:6" ht="20.100000000000001" customHeight="1" x14ac:dyDescent="0.25">
      <c r="A80"/>
    </row>
    <row r="81" spans="1:12" ht="20.100000000000001" customHeight="1" x14ac:dyDescent="0.25">
      <c r="A81"/>
      <c r="D81" s="78" t="str" cm="1">
        <f t="array" ref="D81:E82">Common_Equations.Common_ConvertN2OToCO2e_Arguments()</f>
        <v>EN2O</v>
      </c>
      <c r="E81" s="79" t="str">
        <v>Nitrous oxide emissions (t N2O)</v>
      </c>
      <c r="F81" s="97"/>
      <c r="G81" s="48">
        <f>E79</f>
        <v>1.4052830000000001E-2</v>
      </c>
    </row>
    <row r="82" spans="1:12" ht="20.100000000000001" customHeight="1" x14ac:dyDescent="0.25">
      <c r="A82"/>
      <c r="D82" s="78" t="str">
        <v>GWPN2O</v>
      </c>
      <c r="E82" s="79" t="str">
        <v>Global warming potential for nitrous oxide (t CO2-e / t N2O)</v>
      </c>
      <c r="F82" s="97"/>
      <c r="G82" s="48">
        <f>Common_InputFunctions.Utility_LookupValueInTableNumber("N2O",Table_GWPData[Gas],Table_GWPData[CO2-e factor])</f>
        <v>265</v>
      </c>
    </row>
    <row r="83" spans="1:12" ht="20.100000000000001" customHeight="1" x14ac:dyDescent="0.25">
      <c r="A83"/>
    </row>
    <row r="84" spans="1:12" ht="20.100000000000001" customHeight="1" x14ac:dyDescent="0.25">
      <c r="A84"/>
      <c r="D84" s="91" t="s">
        <v>193</v>
      </c>
      <c r="E84" s="91" cm="1">
        <f t="array" ref="E84">Common_Equations.Common_ConvertN2OToCO2e(G81,G82)</f>
        <v>3.7239999500000001</v>
      </c>
      <c r="F84" s="98"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6"/>
      <c r="D87" s="106"/>
      <c r="E87" s="106"/>
      <c r="F87" s="106"/>
      <c r="G87" s="106"/>
      <c r="H87" s="106"/>
      <c r="I87" s="106"/>
      <c r="J87" s="106"/>
      <c r="K87" s="106"/>
      <c r="L87" s="106"/>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6" t="s">
        <v>161</v>
      </c>
      <c r="E90" s="76"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3" t="s">
        <v>162</v>
      </c>
      <c r="E93" s="15" t="str" cm="1">
        <f t="array" ref="E93">Fertiliser_Equations_AtmosphericDeposition.VEERG_5_4_1_3__2_MassOfNitrogenVolatilisedFromOrganicFertiliser_Variable()</f>
        <v>M_volorganicjf</v>
      </c>
    </row>
    <row r="94" spans="1:12" ht="20.100000000000001" customHeight="1" x14ac:dyDescent="0.25">
      <c r="A94"/>
      <c r="D94" s="63" t="s">
        <v>163</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99" t="str" cm="1">
        <f t="array" ref="D96:E97">_xlfn.CHOOSECOLS(Fertiliser_Equations_AtmosphericDeposition.VEERG_5_4_1_3__2_MassOfNitrogenVolatilisedFromOrganicFertiliser_Arguments(), 1, 2)</f>
        <v>MNSoil_jf</v>
      </c>
      <c r="E96" s="99" t="str">
        <v>mass of nitrogen in organic fertiliser type f applied to production system j</v>
      </c>
      <c r="F96" s="99"/>
      <c r="G96" s="99" t="str" cm="1">
        <f t="array" ref="G96:H97">_xlfn.CHOOSECOLS(Fertiliser_Equations_AtmosphericDeposition.VEERG_5_4_1_3__2_MassOfNitrogenVolatilisedFromOrganicFertiliser_Arguments(), 3,4)</f>
        <v>kg N</v>
      </c>
      <c r="H96" s="82" t="str">
        <v>Calculated from 5.2.1.1 (2)</v>
      </c>
      <c r="I96" s="85" t="str" cm="1">
        <f t="array" aca="1" ref="I96" ca="1">HYPERLINK(Common_InputFunctions.Utility_SourceHyperlink($D$99), $D$99)</f>
        <v>Table_M_vol_organic_j_f</v>
      </c>
    </row>
    <row r="97" spans="1:9" ht="20.100000000000001" customHeight="1" x14ac:dyDescent="0.25">
      <c r="A97"/>
      <c r="D97" s="99" t="str">
        <v>FracGASM_soil</v>
      </c>
      <c r="E97" s="99" t="str">
        <v>fraction of organic fertiliser N that volatilises</v>
      </c>
      <c r="F97" s="99"/>
      <c r="G97" s="99" t="str">
        <v>(kg NH3-N + NOx-N)/kg N</v>
      </c>
      <c r="H97" s="82" t="str">
        <v>Constant</v>
      </c>
      <c r="I97" s="99">
        <f>'Constants - Fertiliser'!$E$73</f>
        <v>0.21</v>
      </c>
    </row>
    <row r="98" spans="1:9" ht="20.100000000000001" customHeight="1" x14ac:dyDescent="0.25">
      <c r="A98"/>
    </row>
    <row r="99" spans="1:9" ht="20.100000000000001" customHeight="1" x14ac:dyDescent="0.25">
      <c r="A99"/>
      <c r="D99" s="87" t="s">
        <v>233</v>
      </c>
    </row>
    <row r="100" spans="1:9" ht="20.100000000000001" customHeight="1" x14ac:dyDescent="0.25">
      <c r="A100"/>
      <c r="D100" s="88" t="s">
        <v>234</v>
      </c>
    </row>
    <row r="101" spans="1:9" ht="20.100000000000001" customHeight="1" x14ac:dyDescent="0.25">
      <c r="A101"/>
      <c r="D101" s="90" t="s">
        <v>205</v>
      </c>
      <c r="E101" s="100" t="s">
        <v>209</v>
      </c>
      <c r="F101" s="100" t="s">
        <v>235</v>
      </c>
    </row>
    <row r="102" spans="1:9" ht="20.100000000000001" customHeight="1" x14ac:dyDescent="0.25">
      <c r="A102"/>
      <c r="D102" s="48" t="str" cm="1">
        <f t="array" ref="D102:D104">Table_Input_OrganicFertiliser[Organic fertiliser type (select)]</f>
        <v>Manure - Other</v>
      </c>
      <c r="E102" s="48">
        <f>INDEX(Table_MNSoil_j_f,2,6)</f>
        <v>300</v>
      </c>
      <c r="F102" s="48" cm="1">
        <f t="array" ref="F102">Fertiliser_Equations_AtmosphericDeposition.VEERG_5_4_1_3__2_MassOfNitrogenVolatilisedFromOrganicFertiliser(E102,$I$97)</f>
        <v>63</v>
      </c>
      <c r="G102" s="28" t="str">
        <f>$E$94</f>
        <v>kg N</v>
      </c>
    </row>
    <row r="103" spans="1:9" ht="20.100000000000001" customHeight="1" x14ac:dyDescent="0.25">
      <c r="A103"/>
      <c r="D103" s="48" t="str">
        <v>Manure - Poultry</v>
      </c>
      <c r="E103" s="48">
        <f>INDEX(Table_MNSoil_j_f,3,6)</f>
        <v>250</v>
      </c>
      <c r="F103" s="48" cm="1">
        <f t="array" ref="F103">Fertiliser_Equations_AtmosphericDeposition.VEERG_5_4_1_3__2_MassOfNitrogenVolatilisedFromOrganicFertiliser(E103,$I$97)</f>
        <v>52.5</v>
      </c>
    </row>
    <row r="104" spans="1:9" ht="20.100000000000001" customHeight="1" x14ac:dyDescent="0.25">
      <c r="A104"/>
      <c r="D104" s="48" t="str">
        <v>Other organic fertiliser</v>
      </c>
      <c r="E104" s="48">
        <f>INDEX(Table_MNSoil_j_f,4,6)</f>
        <v>160</v>
      </c>
      <c r="F104" s="48" cm="1">
        <f t="array" ref="F104">Fertiliser_Equations_AtmosphericDeposition.VEERG_5_4_1_3__2_MassOfNitrogenVolatilisedFromOrganicFertiliser(E104,$I$97)</f>
        <v>33.6</v>
      </c>
    </row>
    <row r="105" spans="1:9" ht="20.100000000000001" customHeight="1" x14ac:dyDescent="0.25">
      <c r="A105"/>
      <c r="D105" s="48"/>
      <c r="E105" s="48">
        <f>'5.2.1.1-2 Organic Fert N2O'!I23</f>
        <v>0</v>
      </c>
      <c r="F105" s="48" cm="1">
        <f t="array" ref="F105">Fertiliser_Equations_AtmosphericDeposition.VEERG_5_4_1_3__2_MassOfNitrogenVolatilisedFromOrganicFertiliser(E105,$I$97)</f>
        <v>0</v>
      </c>
    </row>
    <row r="106" spans="1:9" ht="20.100000000000001" customHeight="1" x14ac:dyDescent="0.25">
      <c r="A106"/>
      <c r="D106" s="48"/>
      <c r="E106" s="48">
        <f>'5.2.1.1-2 Organic Fert N2O'!I24</f>
        <v>0</v>
      </c>
      <c r="F106" s="48" cm="1">
        <f t="array" ref="F106">Fertiliser_Equations_AtmosphericDeposition.VEERG_5_4_1_3__2_MassOfNitrogenVolatilisedFromOrganicFertiliser(E106,$I$97)</f>
        <v>0</v>
      </c>
    </row>
    <row r="107" spans="1:9" ht="20.100000000000001" customHeight="1" x14ac:dyDescent="0.25">
      <c r="A107"/>
      <c r="D107" s="48"/>
      <c r="E107" s="48">
        <f>'5.2.1.1-2 Organic Fert N2O'!I25</f>
        <v>0</v>
      </c>
      <c r="F107" s="48" cm="1">
        <f t="array" ref="F107">Fertiliser_Equations_AtmosphericDeposition.VEERG_5_4_1_3__2_MassOfNitrogenVolatilisedFromOrganicFertiliser(E107,$I$97)</f>
        <v>0</v>
      </c>
    </row>
    <row r="108" spans="1:9" ht="20.100000000000001" customHeight="1" x14ac:dyDescent="0.25">
      <c r="A108"/>
      <c r="D108" s="48"/>
      <c r="E108" s="48">
        <f>'5.2.1.1-2 Organic Fert N2O'!I26</f>
        <v>0</v>
      </c>
      <c r="F108" s="48" cm="1">
        <f t="array" ref="F108">Fertiliser_Equations_AtmosphericDeposition.VEERG_5_4_1_3__2_MassOfNitrogenVolatilisedFromOrganicFertiliser(E108,$I$97)</f>
        <v>0</v>
      </c>
    </row>
    <row r="109" spans="1:9" ht="20.100000000000001" customHeight="1" x14ac:dyDescent="0.25">
      <c r="A109"/>
      <c r="D109" s="48"/>
      <c r="E109" s="48">
        <f>'5.2.1.1-2 Organic Fert N2O'!I27</f>
        <v>0</v>
      </c>
      <c r="F109" s="48" cm="1">
        <f t="array" ref="F109">Fertiliser_Equations_AtmosphericDeposition.VEERG_5_4_1_3__2_MassOfNitrogenVolatilisedFromOrganicFertiliser(E109,$I$97)</f>
        <v>0</v>
      </c>
    </row>
    <row r="110" spans="1:9" ht="20.100000000000001" customHeight="1" x14ac:dyDescent="0.25">
      <c r="A110"/>
      <c r="D110" s="48"/>
      <c r="E110" s="48">
        <f>'5.2.1.1-2 Organic Fert N2O'!I28</f>
        <v>0</v>
      </c>
      <c r="F110" s="48" cm="1">
        <f t="array" ref="F110">Fertiliser_Equations_AtmosphericDeposition.VEERG_5_4_1_3__2_MassOfNitrogenVolatilisedFromOrganicFertiliser(E110,$I$97)</f>
        <v>0</v>
      </c>
    </row>
    <row r="111" spans="1:9" ht="20.100000000000001" customHeight="1" x14ac:dyDescent="0.25">
      <c r="A111"/>
      <c r="D111" s="48"/>
      <c r="E111" s="48">
        <f>'5.2.1.1-2 Organic Fert N2O'!I29</f>
        <v>0</v>
      </c>
      <c r="F111" s="48" cm="1">
        <f t="array" ref="F111">Fertiliser_Equations_AtmosphericDeposition.VEERG_5_4_1_3__2_MassOfNitrogenVolatilisedFromOrganicFertiliser(E111,$I$97)</f>
        <v>0</v>
      </c>
    </row>
    <row r="112" spans="1:9" ht="20.100000000000001" customHeight="1" x14ac:dyDescent="0.25">
      <c r="A112"/>
      <c r="D112" s="48"/>
      <c r="E112" s="48">
        <f>'5.2.1.1-2 Organic Fert N2O'!I30</f>
        <v>0</v>
      </c>
      <c r="F112" s="48"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6"/>
      <c r="D115" s="106"/>
      <c r="E115" s="106"/>
      <c r="F115" s="106"/>
      <c r="G115" s="106"/>
      <c r="H115" s="106"/>
      <c r="I115" s="106"/>
      <c r="J115" s="106"/>
      <c r="K115" s="106"/>
      <c r="L115" s="106"/>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6" t="s">
        <v>161</v>
      </c>
      <c r="E118" s="76"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3" t="s">
        <v>162</v>
      </c>
      <c r="E121" s="15" t="str" cm="1">
        <f t="array" ref="E121">Fertiliser_Equations_AtmosphericDeposition.VEERG_5_4_1_3__1_OrganicFertiliserAtmosphericDepositionN2OEmissions_Variable()</f>
        <v>E_adorganic</v>
      </c>
    </row>
    <row r="122" spans="1:12" ht="20.100000000000001" customHeight="1" x14ac:dyDescent="0.25">
      <c r="A122"/>
      <c r="D122" s="63" t="s">
        <v>163</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99" t="str" cm="1">
        <f t="array" ref="D124:E129">_xlfn.CHOOSECOLS(Fertiliser_Equations_AtmosphericDeposition.VEERG_5_4_1_3__1_OrganicFertiliserAtmosphericDepositionN2OEmissions_Arguments(), 1, 2)</f>
        <v>M_volorganicjf</v>
      </c>
      <c r="E124" s="107" t="str">
        <v>mass of nitrogen volatilised from organic fertiliser applied to production system</v>
      </c>
      <c r="F124" s="109"/>
      <c r="G124" s="99" t="str" cm="1">
        <f t="array" ref="G124:H129">_xlfn.CHOOSECOLS(Fertiliser_Equations_AtmosphericDeposition.VEERG_5_4_1_3__1_OrganicFertiliserAtmosphericDepositionN2OEmissions_Arguments(), 3,4)</f>
        <v>kg N</v>
      </c>
      <c r="H124" s="82" t="str">
        <v>Calculated from 5.4.1.3 (2)</v>
      </c>
      <c r="I124" s="85" t="str" cm="1">
        <f t="array" aca="1" ref="I124" ca="1">HYPERLINK(Common_InputFunctions.Utility_SourceHyperlink($D$99), $D$99)</f>
        <v>Table_M_vol_organic_j_f</v>
      </c>
    </row>
    <row r="125" spans="1:12" ht="20.100000000000001" customHeight="1" x14ac:dyDescent="0.25">
      <c r="A125"/>
      <c r="D125" s="99" t="str">
        <v>EF_N2Oj</v>
      </c>
      <c r="E125" s="107" t="str">
        <v>emission factor for atmospheric deposition in production system j</v>
      </c>
      <c r="F125" s="109"/>
      <c r="G125" s="99" t="str">
        <v>kg N2O-N/kg N</v>
      </c>
      <c r="H125" s="82" t="str">
        <v>Constant</v>
      </c>
      <c r="I125" s="99">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99" t="str">
        <v>C_N2O</v>
      </c>
      <c r="E126" s="107" t="str">
        <v>factor to convert elemental mass of nitrous oxide to molecular mass</v>
      </c>
      <c r="F126" s="109"/>
      <c r="G126" s="99" t="str">
        <v/>
      </c>
      <c r="H126" s="82" t="str">
        <v>Constant</v>
      </c>
      <c r="I126" s="78">
        <f>Common_InputFunctions.Utility_LookupValueInTableNumber("N2O",Table_GasToMolecularConversionFactor[Gas],Table_GasToMolecularConversionFactor[Conversion factor combined])</f>
        <v>1.5714285714285714</v>
      </c>
    </row>
    <row r="127" spans="1:12" ht="20.100000000000001" customHeight="1" x14ac:dyDescent="0.25">
      <c r="A127"/>
      <c r="D127" s="99" t="str">
        <v>j</v>
      </c>
      <c r="E127" s="107" t="str">
        <v>Production system</v>
      </c>
      <c r="F127" s="109"/>
      <c r="G127" s="99" t="str">
        <v/>
      </c>
      <c r="H127" s="81" t="str">
        <v>Input</v>
      </c>
      <c r="I127" s="99" t="str">
        <f>X_Cell_Fertiliser_ProductionSystem</f>
        <v>Crop</v>
      </c>
    </row>
    <row r="128" spans="1:12" ht="20.100000000000001" customHeight="1" x14ac:dyDescent="0.25">
      <c r="A128"/>
      <c r="D128" s="99" t="str">
        <v>ir</v>
      </c>
      <c r="E128" s="107" t="str">
        <v>irrigation method</v>
      </c>
      <c r="F128" s="109"/>
      <c r="G128" s="99" t="str">
        <v/>
      </c>
      <c r="H128" s="81" t="str">
        <v>Input</v>
      </c>
      <c r="I128" s="99" t="str">
        <f>X_Cell_Fertiliser_IrrigationMethod</f>
        <v>Sprinkler irrigation</v>
      </c>
    </row>
    <row r="129" spans="1:9" ht="20.100000000000001" customHeight="1" x14ac:dyDescent="0.25">
      <c r="A129"/>
      <c r="D129" s="99" t="str">
        <v>r</v>
      </c>
      <c r="E129" s="107" t="str">
        <v>rainfall region</v>
      </c>
      <c r="F129" s="109"/>
      <c r="G129" s="99" t="str">
        <v/>
      </c>
      <c r="H129" s="81" t="str">
        <v>Input</v>
      </c>
      <c r="I129" s="99" t="str">
        <f>X_Cell_Site_RainfallZone</f>
        <v>Low rainfall</v>
      </c>
    </row>
    <row r="130" spans="1:9" ht="20.100000000000001" customHeight="1" x14ac:dyDescent="0.25">
      <c r="A130"/>
    </row>
    <row r="131" spans="1:9" ht="20.100000000000001" customHeight="1" x14ac:dyDescent="0.25">
      <c r="A131"/>
      <c r="D131" s="87" t="s">
        <v>236</v>
      </c>
    </row>
    <row r="132" spans="1:9" ht="20.100000000000001" customHeight="1" x14ac:dyDescent="0.25">
      <c r="A132"/>
      <c r="D132" s="88" t="s">
        <v>237</v>
      </c>
    </row>
    <row r="133" spans="1:9" ht="20.100000000000001" customHeight="1" x14ac:dyDescent="0.25">
      <c r="A133"/>
      <c r="D133" s="90" t="s">
        <v>205</v>
      </c>
      <c r="E133" s="100" t="s">
        <v>235</v>
      </c>
      <c r="F133" s="100" t="s">
        <v>238</v>
      </c>
    </row>
    <row r="134" spans="1:9" ht="20.100000000000001" customHeight="1" x14ac:dyDescent="0.25">
      <c r="A134"/>
      <c r="D134" s="48" t="str" cm="1">
        <f t="array" ref="D134:D136">Table_Input_OrganicFertiliser[Organic fertiliser type (select)]</f>
        <v>Manure - Other</v>
      </c>
      <c r="E134" s="48">
        <f>F102</f>
        <v>63</v>
      </c>
      <c r="F134" s="48" cm="1">
        <f t="array" ref="F134">Fertiliser_Equations_AtmosphericDeposition.VEERG_5_4_1_3__1_OrganicFertiliserAtmosphericDepositionN2OEmissions(E134,$I$125,$I$126)</f>
        <v>6.9299999999999993E-4</v>
      </c>
    </row>
    <row r="135" spans="1:9" ht="20.100000000000001" customHeight="1" x14ac:dyDescent="0.25">
      <c r="A135"/>
      <c r="D135" s="48" t="str">
        <v>Manure - Poultry</v>
      </c>
      <c r="E135" s="48">
        <f t="shared" ref="E135:E144" si="1">F103</f>
        <v>52.5</v>
      </c>
      <c r="F135" s="48" cm="1">
        <f t="array" ref="F135">Fertiliser_Equations_AtmosphericDeposition.VEERG_5_4_1_3__1_OrganicFertiliserAtmosphericDepositionN2OEmissions(E135,$I$125,$I$126)</f>
        <v>5.775E-4</v>
      </c>
    </row>
    <row r="136" spans="1:9" ht="20.100000000000001" customHeight="1" x14ac:dyDescent="0.25">
      <c r="A136"/>
      <c r="D136" s="48" t="str">
        <v>Other organic fertiliser</v>
      </c>
      <c r="E136" s="48">
        <f t="shared" si="1"/>
        <v>33.6</v>
      </c>
      <c r="F136" s="48" cm="1">
        <f t="array" ref="F136">Fertiliser_Equations_AtmosphericDeposition.VEERG_5_4_1_3__1_OrganicFertiliserAtmosphericDepositionN2OEmissions(E136,$I$125,$I$126)</f>
        <v>3.6960000000000004E-4</v>
      </c>
    </row>
    <row r="137" spans="1:9" ht="20.100000000000001" customHeight="1" x14ac:dyDescent="0.25">
      <c r="A137"/>
      <c r="D137" s="48"/>
      <c r="E137" s="48">
        <f t="shared" si="1"/>
        <v>0</v>
      </c>
      <c r="F137" s="48" cm="1">
        <f t="array" ref="F137">Fertiliser_Equations_AtmosphericDeposition.VEERG_5_4_1_3__1_OrganicFertiliserAtmosphericDepositionN2OEmissions(E137,$I$125,$I$126)</f>
        <v>0</v>
      </c>
    </row>
    <row r="138" spans="1:9" ht="20.100000000000001" customHeight="1" x14ac:dyDescent="0.25">
      <c r="A138"/>
      <c r="D138" s="48"/>
      <c r="E138" s="48">
        <f t="shared" si="1"/>
        <v>0</v>
      </c>
      <c r="F138" s="48" cm="1">
        <f t="array" ref="F138">Fertiliser_Equations_AtmosphericDeposition.VEERG_5_4_1_3__1_OrganicFertiliserAtmosphericDepositionN2OEmissions(E138,$I$125,$I$126)</f>
        <v>0</v>
      </c>
    </row>
    <row r="139" spans="1:9" ht="20.100000000000001" customHeight="1" x14ac:dyDescent="0.25">
      <c r="A139"/>
      <c r="D139" s="48"/>
      <c r="E139" s="48">
        <f t="shared" si="1"/>
        <v>0</v>
      </c>
      <c r="F139" s="48" cm="1">
        <f t="array" ref="F139">Fertiliser_Equations_AtmosphericDeposition.VEERG_5_4_1_3__1_OrganicFertiliserAtmosphericDepositionN2OEmissions(E139,$I$125,$I$126)</f>
        <v>0</v>
      </c>
    </row>
    <row r="140" spans="1:9" ht="20.100000000000001" customHeight="1" x14ac:dyDescent="0.25">
      <c r="A140"/>
      <c r="D140" s="48"/>
      <c r="E140" s="48">
        <f t="shared" si="1"/>
        <v>0</v>
      </c>
      <c r="F140" s="48" cm="1">
        <f t="array" ref="F140">Fertiliser_Equations_AtmosphericDeposition.VEERG_5_4_1_3__1_OrganicFertiliserAtmosphericDepositionN2OEmissions(E140,$I$125,$I$126)</f>
        <v>0</v>
      </c>
    </row>
    <row r="141" spans="1:9" ht="20.100000000000001" customHeight="1" x14ac:dyDescent="0.25">
      <c r="A141"/>
      <c r="D141" s="48"/>
      <c r="E141" s="48">
        <f t="shared" si="1"/>
        <v>0</v>
      </c>
      <c r="F141" s="48" cm="1">
        <f t="array" ref="F141">Fertiliser_Equations_AtmosphericDeposition.VEERG_5_4_1_3__1_OrganicFertiliserAtmosphericDepositionN2OEmissions(E141,$I$125,$I$126)</f>
        <v>0</v>
      </c>
    </row>
    <row r="142" spans="1:9" ht="20.100000000000001" customHeight="1" x14ac:dyDescent="0.25">
      <c r="A142"/>
      <c r="D142" s="48"/>
      <c r="E142" s="48">
        <f t="shared" si="1"/>
        <v>0</v>
      </c>
      <c r="F142" s="48" cm="1">
        <f t="array" ref="F142">Fertiliser_Equations_AtmosphericDeposition.VEERG_5_4_1_3__1_OrganicFertiliserAtmosphericDepositionN2OEmissions(E142,$I$125,$I$126)</f>
        <v>0</v>
      </c>
    </row>
    <row r="143" spans="1:9" ht="20.100000000000001" customHeight="1" x14ac:dyDescent="0.25">
      <c r="A143"/>
      <c r="D143" s="48"/>
      <c r="E143" s="48">
        <f t="shared" si="1"/>
        <v>0</v>
      </c>
      <c r="F143" s="48" cm="1">
        <f t="array" ref="F143">Fertiliser_Equations_AtmosphericDeposition.VEERG_5_4_1_3__1_OrganicFertiliserAtmosphericDepositionN2OEmissions(E143,$I$125,$I$126)</f>
        <v>0</v>
      </c>
    </row>
    <row r="144" spans="1:9" ht="20.100000000000001" customHeight="1" x14ac:dyDescent="0.25">
      <c r="A144"/>
      <c r="D144" s="48"/>
      <c r="E144" s="48">
        <f t="shared" si="1"/>
        <v>0</v>
      </c>
      <c r="F144" s="48"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4" t="s">
        <v>239</v>
      </c>
      <c r="E146" s="95">
        <f>SUM(F134:F144)</f>
        <v>1.6401E-3</v>
      </c>
      <c r="F146" s="96" t="str">
        <f>$E$122</f>
        <v>t N2O</v>
      </c>
    </row>
    <row r="147" spans="1:7" ht="20.100000000000001" customHeight="1" x14ac:dyDescent="0.25">
      <c r="A147"/>
    </row>
    <row r="148" spans="1:7" ht="20.100000000000001" customHeight="1" x14ac:dyDescent="0.25">
      <c r="A148"/>
      <c r="D148" s="78" t="str" cm="1">
        <f t="array" ref="D148:E149">Common_Equations.Common_ConvertN2OToCO2e_Arguments()</f>
        <v>EN2O</v>
      </c>
      <c r="E148" s="79" t="str">
        <v>Nitrous oxide emissions (t N2O)</v>
      </c>
      <c r="F148" s="97"/>
      <c r="G148" s="48">
        <f>E146</f>
        <v>1.6401E-3</v>
      </c>
    </row>
    <row r="149" spans="1:7" ht="20.100000000000001" customHeight="1" x14ac:dyDescent="0.25">
      <c r="A149"/>
      <c r="D149" s="78" t="str">
        <v>GWPN2O</v>
      </c>
      <c r="E149" s="79" t="str">
        <v>Global warming potential for nitrous oxide (t CO2-e / t N2O)</v>
      </c>
      <c r="F149" s="97"/>
      <c r="G149" s="48">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1" t="s">
        <v>193</v>
      </c>
      <c r="E151" s="91" cm="1">
        <f t="array" ref="E151">Common_Equations.Common_ConvertN2OToCO2e(G148,G149)</f>
        <v>0.43462650000000003</v>
      </c>
      <c r="F151" s="98"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56CD8-13DA-40A5-93E8-9570286CD12F}">
  <dimension ref="A1:T165"/>
  <sheetViews>
    <sheetView showGridLines="0" topLeftCell="A17"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240</v>
      </c>
    </row>
    <row r="2" spans="1:20" s="9" customFormat="1" ht="20.100000000000001" customHeight="1" x14ac:dyDescent="0.25">
      <c r="A2"/>
    </row>
    <row r="3" spans="1:20" ht="20.100000000000001" customHeight="1" x14ac:dyDescent="0.25">
      <c r="A3" s="24" t="str">
        <f>HYPERLINK("#'Home'!A1", "Home")</f>
        <v>Home</v>
      </c>
      <c r="C3" s="12"/>
      <c r="D3" s="12" t="s">
        <v>159</v>
      </c>
      <c r="E3" s="12"/>
      <c r="F3" s="12"/>
      <c r="G3" s="12"/>
      <c r="H3" s="12"/>
      <c r="I3" s="12"/>
      <c r="J3" s="12"/>
      <c r="K3" s="12"/>
      <c r="M3" s="12"/>
      <c r="N3" s="12" t="s">
        <v>160</v>
      </c>
      <c r="O3" s="12"/>
      <c r="P3" s="12"/>
      <c r="Q3" s="12"/>
      <c r="R3" s="12"/>
      <c r="S3" s="12"/>
      <c r="T3" s="12"/>
    </row>
    <row r="4" spans="1:20" ht="20.100000000000001" customHeight="1" x14ac:dyDescent="0.25">
      <c r="A4"/>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29" t="s">
        <v>83</v>
      </c>
      <c r="D6" s="18" t="str" cm="1">
        <f t="array" ref="D6">Fertiliser_Equations_LeachingAndRunoff.VEERG_5_5_1_1__2_MassOfNitrogenLeachedFromInorganicFertiliser_Source()</f>
        <v>VEERG 2026: 5.5, Equation (2)</v>
      </c>
    </row>
    <row r="7" spans="1:20" ht="20.100000000000001" customHeight="1" x14ac:dyDescent="0.25">
      <c r="A7" s="24" t="str">
        <f>HYPERLINK("#'Input - Planting'!A1", "Planting")</f>
        <v>Planting</v>
      </c>
      <c r="D7" s="76" t="s">
        <v>161</v>
      </c>
      <c r="E7" s="76" t="str" cm="1">
        <f t="array" aca="1" ref="E7" ca="1">Common_InputFunctions.Utility_DisplayFunctionName(F23)</f>
        <v>=Fertiliser_Equations_LeachingAndRunoff.VEERG_5_5_1_1__2_MassOfNitrogenLeachedFromInorganicFertiliser</v>
      </c>
    </row>
    <row r="8" spans="1:20" ht="20.100000000000001" customHeight="1" x14ac:dyDescent="0.25">
      <c r="A8" s="24" t="str">
        <f>HYPERLINK("#'Input - Fertiliser'!A1", "Fertiliser")</f>
        <v>Fertiliser</v>
      </c>
    </row>
    <row r="9" spans="1:20" ht="20.100000000000001" customHeight="1" x14ac:dyDescent="0.25">
      <c r="A9" s="24" t="str">
        <f>HYPERLINK("#'Input - Fuel'!A1", "Fuel")</f>
        <v>Fuel</v>
      </c>
    </row>
    <row r="10" spans="1:20" ht="20.100000000000001" customHeight="1" x14ac:dyDescent="0.25">
      <c r="A10" s="24" t="str">
        <f>HYPERLINK("#'Input - Site'!A1", "Site")</f>
        <v>Site</v>
      </c>
      <c r="D10" s="63" t="s">
        <v>162</v>
      </c>
      <c r="E10" s="15" t="str" cm="1">
        <f t="array" ref="E10">Fertiliser_Equations_LeachingAndRunoff.VEERG_5_5_1_1__2_MassOfNitrogenLeachedFromInorganicFertiliser_Variable()</f>
        <v>M_leachinorganicj</v>
      </c>
    </row>
    <row r="11" spans="1:20" ht="20.100000000000001" customHeight="1" x14ac:dyDescent="0.25">
      <c r="A11"/>
      <c r="D11" s="63" t="s">
        <v>163</v>
      </c>
      <c r="E11" s="20" t="str" cm="1">
        <f t="array" ref="E11">Fertiliser_Equations_LeachingAndRunoff.VEERG_5_5_1_1__2_MassOfNitrogenLeachedFromInorganicFertiliser_Unit()</f>
        <v>kg N</v>
      </c>
    </row>
    <row r="12" spans="1:20" ht="20.100000000000001" customHeight="1" x14ac:dyDescent="0.25">
      <c r="A12"/>
    </row>
    <row r="13" spans="1:20" ht="20.100000000000001" customHeight="1" x14ac:dyDescent="0.25">
      <c r="A13" s="32" t="s">
        <v>89</v>
      </c>
      <c r="D13" s="99" t="str" cm="1">
        <f t="array" ref="D13:E18">_xlfn.CHOOSECOLS(Fertiliser_Equations_LeachingAndRunoff.VEERG_5_5_1_1__2_MassOfNitrogenLeachedFromInorganicFertiliser_Arguments(), 1, 2)</f>
        <v>MN_jf</v>
      </c>
      <c r="E13" s="107" t="str">
        <v>mass of nitrogen in inorganic fertiliser</v>
      </c>
      <c r="F13" s="109"/>
      <c r="G13" s="99" t="str" cm="1">
        <f t="array" ref="G13:H18">_xlfn.CHOOSECOLS(Fertiliser_Equations_LeachingAndRunoff.VEERG_5_5_1_1__2_MassOfNitrogenLeachedFromInorganicFertiliser_Arguments(), 3,4)</f>
        <v>kg N</v>
      </c>
      <c r="H13" s="82" t="str">
        <v>Calculated from 5.1.1.1 (2)</v>
      </c>
      <c r="I13" s="85" t="str" cm="1">
        <f t="array" aca="1" ref="I13" ca="1">HYPERLINK(Common_InputFunctions.Utility_SourceHyperlink(D20), D20)</f>
        <v>Table_M_leach_inorganic_j</v>
      </c>
    </row>
    <row r="14" spans="1:20" ht="20.100000000000001" customHeight="1" x14ac:dyDescent="0.25">
      <c r="A14" s="24" t="str">
        <f>HYPERLINK("#'5.1.1.1-2 Inorganic fert N2O'!A1", "5.1.1.1-2 Inorganic fert N2O")</f>
        <v>5.1.1.1-2 Inorganic fert N2O</v>
      </c>
      <c r="D14" s="99" t="str">
        <v>FracWETj</v>
      </c>
      <c r="E14" s="107" t="str">
        <v>fraction of N available for leaching and runoff</v>
      </c>
      <c r="F14" s="109"/>
      <c r="G14" s="99" t="str">
        <v>fraction</v>
      </c>
      <c r="H14" s="82" t="str">
        <v>Constant</v>
      </c>
      <c r="I14" s="99">
        <f>Common_InputFunctions.CommonCropping_GetFracWET(I16,I18,#REF!,#REF!,Table_SourceData_FracWETIrrigation[Irrigation type i],Table_SourceData_FracWETIrrigation[FracWET])</f>
        <v>1</v>
      </c>
    </row>
    <row r="15" spans="1:20" ht="20.100000000000001" customHeight="1" x14ac:dyDescent="0.25">
      <c r="A15" s="24" t="str">
        <f>HYPERLINK("#'5.1.1.3-4 Inorganic fert CO2'!A1", "5.1.1.3-4 Inorganic fert CO2")</f>
        <v>5.1.1.3-4 Inorganic fert CO2</v>
      </c>
      <c r="D15" s="99" t="str">
        <v>FracLEACH</v>
      </c>
      <c r="E15" s="107" t="str">
        <v>fraction of N that is lost through leaching and runoff</v>
      </c>
      <c r="F15" s="109"/>
      <c r="G15" s="99" t="str">
        <v>fraction</v>
      </c>
      <c r="H15" s="82" t="str">
        <v>Constant</v>
      </c>
      <c r="I15" s="99">
        <f>'Constants - Fertiliser'!$E$78</f>
        <v>0.24</v>
      </c>
    </row>
    <row r="16" spans="1:20" ht="20.100000000000001" customHeight="1" x14ac:dyDescent="0.25">
      <c r="A16" s="24" t="str">
        <f>HYPERLINK("#'5.2.1.1-2 Organic Fert N2O'!A1", "5.2.1.1-2 Organic fert N2O")</f>
        <v>5.2.1.1-2 Organic fert N2O</v>
      </c>
      <c r="D16" s="99" t="str">
        <v>z</v>
      </c>
      <c r="E16" s="107" t="str">
        <v>location in leaching zone</v>
      </c>
      <c r="F16" s="109"/>
      <c r="G16" s="99" t="str">
        <v/>
      </c>
      <c r="H16" s="81" t="str">
        <v>Input</v>
      </c>
      <c r="I16" s="99" t="str">
        <f>X_Cell_Site_LeachingZone</f>
        <v>NO - Not in leaching zone</v>
      </c>
    </row>
    <row r="17" spans="1:9" ht="20.100000000000001" customHeight="1" x14ac:dyDescent="0.25">
      <c r="A17" s="24" t="str">
        <f>HYPERLINK("#'5.3.1.1-2 Lime CO2'!A1", "5.3.1.1-2 Lime CO2")</f>
        <v>5.3.1.1-2 Lime CO2</v>
      </c>
      <c r="D17" s="99" t="str">
        <v>j</v>
      </c>
      <c r="E17" s="107" t="str">
        <v>production system</v>
      </c>
      <c r="F17" s="109"/>
      <c r="G17" s="99" t="str">
        <v/>
      </c>
      <c r="H17" s="81" t="str">
        <v>Input</v>
      </c>
      <c r="I17" s="99" t="str">
        <f>X_Cell_Fertiliser_ProductionSystem</f>
        <v>Crop</v>
      </c>
    </row>
    <row r="18" spans="1:9" ht="20.100000000000001" customHeight="1" x14ac:dyDescent="0.25">
      <c r="A18" s="24" t="str">
        <f>HYPERLINK("#'5.4.1.1-4 Atmos deposition'!A1", "5.4.1.1-4 Atmos. deposition")</f>
        <v>5.4.1.1-4 Atmos. deposition</v>
      </c>
      <c r="D18" s="99" t="str">
        <v>ir</v>
      </c>
      <c r="E18" s="107" t="str">
        <v>irrigation method</v>
      </c>
      <c r="F18" s="109"/>
      <c r="G18" s="99" t="str">
        <v/>
      </c>
      <c r="H18" s="81" t="str">
        <v>Input</v>
      </c>
      <c r="I18" s="99" t="str">
        <f>X_Cell_Fertiliser_IrrigationMethod</f>
        <v>Sprinkler irrigation</v>
      </c>
    </row>
    <row r="19" spans="1:9" ht="20.100000000000001" customHeight="1" x14ac:dyDescent="0.25">
      <c r="A19" s="77" t="str">
        <f>HYPERLINK("#'5.5.1.1-2 Leaching and runoff'!A1", "5.5.1.1-2 Leaching &amp; runoff")</f>
        <v>5.5.1.1-2 Leaching &amp; runoff</v>
      </c>
    </row>
    <row r="20" spans="1:9" ht="20.100000000000001" customHeight="1" x14ac:dyDescent="0.25">
      <c r="A20" s="24" t="str">
        <f>HYPERLINK("#'8.1.1.1-2 Transport fuel'!A1", "8.1.1.1-2 Transport fuel")</f>
        <v>8.1.1.1-2 Transport fuel</v>
      </c>
      <c r="D20" s="87" t="s">
        <v>241</v>
      </c>
    </row>
    <row r="21" spans="1:9" ht="20.100000000000001" customHeight="1" x14ac:dyDescent="0.25">
      <c r="A21" s="24" t="str">
        <f>HYPERLINK("#'8.2.1.1-2 Stationary fuel'!A1", "8.2.1.1-2 Stationary fuel")</f>
        <v>8.2.1.1-2 Stationary fuel</v>
      </c>
      <c r="D21" s="88" t="s">
        <v>242</v>
      </c>
    </row>
    <row r="22" spans="1:9" ht="20.100000000000001" customHeight="1" x14ac:dyDescent="0.25">
      <c r="A22"/>
      <c r="D22" s="89" t="s">
        <v>167</v>
      </c>
      <c r="E22" s="89" t="s">
        <v>225</v>
      </c>
      <c r="F22" s="89" t="s">
        <v>243</v>
      </c>
    </row>
    <row r="23" spans="1:9" ht="20.100000000000001" customHeight="1" x14ac:dyDescent="0.25">
      <c r="A23"/>
      <c r="D23" s="48" t="str" cm="1">
        <f t="array" ref="D23:D41">Table_Fertiliser_ChemicalCompounds[Fertiliser type f]</f>
        <v>Monoammonium phosphate (MAP)</v>
      </c>
      <c r="E23" s="48">
        <f>INDEX(Table_MN_j_f,2,4)</f>
        <v>0</v>
      </c>
      <c r="F23" s="48" cm="1">
        <f t="array" ref="F23">Fertiliser_Equations_LeachingAndRunoff.VEERG_5_5_1_1__2_MassOfNitrogenLeachedFromInorganicFertiliser(E23, $I$14, $I$15)</f>
        <v>0</v>
      </c>
    </row>
    <row r="24" spans="1:9" ht="20.100000000000001" customHeight="1" x14ac:dyDescent="0.25">
      <c r="A24" s="210" t="s">
        <v>116</v>
      </c>
      <c r="D24" s="48" t="str">
        <v>Diammonium phosphate (DAP)</v>
      </c>
      <c r="E24" s="48">
        <f>INDEX(Table_MN_j_f,3,4)</f>
        <v>0</v>
      </c>
      <c r="F24" s="48" cm="1">
        <f t="array" ref="F24">Fertiliser_Equations_LeachingAndRunoff.VEERG_5_5_1_1__2_MassOfNitrogenLeachedFromInorganicFertiliser(E24, $I$14, $I$15)</f>
        <v>0</v>
      </c>
    </row>
    <row r="25" spans="1:9" ht="20.100000000000001" customHeight="1" x14ac:dyDescent="0.25">
      <c r="A25" s="24" t="str">
        <f>HYPERLINK("#'Constants - Fertiliser'!A1", "Constants - Fertiliser")</f>
        <v>Constants - Fertiliser</v>
      </c>
      <c r="D25" s="48" t="str">
        <v>Urea</v>
      </c>
      <c r="E25" s="48">
        <f>INDEX(Table_MN_j_f,4,4)</f>
        <v>4600</v>
      </c>
      <c r="F25" s="48" cm="1">
        <f t="array" ref="F25">Fertiliser_Equations_LeachingAndRunoff.VEERG_5_5_1_1__2_MassOfNitrogenLeachedFromInorganicFertiliser(E25, $I$14, $I$15)</f>
        <v>1104</v>
      </c>
    </row>
    <row r="26" spans="1:9" ht="20.100000000000001" customHeight="1" x14ac:dyDescent="0.25">
      <c r="A26" s="24" t="str">
        <f>HYPERLINK("#'Constants - Fuel'!A1", "Constants - Fuel")</f>
        <v>Constants - Fuel</v>
      </c>
      <c r="D26" s="48" t="str">
        <v>Sulphate of ammonia (SOA)</v>
      </c>
      <c r="E26" s="48">
        <f>INDEX(Table_MN_j_f,5,4)</f>
        <v>0</v>
      </c>
      <c r="F26" s="48" cm="1">
        <f t="array" ref="F26">Fertiliser_Equations_LeachingAndRunoff.VEERG_5_5_1_1__2_MassOfNitrogenLeachedFromInorganicFertiliser(E26, $I$14, $I$15)</f>
        <v>0</v>
      </c>
    </row>
    <row r="27" spans="1:9" ht="20.100000000000001" customHeight="1" x14ac:dyDescent="0.25">
      <c r="A27" s="24" t="str">
        <f>HYPERLINK("#'Constants - Common'!A1", "Constants - Common")</f>
        <v>Constants - Common</v>
      </c>
      <c r="D27" s="48" t="str">
        <v>Urea-ammonium nitrate (UAN)</v>
      </c>
      <c r="E27" s="48">
        <f>INDEX(Table_MN_j_f,6,4)</f>
        <v>0</v>
      </c>
      <c r="F27" s="48" cm="1">
        <f t="array" ref="F27">Fertiliser_Equations_LeachingAndRunoff.VEERG_5_5_1_1__2_MassOfNitrogenLeachedFromInorganicFertiliser(E27, $I$14, $I$15)</f>
        <v>0</v>
      </c>
    </row>
    <row r="28" spans="1:9" ht="20.100000000000001" customHeight="1" x14ac:dyDescent="0.25">
      <c r="A28" s="24" t="str">
        <f>HYPERLINK("#'Overview'!A1", "Overview")</f>
        <v>Overview</v>
      </c>
      <c r="D28" s="48" t="str">
        <v>Ammonium nitrate (AN)</v>
      </c>
      <c r="E28" s="48">
        <f>INDEX(Table_MN_j_f,7,4)</f>
        <v>0</v>
      </c>
      <c r="F28" s="48" cm="1">
        <f t="array" ref="F28">Fertiliser_Equations_LeachingAndRunoff.VEERG_5_5_1_1__2_MassOfNitrogenLeachedFromInorganicFertiliser(E28, $I$14, $I$15)</f>
        <v>0</v>
      </c>
    </row>
    <row r="29" spans="1:9" ht="20.100000000000001" customHeight="1" x14ac:dyDescent="0.25">
      <c r="A29"/>
      <c r="D29" s="48" t="str">
        <v>Calcium ammonium nitrate (CAN)</v>
      </c>
      <c r="E29" s="48">
        <f>INDEX(Table_MN_j_f,8,4)</f>
        <v>0</v>
      </c>
      <c r="F29" s="48" cm="1">
        <f t="array" ref="F29">Fertiliser_Equations_LeachingAndRunoff.VEERG_5_5_1_1__2_MassOfNitrogenLeachedFromInorganicFertiliser(E29, $I$14, $I$15)</f>
        <v>0</v>
      </c>
    </row>
    <row r="30" spans="1:9" ht="20.100000000000001" customHeight="1" x14ac:dyDescent="0.25">
      <c r="A30"/>
      <c r="D30" s="48" t="str">
        <v>Nitrogen - Ammoniacal</v>
      </c>
      <c r="E30" s="48">
        <f>INDEX(Table_MN_j_f,9,4)</f>
        <v>0</v>
      </c>
      <c r="F30" s="48" cm="1">
        <f t="array" ref="F30">Fertiliser_Equations_LeachingAndRunoff.VEERG_5_5_1_1__2_MassOfNitrogenLeachedFromInorganicFertiliser(E30, $I$14, $I$15)</f>
        <v>0</v>
      </c>
    </row>
    <row r="31" spans="1:9" ht="20.100000000000001" customHeight="1" x14ac:dyDescent="0.25">
      <c r="A31"/>
      <c r="D31" s="48" t="str">
        <v>Nitrogen - Nitrate</v>
      </c>
      <c r="E31" s="48">
        <f>INDEX(Table_MN_j_f,10,4)</f>
        <v>1980</v>
      </c>
      <c r="F31" s="48" cm="1">
        <f t="array" ref="F31">Fertiliser_Equations_LeachingAndRunoff.VEERG_5_5_1_1__2_MassOfNitrogenLeachedFromInorganicFertiliser(E31, $I$14, $I$15)</f>
        <v>475.2</v>
      </c>
    </row>
    <row r="32" spans="1:9" ht="20.100000000000001" customHeight="1" x14ac:dyDescent="0.25">
      <c r="A32"/>
      <c r="D32" s="48" t="str">
        <v>Nitrogen - Generic</v>
      </c>
      <c r="E32" s="48">
        <f>INDEX(Table_MN_j_f,11,4)</f>
        <v>1537.2</v>
      </c>
      <c r="F32" s="48" cm="1">
        <f t="array" ref="F32">Fertiliser_Equations_LeachingAndRunoff.VEERG_5_5_1_1__2_MassOfNitrogenLeachedFromInorganicFertiliser(E32, $I$14, $I$15)</f>
        <v>368.928</v>
      </c>
    </row>
    <row r="33" spans="1:11" ht="20.100000000000001" customHeight="1" x14ac:dyDescent="0.25">
      <c r="A33"/>
      <c r="D33" s="48" t="str">
        <v>Phosphorus - Generic</v>
      </c>
      <c r="E33" s="48">
        <f>INDEX(Table_MN_j_f,12,4)</f>
        <v>0</v>
      </c>
      <c r="F33" s="48" cm="1">
        <f t="array" ref="F33">Fertiliser_Equations_LeachingAndRunoff.VEERG_5_5_1_1__2_MassOfNitrogenLeachedFromInorganicFertiliser(E33, $I$14, $I$15)</f>
        <v>0</v>
      </c>
    </row>
    <row r="34" spans="1:11" ht="20.100000000000001" customHeight="1" x14ac:dyDescent="0.25">
      <c r="A34"/>
      <c r="D34" s="48" t="str">
        <v>Potassium - Generic</v>
      </c>
      <c r="E34" s="48">
        <f>INDEX(Table_MN_j_f,13,4)</f>
        <v>0</v>
      </c>
      <c r="F34" s="48" cm="1">
        <f t="array" ref="F34">Fertiliser_Equations_LeachingAndRunoff.VEERG_5_5_1_1__2_MassOfNitrogenLeachedFromInorganicFertiliser(E34, $I$14, $I$15)</f>
        <v>0</v>
      </c>
    </row>
    <row r="35" spans="1:11" ht="20.100000000000001" customHeight="1" x14ac:dyDescent="0.25">
      <c r="A35"/>
      <c r="D35" s="48" t="str">
        <v>Sulfur - Generic</v>
      </c>
      <c r="E35" s="48">
        <f>INDEX(Table_MN_j_f,14,4)</f>
        <v>0</v>
      </c>
      <c r="F35" s="48" cm="1">
        <f t="array" ref="F35">Fertiliser_Equations_LeachingAndRunoff.VEERG_5_5_1_1__2_MassOfNitrogenLeachedFromInorganicFertiliser(E35, $I$14, $I$15)</f>
        <v>0</v>
      </c>
    </row>
    <row r="36" spans="1:11" ht="20.100000000000001" customHeight="1" x14ac:dyDescent="0.25">
      <c r="A36"/>
      <c r="D36" s="48" t="str">
        <v>Zinc - Generic</v>
      </c>
      <c r="E36" s="48">
        <f>INDEX(Table_MN_j_f,15,4)</f>
        <v>0</v>
      </c>
      <c r="F36" s="48" cm="1">
        <f t="array" ref="F36">Fertiliser_Equations_LeachingAndRunoff.VEERG_5_5_1_1__2_MassOfNitrogenLeachedFromInorganicFertiliser(E36, $I$14, $I$15)</f>
        <v>0</v>
      </c>
    </row>
    <row r="37" spans="1:11" ht="20.100000000000001" customHeight="1" x14ac:dyDescent="0.25">
      <c r="A37"/>
      <c r="D37" s="48" t="str">
        <v>Muriate of potash (MOP)</v>
      </c>
      <c r="E37" s="48">
        <f>INDEX(Table_MN_j_f,16,4)</f>
        <v>0</v>
      </c>
      <c r="F37" s="48" cm="1">
        <f t="array" ref="F37">Fertiliser_Equations_LeachingAndRunoff.VEERG_5_5_1_1__2_MassOfNitrogenLeachedFromInorganicFertiliser(E37, $I$14, $I$15)</f>
        <v>0</v>
      </c>
    </row>
    <row r="38" spans="1:11" ht="20.100000000000001" customHeight="1" x14ac:dyDescent="0.25">
      <c r="A38"/>
      <c r="D38" s="48" t="str">
        <v>Double superphosphate</v>
      </c>
      <c r="E38" s="48">
        <f>INDEX(Table_MN_j_f,17,4)</f>
        <v>0</v>
      </c>
      <c r="F38" s="48" cm="1">
        <f t="array" ref="F38">Fertiliser_Equations_LeachingAndRunoff.VEERG_5_5_1_1__2_MassOfNitrogenLeachedFromInorganicFertiliser(E38, $I$14, $I$15)</f>
        <v>0</v>
      </c>
    </row>
    <row r="39" spans="1:11" ht="20.100000000000001" customHeight="1" x14ac:dyDescent="0.25">
      <c r="A39"/>
      <c r="D39" s="48" t="str">
        <v>Single superphosphate (SSP)</v>
      </c>
      <c r="E39" s="48">
        <f>INDEX(Table_MN_j_f,18,4)</f>
        <v>0</v>
      </c>
      <c r="F39" s="48" cm="1">
        <f t="array" ref="F39">Fertiliser_Equations_LeachingAndRunoff.VEERG_5_5_1_1__2_MassOfNitrogenLeachedFromInorganicFertiliser(E39, $I$14, $I$15)</f>
        <v>0</v>
      </c>
    </row>
    <row r="40" spans="1:11" ht="20.100000000000001" customHeight="1" x14ac:dyDescent="0.25">
      <c r="A40"/>
      <c r="D40" s="48" t="str">
        <v>Ammonia</v>
      </c>
      <c r="E40" s="48">
        <f>INDEX(Table_MN_j_f,19,4)</f>
        <v>4117.5</v>
      </c>
      <c r="F40" s="48" cm="1">
        <f t="array" ref="F40">Fertiliser_Equations_LeachingAndRunoff.VEERG_5_5_1_1__2_MassOfNitrogenLeachedFromInorganicFertiliser(E40, $I$14, $I$15)</f>
        <v>988.19999999999993</v>
      </c>
    </row>
    <row r="41" spans="1:11" ht="20.100000000000001" customHeight="1" x14ac:dyDescent="0.25">
      <c r="A41"/>
      <c r="D41" s="48" t="str">
        <v>Calcium nitrate</v>
      </c>
      <c r="E41" s="48">
        <f>INDEX(Table_MN_j_f,20,4)</f>
        <v>775</v>
      </c>
      <c r="F41" s="48"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4" t="s">
        <v>244</v>
      </c>
      <c r="E43" s="91">
        <f>SUM(F23:F41)</f>
        <v>3122.328</v>
      </c>
      <c r="F43" s="98" t="str">
        <f>$E$11</f>
        <v>kg N</v>
      </c>
    </row>
    <row r="44" spans="1:11" ht="20.100000000000001" customHeight="1" x14ac:dyDescent="0.25">
      <c r="A44"/>
    </row>
    <row r="45" spans="1:11" ht="20.100000000000001" customHeight="1" x14ac:dyDescent="0.25">
      <c r="A45"/>
      <c r="C45" s="114"/>
      <c r="D45" s="114"/>
      <c r="E45" s="114"/>
      <c r="F45" s="114"/>
      <c r="G45" s="114"/>
      <c r="H45" s="114"/>
      <c r="I45" s="114"/>
      <c r="J45" s="114"/>
      <c r="K45" s="114"/>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6" t="s">
        <v>161</v>
      </c>
      <c r="E49" s="76"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3" t="s">
        <v>162</v>
      </c>
      <c r="E52" s="15" t="str" cm="1">
        <f t="array" ref="E52">Fertiliser_Equations_LeachingAndRunoff.VEERG_5_5_1_1__3_MassOfNitrogenLeachedFromOrganicFertiliser_Variable()</f>
        <v>M_leachorganicj</v>
      </c>
    </row>
    <row r="53" spans="1:9" ht="20.100000000000001" customHeight="1" x14ac:dyDescent="0.25">
      <c r="A53"/>
      <c r="D53" s="63" t="s">
        <v>163</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99" t="str" cm="1">
        <f t="array" ref="D55:E60">_xlfn.CHOOSECOLS(Fertiliser_Equations_LeachingAndRunoff.VEERG_5_5_1_1__3_MassOfNitrogenLeachedFromOrganicFertiliser_Arguments(), 1, 2)</f>
        <v>MNSoil_jf</v>
      </c>
      <c r="E55" s="107" t="str">
        <v>mass of nitrogen in organic fertiliser</v>
      </c>
      <c r="F55" s="109"/>
      <c r="G55" s="99" t="str" cm="1">
        <f t="array" ref="G55:H60">_xlfn.CHOOSECOLS(Fertiliser_Equations_LeachingAndRunoff.VEERG_5_5_1_1__3_MassOfNitrogenLeachedFromOrganicFertiliser_Arguments(), 3,4)</f>
        <v>kg N</v>
      </c>
      <c r="H55" s="82" t="str">
        <v>Calculated from 5.2.1.1 (2)</v>
      </c>
      <c r="I55" s="85" t="str" cm="1">
        <f t="array" aca="1" ref="I55" ca="1">HYPERLINK(Common_InputFunctions.Utility_SourceHyperlink(D62), D62)</f>
        <v>Table_M_leach_organic_j</v>
      </c>
    </row>
    <row r="56" spans="1:9" ht="20.100000000000001" customHeight="1" x14ac:dyDescent="0.25">
      <c r="A56"/>
      <c r="D56" s="99" t="str">
        <v>FracWETj</v>
      </c>
      <c r="E56" s="107" t="str">
        <v>fraction of N available for leaching and runoff</v>
      </c>
      <c r="F56" s="109"/>
      <c r="G56" s="99" t="str">
        <v>fraction</v>
      </c>
      <c r="H56" s="82" t="str">
        <v>Constant</v>
      </c>
      <c r="I56" s="99">
        <f>Common_InputFunctions.CommonCropping_GetFracWET(I58,I60,#REF!,#REF!,Table_SourceData_FracWETIrrigation[Irrigation type i],Table_SourceData_FracWETIrrigation[FracWET])</f>
        <v>1</v>
      </c>
    </row>
    <row r="57" spans="1:9" ht="20.100000000000001" customHeight="1" x14ac:dyDescent="0.25">
      <c r="A57"/>
      <c r="D57" s="99" t="str">
        <v>FracLEACH</v>
      </c>
      <c r="E57" s="107" t="str">
        <v>fraction of N that is lost through leaching and runoff</v>
      </c>
      <c r="F57" s="109"/>
      <c r="G57" s="99" t="str">
        <v>fraction</v>
      </c>
      <c r="H57" s="82" t="str">
        <v>Constant</v>
      </c>
      <c r="I57" s="99">
        <f>'Constants - Fertiliser'!$E$78</f>
        <v>0.24</v>
      </c>
    </row>
    <row r="58" spans="1:9" ht="20.100000000000001" customHeight="1" x14ac:dyDescent="0.25">
      <c r="A58"/>
      <c r="D58" s="99" t="str">
        <v>z</v>
      </c>
      <c r="E58" s="107" t="str">
        <v>location in leaching zone</v>
      </c>
      <c r="F58" s="109"/>
      <c r="G58" s="99" t="str">
        <v/>
      </c>
      <c r="H58" s="81" t="str">
        <v>Input</v>
      </c>
      <c r="I58" s="99" t="str">
        <f>X_Cell_Site_LeachingZone</f>
        <v>NO - Not in leaching zone</v>
      </c>
    </row>
    <row r="59" spans="1:9" ht="20.100000000000001" customHeight="1" x14ac:dyDescent="0.25">
      <c r="A59"/>
      <c r="D59" s="99" t="str">
        <v>j</v>
      </c>
      <c r="E59" s="107" t="str">
        <v>production system</v>
      </c>
      <c r="F59" s="109"/>
      <c r="G59" s="99" t="str">
        <v/>
      </c>
      <c r="H59" s="81" t="str">
        <v>Input</v>
      </c>
      <c r="I59" s="99" t="str">
        <f>X_Cell_Fertiliser_ProductionSystem</f>
        <v>Crop</v>
      </c>
    </row>
    <row r="60" spans="1:9" ht="20.100000000000001" customHeight="1" x14ac:dyDescent="0.25">
      <c r="A60"/>
      <c r="D60" s="99" t="str">
        <v>ir</v>
      </c>
      <c r="E60" s="107" t="str">
        <v>irrigation method</v>
      </c>
      <c r="F60" s="109"/>
      <c r="G60" s="99" t="str">
        <v/>
      </c>
      <c r="H60" s="81" t="str">
        <v>Input</v>
      </c>
      <c r="I60" s="99" t="str">
        <f>X_Cell_Fertiliser_IrrigationMethod</f>
        <v>Sprinkler irrigation</v>
      </c>
    </row>
    <row r="61" spans="1:9" ht="20.100000000000001" customHeight="1" x14ac:dyDescent="0.25">
      <c r="A61"/>
    </row>
    <row r="62" spans="1:9" ht="20.100000000000001" customHeight="1" x14ac:dyDescent="0.25">
      <c r="A62"/>
      <c r="D62" s="87" t="s">
        <v>245</v>
      </c>
    </row>
    <row r="63" spans="1:9" ht="20.100000000000001" customHeight="1" x14ac:dyDescent="0.25">
      <c r="A63"/>
      <c r="D63" s="88" t="s">
        <v>246</v>
      </c>
    </row>
    <row r="64" spans="1:9" ht="20.100000000000001" customHeight="1" x14ac:dyDescent="0.25">
      <c r="A64"/>
      <c r="D64" s="90" t="s">
        <v>205</v>
      </c>
      <c r="E64" s="115" t="s">
        <v>209</v>
      </c>
      <c r="F64" s="89" t="s">
        <v>247</v>
      </c>
    </row>
    <row r="65" spans="1:11" ht="20.100000000000001" customHeight="1" x14ac:dyDescent="0.25">
      <c r="A65"/>
      <c r="D65" s="48" t="str">
        <f>INDEX(Table_MNSoil_j_f,2,1)</f>
        <v>Manure - Other</v>
      </c>
      <c r="E65" s="48">
        <f>INDEX(Table_MNSoil_j_f,2,6)</f>
        <v>300</v>
      </c>
      <c r="F65" s="48" cm="1">
        <f t="array" ref="F65">Fertiliser_Equations_LeachingAndRunoff.VEERG_5_5_1_1__3_MassOfNitrogenLeachedFromOrganicFertiliser(E65,$I$56, $I$57)</f>
        <v>72</v>
      </c>
    </row>
    <row r="66" spans="1:11" ht="20.100000000000001" customHeight="1" x14ac:dyDescent="0.25">
      <c r="A66"/>
      <c r="D66" s="48" t="str">
        <f>INDEX(Table_MNSoil_j_f,3,1)</f>
        <v>Manure - Poultry</v>
      </c>
      <c r="E66" s="48">
        <f>INDEX(Table_MNSoil_j_f,3,6)</f>
        <v>250</v>
      </c>
      <c r="F66" s="48" cm="1">
        <f t="array" ref="F66">Fertiliser_Equations_LeachingAndRunoff.VEERG_5_5_1_1__3_MassOfNitrogenLeachedFromOrganicFertiliser(E66,$I$56, $I$57)</f>
        <v>60</v>
      </c>
    </row>
    <row r="67" spans="1:11" ht="20.100000000000001" customHeight="1" x14ac:dyDescent="0.25">
      <c r="A67"/>
      <c r="D67" s="48" t="str">
        <f>INDEX(Table_MNSoil_j_f,4,1)</f>
        <v>Other organic fertiliser</v>
      </c>
      <c r="E67" s="48">
        <f>INDEX(Table_MNSoil_j_f,4,6)</f>
        <v>160</v>
      </c>
      <c r="F67" s="48" cm="1">
        <f t="array" ref="F67">Fertiliser_Equations_LeachingAndRunoff.VEERG_5_5_1_1__3_MassOfNitrogenLeachedFromOrganicFertiliser(E67,$I$56, $I$57)</f>
        <v>38.4</v>
      </c>
    </row>
    <row r="68" spans="1:11" ht="20.100000000000001" customHeight="1" x14ac:dyDescent="0.25">
      <c r="A68"/>
      <c r="D68" s="48">
        <f>'5.2.1.1-2 Organic Fert N2O'!D23</f>
        <v>0</v>
      </c>
      <c r="E68" s="48">
        <f>'5.2.1.1-2 Organic Fert N2O'!I23</f>
        <v>0</v>
      </c>
      <c r="F68" s="48" cm="1">
        <f t="array" ref="F68">Fertiliser_Equations_LeachingAndRunoff.VEERG_5_5_1_1__3_MassOfNitrogenLeachedFromOrganicFertiliser(E68,$I$56, $I$57)</f>
        <v>0</v>
      </c>
    </row>
    <row r="69" spans="1:11" ht="20.100000000000001" customHeight="1" x14ac:dyDescent="0.25">
      <c r="A69"/>
      <c r="D69" s="48">
        <f>'5.2.1.1-2 Organic Fert N2O'!D24</f>
        <v>0</v>
      </c>
      <c r="E69" s="48">
        <f>'5.2.1.1-2 Organic Fert N2O'!I24</f>
        <v>0</v>
      </c>
      <c r="F69" s="48" cm="1">
        <f t="array" ref="F69">Fertiliser_Equations_LeachingAndRunoff.VEERG_5_5_1_1__3_MassOfNitrogenLeachedFromOrganicFertiliser(E69,$I$56, $I$57)</f>
        <v>0</v>
      </c>
    </row>
    <row r="70" spans="1:11" ht="20.100000000000001" customHeight="1" x14ac:dyDescent="0.25">
      <c r="A70"/>
      <c r="D70" s="48">
        <f>'5.2.1.1-2 Organic Fert N2O'!D25</f>
        <v>0</v>
      </c>
      <c r="E70" s="48">
        <f>'5.2.1.1-2 Organic Fert N2O'!I25</f>
        <v>0</v>
      </c>
      <c r="F70" s="48" cm="1">
        <f t="array" ref="F70">Fertiliser_Equations_LeachingAndRunoff.VEERG_5_5_1_1__3_MassOfNitrogenLeachedFromOrganicFertiliser(E70,$I$56, $I$57)</f>
        <v>0</v>
      </c>
    </row>
    <row r="71" spans="1:11" ht="20.100000000000001" customHeight="1" x14ac:dyDescent="0.25">
      <c r="A71"/>
      <c r="D71" s="48">
        <f>'5.2.1.1-2 Organic Fert N2O'!D26</f>
        <v>0</v>
      </c>
      <c r="E71" s="48">
        <f>'5.2.1.1-2 Organic Fert N2O'!I26</f>
        <v>0</v>
      </c>
      <c r="F71" s="48" cm="1">
        <f t="array" ref="F71">Fertiliser_Equations_LeachingAndRunoff.VEERG_5_5_1_1__3_MassOfNitrogenLeachedFromOrganicFertiliser(E71,$I$56, $I$57)</f>
        <v>0</v>
      </c>
    </row>
    <row r="72" spans="1:11" ht="20.100000000000001" customHeight="1" x14ac:dyDescent="0.25">
      <c r="A72"/>
      <c r="D72" s="48">
        <f>'5.2.1.1-2 Organic Fert N2O'!D27</f>
        <v>0</v>
      </c>
      <c r="E72" s="48">
        <f>'5.2.1.1-2 Organic Fert N2O'!I27</f>
        <v>0</v>
      </c>
      <c r="F72" s="48" cm="1">
        <f t="array" ref="F72">Fertiliser_Equations_LeachingAndRunoff.VEERG_5_5_1_1__3_MassOfNitrogenLeachedFromOrganicFertiliser(E72,$I$56, $I$57)</f>
        <v>0</v>
      </c>
    </row>
    <row r="73" spans="1:11" ht="20.100000000000001" customHeight="1" x14ac:dyDescent="0.25">
      <c r="A73"/>
      <c r="D73" s="48">
        <f>'5.2.1.1-2 Organic Fert N2O'!D28</f>
        <v>0</v>
      </c>
      <c r="E73" s="48">
        <f>'5.2.1.1-2 Organic Fert N2O'!I28</f>
        <v>0</v>
      </c>
      <c r="F73" s="48" cm="1">
        <f t="array" ref="F73">Fertiliser_Equations_LeachingAndRunoff.VEERG_5_5_1_1__3_MassOfNitrogenLeachedFromOrganicFertiliser(E73,$I$56, $I$57)</f>
        <v>0</v>
      </c>
    </row>
    <row r="74" spans="1:11" ht="20.100000000000001" customHeight="1" x14ac:dyDescent="0.25">
      <c r="A74"/>
      <c r="D74" s="48">
        <f>'5.2.1.1-2 Organic Fert N2O'!D29</f>
        <v>0</v>
      </c>
      <c r="E74" s="48">
        <f>'5.2.1.1-2 Organic Fert N2O'!I29</f>
        <v>0</v>
      </c>
      <c r="F74" s="48" cm="1">
        <f t="array" ref="F74">Fertiliser_Equations_LeachingAndRunoff.VEERG_5_5_1_1__3_MassOfNitrogenLeachedFromOrganicFertiliser(E74,$I$56, $I$57)</f>
        <v>0</v>
      </c>
    </row>
    <row r="75" spans="1:11" ht="20.100000000000001" customHeight="1" x14ac:dyDescent="0.25">
      <c r="A75"/>
      <c r="D75" s="48">
        <f>'5.2.1.1-2 Organic Fert N2O'!D30</f>
        <v>0</v>
      </c>
      <c r="E75" s="48">
        <f>'5.2.1.1-2 Organic Fert N2O'!I30</f>
        <v>0</v>
      </c>
      <c r="F75" s="48"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4" t="s">
        <v>248</v>
      </c>
      <c r="E77" s="91">
        <f>SUM(F65:F75)</f>
        <v>170.4</v>
      </c>
      <c r="F77" s="98" t="str">
        <f>$E$53</f>
        <v>kg N</v>
      </c>
    </row>
    <row r="78" spans="1:11" ht="20.100000000000001" customHeight="1" x14ac:dyDescent="0.25">
      <c r="A78"/>
    </row>
    <row r="79" spans="1:11" ht="20.100000000000001" customHeight="1" x14ac:dyDescent="0.25">
      <c r="A79"/>
      <c r="C79" s="114"/>
      <c r="D79" s="114"/>
      <c r="E79" s="114"/>
      <c r="F79" s="114"/>
      <c r="G79" s="114"/>
      <c r="H79" s="114"/>
      <c r="I79" s="114"/>
      <c r="J79" s="114"/>
      <c r="K79" s="114"/>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6" t="s">
        <v>161</v>
      </c>
      <c r="E83" s="76" t="str" cm="1">
        <f t="array" aca="1" ref="E83" ca="1">Common_InputFunctions.Utility_DisplayFunctionName(E94)</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3" t="s">
        <v>162</v>
      </c>
      <c r="E86" s="15" t="str" cm="1">
        <f t="array" ref="E86">Fertiliser_Equations_LeachingAndRunoff.VEERG_5_5_1_1__1_FertiliserLeachingAndRunoffN2OEmissions_Variable()</f>
        <v>E_fertleach</v>
      </c>
    </row>
    <row r="87" spans="1:10" ht="20.100000000000001" customHeight="1" x14ac:dyDescent="0.25">
      <c r="A87"/>
      <c r="D87" s="63" t="s">
        <v>163</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99" t="str" cm="1">
        <f t="array" ref="D89:E92">_xlfn.CHOOSECOLS(Fertiliser_Equations_LeachingAndRunoff.VEERG_5_5_1_1__1_FertiliserLeachingAndRunoffN2OEmissions_Arguments(), 1, 2)</f>
        <v>M_leachinorganicj</v>
      </c>
      <c r="E89" s="107" t="str">
        <v>mass of nitrogen lost through leaching and runoff from inorganic fertiliser application in production system j</v>
      </c>
      <c r="F89" s="108"/>
      <c r="G89" s="109"/>
      <c r="H89" s="99" t="str" cm="1">
        <f t="array" ref="H89:I92">_xlfn.CHOOSECOLS(Fertiliser_Equations_LeachingAndRunoff.VEERG_5_5_1_1__1_FertiliserLeachingAndRunoffN2OEmissions_Arguments(), 3,4)</f>
        <v>kg N</v>
      </c>
      <c r="I89" s="82" t="str">
        <v>Calculated from 5.5.1.1 (2)</v>
      </c>
      <c r="J89" s="99">
        <f>$E$43</f>
        <v>3122.328</v>
      </c>
    </row>
    <row r="90" spans="1:10" ht="20.100000000000001" customHeight="1" x14ac:dyDescent="0.25">
      <c r="A90"/>
      <c r="D90" s="99" t="str">
        <v>M_leachorganicj</v>
      </c>
      <c r="E90" s="107" t="str">
        <v>mass of nitrogen lost through leaching and runoff from organic fertiliser application</v>
      </c>
      <c r="F90" s="108"/>
      <c r="G90" s="109"/>
      <c r="H90" s="99" t="str">
        <v>kg N</v>
      </c>
      <c r="I90" s="82" t="str">
        <v>Calculated from 5.5.1.1 (3)</v>
      </c>
      <c r="J90" s="99">
        <f>$E$77</f>
        <v>170.4</v>
      </c>
    </row>
    <row r="91" spans="1:10" ht="20.100000000000001" customHeight="1" x14ac:dyDescent="0.25">
      <c r="A91"/>
      <c r="D91" s="99" t="str">
        <v>EF_leach</v>
      </c>
      <c r="E91" s="107" t="str">
        <v>emission factor for nitrogen leaching and runoff</v>
      </c>
      <c r="F91" s="108"/>
      <c r="G91" s="109"/>
      <c r="H91" s="99" t="str">
        <v>kg N2O-N/kg N</v>
      </c>
      <c r="I91" s="82" t="str">
        <v>Constant</v>
      </c>
      <c r="J91" s="99">
        <f>'Constants - Fertiliser'!$E$83</f>
        <v>1.0999999999999999E-2</v>
      </c>
    </row>
    <row r="92" spans="1:10" ht="20.100000000000001" customHeight="1" x14ac:dyDescent="0.25">
      <c r="A92"/>
      <c r="D92" s="99" t="str">
        <v>C_N2O</v>
      </c>
      <c r="E92" s="107" t="str">
        <v>factor to convert elemental mass of nitrous oxide to molecular mass</v>
      </c>
      <c r="F92" s="108"/>
      <c r="G92" s="109"/>
      <c r="H92" s="99" t="str">
        <v/>
      </c>
      <c r="I92" s="82" t="str">
        <v>Constant</v>
      </c>
      <c r="J92" s="78">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4" t="s">
        <v>249</v>
      </c>
      <c r="E94" s="95" cm="1">
        <f t="array" ref="E94">Fertiliser_Equations_LeachingAndRunoff.VEERG_5_5_1_1__1_FertiliserLeachingAndRunoffN2OEmissions(J89,J90,J91,J92)</f>
        <v>5.6917155428571425E-2</v>
      </c>
      <c r="F94" s="96" t="str">
        <f>$E$87</f>
        <v>t N2O</v>
      </c>
    </row>
    <row r="95" spans="1:10" ht="20.100000000000001" customHeight="1" x14ac:dyDescent="0.25">
      <c r="A95"/>
    </row>
    <row r="96" spans="1:10" ht="20.100000000000001" customHeight="1" x14ac:dyDescent="0.25">
      <c r="A96"/>
      <c r="D96" s="78" t="str" cm="1">
        <f t="array" ref="D96:E97">Common_Equations.Common_ConvertN2OToCO2e_Arguments()</f>
        <v>EN2O</v>
      </c>
      <c r="E96" s="79" t="str">
        <v>Nitrous oxide emissions (t N2O)</v>
      </c>
      <c r="F96" s="97"/>
      <c r="G96" s="48">
        <f>E94</f>
        <v>5.6917155428571425E-2</v>
      </c>
    </row>
    <row r="97" spans="1:7" ht="20.100000000000001" customHeight="1" x14ac:dyDescent="0.25">
      <c r="A97"/>
      <c r="D97" s="78" t="str">
        <v>GWPN2O</v>
      </c>
      <c r="E97" s="79" t="str">
        <v>Global warming potential for nitrous oxide (t CO2-e / t N2O)</v>
      </c>
      <c r="F97" s="97"/>
      <c r="G97" s="48">
        <f>Common_InputFunctions.Utility_LookupValueInTableNumber("N2O",Table_GWPData[Gas],Table_GWPData[CO2-e factor])</f>
        <v>265</v>
      </c>
    </row>
    <row r="98" spans="1:7" ht="20.100000000000001" customHeight="1" x14ac:dyDescent="0.25">
      <c r="A98"/>
    </row>
    <row r="99" spans="1:7" ht="20.100000000000001" customHeight="1" x14ac:dyDescent="0.25">
      <c r="A99"/>
      <c r="D99" s="91" t="s">
        <v>193</v>
      </c>
      <c r="E99" s="91" cm="1">
        <f t="array" ref="E99">Common_Equations.Common_ConvertN2OToCO2e(G96,G97)</f>
        <v>15.083046188571428</v>
      </c>
      <c r="F99" s="98"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F6DD-0A45-4CDE-819E-B7E8DD598358}">
  <dimension ref="A1:R342"/>
  <sheetViews>
    <sheetView showGridLines="0" topLeftCell="A4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311</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3"/>
      <c r="P5" s="103"/>
      <c r="Q5" s="103"/>
    </row>
    <row r="6" spans="1:18" ht="20.100000000000001" customHeight="1" x14ac:dyDescent="0.25">
      <c r="A6" s="29" t="s">
        <v>83</v>
      </c>
      <c r="D6" s="18" t="str" cm="1">
        <f t="array" ref="D6">Fuel_Equations.VEERG_8_1_1_1__1_FuelCombustionTransport_Source()</f>
        <v>VEERG 2026: 8.1.1.1, Equation (1)</v>
      </c>
      <c r="K6" s="18" t="str" cm="1">
        <f t="array" ref="K6">Scope3_Equations.VEERG_15_11_1_1__2_UpstreamTransportFuelEmissions_Source()</f>
        <v>VEERG 2026: 15.11.1.1, Equation (2)</v>
      </c>
      <c r="O6" s="103"/>
      <c r="P6" s="103"/>
      <c r="Q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=Fuel_Equations.VEERG_8_1_1_1__1_FuelCombustionTransport</v>
      </c>
      <c r="K7" s="76" t="s">
        <v>161</v>
      </c>
      <c r="L7" s="76" t="str" cm="1">
        <f t="array" aca="1" ref="L7" ca="1">Common_InputFunctions.Utility_DisplayFunctionName(Q25)</f>
        <v>=Scope3_Equations.VEERG_15_11_1_1__2_UpstreamTransportFuelEmissions</v>
      </c>
      <c r="O7" s="103"/>
      <c r="P7" s="103"/>
      <c r="Q7" s="103"/>
    </row>
    <row r="8" spans="1:18" ht="20.100000000000001" customHeight="1" x14ac:dyDescent="0.25">
      <c r="A8" s="24" t="str">
        <f>HYPERLINK("#'Input - Fertiliser'!A1", "Fertiliser")</f>
        <v>Fertiliser</v>
      </c>
      <c r="E8" s="76"/>
      <c r="L8" s="76"/>
      <c r="O8" s="103"/>
      <c r="P8" s="103"/>
      <c r="Q8" s="103"/>
    </row>
    <row r="9" spans="1:18" ht="20.100000000000001" customHeight="1" x14ac:dyDescent="0.25">
      <c r="A9" s="24" t="str">
        <f>HYPERLINK("#'Input - Fuel'!A1", "Fuel")</f>
        <v>Fuel</v>
      </c>
      <c r="G9" s="18"/>
      <c r="O9" s="103"/>
      <c r="P9" s="103"/>
      <c r="Q9" s="103"/>
    </row>
    <row r="10" spans="1:18" ht="20.100000000000001" customHeight="1" x14ac:dyDescent="0.25">
      <c r="A10" s="24" t="str">
        <f>HYPERLINK("#'Input - Site'!A1", "Site")</f>
        <v>Site</v>
      </c>
      <c r="O10" s="103"/>
      <c r="P10" s="103"/>
      <c r="Q10" s="103"/>
    </row>
    <row r="11" spans="1:18" ht="20.100000000000001" customHeight="1" x14ac:dyDescent="0.25">
      <c r="A11"/>
      <c r="D11" s="63" t="s">
        <v>162</v>
      </c>
      <c r="E11" s="15" t="str" cm="1">
        <f t="array" ref="E11">Fuel_Equations.VEERG_8_1_1_1__1_FuelCombustionTransport_Variable()</f>
        <v>E_g</v>
      </c>
      <c r="K11" s="63" t="s">
        <v>162</v>
      </c>
      <c r="L11" s="15" t="str" cm="1">
        <f t="array" ref="L11">Scope3_Equations.VEERG_15_11_1_1__2_UpstreamTransportFuelEmissions_Variable()</f>
        <v>E_WTTtransq</v>
      </c>
      <c r="O11" s="103"/>
      <c r="P11" s="103"/>
      <c r="Q11" s="103"/>
    </row>
    <row r="12" spans="1:18" ht="20.100000000000001" customHeight="1" x14ac:dyDescent="0.25">
      <c r="A12"/>
      <c r="D12" s="63" t="s">
        <v>163</v>
      </c>
      <c r="E12" s="20" t="str" cm="1">
        <f t="array" ref="E12">Fuel_Equations.VEERG_8_1_1_1__1_FuelCombustionTransport_Unit()</f>
        <v>t CO2-e</v>
      </c>
      <c r="K12" s="63" t="s">
        <v>163</v>
      </c>
      <c r="L12" s="20" t="str" cm="1">
        <f t="array" ref="L12">Scope3_Equations.VEERG_15_11_1_1__2_UpstreamTransportFuelEmissions_Unit()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_xlfn.CHOOSECOLS(Fuel_Equations.VEERG_8_1_1_1__1_FuelCombustionTransport_Arguments(), 1,2)</f>
        <v>Q_Transtq</v>
      </c>
      <c r="E14" s="107" t="str">
        <v>Amount of fuel type q combusted for transport energy purposes</v>
      </c>
      <c r="F14" s="109"/>
      <c r="G14" s="99" t="str" cm="1">
        <f t="array" ref="G14:H20">_xlfn.CHOOSECOLS(Fuel_Equations.VEERG_8_1_1_1__1_FuelCombustionTransport_Arguments(), 3,4)</f>
        <v>Varies based on fuel type: kL, m3, GJ</v>
      </c>
      <c r="H14" s="81" t="str">
        <v>Input</v>
      </c>
      <c r="I14" s="85" t="str" cm="1">
        <f t="array" aca="1" ref="I14" ca="1">HYPERLINK(Common_InputFunctions.Utility_SourceHyperlink($D$22), $D$22)</f>
        <v>Table_E_g</v>
      </c>
      <c r="K14" s="99" t="str" cm="1">
        <f t="array" ref="K14:L16">_xlfn.CHOOSECOLS(Scope3_Equations.VEERG_15_11_1_1__2_UpstreamTransportFuelEmissions_Arguments(),1,2)</f>
        <v>Q_Transq</v>
      </c>
      <c r="L14" s="99" t="str">
        <v>amount of fuel q combusted for transport energy purposes</v>
      </c>
      <c r="M14" s="99"/>
      <c r="N14" s="99" t="str" cm="1">
        <f t="array" ref="N14:O16">_xlfn.CHOOSECOLS(Scope3_Equations.VEERG_15_11_1_1__2_UpstreamTransportFuelEmissions_Arguments(),3,4)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EC_Transq</v>
      </c>
      <c r="E15" s="107" t="str">
        <v>Energy content factor for transport energy purposes</v>
      </c>
      <c r="F15" s="109"/>
      <c r="G15" s="99" t="str">
        <v>GJ / unit of fuel</v>
      </c>
      <c r="H15" s="82" t="str">
        <v>Constant</v>
      </c>
      <c r="I15" s="85" t="str" cm="1">
        <f t="array" aca="1" ref="I15" ca="1">HYPERLINK(Common_InputFunctions.Utility_SourceHyperlink($D$22), $D$22)</f>
        <v>Table_E_g</v>
      </c>
      <c r="K15" s="99" t="str">
        <v>EC_Transq</v>
      </c>
      <c r="L15" s="99" t="str">
        <v>energy content factor for transport energy purposes</v>
      </c>
      <c r="M15" s="99"/>
      <c r="N15" s="99" t="str">
        <v>GJ/kL or GJ/m3</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EF_Trans1tqg</v>
      </c>
      <c r="E16" s="107" t="str">
        <v>Scope 1 emission factor for transport energy purposes for each greenhouse gas</v>
      </c>
      <c r="F16" s="109"/>
      <c r="G16" s="99" t="str">
        <v>kg CO2e / GJ</v>
      </c>
      <c r="H16" s="82" t="str">
        <v>Constant</v>
      </c>
      <c r="I16" s="85" t="str" cm="1">
        <f t="array" aca="1" ref="I16" ca="1">HYPERLINK(Common_InputFunctions.Utility_SourceHyperlink($D$22), $D$22)</f>
        <v>Table_E_g</v>
      </c>
      <c r="K16" s="99" t="str">
        <v>EF_Trans3q</v>
      </c>
      <c r="L16" s="99" t="str">
        <v>scope 3 emission factor for transport energy purposes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P17" s="103"/>
      <c r="Q17" s="103"/>
    </row>
    <row r="18" spans="1:17" ht="20.100000000000001" customHeight="1" x14ac:dyDescent="0.25">
      <c r="A18" s="24" t="str">
        <f>HYPERLINK("#'5.4.1.1-4 Atmos deposition'!A1", "5.4.1.1-4 Atmos. deposition")</f>
        <v>5.4.1.1-4 Atmos. deposition</v>
      </c>
      <c r="D18" s="99" t="str">
        <v>Trans</v>
      </c>
      <c r="E18" s="107" t="str">
        <v>Transport combustion</v>
      </c>
      <c r="F18" s="109"/>
      <c r="G18" s="99" t="str">
        <v/>
      </c>
      <c r="H18" s="82" t="str">
        <v>Constant</v>
      </c>
      <c r="I18" s="85"/>
      <c r="J18" s="103"/>
      <c r="L18" s="103"/>
      <c r="M18" s="103"/>
      <c r="N18" s="103"/>
      <c r="O18" s="103"/>
      <c r="P18" s="103"/>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M19" s="103"/>
      <c r="N19" s="103"/>
      <c r="O19" s="103"/>
      <c r="P19" s="103"/>
      <c r="Q19" s="103"/>
    </row>
    <row r="20" spans="1:17" ht="20.100000000000001" customHeight="1" x14ac:dyDescent="0.25">
      <c r="A20" s="77" t="str">
        <f>HYPERLINK("#'8.1.1.1-2 Transport fuel'!A1", "8.1.1.1-2 Transport fuel")</f>
        <v>8.1.1.1-2 Transport fuel</v>
      </c>
      <c r="D20" s="99" t="str">
        <v>1</v>
      </c>
      <c r="E20" s="107" t="str">
        <v>Scope 1</v>
      </c>
      <c r="F20" s="109"/>
      <c r="G20" s="99" t="str">
        <v/>
      </c>
      <c r="H20" s="82" t="str">
        <v>Constant</v>
      </c>
      <c r="I20" s="85"/>
      <c r="J20" s="103"/>
      <c r="L20" s="103"/>
      <c r="M20" s="103"/>
      <c r="N20" s="103"/>
      <c r="O20" s="103"/>
      <c r="P20" s="103"/>
      <c r="Q20" s="103"/>
    </row>
    <row r="21" spans="1:17" ht="20.100000000000001" customHeight="1" x14ac:dyDescent="0.25">
      <c r="A21" s="24"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313</v>
      </c>
    </row>
    <row r="24" spans="1:17" ht="20.100000000000001" customHeight="1" x14ac:dyDescent="0.25">
      <c r="A24" s="210" t="s">
        <v>116</v>
      </c>
      <c r="D24" s="89" t="s">
        <v>314</v>
      </c>
      <c r="E24" s="89" t="s">
        <v>315</v>
      </c>
      <c r="F24" s="89" t="s">
        <v>316</v>
      </c>
      <c r="G24" s="89" t="s">
        <v>317</v>
      </c>
      <c r="H24" s="89" t="s">
        <v>318</v>
      </c>
      <c r="I24" s="89" t="s">
        <v>319</v>
      </c>
      <c r="J24" s="89" t="s">
        <v>320</v>
      </c>
      <c r="K24" s="89" t="s">
        <v>321</v>
      </c>
      <c r="L24" s="90" t="s">
        <v>322</v>
      </c>
      <c r="M24" s="89" t="s">
        <v>323</v>
      </c>
      <c r="N24" s="89" t="s">
        <v>324</v>
      </c>
      <c r="O24" s="89" t="s">
        <v>325</v>
      </c>
      <c r="P24" s="89" t="s">
        <v>326</v>
      </c>
      <c r="Q24" s="89" t="s">
        <v>327</v>
      </c>
    </row>
    <row r="25" spans="1:17" ht="20.100000000000001" customHeight="1" x14ac:dyDescent="0.25">
      <c r="A25" s="24" t="str">
        <f>HYPERLINK("#'Constants - Fertiliser'!A1", "Constants - Fertiliser")</f>
        <v>Constants - Fertiliser</v>
      </c>
      <c r="D25" s="14" t="str">
        <f>Table_FuelTypesPerUse[[#Headers],[Cars and light commercial vehicles]]</f>
        <v>Cars and light commercial vehicles</v>
      </c>
      <c r="E25" s="125" t="str">
        <f>'Constants - Fuel'!$E$10</f>
        <v>Gasoline</v>
      </c>
      <c r="F25" s="125" t="str">
        <f>'Constants - Fuel'!G131</f>
        <v>Petrol</v>
      </c>
      <c r="G25" s="48" cm="1">
        <f t="array" ref="G25">IFERROR(_xlfn.XLOOKUP(1, (Table_Fuel_EFs_Transport[Fuel combusted]=$E25)*(Table_Fuel_EFs_Transport[Transport type]=$D$25), Table_Fuel_EFs_Transport[Energy Content Factor (GJ per unit of fuel)]), 0)</f>
        <v>34.200000000000003</v>
      </c>
      <c r="H25" s="48" cm="1">
        <f t="array" ref="H25">IFERROR(_xlfn.XLOOKUP(1, (Table_Fuel_EFs_Transport[Fuel combusted]=$E25)*(Table_Fuel_EFs_Transport[Transport type]=$D$25), Table_Fuel_EFs_Transport[Scope 1 Emission Factor (kg CO2 - e / GJ) CO2]), 0)</f>
        <v>67.400000000000006</v>
      </c>
      <c r="I25" s="48" cm="1">
        <f t="array" ref="I25">IFERROR(_xlfn.XLOOKUP(1, (Table_Fuel_EFs_Transport[Fuel combusted]=$E25)*(Table_Fuel_EFs_Transport[Transport type]=$D$25), Table_Fuel_EFs_Transport[Scope 1 Emission Factor (kg CO2 - e / GJ) CH4]), 0)</f>
        <v>0.02</v>
      </c>
      <c r="J25" s="48" cm="1">
        <f t="array" ref="J25">IFERROR(_xlfn.XLOOKUP(1, (Table_Fuel_EFs_Transport[Fuel combusted]=$E25)*(Table_Fuel_EFs_Transport[Transport type]=$D$25), Table_Fuel_EFs_Transport[Scope 1 Emission Factor (kg CO2 - e / GJ) N2O]), 0)</f>
        <v>0.2</v>
      </c>
      <c r="K25" s="48" cm="1">
        <f t="array" ref="K25">IFERROR(_xlfn.XLOOKUP(1, (Table_Fuel_EFs_Transport[Fuel combusted]=$E25)*(Table_Fuel_EFs_Transport[Transport type]=$D$25), Table_Fuel_EFs_Transport[Scope 3 Emission Factor (kg CO2 - e / GJ)]), 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26" cm="1">
        <f t="array" ref="N25">Fuel_Equations.VEERG_8_1_1_1__1_FuelCombustionTransport($L25,$G25,$H25)</f>
        <v>0</v>
      </c>
      <c r="O25" s="126" cm="1">
        <f t="array" ref="O25">Fuel_Equations.VEERG_8_1_1_1__1_FuelCombustionTransport($L25,$G25,$I25)</f>
        <v>0</v>
      </c>
      <c r="P25" s="126" cm="1">
        <f t="array" ref="P25">Fuel_Equations.VEERG_8_1_1_1__1_FuelCombustionTransport($L25,$G25,$J25)</f>
        <v>0</v>
      </c>
      <c r="Q25" s="126" cm="1">
        <f t="array" ref="Q25">Scope3_Equations.VEERG_15_11_1_1__2_UpstreamTransportFuelEmissions(L25,G25,K25)</f>
        <v>0</v>
      </c>
    </row>
    <row r="26" spans="1:17" ht="20.100000000000001" customHeight="1" x14ac:dyDescent="0.25">
      <c r="A26" s="24" t="str">
        <f>HYPERLINK("#'Constants - Fuel'!A1", "Constants - Fuel")</f>
        <v>Constants - Fuel</v>
      </c>
      <c r="D26" s="127" t="str">
        <f t="shared" ref="D26:D32" si="0">$D$25</f>
        <v>Cars and light commercial vehicles</v>
      </c>
      <c r="E26" s="125" t="str">
        <f>'Constants - Fuel'!$E$11</f>
        <v>Diesel oil</v>
      </c>
      <c r="F26" s="125" t="str">
        <f>'Constants - Fuel'!G132</f>
        <v>Diesel</v>
      </c>
      <c r="G26" s="48" cm="1">
        <f t="array" ref="G26">IFERROR(_xlfn.XLOOKUP(1, (Table_Fuel_EFs_Transport[Fuel combusted]=$E26)*(Table_Fuel_EFs_Transport[Transport type]=$D$25), Table_Fuel_EFs_Transport[Energy Content Factor (GJ per unit of fuel)]), 0)</f>
        <v>38.6</v>
      </c>
      <c r="H26" s="48" cm="1">
        <f t="array" ref="H26">IFERROR(_xlfn.XLOOKUP(1, (Table_Fuel_EFs_Transport[Fuel combusted]=$E26)*(Table_Fuel_EFs_Transport[Transport type]=$D$25), Table_Fuel_EFs_Transport[Scope 1 Emission Factor (kg CO2 - e / GJ) CO2]), 0)</f>
        <v>69.900000000000006</v>
      </c>
      <c r="I26" s="48" cm="1">
        <f t="array" ref="I26">IFERROR(_xlfn.XLOOKUP(1, (Table_Fuel_EFs_Transport[Fuel combusted]=$E26)*(Table_Fuel_EFs_Transport[Transport type]=$D$25), Table_Fuel_EFs_Transport[Scope 1 Emission Factor (kg CO2 - e / GJ) CH4]), 0)</f>
        <v>0.01</v>
      </c>
      <c r="J26" s="48" cm="1">
        <f t="array" ref="J26">IFERROR(_xlfn.XLOOKUP(1, (Table_Fuel_EFs_Transport[Fuel combusted]=$E26)*(Table_Fuel_EFs_Transport[Transport type]=$D$25), Table_Fuel_EFs_Transport[Scope 1 Emission Factor (kg CO2 - e / GJ) N2O]), 0)</f>
        <v>0.5</v>
      </c>
      <c r="K26" s="48" cm="1">
        <f t="array" ref="K26">IFERROR(_xlfn.XLOOKUP(1, (Table_Fuel_EFs_Transport[Fuel combusted]=$E26)*(Table_Fuel_EFs_Transport[Transport type]=$D$25), Table_Fuel_EFs_Transport[Scope 3 Emission Factor (kg CO2 - e / GJ)]), 0)</f>
        <v>17.3</v>
      </c>
      <c r="L26" s="111" cm="1">
        <f t="array" ref="L26">Fuel_InputFunctions.Fuel_TotalConsumption(Table_Input_Fuel[Amount consumed], Table_Input_Fuel[Fuel use (select)], D26, Table_Input_Fuel[Fuel type (select)],F26)</f>
        <v>10</v>
      </c>
      <c r="M26" s="111" t="str" cm="1">
        <f t="array" ref="M26">Common_InputFunctions.Utility_LookupValueInTable(F26,Table_FuelTypes_Units[Fuel type],Table_FuelTypes_Units[Unit])</f>
        <v>kL</v>
      </c>
      <c r="N26" s="126" cm="1">
        <f t="array" ref="N26">Fuel_Equations.VEERG_8_1_1_1__1_FuelCombustionTransport($L26,$G26,$H26)</f>
        <v>26.981400000000001</v>
      </c>
      <c r="O26" s="126" cm="1">
        <f t="array" ref="O26">Fuel_Equations.VEERG_8_1_1_1__1_FuelCombustionTransport($L26,$G26,$I26)</f>
        <v>3.8600000000000001E-3</v>
      </c>
      <c r="P26" s="126" cm="1">
        <f t="array" ref="P26">Fuel_Equations.VEERG_8_1_1_1__1_FuelCombustionTransport($L26,$G26,$J26)</f>
        <v>0.193</v>
      </c>
      <c r="Q26" s="126" cm="1">
        <f t="array" ref="Q26">Scope3_Equations.VEERG_15_11_1_1__2_UpstreamTransportFuelEmissions(L26,G26,K26)</f>
        <v>6.6778000000000004</v>
      </c>
    </row>
    <row r="27" spans="1:17" ht="20.100000000000001" customHeight="1" x14ac:dyDescent="0.25">
      <c r="A27" s="24" t="str">
        <f>HYPERLINK("#'Constants - Common'!A1", "Constants - Common")</f>
        <v>Constants - Common</v>
      </c>
      <c r="D27" s="127" t="str">
        <f t="shared" si="0"/>
        <v>Cars and light commercial vehicles</v>
      </c>
      <c r="E27" s="125" t="str">
        <f>'Constants - Fuel'!$E$12</f>
        <v>Liquefied petroleum gas (LPG)</v>
      </c>
      <c r="F27" s="125" t="str">
        <f>'Constants - Fuel'!G133</f>
        <v>Liquefied petroleum gas (LPG)</v>
      </c>
      <c r="G27" s="48" cm="1">
        <f t="array" ref="G27">IFERROR(_xlfn.XLOOKUP(1, (Table_Fuel_EFs_Transport[Fuel combusted]=$E27)*(Table_Fuel_EFs_Transport[Transport type]=$D$25), Table_Fuel_EFs_Transport[Energy Content Factor (GJ per unit of fuel)]), 0)</f>
        <v>26.2</v>
      </c>
      <c r="H27" s="48" cm="1">
        <f t="array" ref="H27">IFERROR(_xlfn.XLOOKUP(1, (Table_Fuel_EFs_Transport[Fuel combusted]=$E27)*(Table_Fuel_EFs_Transport[Transport type]=$D$25), Table_Fuel_EFs_Transport[Scope 1 Emission Factor (kg CO2 - e / GJ) CO2]), 0)</f>
        <v>60.2</v>
      </c>
      <c r="I27" s="48" cm="1">
        <f t="array" ref="I27">IFERROR(_xlfn.XLOOKUP(1, (Table_Fuel_EFs_Transport[Fuel combusted]=$E27)*(Table_Fuel_EFs_Transport[Transport type]=$D$25), Table_Fuel_EFs_Transport[Scope 1 Emission Factor (kg CO2 - e / GJ) CH4]), 0)</f>
        <v>0.5</v>
      </c>
      <c r="J27" s="48" cm="1">
        <f t="array" ref="J27">IFERROR(_xlfn.XLOOKUP(1, (Table_Fuel_EFs_Transport[Fuel combusted]=$E27)*(Table_Fuel_EFs_Transport[Transport type]=$D$25), Table_Fuel_EFs_Transport[Scope 1 Emission Factor (kg CO2 - e / GJ) N2O]), 0)</f>
        <v>0.3</v>
      </c>
      <c r="K27" s="48" cm="1">
        <f t="array" ref="K27">IFERROR(_xlfn.XLOOKUP(1, (Table_Fuel_EFs_Transport[Fuel combusted]=$E27)*(Table_Fuel_EFs_Transport[Transport type]=$D$25), Table_Fuel_EFs_Transport[Scope 3 Emission Factor (kg CO2 - e / GJ)]), 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26" cm="1">
        <f t="array" ref="N27">Fuel_Equations.VEERG_8_1_1_1__1_FuelCombustionTransport($L27,$G27,$H27)</f>
        <v>0</v>
      </c>
      <c r="O27" s="126" cm="1">
        <f t="array" ref="O27">Fuel_Equations.VEERG_8_1_1_1__1_FuelCombustionTransport($L27,$G27,$I27)</f>
        <v>0</v>
      </c>
      <c r="P27" s="126" cm="1">
        <f t="array" ref="P27">Fuel_Equations.VEERG_8_1_1_1__1_FuelCombustionTransport($L27,$G27,$J27)</f>
        <v>0</v>
      </c>
      <c r="Q27" s="126" cm="1">
        <f t="array" ref="Q27">Scope3_Equations.VEERG_15_11_1_1__2_UpstreamTransportFuelEmissions(L27,G27,K27)</f>
        <v>0</v>
      </c>
    </row>
    <row r="28" spans="1:17" ht="20.100000000000001" customHeight="1" x14ac:dyDescent="0.25">
      <c r="A28" s="24" t="str">
        <f>HYPERLINK("#'Overview'!A1", "Overview")</f>
        <v>Overview</v>
      </c>
      <c r="D28" s="127" t="str">
        <f t="shared" si="0"/>
        <v>Cars and light commercial vehicles</v>
      </c>
      <c r="E28" s="125" t="str">
        <f>'Constants - Fuel'!$E$13</f>
        <v>Fuel oil</v>
      </c>
      <c r="F28" s="125" t="str">
        <f>'Constants - Fuel'!G134</f>
        <v>Fuel oil</v>
      </c>
      <c r="G28" s="48" cm="1">
        <f t="array" ref="G28">IFERROR(_xlfn.XLOOKUP(1, (Table_Fuel_EFs_Transport[Fuel combusted]=$E28)*(Table_Fuel_EFs_Transport[Transport type]=$D$25), Table_Fuel_EFs_Transport[Energy Content Factor (GJ per unit of fuel)]), 0)</f>
        <v>39.700000000000003</v>
      </c>
      <c r="H28" s="48" cm="1">
        <f t="array" ref="H28">IFERROR(_xlfn.XLOOKUP(1, (Table_Fuel_EFs_Transport[Fuel combusted]=$E28)*(Table_Fuel_EFs_Transport[Transport type]=$D$25), Table_Fuel_EFs_Transport[Scope 1 Emission Factor (kg CO2 - e / GJ) CO2]), 0)</f>
        <v>73.599999999999994</v>
      </c>
      <c r="I28" s="48" cm="1">
        <f t="array" ref="I28">IFERROR(_xlfn.XLOOKUP(1, (Table_Fuel_EFs_Transport[Fuel combusted]=$E28)*(Table_Fuel_EFs_Transport[Transport type]=$D$25), Table_Fuel_EFs_Transport[Scope 1 Emission Factor (kg CO2 - e / GJ) CH4]), 0)</f>
        <v>0.08</v>
      </c>
      <c r="J28" s="48" cm="1">
        <f t="array" ref="J28">IFERROR(_xlfn.XLOOKUP(1, (Table_Fuel_EFs_Transport[Fuel combusted]=$E28)*(Table_Fuel_EFs_Transport[Transport type]=$D$25), Table_Fuel_EFs_Transport[Scope 1 Emission Factor (kg CO2 - e / GJ) N2O]), 0)</f>
        <v>0.5</v>
      </c>
      <c r="K28" s="48" cm="1">
        <f t="array" ref="K28">IFERROR(_xlfn.XLOOKUP(1, (Table_Fuel_EFs_Transport[Fuel combusted]=$E28)*(Table_Fuel_EFs_Transport[Transport type]=$D$25), Table_Fuel_EFs_Transport[Scope 3 Emission Factor (kg CO2 - e / GJ)]), 0)</f>
        <v>18</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26" cm="1">
        <f t="array" ref="N28">Fuel_Equations.VEERG_8_1_1_1__1_FuelCombustionTransport($L28,$G28,$H28)</f>
        <v>0</v>
      </c>
      <c r="O28" s="126" cm="1">
        <f t="array" ref="O28">Fuel_Equations.VEERG_8_1_1_1__1_FuelCombustionTransport($L28,$G28,$I28)</f>
        <v>0</v>
      </c>
      <c r="P28" s="126" cm="1">
        <f t="array" ref="P28">Fuel_Equations.VEERG_8_1_1_1__1_FuelCombustionTransport($L28,$G28,$J28)</f>
        <v>0</v>
      </c>
      <c r="Q28" s="126" cm="1">
        <f t="array" ref="Q28">Scope3_Equations.VEERG_15_11_1_1__2_UpstreamTransportFuelEmissions(L28,G28,K28)</f>
        <v>0</v>
      </c>
    </row>
    <row r="29" spans="1:17" ht="20.100000000000001" customHeight="1" x14ac:dyDescent="0.25">
      <c r="A29"/>
      <c r="D29" s="127" t="str">
        <f t="shared" si="0"/>
        <v>Cars and light commercial vehicles</v>
      </c>
      <c r="E29" s="125" t="str">
        <f>'Constants - Fuel'!$E$14</f>
        <v>Ethanol</v>
      </c>
      <c r="F29" s="125" t="str">
        <f>'Constants - Fuel'!G135</f>
        <v>Ethanol</v>
      </c>
      <c r="G29" s="48" cm="1">
        <f t="array" ref="G29">IFERROR(_xlfn.XLOOKUP(1, (Table_Fuel_EFs_Transport[Fuel combusted]=$E29)*(Table_Fuel_EFs_Transport[Transport type]=$D$25), Table_Fuel_EFs_Transport[Energy Content Factor (GJ per unit of fuel)]), 0)</f>
        <v>23.4</v>
      </c>
      <c r="H29" s="48" cm="1">
        <f t="array" ref="H29">IFERROR(_xlfn.XLOOKUP(1, (Table_Fuel_EFs_Transport[Fuel combusted]=$E29)*(Table_Fuel_EFs_Transport[Transport type]=$D$25), Table_Fuel_EFs_Transport[Scope 1 Emission Factor (kg CO2 - e / GJ) CO2]), 0)</f>
        <v>0</v>
      </c>
      <c r="I29" s="48" cm="1">
        <f t="array" ref="I29">IFERROR(_xlfn.XLOOKUP(1, (Table_Fuel_EFs_Transport[Fuel combusted]=$E29)*(Table_Fuel_EFs_Transport[Transport type]=$D$25), Table_Fuel_EFs_Transport[Scope 1 Emission Factor (kg CO2 - e / GJ) CH4]), 0)</f>
        <v>0.2</v>
      </c>
      <c r="J29" s="48" cm="1">
        <f t="array" ref="J29">IFERROR(_xlfn.XLOOKUP(1, (Table_Fuel_EFs_Transport[Fuel combusted]=$E29)*(Table_Fuel_EFs_Transport[Transport type]=$D$25), Table_Fuel_EFs_Transport[Scope 1 Emission Factor (kg CO2 - e / GJ) N2O]), 0)</f>
        <v>0.2</v>
      </c>
      <c r="K29" s="48" t="str" cm="1">
        <f t="array" ref="K29">IFERROR(_xlfn.XLOOKUP(1, (Table_Fuel_EFs_Transport[Fuel combusted]=$E29)*(Table_Fuel_EFs_Transport[Transport type]=$D$25), Table_Fuel_EFs_Transport[Scope 3 Emission Factor (kg CO2 - e / GJ)]), 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26" cm="1">
        <f t="array" ref="N29">Fuel_Equations.VEERG_8_1_1_1__1_FuelCombustionTransport($L29,$G29,$H29)</f>
        <v>0</v>
      </c>
      <c r="O29" s="126" cm="1">
        <f t="array" ref="O29">Fuel_Equations.VEERG_8_1_1_1__1_FuelCombustionTransport($L29,$G29,$I29)</f>
        <v>0</v>
      </c>
      <c r="P29" s="126" cm="1">
        <f t="array" ref="P29">Fuel_Equations.VEERG_8_1_1_1__1_FuelCombustionTransport($L29,$G29,$J29)</f>
        <v>0</v>
      </c>
      <c r="Q29" s="126" cm="1">
        <f t="array" ref="Q29">Scope3_Equations.VEERG_15_11_1_1__2_UpstreamTransportFuelEmissions(L29,G29,IF(ISNUMBER(K29),K29,0))</f>
        <v>0</v>
      </c>
    </row>
    <row r="30" spans="1:17" ht="20.100000000000001" customHeight="1" x14ac:dyDescent="0.25">
      <c r="A30"/>
      <c r="D30" s="127" t="str">
        <f t="shared" si="0"/>
        <v>Cars and light commercial vehicles</v>
      </c>
      <c r="E30" s="125" t="str">
        <f>'Constants - Fuel'!$E$15</f>
        <v>Biodiesel</v>
      </c>
      <c r="F30" s="125" t="str">
        <f>'Constants - Fuel'!G136</f>
        <v>Biodiesel</v>
      </c>
      <c r="G30" s="48" cm="1">
        <f t="array" ref="G30">IFERROR(_xlfn.XLOOKUP(1, (Table_Fuel_EFs_Transport[Fuel combusted]=$E30)*(Table_Fuel_EFs_Transport[Transport type]=$D$25), Table_Fuel_EFs_Transport[Energy Content Factor (GJ per unit of fuel)]), 0)</f>
        <v>34.6</v>
      </c>
      <c r="H30" s="48" cm="1">
        <f t="array" ref="H30">IFERROR(_xlfn.XLOOKUP(1, (Table_Fuel_EFs_Transport[Fuel combusted]=$E30)*(Table_Fuel_EFs_Transport[Transport type]=$D$25), Table_Fuel_EFs_Transport[Scope 1 Emission Factor (kg CO2 - e / GJ) CO2]), 0)</f>
        <v>0</v>
      </c>
      <c r="I30" s="48" cm="1">
        <f t="array" ref="I30">IFERROR(_xlfn.XLOOKUP(1, (Table_Fuel_EFs_Transport[Fuel combusted]=$E30)*(Table_Fuel_EFs_Transport[Transport type]=$D$25), Table_Fuel_EFs_Transport[Scope 1 Emission Factor (kg CO2 - e / GJ) CH4]), 0)</f>
        <v>0.8</v>
      </c>
      <c r="J30" s="48" cm="1">
        <f t="array" ref="J30">IFERROR(_xlfn.XLOOKUP(1, (Table_Fuel_EFs_Transport[Fuel combusted]=$E30)*(Table_Fuel_EFs_Transport[Transport type]=$D$25), Table_Fuel_EFs_Transport[Scope 1 Emission Factor (kg CO2 - e / GJ) N2O]), 0)</f>
        <v>1.7</v>
      </c>
      <c r="K30" s="48" t="str" cm="1">
        <f t="array" ref="K30">IFERROR(_xlfn.XLOOKUP(1, (Table_Fuel_EFs_Transport[Fuel combusted]=$E30)*(Table_Fuel_EFs_Transport[Transport type]=$D$25), Table_Fuel_EFs_Transport[Scope 3 Emission Factor (kg CO2 - e / GJ)]), 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26" cm="1">
        <f t="array" ref="N30">Fuel_Equations.VEERG_8_1_1_1__1_FuelCombustionTransport($L30,$G30,$H30)</f>
        <v>0</v>
      </c>
      <c r="O30" s="126" cm="1">
        <f t="array" ref="O30">Fuel_Equations.VEERG_8_1_1_1__1_FuelCombustionTransport($L30,$G30,$I30)</f>
        <v>0</v>
      </c>
      <c r="P30" s="126" cm="1">
        <f t="array" ref="P30">Fuel_Equations.VEERG_8_1_1_1__1_FuelCombustionTransport($L30,$G30,$J30)</f>
        <v>0</v>
      </c>
      <c r="Q30" s="126" cm="1">
        <f t="array" ref="Q30">Scope3_Equations.VEERG_15_11_1_1__2_UpstreamTransportFuelEmissions(L30,G30,IF(ISNUMBER(K30),K30,0))</f>
        <v>0</v>
      </c>
    </row>
    <row r="31" spans="1:17" ht="20.100000000000001" customHeight="1" x14ac:dyDescent="0.25">
      <c r="A31"/>
      <c r="D31" s="127" t="str">
        <f t="shared" si="0"/>
        <v>Cars and light commercial vehicles</v>
      </c>
      <c r="E31" s="125" t="str">
        <f>'Constants - Fuel'!$E$16</f>
        <v>Renewable diesel</v>
      </c>
      <c r="F31" s="125" t="str">
        <f>'Constants - Fuel'!G137</f>
        <v>Renewable diesel</v>
      </c>
      <c r="G31" s="48" cm="1">
        <f t="array" ref="G31">IFERROR(_xlfn.XLOOKUP(1, (Table_Fuel_EFs_Transport[Fuel combusted]=$E31)*(Table_Fuel_EFs_Transport[Transport type]=$D$25), Table_Fuel_EFs_Transport[Energy Content Factor (GJ per unit of fuel)]), 0)</f>
        <v>38.6</v>
      </c>
      <c r="H31" s="48" cm="1">
        <f t="array" ref="H31">IFERROR(_xlfn.XLOOKUP(1, (Table_Fuel_EFs_Transport[Fuel combusted]=$E31)*(Table_Fuel_EFs_Transport[Transport type]=$D$25), Table_Fuel_EFs_Transport[Scope 1 Emission Factor (kg CO2 - e / GJ) CO2]), 0)</f>
        <v>0</v>
      </c>
      <c r="I31" s="48" cm="1">
        <f t="array" ref="I31">IFERROR(_xlfn.XLOOKUP(1, (Table_Fuel_EFs_Transport[Fuel combusted]=$E31)*(Table_Fuel_EFs_Transport[Transport type]=$D$25), Table_Fuel_EFs_Transport[Scope 1 Emission Factor (kg CO2 - e / GJ) CH4]), 0)</f>
        <v>0.01</v>
      </c>
      <c r="J31" s="48" cm="1">
        <f t="array" ref="J31">IFERROR(_xlfn.XLOOKUP(1, (Table_Fuel_EFs_Transport[Fuel combusted]=$E31)*(Table_Fuel_EFs_Transport[Transport type]=$D$25), Table_Fuel_EFs_Transport[Scope 1 Emission Factor (kg CO2 - e / GJ) N2O]), 0)</f>
        <v>0.5</v>
      </c>
      <c r="K31" s="48" t="str" cm="1">
        <f t="array" ref="K31">IFERROR(_xlfn.XLOOKUP(1, (Table_Fuel_EFs_Transport[Fuel combusted]=$E31)*(Table_Fuel_EFs_Transport[Transport type]=$D$25), Table_Fuel_EFs_Transport[Scope 3 Emission Factor (kg CO2 - e / GJ)]), 0)</f>
        <v>NE</v>
      </c>
      <c r="L31" s="111" cm="1">
        <f t="array" ref="L31">Fuel_InputFunctions.Fuel_TotalConsumption(Table_Input_Fuel[Amount consumed], Table_Input_Fuel[Fuel use (select)], D31, Table_Input_Fuel[Fuel type (select)],F31)</f>
        <v>0</v>
      </c>
      <c r="M31" s="111" t="str" cm="1">
        <f t="array" ref="M31">Common_InputFunctions.Utility_LookupValueInTable(F31,Table_FuelTypes_Units[Fuel type],Table_FuelTypes_Units[Unit])</f>
        <v>kL</v>
      </c>
      <c r="N31" s="126" cm="1">
        <f t="array" ref="N31">Fuel_Equations.VEERG_8_1_1_1__1_FuelCombustionTransport($L31,$G31,$H31)</f>
        <v>0</v>
      </c>
      <c r="O31" s="126" cm="1">
        <f t="array" ref="O31">Fuel_Equations.VEERG_8_1_1_1__1_FuelCombustionTransport($L31,$G31,$I31)</f>
        <v>0</v>
      </c>
      <c r="P31" s="126" cm="1">
        <f t="array" ref="P31">Fuel_Equations.VEERG_8_1_1_1__1_FuelCombustionTransport($L31,$G31,$J31)</f>
        <v>0</v>
      </c>
      <c r="Q31" s="126" cm="1">
        <f t="array" ref="Q31">Scope3_Equations.VEERG_15_11_1_1__2_UpstreamTransportFuelEmissions(L31,G31,IF(ISNUMBER(K31),K31,0))</f>
        <v>0</v>
      </c>
    </row>
    <row r="32" spans="1:17" ht="20.100000000000001" customHeight="1" x14ac:dyDescent="0.25">
      <c r="A32"/>
      <c r="D32" s="127" t="str">
        <f t="shared" si="0"/>
        <v>Cars and light commercial vehicles</v>
      </c>
      <c r="E32" s="125" t="str">
        <f>'Constants - Fuel'!$E$17</f>
        <v>Other biofuels</v>
      </c>
      <c r="F32" s="125" t="str">
        <f>'Constants - Fuel'!G138</f>
        <v>Other biofuels</v>
      </c>
      <c r="G32" s="48" cm="1">
        <f t="array" ref="G32">IFERROR(_xlfn.XLOOKUP(1, (Table_Fuel_EFs_Transport[Fuel combusted]=$E32)*(Table_Fuel_EFs_Transport[Transport type]=$D$25), Table_Fuel_EFs_Transport[Energy Content Factor (GJ per unit of fuel)]), 0)</f>
        <v>23.4</v>
      </c>
      <c r="H32" s="48" cm="1">
        <f t="array" ref="H32">IFERROR(_xlfn.XLOOKUP(1, (Table_Fuel_EFs_Transport[Fuel combusted]=$E32)*(Table_Fuel_EFs_Transport[Transport type]=$D$25), Table_Fuel_EFs_Transport[Scope 1 Emission Factor (kg CO2 - e / GJ) CO2]), 0)</f>
        <v>0</v>
      </c>
      <c r="I32" s="48" cm="1">
        <f t="array" ref="I32">IFERROR(_xlfn.XLOOKUP(1, (Table_Fuel_EFs_Transport[Fuel combusted]=$E32)*(Table_Fuel_EFs_Transport[Transport type]=$D$25), Table_Fuel_EFs_Transport[Scope 1 Emission Factor (kg CO2 - e / GJ) CH4]), 0)</f>
        <v>0.8</v>
      </c>
      <c r="J32" s="48" cm="1">
        <f t="array" ref="J32">IFERROR(_xlfn.XLOOKUP(1, (Table_Fuel_EFs_Transport[Fuel combusted]=$E32)*(Table_Fuel_EFs_Transport[Transport type]=$D$25), Table_Fuel_EFs_Transport[Scope 1 Emission Factor (kg CO2 - e / GJ) N2O]), 0)</f>
        <v>1.7</v>
      </c>
      <c r="K32" s="123" t="str" cm="1">
        <f t="array" ref="K32">IFERROR(_xlfn.XLOOKUP(1, (Table_Fuel_EFs_Transport[Fuel combusted]=$E32)*(Table_Fuel_EFs_Transport[Transport type]=$D$25), Table_Fuel_EFs_Transport[Scope 3 Emission Factor (kg CO2 - e / GJ)]), 0)</f>
        <v>NE</v>
      </c>
      <c r="L32" s="128" cm="1">
        <f t="array" ref="L32">Fuel_InputFunctions.Fuel_TotalConsumption(Table_Input_Fuel[Amount consumed], Table_Input_Fuel[Fuel use (select)], D32, Table_Input_Fuel[Fuel type (select)],F32)</f>
        <v>0</v>
      </c>
      <c r="M32" s="111" t="str" cm="1">
        <f t="array" ref="M32">Common_InputFunctions.Utility_LookupValueInTable(F32,Table_FuelTypes_Units[Fuel type],Table_FuelTypes_Units[Unit])</f>
        <v>kL</v>
      </c>
      <c r="N32" s="129" cm="1">
        <f t="array" ref="N32">Fuel_Equations.VEERG_8_1_1_1__1_FuelCombustionTransport($L32,$G32,$H32)</f>
        <v>0</v>
      </c>
      <c r="O32" s="129" cm="1">
        <f t="array" ref="O32">Fuel_Equations.VEERG_8_1_1_1__1_FuelCombustionTransport($L32,$G32,$I32)</f>
        <v>0</v>
      </c>
      <c r="P32" s="129" cm="1">
        <f t="array" ref="P32">Fuel_Equations.VEERG_8_1_1_1__1_FuelCombustionTransport($L32,$G32,$J32)</f>
        <v>0</v>
      </c>
      <c r="Q32" s="126" cm="1">
        <f t="array" ref="Q32">Scope3_Equations.VEERG_15_11_1_1__2_UpstreamTransportFuelEmissions(L32,G32,IF(ISNUMBER(K32),K32,0))</f>
        <v>0</v>
      </c>
    </row>
    <row r="33" spans="1:17" ht="20.100000000000001" customHeight="1" x14ac:dyDescent="0.25">
      <c r="A33"/>
      <c r="D33" s="130" t="str">
        <f>Table_FuelTypesPerUse[[#Headers],[Off-road Agriculture and forestry equipment]]</f>
        <v>Off-road Agriculture and forestry equipment</v>
      </c>
      <c r="E33" s="131" t="str">
        <f>'Constants - Fuel'!$E$11</f>
        <v>Diesel oil</v>
      </c>
      <c r="F33" s="131" t="str">
        <f>'Constants - Fuel'!H131</f>
        <v>Diesel</v>
      </c>
      <c r="G33" s="132" cm="1">
        <f t="array" ref="G33">IFERROR(_xlfn.XLOOKUP(1, (Table_Fuel_EFs_Transport[Fuel combusted]=$E33)*(Table_Fuel_EFs_Transport[Transport type]=$D$33), Table_Fuel_EFs_Transport[Energy Content Factor (GJ per unit of fuel)]), 0)</f>
        <v>38.6</v>
      </c>
      <c r="H33" s="132" cm="1">
        <f t="array" ref="H33">IFERROR(_xlfn.XLOOKUP(1, (Table_Fuel_EFs_Transport[Fuel combusted]=$E33)*(Table_Fuel_EFs_Transport[Transport type]=$D$33), Table_Fuel_EFs_Transport[Scope 1 Emission Factor (kg CO2 - e / GJ) CO2]), 0)</f>
        <v>69.900000000000006</v>
      </c>
      <c r="I33" s="132" cm="1">
        <f t="array" ref="I33">IFERROR(_xlfn.XLOOKUP(1, (Table_Fuel_EFs_Transport[Fuel combusted]=$E33)*(Table_Fuel_EFs_Transport[Transport type]=$D$33), Table_Fuel_EFs_Transport[Scope 1 Emission Factor (kg CO2 - e / GJ) CH4]), 0)</f>
        <v>0.3</v>
      </c>
      <c r="J33" s="132" cm="1">
        <f t="array" ref="J33">IFERROR(_xlfn.XLOOKUP(1, (Table_Fuel_EFs_Transport[Fuel combusted]=$E33)*(Table_Fuel_EFs_Transport[Transport type]=$D$33), Table_Fuel_EFs_Transport[Scope 1 Emission Factor (kg CO2 - e / GJ) N2O]), 0)</f>
        <v>0.5</v>
      </c>
      <c r="K33" s="133" cm="1">
        <f t="array" ref="K33">IFERROR(_xlfn.XLOOKUP(1, (Table_Fuel_EFs_Transport[Fuel combusted]=$E33)*(Table_Fuel_EFs_Transport[Transport type]=$D$25), Table_Fuel_EFs_Transport[Scope 3 Emission Factor (kg CO2 - e / GJ)]), 0)</f>
        <v>17.3</v>
      </c>
      <c r="L33" s="134" cm="1">
        <f t="array" ref="L33">Fuel_InputFunctions.Fuel_TotalConsumption(Table_Input_Fuel[Amount consumed], Table_Input_Fuel[Fuel use (select)], D33, Table_Input_Fuel[Fuel type (select)],F33)</f>
        <v>10</v>
      </c>
      <c r="M33" s="135" t="str" cm="1">
        <f t="array" ref="M33">Common_InputFunctions.Utility_LookupValueInTable(F33,Table_FuelTypes_Units[Fuel type],Table_FuelTypes_Units[Unit])</f>
        <v>kL</v>
      </c>
      <c r="N33" s="136" cm="1">
        <f t="array" ref="N33">Fuel_Equations.VEERG_8_1_1_1__1_FuelCombustionTransport($L33,$G33,$H33)</f>
        <v>26.981400000000001</v>
      </c>
      <c r="O33" s="136" cm="1">
        <f t="array" ref="O33">Fuel_Equations.VEERG_8_1_1_1__1_FuelCombustionTransport($L33,$G33,$I33)</f>
        <v>0.1158</v>
      </c>
      <c r="P33" s="136" cm="1">
        <f t="array" ref="P33">Fuel_Equations.VEERG_8_1_1_1__1_FuelCombustionTransport($L33,$G33,$J33)</f>
        <v>0.193</v>
      </c>
      <c r="Q33" s="137" cm="1">
        <f t="array" ref="Q33">Scope3_Equations.VEERG_15_11_1_1__2_UpstreamTransportFuelEmissions(L33,G33,K33)</f>
        <v>6.6778000000000004</v>
      </c>
    </row>
    <row r="34" spans="1:17" ht="20.100000000000001" customHeight="1" x14ac:dyDescent="0.25">
      <c r="A34"/>
      <c r="D34" s="130" t="str">
        <f>Table_FuelTypesPerUse[[#Headers],[Aviation]]</f>
        <v>Aviation</v>
      </c>
      <c r="E34" s="131" t="str">
        <f>'Constants - Fuel'!$E$28</f>
        <v>Gasoline for use as fuel in an aircraft</v>
      </c>
      <c r="F34" s="131" t="str">
        <f>'Constants - Fuel'!$F$131</f>
        <v>Avgas</v>
      </c>
      <c r="G34" s="138" cm="1">
        <f t="array" ref="G34">IFERROR(_xlfn.XLOOKUP(1, (Table_Fuel_EFs_Transport[Fuel combusted]=$E34)*(Table_Fuel_EFs_Transport[Transport type]=$D$34), Table_Fuel_EFs_Transport[Energy Content Factor (GJ per unit of fuel)]), 0)</f>
        <v>33.1</v>
      </c>
      <c r="H34" s="138" cm="1">
        <f t="array" ref="H34">IFERROR(_xlfn.XLOOKUP(1, (Table_Fuel_EFs_Transport[Fuel combusted]=$E34)*(Table_Fuel_EFs_Transport[Transport type]=$D$34), Table_Fuel_EFs_Transport[Scope 1 Emission Factor (kg CO2 - e / GJ) CO2]), 0)</f>
        <v>67</v>
      </c>
      <c r="I34" s="138" cm="1">
        <f t="array" ref="I34">IFERROR(_xlfn.XLOOKUP(1, (Table_Fuel_EFs_Transport[Fuel combusted]=$E34)*(Table_Fuel_EFs_Transport[Transport type]=$D$34), Table_Fuel_EFs_Transport[Scope 1 Emission Factor (kg CO2 - e / GJ) CH4]), 0)</f>
        <v>0.06</v>
      </c>
      <c r="J34" s="138" cm="1">
        <f t="array" ref="J34">IFERROR(_xlfn.XLOOKUP(1, (Table_Fuel_EFs_Transport[Fuel combusted]=$E34)*(Table_Fuel_EFs_Transport[Transport type]=$D$34), Table_Fuel_EFs_Transport[Scope 1 Emission Factor (kg CO2 - e / GJ) N2O]), 0)</f>
        <v>0.6</v>
      </c>
      <c r="K34" s="138" cm="1">
        <f t="array" ref="K34">IFERROR(_xlfn.XLOOKUP(1, (Table_Fuel_EFs_Transport[Fuel combusted]=$E34)*(Table_Fuel_EFs_Transport[Transport type]=$D$25), Table_Fuel_EFs_Transport[Scope 3 Emission Factor (kg CO2 - e / GJ)]), 0)</f>
        <v>0</v>
      </c>
      <c r="L34" s="135" cm="1">
        <f t="array" ref="L34">Fuel_InputFunctions.Fuel_TotalConsumption(Table_Input_Fuel[Amount consumed], Table_Input_Fuel[Fuel use (select)], D34, Table_Input_Fuel[Fuel type (select)],F34)</f>
        <v>0</v>
      </c>
      <c r="M34" s="135" t="str" cm="1">
        <f t="array" ref="M34">Common_InputFunctions.Utility_LookupValueInTable(F34,Table_FuelTypes_Units[Fuel type],Table_FuelTypes_Units[Unit])</f>
        <v>kL</v>
      </c>
      <c r="N34" s="136" cm="1">
        <f t="array" ref="N34">Fuel_Equations.VEERG_8_1_1_1__1_FuelCombustionTransport($L34,$G34,$H34)</f>
        <v>0</v>
      </c>
      <c r="O34" s="136" cm="1">
        <f t="array" ref="O34">Fuel_Equations.VEERG_8_1_1_1__1_FuelCombustionTransport($L34,$G34,$I34)</f>
        <v>0</v>
      </c>
      <c r="P34" s="136" cm="1">
        <f t="array" ref="P34">Fuel_Equations.VEERG_8_1_1_1__1_FuelCombustionTransport($L34,$G34,$J34)</f>
        <v>0</v>
      </c>
      <c r="Q34" s="136" cm="1">
        <f t="array" ref="Q34">Scope3_Equations.VEERG_15_11_1_1__2_UpstreamTransportFuelEmissions(L34,G34,K34)</f>
        <v>0</v>
      </c>
    </row>
    <row r="35" spans="1:17" ht="20.100000000000001" customHeight="1" x14ac:dyDescent="0.25">
      <c r="A35"/>
      <c r="D35" s="127" t="str">
        <f>$D$34</f>
        <v>Aviation</v>
      </c>
      <c r="E35" s="125" t="str">
        <f>'Constants - Fuel'!$E$29</f>
        <v>Kerosene for use as fuel in an aircraft</v>
      </c>
      <c r="F35" s="125" t="str">
        <f>'Constants - Fuel'!$F$132</f>
        <v>Jet A1, Jet B</v>
      </c>
      <c r="G35" s="48" cm="1">
        <f t="array" ref="G35">IFERROR(_xlfn.XLOOKUP(1, (Table_Fuel_EFs_Transport[Fuel combusted]=$E35)*(Table_Fuel_EFs_Transport[Transport type]=$D$34), Table_Fuel_EFs_Transport[Energy Content Factor (GJ per unit of fuel)]), 0)</f>
        <v>36.799999999999997</v>
      </c>
      <c r="H35" s="48" cm="1">
        <f t="array" ref="H35">IFERROR(_xlfn.XLOOKUP(1, (Table_Fuel_EFs_Transport[Fuel combusted]=$E35)*(Table_Fuel_EFs_Transport[Transport type]=$D$34), Table_Fuel_EFs_Transport[Scope 1 Emission Factor (kg CO2 - e / GJ) CO2]), 0)</f>
        <v>69.599999999999994</v>
      </c>
      <c r="I35" s="48" cm="1">
        <f t="array" ref="I35">IFERROR(_xlfn.XLOOKUP(1, (Table_Fuel_EFs_Transport[Fuel combusted]=$E35)*(Table_Fuel_EFs_Transport[Transport type]=$D$34), Table_Fuel_EFs_Transport[Scope 1 Emission Factor (kg CO2 - e / GJ) CH4]), 0)</f>
        <v>0.01</v>
      </c>
      <c r="J35" s="48" cm="1">
        <f t="array" ref="J35">IFERROR(_xlfn.XLOOKUP(1, (Table_Fuel_EFs_Transport[Fuel combusted]=$E35)*(Table_Fuel_EFs_Transport[Transport type]=$D$34), Table_Fuel_EFs_Transport[Scope 1 Emission Factor (kg CO2 - e / GJ) N2O]), 0)</f>
        <v>0.6</v>
      </c>
      <c r="K35" s="48" cm="1">
        <f t="array" ref="K35">IFERROR(_xlfn.XLOOKUP(1, (Table_Fuel_EFs_Transport[Fuel combusted]=$E35)*(Table_Fuel_EFs_Transport[Transport type]=$D$25), Table_Fuel_EFs_Transport[Scope 3 Emission Factor (kg CO2 - e / GJ)]), 0)</f>
        <v>0</v>
      </c>
      <c r="L35" s="111" cm="1">
        <f t="array" ref="L35">Fuel_InputFunctions.Fuel_TotalConsumption(Table_Input_Fuel[Amount consumed], Table_Input_Fuel[Fuel use (select)], D35, Table_Input_Fuel[Fuel type (select)],F35)</f>
        <v>0</v>
      </c>
      <c r="M35" s="111" t="str" cm="1">
        <f t="array" ref="M35">Common_InputFunctions.Utility_LookupValueInTable(F35,Table_FuelTypes_Units[Fuel type],Table_FuelTypes_Units[Unit])</f>
        <v>kL</v>
      </c>
      <c r="N35" s="126" cm="1">
        <f t="array" ref="N35">Fuel_Equations.VEERG_8_1_1_1__1_FuelCombustionTransport($L35,$G35,$H35)</f>
        <v>0</v>
      </c>
      <c r="O35" s="126" cm="1">
        <f t="array" ref="O35">Fuel_Equations.VEERG_8_1_1_1__1_FuelCombustionTransport($L35,$G35,$I35)</f>
        <v>0</v>
      </c>
      <c r="P35" s="126" cm="1">
        <f t="array" ref="P35">Fuel_Equations.VEERG_8_1_1_1__1_FuelCombustionTransport($L35,$G35,$J35)</f>
        <v>0</v>
      </c>
      <c r="Q35" s="126" cm="1">
        <f t="array" ref="Q35">Scope3_Equations.VEERG_15_11_1_1__2_UpstreamTransportFuelEmissions(L35,G35,K35)</f>
        <v>0</v>
      </c>
    </row>
    <row r="36" spans="1:17" ht="20.100000000000001" customHeight="1" x14ac:dyDescent="0.25">
      <c r="A36"/>
      <c r="D36" s="127" t="str">
        <f>$D$34</f>
        <v>Aviation</v>
      </c>
      <c r="E36" s="125" t="str">
        <f>'Constants - Fuel'!$E$30</f>
        <v>Renewable aviation kerosene</v>
      </c>
      <c r="F36" s="125" t="str">
        <f>'Constants - Fuel'!$F$133</f>
        <v>Renewable aviation kerosene</v>
      </c>
      <c r="G36" s="123" cm="1">
        <f t="array" ref="G36">IFERROR(_xlfn.XLOOKUP(1, (Table_Fuel_EFs_Transport[Fuel combusted]=$E36)*(Table_Fuel_EFs_Transport[Transport type]=$D$34), Table_Fuel_EFs_Transport[Energy Content Factor (GJ per unit of fuel)]), 0)</f>
        <v>36.799999999999997</v>
      </c>
      <c r="H36" s="123" cm="1">
        <f t="array" ref="H36">IFERROR(_xlfn.XLOOKUP(1, (Table_Fuel_EFs_Transport[Fuel combusted]=$E36)*(Table_Fuel_EFs_Transport[Transport type]=$D$34), Table_Fuel_EFs_Transport[Scope 1 Emission Factor (kg CO2 - e / GJ) CO2]), 0)</f>
        <v>0</v>
      </c>
      <c r="I36" s="123" cm="1">
        <f t="array" ref="I36">IFERROR(_xlfn.XLOOKUP(1, (Table_Fuel_EFs_Transport[Fuel combusted]=$E36)*(Table_Fuel_EFs_Transport[Transport type]=$D$34), Table_Fuel_EFs_Transport[Scope 1 Emission Factor (kg CO2 - e / GJ) CH4]), 0)</f>
        <v>0.01</v>
      </c>
      <c r="J36" s="123" cm="1">
        <f t="array" ref="J36">IFERROR(_xlfn.XLOOKUP(1, (Table_Fuel_EFs_Transport[Fuel combusted]=$E36)*(Table_Fuel_EFs_Transport[Transport type]=$D$34), Table_Fuel_EFs_Transport[Scope 1 Emission Factor (kg CO2 - e / GJ) N2O]), 0)</f>
        <v>0.6</v>
      </c>
      <c r="K36" s="123" cm="1">
        <f t="array" ref="K36">IFERROR(_xlfn.XLOOKUP(1, (Table_Fuel_EFs_Transport[Fuel combusted]=$E36)*(Table_Fuel_EFs_Transport[Transport type]=$D$25), Table_Fuel_EFs_Transport[Scope 3 Emission Factor (kg CO2 - e / GJ)]), 0)</f>
        <v>0</v>
      </c>
      <c r="L36" s="128" cm="1">
        <f t="array" ref="L36">Fuel_InputFunctions.Fuel_TotalConsumption(Table_Input_Fuel[Amount consumed], Table_Input_Fuel[Fuel use (select)], D36, Table_Input_Fuel[Fuel type (select)],F36)</f>
        <v>0</v>
      </c>
      <c r="M36" s="111" t="str" cm="1">
        <f t="array" ref="M36">Common_InputFunctions.Utility_LookupValueInTable(F36,Table_FuelTypes_Units[Fuel type],Table_FuelTypes_Units[Unit])</f>
        <v>kL</v>
      </c>
      <c r="N36" s="126" cm="1">
        <f t="array" ref="N36">Fuel_Equations.VEERG_8_1_1_1__1_FuelCombustionTransport($L36,$G36,$H36)</f>
        <v>0</v>
      </c>
      <c r="O36" s="126" cm="1">
        <f t="array" ref="O36">Fuel_Equations.VEERG_8_1_1_1__1_FuelCombustionTransport($L36,$G36,$I36)</f>
        <v>0</v>
      </c>
      <c r="P36" s="126" cm="1">
        <f t="array" ref="P36">Fuel_Equations.VEERG_8_1_1_1__1_FuelCombustionTransport($L36,$G36,$J36)</f>
        <v>0</v>
      </c>
      <c r="Q36" s="129" cm="1">
        <f t="array" ref="Q36">Scope3_Equations.VEERG_15_11_1_1__2_UpstreamTransportFuelEmissions(L36,G36,K36)</f>
        <v>0</v>
      </c>
    </row>
    <row r="37" spans="1:17" ht="20.100000000000001" customHeight="1" x14ac:dyDescent="0.25">
      <c r="A37"/>
      <c r="D37" s="130" t="str">
        <f>Table_FuelTypesPerUse[[#Headers],[Vessels]]</f>
        <v>Vessels</v>
      </c>
      <c r="E37" s="131" t="str">
        <f>'Constants - Fuel'!$E$10</f>
        <v>Gasoline</v>
      </c>
      <c r="F37" s="131" t="str">
        <f>'Constants - Fuel'!$I$131</f>
        <v>Petrol</v>
      </c>
      <c r="G37" s="138" cm="1">
        <f t="array" ref="G37">IFERROR(_xlfn.XLOOKUP(1, (Table_Fuel_EFs_Transport[Fuel combusted]=$E37)*(Table_Fuel_EFs_Transport[Transport type]=$D$37), Table_Fuel_EFs_Transport[Energy Content Factor (GJ per unit of fuel)]), 0)</f>
        <v>34.200000000000003</v>
      </c>
      <c r="H37" s="138" cm="1">
        <f t="array" ref="H37">IFERROR(_xlfn.XLOOKUP(1, (Table_Fuel_EFs_Transport[Fuel combusted]=$E37)*(Table_Fuel_EFs_Transport[Transport type]=$D$37), Table_Fuel_EFs_Transport[Scope 1 Emission Factor (kg CO2 - e / GJ) CO2]), 0)</f>
        <v>67.400000000000006</v>
      </c>
      <c r="I37" s="138" cm="1">
        <f t="array" ref="I37">IFERROR(_xlfn.XLOOKUP(1, (Table_Fuel_EFs_Transport[Fuel combusted]=$E37)*(Table_Fuel_EFs_Transport[Transport type]=$D$37), Table_Fuel_EFs_Transport[Scope 1 Emission Factor (kg CO2 - e / GJ) CH4]), 0)</f>
        <v>10.1</v>
      </c>
      <c r="J37" s="138" cm="1">
        <f t="array" ref="J37">IFERROR(_xlfn.XLOOKUP(1, (Table_Fuel_EFs_Transport[Fuel combusted]=$E37)*(Table_Fuel_EFs_Transport[Transport type]=$D$37), Table_Fuel_EFs_Transport[Scope 1 Emission Factor (kg CO2 - e / GJ) N2O]), 0)</f>
        <v>0.3</v>
      </c>
      <c r="K37" s="138" cm="1">
        <f t="array" ref="K37">IFERROR(_xlfn.XLOOKUP(1, (Table_Fuel_EFs_Transport[Fuel combusted]=$E37)*(Table_Fuel_EFs_Transport[Transport type]=$D$25), Table_Fuel_EFs_Transport[Scope 3 Emission Factor (kg CO2 - e / GJ)]), 0)</f>
        <v>17.2</v>
      </c>
      <c r="L37" s="135" cm="1">
        <f t="array" ref="L37">Fuel_InputFunctions.Fuel_TotalConsumption(Table_Input_Fuel[Amount consumed], Table_Input_Fuel[Fuel use (select)], D37, Table_Input_Fuel[Fuel type (select)],F37)</f>
        <v>0</v>
      </c>
      <c r="M37" s="139" t="str" cm="1">
        <f t="array" ref="M37">Common_InputFunctions.Utility_LookupValueInTable(F37,Table_FuelTypes_Units[Fuel type],Table_FuelTypes_Units[Unit])</f>
        <v>kL</v>
      </c>
      <c r="N37" s="136" cm="1">
        <f t="array" ref="N37">Fuel_Equations.VEERG_8_1_1_1__1_FuelCombustionTransport($L37,$G37,$H37)</f>
        <v>0</v>
      </c>
      <c r="O37" s="136" cm="1">
        <f t="array" ref="O37">Fuel_Equations.VEERG_8_1_1_1__1_FuelCombustionTransport($L37,$G37,$I37)</f>
        <v>0</v>
      </c>
      <c r="P37" s="136" cm="1">
        <f t="array" ref="P37">Fuel_Equations.VEERG_8_1_1_1__1_FuelCombustionTransport($L37,$G37,$J37)</f>
        <v>0</v>
      </c>
      <c r="Q37" s="136" cm="1">
        <f t="array" ref="Q37">Scope3_Equations.VEERG_15_11_1_1__2_UpstreamTransportFuelEmissions(L37,G37,K37)</f>
        <v>0</v>
      </c>
    </row>
    <row r="38" spans="1:17" ht="20.100000000000001" customHeight="1" x14ac:dyDescent="0.25">
      <c r="A38"/>
      <c r="D38" s="127" t="str">
        <f>$D$37</f>
        <v>Vessels</v>
      </c>
      <c r="E38" s="125" t="str">
        <f>'Constants - Fuel'!$E$11</f>
        <v>Diesel oil</v>
      </c>
      <c r="F38" s="125" t="str">
        <f>'Constants - Fuel'!$I$132</f>
        <v>Diesel</v>
      </c>
      <c r="G38" s="48" cm="1">
        <f t="array" ref="G38">IFERROR(_xlfn.XLOOKUP(1, (Table_Fuel_EFs_Transport[Fuel combusted]=$E38)*(Table_Fuel_EFs_Transport[Transport type]=$D$37), Table_Fuel_EFs_Transport[Energy Content Factor (GJ per unit of fuel)]), 0)</f>
        <v>38.6</v>
      </c>
      <c r="H38" s="48" cm="1">
        <f t="array" ref="H38">IFERROR(_xlfn.XLOOKUP(1, (Table_Fuel_EFs_Transport[Fuel combusted]=$E38)*(Table_Fuel_EFs_Transport[Transport type]=$D$37), Table_Fuel_EFs_Transport[Scope 1 Emission Factor (kg CO2 - e / GJ) CO2]), 0)</f>
        <v>69.900000000000006</v>
      </c>
      <c r="I38" s="48" cm="1">
        <f t="array" ref="I38">IFERROR(_xlfn.XLOOKUP(1, (Table_Fuel_EFs_Transport[Fuel combusted]=$E38)*(Table_Fuel_EFs_Transport[Transport type]=$D$37), Table_Fuel_EFs_Transport[Scope 1 Emission Factor (kg CO2 - e / GJ) CH4]), 0)</f>
        <v>0.2</v>
      </c>
      <c r="J38" s="48" cm="1">
        <f t="array" ref="J38">IFERROR(_xlfn.XLOOKUP(1, (Table_Fuel_EFs_Transport[Fuel combusted]=$E38)*(Table_Fuel_EFs_Transport[Transport type]=$D$37), Table_Fuel_EFs_Transport[Scope 1 Emission Factor (kg CO2 - e / GJ) N2O]), 0)</f>
        <v>0.5</v>
      </c>
      <c r="K38" s="48" cm="1">
        <f t="array" ref="K38">IFERROR(_xlfn.XLOOKUP(1, (Table_Fuel_EFs_Transport[Fuel combusted]=$E38)*(Table_Fuel_EFs_Transport[Transport type]=$D$25), Table_Fuel_EFs_Transport[Scope 3 Emission Factor (kg CO2 - e / GJ)]), 0)</f>
        <v>17.3</v>
      </c>
      <c r="L38" s="111" cm="1">
        <f t="array" ref="L38">Fuel_InputFunctions.Fuel_TotalConsumption(Table_Input_Fuel[Amount consumed], Table_Input_Fuel[Fuel use (select)], D38, Table_Input_Fuel[Fuel type (select)],F38)</f>
        <v>0</v>
      </c>
      <c r="M38" s="111" t="str" cm="1">
        <f t="array" ref="M38">Common_InputFunctions.Utility_LookupValueInTable(F38,Table_FuelTypes_Units[Fuel type],Table_FuelTypes_Units[Unit])</f>
        <v>kL</v>
      </c>
      <c r="N38" s="126" cm="1">
        <f t="array" ref="N38">Fuel_Equations.VEERG_8_1_1_1__1_FuelCombustionTransport($L38,$G38,$H38)</f>
        <v>0</v>
      </c>
      <c r="O38" s="126" cm="1">
        <f t="array" ref="O38">Fuel_Equations.VEERG_8_1_1_1__1_FuelCombustionTransport($L38,$G38,$I38)</f>
        <v>0</v>
      </c>
      <c r="P38" s="126" cm="1">
        <f t="array" ref="P38">Fuel_Equations.VEERG_8_1_1_1__1_FuelCombustionTransport($L38,$G38,$J38)</f>
        <v>0</v>
      </c>
      <c r="Q38" s="126" cm="1">
        <f t="array" ref="Q38">Scope3_Equations.VEERG_15_11_1_1__2_UpstreamTransportFuelEmissions(L38,G38,K38)</f>
        <v>0</v>
      </c>
    </row>
    <row r="39" spans="1:17" ht="20.100000000000001" customHeight="1" x14ac:dyDescent="0.25">
      <c r="A39"/>
      <c r="D39" s="127" t="str">
        <f>$D$37</f>
        <v>Vessels</v>
      </c>
      <c r="E39" s="125" t="str">
        <f>'Constants - Fuel'!E33</f>
        <v>Fuel Oil</v>
      </c>
      <c r="F39" s="125" t="str">
        <f>'Constants - Fuel'!$I$133</f>
        <v>Fuel oil</v>
      </c>
      <c r="G39" s="48" cm="1">
        <f t="array" ref="G39">IFERROR(_xlfn.XLOOKUP(1, (Table_Fuel_EFs_Transport[Fuel combusted]=$E39)*(Table_Fuel_EFs_Transport[Transport type]=$D$37), Table_Fuel_EFs_Transport[Energy Content Factor (GJ per unit of fuel)]), 0)</f>
        <v>39.700000000000003</v>
      </c>
      <c r="H39" s="48" cm="1">
        <f t="array" ref="H39">IFERROR(_xlfn.XLOOKUP(1, (Table_Fuel_EFs_Transport[Fuel combusted]=$E39)*(Table_Fuel_EFs_Transport[Transport type]=$D$37), Table_Fuel_EFs_Transport[Scope 1 Emission Factor (kg CO2 - e / GJ) CO2]), 0)</f>
        <v>73.599999999999994</v>
      </c>
      <c r="I39" s="48" cm="1">
        <f t="array" ref="I39">IFERROR(_xlfn.XLOOKUP(1, (Table_Fuel_EFs_Transport[Fuel combusted]=$E39)*(Table_Fuel_EFs_Transport[Transport type]=$D$37), Table_Fuel_EFs_Transport[Scope 1 Emission Factor (kg CO2 - e / GJ) CH4]), 0)</f>
        <v>0.2</v>
      </c>
      <c r="J39" s="48" cm="1">
        <f t="array" ref="J39">IFERROR(_xlfn.XLOOKUP(1, (Table_Fuel_EFs_Transport[Fuel combusted]=$E39)*(Table_Fuel_EFs_Transport[Transport type]=$D$37), Table_Fuel_EFs_Transport[Scope 1 Emission Factor (kg CO2 - e / GJ) N2O]), 0)</f>
        <v>0.5</v>
      </c>
      <c r="K39" s="48" cm="1">
        <f t="array" ref="K39">IFERROR(_xlfn.XLOOKUP(1, (Table_Fuel_EFs_Transport[Fuel combusted]=$E39)*(Table_Fuel_EFs_Transport[Transport type]=$D$25), Table_Fuel_EFs_Transport[Scope 3 Emission Factor (kg CO2 - e / GJ)]), 0)</f>
        <v>18</v>
      </c>
      <c r="L39" s="111" cm="1">
        <f t="array" ref="L39">Fuel_InputFunctions.Fuel_TotalConsumption(Table_Input_Fuel[Amount consumed], Table_Input_Fuel[Fuel use (select)], D39, Table_Input_Fuel[Fuel type (select)],F39)</f>
        <v>10</v>
      </c>
      <c r="M39" s="111" t="str" cm="1">
        <f t="array" ref="M39">Common_InputFunctions.Utility_LookupValueInTable(F39,Table_FuelTypes_Units[Fuel type],Table_FuelTypes_Units[Unit])</f>
        <v>kL</v>
      </c>
      <c r="N39" s="126" cm="1">
        <f t="array" ref="N39">Fuel_Equations.VEERG_8_1_1_1__1_FuelCombustionTransport($L39,$G39,$H39)</f>
        <v>29.219199999999997</v>
      </c>
      <c r="O39" s="126" cm="1">
        <f t="array" ref="O39">Fuel_Equations.VEERG_8_1_1_1__1_FuelCombustionTransport($L39,$G39,$I39)</f>
        <v>7.9400000000000012E-2</v>
      </c>
      <c r="P39" s="126" cm="1">
        <f t="array" ref="P39">Fuel_Equations.VEERG_8_1_1_1__1_FuelCombustionTransport($L39,$G39,$J39)</f>
        <v>0.19850000000000001</v>
      </c>
      <c r="Q39" s="126" cm="1">
        <f t="array" ref="Q39">Scope3_Equations.VEERG_15_11_1_1__2_UpstreamTransportFuelEmissions(L39,G39,K39)</f>
        <v>7.1459999999999999</v>
      </c>
    </row>
    <row r="40" spans="1:17" ht="20.100000000000001" customHeight="1" x14ac:dyDescent="0.25">
      <c r="A40"/>
      <c r="H40" s="103"/>
      <c r="I40" s="103"/>
      <c r="J40" s="103"/>
      <c r="L40" s="103"/>
      <c r="M40" s="103"/>
      <c r="N40" s="103"/>
      <c r="O40" s="103"/>
      <c r="P40" s="103"/>
      <c r="Q40" s="103"/>
    </row>
    <row r="41" spans="1:17" ht="20.100000000000001" customHeight="1" x14ac:dyDescent="0.25">
      <c r="A41"/>
      <c r="H41" s="103"/>
      <c r="I41" s="103"/>
      <c r="J41" s="103"/>
      <c r="L41" s="103"/>
      <c r="M41" s="103"/>
      <c r="N41" s="103"/>
      <c r="O41" s="103"/>
      <c r="P41" s="103"/>
      <c r="Q41" s="103"/>
    </row>
    <row r="42" spans="1:17" ht="20.100000000000001" customHeight="1" x14ac:dyDescent="0.25">
      <c r="A42"/>
      <c r="D42" s="140" t="str">
        <f>"Total scope 1 - " &amp; D25</f>
        <v>Total scope 1 - Cars and light commercial vehicles</v>
      </c>
      <c r="E42" s="141"/>
      <c r="F42" s="142"/>
    </row>
    <row r="43" spans="1:17" ht="20.100000000000001" customHeight="1" x14ac:dyDescent="0.25">
      <c r="A43"/>
      <c r="D43" s="14" t="s">
        <v>328</v>
      </c>
      <c r="E43" s="143">
        <f>SUM(N25:N32)</f>
        <v>26.981400000000001</v>
      </c>
      <c r="F43" s="28" t="str">
        <f>$E$12</f>
        <v>t CO2-e</v>
      </c>
    </row>
    <row r="44" spans="1:17" ht="20.100000000000001" customHeight="1" x14ac:dyDescent="0.25">
      <c r="A44"/>
      <c r="D44" s="14" t="s">
        <v>329</v>
      </c>
      <c r="E44" s="143">
        <f>SUM(O25:O32)</f>
        <v>3.8600000000000001E-3</v>
      </c>
      <c r="F44" s="28" t="str">
        <f t="shared" ref="F44:F46" si="1">$E$12</f>
        <v>t CO2-e</v>
      </c>
    </row>
    <row r="45" spans="1:17" ht="20.100000000000001" customHeight="1" x14ac:dyDescent="0.25">
      <c r="A45"/>
      <c r="D45" s="14" t="s">
        <v>330</v>
      </c>
      <c r="E45" s="143">
        <f>SUM(P25:P32)</f>
        <v>0.193</v>
      </c>
      <c r="F45" s="28" t="str">
        <f t="shared" si="1"/>
        <v>t CO2-e</v>
      </c>
    </row>
    <row r="46" spans="1:17" ht="20.100000000000001" customHeight="1" x14ac:dyDescent="0.25">
      <c r="A46"/>
      <c r="D46" s="14" t="s">
        <v>331</v>
      </c>
      <c r="E46" s="143">
        <f>SUM(Q25:Q32)</f>
        <v>6.6778000000000004</v>
      </c>
      <c r="F46" s="28" t="str">
        <f t="shared" si="1"/>
        <v>t CO2-e</v>
      </c>
    </row>
    <row r="47" spans="1:17" ht="20.100000000000001" customHeight="1" x14ac:dyDescent="0.25">
      <c r="A47"/>
      <c r="D47" s="103"/>
      <c r="E47" s="103"/>
      <c r="F47" s="103"/>
    </row>
    <row r="48" spans="1:17" ht="20.100000000000001" customHeight="1" x14ac:dyDescent="0.25">
      <c r="A48"/>
      <c r="D48" s="140" t="str">
        <f>"Total scope 1 - " &amp; D33</f>
        <v>Total scope 1 - Off-road Agriculture and forestry equipment</v>
      </c>
      <c r="E48" s="144"/>
      <c r="F48" s="142"/>
      <c r="H48" s="103"/>
      <c r="I48" s="103"/>
      <c r="J48" s="103"/>
      <c r="L48" s="103"/>
      <c r="M48" s="103"/>
      <c r="N48" s="103"/>
      <c r="O48" s="103"/>
      <c r="P48" s="103"/>
      <c r="Q48" s="103"/>
    </row>
    <row r="49" spans="1:17" ht="20.100000000000001" customHeight="1" x14ac:dyDescent="0.25">
      <c r="A49"/>
      <c r="D49" s="14" t="s">
        <v>328</v>
      </c>
      <c r="E49" s="143">
        <f>SUM(N33:N33)</f>
        <v>26.981400000000001</v>
      </c>
      <c r="F49" s="28" t="str">
        <f t="shared" ref="F49:F52" si="2">$E$12</f>
        <v>t CO2-e</v>
      </c>
      <c r="H49" s="103"/>
      <c r="I49" s="103"/>
      <c r="J49" s="103"/>
      <c r="L49" s="103"/>
      <c r="M49" s="103"/>
      <c r="N49" s="103"/>
      <c r="O49" s="103"/>
      <c r="P49" s="103"/>
      <c r="Q49" s="103"/>
    </row>
    <row r="50" spans="1:17" ht="20.100000000000001" customHeight="1" x14ac:dyDescent="0.25">
      <c r="A50"/>
      <c r="D50" s="14" t="s">
        <v>329</v>
      </c>
      <c r="E50" s="143">
        <f>SUM(O33:O33)</f>
        <v>0.1158</v>
      </c>
      <c r="F50" s="28" t="str">
        <f t="shared" si="2"/>
        <v>t CO2-e</v>
      </c>
      <c r="H50" s="103"/>
      <c r="I50" s="103"/>
      <c r="J50" s="103"/>
      <c r="L50" s="103"/>
      <c r="M50" s="103"/>
      <c r="N50" s="103"/>
      <c r="O50" s="103"/>
      <c r="P50" s="103"/>
      <c r="Q50" s="103"/>
    </row>
    <row r="51" spans="1:17" ht="20.100000000000001" customHeight="1" x14ac:dyDescent="0.25">
      <c r="A51"/>
      <c r="D51" s="14" t="s">
        <v>330</v>
      </c>
      <c r="E51" s="143">
        <f>SUM(P33:P33)</f>
        <v>0.193</v>
      </c>
      <c r="F51" s="28" t="str">
        <f t="shared" si="2"/>
        <v>t CO2-e</v>
      </c>
      <c r="H51" s="103"/>
      <c r="I51" s="103"/>
      <c r="J51" s="103"/>
      <c r="L51" s="103"/>
      <c r="M51" s="103"/>
      <c r="N51" s="103"/>
      <c r="O51" s="103"/>
      <c r="P51" s="103"/>
      <c r="Q51" s="103"/>
    </row>
    <row r="52" spans="1:17" ht="20.100000000000001" customHeight="1" x14ac:dyDescent="0.25">
      <c r="A52"/>
      <c r="D52" s="14" t="s">
        <v>331</v>
      </c>
      <c r="E52" s="143">
        <f>SUM(Q33)</f>
        <v>6.6778000000000004</v>
      </c>
      <c r="F52" s="28" t="str">
        <f t="shared" si="2"/>
        <v>t CO2-e</v>
      </c>
      <c r="H52" s="103"/>
      <c r="I52" s="103"/>
      <c r="J52" s="103"/>
      <c r="L52" s="103"/>
      <c r="M52" s="103"/>
      <c r="N52" s="103"/>
      <c r="O52" s="103"/>
      <c r="P52" s="103"/>
      <c r="Q52" s="103"/>
    </row>
    <row r="53" spans="1:17" ht="20.100000000000001" customHeight="1" x14ac:dyDescent="0.25">
      <c r="A53"/>
      <c r="D53" s="103"/>
      <c r="E53" s="145"/>
      <c r="F53" s="103"/>
      <c r="G53" s="103"/>
      <c r="H53" s="103"/>
      <c r="I53" s="103"/>
      <c r="J53" s="103"/>
      <c r="L53" s="103"/>
      <c r="M53" s="103"/>
      <c r="N53" s="103"/>
      <c r="O53" s="103"/>
      <c r="P53" s="103"/>
      <c r="Q53" s="103"/>
    </row>
    <row r="54" spans="1:17" ht="20.100000000000001" customHeight="1" x14ac:dyDescent="0.25">
      <c r="A54"/>
      <c r="D54" s="140" t="str">
        <f>"Total scope 1 - " &amp; D34</f>
        <v>Total scope 1 - Aviation</v>
      </c>
      <c r="E54" s="144"/>
      <c r="F54" s="142"/>
      <c r="G54" s="103"/>
      <c r="H54" s="103"/>
      <c r="I54" s="103"/>
      <c r="J54" s="103"/>
      <c r="L54" s="103"/>
      <c r="M54" s="103"/>
      <c r="N54" s="103"/>
      <c r="O54" s="103"/>
      <c r="P54" s="103"/>
      <c r="Q54" s="103"/>
    </row>
    <row r="55" spans="1:17" ht="20.100000000000001" customHeight="1" x14ac:dyDescent="0.25">
      <c r="A55"/>
      <c r="D55" s="14" t="s">
        <v>328</v>
      </c>
      <c r="E55" s="143">
        <f>SUM(N34:N36)</f>
        <v>0</v>
      </c>
      <c r="F55" s="28" t="str">
        <f t="shared" ref="F55:F58" si="3">$E$12</f>
        <v>t CO2-e</v>
      </c>
      <c r="G55" s="103"/>
      <c r="H55" s="103"/>
      <c r="I55" s="103"/>
      <c r="J55" s="103"/>
      <c r="L55" s="103"/>
      <c r="M55" s="103"/>
      <c r="N55" s="103"/>
      <c r="O55" s="103"/>
      <c r="P55" s="103"/>
      <c r="Q55" s="103"/>
    </row>
    <row r="56" spans="1:17" ht="20.100000000000001" customHeight="1" x14ac:dyDescent="0.25">
      <c r="A56"/>
      <c r="D56" s="14" t="s">
        <v>329</v>
      </c>
      <c r="E56" s="143">
        <f>SUM(O34:O36)</f>
        <v>0</v>
      </c>
      <c r="F56" s="28" t="str">
        <f t="shared" si="3"/>
        <v>t CO2-e</v>
      </c>
      <c r="G56" s="103"/>
      <c r="H56" s="103"/>
      <c r="I56" s="103"/>
      <c r="J56" s="103"/>
      <c r="L56" s="103"/>
      <c r="M56" s="103"/>
      <c r="N56" s="103"/>
      <c r="O56" s="103"/>
      <c r="P56" s="103"/>
      <c r="Q56" s="103"/>
    </row>
    <row r="57" spans="1:17" ht="20.100000000000001" customHeight="1" x14ac:dyDescent="0.25">
      <c r="A57"/>
      <c r="D57" s="14" t="s">
        <v>330</v>
      </c>
      <c r="E57" s="143">
        <f>SUM(P34:P36)</f>
        <v>0</v>
      </c>
      <c r="F57" s="28" t="str">
        <f t="shared" si="3"/>
        <v>t CO2-e</v>
      </c>
      <c r="G57" s="103"/>
      <c r="H57" s="103"/>
      <c r="I57" s="103"/>
      <c r="J57" s="103"/>
      <c r="L57" s="103"/>
      <c r="M57" s="103"/>
      <c r="N57" s="103"/>
      <c r="O57" s="103"/>
      <c r="P57" s="103"/>
      <c r="Q57" s="103"/>
    </row>
    <row r="58" spans="1:17" ht="20.100000000000001" customHeight="1" x14ac:dyDescent="0.25">
      <c r="A58"/>
      <c r="D58" s="14" t="s">
        <v>331</v>
      </c>
      <c r="E58" s="143">
        <f>SUM(Q34:Q36)</f>
        <v>0</v>
      </c>
      <c r="F58" s="28" t="str">
        <f t="shared" si="3"/>
        <v>t CO2-e</v>
      </c>
      <c r="G58" s="103"/>
      <c r="H58" s="103"/>
      <c r="I58" s="103"/>
      <c r="J58" s="103"/>
      <c r="L58" s="103"/>
      <c r="M58" s="103"/>
      <c r="N58" s="103"/>
      <c r="O58" s="103"/>
      <c r="P58" s="103"/>
      <c r="Q58" s="103"/>
    </row>
    <row r="59" spans="1:17" ht="20.100000000000001" customHeight="1" x14ac:dyDescent="0.25">
      <c r="A59"/>
      <c r="D59" s="103"/>
      <c r="E59" s="145"/>
      <c r="F59" s="103"/>
      <c r="G59" s="103"/>
      <c r="H59" s="103"/>
      <c r="I59" s="103"/>
      <c r="J59" s="103"/>
      <c r="L59" s="103"/>
      <c r="M59" s="103"/>
      <c r="N59" s="103"/>
      <c r="O59" s="103"/>
      <c r="P59" s="103"/>
      <c r="Q59" s="103"/>
    </row>
    <row r="60" spans="1:17" ht="20.100000000000001" customHeight="1" x14ac:dyDescent="0.25">
      <c r="A60"/>
      <c r="D60" s="140" t="str">
        <f>"Total scope 1 - " &amp; D37</f>
        <v>Total scope 1 - Vessels</v>
      </c>
      <c r="E60" s="144"/>
      <c r="F60" s="142"/>
      <c r="G60" s="103"/>
      <c r="H60" s="103"/>
      <c r="I60" s="103"/>
      <c r="J60" s="103"/>
      <c r="L60" s="103"/>
      <c r="M60" s="103"/>
      <c r="N60" s="103"/>
      <c r="O60" s="103"/>
      <c r="P60" s="103"/>
      <c r="Q60" s="103"/>
    </row>
    <row r="61" spans="1:17" ht="20.100000000000001" customHeight="1" x14ac:dyDescent="0.25">
      <c r="A61"/>
      <c r="D61" s="14" t="s">
        <v>328</v>
      </c>
      <c r="E61" s="143">
        <f>SUM(N37:N39)</f>
        <v>29.219199999999997</v>
      </c>
      <c r="F61" s="28" t="str">
        <f t="shared" ref="F61:F64" si="4">$E$12</f>
        <v>t CO2-e</v>
      </c>
      <c r="G61" s="103"/>
      <c r="H61" s="103"/>
      <c r="I61" s="103"/>
      <c r="J61" s="103"/>
      <c r="L61" s="103"/>
      <c r="M61" s="103"/>
      <c r="N61" s="103"/>
      <c r="O61" s="103"/>
      <c r="P61" s="103"/>
      <c r="Q61" s="103"/>
    </row>
    <row r="62" spans="1:17" ht="20.100000000000001" customHeight="1" x14ac:dyDescent="0.25">
      <c r="A62"/>
      <c r="D62" s="14" t="s">
        <v>329</v>
      </c>
      <c r="E62" s="143">
        <f>SUM(O37:O39)</f>
        <v>7.9400000000000012E-2</v>
      </c>
      <c r="F62" s="28" t="str">
        <f t="shared" si="4"/>
        <v>t CO2-e</v>
      </c>
      <c r="G62" s="103"/>
      <c r="H62" s="103"/>
      <c r="I62" s="103"/>
      <c r="J62" s="103"/>
      <c r="L62" s="103"/>
      <c r="M62" s="103"/>
      <c r="N62" s="103"/>
      <c r="O62" s="103"/>
      <c r="P62" s="103"/>
      <c r="Q62" s="103"/>
    </row>
    <row r="63" spans="1:17" ht="20.100000000000001" customHeight="1" x14ac:dyDescent="0.25">
      <c r="A63"/>
      <c r="D63" s="14" t="s">
        <v>330</v>
      </c>
      <c r="E63" s="143">
        <f>SUM(P37:P39)</f>
        <v>0.19850000000000001</v>
      </c>
      <c r="F63" s="28" t="str">
        <f t="shared" si="4"/>
        <v>t CO2-e</v>
      </c>
      <c r="G63" s="103"/>
      <c r="H63" s="103"/>
      <c r="I63" s="103"/>
      <c r="J63" s="103"/>
      <c r="L63" s="103"/>
      <c r="M63" s="103"/>
      <c r="N63" s="103"/>
      <c r="O63" s="103"/>
      <c r="P63" s="103"/>
      <c r="Q63" s="103"/>
    </row>
    <row r="64" spans="1:17" ht="20.100000000000001" customHeight="1" x14ac:dyDescent="0.25">
      <c r="A64"/>
      <c r="D64" s="14" t="s">
        <v>331</v>
      </c>
      <c r="E64" s="143">
        <f>SUM(Q37:Q39)</f>
        <v>7.1459999999999999</v>
      </c>
      <c r="F64" s="28" t="str">
        <f t="shared" si="4"/>
        <v>t CO2-e</v>
      </c>
      <c r="G64" s="103"/>
      <c r="H64" s="103"/>
      <c r="I64" s="103"/>
      <c r="J64" s="103"/>
      <c r="L64" s="103"/>
      <c r="M64" s="103"/>
      <c r="N64" s="103"/>
      <c r="O64" s="103"/>
      <c r="P64" s="103"/>
      <c r="Q64" s="103"/>
    </row>
    <row r="65" spans="1:17" ht="20.100000000000001" customHeight="1" x14ac:dyDescent="0.25">
      <c r="A65"/>
      <c r="G65" s="103"/>
      <c r="H65" s="103"/>
      <c r="I65" s="103"/>
      <c r="J65" s="103"/>
      <c r="L65" s="103"/>
      <c r="M65" s="103"/>
      <c r="N65" s="103"/>
      <c r="O65" s="103"/>
      <c r="P65" s="103"/>
      <c r="Q65" s="103"/>
    </row>
    <row r="66" spans="1:17" ht="20.100000000000001" customHeight="1" x14ac:dyDescent="0.25">
      <c r="A66"/>
      <c r="D66" s="140" t="s">
        <v>332</v>
      </c>
      <c r="E66" s="146"/>
      <c r="F66" s="142"/>
      <c r="G66" s="103"/>
      <c r="H66" s="103"/>
      <c r="I66" s="103"/>
      <c r="J66" s="103"/>
      <c r="L66" s="103"/>
      <c r="M66" s="103"/>
      <c r="N66" s="103"/>
      <c r="O66" s="103"/>
      <c r="P66" s="103"/>
      <c r="Q66" s="103"/>
    </row>
    <row r="67" spans="1:17" ht="20.100000000000001" customHeight="1" x14ac:dyDescent="0.25">
      <c r="A67"/>
      <c r="D67" s="14" t="s">
        <v>328</v>
      </c>
      <c r="E67" s="143">
        <f>E43+E49+E55+E61</f>
        <v>83.182000000000002</v>
      </c>
      <c r="F67" s="28" t="str">
        <f t="shared" ref="F67:F70" si="5">$E$12</f>
        <v>t CO2-e</v>
      </c>
      <c r="G67" s="103"/>
    </row>
    <row r="68" spans="1:17" ht="20.100000000000001" customHeight="1" x14ac:dyDescent="0.25">
      <c r="A68"/>
      <c r="D68" s="14" t="s">
        <v>329</v>
      </c>
      <c r="E68" s="143">
        <f t="shared" ref="E68:E70" si="6">E44+E50+E56+E62</f>
        <v>0.19906000000000001</v>
      </c>
      <c r="F68" s="28" t="str">
        <f t="shared" si="5"/>
        <v>t CO2-e</v>
      </c>
      <c r="G68" s="103"/>
    </row>
    <row r="69" spans="1:17" ht="20.100000000000001" customHeight="1" x14ac:dyDescent="0.25">
      <c r="A69"/>
      <c r="D69" s="14" t="s">
        <v>330</v>
      </c>
      <c r="E69" s="143">
        <f t="shared" si="6"/>
        <v>0.58450000000000002</v>
      </c>
      <c r="F69" s="28" t="str">
        <f t="shared" si="5"/>
        <v>t CO2-e</v>
      </c>
      <c r="G69" s="103"/>
    </row>
    <row r="70" spans="1:17" ht="20.100000000000001" customHeight="1" x14ac:dyDescent="0.25">
      <c r="A70"/>
      <c r="D70" s="14" t="s">
        <v>331</v>
      </c>
      <c r="E70" s="143">
        <f t="shared" si="6"/>
        <v>20.5016</v>
      </c>
      <c r="F70" s="28" t="str">
        <f t="shared" si="5"/>
        <v>t CO2-e</v>
      </c>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5677BC22-0E1D-4ED2-BF98-429E4413C79D}"/>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1515-53F3-47FD-8576-49DFAF2951A4}">
  <dimension ref="A1:R165"/>
  <sheetViews>
    <sheetView showGridLines="0" topLeftCell="A33"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333</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3"/>
      <c r="P5" s="103"/>
      <c r="Q5" s="103"/>
      <c r="R5" s="103"/>
    </row>
    <row r="6" spans="1:18" ht="20.100000000000001" customHeight="1" x14ac:dyDescent="0.25">
      <c r="A6" s="29" t="s">
        <v>83</v>
      </c>
      <c r="D6" s="18" t="str" cm="1">
        <f t="array" ref="D6">Fuel_Equations.VEERG_8_2_1_1__1_FuelCombustionStationary_Source()</f>
        <v>VEERG 2026: 8.2.1.1, Equation (1)</v>
      </c>
      <c r="K6" s="18" t="str" cm="1">
        <f t="array" ref="K6">Scope3_Equations.VEERG_15_11_1_1__3_UpstreamStationaryFuelEmissions_Source()</f>
        <v>VEERG 2026: 15.11.1.1, Equation (3)</v>
      </c>
      <c r="O6" s="103"/>
      <c r="P6" s="103"/>
      <c r="Q6" s="103"/>
      <c r="R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3"/>
      <c r="P7" s="103"/>
      <c r="Q7" s="103"/>
      <c r="R7" s="103"/>
    </row>
    <row r="8" spans="1:18" ht="20.100000000000001" customHeight="1" x14ac:dyDescent="0.25">
      <c r="A8" s="24" t="str">
        <f>HYPERLINK("#'Input - Fertiliser'!A1", "Fertiliser")</f>
        <v>Fertiliser</v>
      </c>
      <c r="K8" s="76" t="s">
        <v>161</v>
      </c>
      <c r="L8" s="76" t="str" cm="1">
        <f t="array" aca="1" ref="L8" ca="1">Common_InputFunctions.Utility_DisplayFunctionName(Q25)</f>
        <v>=Fuel_Equations.VEERG_8_2_1_1__1_FuelCombustionStationary</v>
      </c>
      <c r="O8" s="103"/>
      <c r="P8" s="103"/>
      <c r="Q8" s="103"/>
      <c r="R8" s="103"/>
    </row>
    <row r="9" spans="1:18" ht="20.100000000000001" customHeight="1" x14ac:dyDescent="0.25">
      <c r="A9" s="24" t="str">
        <f>HYPERLINK("#'Input - Fuel'!A1", "Fuel")</f>
        <v>Fuel</v>
      </c>
      <c r="G9" s="18"/>
      <c r="O9" s="103"/>
      <c r="P9" s="103"/>
      <c r="Q9" s="103"/>
      <c r="R9" s="103"/>
    </row>
    <row r="10" spans="1:18" ht="20.100000000000001" customHeight="1" x14ac:dyDescent="0.25">
      <c r="A10" s="24" t="str">
        <f>HYPERLINK("#'Input - Site'!A1", "Site")</f>
        <v>Site</v>
      </c>
      <c r="O10" s="103"/>
      <c r="P10" s="103"/>
      <c r="Q10" s="103"/>
      <c r="R10" s="103"/>
    </row>
    <row r="11" spans="1:18" ht="20.100000000000001" customHeight="1" x14ac:dyDescent="0.25">
      <c r="A11"/>
      <c r="D11" s="63" t="s">
        <v>162</v>
      </c>
      <c r="E11" s="15" t="str" cm="1">
        <f t="array" ref="E11">Fuel_Equations.VEERG_8_2_1_1__1_FuelCombustionStationary_Variable()</f>
        <v>E_g</v>
      </c>
      <c r="K11" s="63" t="s">
        <v>162</v>
      </c>
      <c r="L11" s="15" t="str" cm="1">
        <f t="array" ref="L11">Scope3_Equations.VEERG_15_11_1_1__3_UpstreamStationaryFuelEmissions_Variable()</f>
        <v>E_WTTSCq</v>
      </c>
      <c r="O11" s="103"/>
      <c r="P11" s="103"/>
      <c r="Q11" s="103"/>
      <c r="R11" s="103"/>
    </row>
    <row r="12" spans="1:18" ht="20.100000000000001" customHeight="1" x14ac:dyDescent="0.25">
      <c r="A12"/>
      <c r="D12" s="63" t="s">
        <v>163</v>
      </c>
      <c r="E12" s="20" t="str" cm="1">
        <f t="array" ref="E12">Fuel_Equations.VEERG_8_2_1_1__1_FuelCombustionStationary_Unit()</f>
        <v>t CO2-e</v>
      </c>
      <c r="K12" s="63" t="s">
        <v>163</v>
      </c>
      <c r="L12" s="20" t="str" cm="1">
        <f t="array" ref="L12">Scope3_Equations.VEERG_15_11_1_1__3_UpstreamStationaryFuelEmissions_Unit()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_xlfn.CHOOSECOLS(Fuel_Equations.VEERG_8_2_1_1__1_FuelCombustionStationary_Arguments(), 1,2)</f>
        <v>Q_SCq</v>
      </c>
      <c r="E14" s="107" t="str">
        <v>Amount of fuel type q used for stationary combustion operations</v>
      </c>
      <c r="F14" s="109"/>
      <c r="G14" s="99" t="str" cm="1">
        <f t="array" ref="G14:H20">_xlfn.CHOOSECOLS(Fuel_Equations.VEERG_8_2_1_1__1_FuelCombustionStationary_Arguments(), 3,4)</f>
        <v>Varies based on fuel type: kL, m3, GJ</v>
      </c>
      <c r="H14" s="81" t="str">
        <v>Input</v>
      </c>
      <c r="I14" s="85" t="str" cm="1">
        <f t="array" aca="1" ref="I14" ca="1">HYPERLINK(Common_InputFunctions.Utility_SourceHyperlink($D$22), $D$22)</f>
        <v>Table_E_g</v>
      </c>
      <c r="K14" s="99" t="str" cm="1">
        <f t="array" ref="K14:L18">_xlfn.CHOOSECOLS(Scope3_Equations.VEERG_15_11_1_1__3_UpstreamStationaryFuelEmissions_Arguments(),1,2)</f>
        <v>Q_SCq</v>
      </c>
      <c r="L14" s="99" t="str">
        <v>amount of fuel q used for stationary combustion operations</v>
      </c>
      <c r="M14" s="99"/>
      <c r="N14" s="99" t="str" cm="1">
        <f t="array" ref="N14:O18">_xlfn.CHOOSECOLS(Scope3_Equations.VEERG_15_11_1_1__3_UpstreamStationaryFuelEmissions_Arguments(),3,4)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EC_SCq</v>
      </c>
      <c r="E15" s="107" t="str">
        <v>Energy content factor for stationary combustion operations</v>
      </c>
      <c r="F15" s="109"/>
      <c r="G15" s="99" t="str">
        <v>GJ / unit of fuel</v>
      </c>
      <c r="H15" s="82" t="str">
        <v>Constant</v>
      </c>
      <c r="I15" s="85" t="str" cm="1">
        <f t="array" aca="1" ref="I15" ca="1">HYPERLINK(Common_InputFunctions.Utility_SourceHyperlink($D$22), $D$22)</f>
        <v>Table_E_g</v>
      </c>
      <c r="K15" s="99" t="str">
        <v>EC_SCq</v>
      </c>
      <c r="L15" s="99" t="str">
        <v>energy content factor for stationary combustion operations</v>
      </c>
      <c r="M15" s="99"/>
      <c r="N15" s="99" t="str">
        <v>GJ/kL</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EF_SC1qg</v>
      </c>
      <c r="E16" s="107" t="str">
        <v>Scope 1 emission factor for stationary combustion for each greenhouse gas</v>
      </c>
      <c r="F16" s="109"/>
      <c r="G16" s="99" t="str">
        <v>kg CO2e / GJ</v>
      </c>
      <c r="H16" s="82" t="str">
        <v>Constant</v>
      </c>
      <c r="I16" s="85" t="str" cm="1">
        <f t="array" aca="1" ref="I16" ca="1">HYPERLINK(Common_InputFunctions.Utility_SourceHyperlink($D$22), $D$22)</f>
        <v>Table_E_g</v>
      </c>
      <c r="K16" s="99" t="str">
        <v>EF_SC3q</v>
      </c>
      <c r="L16" s="99" t="str">
        <v>scope 3 emission factor for stationary combustion operations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K17" s="99" t="str">
        <v>i</v>
      </c>
      <c r="L17" s="107" t="str">
        <v>state</v>
      </c>
      <c r="M17" s="109"/>
      <c r="N17" s="99" t="str">
        <v/>
      </c>
      <c r="O17" s="81" t="str">
        <v>Input</v>
      </c>
      <c r="P17" s="99" t="s">
        <v>404</v>
      </c>
      <c r="Q17" s="103"/>
    </row>
    <row r="18" spans="1:17" ht="20.100000000000001" customHeight="1" x14ac:dyDescent="0.25">
      <c r="A18" s="24" t="str">
        <f>HYPERLINK("#'5.4.1.1-4 Atmos deposition'!A1", "5.4.1.1-4 Atmos. deposition")</f>
        <v>5.4.1.1-4 Atmos. deposition</v>
      </c>
      <c r="D18" s="99" t="str">
        <v>SC</v>
      </c>
      <c r="E18" s="107" t="str">
        <v>Stationary combustion</v>
      </c>
      <c r="F18" s="109"/>
      <c r="G18" s="99" t="str">
        <v/>
      </c>
      <c r="H18" s="82" t="str">
        <v>Constant</v>
      </c>
      <c r="I18" s="85"/>
      <c r="J18" s="103"/>
      <c r="K18" s="99" t="str">
        <v>m</v>
      </c>
      <c r="L18" s="107" t="str">
        <v>metropolitan/non-metropolitan location</v>
      </c>
      <c r="M18" s="109"/>
      <c r="N18" s="99" t="str">
        <v/>
      </c>
      <c r="O18" s="81" t="str">
        <v>Input</v>
      </c>
      <c r="P18" s="99" t="str">
        <f>X_Cell_Fuel_IsMetroLocation</f>
        <v>Metro</v>
      </c>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N19" s="103"/>
      <c r="O19" s="103"/>
      <c r="P19" s="103"/>
      <c r="Q19" s="103"/>
    </row>
    <row r="20" spans="1:17" ht="20.100000000000001" customHeight="1" x14ac:dyDescent="0.25">
      <c r="A20" s="24" t="str">
        <f>HYPERLINK("#'8.1.1.1-2 Transport fuel'!A1", "8.1.1.1-2 Transport fuel")</f>
        <v>8.1.1.1-2 Transport fuel</v>
      </c>
      <c r="D20" s="99" t="str">
        <v>1</v>
      </c>
      <c r="E20" s="107" t="str">
        <v>Scope 1</v>
      </c>
      <c r="F20" s="109"/>
      <c r="G20" s="99" t="str">
        <v/>
      </c>
      <c r="H20" s="82" t="str">
        <v>Constant</v>
      </c>
      <c r="I20" s="85"/>
      <c r="J20" s="103"/>
      <c r="L20" s="103"/>
      <c r="N20" s="103"/>
      <c r="O20" s="103"/>
      <c r="P20" s="103"/>
      <c r="Q20" s="103"/>
    </row>
    <row r="21" spans="1:17" ht="20.100000000000001" customHeight="1" x14ac:dyDescent="0.25">
      <c r="A21" s="77"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334</v>
      </c>
    </row>
    <row r="24" spans="1:17" ht="20.100000000000001" customHeight="1" x14ac:dyDescent="0.25">
      <c r="A24" s="210" t="s">
        <v>116</v>
      </c>
      <c r="D24" s="89" t="s">
        <v>314</v>
      </c>
      <c r="E24" s="89" t="s">
        <v>315</v>
      </c>
      <c r="F24" s="89" t="s">
        <v>316</v>
      </c>
      <c r="G24" s="89" t="s">
        <v>335</v>
      </c>
      <c r="H24" s="89" t="s">
        <v>336</v>
      </c>
      <c r="I24" s="89" t="s">
        <v>337</v>
      </c>
      <c r="J24" s="89" t="s">
        <v>338</v>
      </c>
      <c r="K24" s="89" t="s">
        <v>339</v>
      </c>
      <c r="L24" s="90" t="s">
        <v>340</v>
      </c>
      <c r="M24" s="89" t="s">
        <v>323</v>
      </c>
      <c r="N24" s="89" t="s">
        <v>324</v>
      </c>
      <c r="O24" s="89" t="s">
        <v>325</v>
      </c>
      <c r="P24" s="89" t="s">
        <v>326</v>
      </c>
      <c r="Q24" s="89" t="s">
        <v>341</v>
      </c>
    </row>
    <row r="25" spans="1:17" ht="20.100000000000001" customHeight="1" x14ac:dyDescent="0.25">
      <c r="A25" s="24" t="str">
        <f>HYPERLINK("#'Constants - Fertiliser'!A1", "Constants - Fertiliser")</f>
        <v>Constants - Fertiliser</v>
      </c>
      <c r="D25" s="14" t="str">
        <f>Table_FuelTypesPerUse[[#Headers],[Generators]]</f>
        <v>Generators</v>
      </c>
      <c r="E25" s="125" t="str">
        <f>'Constants - Fuel'!$D$58</f>
        <v>Automotive gasoline / petrol (other than for use as fuel in an aircraft)</v>
      </c>
      <c r="F25" s="125" t="str">
        <f>'Constants - Fuel'!D131</f>
        <v>Petrol</v>
      </c>
      <c r="G25" s="48">
        <f>IFERROR(_xlfn.XLOOKUP($E25, Table_Fuel_EFs_StationaryLiquid[Fuel combusted], Table_Fuel_EFs_StationaryLiquid[Energy Content Factor (GJ per unit of fuel)]),0)</f>
        <v>34.200000000000003</v>
      </c>
      <c r="H25" s="48">
        <f>IFERROR(_xlfn.XLOOKUP($E25, Table_Fuel_EFs_StationaryLiquid[Fuel combusted], Table_Fuel_EFs_StationaryLiquid[Scope 1 Emission Factor (kg CO2 - e / GJ) CO2]),0)</f>
        <v>67.400000000000006</v>
      </c>
      <c r="I25" s="48">
        <f>IFERROR(_xlfn.XLOOKUP($E25, Table_Fuel_EFs_StationaryLiquid[Fuel combusted], Table_Fuel_EFs_StationaryLiquid[Scope 1 Emission Factor (kg CO2 - e / GJ) CH4]),0)</f>
        <v>0.2</v>
      </c>
      <c r="J25" s="48">
        <f>IFERROR(_xlfn.XLOOKUP($E25, Table_Fuel_EFs_StationaryLiquid[Fuel combusted], Table_Fuel_EFs_StationaryLiquid[Scope 1 Emission Factor (kg CO2 - e / GJ) N2O]),0)</f>
        <v>0.2</v>
      </c>
      <c r="K25" s="48">
        <f>IFERROR(_xlfn.XLOOKUP($E25, Table_Fuel_EFs_StationaryLiquid[Fuel combusted], Table_Fuel_EFs_StationaryLiquid[Scope 3 Emission Factor (kg CO2 - e / GJ)]),0)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47" cm="1">
        <f t="array" ref="N25">Fuel_Equations.VEERG_8_2_1_1__1_FuelCombustionStationary($L25,$G25,H25)</f>
        <v>0</v>
      </c>
      <c r="O25" s="147" cm="1">
        <f t="array" ref="O25">Fuel_Equations.VEERG_8_2_1_1__1_FuelCombustionStationary($L25,$G25,I25)</f>
        <v>0</v>
      </c>
      <c r="P25" s="147" cm="1">
        <f t="array" ref="P25">Fuel_Equations.VEERG_8_2_1_1__1_FuelCombustionStationary($L25,$G25,J25)</f>
        <v>0</v>
      </c>
      <c r="Q25" s="147" cm="1">
        <f t="array" ref="Q25">Fuel_Equations.VEERG_8_2_1_1__1_FuelCombustionStationary($L25,$G25,IF(ISNUMBER(K25), K25, 0))</f>
        <v>0</v>
      </c>
    </row>
    <row r="26" spans="1:17" ht="20.100000000000001" customHeight="1" x14ac:dyDescent="0.25">
      <c r="A26" s="24" t="str">
        <f>HYPERLINK("#'Constants - Fuel'!A1", "Constants - Fuel")</f>
        <v>Constants - Fuel</v>
      </c>
      <c r="D26" s="127" t="str">
        <f t="shared" ref="D26:D31" si="0">$D$25</f>
        <v>Generators</v>
      </c>
      <c r="E26" s="125" t="str">
        <f>'Constants - Fuel'!$D$63</f>
        <v>Diesel oil</v>
      </c>
      <c r="F26" s="125" t="str">
        <f>'Constants - Fuel'!D132</f>
        <v>Diesel</v>
      </c>
      <c r="G26" s="48">
        <f>IFERROR(_xlfn.XLOOKUP($E26, Table_Fuel_EFs_StationaryLiquid[Fuel combusted], Table_Fuel_EFs_StationaryLiquid[Energy Content Factor (GJ per unit of fuel)]),0)</f>
        <v>38.6</v>
      </c>
      <c r="H26" s="48">
        <f>IFERROR(_xlfn.XLOOKUP($E26, Table_Fuel_EFs_StationaryLiquid[Fuel combusted], Table_Fuel_EFs_StationaryLiquid[Scope 1 Emission Factor (kg CO2 - e / GJ) CO2]),0)</f>
        <v>69.900000000000006</v>
      </c>
      <c r="I26" s="48">
        <f>IFERROR(_xlfn.XLOOKUP($E26, Table_Fuel_EFs_StationaryLiquid[Fuel combusted], Table_Fuel_EFs_StationaryLiquid[Scope 1 Emission Factor (kg CO2 - e / GJ) CH4]),0)</f>
        <v>0.1</v>
      </c>
      <c r="J26" s="48">
        <f>IFERROR(_xlfn.XLOOKUP($E26, Table_Fuel_EFs_StationaryLiquid[Fuel combusted], Table_Fuel_EFs_StationaryLiquid[Scope 1 Emission Factor (kg CO2 - e / GJ) N2O]),0)</f>
        <v>0.2</v>
      </c>
      <c r="K26" s="48">
        <f>IFERROR(_xlfn.XLOOKUP($E26, Table_Fuel_EFs_StationaryLiquid[Fuel combusted], Table_Fuel_EFs_StationaryLiquid[Scope 3 Emission Factor (kg CO2 - e / GJ)]),0)</f>
        <v>17.3</v>
      </c>
      <c r="L26" s="111" cm="1">
        <f t="array" ref="L26">Fuel_InputFunctions.Fuel_TotalConsumption(Table_Input_Fuel[Amount consumed], Table_Input_Fuel[Fuel use (select)], D26, Table_Input_Fuel[Fuel type (select)],F26)</f>
        <v>0</v>
      </c>
      <c r="M26" s="111" t="str" cm="1">
        <f t="array" ref="M26">Common_InputFunctions.Utility_LookupValueInTable(F26,Table_FuelTypes_Units[Fuel type],Table_FuelTypes_Units[Unit])</f>
        <v>kL</v>
      </c>
      <c r="N26" s="147" cm="1">
        <f t="array" ref="N26">Fuel_Equations.VEERG_8_2_1_1__1_FuelCombustionStationary($L26,$G26,H26)</f>
        <v>0</v>
      </c>
      <c r="O26" s="147" cm="1">
        <f t="array" ref="O26">Fuel_Equations.VEERG_8_2_1_1__1_FuelCombustionStationary($L26,$G26,I26)</f>
        <v>0</v>
      </c>
      <c r="P26" s="147" cm="1">
        <f t="array" ref="P26">Fuel_Equations.VEERG_8_2_1_1__1_FuelCombustionStationary($L26,$G26,J26)</f>
        <v>0</v>
      </c>
      <c r="Q26" s="147" cm="1">
        <f t="array" ref="Q26">Fuel_Equations.VEERG_8_2_1_1__1_FuelCombustionStationary($L26,$G26,IF(ISNUMBER(K26), K26, 0))</f>
        <v>0</v>
      </c>
    </row>
    <row r="27" spans="1:17" ht="20.100000000000001" customHeight="1" x14ac:dyDescent="0.25">
      <c r="A27" s="24" t="str">
        <f>HYPERLINK("#'Constants - Common'!A1", "Constants - Common")</f>
        <v>Constants - Common</v>
      </c>
      <c r="D27" s="127" t="str">
        <f t="shared" si="0"/>
        <v>Generators</v>
      </c>
      <c r="E27" s="125" t="str">
        <f>'Constants - Fuel'!$D$67</f>
        <v>Liquefied petroleum gas (LPG)</v>
      </c>
      <c r="F27" s="125" t="str">
        <f>'Constants - Fuel'!D133</f>
        <v>Liquefied petroleum gas (LPG)</v>
      </c>
      <c r="G27" s="48">
        <f>IFERROR(_xlfn.XLOOKUP($E27, Table_Fuel_EFs_StationaryLiquid[Fuel combusted], Table_Fuel_EFs_StationaryLiquid[Energy Content Factor (GJ per unit of fuel)]),0)</f>
        <v>25.7</v>
      </c>
      <c r="H27" s="48">
        <f>IFERROR(_xlfn.XLOOKUP($E27, Table_Fuel_EFs_StationaryLiquid[Fuel combusted], Table_Fuel_EFs_StationaryLiquid[Scope 1 Emission Factor (kg CO2 - e / GJ) CO2]),0)</f>
        <v>60.2</v>
      </c>
      <c r="I27" s="48">
        <f>IFERROR(_xlfn.XLOOKUP($E27, Table_Fuel_EFs_StationaryLiquid[Fuel combusted], Table_Fuel_EFs_StationaryLiquid[Scope 1 Emission Factor (kg CO2 - e / GJ) CH4]),0)</f>
        <v>0.2</v>
      </c>
      <c r="J27" s="48">
        <f>IFERROR(_xlfn.XLOOKUP($E27, Table_Fuel_EFs_StationaryLiquid[Fuel combusted], Table_Fuel_EFs_StationaryLiquid[Scope 1 Emission Factor (kg CO2 - e / GJ) N2O]),0)</f>
        <v>0.2</v>
      </c>
      <c r="K27" s="48">
        <f>IFERROR(_xlfn.XLOOKUP($E27, Table_Fuel_EFs_StationaryLiquid[Fuel combusted], Table_Fuel_EFs_StationaryLiquid[Scope 3 Emission Factor (kg CO2 - e / GJ)]),0)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47" cm="1">
        <f t="array" ref="N27">Fuel_Equations.VEERG_8_2_1_1__1_FuelCombustionStationary($L27,$G27,H27)</f>
        <v>0</v>
      </c>
      <c r="O27" s="147" cm="1">
        <f t="array" ref="O27">Fuel_Equations.VEERG_8_2_1_1__1_FuelCombustionStationary($L27,$G27,I27)</f>
        <v>0</v>
      </c>
      <c r="P27" s="147" cm="1">
        <f t="array" ref="P27">Fuel_Equations.VEERG_8_2_1_1__1_FuelCombustionStationary($L27,$G27,J27)</f>
        <v>0</v>
      </c>
      <c r="Q27" s="147" cm="1">
        <f t="array" ref="Q27">Fuel_Equations.VEERG_8_2_1_1__1_FuelCombustionStationary($L27,$G27,IF(ISNUMBER(K27), K27, 0))</f>
        <v>0</v>
      </c>
    </row>
    <row r="28" spans="1:17" ht="20.100000000000001" customHeight="1" x14ac:dyDescent="0.25">
      <c r="A28" s="24" t="str">
        <f>HYPERLINK("#'Overview'!A1", "Overview")</f>
        <v>Overview</v>
      </c>
      <c r="D28" s="127" t="str">
        <f t="shared" si="0"/>
        <v>Generators</v>
      </c>
      <c r="E28" s="125" t="str">
        <f>'Constants - Fuel'!$D$73</f>
        <v>Biodiesel</v>
      </c>
      <c r="F28" s="125" t="str">
        <f>'Constants - Fuel'!D134</f>
        <v>Biodiesel</v>
      </c>
      <c r="G28" s="48">
        <f>IFERROR(_xlfn.XLOOKUP($E28, Table_Fuel_EFs_StationaryLiquid[Fuel combusted], Table_Fuel_EFs_StationaryLiquid[Energy Content Factor (GJ per unit of fuel)]),0)</f>
        <v>34.6</v>
      </c>
      <c r="H28" s="48">
        <f>IFERROR(_xlfn.XLOOKUP($E28, Table_Fuel_EFs_StationaryLiquid[Fuel combusted], Table_Fuel_EFs_StationaryLiquid[Scope 1 Emission Factor (kg CO2 - e / GJ) CO2]),0)</f>
        <v>0</v>
      </c>
      <c r="I28" s="48">
        <f>IFERROR(_xlfn.XLOOKUP($E28, Table_Fuel_EFs_StationaryLiquid[Fuel combusted], Table_Fuel_EFs_StationaryLiquid[Scope 1 Emission Factor (kg CO2 - e / GJ) CH4]),0)</f>
        <v>0.08</v>
      </c>
      <c r="J28" s="48">
        <f>IFERROR(_xlfn.XLOOKUP($E28, Table_Fuel_EFs_StationaryLiquid[Fuel combusted], Table_Fuel_EFs_StationaryLiquid[Scope 1 Emission Factor (kg CO2 - e / GJ) N2O]),0)</f>
        <v>0.2</v>
      </c>
      <c r="K28" s="48" t="str">
        <f>IFERROR(_xlfn.XLOOKUP($E28, Table_Fuel_EFs_StationaryLiquid[Fuel combusted], Table_Fuel_EFs_StationaryLiquid[Scope 3 Emission Factor (kg CO2 - e / GJ)]),0)</f>
        <v>NE</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47" cm="1">
        <f t="array" ref="N28">Fuel_Equations.VEERG_8_2_1_1__1_FuelCombustionStationary($L28,$G28,H28)</f>
        <v>0</v>
      </c>
      <c r="O28" s="147" cm="1">
        <f t="array" ref="O28">Fuel_Equations.VEERG_8_2_1_1__1_FuelCombustionStationary($L28,$G28,I28)</f>
        <v>0</v>
      </c>
      <c r="P28" s="147" cm="1">
        <f t="array" ref="P28">Fuel_Equations.VEERG_8_2_1_1__1_FuelCombustionStationary($L28,$G28,J28)</f>
        <v>0</v>
      </c>
      <c r="Q28" s="147" cm="1">
        <f t="array" ref="Q28">Fuel_Equations.VEERG_8_2_1_1__1_FuelCombustionStationary($L28,$G28,IF(ISNUMBER(K28), K28, 0))</f>
        <v>0</v>
      </c>
    </row>
    <row r="29" spans="1:17" ht="20.100000000000001" customHeight="1" x14ac:dyDescent="0.25">
      <c r="A29"/>
      <c r="D29" s="127" t="str">
        <f t="shared" si="0"/>
        <v>Generators</v>
      </c>
      <c r="E29" s="125" t="str">
        <f>'Constants - Fuel'!$D$74</f>
        <v>Ethanol for use as a fuel in an internal combustion engine</v>
      </c>
      <c r="F29" s="125" t="str">
        <f>'Constants - Fuel'!D135</f>
        <v>Ethanol</v>
      </c>
      <c r="G29" s="48">
        <f>IFERROR(_xlfn.XLOOKUP($E29, Table_Fuel_EFs_StationaryLiquid[Fuel combusted], Table_Fuel_EFs_StationaryLiquid[Energy Content Factor (GJ per unit of fuel)]),0)</f>
        <v>23.4</v>
      </c>
      <c r="H29" s="48">
        <f>IFERROR(_xlfn.XLOOKUP($E29, Table_Fuel_EFs_StationaryLiquid[Fuel combusted], Table_Fuel_EFs_StationaryLiquid[Scope 1 Emission Factor (kg CO2 - e / GJ) CO2]),0)</f>
        <v>0</v>
      </c>
      <c r="I29" s="48">
        <f>IFERROR(_xlfn.XLOOKUP($E29, Table_Fuel_EFs_StationaryLiquid[Fuel combusted], Table_Fuel_EFs_StationaryLiquid[Scope 1 Emission Factor (kg CO2 - e / GJ) CH4]),0)</f>
        <v>0.08</v>
      </c>
      <c r="J29" s="48">
        <f>IFERROR(_xlfn.XLOOKUP($E29, Table_Fuel_EFs_StationaryLiquid[Fuel combusted], Table_Fuel_EFs_StationaryLiquid[Scope 1 Emission Factor (kg CO2 - e / GJ) N2O]),0)</f>
        <v>0.2</v>
      </c>
      <c r="K29" s="48" t="str">
        <f>IFERROR(_xlfn.XLOOKUP($E29, Table_Fuel_EFs_StationaryLiquid[Fuel combusted], Table_Fuel_EFs_StationaryLiquid[Scope 3 Emission Factor (kg CO2 - e / GJ)]),0)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47" cm="1">
        <f t="array" ref="N29">Fuel_Equations.VEERG_8_2_1_1__1_FuelCombustionStationary($L29,$G29,H29)</f>
        <v>0</v>
      </c>
      <c r="O29" s="147" cm="1">
        <f t="array" ref="O29">Fuel_Equations.VEERG_8_2_1_1__1_FuelCombustionStationary($L29,$G29,I29)</f>
        <v>0</v>
      </c>
      <c r="P29" s="147" cm="1">
        <f t="array" ref="P29">Fuel_Equations.VEERG_8_2_1_1__1_FuelCombustionStationary($L29,$G29,J29)</f>
        <v>0</v>
      </c>
      <c r="Q29" s="147" cm="1">
        <f t="array" ref="Q29">Fuel_Equations.VEERG_8_2_1_1__1_FuelCombustionStationary($L29,$G29,IF(ISNUMBER(K29), K29, 0))</f>
        <v>0</v>
      </c>
    </row>
    <row r="30" spans="1:17" ht="20.100000000000001" customHeight="1" x14ac:dyDescent="0.25">
      <c r="A30"/>
      <c r="D30" s="127" t="str">
        <f t="shared" si="0"/>
        <v>Generators</v>
      </c>
      <c r="E30" s="125" t="str">
        <f>'Constants - Fuel'!$D$75</f>
        <v>Biofuels other than those mentioned in the items above and below</v>
      </c>
      <c r="F30" s="125" t="str">
        <f>'Constants - Fuel'!D136</f>
        <v>Other biofuels</v>
      </c>
      <c r="G30" s="48">
        <f>IFERROR(_xlfn.XLOOKUP($E30, Table_Fuel_EFs_StationaryLiquid[Fuel combusted], Table_Fuel_EFs_StationaryLiquid[Energy Content Factor (GJ per unit of fuel)]),0)</f>
        <v>23.4</v>
      </c>
      <c r="H30" s="48">
        <f>IFERROR(_xlfn.XLOOKUP($E30, Table_Fuel_EFs_StationaryLiquid[Fuel combusted], Table_Fuel_EFs_StationaryLiquid[Scope 1 Emission Factor (kg CO2 - e / GJ) CO2]),0)</f>
        <v>0</v>
      </c>
      <c r="I30" s="48">
        <f>IFERROR(_xlfn.XLOOKUP($E30, Table_Fuel_EFs_StationaryLiquid[Fuel combusted], Table_Fuel_EFs_StationaryLiquid[Scope 1 Emission Factor (kg CO2 - e / GJ) CH4]),0)</f>
        <v>0.08</v>
      </c>
      <c r="J30" s="48">
        <f>IFERROR(_xlfn.XLOOKUP($E30, Table_Fuel_EFs_StationaryLiquid[Fuel combusted], Table_Fuel_EFs_StationaryLiquid[Scope 1 Emission Factor (kg CO2 - e / GJ) N2O]),0)</f>
        <v>0.2</v>
      </c>
      <c r="K30" s="48" t="str">
        <f>IFERROR(_xlfn.XLOOKUP($E30, Table_Fuel_EFs_StationaryLiquid[Fuel combusted], Table_Fuel_EFs_StationaryLiquid[Scope 3 Emission Factor (kg CO2 - e / GJ)]),0)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47" cm="1">
        <f t="array" ref="N30">Fuel_Equations.VEERG_8_2_1_1__1_FuelCombustionStationary($L30,$G30,H30)</f>
        <v>0</v>
      </c>
      <c r="O30" s="147" cm="1">
        <f t="array" ref="O30">Fuel_Equations.VEERG_8_2_1_1__1_FuelCombustionStationary($L30,$G30,I30)</f>
        <v>0</v>
      </c>
      <c r="P30" s="147" cm="1">
        <f t="array" ref="P30">Fuel_Equations.VEERG_8_2_1_1__1_FuelCombustionStationary($L30,$G30,J30)</f>
        <v>0</v>
      </c>
      <c r="Q30" s="147" cm="1">
        <f t="array" ref="Q30">Fuel_Equations.VEERG_8_2_1_1__1_FuelCombustionStationary($L30,$G30,IF(ISNUMBER(K30), K30, 0))</f>
        <v>0</v>
      </c>
    </row>
    <row r="31" spans="1:17" ht="20.100000000000001" customHeight="1" x14ac:dyDescent="0.25">
      <c r="A31"/>
      <c r="D31" s="127" t="str">
        <f t="shared" si="0"/>
        <v>Generators</v>
      </c>
      <c r="E31" s="125" t="str">
        <f>'Constants - Fuel'!$D$77</f>
        <v>Renewable diesel</v>
      </c>
      <c r="F31" s="125" t="str">
        <f>'Constants - Fuel'!D137</f>
        <v>Renewable diesel</v>
      </c>
      <c r="G31" s="123">
        <f>IFERROR(_xlfn.XLOOKUP($E31, Table_Fuel_EFs_StationaryLiquid[Fuel combusted], Table_Fuel_EFs_StationaryLiquid[Energy Content Factor (GJ per unit of fuel)]),0)</f>
        <v>38.6</v>
      </c>
      <c r="H31" s="123">
        <f>IFERROR(_xlfn.XLOOKUP($E31, Table_Fuel_EFs_StationaryLiquid[Fuel combusted], Table_Fuel_EFs_StationaryLiquid[Scope 1 Emission Factor (kg CO2 - e / GJ) CO2]),0)</f>
        <v>0</v>
      </c>
      <c r="I31" s="123">
        <f>IFERROR(_xlfn.XLOOKUP($E31, Table_Fuel_EFs_StationaryLiquid[Fuel combusted], Table_Fuel_EFs_StationaryLiquid[Scope 1 Emission Factor (kg CO2 - e / GJ) CH4]),0)</f>
        <v>0.1</v>
      </c>
      <c r="J31" s="123">
        <f>IFERROR(_xlfn.XLOOKUP($E31, Table_Fuel_EFs_StationaryLiquid[Fuel combusted], Table_Fuel_EFs_StationaryLiquid[Scope 1 Emission Factor (kg CO2 - e / GJ) N2O]),0)</f>
        <v>0.2</v>
      </c>
      <c r="K31" s="123" t="str">
        <f>IFERROR(_xlfn.XLOOKUP($E31, Table_Fuel_EFs_StationaryLiquid[Fuel combusted], Table_Fuel_EFs_StationaryLiquid[Scope 3 Emission Factor (kg CO2 - e / GJ)]),0)</f>
        <v>NE</v>
      </c>
      <c r="L31" s="128" cm="1">
        <f t="array" ref="L31">Fuel_InputFunctions.Fuel_TotalConsumption(Table_Input_Fuel[Amount consumed], Table_Input_Fuel[Fuel use (select)], D31, Table_Input_Fuel[Fuel type (select)],F31)</f>
        <v>0</v>
      </c>
      <c r="M31" s="128" t="str" cm="1">
        <f t="array" ref="M31">Common_InputFunctions.Utility_LookupValueInTable(F31,Table_FuelTypes_Units[Fuel type],Table_FuelTypes_Units[Unit])</f>
        <v>kL</v>
      </c>
      <c r="N31" s="148" cm="1">
        <f t="array" ref="N31">Fuel_Equations.VEERG_8_2_1_1__1_FuelCombustionStationary($L31,$G31,H31)</f>
        <v>0</v>
      </c>
      <c r="O31" s="148" cm="1">
        <f t="array" ref="O31">Fuel_Equations.VEERG_8_2_1_1__1_FuelCombustionStationary($L31,$G31,I31)</f>
        <v>0</v>
      </c>
      <c r="P31" s="148" cm="1">
        <f t="array" ref="P31">Fuel_Equations.VEERG_8_2_1_1__1_FuelCombustionStationary($L31,$G31,J31)</f>
        <v>0</v>
      </c>
      <c r="Q31" s="148" cm="1">
        <f t="array" ref="Q31">Fuel_Equations.VEERG_8_2_1_1__1_FuelCombustionStationary($L31,$G31,IF(ISNUMBER(K31), K31, 0))</f>
        <v>0</v>
      </c>
    </row>
    <row r="32" spans="1:17" ht="20.100000000000001" customHeight="1" x14ac:dyDescent="0.25">
      <c r="A32"/>
      <c r="D32" s="130" t="str">
        <f>Table_FuelTypesPerUse[[#Headers],[Power standalone machinery or heating]]</f>
        <v>Power standalone machinery or heating</v>
      </c>
      <c r="E32" s="131" t="str">
        <f>'Constants - Fuel'!$D$58</f>
        <v>Automotive gasoline / petrol (other than for use as fuel in an aircraft)</v>
      </c>
      <c r="F32" s="131" t="str">
        <f>'Constants - Fuel'!E131</f>
        <v>Petrol</v>
      </c>
      <c r="G32" s="138">
        <f>IFERROR(_xlfn.XLOOKUP($E32, Table_Fuel_EFs_StationaryLiquid[Fuel combusted], Table_Fuel_EFs_StationaryLiquid[Energy Content Factor (GJ per unit of fuel)]),0)</f>
        <v>34.200000000000003</v>
      </c>
      <c r="H32" s="138">
        <f>IFERROR(_xlfn.XLOOKUP($E32, Table_Fuel_EFs_StationaryLiquid[Fuel combusted], Table_Fuel_EFs_StationaryLiquid[Scope 1 Emission Factor (kg CO2 - e / GJ) CO2]),0)</f>
        <v>67.400000000000006</v>
      </c>
      <c r="I32" s="138">
        <f>IFERROR(_xlfn.XLOOKUP($E32, Table_Fuel_EFs_StationaryLiquid[Fuel combusted], Table_Fuel_EFs_StationaryLiquid[Scope 1 Emission Factor (kg CO2 - e / GJ) CH4]),0)</f>
        <v>0.2</v>
      </c>
      <c r="J32" s="138">
        <f>IFERROR(_xlfn.XLOOKUP($E32, Table_Fuel_EFs_StationaryLiquid[Fuel combusted], Table_Fuel_EFs_StationaryLiquid[Scope 1 Emission Factor (kg CO2 - e / GJ) N2O]),0)</f>
        <v>0.2</v>
      </c>
      <c r="K32" s="138">
        <f>IFERROR(_xlfn.XLOOKUP($E32, Table_Fuel_EFs_StationaryLiquid[Fuel combusted], Table_Fuel_EFs_StationaryLiquid[Scope 3 Emission Factor (kg CO2 - e / GJ)]),0)</f>
        <v>17.2</v>
      </c>
      <c r="L32" s="134" cm="1">
        <f t="array" ref="L32">Fuel_InputFunctions.Fuel_TotalConsumption(Table_Input_Fuel[Amount consumed], Table_Input_Fuel[Fuel use (select)], D32, Table_Input_Fuel[Fuel type (select)],F32)</f>
        <v>10</v>
      </c>
      <c r="M32" s="135" t="str" cm="1">
        <f t="array" ref="M32">Common_InputFunctions.Utility_LookupValueInTable(F32,Table_FuelTypes_Units[Fuel type],Table_FuelTypes_Units[Unit])</f>
        <v>kL</v>
      </c>
      <c r="N32" s="149" cm="1">
        <f t="array" ref="N32">Fuel_Equations.VEERG_8_2_1_1__1_FuelCombustionStationary($L32,$G32,H32)</f>
        <v>23.050800000000002</v>
      </c>
      <c r="O32" s="149" cm="1">
        <f t="array" ref="O32">Fuel_Equations.VEERG_8_2_1_1__1_FuelCombustionStationary($L32,$G32,I32)</f>
        <v>6.8400000000000002E-2</v>
      </c>
      <c r="P32" s="149" cm="1">
        <f t="array" ref="P32">Fuel_Equations.VEERG_8_2_1_1__1_FuelCombustionStationary($L32,$G32,J32)</f>
        <v>6.8400000000000002E-2</v>
      </c>
      <c r="Q32" s="149" cm="1">
        <f t="array" ref="Q32">Fuel_Equations.VEERG_8_2_1_1__1_FuelCombustionStationary($L32,$G32,IF(ISNUMBER(K32), K32, 0))</f>
        <v>5.8823999999999996</v>
      </c>
    </row>
    <row r="33" spans="1:17" ht="20.100000000000001" customHeight="1" x14ac:dyDescent="0.25">
      <c r="A33"/>
      <c r="D33" s="127" t="str">
        <f t="shared" ref="D33:D40" si="1">$D$32</f>
        <v>Power standalone machinery or heating</v>
      </c>
      <c r="E33" s="125" t="str">
        <f>'Constants - Fuel'!$D$63</f>
        <v>Diesel oil</v>
      </c>
      <c r="F33" s="125" t="str">
        <f>'Constants - Fuel'!E132</f>
        <v>Diesel</v>
      </c>
      <c r="G33" s="48">
        <f>IFERROR(_xlfn.XLOOKUP($E33, Table_Fuel_EFs_StationaryLiquid[Fuel combusted], Table_Fuel_EFs_StationaryLiquid[Energy Content Factor (GJ per unit of fuel)]),0)</f>
        <v>38.6</v>
      </c>
      <c r="H33" s="48">
        <f>IFERROR(_xlfn.XLOOKUP($E33, Table_Fuel_EFs_StationaryLiquid[Fuel combusted], Table_Fuel_EFs_StationaryLiquid[Scope 1 Emission Factor (kg CO2 - e / GJ) CO2]),0)</f>
        <v>69.900000000000006</v>
      </c>
      <c r="I33" s="48">
        <f>IFERROR(_xlfn.XLOOKUP($E33, Table_Fuel_EFs_StationaryLiquid[Fuel combusted], Table_Fuel_EFs_StationaryLiquid[Scope 1 Emission Factor (kg CO2 - e / GJ) CH4]),0)</f>
        <v>0.1</v>
      </c>
      <c r="J33" s="48">
        <f>IFERROR(_xlfn.XLOOKUP($E33, Table_Fuel_EFs_StationaryLiquid[Fuel combusted], Table_Fuel_EFs_StationaryLiquid[Scope 1 Emission Factor (kg CO2 - e / GJ) N2O]),0)</f>
        <v>0.2</v>
      </c>
      <c r="K33" s="48">
        <f>IFERROR(_xlfn.XLOOKUP($E33, Table_Fuel_EFs_StationaryLiquid[Fuel combusted], Table_Fuel_EFs_StationaryLiquid[Scope 3 Emission Factor (kg CO2 - e / GJ)]),0)</f>
        <v>17.3</v>
      </c>
      <c r="L33" s="48" cm="1">
        <f t="array" ref="L33">Fuel_InputFunctions.Fuel_TotalConsumption(Table_Input_Fuel[Amount consumed], Table_Input_Fuel[Fuel use (select)], D33, Table_Input_Fuel[Fuel type (select)],F33)</f>
        <v>0</v>
      </c>
      <c r="M33" s="48" t="str" cm="1">
        <f t="array" ref="M33">Common_InputFunctions.Utility_LookupValueInTable(F33,Table_FuelTypes_Units[Fuel type],Table_FuelTypes_Units[Unit])</f>
        <v>kL</v>
      </c>
      <c r="N33" s="147" cm="1">
        <f t="array" ref="N33">Fuel_Equations.VEERG_8_2_1_1__1_FuelCombustionStationary($L33,$G33,H33)</f>
        <v>0</v>
      </c>
      <c r="O33" s="147" cm="1">
        <f t="array" ref="O33">Fuel_Equations.VEERG_8_2_1_1__1_FuelCombustionStationary($L33,$G33,I33)</f>
        <v>0</v>
      </c>
      <c r="P33" s="147" cm="1">
        <f t="array" ref="P33">Fuel_Equations.VEERG_8_2_1_1__1_FuelCombustionStationary($L33,$G33,J33)</f>
        <v>0</v>
      </c>
      <c r="Q33" s="147" cm="1">
        <f t="array" ref="Q33">Fuel_Equations.VEERG_8_2_1_1__1_FuelCombustionStationary($L33,$G33,IF(ISNUMBER(K33), K33, 0))</f>
        <v>0</v>
      </c>
    </row>
    <row r="34" spans="1:17" ht="20.100000000000001" customHeight="1" x14ac:dyDescent="0.25">
      <c r="A34"/>
      <c r="D34" s="127" t="str">
        <f t="shared" si="1"/>
        <v>Power standalone machinery or heating</v>
      </c>
      <c r="E34" s="125" t="str">
        <f>'Constants - Fuel'!$D$67</f>
        <v>Liquefied petroleum gas (LPG)</v>
      </c>
      <c r="F34" s="125" t="str">
        <f>'Constants - Fuel'!E133</f>
        <v>Liquefied petroleum gas (LPG)</v>
      </c>
      <c r="G34" s="48">
        <f>IFERROR(_xlfn.XLOOKUP($E34, Table_Fuel_EFs_StationaryLiquid[Fuel combusted], Table_Fuel_EFs_StationaryLiquid[Energy Content Factor (GJ per unit of fuel)]),0)</f>
        <v>25.7</v>
      </c>
      <c r="H34" s="48">
        <f>IFERROR(_xlfn.XLOOKUP($E34, Table_Fuel_EFs_StationaryLiquid[Fuel combusted], Table_Fuel_EFs_StationaryLiquid[Scope 1 Emission Factor (kg CO2 - e / GJ) CO2]),0)</f>
        <v>60.2</v>
      </c>
      <c r="I34" s="48">
        <f>IFERROR(_xlfn.XLOOKUP($E34, Table_Fuel_EFs_StationaryLiquid[Fuel combusted], Table_Fuel_EFs_StationaryLiquid[Scope 1 Emission Factor (kg CO2 - e / GJ) CH4]),0)</f>
        <v>0.2</v>
      </c>
      <c r="J34" s="48">
        <f>IFERROR(_xlfn.XLOOKUP($E34, Table_Fuel_EFs_StationaryLiquid[Fuel combusted], Table_Fuel_EFs_StationaryLiquid[Scope 1 Emission Factor (kg CO2 - e / GJ) N2O]),0)</f>
        <v>0.2</v>
      </c>
      <c r="K34" s="48">
        <f>IFERROR(_xlfn.XLOOKUP($E34, Table_Fuel_EFs_StationaryLiquid[Fuel combusted], Table_Fuel_EFs_StationaryLiquid[Scope 3 Emission Factor (kg CO2 - e / GJ)]),0)</f>
        <v>20.2</v>
      </c>
      <c r="L34" s="48" cm="1">
        <f t="array" ref="L34">Fuel_InputFunctions.Fuel_TotalConsumption(Table_Input_Fuel[Amount consumed], Table_Input_Fuel[Fuel use (select)], D34, Table_Input_Fuel[Fuel type (select)],F34)</f>
        <v>0</v>
      </c>
      <c r="M34" s="48" t="str" cm="1">
        <f t="array" ref="M34">Common_InputFunctions.Utility_LookupValueInTable(F34,Table_FuelTypes_Units[Fuel type],Table_FuelTypes_Units[Unit])</f>
        <v>kL</v>
      </c>
      <c r="N34" s="147" cm="1">
        <f t="array" ref="N34">Fuel_Equations.VEERG_8_2_1_1__1_FuelCombustionStationary($L34,$G34,H34)</f>
        <v>0</v>
      </c>
      <c r="O34" s="147" cm="1">
        <f t="array" ref="O34">Fuel_Equations.VEERG_8_2_1_1__1_FuelCombustionStationary($L34,$G34,I34)</f>
        <v>0</v>
      </c>
      <c r="P34" s="147" cm="1">
        <f t="array" ref="P34">Fuel_Equations.VEERG_8_2_1_1__1_FuelCombustionStationary($L34,$G34,J34)</f>
        <v>0</v>
      </c>
      <c r="Q34" s="147" cm="1">
        <f t="array" ref="Q34">Fuel_Equations.VEERG_8_2_1_1__1_FuelCombustionStationary($L34,$G34,IF(ISNUMBER(K34), K34, 0))</f>
        <v>0</v>
      </c>
    </row>
    <row r="35" spans="1:17" ht="20.100000000000001" customHeight="1" x14ac:dyDescent="0.25">
      <c r="A35"/>
      <c r="D35" s="127" t="str">
        <f t="shared" si="1"/>
        <v>Power standalone machinery or heating</v>
      </c>
      <c r="E35" s="125" t="str">
        <f>'Constants - Fuel'!$D$73</f>
        <v>Biodiesel</v>
      </c>
      <c r="F35" s="125" t="str">
        <f>'Constants - Fuel'!E134</f>
        <v>Biodiesel</v>
      </c>
      <c r="G35" s="48">
        <f>IFERROR(_xlfn.XLOOKUP($E35, Table_Fuel_EFs_StationaryLiquid[Fuel combusted], Table_Fuel_EFs_StationaryLiquid[Energy Content Factor (GJ per unit of fuel)]),0)</f>
        <v>34.6</v>
      </c>
      <c r="H35" s="48">
        <f>IFERROR(_xlfn.XLOOKUP($E35, Table_Fuel_EFs_StationaryLiquid[Fuel combusted], Table_Fuel_EFs_StationaryLiquid[Scope 1 Emission Factor (kg CO2 - e / GJ) CO2]),0)</f>
        <v>0</v>
      </c>
      <c r="I35" s="48">
        <f>IFERROR(_xlfn.XLOOKUP($E35, Table_Fuel_EFs_StationaryLiquid[Fuel combusted], Table_Fuel_EFs_StationaryLiquid[Scope 1 Emission Factor (kg CO2 - e / GJ) CH4]),0)</f>
        <v>0.08</v>
      </c>
      <c r="J35" s="48">
        <f>IFERROR(_xlfn.XLOOKUP($E35, Table_Fuel_EFs_StationaryLiquid[Fuel combusted], Table_Fuel_EFs_StationaryLiquid[Scope 1 Emission Factor (kg CO2 - e / GJ) N2O]),0)</f>
        <v>0.2</v>
      </c>
      <c r="K35" s="48" t="str">
        <f>IFERROR(_xlfn.XLOOKUP($E35, Table_Fuel_EFs_StationaryLiquid[Fuel combusted], Table_Fuel_EFs_StationaryLiquid[Scope 3 Emission Factor (kg CO2 - e / GJ)]),0)</f>
        <v>NE</v>
      </c>
      <c r="L35" s="48" cm="1">
        <f t="array" ref="L35">Fuel_InputFunctions.Fuel_TotalConsumption(Table_Input_Fuel[Amount consumed], Table_Input_Fuel[Fuel use (select)], D35, Table_Input_Fuel[Fuel type (select)],F35)</f>
        <v>0</v>
      </c>
      <c r="M35" s="48" t="str" cm="1">
        <f t="array" ref="M35">Common_InputFunctions.Utility_LookupValueInTable(F35,Table_FuelTypes_Units[Fuel type],Table_FuelTypes_Units[Unit])</f>
        <v>kL</v>
      </c>
      <c r="N35" s="147" cm="1">
        <f t="array" ref="N35">Fuel_Equations.VEERG_8_2_1_1__1_FuelCombustionStationary($L35,$G35,H35)</f>
        <v>0</v>
      </c>
      <c r="O35" s="147" cm="1">
        <f t="array" ref="O35">Fuel_Equations.VEERG_8_2_1_1__1_FuelCombustionStationary($L35,$G35,I35)</f>
        <v>0</v>
      </c>
      <c r="P35" s="147" cm="1">
        <f t="array" ref="P35">Fuel_Equations.VEERG_8_2_1_1__1_FuelCombustionStationary($L35,$G35,J35)</f>
        <v>0</v>
      </c>
      <c r="Q35" s="147" cm="1">
        <f t="array" ref="Q35">Fuel_Equations.VEERG_8_2_1_1__1_FuelCombustionStationary($L35,$G35,IF(ISNUMBER(K35), K35, 0))</f>
        <v>0</v>
      </c>
    </row>
    <row r="36" spans="1:17" ht="20.100000000000001" customHeight="1" x14ac:dyDescent="0.25">
      <c r="A36"/>
      <c r="D36" s="127" t="str">
        <f t="shared" si="1"/>
        <v>Power standalone machinery or heating</v>
      </c>
      <c r="E36" s="125" t="str">
        <f>'Constants - Fuel'!$D$74</f>
        <v>Ethanol for use as a fuel in an internal combustion engine</v>
      </c>
      <c r="F36" s="125" t="str">
        <f>'Constants - Fuel'!E135</f>
        <v>Ethanol</v>
      </c>
      <c r="G36" s="48">
        <f>IFERROR(_xlfn.XLOOKUP($E36, Table_Fuel_EFs_StationaryLiquid[Fuel combusted], Table_Fuel_EFs_StationaryLiquid[Energy Content Factor (GJ per unit of fuel)]),0)</f>
        <v>23.4</v>
      </c>
      <c r="H36" s="48">
        <f>IFERROR(_xlfn.XLOOKUP($E36, Table_Fuel_EFs_StationaryLiquid[Fuel combusted], Table_Fuel_EFs_StationaryLiquid[Scope 1 Emission Factor (kg CO2 - e / GJ) CO2]),0)</f>
        <v>0</v>
      </c>
      <c r="I36" s="48">
        <f>IFERROR(_xlfn.XLOOKUP($E36, Table_Fuel_EFs_StationaryLiquid[Fuel combusted], Table_Fuel_EFs_StationaryLiquid[Scope 1 Emission Factor (kg CO2 - e / GJ) CH4]),0)</f>
        <v>0.08</v>
      </c>
      <c r="J36" s="48">
        <f>IFERROR(_xlfn.XLOOKUP($E36, Table_Fuel_EFs_StationaryLiquid[Fuel combusted], Table_Fuel_EFs_StationaryLiquid[Scope 1 Emission Factor (kg CO2 - e / GJ) N2O]),0)</f>
        <v>0.2</v>
      </c>
      <c r="K36" s="48" t="str">
        <f>IFERROR(_xlfn.XLOOKUP($E36, Table_Fuel_EFs_StationaryLiquid[Fuel combusted], Table_Fuel_EFs_StationaryLiquid[Scope 3 Emission Factor (kg CO2 - e / GJ)]),0)</f>
        <v>NE</v>
      </c>
      <c r="L36" s="48" cm="1">
        <f t="array" ref="L36">Fuel_InputFunctions.Fuel_TotalConsumption(Table_Input_Fuel[Amount consumed], Table_Input_Fuel[Fuel use (select)], D36, Table_Input_Fuel[Fuel type (select)],F36)</f>
        <v>0</v>
      </c>
      <c r="M36" s="48" t="str" cm="1">
        <f t="array" ref="M36">Common_InputFunctions.Utility_LookupValueInTable(F36,Table_FuelTypes_Units[Fuel type],Table_FuelTypes_Units[Unit])</f>
        <v>kL</v>
      </c>
      <c r="N36" s="147" cm="1">
        <f t="array" ref="N36">Fuel_Equations.VEERG_8_2_1_1__1_FuelCombustionStationary($L36,$G36,H36)</f>
        <v>0</v>
      </c>
      <c r="O36" s="147" cm="1">
        <f t="array" ref="O36">Fuel_Equations.VEERG_8_2_1_1__1_FuelCombustionStationary($L36,$G36,I36)</f>
        <v>0</v>
      </c>
      <c r="P36" s="147" cm="1">
        <f t="array" ref="P36">Fuel_Equations.VEERG_8_2_1_1__1_FuelCombustionStationary($L36,$G36,J36)</f>
        <v>0</v>
      </c>
      <c r="Q36" s="147" cm="1">
        <f t="array" ref="Q36">Fuel_Equations.VEERG_8_2_1_1__1_FuelCombustionStationary($L36,$G36,IF(ISNUMBER(K36), K36, 0))</f>
        <v>0</v>
      </c>
    </row>
    <row r="37" spans="1:17" ht="20.100000000000001" customHeight="1" x14ac:dyDescent="0.25">
      <c r="A37"/>
      <c r="D37" s="127" t="str">
        <f t="shared" si="1"/>
        <v>Power standalone machinery or heating</v>
      </c>
      <c r="E37" s="125" t="str">
        <f>'Constants - Fuel'!$D$75</f>
        <v>Biofuels other than those mentioned in the items above and below</v>
      </c>
      <c r="F37" s="125" t="str">
        <f>'Constants - Fuel'!E136</f>
        <v>Other biofuels</v>
      </c>
      <c r="G37" s="48">
        <f>IFERROR(_xlfn.XLOOKUP($E37, Table_Fuel_EFs_StationaryLiquid[Fuel combusted], Table_Fuel_EFs_StationaryLiquid[Energy Content Factor (GJ per unit of fuel)]),0)</f>
        <v>23.4</v>
      </c>
      <c r="H37" s="48">
        <f>IFERROR(_xlfn.XLOOKUP($E37, Table_Fuel_EFs_StationaryLiquid[Fuel combusted], Table_Fuel_EFs_StationaryLiquid[Scope 1 Emission Factor (kg CO2 - e / GJ) CO2]),0)</f>
        <v>0</v>
      </c>
      <c r="I37" s="48">
        <f>IFERROR(_xlfn.XLOOKUP($E37, Table_Fuel_EFs_StationaryLiquid[Fuel combusted], Table_Fuel_EFs_StationaryLiquid[Scope 1 Emission Factor (kg CO2 - e / GJ) CH4]),0)</f>
        <v>0.08</v>
      </c>
      <c r="J37" s="48">
        <f>IFERROR(_xlfn.XLOOKUP($E37, Table_Fuel_EFs_StationaryLiquid[Fuel combusted], Table_Fuel_EFs_StationaryLiquid[Scope 1 Emission Factor (kg CO2 - e / GJ) N2O]),0)</f>
        <v>0.2</v>
      </c>
      <c r="K37" s="48" t="str">
        <f>IFERROR(_xlfn.XLOOKUP($E37, Table_Fuel_EFs_StationaryLiquid[Fuel combusted], Table_Fuel_EFs_StationaryLiquid[Scope 3 Emission Factor (kg CO2 - e / GJ)]),0)</f>
        <v>NE</v>
      </c>
      <c r="L37" s="48" cm="1">
        <f t="array" ref="L37">Fuel_InputFunctions.Fuel_TotalConsumption(Table_Input_Fuel[Amount consumed], Table_Input_Fuel[Fuel use (select)], D37, Table_Input_Fuel[Fuel type (select)],F37)</f>
        <v>0</v>
      </c>
      <c r="M37" s="48" t="str" cm="1">
        <f t="array" ref="M37">Common_InputFunctions.Utility_LookupValueInTable(F37,Table_FuelTypes_Units[Fuel type],Table_FuelTypes_Units[Unit])</f>
        <v>kL</v>
      </c>
      <c r="N37" s="147" cm="1">
        <f t="array" ref="N37">Fuel_Equations.VEERG_8_2_1_1__1_FuelCombustionStationary($L37,$G37,H37)</f>
        <v>0</v>
      </c>
      <c r="O37" s="147" cm="1">
        <f t="array" ref="O37">Fuel_Equations.VEERG_8_2_1_1__1_FuelCombustionStationary($L37,$G37,I37)</f>
        <v>0</v>
      </c>
      <c r="P37" s="147" cm="1">
        <f t="array" ref="P37">Fuel_Equations.VEERG_8_2_1_1__1_FuelCombustionStationary($L37,$G37,J37)</f>
        <v>0</v>
      </c>
      <c r="Q37" s="147" cm="1">
        <f t="array" ref="Q37">Fuel_Equations.VEERG_8_2_1_1__1_FuelCombustionStationary($L37,$G37,IF(ISNUMBER(K37), K37, 0))</f>
        <v>0</v>
      </c>
    </row>
    <row r="38" spans="1:17" ht="20.100000000000001" customHeight="1" x14ac:dyDescent="0.25">
      <c r="A38"/>
      <c r="D38" s="127" t="str">
        <f t="shared" si="1"/>
        <v>Power standalone machinery or heating</v>
      </c>
      <c r="E38" s="125" t="str">
        <f>'Constants - Fuel'!$D$77</f>
        <v>Renewable diesel</v>
      </c>
      <c r="F38" s="125" t="str">
        <f>'Constants - Fuel'!E137</f>
        <v>Renewable diesel</v>
      </c>
      <c r="G38" s="48">
        <f>IFERROR(_xlfn.XLOOKUP($E38, Table_Fuel_EFs_StationaryLiquid[Fuel combusted], Table_Fuel_EFs_StationaryLiquid[Energy Content Factor (GJ per unit of fuel)]),0)</f>
        <v>38.6</v>
      </c>
      <c r="H38" s="48">
        <f>IFERROR(_xlfn.XLOOKUP($E38, Table_Fuel_EFs_StationaryLiquid[Fuel combusted], Table_Fuel_EFs_StationaryLiquid[Scope 1 Emission Factor (kg CO2 - e / GJ) CO2]),0)</f>
        <v>0</v>
      </c>
      <c r="I38" s="48">
        <f>IFERROR(_xlfn.XLOOKUP($E38, Table_Fuel_EFs_StationaryLiquid[Fuel combusted], Table_Fuel_EFs_StationaryLiquid[Scope 1 Emission Factor (kg CO2 - e / GJ) CH4]),0)</f>
        <v>0.1</v>
      </c>
      <c r="J38" s="48">
        <f>IFERROR(_xlfn.XLOOKUP($E38, Table_Fuel_EFs_StationaryLiquid[Fuel combusted], Table_Fuel_EFs_StationaryLiquid[Scope 1 Emission Factor (kg CO2 - e / GJ) N2O]),0)</f>
        <v>0.2</v>
      </c>
      <c r="K38" s="48" t="str">
        <f>IFERROR(_xlfn.XLOOKUP($E38, Table_Fuel_EFs_StationaryLiquid[Fuel combusted], Table_Fuel_EFs_StationaryLiquid[Scope 3 Emission Factor (kg CO2 - e / GJ)]),0)</f>
        <v>NE</v>
      </c>
      <c r="L38" s="48" cm="1">
        <f t="array" ref="L38">Fuel_InputFunctions.Fuel_TotalConsumption(Table_Input_Fuel[Amount consumed], Table_Input_Fuel[Fuel use (select)], D38, Table_Input_Fuel[Fuel type (select)],F38)</f>
        <v>0</v>
      </c>
      <c r="M38" s="48" t="str" cm="1">
        <f t="array" ref="M38">Common_InputFunctions.Utility_LookupValueInTable(F38,Table_FuelTypes_Units[Fuel type],Table_FuelTypes_Units[Unit])</f>
        <v>kL</v>
      </c>
      <c r="N38" s="147" cm="1">
        <f t="array" ref="N38">Fuel_Equations.VEERG_8_2_1_1__1_FuelCombustionStationary($L38,$G38,H38)</f>
        <v>0</v>
      </c>
      <c r="O38" s="147" cm="1">
        <f t="array" ref="O38">Fuel_Equations.VEERG_8_2_1_1__1_FuelCombustionStationary($L38,$G38,I38)</f>
        <v>0</v>
      </c>
      <c r="P38" s="147" cm="1">
        <f t="array" ref="P38">Fuel_Equations.VEERG_8_2_1_1__1_FuelCombustionStationary($L38,$G38,J38)</f>
        <v>0</v>
      </c>
      <c r="Q38" s="147" cm="1">
        <f t="array" ref="Q38">Fuel_Equations.VEERG_8_2_1_1__1_FuelCombustionStationary($L38,$G38,IF(ISNUMBER(K38), K38, 0))</f>
        <v>0</v>
      </c>
    </row>
    <row r="39" spans="1:17" ht="20.100000000000001" customHeight="1" x14ac:dyDescent="0.25">
      <c r="A39"/>
      <c r="D39" s="127" t="str">
        <f t="shared" si="1"/>
        <v>Power standalone machinery or heating</v>
      </c>
      <c r="E39" s="125" t="str">
        <f>'Constants - Fuel'!$D$103</f>
        <v>Natural gas distributed in a pipeline - Gigajoules</v>
      </c>
      <c r="F39" s="125" t="str">
        <f>'Constants - Fuel'!E138</f>
        <v>Natural gas (via pipeline) in GJ</v>
      </c>
      <c r="G39" s="48">
        <f>IFERROR(_xlfn.XLOOKUP($E39, Table_Fuel_EFs_StationaryGaseous[Fuel combusted], Table_Fuel_EFs_StationaryGaseous[Energy Content Factor (GJ per unit of fuel)]),0)</f>
        <v>1</v>
      </c>
      <c r="H39" s="48">
        <f>IFERROR(_xlfn.XLOOKUP($E39, Table_Fuel_EFs_StationaryGaseous[Fuel combusted], Table_Fuel_EFs_StationaryGaseous[Scope 1 Emission Factor (kg CO2 - e / GJ) CO2]),0)</f>
        <v>51.4</v>
      </c>
      <c r="I39" s="48">
        <f>IFERROR(_xlfn.XLOOKUP($E39, Table_Fuel_EFs_StationaryGaseous[Fuel combusted], Table_Fuel_EFs_StationaryGaseous[Scope 1 Emission Factor (kg CO2 - e / GJ) CH4]),0)</f>
        <v>0.1</v>
      </c>
      <c r="J39" s="48">
        <f>IFERROR(_xlfn.XLOOKUP($E39, Table_Fuel_EFs_StationaryGaseous[Fuel combusted], Table_Fuel_EFs_StationaryGaseous[Scope 1 Emission Factor (kg CO2 - e / GJ) N2O]),0)</f>
        <v>0.03</v>
      </c>
      <c r="K39" s="48" cm="1">
        <f t="array" ref="K39">IFERROR(Common_InputFunctions.Utility_LookupValueInTableOneColumnAndHeader($P$17,$P$18,Table_Fuel_EFs_StationaryGaseous34[State or territory],Table_Fuel_EFs_StationaryGaseous34[#Headers],Table_Fuel_EFs_StationaryGaseous34[#Data]),0)</f>
        <v>4.0999999999999996</v>
      </c>
      <c r="L39" s="111" cm="1">
        <f t="array" ref="L39">Fuel_InputFunctions.Fuel_TotalConsumption(Table_Input_Fuel[Amount consumed], Table_Input_Fuel[Fuel use (select)], D39, Table_Input_Fuel[Fuel type (select)],F39)</f>
        <v>0</v>
      </c>
      <c r="M39" s="111" t="str" cm="1">
        <f t="array" ref="M39">Common_InputFunctions.Utility_LookupValueInTable(F39,Table_FuelTypes_Units[Fuel type],Table_FuelTypes_Units[Unit])</f>
        <v>GJ</v>
      </c>
      <c r="N39" s="147" cm="1">
        <f t="array" ref="N39">Fuel_Equations.VEERG_8_2_1_1__1_FuelCombustionStationary($L39,$G39,H39)</f>
        <v>0</v>
      </c>
      <c r="O39" s="147" cm="1">
        <f t="array" ref="O39">Fuel_Equations.VEERG_8_2_1_1__1_FuelCombustionStationary($L39,$G39,I39)</f>
        <v>0</v>
      </c>
      <c r="P39" s="147" cm="1">
        <f t="array" ref="P39">Fuel_Equations.VEERG_8_2_1_1__1_FuelCombustionStationary($L39,$G39,J39)</f>
        <v>0</v>
      </c>
      <c r="Q39" s="147" cm="1">
        <f t="array" ref="Q39">Fuel_Equations.VEERG_8_2_1_1__1_FuelCombustionStationary($L39,$G39,IF(ISNUMBER(K39), K39, 0))</f>
        <v>0</v>
      </c>
    </row>
    <row r="40" spans="1:17" ht="20.100000000000001" customHeight="1" x14ac:dyDescent="0.25">
      <c r="A40"/>
      <c r="D40" s="127" t="str">
        <f t="shared" si="1"/>
        <v>Power standalone machinery or heating</v>
      </c>
      <c r="E40" s="125" t="str">
        <f>'Constants - Fuel'!$D$104</f>
        <v>Town gas - Gigajoules</v>
      </c>
      <c r="F40" s="125" t="str">
        <f>'Constants - Fuel'!E139</f>
        <v>Town gas in GJ</v>
      </c>
      <c r="G40" s="48">
        <f>IFERROR(_xlfn.XLOOKUP($E40, Table_Fuel_EFs_StationaryGaseous[Fuel combusted], Table_Fuel_EFs_StationaryGaseous[Energy Content Factor (GJ per unit of fuel)]),0)</f>
        <v>1</v>
      </c>
      <c r="H40" s="48">
        <f>IFERROR(_xlfn.XLOOKUP($E40, Table_Fuel_EFs_StationaryGaseous[Fuel combusted], Table_Fuel_EFs_StationaryGaseous[Scope 1 Emission Factor (kg CO2 - e / GJ) CO2]),0)</f>
        <v>60.2</v>
      </c>
      <c r="I40" s="48">
        <f>IFERROR(_xlfn.XLOOKUP($E40, Table_Fuel_EFs_StationaryGaseous[Fuel combusted], Table_Fuel_EFs_StationaryGaseous[Scope 1 Emission Factor (kg CO2 - e / GJ) CH4]),0)</f>
        <v>0.04</v>
      </c>
      <c r="J40" s="48">
        <f>IFERROR(_xlfn.XLOOKUP($E40, Table_Fuel_EFs_StationaryGaseous[Fuel combusted], Table_Fuel_EFs_StationaryGaseous[Scope 1 Emission Factor (kg CO2 - e / GJ) N2O]),0)</f>
        <v>0.03</v>
      </c>
      <c r="K40" s="48" cm="1">
        <f t="array" ref="K40">IFERROR(Common_InputFunctions.Utility_LookupValueInTableOneColumnAndHeader($P$17,$P$18,Table_Fuel_EFs_StationaryGaseous34[State or territory],Table_Fuel_EFs_StationaryGaseous34[#Headers],Table_Fuel_EFs_StationaryGaseous34[#Data]),0)</f>
        <v>4.0999999999999996</v>
      </c>
      <c r="L40" s="111" cm="1">
        <f t="array" ref="L40">Fuel_InputFunctions.Fuel_TotalConsumption(Table_Input_Fuel[Amount consumed], Table_Input_Fuel[Fuel use (select)], D40, Table_Input_Fuel[Fuel type (select)],F40)</f>
        <v>100</v>
      </c>
      <c r="M40" s="111" t="str" cm="1">
        <f t="array" ref="M40">Common_InputFunctions.Utility_LookupValueInTable(F40,Table_FuelTypes_Units[Fuel type],Table_FuelTypes_Units[Unit])</f>
        <v>GJ</v>
      </c>
      <c r="N40" s="147" cm="1">
        <f t="array" ref="N40">Fuel_Equations.VEERG_8_2_1_1__1_FuelCombustionStationary($L40,$G40,H40)</f>
        <v>6.0200000000000005</v>
      </c>
      <c r="O40" s="147" cm="1">
        <f t="array" ref="O40">Fuel_Equations.VEERG_8_2_1_1__1_FuelCombustionStationary($L40,$G40,I40)</f>
        <v>4.0000000000000001E-3</v>
      </c>
      <c r="P40" s="147" cm="1">
        <f t="array" ref="P40">Fuel_Equations.VEERG_8_2_1_1__1_FuelCombustionStationary($L40,$G40,J40)</f>
        <v>3.0000000000000001E-3</v>
      </c>
      <c r="Q40" s="147"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0" t="str">
        <f>"Total scope 1 - " &amp; D25</f>
        <v>Total scope 1 - Generators</v>
      </c>
      <c r="E42" s="141"/>
      <c r="F42" s="142"/>
    </row>
    <row r="43" spans="1:17" ht="20.100000000000001" customHeight="1" x14ac:dyDescent="0.25">
      <c r="A43"/>
      <c r="D43" s="14" t="s">
        <v>328</v>
      </c>
      <c r="E43" s="143">
        <f>SUM(N25:N31)</f>
        <v>0</v>
      </c>
      <c r="F43" s="28" t="str">
        <f>$E$12</f>
        <v>t CO2-e</v>
      </c>
    </row>
    <row r="44" spans="1:17" ht="20.100000000000001" customHeight="1" x14ac:dyDescent="0.25">
      <c r="A44"/>
      <c r="D44" s="14" t="s">
        <v>329</v>
      </c>
      <c r="E44" s="143">
        <f>SUM(O25:O31)</f>
        <v>0</v>
      </c>
      <c r="F44" s="28" t="str">
        <f t="shared" ref="F44:F46" si="2">$E$12</f>
        <v>t CO2-e</v>
      </c>
    </row>
    <row r="45" spans="1:17" ht="20.100000000000001" customHeight="1" x14ac:dyDescent="0.25">
      <c r="A45"/>
      <c r="D45" s="14" t="s">
        <v>330</v>
      </c>
      <c r="E45" s="143">
        <f>SUM(P25:P31)</f>
        <v>0</v>
      </c>
      <c r="F45" s="28" t="str">
        <f t="shared" si="2"/>
        <v>t CO2-e</v>
      </c>
    </row>
    <row r="46" spans="1:17" ht="20.100000000000001" customHeight="1" x14ac:dyDescent="0.25">
      <c r="A46"/>
      <c r="D46" s="14" t="s">
        <v>331</v>
      </c>
      <c r="E46" s="143">
        <f>SUM(Q25:Q31)</f>
        <v>0</v>
      </c>
      <c r="F46" s="28" t="str">
        <f t="shared" si="2"/>
        <v>t CO2-e</v>
      </c>
    </row>
    <row r="47" spans="1:17" ht="20.100000000000001" customHeight="1" x14ac:dyDescent="0.25">
      <c r="A47"/>
      <c r="H47" s="103"/>
      <c r="I47" s="103"/>
      <c r="J47" s="103"/>
      <c r="L47" s="103"/>
      <c r="N47" s="103"/>
      <c r="O47" s="103"/>
      <c r="P47" s="103"/>
      <c r="Q47" s="103"/>
    </row>
    <row r="48" spans="1:17" ht="20.100000000000001" customHeight="1" x14ac:dyDescent="0.25">
      <c r="A48"/>
      <c r="D48" s="140" t="str">
        <f>"Total scope 1 - " &amp; D32</f>
        <v>Total scope 1 - Power standalone machinery or heating</v>
      </c>
      <c r="E48" s="144"/>
      <c r="F48" s="142"/>
      <c r="H48" s="103"/>
      <c r="I48" s="103"/>
      <c r="J48" s="103"/>
      <c r="L48" s="103"/>
      <c r="N48" s="103"/>
      <c r="O48" s="103"/>
      <c r="P48" s="103"/>
      <c r="Q48" s="103"/>
    </row>
    <row r="49" spans="1:17" ht="20.100000000000001" customHeight="1" x14ac:dyDescent="0.25">
      <c r="A49"/>
      <c r="D49" s="14" t="s">
        <v>328</v>
      </c>
      <c r="E49" s="143">
        <f>SUM(N32:N40)</f>
        <v>29.070800000000002</v>
      </c>
      <c r="F49" s="28" t="str">
        <f t="shared" ref="F49:F52" si="3">$E$12</f>
        <v>t CO2-e</v>
      </c>
      <c r="H49" s="103"/>
      <c r="I49" s="103"/>
      <c r="J49" s="103"/>
      <c r="L49" s="103"/>
      <c r="N49" s="103"/>
      <c r="O49" s="103"/>
      <c r="P49" s="103"/>
      <c r="Q49" s="103"/>
    </row>
    <row r="50" spans="1:17" ht="20.100000000000001" customHeight="1" x14ac:dyDescent="0.25">
      <c r="A50"/>
      <c r="D50" s="14" t="s">
        <v>329</v>
      </c>
      <c r="E50" s="143">
        <f>SUM(O32:O40)</f>
        <v>7.2400000000000006E-2</v>
      </c>
      <c r="F50" s="28" t="str">
        <f t="shared" si="3"/>
        <v>t CO2-e</v>
      </c>
      <c r="H50" s="103"/>
      <c r="I50" s="103"/>
      <c r="J50" s="103"/>
      <c r="L50" s="103"/>
      <c r="N50" s="103"/>
      <c r="O50" s="103"/>
      <c r="P50" s="103"/>
      <c r="Q50" s="103"/>
    </row>
    <row r="51" spans="1:17" ht="20.100000000000001" customHeight="1" x14ac:dyDescent="0.25">
      <c r="A51"/>
      <c r="D51" s="14" t="s">
        <v>330</v>
      </c>
      <c r="E51" s="143">
        <f>SUM(P32:P40)</f>
        <v>7.1400000000000005E-2</v>
      </c>
      <c r="F51" s="28" t="str">
        <f t="shared" si="3"/>
        <v>t CO2-e</v>
      </c>
      <c r="H51" s="103"/>
      <c r="I51" s="103"/>
      <c r="J51" s="103"/>
      <c r="L51" s="103"/>
      <c r="N51" s="103"/>
      <c r="O51" s="103"/>
      <c r="P51" s="103"/>
      <c r="Q51" s="103"/>
    </row>
    <row r="52" spans="1:17" ht="20.100000000000001" customHeight="1" x14ac:dyDescent="0.25">
      <c r="A52"/>
      <c r="D52" s="14" t="s">
        <v>331</v>
      </c>
      <c r="E52" s="143">
        <f>SUM(Q32:Q40)</f>
        <v>6.2923999999999998</v>
      </c>
      <c r="F52" s="28" t="str">
        <f t="shared" si="3"/>
        <v>t CO2-e</v>
      </c>
      <c r="G52" s="103"/>
      <c r="H52" s="103"/>
      <c r="I52" s="103"/>
      <c r="J52" s="103"/>
      <c r="L52" s="103"/>
      <c r="N52" s="103"/>
      <c r="O52" s="103"/>
      <c r="P52" s="103"/>
      <c r="Q52" s="103"/>
    </row>
    <row r="53" spans="1:17" ht="20.100000000000001" customHeight="1" x14ac:dyDescent="0.25">
      <c r="A53"/>
      <c r="G53" s="103"/>
      <c r="H53" s="103"/>
      <c r="I53" s="103"/>
      <c r="J53" s="103"/>
      <c r="L53" s="103"/>
      <c r="N53" s="103"/>
      <c r="O53" s="103"/>
      <c r="P53" s="103"/>
      <c r="Q53" s="103"/>
    </row>
    <row r="54" spans="1:17" ht="20.100000000000001" customHeight="1" x14ac:dyDescent="0.25">
      <c r="A54"/>
      <c r="D54" s="140" t="s">
        <v>342</v>
      </c>
      <c r="E54" s="144"/>
      <c r="F54" s="142"/>
      <c r="G54" s="103"/>
      <c r="H54" s="103"/>
      <c r="I54" s="103"/>
      <c r="J54" s="103"/>
      <c r="L54" s="103"/>
      <c r="N54" s="103"/>
      <c r="O54" s="103"/>
      <c r="P54" s="103"/>
      <c r="Q54" s="103"/>
    </row>
    <row r="55" spans="1:17" ht="20.100000000000001" customHeight="1" x14ac:dyDescent="0.25">
      <c r="A55"/>
      <c r="D55" s="14" t="s">
        <v>328</v>
      </c>
      <c r="E55" s="143">
        <f>E43+E49</f>
        <v>29.070800000000002</v>
      </c>
      <c r="F55" s="28" t="str">
        <f t="shared" ref="F55:F58" si="4">$E$12</f>
        <v>t CO2-e</v>
      </c>
      <c r="G55" s="103"/>
      <c r="H55" s="103"/>
      <c r="I55" s="103"/>
      <c r="J55" s="103"/>
      <c r="L55" s="103"/>
      <c r="N55" s="103"/>
      <c r="O55" s="103"/>
      <c r="P55" s="103"/>
      <c r="Q55" s="103"/>
    </row>
    <row r="56" spans="1:17" ht="20.100000000000001" customHeight="1" x14ac:dyDescent="0.25">
      <c r="A56"/>
      <c r="D56" s="14" t="s">
        <v>329</v>
      </c>
      <c r="E56" s="143">
        <f>E44+E50</f>
        <v>7.2400000000000006E-2</v>
      </c>
      <c r="F56" s="28" t="str">
        <f t="shared" si="4"/>
        <v>t CO2-e</v>
      </c>
      <c r="H56" s="103"/>
    </row>
    <row r="57" spans="1:17" ht="20.100000000000001" customHeight="1" x14ac:dyDescent="0.25">
      <c r="A57"/>
      <c r="D57" s="14" t="s">
        <v>330</v>
      </c>
      <c r="E57" s="143">
        <f>E45+E51</f>
        <v>7.1400000000000005E-2</v>
      </c>
      <c r="F57" s="28" t="str">
        <f t="shared" si="4"/>
        <v>t CO2-e</v>
      </c>
      <c r="G57" s="103"/>
      <c r="H57" s="103"/>
      <c r="I57" s="103"/>
      <c r="J57" s="103"/>
      <c r="L57" s="103"/>
      <c r="N57" s="103"/>
      <c r="O57" s="103"/>
      <c r="P57" s="103"/>
      <c r="Q57" s="103"/>
    </row>
    <row r="58" spans="1:17" ht="20.100000000000001" customHeight="1" x14ac:dyDescent="0.25">
      <c r="A58"/>
      <c r="D58" s="14" t="s">
        <v>331</v>
      </c>
      <c r="E58" s="143">
        <f>E46+E52</f>
        <v>6.2923999999999998</v>
      </c>
      <c r="F58" s="28" t="str">
        <f t="shared" si="4"/>
        <v>t CO2-e</v>
      </c>
      <c r="G58" s="103"/>
      <c r="H58" s="103"/>
      <c r="I58" s="103"/>
      <c r="J58" s="103"/>
      <c r="L58" s="103"/>
      <c r="N58" s="103"/>
      <c r="O58" s="103"/>
      <c r="P58" s="103"/>
      <c r="Q58" s="103"/>
    </row>
    <row r="59" spans="1:17" ht="20.100000000000001" customHeight="1" x14ac:dyDescent="0.25">
      <c r="A59"/>
      <c r="G59" s="103"/>
      <c r="H59" s="103"/>
      <c r="I59" s="103"/>
      <c r="J59" s="103"/>
      <c r="L59" s="103"/>
      <c r="N59" s="103"/>
      <c r="O59" s="103"/>
      <c r="P59" s="103"/>
      <c r="Q59" s="103"/>
    </row>
    <row r="60" spans="1:17" ht="20.100000000000001" customHeight="1" x14ac:dyDescent="0.25">
      <c r="A60"/>
      <c r="G60" s="103"/>
      <c r="H60" s="103"/>
      <c r="I60" s="103"/>
      <c r="J60" s="103"/>
      <c r="L60" s="103"/>
      <c r="N60" s="103"/>
      <c r="O60" s="103"/>
      <c r="P60" s="103"/>
      <c r="Q60" s="103"/>
    </row>
    <row r="61" spans="1:17" ht="20.100000000000001" customHeight="1" x14ac:dyDescent="0.25">
      <c r="A61"/>
      <c r="G61" s="103"/>
      <c r="H61" s="103"/>
      <c r="I61" s="103"/>
      <c r="J61" s="103"/>
      <c r="L61" s="103"/>
      <c r="N61" s="103"/>
      <c r="O61" s="103"/>
      <c r="P61" s="103"/>
      <c r="Q61" s="103"/>
    </row>
    <row r="62" spans="1:17" ht="20.100000000000001" customHeight="1" x14ac:dyDescent="0.25">
      <c r="A62"/>
      <c r="G62" s="103"/>
      <c r="H62" s="103"/>
      <c r="I62" s="103"/>
      <c r="J62" s="103"/>
      <c r="L62" s="103"/>
      <c r="N62" s="103"/>
      <c r="O62" s="103"/>
      <c r="P62" s="103"/>
      <c r="Q62" s="103"/>
    </row>
    <row r="63" spans="1:17" ht="20.100000000000001" customHeight="1" x14ac:dyDescent="0.25">
      <c r="A63"/>
      <c r="G63" s="103"/>
      <c r="H63" s="103"/>
      <c r="I63" s="103"/>
      <c r="J63" s="103"/>
      <c r="L63" s="103"/>
      <c r="N63" s="103"/>
      <c r="O63" s="103"/>
      <c r="P63" s="103"/>
      <c r="Q63" s="103"/>
    </row>
    <row r="64" spans="1:17" ht="20.100000000000001" customHeight="1" x14ac:dyDescent="0.25">
      <c r="A64"/>
      <c r="G64" s="103"/>
      <c r="H64" s="103"/>
      <c r="I64" s="103"/>
      <c r="J64" s="103"/>
      <c r="L64" s="103"/>
      <c r="N64" s="103"/>
      <c r="O64" s="103"/>
      <c r="P64" s="103"/>
      <c r="Q64" s="103"/>
    </row>
    <row r="65" spans="1:17" ht="20.100000000000001" customHeight="1" x14ac:dyDescent="0.25">
      <c r="A65"/>
      <c r="G65" s="103"/>
      <c r="H65" s="103"/>
      <c r="I65" s="103"/>
      <c r="J65" s="103"/>
      <c r="L65" s="103"/>
      <c r="N65" s="103"/>
      <c r="O65" s="103"/>
      <c r="P65" s="103"/>
      <c r="Q65" s="103"/>
    </row>
    <row r="66" spans="1:17" ht="20.100000000000001" customHeight="1" x14ac:dyDescent="0.25">
      <c r="A66"/>
      <c r="G66" s="103"/>
      <c r="H66" s="103"/>
      <c r="I66" s="103"/>
      <c r="J66" s="103"/>
      <c r="L66" s="103"/>
      <c r="N66" s="103"/>
      <c r="O66" s="103"/>
      <c r="P66" s="103"/>
      <c r="Q66" s="103"/>
    </row>
    <row r="67" spans="1:17" ht="20.100000000000001" customHeight="1" x14ac:dyDescent="0.25">
      <c r="A67"/>
      <c r="G67" s="103"/>
    </row>
    <row r="68" spans="1:17" ht="20.100000000000001" customHeight="1" x14ac:dyDescent="0.25">
      <c r="A68"/>
      <c r="G68" s="103"/>
    </row>
    <row r="69" spans="1:17" ht="20.100000000000001" customHeight="1" x14ac:dyDescent="0.25">
      <c r="A69"/>
      <c r="G69" s="103"/>
    </row>
    <row r="70" spans="1:17" ht="20.100000000000001" customHeight="1" x14ac:dyDescent="0.25">
      <c r="A70"/>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3B524-242C-4028-BA10-E5818810C2BC}">
  <dimension ref="A1:AI165"/>
  <sheetViews>
    <sheetView showGridLines="0" topLeftCell="E17"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250</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Fertiliser_SourceData.Fertiliser_ChemicalCompoundElements_Title()</f>
        <v>Common inorganic fertilisers</v>
      </c>
      <c r="E5" s="103"/>
      <c r="F5" s="103"/>
      <c r="G5" s="103"/>
      <c r="H5" s="103"/>
      <c r="I5" s="103"/>
      <c r="J5" s="103"/>
    </row>
    <row r="6" spans="1:35" ht="20.100000000000001" customHeight="1" x14ac:dyDescent="0.25">
      <c r="A6" s="29" t="s">
        <v>83</v>
      </c>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4" t="str">
        <f>HYPERLINK("#'Input - Planting'!A1", "Planting")</f>
        <v>Planting</v>
      </c>
      <c r="D7" s="19" t="str" cm="1">
        <f t="array" ref="D7:D18">Fertiliser_SourceData.Fertiliser_ChemicalCompoundElements_Variation()</f>
        <v>VARIATION ON SOURCE</v>
      </c>
    </row>
    <row r="8" spans="1:35" ht="20.100000000000001" customHeight="1" x14ac:dyDescent="0.25">
      <c r="A8" s="24" t="str">
        <f>HYPERLINK("#'Input - Fertiliser'!A1", "Fertiliser")</f>
        <v>Fertiliser</v>
      </c>
      <c r="D8" s="19" t="str">
        <v>Added 'Basis' column to allow cross-referencing with table Table A.2.2.6: Fraction of inorganic fertiliser f that volatilises as NH3 and NOx ((kg NH3-N + NOx-N)/kg N) (FracGASFf)</v>
      </c>
    </row>
    <row r="9" spans="1:35" ht="20.100000000000001" customHeight="1" x14ac:dyDescent="0.25">
      <c r="A9" s="24" t="str">
        <f>HYPERLINK("#'Input - Fuel'!A1", "Fuel")</f>
        <v>Fuel</v>
      </c>
      <c r="D9" s="19" t="str">
        <v>Added extra fertiliser types and generic chemical compounds to allow for custom NPKS blends</v>
      </c>
    </row>
    <row r="10" spans="1:35" ht="20.100000000000001" customHeight="1" x14ac:dyDescent="0.25">
      <c r="A10" s="24" t="str">
        <f>HYPERLINK("#'Input - Site'!A1", "Site")</f>
        <v>Site</v>
      </c>
      <c r="D10" s="19" t="str">
        <v>Added extra 'Scope 3 definition' column to allow mapping with scope 3 data</v>
      </c>
    </row>
    <row r="11" spans="1:35" ht="20.100000000000001" customHeight="1" x14ac:dyDescent="0.25">
      <c r="A11"/>
      <c r="D11" s="19" t="str">
        <v>Added 'Source' column</v>
      </c>
    </row>
    <row r="12" spans="1:35" ht="20.100000000000001" customHeight="1" x14ac:dyDescent="0.25">
      <c r="A12"/>
      <c r="D12" s="19" t="str">
        <v>Combined data from Table A.2.2.3 and Table A.2.2.4 into one table to aid lookup.</v>
      </c>
    </row>
    <row r="13" spans="1:35" ht="20.100000000000001" customHeight="1" x14ac:dyDescent="0.25">
      <c r="A13" s="32" t="s">
        <v>89</v>
      </c>
      <c r="D13" s="19" t="str">
        <v>Excluded 'References' column</v>
      </c>
    </row>
    <row r="14" spans="1:35" ht="20.100000000000001" customHeight="1" x14ac:dyDescent="0.25">
      <c r="A14" s="24" t="str">
        <f>HYPERLINK("#'5.1.1.1-2 Inorganic fert N2O'!A1", "5.1.1.1-2 Inorganic fert N2O")</f>
        <v>5.1.1.1-2 Inorganic fert N2O</v>
      </c>
      <c r="D14" s="19" t="str">
        <v>Excluded 'Ammonium sulfate' as it is a duplicate of 'Sulphate of ammonia (SOA)'</v>
      </c>
    </row>
    <row r="15" spans="1:35" ht="20.100000000000001" customHeight="1" x14ac:dyDescent="0.25">
      <c r="A15" s="24" t="str">
        <f>HYPERLINK("#'5.1.1.3-4 Inorganic fert CO2'!A1", "5.1.1.3-4 Inorganic fert CO2")</f>
        <v>5.1.1.3-4 Inorganic fert CO2</v>
      </c>
      <c r="D15" s="19" t="str">
        <v>Excluded 'Calcium nitrate' as no scope 3 value available.</v>
      </c>
    </row>
    <row r="16" spans="1:35" ht="20.100000000000001" customHeight="1" x14ac:dyDescent="0.25">
      <c r="A16" s="24" t="str">
        <f>HYPERLINK("#'5.2.1.1-2 Organic Fert N2O'!A1", "5.2.1.1-2 Organic fert N2O")</f>
        <v>5.2.1.1-2 Organic fert N2O</v>
      </c>
      <c r="D16" s="19" t="str">
        <v>Set 'Nitrogen - Generic' basis as 'Urea-based fertilisers, as urea is the most commonly used form of nitrogen in Australian fertilisers</v>
      </c>
    </row>
    <row r="17" spans="1:22" ht="20.100000000000001" customHeight="1" x14ac:dyDescent="0.25">
      <c r="A17" s="24" t="str">
        <f>HYPERLINK("#'5.3.1.1-2 Lime CO2'!A1", "5.3.1.1-2 Lime CO2")</f>
        <v>5.3.1.1-2 Lime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4" t="str">
        <f>HYPERLINK("#'5.4.1.1-4 Atmos deposition'!A1", "5.4.1.1-4 Atmos. deposition")</f>
        <v>5.4.1.1-4 Atmos. deposition</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4" t="str">
        <f>HYPERLINK("#'5.5.1.1-2 Leaching and runoff'!A1", "5.5.1.1-2 Leaching &amp; runoff")</f>
        <v>5.5.1.1-2 Leaching &amp; runoff</v>
      </c>
      <c r="D19" s="10" t="s">
        <v>167</v>
      </c>
      <c r="E19" s="10" t="s">
        <v>251</v>
      </c>
      <c r="F19" s="10" t="s">
        <v>252</v>
      </c>
      <c r="G19" s="10" t="s">
        <v>226</v>
      </c>
      <c r="H19" s="10" t="s">
        <v>253</v>
      </c>
      <c r="I19" s="10" t="s">
        <v>254</v>
      </c>
      <c r="K19" s="17" t="s">
        <v>167</v>
      </c>
      <c r="L19" s="17" t="s">
        <v>251</v>
      </c>
      <c r="Q19" s="17" t="s">
        <v>167</v>
      </c>
      <c r="R19" s="17" t="s">
        <v>251</v>
      </c>
      <c r="V19" s="17" t="s">
        <v>254</v>
      </c>
    </row>
    <row r="20" spans="1:22" ht="20.100000000000001" customHeight="1" x14ac:dyDescent="0.25">
      <c r="A20" s="24" t="str">
        <f>HYPERLINK("#'8.1.1.1-2 Transport fuel'!A1", "8.1.1.1-2 Transport fuel")</f>
        <v>8.1.1.1-2 Transport fuel</v>
      </c>
      <c r="D20" s="117" t="str" cm="1">
        <f t="array" ref="D20">Common_InputFunctions.Utility_DisplayArrayInTable(Fertiliser_SourceData.Fertiliser_ChemicalCompoundElements_Data(),Table_Fertiliser_ChemicalCompounds[[#Headers],[Fertiliser type f]], 0)</f>
        <v>Monoammonium phosphate (MAP)</v>
      </c>
      <c r="E20" s="117" cm="1">
        <f t="array" ref="E20">Common_InputFunctions.Utility_DisplayArrayInTable(Fertiliser_SourceData.Fertiliser_ChemicalCompoundElements_Data(),Table_Fertiliser_ChemicalCompounds[[#Headers],[Fertiliser type f]], 0)</f>
        <v>0.1</v>
      </c>
      <c r="F20" s="117" cm="1">
        <f t="array" ref="F20">Common_InputFunctions.Utility_DisplayArrayInTable(Fertiliser_SourceData.Fertiliser_ChemicalCompoundElements_Data(),Table_Fertiliser_ChemicalCompounds[[#Headers],[Fertiliser type f]], 0)</f>
        <v>0</v>
      </c>
      <c r="G20" s="117" t="str" cm="1">
        <f t="array" ref="G20">Common_InputFunctions.Utility_DisplayArrayInTable(Fertiliser_SourceData.Fertiliser_ChemicalCompoundElements_Data(),Table_Fertiliser_ChemicalCompounds[[#Headers],[Fertiliser type f]], 0)</f>
        <v>Ammonium-based fertilisers</v>
      </c>
      <c r="H20" s="117" t="str" cm="1">
        <f t="array" ref="H20">Common_InputFunctions.Utility_DisplayArrayInTable(Fertiliser_SourceData.Fertiliser_ChemicalCompoundElements_Data(),Table_Fertiliser_ChemicalCompounds[[#Headers],[Fertiliser type f]], 0)</f>
        <v>Monoammonium phosphate (MAP)</v>
      </c>
      <c r="I20" s="117"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4" t="str">
        <f>HYPERLINK("#'8.2.1.1-2 Stationary fuel'!A1", "8.2.1.1-2 Stationary fuel")</f>
        <v>8.2.1.1-2 Stationary fuel</v>
      </c>
      <c r="D21" s="117" t="str" cm="1">
        <f t="array" ref="D21">Common_InputFunctions.Utility_DisplayArrayInTable(Fertiliser_SourceData.Fertiliser_ChemicalCompoundElements_Data(),Table_Fertiliser_ChemicalCompounds[[#Headers],[Fertiliser type f]], 0)</f>
        <v>Diammonium phosphate (DAP)</v>
      </c>
      <c r="E21" s="117" cm="1">
        <f t="array" ref="E21">Common_InputFunctions.Utility_DisplayArrayInTable(Fertiliser_SourceData.Fertiliser_ChemicalCompoundElements_Data(),Table_Fertiliser_ChemicalCompounds[[#Headers],[Fertiliser type f]], 0)</f>
        <v>0.18</v>
      </c>
      <c r="F21" s="117" cm="1">
        <f t="array" ref="F21">Common_InputFunctions.Utility_DisplayArrayInTable(Fertiliser_SourceData.Fertiliser_ChemicalCompoundElements_Data(),Table_Fertiliser_ChemicalCompounds[[#Headers],[Fertiliser type f]], 0)</f>
        <v>0</v>
      </c>
      <c r="G21" s="117" t="str" cm="1">
        <f t="array" ref="G21">Common_InputFunctions.Utility_DisplayArrayInTable(Fertiliser_SourceData.Fertiliser_ChemicalCompoundElements_Data(),Table_Fertiliser_ChemicalCompounds[[#Headers],[Fertiliser type f]], 0)</f>
        <v>Ammonium-based fertilisers</v>
      </c>
      <c r="H21" s="117" t="str" cm="1">
        <f t="array" ref="H21">Common_InputFunctions.Utility_DisplayArrayInTable(Fertiliser_SourceData.Fertiliser_ChemicalCompoundElements_Data(),Table_Fertiliser_ChemicalCompounds[[#Headers],[Fertiliser type f]], 0)</f>
        <v>Diammonium phosphate (DAP)</v>
      </c>
      <c r="I21" s="117"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c r="D22" s="117" t="str" cm="1">
        <f t="array" ref="D22">Common_InputFunctions.Utility_DisplayArrayInTable(Fertiliser_SourceData.Fertiliser_ChemicalCompoundElements_Data(),Table_Fertiliser_ChemicalCompounds[[#Headers],[Fertiliser type f]], 0)</f>
        <v>Urea</v>
      </c>
      <c r="E22" s="117" cm="1">
        <f t="array" ref="E22">Common_InputFunctions.Utility_DisplayArrayInTable(Fertiliser_SourceData.Fertiliser_ChemicalCompoundElements_Data(),Table_Fertiliser_ChemicalCompounds[[#Headers],[Fertiliser type f]], 0)</f>
        <v>0.46</v>
      </c>
      <c r="F22" s="117" cm="1">
        <f t="array" ref="F22">Common_InputFunctions.Utility_DisplayArrayInTable(Fertiliser_SourceData.Fertiliser_ChemicalCompoundElements_Data(),Table_Fertiliser_ChemicalCompounds[[#Headers],[Fertiliser type f]], 0)</f>
        <v>1</v>
      </c>
      <c r="G22" s="117" t="str" cm="1">
        <f t="array" ref="G22">Common_InputFunctions.Utility_DisplayArrayInTable(Fertiliser_SourceData.Fertiliser_ChemicalCompoundElements_Data(),Table_Fertiliser_ChemicalCompounds[[#Headers],[Fertiliser type f]], 0)</f>
        <v>Urea-based fertilisers</v>
      </c>
      <c r="H22" s="117" t="str" cm="1">
        <f t="array" ref="H22">Common_InputFunctions.Utility_DisplayArrayInTable(Fertiliser_SourceData.Fertiliser_ChemicalCompoundElements_Data(),Table_Fertiliser_ChemicalCompounds[[#Headers],[Fertiliser type f]], 0)</f>
        <v>Urea</v>
      </c>
      <c r="I22" s="117"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c r="D23" s="117" t="str" cm="1">
        <f t="array" ref="D23">Common_InputFunctions.Utility_DisplayArrayInTable(Fertiliser_SourceData.Fertiliser_ChemicalCompoundElements_Data(),Table_Fertiliser_ChemicalCompounds[[#Headers],[Fertiliser type f]], 0)</f>
        <v>Sulphate of ammonia (SOA)</v>
      </c>
      <c r="E23" s="117" cm="1">
        <f t="array" ref="E23">Common_InputFunctions.Utility_DisplayArrayInTable(Fertiliser_SourceData.Fertiliser_ChemicalCompoundElements_Data(),Table_Fertiliser_ChemicalCompounds[[#Headers],[Fertiliser type f]], 0)</f>
        <v>0.21</v>
      </c>
      <c r="F23" s="117" cm="1">
        <f t="array" ref="F23">Common_InputFunctions.Utility_DisplayArrayInTable(Fertiliser_SourceData.Fertiliser_ChemicalCompoundElements_Data(),Table_Fertiliser_ChemicalCompounds[[#Headers],[Fertiliser type f]], 0)</f>
        <v>0</v>
      </c>
      <c r="G23" s="117" t="str" cm="1">
        <f t="array" ref="G23">Common_InputFunctions.Utility_DisplayArrayInTable(Fertiliser_SourceData.Fertiliser_ChemicalCompoundElements_Data(),Table_Fertiliser_ChemicalCompounds[[#Headers],[Fertiliser type f]], 0)</f>
        <v>Ammonium-based fertilisers</v>
      </c>
      <c r="H23" s="117" t="str" cm="1">
        <f t="array" ref="H23">Common_InputFunctions.Utility_DisplayArrayInTable(Fertiliser_SourceData.Fertiliser_ChemicalCompoundElements_Data(),Table_Fertiliser_ChemicalCompounds[[#Headers],[Fertiliser type f]], 0)</f>
        <v>Sulphate of ammonia (SOA)</v>
      </c>
      <c r="I23" s="117"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210" t="s">
        <v>116</v>
      </c>
      <c r="D24" s="117" t="str" cm="1">
        <f t="array" ref="D24">Common_InputFunctions.Utility_DisplayArrayInTable(Fertiliser_SourceData.Fertiliser_ChemicalCompoundElements_Data(),Table_Fertiliser_ChemicalCompounds[[#Headers],[Fertiliser type f]], 0)</f>
        <v>Urea-ammonium nitrate (UAN)</v>
      </c>
      <c r="E24" s="117" cm="1">
        <f t="array" ref="E24">Common_InputFunctions.Utility_DisplayArrayInTable(Fertiliser_SourceData.Fertiliser_ChemicalCompoundElements_Data(),Table_Fertiliser_ChemicalCompounds[[#Headers],[Fertiliser type f]], 0)</f>
        <v>0.32</v>
      </c>
      <c r="F24" s="117" cm="1">
        <f t="array" ref="F24">Common_InputFunctions.Utility_DisplayArrayInTable(Fertiliser_SourceData.Fertiliser_ChemicalCompoundElements_Data(),Table_Fertiliser_ChemicalCompounds[[#Headers],[Fertiliser type f]], 0)</f>
        <v>0.35</v>
      </c>
      <c r="G24" s="117" t="str" cm="1">
        <f t="array" ref="G24">Common_InputFunctions.Utility_DisplayArrayInTable(Fertiliser_SourceData.Fertiliser_ChemicalCompoundElements_Data(),Table_Fertiliser_ChemicalCompounds[[#Headers],[Fertiliser type f]], 0)</f>
        <v>Urea-based fertilisers</v>
      </c>
      <c r="H24" s="117" t="str" cm="1">
        <f t="array" ref="H24">Common_InputFunctions.Utility_DisplayArrayInTable(Fertiliser_SourceData.Fertiliser_ChemicalCompoundElements_Data(),Table_Fertiliser_ChemicalCompounds[[#Headers],[Fertiliser type f]], 0)</f>
        <v>Urea-ammonium nitrate (UAN)</v>
      </c>
      <c r="I24" s="117"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s="116" t="str">
        <f>HYPERLINK("#'Constants - Fertiliser'!A1", "Constants - Fertiliser")</f>
        <v>Constants - Fertiliser</v>
      </c>
      <c r="D25" s="117" t="str" cm="1">
        <f t="array" ref="D25">Common_InputFunctions.Utility_DisplayArrayInTable(Fertiliser_SourceData.Fertiliser_ChemicalCompoundElements_Data(),Table_Fertiliser_ChemicalCompounds[[#Headers],[Fertiliser type f]], 0)</f>
        <v>Ammonium nitrate (AN)</v>
      </c>
      <c r="E25" s="117" cm="1">
        <f t="array" ref="E25">Common_InputFunctions.Utility_DisplayArrayInTable(Fertiliser_SourceData.Fertiliser_ChemicalCompoundElements_Data(),Table_Fertiliser_ChemicalCompounds[[#Headers],[Fertiliser type f]], 0)</f>
        <v>0.33700000000000002</v>
      </c>
      <c r="F25" s="117" cm="1">
        <f t="array" ref="F25">Common_InputFunctions.Utility_DisplayArrayInTable(Fertiliser_SourceData.Fertiliser_ChemicalCompoundElements_Data(),Table_Fertiliser_ChemicalCompounds[[#Headers],[Fertiliser type f]], 0)</f>
        <v>0</v>
      </c>
      <c r="G25" s="117" t="str" cm="1">
        <f t="array" ref="G25">Common_InputFunctions.Utility_DisplayArrayInTable(Fertiliser_SourceData.Fertiliser_ChemicalCompoundElements_Data(),Table_Fertiliser_ChemicalCompounds[[#Headers],[Fertiliser type f]], 0)</f>
        <v>Ammonium-nitrate based fertilisers</v>
      </c>
      <c r="H25" s="117" t="str" cm="1">
        <f t="array" ref="H25">Common_InputFunctions.Utility_DisplayArrayInTable(Fertiliser_SourceData.Fertiliser_ChemicalCompoundElements_Data(),Table_Fertiliser_ChemicalCompounds[[#Headers],[Fertiliser type f]], 0)</f>
        <v>Ammonium nitrate (AN)</v>
      </c>
      <c r="I25" s="117"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s="24" t="str">
        <f>HYPERLINK("#'Constants - Fuel'!A1", "Constants - Fuel")</f>
        <v>Constants - Fuel</v>
      </c>
      <c r="D26" s="117" t="str" cm="1">
        <f t="array" ref="D26">Common_InputFunctions.Utility_DisplayArrayInTable(Fertiliser_SourceData.Fertiliser_ChemicalCompoundElements_Data(),Table_Fertiliser_ChemicalCompounds[[#Headers],[Fertiliser type f]], 0)</f>
        <v>Calcium ammonium nitrate (CAN)</v>
      </c>
      <c r="E26" s="117" cm="1">
        <f t="array" ref="E26">Common_InputFunctions.Utility_DisplayArrayInTable(Fertiliser_SourceData.Fertiliser_ChemicalCompoundElements_Data(),Table_Fertiliser_ChemicalCompounds[[#Headers],[Fertiliser type f]], 0)</f>
        <v>0.27</v>
      </c>
      <c r="F26" s="117" cm="1">
        <f t="array" ref="F26">Common_InputFunctions.Utility_DisplayArrayInTable(Fertiliser_SourceData.Fertiliser_ChemicalCompoundElements_Data(),Table_Fertiliser_ChemicalCompounds[[#Headers],[Fertiliser type f]], 0)</f>
        <v>0</v>
      </c>
      <c r="G26" s="117" t="str" cm="1">
        <f t="array" ref="G26">Common_InputFunctions.Utility_DisplayArrayInTable(Fertiliser_SourceData.Fertiliser_ChemicalCompoundElements_Data(),Table_Fertiliser_ChemicalCompounds[[#Headers],[Fertiliser type f]], 0)</f>
        <v>Ammonium-nitrate based fertilisers</v>
      </c>
      <c r="H26" s="117" t="str" cm="1">
        <f t="array" ref="H26">Common_InputFunctions.Utility_DisplayArrayInTable(Fertiliser_SourceData.Fertiliser_ChemicalCompoundElements_Data(),Table_Fertiliser_ChemicalCompounds[[#Headers],[Fertiliser type f]], 0)</f>
        <v>Calcium ammonium nitrate (CAN)</v>
      </c>
      <c r="I26" s="117"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24" t="str">
        <f>HYPERLINK("#'Constants - Common'!A1", "Constants - Common")</f>
        <v>Constants - Common</v>
      </c>
      <c r="D27" s="117" t="str" cm="1">
        <f t="array" ref="D27">Common_InputFunctions.Utility_DisplayArrayInTable(Fertiliser_SourceData.Fertiliser_ChemicalCompoundElements_Data(),Table_Fertiliser_ChemicalCompounds[[#Headers],[Fertiliser type f]], 0)</f>
        <v>Nitrogen - Ammoniacal</v>
      </c>
      <c r="E27" s="117" cm="1">
        <f t="array" ref="E27">Common_InputFunctions.Utility_DisplayArrayInTable(Fertiliser_SourceData.Fertiliser_ChemicalCompoundElements_Data(),Table_Fertiliser_ChemicalCompounds[[#Headers],[Fertiliser type f]], 0)</f>
        <v>1</v>
      </c>
      <c r="F27" s="117" cm="1">
        <f t="array" ref="F27">Common_InputFunctions.Utility_DisplayArrayInTable(Fertiliser_SourceData.Fertiliser_ChemicalCompoundElements_Data(),Table_Fertiliser_ChemicalCompounds[[#Headers],[Fertiliser type f]], 0)</f>
        <v>0</v>
      </c>
      <c r="G27" s="117" t="str" cm="1">
        <f t="array" ref="G27">Common_InputFunctions.Utility_DisplayArrayInTable(Fertiliser_SourceData.Fertiliser_ChemicalCompoundElements_Data(),Table_Fertiliser_ChemicalCompounds[[#Headers],[Fertiliser type f]], 0)</f>
        <v>Ammonium-based fertilisers</v>
      </c>
      <c r="H27" s="117" t="str" cm="1">
        <f t="array" ref="H27">Common_InputFunctions.Utility_DisplayArrayInTable(Fertiliser_SourceData.Fertiliser_ChemicalCompoundElements_Data(),Table_Fertiliser_ChemicalCompounds[[#Headers],[Fertiliser type f]], 0)</f>
        <v>Nitrogen - Ammoniacal</v>
      </c>
      <c r="I27" s="117"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24" t="str">
        <f>HYPERLINK("#'Overview'!A1", "Overview")</f>
        <v>Overview</v>
      </c>
      <c r="D28" s="117" t="str" cm="1">
        <f t="array" ref="D28">Common_InputFunctions.Utility_DisplayArrayInTable(Fertiliser_SourceData.Fertiliser_ChemicalCompoundElements_Data(),Table_Fertiliser_ChemicalCompounds[[#Headers],[Fertiliser type f]], 0)</f>
        <v>Nitrogen - Nitrate</v>
      </c>
      <c r="E28" s="117" cm="1">
        <f t="array" ref="E28">Common_InputFunctions.Utility_DisplayArrayInTable(Fertiliser_SourceData.Fertiliser_ChemicalCompoundElements_Data(),Table_Fertiliser_ChemicalCompounds[[#Headers],[Fertiliser type f]], 0)</f>
        <v>1</v>
      </c>
      <c r="F28" s="117" cm="1">
        <f t="array" ref="F28">Common_InputFunctions.Utility_DisplayArrayInTable(Fertiliser_SourceData.Fertiliser_ChemicalCompoundElements_Data(),Table_Fertiliser_ChemicalCompounds[[#Headers],[Fertiliser type f]], 0)</f>
        <v>0</v>
      </c>
      <c r="G28" s="117" t="str" cm="1">
        <f t="array" ref="G28">Common_InputFunctions.Utility_DisplayArrayInTable(Fertiliser_SourceData.Fertiliser_ChemicalCompoundElements_Data(),Table_Fertiliser_ChemicalCompounds[[#Headers],[Fertiliser type f]], 0)</f>
        <v>Nitrate-based fertilisers</v>
      </c>
      <c r="H28" s="117" t="str" cm="1">
        <f t="array" ref="H28">Common_InputFunctions.Utility_DisplayArrayInTable(Fertiliser_SourceData.Fertiliser_ChemicalCompoundElements_Data(),Table_Fertiliser_ChemicalCompounds[[#Headers],[Fertiliser type f]], 0)</f>
        <v>Nitrogen from Nitrate</v>
      </c>
      <c r="I28" s="117"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c r="D29" s="117" t="str" cm="1">
        <f t="array" ref="D29">Common_InputFunctions.Utility_DisplayArrayInTable(Fertiliser_SourceData.Fertiliser_ChemicalCompoundElements_Data(),Table_Fertiliser_ChemicalCompounds[[#Headers],[Fertiliser type f]], 0)</f>
        <v>Nitrogen - Generic</v>
      </c>
      <c r="E29" s="117" cm="1">
        <f t="array" ref="E29">Common_InputFunctions.Utility_DisplayArrayInTable(Fertiliser_SourceData.Fertiliser_ChemicalCompoundElements_Data(),Table_Fertiliser_ChemicalCompounds[[#Headers],[Fertiliser type f]], 0)</f>
        <v>1</v>
      </c>
      <c r="F29" s="117" cm="1">
        <f t="array" ref="F29">Common_InputFunctions.Utility_DisplayArrayInTable(Fertiliser_SourceData.Fertiliser_ChemicalCompoundElements_Data(),Table_Fertiliser_ChemicalCompounds[[#Headers],[Fertiliser type f]], 0)</f>
        <v>0</v>
      </c>
      <c r="G29" s="117" t="str" cm="1">
        <f t="array" ref="G29">Common_InputFunctions.Utility_DisplayArrayInTable(Fertiliser_SourceData.Fertiliser_ChemicalCompoundElements_Data(),Table_Fertiliser_ChemicalCompounds[[#Headers],[Fertiliser type f]], 0)</f>
        <v>Urea-based fertilisers</v>
      </c>
      <c r="H29" s="117" t="str" cm="1">
        <f t="array" ref="H29">Common_InputFunctions.Utility_DisplayArrayInTable(Fertiliser_SourceData.Fertiliser_ChemicalCompoundElements_Data(),Table_Fertiliser_ChemicalCompounds[[#Headers],[Fertiliser type f]], 0)</f>
        <v>Nitrogen from fertiliser</v>
      </c>
      <c r="I29" s="11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c r="D30" s="117" t="str" cm="1">
        <f t="array" ref="D30">Common_InputFunctions.Utility_DisplayArrayInTable(Fertiliser_SourceData.Fertiliser_ChemicalCompoundElements_Data(),Table_Fertiliser_ChemicalCompounds[[#Headers],[Fertiliser type f]], 0)</f>
        <v>Phosphorus - Generic</v>
      </c>
      <c r="E30" s="117" cm="1">
        <f t="array" ref="E30">Common_InputFunctions.Utility_DisplayArrayInTable(Fertiliser_SourceData.Fertiliser_ChemicalCompoundElements_Data(),Table_Fertiliser_ChemicalCompounds[[#Headers],[Fertiliser type f]], 0)</f>
        <v>0</v>
      </c>
      <c r="F30" s="117" cm="1">
        <f t="array" ref="F30">Common_InputFunctions.Utility_DisplayArrayInTable(Fertiliser_SourceData.Fertiliser_ChemicalCompoundElements_Data(),Table_Fertiliser_ChemicalCompounds[[#Headers],[Fertiliser type f]], 0)</f>
        <v>0</v>
      </c>
      <c r="G30" s="117" t="str" cm="1">
        <f t="array" ref="G30">Common_InputFunctions.Utility_DisplayArrayInTable(Fertiliser_SourceData.Fertiliser_ChemicalCompoundElements_Data(),Table_Fertiliser_ChemicalCompounds[[#Headers],[Fertiliser type f]], 0)</f>
        <v>Other fertilisers</v>
      </c>
      <c r="H30" s="117" t="str" cm="1">
        <f t="array" ref="H30">Common_InputFunctions.Utility_DisplayArrayInTable(Fertiliser_SourceData.Fertiliser_ChemicalCompoundElements_Data(),Table_Fertiliser_ChemicalCompounds[[#Headers],[Fertiliser type f]], 0)</f>
        <v>Phosphorus from fertiliser</v>
      </c>
      <c r="I30" s="11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7" t="str" cm="1">
        <f t="array" ref="D31">Common_InputFunctions.Utility_DisplayArrayInTable(Fertiliser_SourceData.Fertiliser_ChemicalCompoundElements_Data(),Table_Fertiliser_ChemicalCompounds[[#Headers],[Fertiliser type f]], 0)</f>
        <v>Potassium - Generic</v>
      </c>
      <c r="E31" s="117" cm="1">
        <f t="array" ref="E31">Common_InputFunctions.Utility_DisplayArrayInTable(Fertiliser_SourceData.Fertiliser_ChemicalCompoundElements_Data(),Table_Fertiliser_ChemicalCompounds[[#Headers],[Fertiliser type f]], 0)</f>
        <v>0</v>
      </c>
      <c r="F31" s="117" cm="1">
        <f t="array" ref="F31">Common_InputFunctions.Utility_DisplayArrayInTable(Fertiliser_SourceData.Fertiliser_ChemicalCompoundElements_Data(),Table_Fertiliser_ChemicalCompounds[[#Headers],[Fertiliser type f]], 0)</f>
        <v>0</v>
      </c>
      <c r="G31" s="117" t="str" cm="1">
        <f t="array" ref="G31">Common_InputFunctions.Utility_DisplayArrayInTable(Fertiliser_SourceData.Fertiliser_ChemicalCompoundElements_Data(),Table_Fertiliser_ChemicalCompounds[[#Headers],[Fertiliser type f]], 0)</f>
        <v>Other fertilisers</v>
      </c>
      <c r="H31" s="117" t="str" cm="1">
        <f t="array" ref="H31">Common_InputFunctions.Utility_DisplayArrayInTable(Fertiliser_SourceData.Fertiliser_ChemicalCompoundElements_Data(),Table_Fertiliser_ChemicalCompounds[[#Headers],[Fertiliser type f]], 0)</f>
        <v>Potassium from fertiliser</v>
      </c>
      <c r="I31" s="11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7" t="str" cm="1">
        <f t="array" ref="D32">Common_InputFunctions.Utility_DisplayArrayInTable(Fertiliser_SourceData.Fertiliser_ChemicalCompoundElements_Data(),Table_Fertiliser_ChemicalCompounds[[#Headers],[Fertiliser type f]], 0)</f>
        <v>Sulfur - Generic</v>
      </c>
      <c r="E32" s="117" cm="1">
        <f t="array" ref="E32">Common_InputFunctions.Utility_DisplayArrayInTable(Fertiliser_SourceData.Fertiliser_ChemicalCompoundElements_Data(),Table_Fertiliser_ChemicalCompounds[[#Headers],[Fertiliser type f]], 0)</f>
        <v>0</v>
      </c>
      <c r="F32" s="117" cm="1">
        <f t="array" ref="F32">Common_InputFunctions.Utility_DisplayArrayInTable(Fertiliser_SourceData.Fertiliser_ChemicalCompoundElements_Data(),Table_Fertiliser_ChemicalCompounds[[#Headers],[Fertiliser type f]], 0)</f>
        <v>0</v>
      </c>
      <c r="G32" s="117" t="str" cm="1">
        <f t="array" ref="G32">Common_InputFunctions.Utility_DisplayArrayInTable(Fertiliser_SourceData.Fertiliser_ChemicalCompoundElements_Data(),Table_Fertiliser_ChemicalCompounds[[#Headers],[Fertiliser type f]], 0)</f>
        <v>Other fertilisers</v>
      </c>
      <c r="H32" s="117" t="str" cm="1">
        <f t="array" ref="H32">Common_InputFunctions.Utility_DisplayArrayInTable(Fertiliser_SourceData.Fertiliser_ChemicalCompoundElements_Data(),Table_Fertiliser_ChemicalCompounds[[#Headers],[Fertiliser type f]], 0)</f>
        <v>Sulfur from fertiliser</v>
      </c>
      <c r="I32" s="11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7" t="str" cm="1">
        <f t="array" ref="D33">Common_InputFunctions.Utility_DisplayArrayInTable(Fertiliser_SourceData.Fertiliser_ChemicalCompoundElements_Data(),Table_Fertiliser_ChemicalCompounds[[#Headers],[Fertiliser type f]], 0)</f>
        <v>Zinc - Generic</v>
      </c>
      <c r="E33" s="117" cm="1">
        <f t="array" ref="E33">Common_InputFunctions.Utility_DisplayArrayInTable(Fertiliser_SourceData.Fertiliser_ChemicalCompoundElements_Data(),Table_Fertiliser_ChemicalCompounds[[#Headers],[Fertiliser type f]], 0)</f>
        <v>0</v>
      </c>
      <c r="F33" s="117" cm="1">
        <f t="array" ref="F33">Common_InputFunctions.Utility_DisplayArrayInTable(Fertiliser_SourceData.Fertiliser_ChemicalCompoundElements_Data(),Table_Fertiliser_ChemicalCompounds[[#Headers],[Fertiliser type f]], 0)</f>
        <v>0</v>
      </c>
      <c r="G33" s="117" t="str" cm="1">
        <f t="array" ref="G33">Common_InputFunctions.Utility_DisplayArrayInTable(Fertiliser_SourceData.Fertiliser_ChemicalCompoundElements_Data(),Table_Fertiliser_ChemicalCompounds[[#Headers],[Fertiliser type f]], 0)</f>
        <v>Other fertilisers</v>
      </c>
      <c r="H33" s="117" t="str" cm="1">
        <f t="array" ref="H33">Common_InputFunctions.Utility_DisplayArrayInTable(Fertiliser_SourceData.Fertiliser_ChemicalCompoundElements_Data(),Table_Fertiliser_ChemicalCompounds[[#Headers],[Fertiliser type f]], 0)</f>
        <v>Zinc from fertiliser</v>
      </c>
      <c r="I33" s="11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7" t="str" cm="1">
        <f t="array" ref="D34">Common_InputFunctions.Utility_DisplayArrayInTable(Fertiliser_SourceData.Fertiliser_ChemicalCompoundElements_Data(),Table_Fertiliser_ChemicalCompounds[[#Headers],[Fertiliser type f]], 0)</f>
        <v>Muriate of potash (MOP)</v>
      </c>
      <c r="E34" s="117" cm="1">
        <f t="array" ref="E34">Common_InputFunctions.Utility_DisplayArrayInTable(Fertiliser_SourceData.Fertiliser_ChemicalCompoundElements_Data(),Table_Fertiliser_ChemicalCompounds[[#Headers],[Fertiliser type f]], 0)</f>
        <v>0</v>
      </c>
      <c r="F34" s="117" cm="1">
        <f t="array" ref="F34">Common_InputFunctions.Utility_DisplayArrayInTable(Fertiliser_SourceData.Fertiliser_ChemicalCompoundElements_Data(),Table_Fertiliser_ChemicalCompounds[[#Headers],[Fertiliser type f]], 0)</f>
        <v>0</v>
      </c>
      <c r="G34" s="117" t="str" cm="1">
        <f t="array" ref="G34">Common_InputFunctions.Utility_DisplayArrayInTable(Fertiliser_SourceData.Fertiliser_ChemicalCompoundElements_Data(),Table_Fertiliser_ChemicalCompounds[[#Headers],[Fertiliser type f]], 0)</f>
        <v>Other fertilisers</v>
      </c>
      <c r="H34" s="117" t="str" cm="1">
        <f t="array" ref="H34">Common_InputFunctions.Utility_DisplayArrayInTable(Fertiliser_SourceData.Fertiliser_ChemicalCompoundElements_Data(),Table_Fertiliser_ChemicalCompounds[[#Headers],[Fertiliser type f]], 0)</f>
        <v>Muriate of potash (MOP)</v>
      </c>
      <c r="I34" s="11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7" t="str" cm="1">
        <f t="array" ref="D35">Common_InputFunctions.Utility_DisplayArrayInTable(Fertiliser_SourceData.Fertiliser_ChemicalCompoundElements_Data(),Table_Fertiliser_ChemicalCompounds[[#Headers],[Fertiliser type f]], 0)</f>
        <v>Double superphosphate</v>
      </c>
      <c r="E35" s="117" cm="1">
        <f t="array" ref="E35">Common_InputFunctions.Utility_DisplayArrayInTable(Fertiliser_SourceData.Fertiliser_ChemicalCompoundElements_Data(),Table_Fertiliser_ChemicalCompounds[[#Headers],[Fertiliser type f]], 0)</f>
        <v>0</v>
      </c>
      <c r="F35" s="117" cm="1">
        <f t="array" ref="F35">Common_InputFunctions.Utility_DisplayArrayInTable(Fertiliser_SourceData.Fertiliser_ChemicalCompoundElements_Data(),Table_Fertiliser_ChemicalCompounds[[#Headers],[Fertiliser type f]], 0)</f>
        <v>0</v>
      </c>
      <c r="G35" s="117" t="str" cm="1">
        <f t="array" ref="G35">Common_InputFunctions.Utility_DisplayArrayInTable(Fertiliser_SourceData.Fertiliser_ChemicalCompoundElements_Data(),Table_Fertiliser_ChemicalCompounds[[#Headers],[Fertiliser type f]], 0)</f>
        <v>Other fertilisers</v>
      </c>
      <c r="H35" s="117" t="str" cm="1">
        <f t="array" ref="H35">Common_InputFunctions.Utility_DisplayArrayInTable(Fertiliser_SourceData.Fertiliser_ChemicalCompoundElements_Data(),Table_Fertiliser_ChemicalCompounds[[#Headers],[Fertiliser type f]], 0)</f>
        <v>Double superphosphate</v>
      </c>
      <c r="I35" s="11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7" t="str" cm="1">
        <f t="array" ref="D36">Common_InputFunctions.Utility_DisplayArrayInTable(Fertiliser_SourceData.Fertiliser_ChemicalCompoundElements_Data(),Table_Fertiliser_ChemicalCompounds[[#Headers],[Fertiliser type f]], 0)</f>
        <v>Single superphosphate (SSP)</v>
      </c>
      <c r="E36" s="117" cm="1">
        <f t="array" ref="E36">Common_InputFunctions.Utility_DisplayArrayInTable(Fertiliser_SourceData.Fertiliser_ChemicalCompoundElements_Data(),Table_Fertiliser_ChemicalCompounds[[#Headers],[Fertiliser type f]], 0)</f>
        <v>0</v>
      </c>
      <c r="F36" s="117" cm="1">
        <f t="array" ref="F36">Common_InputFunctions.Utility_DisplayArrayInTable(Fertiliser_SourceData.Fertiliser_ChemicalCompoundElements_Data(),Table_Fertiliser_ChemicalCompounds[[#Headers],[Fertiliser type f]], 0)</f>
        <v>0</v>
      </c>
      <c r="G36" s="117" t="str" cm="1">
        <f t="array" ref="G36">Common_InputFunctions.Utility_DisplayArrayInTable(Fertiliser_SourceData.Fertiliser_ChemicalCompoundElements_Data(),Table_Fertiliser_ChemicalCompounds[[#Headers],[Fertiliser type f]], 0)</f>
        <v>Other fertilisers</v>
      </c>
      <c r="H36" s="117" t="str" cm="1">
        <f t="array" ref="H36">Common_InputFunctions.Utility_DisplayArrayInTable(Fertiliser_SourceData.Fertiliser_ChemicalCompoundElements_Data(),Table_Fertiliser_ChemicalCompounds[[#Headers],[Fertiliser type f]], 0)</f>
        <v>Single superphosphate (SSP)</v>
      </c>
      <c r="I36" s="11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7" t="str" cm="1">
        <f t="array" ref="D37">Common_InputFunctions.Utility_DisplayArrayInTable(Fertiliser_SourceData.Fertiliser_ChemicalCompoundElements_Data(),Table_Fertiliser_ChemicalCompounds[[#Headers],[Fertiliser type f]], 0)</f>
        <v>Ammonia</v>
      </c>
      <c r="E37" s="117" cm="1">
        <f t="array" ref="E37">Common_InputFunctions.Utility_DisplayArrayInTable(Fertiliser_SourceData.Fertiliser_ChemicalCompoundElements_Data(),Table_Fertiliser_ChemicalCompounds[[#Headers],[Fertiliser type f]], 0)</f>
        <v>0.82350000000000001</v>
      </c>
      <c r="F37" s="117" cm="1">
        <f t="array" ref="F37">Common_InputFunctions.Utility_DisplayArrayInTable(Fertiliser_SourceData.Fertiliser_ChemicalCompoundElements_Data(),Table_Fertiliser_ChemicalCompounds[[#Headers],[Fertiliser type f]], 0)</f>
        <v>0</v>
      </c>
      <c r="G37" s="117" t="str" cm="1">
        <f t="array" ref="G37">Common_InputFunctions.Utility_DisplayArrayInTable(Fertiliser_SourceData.Fertiliser_ChemicalCompoundElements_Data(),Table_Fertiliser_ChemicalCompounds[[#Headers],[Fertiliser type f]], 0)</f>
        <v>Ammonium-based fertilisers</v>
      </c>
      <c r="H37" s="117" t="str" cm="1">
        <f t="array" ref="H37">Common_InputFunctions.Utility_DisplayArrayInTable(Fertiliser_SourceData.Fertiliser_ChemicalCompoundElements_Data(),Table_Fertiliser_ChemicalCompounds[[#Headers],[Fertiliser type f]], 0)</f>
        <v>Ammonia</v>
      </c>
      <c r="I37" s="11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255</v>
      </c>
      <c r="F40" s="16" t="s">
        <v>256</v>
      </c>
      <c r="H40" s="16" t="s">
        <v>257</v>
      </c>
      <c r="J40" s="16" t="s">
        <v>258</v>
      </c>
    </row>
    <row r="41" spans="1:10" ht="20.100000000000001" customHeight="1" x14ac:dyDescent="0.25">
      <c r="A41"/>
      <c r="D41" s="17" t="s">
        <v>80</v>
      </c>
      <c r="F41" s="17" t="s">
        <v>80</v>
      </c>
      <c r="H41" s="17" t="s">
        <v>56</v>
      </c>
      <c r="J41" s="17" t="s">
        <v>259</v>
      </c>
    </row>
    <row r="42" spans="1:10" ht="20.100000000000001" customHeight="1" x14ac:dyDescent="0.25">
      <c r="A42"/>
      <c r="D42" s="17" t="s">
        <v>260</v>
      </c>
      <c r="F42" s="17" t="s">
        <v>260</v>
      </c>
      <c r="H42" s="17" t="s">
        <v>261</v>
      </c>
      <c r="J42" s="17" t="s">
        <v>262</v>
      </c>
    </row>
    <row r="43" spans="1:10" ht="20.100000000000001" customHeight="1" x14ac:dyDescent="0.25">
      <c r="A43"/>
      <c r="D43" s="15" t="s">
        <v>81</v>
      </c>
      <c r="F43" s="15" t="s">
        <v>85</v>
      </c>
      <c r="H43" s="17" t="s">
        <v>263</v>
      </c>
      <c r="J43" s="15" t="s">
        <v>156</v>
      </c>
    </row>
    <row r="44" spans="1:10" ht="20.100000000000001" customHeight="1" x14ac:dyDescent="0.25">
      <c r="A44"/>
      <c r="F44" s="15" t="s">
        <v>264</v>
      </c>
      <c r="H44" s="15" t="s">
        <v>86</v>
      </c>
      <c r="J44" s="15" t="s">
        <v>265</v>
      </c>
    </row>
    <row r="45" spans="1:10" ht="20.100000000000001" customHeight="1" x14ac:dyDescent="0.25">
      <c r="A45"/>
      <c r="F45" s="15" t="s">
        <v>266</v>
      </c>
      <c r="H45" s="15" t="s">
        <v>267</v>
      </c>
      <c r="J45" s="15" t="s">
        <v>155</v>
      </c>
    </row>
    <row r="46" spans="1:10" ht="20.100000000000001" customHeight="1" x14ac:dyDescent="0.25">
      <c r="A46"/>
      <c r="H46" s="15" t="s">
        <v>268</v>
      </c>
      <c r="J46" s="15" t="s">
        <v>157</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3"/>
    </row>
    <row r="49" spans="1:8" ht="20.100000000000001" customHeight="1" x14ac:dyDescent="0.25">
      <c r="A49"/>
      <c r="D49" s="18" t="str" cm="1">
        <f t="array" ref="D49">Fertiliser_SourceData.Fertiliser_FracGASF_Source()</f>
        <v>Table A.2.2.6: Fraction of inorganic fertiliser f that volatilises as NH3 and NOx ((kg NH3â€“N + NOxâ€“N)/kg N) (FracGASFf)</v>
      </c>
      <c r="G49" s="103"/>
    </row>
    <row r="50" spans="1:8" ht="20.100000000000001" customHeight="1" x14ac:dyDescent="0.25">
      <c r="A50"/>
      <c r="D50" s="17" t="s">
        <v>167</v>
      </c>
      <c r="E50" s="17" t="s">
        <v>269</v>
      </c>
      <c r="G50" s="103"/>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3"/>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3"/>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3"/>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3"/>
      <c r="H54" s="103"/>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3"/>
      <c r="H55" s="103"/>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3"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214</v>
      </c>
      <c r="E65" s="17" t="s">
        <v>270</v>
      </c>
      <c r="F65" s="17" t="s">
        <v>271</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3"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3"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3"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272</v>
      </c>
    </row>
    <row r="87" spans="1:31" ht="20.100000000000001" customHeight="1" x14ac:dyDescent="0.25">
      <c r="A87"/>
      <c r="D87" s="16" t="s">
        <v>273</v>
      </c>
      <c r="E87" s="103"/>
      <c r="F87" s="103"/>
      <c r="G87" s="103"/>
      <c r="H87" s="103"/>
      <c r="I87" s="103"/>
      <c r="J87" s="103"/>
      <c r="K87" s="103"/>
      <c r="L87" s="103"/>
      <c r="N87" s="103" t="s">
        <v>272</v>
      </c>
      <c r="O87" s="103"/>
      <c r="P87" s="103"/>
      <c r="Q87" s="103"/>
      <c r="R87" s="103"/>
      <c r="S87" s="103"/>
      <c r="T87" s="103"/>
      <c r="U87" s="103"/>
    </row>
    <row r="88" spans="1:31" ht="20.100000000000001" customHeight="1" x14ac:dyDescent="0.25">
      <c r="A88"/>
      <c r="D88" s="103"/>
    </row>
    <row r="89" spans="1:31" ht="20.100000000000001" customHeight="1" x14ac:dyDescent="0.25">
      <c r="A89"/>
      <c r="D89" s="118" t="s">
        <v>274</v>
      </c>
      <c r="E89" s="17" t="s">
        <v>275</v>
      </c>
      <c r="F89" s="17" t="s">
        <v>276</v>
      </c>
      <c r="G89" s="45" t="s">
        <v>277</v>
      </c>
      <c r="H89" s="45" t="s">
        <v>163</v>
      </c>
      <c r="I89" s="45" t="s">
        <v>278</v>
      </c>
      <c r="J89" s="45" t="s">
        <v>113</v>
      </c>
      <c r="K89" s="45" t="s">
        <v>114</v>
      </c>
      <c r="L89" s="45" t="s">
        <v>100</v>
      </c>
      <c r="M89" s="45" t="s">
        <v>101</v>
      </c>
      <c r="N89" s="45" t="s">
        <v>102</v>
      </c>
      <c r="O89" s="17" t="s">
        <v>103</v>
      </c>
      <c r="P89" s="17" t="s">
        <v>104</v>
      </c>
      <c r="Q89" s="17" t="s">
        <v>105</v>
      </c>
      <c r="R89" s="45" t="s">
        <v>106</v>
      </c>
      <c r="S89" s="45" t="s">
        <v>107</v>
      </c>
      <c r="T89" s="17" t="s">
        <v>108</v>
      </c>
      <c r="U89" s="45" t="s">
        <v>109</v>
      </c>
      <c r="V89" s="45" t="s">
        <v>110</v>
      </c>
      <c r="W89" s="45" t="s">
        <v>111</v>
      </c>
      <c r="X89" s="45" t="s">
        <v>279</v>
      </c>
      <c r="Y89" s="45" t="s">
        <v>280</v>
      </c>
      <c r="Z89" s="17" t="s">
        <v>281</v>
      </c>
      <c r="AA89" s="17" t="s">
        <v>282</v>
      </c>
      <c r="AB89" s="17" t="s">
        <v>283</v>
      </c>
      <c r="AC89" s="17" t="s">
        <v>284</v>
      </c>
      <c r="AD89" s="17" t="s">
        <v>285</v>
      </c>
      <c r="AE89" s="17" t="s">
        <v>286</v>
      </c>
    </row>
    <row r="90" spans="1:31" ht="20.100000000000001" customHeight="1" x14ac:dyDescent="0.25">
      <c r="A90"/>
      <c r="D90" s="117" t="str" cm="1">
        <f t="array" ref="D90">Common_InputFunctions.Utility_DisplayArrayInTable(Fertiliser_SourceData.Fertiliser_Products_Data1(),FertiliserProducts[[#Headers],[Include or Exclude]], -1)</f>
        <v>Include</v>
      </c>
      <c r="E90" s="117" t="str" cm="1">
        <f t="array" ref="E90">Common_InputFunctions.Utility_DisplayArrayInTable(Fertiliser_SourceData.Fertiliser_Products_Data1(),FertiliserProducts[[#Headers],[Include or Exclude]], 0)</f>
        <v/>
      </c>
      <c r="F90" s="117" t="str" cm="1">
        <f t="array" ref="F90">Common_InputFunctions.Utility_DisplayArrayInTable(Fertiliser_SourceData.Fertiliser_Products_Data1(),FertiliserProducts[[#Headers],[Include or Exclude]], 0)</f>
        <v>Campbells fertilisers Australia</v>
      </c>
      <c r="G90" s="117" t="str" cm="1">
        <f t="array" ref="G90">Common_InputFunctions.Utility_DisplayArrayInTable(Fertiliser_SourceData.Fertiliser_Products_Data1(),FertiliserProducts[[#Headers],[Include or Exclude]], 0)</f>
        <v>Aqua Finish</v>
      </c>
      <c r="H90" s="117" t="str" cm="1">
        <f t="array" ref="H90">Common_InputFunctions.Utility_DisplayArrayInTable(Fertiliser_SourceData.Fertiliser_Products_Data1(),FertiliserProducts[[#Headers],[Include or Exclude]], 0,4)</f>
        <v>L</v>
      </c>
      <c r="I90" s="117" cm="1">
        <f t="array" ref="I90">Common_InputFunctions.Utility_DisplayArrayInTable(Fertiliser_SourceData.Fertiliser_Products_Data1(),FertiliserProducts[[#Headers],[Include or Exclude]], 0,4)</f>
        <v>1.26</v>
      </c>
      <c r="J90" s="117" t="str" cm="1">
        <f t="array" ref="J90">Common_InputFunctions.Utility_DisplayArrayInTable(Fertiliser_SourceData.Fertiliser_Products_Data1(),FertiliserProducts[[#Headers],[Include or Exclude]], 0,4)</f>
        <v/>
      </c>
      <c r="K90" s="117" t="str" cm="1">
        <f t="array" ref="K90">Common_InputFunctions.Utility_DisplayArrayInTable(Fertiliser_SourceData.Fertiliser_Products_Data1(),FertiliserProducts[[#Headers],[Include or Exclude]], 0,4)</f>
        <v/>
      </c>
      <c r="L90" s="117" t="str" cm="1">
        <f t="array" ref="L90">Common_InputFunctions.Utility_DisplayArrayInTable(Fertiliser_SourceData.Fertiliser_Products_Data1(),FertiliserProducts[[#Headers],[Include or Exclude]], 0,4)</f>
        <v>Potassium - Generic</v>
      </c>
      <c r="M90" s="117" cm="1">
        <f t="array" ref="M90">Common_InputFunctions.Utility_DisplayArrayInTable(Fertiliser_SourceData.Fertiliser_Products_Data1(),FertiliserProducts[[#Headers],[Include or Exclude]], 0,4)</f>
        <v>0.22500000000000001</v>
      </c>
      <c r="N90" s="117" t="str" cm="1">
        <f t="array" ref="N90">Common_InputFunctions.Utility_DisplayArrayInTable(Fertiliser_SourceData.Fertiliser_Products_Data1(),FertiliserProducts[[#Headers],[Include or Exclude]], 0,4)</f>
        <v>Phosphorus - Generic</v>
      </c>
      <c r="O90" s="117" cm="1">
        <f t="array" ref="O90">Common_InputFunctions.Utility_DisplayArrayInTable(Fertiliser_SourceData.Fertiliser_Products_Data1(),FertiliserProducts[[#Headers],[Include or Exclude]], 0,4)</f>
        <v>0.04</v>
      </c>
      <c r="P90" s="117" t="str" cm="1">
        <f t="array" ref="P90">Common_InputFunctions.Utility_DisplayArrayInTable(Fertiliser_SourceData.Fertiliser_Products_Data1(),FertiliserProducts[[#Headers],[Include or Exclude]], 0,4)</f>
        <v>Nitrogen - Generic</v>
      </c>
      <c r="Q90" s="117" cm="1">
        <f t="array" ref="Q90">Common_InputFunctions.Utility_DisplayArrayInTable(Fertiliser_SourceData.Fertiliser_Products_Data1(),FertiliserProducts[[#Headers],[Include or Exclude]], 0,4)</f>
        <v>2.5999999999999999E-2</v>
      </c>
      <c r="R90" s="117" t="str" cm="1">
        <f t="array" ref="R90">Common_InputFunctions.Utility_DisplayArrayInTable(Fertiliser_SourceData.Fertiliser_Products_Data1(),FertiliserProducts[[#Headers],[Include or Exclude]], 0,4)</f>
        <v/>
      </c>
      <c r="S90" s="117" t="str" cm="1">
        <f t="array" ref="S90">Common_InputFunctions.Utility_DisplayArrayInTable(Fertiliser_SourceData.Fertiliser_Products_Data1(),FertiliserProducts[[#Headers],[Include or Exclude]], 0,4)</f>
        <v/>
      </c>
      <c r="T90" s="117" t="str" cm="1">
        <f t="array" ref="T90">Common_InputFunctions.Utility_DisplayArrayInTable(Fertiliser_SourceData.Fertiliser_Products_Data1(),FertiliserProducts[[#Headers],[Include or Exclude]], 0,4)</f>
        <v/>
      </c>
      <c r="U90" s="117" t="str" cm="1">
        <f t="array" ref="U90">Common_InputFunctions.Utility_DisplayArrayInTable(Fertiliser_SourceData.Fertiliser_Products_Data1(),FertiliserProducts[[#Headers],[Include or Exclude]], 0,4)</f>
        <v/>
      </c>
      <c r="V90" s="117" t="str" cm="1">
        <f t="array" ref="V90">Common_InputFunctions.Utility_DisplayArrayInTable(Fertiliser_SourceData.Fertiliser_Products_Data1(),FertiliserProducts[[#Headers],[Include or Exclude]], 0,4)</f>
        <v/>
      </c>
      <c r="W90" s="117" t="str" cm="1">
        <f t="array" ref="W90">Common_InputFunctions.Utility_DisplayArrayInTable(Fertiliser_SourceData.Fertiliser_Products_Data1(),FertiliserProducts[[#Headers],[Include or Exclude]], 0,4)</f>
        <v/>
      </c>
      <c r="X90" s="117" t="str" cm="1">
        <f t="array" ref="X90">Common_InputFunctions.Utility_DisplayArrayInTable(Fertiliser_SourceData.Fertiliser_Products_Data1(),FertiliserProducts[[#Headers],[Include or Exclude]], 0,4)</f>
        <v/>
      </c>
      <c r="Y90" s="117" t="str" cm="1">
        <f t="array" ref="Y90">Common_InputFunctions.Utility_DisplayArrayInTable(Fertiliser_SourceData.Fertiliser_Products_Data1(),FertiliserProducts[[#Headers],[Include or Exclude]], 0,4)</f>
        <v/>
      </c>
      <c r="Z90" s="117" t="str" cm="1">
        <f t="array" ref="Z90">Common_InputFunctions.Utility_DisplayArrayInTable(Fertiliser_SourceData.Fertiliser_Products_Data1(),FertiliserProducts[[#Headers],[Include or Exclude]], 0,4)</f>
        <v/>
      </c>
      <c r="AA90" s="117" t="str" cm="1">
        <f t="array" ref="AA90">Common_InputFunctions.Utility_DisplayArrayInTable(Fertiliser_SourceData.Fertiliser_Products_Data1(),FertiliserProducts[[#Headers],[Include or Exclude]], 0,4)</f>
        <v/>
      </c>
      <c r="AB90" s="117" t="str" cm="1">
        <f t="array" ref="AB90">Common_InputFunctions.Utility_DisplayArrayInTable(Fertiliser_SourceData.Fertiliser_Products_Data1(),FertiliserProducts[[#Headers],[Include or Exclude]], 0,4)</f>
        <v/>
      </c>
      <c r="AC90" s="117" t="str" cm="1">
        <f t="array" ref="AC90">Common_InputFunctions.Utility_DisplayArrayInTable(Fertiliser_SourceData.Fertiliser_Products_Data1(),FertiliserProducts[[#Headers],[Include or Exclude]], 0,4)</f>
        <v/>
      </c>
      <c r="AD90" s="117" t="str" cm="1">
        <f t="array" ref="AD90">Common_InputFunctions.Utility_DisplayArrayInTable(Fertiliser_SourceData.Fertiliser_Products_Data1(),FertiliserProducts[[#Headers],[Include or Exclude]], 0,4)</f>
        <v/>
      </c>
      <c r="AE90" s="117" t="str" cm="1">
        <f t="array" ref="AE90">Common_InputFunctions.Utility_DisplayArrayInTable(Fertiliser_SourceData.Fertiliser_Products_Data1(),FertiliserProducts[[#Headers],[Include or Exclude]], 0,4)</f>
        <v/>
      </c>
    </row>
    <row r="91" spans="1:31" ht="20.100000000000001" customHeight="1" x14ac:dyDescent="0.25">
      <c r="A91"/>
      <c r="D91" s="117" t="str" cm="1">
        <f t="array" ref="D91">Common_InputFunctions.Utility_DisplayArrayInTable(Fertiliser_SourceData.Fertiliser_Products_Data1(),FertiliserProducts[[#Headers],[Include or Exclude]], -1)</f>
        <v>Include</v>
      </c>
      <c r="E91" s="117" t="str" cm="1">
        <f t="array" ref="E91">Common_InputFunctions.Utility_DisplayArrayInTable(Fertiliser_SourceData.Fertiliser_Products_Data1(),FertiliserProducts[[#Headers],[Include or Exclude]], 0)</f>
        <v/>
      </c>
      <c r="F91" s="117" t="str" cm="1">
        <f t="array" ref="F91">Common_InputFunctions.Utility_DisplayArrayInTable(Fertiliser_SourceData.Fertiliser_Products_Data1(),FertiliserProducts[[#Headers],[Include or Exclude]], 0)</f>
        <v>Campbells fertilisers Australia</v>
      </c>
      <c r="G91" s="117" t="str" cm="1">
        <f t="array" ref="G91">Common_InputFunctions.Utility_DisplayArrayInTable(Fertiliser_SourceData.Fertiliser_Products_Data1(),FertiliserProducts[[#Headers],[Include or Exclude]], 0)</f>
        <v>Aqua Grow</v>
      </c>
      <c r="H91" s="117" t="str" cm="1">
        <f t="array" ref="H91">Common_InputFunctions.Utility_DisplayArrayInTable(Fertiliser_SourceData.Fertiliser_Products_Data1(),FertiliserProducts[[#Headers],[Include or Exclude]], 0,4)</f>
        <v>L</v>
      </c>
      <c r="I91" s="117" cm="1">
        <f t="array" ref="I91">Common_InputFunctions.Utility_DisplayArrayInTable(Fertiliser_SourceData.Fertiliser_Products_Data1(),FertiliserProducts[[#Headers],[Include or Exclude]], 0,4)</f>
        <v>1.26</v>
      </c>
      <c r="J91" s="117" t="str" cm="1">
        <f t="array" ref="J91">Common_InputFunctions.Utility_DisplayArrayInTable(Fertiliser_SourceData.Fertiliser_Products_Data1(),FertiliserProducts[[#Headers],[Include or Exclude]], 0,4)</f>
        <v/>
      </c>
      <c r="K91" s="117" t="str" cm="1">
        <f t="array" ref="K91">Common_InputFunctions.Utility_DisplayArrayInTable(Fertiliser_SourceData.Fertiliser_Products_Data1(),FertiliserProducts[[#Headers],[Include or Exclude]], 0,4)</f>
        <v/>
      </c>
      <c r="L91" s="117" t="str" cm="1">
        <f t="array" ref="L91">Common_InputFunctions.Utility_DisplayArrayInTable(Fertiliser_SourceData.Fertiliser_Products_Data1(),FertiliserProducts[[#Headers],[Include or Exclude]], 0,4)</f>
        <v>Potassium - Generic</v>
      </c>
      <c r="M91" s="117" cm="1">
        <f t="array" ref="M91">Common_InputFunctions.Utility_DisplayArrayInTable(Fertiliser_SourceData.Fertiliser_Products_Data1(),FertiliserProducts[[#Headers],[Include or Exclude]], 0,4)</f>
        <v>0.105</v>
      </c>
      <c r="N91" s="117" t="str" cm="1">
        <f t="array" ref="N91">Common_InputFunctions.Utility_DisplayArrayInTable(Fertiliser_SourceData.Fertiliser_Products_Data1(),FertiliserProducts[[#Headers],[Include or Exclude]], 0,4)</f>
        <v>Nitrogen - Generic</v>
      </c>
      <c r="O91" s="117" cm="1">
        <f t="array" ref="O91">Common_InputFunctions.Utility_DisplayArrayInTable(Fertiliser_SourceData.Fertiliser_Products_Data1(),FertiliserProducts[[#Headers],[Include or Exclude]], 0,4)</f>
        <v>9.6000000000000002E-2</v>
      </c>
      <c r="P91" s="117" t="str" cm="1">
        <f t="array" ref="P91">Common_InputFunctions.Utility_DisplayArrayInTable(Fertiliser_SourceData.Fertiliser_Products_Data1(),FertiliserProducts[[#Headers],[Include or Exclude]], 0,4)</f>
        <v>Phosphorus - Generic</v>
      </c>
      <c r="Q91" s="117" cm="1">
        <f t="array" ref="Q91">Common_InputFunctions.Utility_DisplayArrayInTable(Fertiliser_SourceData.Fertiliser_Products_Data1(),FertiliserProducts[[#Headers],[Include or Exclude]], 0,4)</f>
        <v>0.05</v>
      </c>
      <c r="R91" s="117" t="str" cm="1">
        <f t="array" ref="R91">Common_InputFunctions.Utility_DisplayArrayInTable(Fertiliser_SourceData.Fertiliser_Products_Data1(),FertiliserProducts[[#Headers],[Include or Exclude]], 0,4)</f>
        <v/>
      </c>
      <c r="S91" s="117" t="str" cm="1">
        <f t="array" ref="S91">Common_InputFunctions.Utility_DisplayArrayInTable(Fertiliser_SourceData.Fertiliser_Products_Data1(),FertiliserProducts[[#Headers],[Include or Exclude]], 0,4)</f>
        <v/>
      </c>
      <c r="T91" s="117" t="str" cm="1">
        <f t="array" ref="T91">Common_InputFunctions.Utility_DisplayArrayInTable(Fertiliser_SourceData.Fertiliser_Products_Data1(),FertiliserProducts[[#Headers],[Include or Exclude]], 0,4)</f>
        <v/>
      </c>
      <c r="U91" s="117" t="str" cm="1">
        <f t="array" ref="U91">Common_InputFunctions.Utility_DisplayArrayInTable(Fertiliser_SourceData.Fertiliser_Products_Data1(),FertiliserProducts[[#Headers],[Include or Exclude]], 0,4)</f>
        <v/>
      </c>
      <c r="V91" s="117" t="str" cm="1">
        <f t="array" ref="V91">Common_InputFunctions.Utility_DisplayArrayInTable(Fertiliser_SourceData.Fertiliser_Products_Data1(),FertiliserProducts[[#Headers],[Include or Exclude]], 0,4)</f>
        <v/>
      </c>
      <c r="W91" s="117" t="str" cm="1">
        <f t="array" ref="W91">Common_InputFunctions.Utility_DisplayArrayInTable(Fertiliser_SourceData.Fertiliser_Products_Data1(),FertiliserProducts[[#Headers],[Include or Exclude]], 0,4)</f>
        <v/>
      </c>
      <c r="X91" s="117" t="str" cm="1">
        <f t="array" ref="X91">Common_InputFunctions.Utility_DisplayArrayInTable(Fertiliser_SourceData.Fertiliser_Products_Data1(),FertiliserProducts[[#Headers],[Include or Exclude]], 0,4)</f>
        <v/>
      </c>
      <c r="Y91" s="117" t="str" cm="1">
        <f t="array" ref="Y91">Common_InputFunctions.Utility_DisplayArrayInTable(Fertiliser_SourceData.Fertiliser_Products_Data1(),FertiliserProducts[[#Headers],[Include or Exclude]], 0,4)</f>
        <v/>
      </c>
      <c r="Z91" s="117" t="str" cm="1">
        <f t="array" ref="Z91">Common_InputFunctions.Utility_DisplayArrayInTable(Fertiliser_SourceData.Fertiliser_Products_Data1(),FertiliserProducts[[#Headers],[Include or Exclude]], 0,4)</f>
        <v/>
      </c>
      <c r="AA91" s="117" t="str" cm="1">
        <f t="array" ref="AA91">Common_InputFunctions.Utility_DisplayArrayInTable(Fertiliser_SourceData.Fertiliser_Products_Data1(),FertiliserProducts[[#Headers],[Include or Exclude]], 0,4)</f>
        <v/>
      </c>
      <c r="AB91" s="117" t="str" cm="1">
        <f t="array" ref="AB91">Common_InputFunctions.Utility_DisplayArrayInTable(Fertiliser_SourceData.Fertiliser_Products_Data1(),FertiliserProducts[[#Headers],[Include or Exclude]], 0,4)</f>
        <v/>
      </c>
      <c r="AC91" s="117" t="str" cm="1">
        <f t="array" ref="AC91">Common_InputFunctions.Utility_DisplayArrayInTable(Fertiliser_SourceData.Fertiliser_Products_Data1(),FertiliserProducts[[#Headers],[Include or Exclude]], 0,4)</f>
        <v/>
      </c>
      <c r="AD91" s="117" t="str" cm="1">
        <f t="array" ref="AD91">Common_InputFunctions.Utility_DisplayArrayInTable(Fertiliser_SourceData.Fertiliser_Products_Data1(),FertiliserProducts[[#Headers],[Include or Exclude]], 0,4)</f>
        <v/>
      </c>
      <c r="AE91" s="117" t="str" cm="1">
        <f t="array" ref="AE91">Common_InputFunctions.Utility_DisplayArrayInTable(Fertiliser_SourceData.Fertiliser_Products_Data1(),FertiliserProducts[[#Headers],[Include or Exclude]], 0,4)</f>
        <v/>
      </c>
    </row>
    <row r="92" spans="1:31" ht="20.100000000000001" customHeight="1" x14ac:dyDescent="0.25">
      <c r="A92"/>
      <c r="D92" s="117" t="str" cm="1">
        <f t="array" ref="D92">Common_InputFunctions.Utility_DisplayArrayInTable(Fertiliser_SourceData.Fertiliser_Products_Data1(),FertiliserProducts[[#Headers],[Include or Exclude]], -1)</f>
        <v>Include</v>
      </c>
      <c r="E92" s="117" t="str" cm="1">
        <f t="array" ref="E92">Common_InputFunctions.Utility_DisplayArrayInTable(Fertiliser_SourceData.Fertiliser_Products_Data1(),FertiliserProducts[[#Headers],[Include or Exclude]], 0)</f>
        <v/>
      </c>
      <c r="F92" s="117" t="str" cm="1">
        <f t="array" ref="F92">Common_InputFunctions.Utility_DisplayArrayInTable(Fertiliser_SourceData.Fertiliser_Products_Data1(),FertiliserProducts[[#Headers],[Include or Exclude]], 0)</f>
        <v>Campbells fertilisers Australia</v>
      </c>
      <c r="G92" s="117" t="str" cm="1">
        <f t="array" ref="G92">Common_InputFunctions.Utility_DisplayArrayInTable(Fertiliser_SourceData.Fertiliser_Products_Data1(),FertiliserProducts[[#Headers],[Include or Exclude]], 0)</f>
        <v>Aqua Nitro AN</v>
      </c>
      <c r="H92" s="117" t="str" cm="1">
        <f t="array" ref="H92">Common_InputFunctions.Utility_DisplayArrayInTable(Fertiliser_SourceData.Fertiliser_Products_Data1(),FertiliserProducts[[#Headers],[Include or Exclude]], 0,4)</f>
        <v>L</v>
      </c>
      <c r="I92" s="117" cm="1">
        <f t="array" ref="I92">Common_InputFunctions.Utility_DisplayArrayInTable(Fertiliser_SourceData.Fertiliser_Products_Data1(),FertiliserProducts[[#Headers],[Include or Exclude]], 0,4)</f>
        <v>1.24</v>
      </c>
      <c r="J92" s="117" t="str" cm="1">
        <f t="array" ref="J92">Common_InputFunctions.Utility_DisplayArrayInTable(Fertiliser_SourceData.Fertiliser_Products_Data1(),FertiliserProducts[[#Headers],[Include or Exclude]], 0,4)</f>
        <v/>
      </c>
      <c r="K92" s="117" t="str" cm="1">
        <f t="array" ref="K92">Common_InputFunctions.Utility_DisplayArrayInTable(Fertiliser_SourceData.Fertiliser_Products_Data1(),FertiliserProducts[[#Headers],[Include or Exclude]], 0,4)</f>
        <v/>
      </c>
      <c r="L92" s="117" t="str" cm="1">
        <f t="array" ref="L92">Common_InputFunctions.Utility_DisplayArrayInTable(Fertiliser_SourceData.Fertiliser_Products_Data1(),FertiliserProducts[[#Headers],[Include or Exclude]], 0,4)</f>
        <v>Nitrogen - Ammoniacal</v>
      </c>
      <c r="M92" s="117" cm="1">
        <f t="array" ref="M92">Common_InputFunctions.Utility_DisplayArrayInTable(Fertiliser_SourceData.Fertiliser_Products_Data1(),FertiliserProducts[[#Headers],[Include or Exclude]], 0,4)</f>
        <v>0.223</v>
      </c>
      <c r="N92" s="117" t="str" cm="1">
        <f t="array" ref="N92">Common_InputFunctions.Utility_DisplayArrayInTable(Fertiliser_SourceData.Fertiliser_Products_Data1(),FertiliserProducts[[#Headers],[Include or Exclude]], 0,4)</f>
        <v/>
      </c>
      <c r="O92" s="117" t="str" cm="1">
        <f t="array" ref="O92">Common_InputFunctions.Utility_DisplayArrayInTable(Fertiliser_SourceData.Fertiliser_Products_Data1(),FertiliserProducts[[#Headers],[Include or Exclude]], 0,4)</f>
        <v/>
      </c>
      <c r="P92" s="117" t="str" cm="1">
        <f t="array" ref="P92">Common_InputFunctions.Utility_DisplayArrayInTable(Fertiliser_SourceData.Fertiliser_Products_Data1(),FertiliserProducts[[#Headers],[Include or Exclude]], 0,4)</f>
        <v/>
      </c>
      <c r="Q92" s="117" t="str" cm="1">
        <f t="array" ref="Q92">Common_InputFunctions.Utility_DisplayArrayInTable(Fertiliser_SourceData.Fertiliser_Products_Data1(),FertiliserProducts[[#Headers],[Include or Exclude]], 0,4)</f>
        <v/>
      </c>
      <c r="R92" s="117" t="str" cm="1">
        <f t="array" ref="R92">Common_InputFunctions.Utility_DisplayArrayInTable(Fertiliser_SourceData.Fertiliser_Products_Data1(),FertiliserProducts[[#Headers],[Include or Exclude]], 0,4)</f>
        <v/>
      </c>
      <c r="S92" s="117" t="str" cm="1">
        <f t="array" ref="S92">Common_InputFunctions.Utility_DisplayArrayInTable(Fertiliser_SourceData.Fertiliser_Products_Data1(),FertiliserProducts[[#Headers],[Include or Exclude]], 0,4)</f>
        <v/>
      </c>
      <c r="T92" s="117" t="str" cm="1">
        <f t="array" ref="T92">Common_InputFunctions.Utility_DisplayArrayInTable(Fertiliser_SourceData.Fertiliser_Products_Data1(),FertiliserProducts[[#Headers],[Include or Exclude]], 0,4)</f>
        <v/>
      </c>
      <c r="U92" s="117" t="str" cm="1">
        <f t="array" ref="U92">Common_InputFunctions.Utility_DisplayArrayInTable(Fertiliser_SourceData.Fertiliser_Products_Data1(),FertiliserProducts[[#Headers],[Include or Exclude]], 0,4)</f>
        <v/>
      </c>
      <c r="V92" s="117" t="str" cm="1">
        <f t="array" ref="V92">Common_InputFunctions.Utility_DisplayArrayInTable(Fertiliser_SourceData.Fertiliser_Products_Data1(),FertiliserProducts[[#Headers],[Include or Exclude]], 0,4)</f>
        <v/>
      </c>
      <c r="W92" s="117" t="str" cm="1">
        <f t="array" ref="W92">Common_InputFunctions.Utility_DisplayArrayInTable(Fertiliser_SourceData.Fertiliser_Products_Data1(),FertiliserProducts[[#Headers],[Include or Exclude]], 0,4)</f>
        <v/>
      </c>
      <c r="X92" s="117" t="str" cm="1">
        <f t="array" ref="X92">Common_InputFunctions.Utility_DisplayArrayInTable(Fertiliser_SourceData.Fertiliser_Products_Data1(),FertiliserProducts[[#Headers],[Include or Exclude]], 0,4)</f>
        <v/>
      </c>
      <c r="Y92" s="117" t="str" cm="1">
        <f t="array" ref="Y92">Common_InputFunctions.Utility_DisplayArrayInTable(Fertiliser_SourceData.Fertiliser_Products_Data1(),FertiliserProducts[[#Headers],[Include or Exclude]], 0,4)</f>
        <v/>
      </c>
      <c r="Z92" s="117" t="str" cm="1">
        <f t="array" ref="Z92">Common_InputFunctions.Utility_DisplayArrayInTable(Fertiliser_SourceData.Fertiliser_Products_Data1(),FertiliserProducts[[#Headers],[Include or Exclude]], 0,4)</f>
        <v/>
      </c>
      <c r="AA92" s="117" t="str" cm="1">
        <f t="array" ref="AA92">Common_InputFunctions.Utility_DisplayArrayInTable(Fertiliser_SourceData.Fertiliser_Products_Data1(),FertiliserProducts[[#Headers],[Include or Exclude]], 0,4)</f>
        <v/>
      </c>
      <c r="AB92" s="117" t="str" cm="1">
        <f t="array" ref="AB92">Common_InputFunctions.Utility_DisplayArrayInTable(Fertiliser_SourceData.Fertiliser_Products_Data1(),FertiliserProducts[[#Headers],[Include or Exclude]], 0,4)</f>
        <v/>
      </c>
      <c r="AC92" s="117" t="str" cm="1">
        <f t="array" ref="AC92">Common_InputFunctions.Utility_DisplayArrayInTable(Fertiliser_SourceData.Fertiliser_Products_Data1(),FertiliserProducts[[#Headers],[Include or Exclude]], 0,4)</f>
        <v/>
      </c>
      <c r="AD92" s="117" t="str" cm="1">
        <f t="array" ref="AD92">Common_InputFunctions.Utility_DisplayArrayInTable(Fertiliser_SourceData.Fertiliser_Products_Data1(),FertiliserProducts[[#Headers],[Include or Exclude]], 0,4)</f>
        <v/>
      </c>
      <c r="AE92" s="117" t="str" cm="1">
        <f t="array" ref="AE92">Common_InputFunctions.Utility_DisplayArrayInTable(Fertiliser_SourceData.Fertiliser_Products_Data1(),FertiliserProducts[[#Headers],[Include or Exclude]], 0,4)</f>
        <v/>
      </c>
    </row>
    <row r="93" spans="1:31" ht="20.100000000000001" customHeight="1" x14ac:dyDescent="0.25">
      <c r="A93"/>
      <c r="D93" s="117" t="str" cm="1">
        <f t="array" ref="D93">Common_InputFunctions.Utility_DisplayArrayInTable(Fertiliser_SourceData.Fertiliser_Products_Data1(),FertiliserProducts[[#Headers],[Include or Exclude]], -1)</f>
        <v>Include</v>
      </c>
      <c r="E93" s="117" t="str" cm="1">
        <f t="array" ref="E93">Common_InputFunctions.Utility_DisplayArrayInTable(Fertiliser_SourceData.Fertiliser_Products_Data1(),FertiliserProducts[[#Headers],[Include or Exclude]], 0)</f>
        <v>Use Lime EF for calcium</v>
      </c>
      <c r="F93" s="117" t="str" cm="1">
        <f t="array" ref="F93">Common_InputFunctions.Utility_DisplayArrayInTable(Fertiliser_SourceData.Fertiliser_Products_Data1(),FertiliserProducts[[#Headers],[Include or Exclude]], 0)</f>
        <v>Campbells fertilisers Australia</v>
      </c>
      <c r="G93" s="117" t="str" cm="1">
        <f t="array" ref="G93">Common_InputFunctions.Utility_DisplayArrayInTable(Fertiliser_SourceData.Fertiliser_Products_Data1(),FertiliserProducts[[#Headers],[Include or Exclude]], 0)</f>
        <v>Aqua NitroCal</v>
      </c>
      <c r="H93" s="117" t="str" cm="1">
        <f t="array" ref="H93">Common_InputFunctions.Utility_DisplayArrayInTable(Fertiliser_SourceData.Fertiliser_Products_Data1(),FertiliserProducts[[#Headers],[Include or Exclude]], 0,4)</f>
        <v>L</v>
      </c>
      <c r="I93" s="117" cm="1">
        <f t="array" ref="I93">Common_InputFunctions.Utility_DisplayArrayInTable(Fertiliser_SourceData.Fertiliser_Products_Data1(),FertiliserProducts[[#Headers],[Include or Exclude]], 0,4)</f>
        <v>1.5</v>
      </c>
      <c r="J93" s="117" t="str" cm="1">
        <f t="array" ref="J93">Common_InputFunctions.Utility_DisplayArrayInTable(Fertiliser_SourceData.Fertiliser_Products_Data1(),FertiliserProducts[[#Headers],[Include or Exclude]], 0,4)</f>
        <v/>
      </c>
      <c r="K93" s="117" t="str" cm="1">
        <f t="array" ref="K93">Common_InputFunctions.Utility_DisplayArrayInTable(Fertiliser_SourceData.Fertiliser_Products_Data1(),FertiliserProducts[[#Headers],[Include or Exclude]], 0,4)</f>
        <v/>
      </c>
      <c r="L93" s="117" t="str" cm="1">
        <f t="array" ref="L93">Common_InputFunctions.Utility_DisplayArrayInTable(Fertiliser_SourceData.Fertiliser_Products_Data1(),FertiliserProducts[[#Headers],[Include or Exclude]], 0,4)</f>
        <v>Calcium - Generic</v>
      </c>
      <c r="M93" s="117" cm="1">
        <f t="array" ref="M93">Common_InputFunctions.Utility_DisplayArrayInTable(Fertiliser_SourceData.Fertiliser_Products_Data1(),FertiliserProducts[[#Headers],[Include or Exclude]], 0,4)</f>
        <v>0.16200000000000001</v>
      </c>
      <c r="N93" s="117" t="str" cm="1">
        <f t="array" ref="N93">Common_InputFunctions.Utility_DisplayArrayInTable(Fertiliser_SourceData.Fertiliser_Products_Data1(),FertiliserProducts[[#Headers],[Include or Exclude]], 0,4)</f>
        <v>Nitrogen - Nitrate</v>
      </c>
      <c r="O93" s="117" cm="1">
        <f t="array" ref="O93">Common_InputFunctions.Utility_DisplayArrayInTable(Fertiliser_SourceData.Fertiliser_Products_Data1(),FertiliserProducts[[#Headers],[Include or Exclude]], 0,4)</f>
        <v>0.13200000000000001</v>
      </c>
      <c r="P93" s="117" t="str" cm="1">
        <f t="array" ref="P93">Common_InputFunctions.Utility_DisplayArrayInTable(Fertiliser_SourceData.Fertiliser_Products_Data1(),FertiliserProducts[[#Headers],[Include or Exclude]], 0,4)</f>
        <v/>
      </c>
      <c r="Q93" s="117" t="str" cm="1">
        <f t="array" ref="Q93">Common_InputFunctions.Utility_DisplayArrayInTable(Fertiliser_SourceData.Fertiliser_Products_Data1(),FertiliserProducts[[#Headers],[Include or Exclude]], 0,4)</f>
        <v/>
      </c>
      <c r="R93" s="117" t="str" cm="1">
        <f t="array" ref="R93">Common_InputFunctions.Utility_DisplayArrayInTable(Fertiliser_SourceData.Fertiliser_Products_Data1(),FertiliserProducts[[#Headers],[Include or Exclude]], 0,4)</f>
        <v/>
      </c>
      <c r="S93" s="117" t="str" cm="1">
        <f t="array" ref="S93">Common_InputFunctions.Utility_DisplayArrayInTable(Fertiliser_SourceData.Fertiliser_Products_Data1(),FertiliserProducts[[#Headers],[Include or Exclude]], 0,4)</f>
        <v/>
      </c>
      <c r="T93" s="117" t="str" cm="1">
        <f t="array" ref="T93">Common_InputFunctions.Utility_DisplayArrayInTable(Fertiliser_SourceData.Fertiliser_Products_Data1(),FertiliserProducts[[#Headers],[Include or Exclude]], 0,4)</f>
        <v/>
      </c>
      <c r="U93" s="117" t="str" cm="1">
        <f t="array" ref="U93">Common_InputFunctions.Utility_DisplayArrayInTable(Fertiliser_SourceData.Fertiliser_Products_Data1(),FertiliserProducts[[#Headers],[Include or Exclude]], 0,4)</f>
        <v/>
      </c>
      <c r="V93" s="117" t="str" cm="1">
        <f t="array" ref="V93">Common_InputFunctions.Utility_DisplayArrayInTable(Fertiliser_SourceData.Fertiliser_Products_Data1(),FertiliserProducts[[#Headers],[Include or Exclude]], 0,4)</f>
        <v/>
      </c>
      <c r="W93" s="117" t="str" cm="1">
        <f t="array" ref="W93">Common_InputFunctions.Utility_DisplayArrayInTable(Fertiliser_SourceData.Fertiliser_Products_Data1(),FertiliserProducts[[#Headers],[Include or Exclude]], 0,4)</f>
        <v/>
      </c>
      <c r="X93" s="117" t="str" cm="1">
        <f t="array" ref="X93">Common_InputFunctions.Utility_DisplayArrayInTable(Fertiliser_SourceData.Fertiliser_Products_Data1(),FertiliserProducts[[#Headers],[Include or Exclude]], 0,4)</f>
        <v/>
      </c>
      <c r="Y93" s="117" t="str" cm="1">
        <f t="array" ref="Y93">Common_InputFunctions.Utility_DisplayArrayInTable(Fertiliser_SourceData.Fertiliser_Products_Data1(),FertiliserProducts[[#Headers],[Include or Exclude]], 0,4)</f>
        <v/>
      </c>
      <c r="Z93" s="117" t="str" cm="1">
        <f t="array" ref="Z93">Common_InputFunctions.Utility_DisplayArrayInTable(Fertiliser_SourceData.Fertiliser_Products_Data1(),FertiliserProducts[[#Headers],[Include or Exclude]], 0,4)</f>
        <v/>
      </c>
      <c r="AA93" s="117" t="str" cm="1">
        <f t="array" ref="AA93">Common_InputFunctions.Utility_DisplayArrayInTable(Fertiliser_SourceData.Fertiliser_Products_Data1(),FertiliserProducts[[#Headers],[Include or Exclude]], 0,4)</f>
        <v/>
      </c>
      <c r="AB93" s="117" t="str" cm="1">
        <f t="array" ref="AB93">Common_InputFunctions.Utility_DisplayArrayInTable(Fertiliser_SourceData.Fertiliser_Products_Data1(),FertiliserProducts[[#Headers],[Include or Exclude]], 0,4)</f>
        <v/>
      </c>
      <c r="AC93" s="117" t="str" cm="1">
        <f t="array" ref="AC93">Common_InputFunctions.Utility_DisplayArrayInTable(Fertiliser_SourceData.Fertiliser_Products_Data1(),FertiliserProducts[[#Headers],[Include or Exclude]], 0,4)</f>
        <v/>
      </c>
      <c r="AD93" s="117" t="str" cm="1">
        <f t="array" ref="AD93">Common_InputFunctions.Utility_DisplayArrayInTable(Fertiliser_SourceData.Fertiliser_Products_Data1(),FertiliserProducts[[#Headers],[Include or Exclude]], 0,4)</f>
        <v/>
      </c>
      <c r="AE93" s="117" t="str" cm="1">
        <f t="array" ref="AE93">Common_InputFunctions.Utility_DisplayArrayInTable(Fertiliser_SourceData.Fertiliser_Products_Data1(),FertiliserProducts[[#Headers],[Include or Exclude]], 0,4)</f>
        <v/>
      </c>
    </row>
    <row r="94" spans="1:31" ht="20.100000000000001" customHeight="1" x14ac:dyDescent="0.25">
      <c r="A94"/>
      <c r="D94" s="117" t="str" cm="1">
        <f t="array" ref="D94">Common_InputFunctions.Utility_DisplayArrayInTable(Fertiliser_SourceData.Fertiliser_Products_Data1(),FertiliserProducts[[#Headers],[Include or Exclude]], -1)</f>
        <v>Include</v>
      </c>
      <c r="E94" s="117" t="str" cm="1">
        <f t="array" ref="E94">Common_InputFunctions.Utility_DisplayArrayInTable(Fertiliser_SourceData.Fertiliser_Products_Data1(),FertiliserProducts[[#Headers],[Include or Exclude]], 0)</f>
        <v>Use Lime EF for calcium</v>
      </c>
      <c r="F94" s="117" t="str" cm="1">
        <f t="array" ref="F94">Common_InputFunctions.Utility_DisplayArrayInTable(Fertiliser_SourceData.Fertiliser_Products_Data1(),FertiliserProducts[[#Headers],[Include or Exclude]], 0)</f>
        <v>Campbells fertilisers Australia</v>
      </c>
      <c r="G94" s="117" t="str" cm="1">
        <f t="array" ref="G94">Common_InputFunctions.Utility_DisplayArrayInTable(Fertiliser_SourceData.Fertiliser_Products_Data1(),FertiliserProducts[[#Headers],[Include or Exclude]], 0)</f>
        <v>Aqua NitroCal (VI)</v>
      </c>
      <c r="H94" s="117" t="str" cm="1">
        <f t="array" ref="H94">Common_InputFunctions.Utility_DisplayArrayInTable(Fertiliser_SourceData.Fertiliser_Products_Data1(),FertiliserProducts[[#Headers],[Include or Exclude]], 0,4)</f>
        <v>L</v>
      </c>
      <c r="I94" s="117" cm="1">
        <f t="array" ref="I94">Common_InputFunctions.Utility_DisplayArrayInTable(Fertiliser_SourceData.Fertiliser_Products_Data1(),FertiliserProducts[[#Headers],[Include or Exclude]], 0,4)</f>
        <v>1.5</v>
      </c>
      <c r="J94" s="117" t="str" cm="1">
        <f t="array" ref="J94">Common_InputFunctions.Utility_DisplayArrayInTable(Fertiliser_SourceData.Fertiliser_Products_Data1(),FertiliserProducts[[#Headers],[Include or Exclude]], 0,4)</f>
        <v/>
      </c>
      <c r="K94" s="117" t="str" cm="1">
        <f t="array" ref="K94">Common_InputFunctions.Utility_DisplayArrayInTable(Fertiliser_SourceData.Fertiliser_Products_Data1(),FertiliserProducts[[#Headers],[Include or Exclude]], 0,4)</f>
        <v/>
      </c>
      <c r="L94" s="117" t="str" cm="1">
        <f t="array" ref="L94">Common_InputFunctions.Utility_DisplayArrayInTable(Fertiliser_SourceData.Fertiliser_Products_Data1(),FertiliserProducts[[#Headers],[Include or Exclude]], 0,4)</f>
        <v>Calcium - Generic</v>
      </c>
      <c r="M94" s="117" cm="1">
        <f t="array" ref="M94">Common_InputFunctions.Utility_DisplayArrayInTable(Fertiliser_SourceData.Fertiliser_Products_Data1(),FertiliserProducts[[#Headers],[Include or Exclude]], 0,4)</f>
        <v>0.187</v>
      </c>
      <c r="N94" s="117" t="str" cm="1">
        <f t="array" ref="N94">Common_InputFunctions.Utility_DisplayArrayInTable(Fertiliser_SourceData.Fertiliser_Products_Data1(),FertiliserProducts[[#Headers],[Include or Exclude]], 0,4)</f>
        <v>Nitrogen - Nitrate</v>
      </c>
      <c r="O94" s="117" cm="1">
        <f t="array" ref="O94">Common_InputFunctions.Utility_DisplayArrayInTable(Fertiliser_SourceData.Fertiliser_Products_Data1(),FertiliserProducts[[#Headers],[Include or Exclude]], 0,4)</f>
        <v>0.13200000000000001</v>
      </c>
      <c r="P94" s="117" t="str" cm="1">
        <f t="array" ref="P94">Common_InputFunctions.Utility_DisplayArrayInTable(Fertiliser_SourceData.Fertiliser_Products_Data1(),FertiliserProducts[[#Headers],[Include or Exclude]], 0,4)</f>
        <v/>
      </c>
      <c r="Q94" s="117" t="str" cm="1">
        <f t="array" ref="Q94">Common_InputFunctions.Utility_DisplayArrayInTable(Fertiliser_SourceData.Fertiliser_Products_Data1(),FertiliserProducts[[#Headers],[Include or Exclude]], 0,4)</f>
        <v/>
      </c>
      <c r="R94" s="117" t="str" cm="1">
        <f t="array" ref="R94">Common_InputFunctions.Utility_DisplayArrayInTable(Fertiliser_SourceData.Fertiliser_Products_Data1(),FertiliserProducts[[#Headers],[Include or Exclude]], 0,4)</f>
        <v/>
      </c>
      <c r="S94" s="117" t="str" cm="1">
        <f t="array" ref="S94">Common_InputFunctions.Utility_DisplayArrayInTable(Fertiliser_SourceData.Fertiliser_Products_Data1(),FertiliserProducts[[#Headers],[Include or Exclude]], 0,4)</f>
        <v/>
      </c>
      <c r="T94" s="117" t="str" cm="1">
        <f t="array" ref="T94">Common_InputFunctions.Utility_DisplayArrayInTable(Fertiliser_SourceData.Fertiliser_Products_Data1(),FertiliserProducts[[#Headers],[Include or Exclude]], 0,4)</f>
        <v/>
      </c>
      <c r="U94" s="117" t="str" cm="1">
        <f t="array" ref="U94">Common_InputFunctions.Utility_DisplayArrayInTable(Fertiliser_SourceData.Fertiliser_Products_Data1(),FertiliserProducts[[#Headers],[Include or Exclude]], 0,4)</f>
        <v/>
      </c>
      <c r="V94" s="117" t="str" cm="1">
        <f t="array" ref="V94">Common_InputFunctions.Utility_DisplayArrayInTable(Fertiliser_SourceData.Fertiliser_Products_Data1(),FertiliserProducts[[#Headers],[Include or Exclude]], 0,4)</f>
        <v/>
      </c>
      <c r="W94" s="117" t="str" cm="1">
        <f t="array" ref="W94">Common_InputFunctions.Utility_DisplayArrayInTable(Fertiliser_SourceData.Fertiliser_Products_Data1(),FertiliserProducts[[#Headers],[Include or Exclude]], 0,4)</f>
        <v/>
      </c>
      <c r="X94" s="117" t="str" cm="1">
        <f t="array" ref="X94">Common_InputFunctions.Utility_DisplayArrayInTable(Fertiliser_SourceData.Fertiliser_Products_Data1(),FertiliserProducts[[#Headers],[Include or Exclude]], 0,4)</f>
        <v/>
      </c>
      <c r="Y94" s="117" t="str" cm="1">
        <f t="array" ref="Y94">Common_InputFunctions.Utility_DisplayArrayInTable(Fertiliser_SourceData.Fertiliser_Products_Data1(),FertiliserProducts[[#Headers],[Include or Exclude]], 0,4)</f>
        <v/>
      </c>
      <c r="Z94" s="117" t="str" cm="1">
        <f t="array" ref="Z94">Common_InputFunctions.Utility_DisplayArrayInTable(Fertiliser_SourceData.Fertiliser_Products_Data1(),FertiliserProducts[[#Headers],[Include or Exclude]], 0,4)</f>
        <v/>
      </c>
      <c r="AA94" s="117" t="str" cm="1">
        <f t="array" ref="AA94">Common_InputFunctions.Utility_DisplayArrayInTable(Fertiliser_SourceData.Fertiliser_Products_Data1(),FertiliserProducts[[#Headers],[Include or Exclude]], 0,4)</f>
        <v/>
      </c>
      <c r="AB94" s="117" t="str" cm="1">
        <f t="array" ref="AB94">Common_InputFunctions.Utility_DisplayArrayInTable(Fertiliser_SourceData.Fertiliser_Products_Data1(),FertiliserProducts[[#Headers],[Include or Exclude]], 0,4)</f>
        <v/>
      </c>
      <c r="AC94" s="117" t="str" cm="1">
        <f t="array" ref="AC94">Common_InputFunctions.Utility_DisplayArrayInTable(Fertiliser_SourceData.Fertiliser_Products_Data1(),FertiliserProducts[[#Headers],[Include or Exclude]], 0,4)</f>
        <v/>
      </c>
      <c r="AD94" s="117" t="str" cm="1">
        <f t="array" ref="AD94">Common_InputFunctions.Utility_DisplayArrayInTable(Fertiliser_SourceData.Fertiliser_Products_Data1(),FertiliserProducts[[#Headers],[Include or Exclude]], 0,4)</f>
        <v/>
      </c>
      <c r="AE94" s="117" t="str" cm="1">
        <f t="array" ref="AE94">Common_InputFunctions.Utility_DisplayArrayInTable(Fertiliser_SourceData.Fertiliser_Products_Data1(),FertiliserProducts[[#Headers],[Include or Exclude]], 0,4)</f>
        <v/>
      </c>
    </row>
    <row r="95" spans="1:31" ht="20.100000000000001" customHeight="1" x14ac:dyDescent="0.25">
      <c r="A95"/>
      <c r="D95" s="117" t="str" cm="1">
        <f t="array" ref="D95">Common_InputFunctions.Utility_DisplayArrayInTable(Fertiliser_SourceData.Fertiliser_Products_Data1(),FertiliserProducts[[#Headers],[Include or Exclude]], -1)</f>
        <v>Include</v>
      </c>
      <c r="E95" s="117" t="str" cm="1">
        <f t="array" ref="E95">Common_InputFunctions.Utility_DisplayArrayInTable(Fertiliser_SourceData.Fertiliser_Products_Data1(),FertiliserProducts[[#Headers],[Include or Exclude]], 0)</f>
        <v>Use Lime EF for calcium</v>
      </c>
      <c r="F95" s="117" t="str" cm="1">
        <f t="array" ref="F95">Common_InputFunctions.Utility_DisplayArrayInTable(Fertiliser_SourceData.Fertiliser_Products_Data1(),FertiliserProducts[[#Headers],[Include or Exclude]], 0)</f>
        <v>Campbells fertilisers Australia</v>
      </c>
      <c r="G95" s="117" t="str" cm="1">
        <f t="array" ref="G95">Common_InputFunctions.Utility_DisplayArrayInTable(Fertiliser_SourceData.Fertiliser_Products_Data1(),FertiliserProducts[[#Headers],[Include or Exclude]], 0)</f>
        <v>Aqua NitroCal Ultimate</v>
      </c>
      <c r="H95" s="117" t="str" cm="1">
        <f t="array" ref="H95">Common_InputFunctions.Utility_DisplayArrayInTable(Fertiliser_SourceData.Fertiliser_Products_Data1(),FertiliserProducts[[#Headers],[Include or Exclude]], 0,4)</f>
        <v>L</v>
      </c>
      <c r="I95" s="117" cm="1">
        <f t="array" ref="I95">Common_InputFunctions.Utility_DisplayArrayInTable(Fertiliser_SourceData.Fertiliser_Products_Data1(),FertiliserProducts[[#Headers],[Include or Exclude]], 0,4)</f>
        <v>1.5</v>
      </c>
      <c r="J95" s="117" t="str" cm="1">
        <f t="array" ref="J95">Common_InputFunctions.Utility_DisplayArrayInTable(Fertiliser_SourceData.Fertiliser_Products_Data1(),FertiliserProducts[[#Headers],[Include or Exclude]], 0,4)</f>
        <v/>
      </c>
      <c r="K95" s="117" t="str" cm="1">
        <f t="array" ref="K95">Common_InputFunctions.Utility_DisplayArrayInTable(Fertiliser_SourceData.Fertiliser_Products_Data1(),FertiliserProducts[[#Headers],[Include or Exclude]], 0,4)</f>
        <v/>
      </c>
      <c r="L95" s="117" t="str" cm="1">
        <f t="array" ref="L95">Common_InputFunctions.Utility_DisplayArrayInTable(Fertiliser_SourceData.Fertiliser_Products_Data1(),FertiliserProducts[[#Headers],[Include or Exclude]], 0,4)</f>
        <v>Calcium - Generic</v>
      </c>
      <c r="M95" s="117" cm="1">
        <f t="array" ref="M95">Common_InputFunctions.Utility_DisplayArrayInTable(Fertiliser_SourceData.Fertiliser_Products_Data1(),FertiliserProducts[[#Headers],[Include or Exclude]], 0,4)</f>
        <v>0.183</v>
      </c>
      <c r="N95" s="117" t="str" cm="1">
        <f t="array" ref="N95">Common_InputFunctions.Utility_DisplayArrayInTable(Fertiliser_SourceData.Fertiliser_Products_Data1(),FertiliserProducts[[#Headers],[Include or Exclude]], 0,4)</f>
        <v>Nitrogen  - Nitrate</v>
      </c>
      <c r="O95" s="117" cm="1">
        <f t="array" ref="O95">Common_InputFunctions.Utility_DisplayArrayInTable(Fertiliser_SourceData.Fertiliser_Products_Data1(),FertiliserProducts[[#Headers],[Include or Exclude]], 0,4)</f>
        <v>0.13200000000000001</v>
      </c>
      <c r="P95" s="117" t="str" cm="1">
        <f t="array" ref="P95">Common_InputFunctions.Utility_DisplayArrayInTable(Fertiliser_SourceData.Fertiliser_Products_Data1(),FertiliserProducts[[#Headers],[Include or Exclude]], 0,4)</f>
        <v/>
      </c>
      <c r="Q95" s="117" t="str" cm="1">
        <f t="array" ref="Q95">Common_InputFunctions.Utility_DisplayArrayInTable(Fertiliser_SourceData.Fertiliser_Products_Data1(),FertiliserProducts[[#Headers],[Include or Exclude]], 0,4)</f>
        <v/>
      </c>
      <c r="R95" s="117" t="str" cm="1">
        <f t="array" ref="R95">Common_InputFunctions.Utility_DisplayArrayInTable(Fertiliser_SourceData.Fertiliser_Products_Data1(),FertiliserProducts[[#Headers],[Include or Exclude]], 0,4)</f>
        <v/>
      </c>
      <c r="S95" s="117" t="str" cm="1">
        <f t="array" ref="S95">Common_InputFunctions.Utility_DisplayArrayInTable(Fertiliser_SourceData.Fertiliser_Products_Data1(),FertiliserProducts[[#Headers],[Include or Exclude]], 0,4)</f>
        <v/>
      </c>
      <c r="T95" s="117" t="str" cm="1">
        <f t="array" ref="T95">Common_InputFunctions.Utility_DisplayArrayInTable(Fertiliser_SourceData.Fertiliser_Products_Data1(),FertiliserProducts[[#Headers],[Include or Exclude]], 0,4)</f>
        <v/>
      </c>
      <c r="U95" s="117" t="str" cm="1">
        <f t="array" ref="U95">Common_InputFunctions.Utility_DisplayArrayInTable(Fertiliser_SourceData.Fertiliser_Products_Data1(),FertiliserProducts[[#Headers],[Include or Exclude]], 0,4)</f>
        <v/>
      </c>
      <c r="V95" s="117" t="str" cm="1">
        <f t="array" ref="V95">Common_InputFunctions.Utility_DisplayArrayInTable(Fertiliser_SourceData.Fertiliser_Products_Data1(),FertiliserProducts[[#Headers],[Include or Exclude]], 0,4)</f>
        <v/>
      </c>
      <c r="W95" s="117" t="str" cm="1">
        <f t="array" ref="W95">Common_InputFunctions.Utility_DisplayArrayInTable(Fertiliser_SourceData.Fertiliser_Products_Data1(),FertiliserProducts[[#Headers],[Include or Exclude]], 0,4)</f>
        <v/>
      </c>
      <c r="X95" s="117" t="str" cm="1">
        <f t="array" ref="X95">Common_InputFunctions.Utility_DisplayArrayInTable(Fertiliser_SourceData.Fertiliser_Products_Data1(),FertiliserProducts[[#Headers],[Include or Exclude]], 0,4)</f>
        <v/>
      </c>
      <c r="Y95" s="117" t="str" cm="1">
        <f t="array" ref="Y95">Common_InputFunctions.Utility_DisplayArrayInTable(Fertiliser_SourceData.Fertiliser_Products_Data1(),FertiliserProducts[[#Headers],[Include or Exclude]], 0,4)</f>
        <v/>
      </c>
      <c r="Z95" s="117" t="str" cm="1">
        <f t="array" ref="Z95">Common_InputFunctions.Utility_DisplayArrayInTable(Fertiliser_SourceData.Fertiliser_Products_Data1(),FertiliserProducts[[#Headers],[Include or Exclude]], 0,4)</f>
        <v/>
      </c>
      <c r="AA95" s="117" t="str" cm="1">
        <f t="array" ref="AA95">Common_InputFunctions.Utility_DisplayArrayInTable(Fertiliser_SourceData.Fertiliser_Products_Data1(),FertiliserProducts[[#Headers],[Include or Exclude]], 0,4)</f>
        <v/>
      </c>
      <c r="AB95" s="117" t="str" cm="1">
        <f t="array" ref="AB95">Common_InputFunctions.Utility_DisplayArrayInTable(Fertiliser_SourceData.Fertiliser_Products_Data1(),FertiliserProducts[[#Headers],[Include or Exclude]], 0,4)</f>
        <v/>
      </c>
      <c r="AC95" s="117" t="str" cm="1">
        <f t="array" ref="AC95">Common_InputFunctions.Utility_DisplayArrayInTable(Fertiliser_SourceData.Fertiliser_Products_Data1(),FertiliserProducts[[#Headers],[Include or Exclude]], 0,4)</f>
        <v/>
      </c>
      <c r="AD95" s="117" t="str" cm="1">
        <f t="array" ref="AD95">Common_InputFunctions.Utility_DisplayArrayInTable(Fertiliser_SourceData.Fertiliser_Products_Data1(),FertiliserProducts[[#Headers],[Include or Exclude]], 0,4)</f>
        <v/>
      </c>
      <c r="AE95" s="117" t="str" cm="1">
        <f t="array" ref="AE95">Common_InputFunctions.Utility_DisplayArrayInTable(Fertiliser_SourceData.Fertiliser_Products_Data1(),FertiliserProducts[[#Headers],[Include or Exclude]], 0,4)</f>
        <v/>
      </c>
    </row>
    <row r="96" spans="1:31" ht="20.100000000000001" customHeight="1" x14ac:dyDescent="0.25">
      <c r="A96"/>
      <c r="D96" s="117" t="str" cm="1">
        <f t="array" ref="D96">Common_InputFunctions.Utility_DisplayArrayInTable(Fertiliser_SourceData.Fertiliser_Products_Data1(),FertiliserProducts[[#Headers],[Include or Exclude]], -1)</f>
        <v>Include</v>
      </c>
      <c r="E96" s="117" t="str" cm="1">
        <f t="array" ref="E96">Common_InputFunctions.Utility_DisplayArrayInTable(Fertiliser_SourceData.Fertiliser_Products_Data1(),FertiliserProducts[[#Headers],[Include or Exclude]], 0)</f>
        <v/>
      </c>
      <c r="F96" s="117" t="str" cm="1">
        <f t="array" ref="F96">Common_InputFunctions.Utility_DisplayArrayInTable(Fertiliser_SourceData.Fertiliser_Products_Data1(),FertiliserProducts[[#Headers],[Include or Exclude]], 0)</f>
        <v>Campbells fertilisers Australia</v>
      </c>
      <c r="G96" s="117" t="str" cm="1">
        <f t="array" ref="G96">Common_InputFunctions.Utility_DisplayArrayInTable(Fertiliser_SourceData.Fertiliser_Products_Data1(),FertiliserProducts[[#Headers],[Include or Exclude]], 0)</f>
        <v>Aqua Start</v>
      </c>
      <c r="H96" s="117" t="str" cm="1">
        <f t="array" ref="H96">Common_InputFunctions.Utility_DisplayArrayInTable(Fertiliser_SourceData.Fertiliser_Products_Data1(),FertiliserProducts[[#Headers],[Include or Exclude]], 0,4)</f>
        <v>L</v>
      </c>
      <c r="I96" s="117" cm="1">
        <f t="array" ref="I96">Common_InputFunctions.Utility_DisplayArrayInTable(Fertiliser_SourceData.Fertiliser_Products_Data1(),FertiliserProducts[[#Headers],[Include or Exclude]], 0,4)</f>
        <v>1.25</v>
      </c>
      <c r="J96" s="117" t="str" cm="1">
        <f t="array" ref="J96">Common_InputFunctions.Utility_DisplayArrayInTable(Fertiliser_SourceData.Fertiliser_Products_Data1(),FertiliserProducts[[#Headers],[Include or Exclude]], 0,4)</f>
        <v/>
      </c>
      <c r="K96" s="117" t="str" cm="1">
        <f t="array" ref="K96">Common_InputFunctions.Utility_DisplayArrayInTable(Fertiliser_SourceData.Fertiliser_Products_Data1(),FertiliserProducts[[#Headers],[Include or Exclude]], 0,4)</f>
        <v/>
      </c>
      <c r="L96" s="117" t="str" cm="1">
        <f t="array" ref="L96">Common_InputFunctions.Utility_DisplayArrayInTable(Fertiliser_SourceData.Fertiliser_Products_Data1(),FertiliserProducts[[#Headers],[Include or Exclude]], 0,4)</f>
        <v>Nitrogen - Generic</v>
      </c>
      <c r="M96" s="117" cm="1">
        <f t="array" ref="M96">Common_InputFunctions.Utility_DisplayArrayInTable(Fertiliser_SourceData.Fertiliser_Products_Data1(),FertiliserProducts[[#Headers],[Include or Exclude]], 0,4)</f>
        <v>0.10299999999999999</v>
      </c>
      <c r="N96" s="117" t="str" cm="1">
        <f t="array" ref="N96">Common_InputFunctions.Utility_DisplayArrayInTable(Fertiliser_SourceData.Fertiliser_Products_Data1(),FertiliserProducts[[#Headers],[Include or Exclude]], 0,4)</f>
        <v>Phosphorus - Generic</v>
      </c>
      <c r="O96" s="117" cm="1">
        <f t="array" ref="O96">Common_InputFunctions.Utility_DisplayArrayInTable(Fertiliser_SourceData.Fertiliser_Products_Data1(),FertiliserProducts[[#Headers],[Include or Exclude]], 0,4)</f>
        <v>0.1</v>
      </c>
      <c r="P96" s="117" t="str" cm="1">
        <f t="array" ref="P96">Common_InputFunctions.Utility_DisplayArrayInTable(Fertiliser_SourceData.Fertiliser_Products_Data1(),FertiliserProducts[[#Headers],[Include or Exclude]], 0,4)</f>
        <v>Potassium - Generic</v>
      </c>
      <c r="Q96" s="117" cm="1">
        <f t="array" ref="Q96">Common_InputFunctions.Utility_DisplayArrayInTable(Fertiliser_SourceData.Fertiliser_Products_Data1(),FertiliserProducts[[#Headers],[Include or Exclude]], 0,4)</f>
        <v>3.4000000000000002E-2</v>
      </c>
      <c r="R96" s="117" t="str" cm="1">
        <f t="array" ref="R96">Common_InputFunctions.Utility_DisplayArrayInTable(Fertiliser_SourceData.Fertiliser_Products_Data1(),FertiliserProducts[[#Headers],[Include or Exclude]], 0,4)</f>
        <v/>
      </c>
      <c r="S96" s="117" t="str" cm="1">
        <f t="array" ref="S96">Common_InputFunctions.Utility_DisplayArrayInTable(Fertiliser_SourceData.Fertiliser_Products_Data1(),FertiliserProducts[[#Headers],[Include or Exclude]], 0,4)</f>
        <v/>
      </c>
      <c r="T96" s="117" t="str" cm="1">
        <f t="array" ref="T96">Common_InputFunctions.Utility_DisplayArrayInTable(Fertiliser_SourceData.Fertiliser_Products_Data1(),FertiliserProducts[[#Headers],[Include or Exclude]], 0,4)</f>
        <v/>
      </c>
      <c r="U96" s="117" t="str" cm="1">
        <f t="array" ref="U96">Common_InputFunctions.Utility_DisplayArrayInTable(Fertiliser_SourceData.Fertiliser_Products_Data1(),FertiliserProducts[[#Headers],[Include or Exclude]], 0,4)</f>
        <v/>
      </c>
      <c r="V96" s="117" t="str" cm="1">
        <f t="array" ref="V96">Common_InputFunctions.Utility_DisplayArrayInTable(Fertiliser_SourceData.Fertiliser_Products_Data1(),FertiliserProducts[[#Headers],[Include or Exclude]], 0,4)</f>
        <v/>
      </c>
      <c r="W96" s="117" t="str" cm="1">
        <f t="array" ref="W96">Common_InputFunctions.Utility_DisplayArrayInTable(Fertiliser_SourceData.Fertiliser_Products_Data1(),FertiliserProducts[[#Headers],[Include or Exclude]], 0,4)</f>
        <v/>
      </c>
      <c r="X96" s="117" t="str" cm="1">
        <f t="array" ref="X96">Common_InputFunctions.Utility_DisplayArrayInTable(Fertiliser_SourceData.Fertiliser_Products_Data1(),FertiliserProducts[[#Headers],[Include or Exclude]], 0,4)</f>
        <v/>
      </c>
      <c r="Y96" s="117" t="str" cm="1">
        <f t="array" ref="Y96">Common_InputFunctions.Utility_DisplayArrayInTable(Fertiliser_SourceData.Fertiliser_Products_Data1(),FertiliserProducts[[#Headers],[Include or Exclude]], 0,4)</f>
        <v/>
      </c>
      <c r="Z96" s="117" t="str" cm="1">
        <f t="array" ref="Z96">Common_InputFunctions.Utility_DisplayArrayInTable(Fertiliser_SourceData.Fertiliser_Products_Data1(),FertiliserProducts[[#Headers],[Include or Exclude]], 0,4)</f>
        <v/>
      </c>
      <c r="AA96" s="117" t="str" cm="1">
        <f t="array" ref="AA96">Common_InputFunctions.Utility_DisplayArrayInTable(Fertiliser_SourceData.Fertiliser_Products_Data1(),FertiliserProducts[[#Headers],[Include or Exclude]], 0,4)</f>
        <v/>
      </c>
      <c r="AB96" s="117" t="str" cm="1">
        <f t="array" ref="AB96">Common_InputFunctions.Utility_DisplayArrayInTable(Fertiliser_SourceData.Fertiliser_Products_Data1(),FertiliserProducts[[#Headers],[Include or Exclude]], 0,4)</f>
        <v/>
      </c>
      <c r="AC96" s="117" t="str" cm="1">
        <f t="array" ref="AC96">Common_InputFunctions.Utility_DisplayArrayInTable(Fertiliser_SourceData.Fertiliser_Products_Data1(),FertiliserProducts[[#Headers],[Include or Exclude]], 0,4)</f>
        <v/>
      </c>
      <c r="AD96" s="117" t="str" cm="1">
        <f t="array" ref="AD96">Common_InputFunctions.Utility_DisplayArrayInTable(Fertiliser_SourceData.Fertiliser_Products_Data1(),FertiliserProducts[[#Headers],[Include or Exclude]], 0,4)</f>
        <v/>
      </c>
      <c r="AE96" s="117" t="str" cm="1">
        <f t="array" ref="AE96">Common_InputFunctions.Utility_DisplayArrayInTable(Fertiliser_SourceData.Fertiliser_Products_Data1(),FertiliserProducts[[#Headers],[Include or Exclude]], 0,4)</f>
        <v/>
      </c>
    </row>
    <row r="97" spans="1:31" ht="20.100000000000001" customHeight="1" x14ac:dyDescent="0.25">
      <c r="A97"/>
      <c r="D97" s="117" t="str" cm="1">
        <f t="array" ref="D97">Common_InputFunctions.Utility_DisplayArrayInTable(Fertiliser_SourceData.Fertiliser_Products_Data1(),FertiliserProducts[[#Headers],[Include or Exclude]], -1)</f>
        <v>Include</v>
      </c>
      <c r="E97" s="117" t="str" cm="1">
        <f t="array" ref="E97">Common_InputFunctions.Utility_DisplayArrayInTable(Fertiliser_SourceData.Fertiliser_Products_Data1(),FertiliserProducts[[#Headers],[Include or Exclude]], 0)</f>
        <v/>
      </c>
      <c r="F97" s="117" t="str" cm="1">
        <f t="array" ref="F97">Common_InputFunctions.Utility_DisplayArrayInTable(Fertiliser_SourceData.Fertiliser_Products_Data1(),FertiliserProducts[[#Headers],[Include or Exclude]], 0)</f>
        <v>Campbells fertilisers Australia</v>
      </c>
      <c r="G97" s="117" t="str" cm="1">
        <f t="array" ref="G97">Common_InputFunctions.Utility_DisplayArrayInTable(Fertiliser_SourceData.Fertiliser_Products_Data1(),FertiliserProducts[[#Headers],[Include or Exclude]], 0)</f>
        <v>Aqua Thio-Complete</v>
      </c>
      <c r="H97" s="117" t="str" cm="1">
        <f t="array" ref="H97">Common_InputFunctions.Utility_DisplayArrayInTable(Fertiliser_SourceData.Fertiliser_Products_Data1(),FertiliserProducts[[#Headers],[Include or Exclude]], 0,4)</f>
        <v>L</v>
      </c>
      <c r="I97" s="117" cm="1">
        <f t="array" ref="I97">Common_InputFunctions.Utility_DisplayArrayInTable(Fertiliser_SourceData.Fertiliser_Products_Data1(),FertiliserProducts[[#Headers],[Include or Exclude]], 0,4)</f>
        <v>1.43</v>
      </c>
      <c r="J97" s="117" t="str" cm="1">
        <f t="array" ref="J97">Common_InputFunctions.Utility_DisplayArrayInTable(Fertiliser_SourceData.Fertiliser_Products_Data1(),FertiliserProducts[[#Headers],[Include or Exclude]], 0,4)</f>
        <v/>
      </c>
      <c r="K97" s="117" t="str" cm="1">
        <f t="array" ref="K97">Common_InputFunctions.Utility_DisplayArrayInTable(Fertiliser_SourceData.Fertiliser_Products_Data1(),FertiliserProducts[[#Headers],[Include or Exclude]], 0,4)</f>
        <v/>
      </c>
      <c r="L97" s="117" t="str" cm="1">
        <f t="array" ref="L97">Common_InputFunctions.Utility_DisplayArrayInTable(Fertiliser_SourceData.Fertiliser_Products_Data1(),FertiliserProducts[[#Headers],[Include or Exclude]], 0,4)</f>
        <v>Potassium - Generic</v>
      </c>
      <c r="M97" s="117" cm="1">
        <f t="array" ref="M97">Common_InputFunctions.Utility_DisplayArrayInTable(Fertiliser_SourceData.Fertiliser_Products_Data1(),FertiliserProducts[[#Headers],[Include or Exclude]], 0,4)</f>
        <v>0.22500000000000001</v>
      </c>
      <c r="N97" s="117" t="str" cm="1">
        <f t="array" ref="N97">Common_InputFunctions.Utility_DisplayArrayInTable(Fertiliser_SourceData.Fertiliser_Products_Data1(),FertiliserProducts[[#Headers],[Include or Exclude]], 0,4)</f>
        <v>Phosphorus - Generic</v>
      </c>
      <c r="O97" s="117" cm="1">
        <f t="array" ref="O97">Common_InputFunctions.Utility_DisplayArrayInTable(Fertiliser_SourceData.Fertiliser_Products_Data1(),FertiliserProducts[[#Headers],[Include or Exclude]], 0,4)</f>
        <v>3.7999999999999999E-2</v>
      </c>
      <c r="P97" s="117" t="str" cm="1">
        <f t="array" ref="P97">Common_InputFunctions.Utility_DisplayArrayInTable(Fertiliser_SourceData.Fertiliser_Products_Data1(),FertiliserProducts[[#Headers],[Include or Exclude]], 0,4)</f>
        <v>Nitrogen - Generic</v>
      </c>
      <c r="Q97" s="117" cm="1">
        <f t="array" ref="Q97">Common_InputFunctions.Utility_DisplayArrayInTable(Fertiliser_SourceData.Fertiliser_Products_Data1(),FertiliserProducts[[#Headers],[Include or Exclude]], 0,4)</f>
        <v>2.5000000000000001E-2</v>
      </c>
      <c r="R97" s="117" t="str" cm="1">
        <f t="array" ref="R97">Common_InputFunctions.Utility_DisplayArrayInTable(Fertiliser_SourceData.Fertiliser_Products_Data1(),FertiliserProducts[[#Headers],[Include or Exclude]], 0,4)</f>
        <v/>
      </c>
      <c r="S97" s="117" t="str" cm="1">
        <f t="array" ref="S97">Common_InputFunctions.Utility_DisplayArrayInTable(Fertiliser_SourceData.Fertiliser_Products_Data1(),FertiliserProducts[[#Headers],[Include or Exclude]], 0,4)</f>
        <v/>
      </c>
      <c r="T97" s="117" t="str" cm="1">
        <f t="array" ref="T97">Common_InputFunctions.Utility_DisplayArrayInTable(Fertiliser_SourceData.Fertiliser_Products_Data1(),FertiliserProducts[[#Headers],[Include or Exclude]], 0,4)</f>
        <v/>
      </c>
      <c r="U97" s="117" t="str" cm="1">
        <f t="array" ref="U97">Common_InputFunctions.Utility_DisplayArrayInTable(Fertiliser_SourceData.Fertiliser_Products_Data1(),FertiliserProducts[[#Headers],[Include or Exclude]], 0,4)</f>
        <v/>
      </c>
      <c r="V97" s="117" t="str" cm="1">
        <f t="array" ref="V97">Common_InputFunctions.Utility_DisplayArrayInTable(Fertiliser_SourceData.Fertiliser_Products_Data1(),FertiliserProducts[[#Headers],[Include or Exclude]], 0,4)</f>
        <v/>
      </c>
      <c r="W97" s="117" t="str" cm="1">
        <f t="array" ref="W97">Common_InputFunctions.Utility_DisplayArrayInTable(Fertiliser_SourceData.Fertiliser_Products_Data1(),FertiliserProducts[[#Headers],[Include or Exclude]], 0,4)</f>
        <v/>
      </c>
      <c r="X97" s="117" t="str" cm="1">
        <f t="array" ref="X97">Common_InputFunctions.Utility_DisplayArrayInTable(Fertiliser_SourceData.Fertiliser_Products_Data1(),FertiliserProducts[[#Headers],[Include or Exclude]], 0,4)</f>
        <v/>
      </c>
      <c r="Y97" s="117" t="str" cm="1">
        <f t="array" ref="Y97">Common_InputFunctions.Utility_DisplayArrayInTable(Fertiliser_SourceData.Fertiliser_Products_Data1(),FertiliserProducts[[#Headers],[Include or Exclude]], 0,4)</f>
        <v/>
      </c>
      <c r="Z97" s="117" t="str" cm="1">
        <f t="array" ref="Z97">Common_InputFunctions.Utility_DisplayArrayInTable(Fertiliser_SourceData.Fertiliser_Products_Data1(),FertiliserProducts[[#Headers],[Include or Exclude]], 0,4)</f>
        <v/>
      </c>
      <c r="AA97" s="117" t="str" cm="1">
        <f t="array" ref="AA97">Common_InputFunctions.Utility_DisplayArrayInTable(Fertiliser_SourceData.Fertiliser_Products_Data1(),FertiliserProducts[[#Headers],[Include or Exclude]], 0,4)</f>
        <v/>
      </c>
      <c r="AB97" s="117" t="str" cm="1">
        <f t="array" ref="AB97">Common_InputFunctions.Utility_DisplayArrayInTable(Fertiliser_SourceData.Fertiliser_Products_Data1(),FertiliserProducts[[#Headers],[Include or Exclude]], 0,4)</f>
        <v/>
      </c>
      <c r="AC97" s="117" t="str" cm="1">
        <f t="array" ref="AC97">Common_InputFunctions.Utility_DisplayArrayInTable(Fertiliser_SourceData.Fertiliser_Products_Data1(),FertiliserProducts[[#Headers],[Include or Exclude]], 0,4)</f>
        <v/>
      </c>
      <c r="AD97" s="117" t="str" cm="1">
        <f t="array" ref="AD97">Common_InputFunctions.Utility_DisplayArrayInTable(Fertiliser_SourceData.Fertiliser_Products_Data1(),FertiliserProducts[[#Headers],[Include or Exclude]], 0,4)</f>
        <v/>
      </c>
      <c r="AE97" s="117" t="str" cm="1">
        <f t="array" ref="AE97">Common_InputFunctions.Utility_DisplayArrayInTable(Fertiliser_SourceData.Fertiliser_Products_Data1(),FertiliserProducts[[#Headers],[Include or Exclude]], 0,4)</f>
        <v/>
      </c>
    </row>
    <row r="98" spans="1:31" ht="20.100000000000001" customHeight="1" x14ac:dyDescent="0.25">
      <c r="A98"/>
      <c r="D98" s="117" t="str" cm="1">
        <f t="array" ref="D98">Common_InputFunctions.Utility_DisplayArrayInTable(Fertiliser_SourceData.Fertiliser_Products_Data1(),FertiliserProducts[[#Headers],[Include or Exclude]], -1)</f>
        <v>Include</v>
      </c>
      <c r="E98" s="117" t="str" cm="1">
        <f t="array" ref="E98">Common_InputFunctions.Utility_DisplayArrayInTable(Fertiliser_SourceData.Fertiliser_Products_Data1(),FertiliserProducts[[#Headers],[Include or Exclude]], 0)</f>
        <v/>
      </c>
      <c r="F98" s="117" t="str" cm="1">
        <f t="array" ref="F98">Common_InputFunctions.Utility_DisplayArrayInTable(Fertiliser_SourceData.Fertiliser_Products_Data1(),FertiliserProducts[[#Headers],[Include or Exclude]], 0)</f>
        <v>Campbells fertilisers Australia</v>
      </c>
      <c r="G98" s="117" t="str" cm="1">
        <f t="array" ref="G98">Common_InputFunctions.Utility_DisplayArrayInTable(Fertiliser_SourceData.Fertiliser_Products_Data1(),FertiliserProducts[[#Headers],[Include or Exclude]], 0)</f>
        <v>Aqua Thio-Emerge</v>
      </c>
      <c r="H98" s="117" t="str" cm="1">
        <f t="array" ref="H98">Common_InputFunctions.Utility_DisplayArrayInTable(Fertiliser_SourceData.Fertiliser_Products_Data1(),FertiliserProducts[[#Headers],[Include or Exclude]], 0,4)</f>
        <v>L</v>
      </c>
      <c r="I98" s="117" cm="1">
        <f t="array" ref="I98">Common_InputFunctions.Utility_DisplayArrayInTable(Fertiliser_SourceData.Fertiliser_Products_Data1(),FertiliserProducts[[#Headers],[Include or Exclude]], 0,4)</f>
        <v>1.29</v>
      </c>
      <c r="J98" s="117" t="str" cm="1">
        <f t="array" ref="J98">Common_InputFunctions.Utility_DisplayArrayInTable(Fertiliser_SourceData.Fertiliser_Products_Data1(),FertiliserProducts[[#Headers],[Include or Exclude]], 0,4)</f>
        <v/>
      </c>
      <c r="K98" s="117" t="str" cm="1">
        <f t="array" ref="K98">Common_InputFunctions.Utility_DisplayArrayInTable(Fertiliser_SourceData.Fertiliser_Products_Data1(),FertiliserProducts[[#Headers],[Include or Exclude]], 0,4)</f>
        <v/>
      </c>
      <c r="L98" s="117" t="str" cm="1">
        <f t="array" ref="L98">Common_InputFunctions.Utility_DisplayArrayInTable(Fertiliser_SourceData.Fertiliser_Products_Data1(),FertiliserProducts[[#Headers],[Include or Exclude]], 0,4)</f>
        <v>Nitrogen - Generic</v>
      </c>
      <c r="M98" s="117" cm="1">
        <f t="array" ref="M98">Common_InputFunctions.Utility_DisplayArrayInTable(Fertiliser_SourceData.Fertiliser_Products_Data1(),FertiliserProducts[[#Headers],[Include or Exclude]], 0,4)</f>
        <v>0.105</v>
      </c>
      <c r="N98" s="117" t="str" cm="1">
        <f t="array" ref="N98">Common_InputFunctions.Utility_DisplayArrayInTable(Fertiliser_SourceData.Fertiliser_Products_Data1(),FertiliserProducts[[#Headers],[Include or Exclude]], 0,4)</f>
        <v>Phosphorus - Generic</v>
      </c>
      <c r="O98" s="117" cm="1">
        <f t="array" ref="O98">Common_InputFunctions.Utility_DisplayArrayInTable(Fertiliser_SourceData.Fertiliser_Products_Data1(),FertiliserProducts[[#Headers],[Include or Exclude]], 0,4)</f>
        <v>9.4E-2</v>
      </c>
      <c r="P98" s="117" t="str" cm="1">
        <f t="array" ref="P98">Common_InputFunctions.Utility_DisplayArrayInTable(Fertiliser_SourceData.Fertiliser_Products_Data1(),FertiliserProducts[[#Headers],[Include or Exclude]], 0,4)</f>
        <v>Potassium - Generic</v>
      </c>
      <c r="Q98" s="117" cm="1">
        <f t="array" ref="Q98">Common_InputFunctions.Utility_DisplayArrayInTable(Fertiliser_SourceData.Fertiliser_Products_Data1(),FertiliserProducts[[#Headers],[Include or Exclude]], 0,4)</f>
        <v>0.04</v>
      </c>
      <c r="R98" s="117" t="str" cm="1">
        <f t="array" ref="R98">Common_InputFunctions.Utility_DisplayArrayInTable(Fertiliser_SourceData.Fertiliser_Products_Data1(),FertiliserProducts[[#Headers],[Include or Exclude]], 0,4)</f>
        <v>Sulfur - Generic</v>
      </c>
      <c r="S98" s="117" cm="1">
        <f t="array" ref="S98">Common_InputFunctions.Utility_DisplayArrayInTable(Fertiliser_SourceData.Fertiliser_Products_Data1(),FertiliserProducts[[#Headers],[Include or Exclude]], 0,4)</f>
        <v>0.03</v>
      </c>
      <c r="T98" s="117" t="str" cm="1">
        <f t="array" ref="T98">Common_InputFunctions.Utility_DisplayArrayInTable(Fertiliser_SourceData.Fertiliser_Products_Data1(),FertiliserProducts[[#Headers],[Include or Exclude]], 0,4)</f>
        <v/>
      </c>
      <c r="U98" s="117" t="str" cm="1">
        <f t="array" ref="U98">Common_InputFunctions.Utility_DisplayArrayInTable(Fertiliser_SourceData.Fertiliser_Products_Data1(),FertiliserProducts[[#Headers],[Include or Exclude]], 0,4)</f>
        <v/>
      </c>
      <c r="V98" s="117" t="str" cm="1">
        <f t="array" ref="V98">Common_InputFunctions.Utility_DisplayArrayInTable(Fertiliser_SourceData.Fertiliser_Products_Data1(),FertiliserProducts[[#Headers],[Include or Exclude]], 0,4)</f>
        <v/>
      </c>
      <c r="W98" s="117" t="str" cm="1">
        <f t="array" ref="W98">Common_InputFunctions.Utility_DisplayArrayInTable(Fertiliser_SourceData.Fertiliser_Products_Data1(),FertiliserProducts[[#Headers],[Include or Exclude]], 0,4)</f>
        <v/>
      </c>
      <c r="X98" s="117" t="str" cm="1">
        <f t="array" ref="X98">Common_InputFunctions.Utility_DisplayArrayInTable(Fertiliser_SourceData.Fertiliser_Products_Data1(),FertiliserProducts[[#Headers],[Include or Exclude]], 0,4)</f>
        <v/>
      </c>
      <c r="Y98" s="117" t="str" cm="1">
        <f t="array" ref="Y98">Common_InputFunctions.Utility_DisplayArrayInTable(Fertiliser_SourceData.Fertiliser_Products_Data1(),FertiliserProducts[[#Headers],[Include or Exclude]], 0,4)</f>
        <v/>
      </c>
      <c r="Z98" s="117" t="str" cm="1">
        <f t="array" ref="Z98">Common_InputFunctions.Utility_DisplayArrayInTable(Fertiliser_SourceData.Fertiliser_Products_Data1(),FertiliserProducts[[#Headers],[Include or Exclude]], 0,4)</f>
        <v/>
      </c>
      <c r="AA98" s="117" t="str" cm="1">
        <f t="array" ref="AA98">Common_InputFunctions.Utility_DisplayArrayInTable(Fertiliser_SourceData.Fertiliser_Products_Data1(),FertiliserProducts[[#Headers],[Include or Exclude]], 0,4)</f>
        <v/>
      </c>
      <c r="AB98" s="117" t="str" cm="1">
        <f t="array" ref="AB98">Common_InputFunctions.Utility_DisplayArrayInTable(Fertiliser_SourceData.Fertiliser_Products_Data1(),FertiliserProducts[[#Headers],[Include or Exclude]], 0,4)</f>
        <v/>
      </c>
      <c r="AC98" s="117" t="str" cm="1">
        <f t="array" ref="AC98">Common_InputFunctions.Utility_DisplayArrayInTable(Fertiliser_SourceData.Fertiliser_Products_Data1(),FertiliserProducts[[#Headers],[Include or Exclude]], 0,4)</f>
        <v/>
      </c>
      <c r="AD98" s="117" t="str" cm="1">
        <f t="array" ref="AD98">Common_InputFunctions.Utility_DisplayArrayInTable(Fertiliser_SourceData.Fertiliser_Products_Data1(),FertiliserProducts[[#Headers],[Include or Exclude]], 0,4)</f>
        <v/>
      </c>
      <c r="AE98" s="117" t="str" cm="1">
        <f t="array" ref="AE98">Common_InputFunctions.Utility_DisplayArrayInTable(Fertiliser_SourceData.Fertiliser_Products_Data1(),FertiliserProducts[[#Headers],[Include or Exclude]], 0,4)</f>
        <v/>
      </c>
    </row>
    <row r="99" spans="1:31" ht="20.100000000000001" customHeight="1" x14ac:dyDescent="0.25">
      <c r="A99"/>
      <c r="D99" s="117" t="str" cm="1">
        <f t="array" ref="D99">Common_InputFunctions.Utility_DisplayArrayInTable(Fertiliser_SourceData.Fertiliser_Products_Data1(),FertiliserProducts[[#Headers],[Include or Exclude]], -1)</f>
        <v>Exclude - Not relevant</v>
      </c>
      <c r="E99" s="117" t="str" cm="1">
        <f t="array" ref="E99">Common_InputFunctions.Utility_DisplayArrayInTable(Fertiliser_SourceData.Fertiliser_Products_Data1(),FertiliserProducts[[#Headers],[Include or Exclude]], 0)</f>
        <v/>
      </c>
      <c r="F99" s="117" t="str" cm="1">
        <f t="array" ref="F99">Common_InputFunctions.Utility_DisplayArrayInTable(Fertiliser_SourceData.Fertiliser_Products_Data1(),FertiliserProducts[[#Headers],[Include or Exclude]], 0)</f>
        <v>Campbells fertilisers Australia</v>
      </c>
      <c r="G99" s="117" t="str" cm="1">
        <f t="array" ref="G99">Common_InputFunctions.Utility_DisplayArrayInTable(Fertiliser_SourceData.Fertiliser_Products_Data1(),FertiliserProducts[[#Headers],[Include or Exclude]], 0)</f>
        <v>Aqua Thio-Flourish</v>
      </c>
      <c r="H99" s="117" t="str" cm="1">
        <f t="array" ref="H99">Common_InputFunctions.Utility_DisplayArrayInTable(Fertiliser_SourceData.Fertiliser_Products_Data1(),FertiliserProducts[[#Headers],[Include or Exclude]], 0,4)</f>
        <v>L</v>
      </c>
      <c r="I99" s="117" cm="1">
        <f t="array" ref="I99">Common_InputFunctions.Utility_DisplayArrayInTable(Fertiliser_SourceData.Fertiliser_Products_Data1(),FertiliserProducts[[#Headers],[Include or Exclude]], 0,4)</f>
        <v>1.32</v>
      </c>
      <c r="J99" s="117" t="str" cm="1">
        <f t="array" ref="J99">Common_InputFunctions.Utility_DisplayArrayInTable(Fertiliser_SourceData.Fertiliser_Products_Data1(),FertiliserProducts[[#Headers],[Include or Exclude]], 0,4)</f>
        <v/>
      </c>
      <c r="K99" s="117" t="str" cm="1">
        <f t="array" ref="K99">Common_InputFunctions.Utility_DisplayArrayInTable(Fertiliser_SourceData.Fertiliser_Products_Data1(),FertiliserProducts[[#Headers],[Include or Exclude]], 0,4)</f>
        <v/>
      </c>
      <c r="L99" s="117" t="str" cm="1">
        <f t="array" ref="L99">Common_InputFunctions.Utility_DisplayArrayInTable(Fertiliser_SourceData.Fertiliser_Products_Data1(),FertiliserProducts[[#Headers],[Include or Exclude]], 0,4)</f>
        <v>Potassium - Generic</v>
      </c>
      <c r="M99" s="117" cm="1">
        <f t="array" ref="M99">Common_InputFunctions.Utility_DisplayArrayInTable(Fertiliser_SourceData.Fertiliser_Products_Data1(),FertiliserProducts[[#Headers],[Include or Exclude]], 0,4)</f>
        <v>0.108</v>
      </c>
      <c r="N99" s="117" t="str" cm="1">
        <f t="array" ref="N99">Common_InputFunctions.Utility_DisplayArrayInTable(Fertiliser_SourceData.Fertiliser_Products_Data1(),FertiliserProducts[[#Headers],[Include or Exclude]], 0,4)</f>
        <v>Nitrogen - Generic</v>
      </c>
      <c r="O99" s="117" cm="1">
        <f t="array" ref="O99">Common_InputFunctions.Utility_DisplayArrayInTable(Fertiliser_SourceData.Fertiliser_Products_Data1(),FertiliserProducts[[#Headers],[Include or Exclude]], 0,4)</f>
        <v>9.5000000000000001E-2</v>
      </c>
      <c r="P99" s="117" t="str" cm="1">
        <f t="array" ref="P99">Common_InputFunctions.Utility_DisplayArrayInTable(Fertiliser_SourceData.Fertiliser_Products_Data1(),FertiliserProducts[[#Headers],[Include or Exclude]], 0,4)</f>
        <v>Sulfur - Generic</v>
      </c>
      <c r="Q99" s="117" cm="1">
        <f t="array" ref="Q99">Common_InputFunctions.Utility_DisplayArrayInTable(Fertiliser_SourceData.Fertiliser_Products_Data1(),FertiliserProducts[[#Headers],[Include or Exclude]], 0,4)</f>
        <v>8.1000000000000003E-2</v>
      </c>
      <c r="R99" s="117" t="str" cm="1">
        <f t="array" ref="R99">Common_InputFunctions.Utility_DisplayArrayInTable(Fertiliser_SourceData.Fertiliser_Products_Data1(),FertiliserProducts[[#Headers],[Include or Exclude]], 0,4)</f>
        <v>Phosphorus - Generic</v>
      </c>
      <c r="S99" s="117" cm="1">
        <f t="array" ref="S99">Common_InputFunctions.Utility_DisplayArrayInTable(Fertiliser_SourceData.Fertiliser_Products_Data1(),FertiliserProducts[[#Headers],[Include or Exclude]], 0,4)</f>
        <v>4.7E-2</v>
      </c>
      <c r="T99" s="117" t="str" cm="1">
        <f t="array" ref="T99">Common_InputFunctions.Utility_DisplayArrayInTable(Fertiliser_SourceData.Fertiliser_Products_Data1(),FertiliserProducts[[#Headers],[Include or Exclude]], 0,4)</f>
        <v/>
      </c>
      <c r="U99" s="117" t="str" cm="1">
        <f t="array" ref="U99">Common_InputFunctions.Utility_DisplayArrayInTable(Fertiliser_SourceData.Fertiliser_Products_Data1(),FertiliserProducts[[#Headers],[Include or Exclude]], 0,4)</f>
        <v/>
      </c>
      <c r="V99" s="117" t="str" cm="1">
        <f t="array" ref="V99">Common_InputFunctions.Utility_DisplayArrayInTable(Fertiliser_SourceData.Fertiliser_Products_Data1(),FertiliserProducts[[#Headers],[Include or Exclude]], 0,4)</f>
        <v/>
      </c>
      <c r="W99" s="117" t="str" cm="1">
        <f t="array" ref="W99">Common_InputFunctions.Utility_DisplayArrayInTable(Fertiliser_SourceData.Fertiliser_Products_Data1(),FertiliserProducts[[#Headers],[Include or Exclude]], 0,4)</f>
        <v/>
      </c>
      <c r="X99" s="117" t="str" cm="1">
        <f t="array" ref="X99">Common_InputFunctions.Utility_DisplayArrayInTable(Fertiliser_SourceData.Fertiliser_Products_Data1(),FertiliserProducts[[#Headers],[Include or Exclude]], 0,4)</f>
        <v/>
      </c>
      <c r="Y99" s="117" t="str" cm="1">
        <f t="array" ref="Y99">Common_InputFunctions.Utility_DisplayArrayInTable(Fertiliser_SourceData.Fertiliser_Products_Data1(),FertiliserProducts[[#Headers],[Include or Exclude]], 0,4)</f>
        <v/>
      </c>
      <c r="Z99" s="117" t="str" cm="1">
        <f t="array" ref="Z99">Common_InputFunctions.Utility_DisplayArrayInTable(Fertiliser_SourceData.Fertiliser_Products_Data1(),FertiliserProducts[[#Headers],[Include or Exclude]], 0,4)</f>
        <v/>
      </c>
      <c r="AA99" s="117" t="str" cm="1">
        <f t="array" ref="AA99">Common_InputFunctions.Utility_DisplayArrayInTable(Fertiliser_SourceData.Fertiliser_Products_Data1(),FertiliserProducts[[#Headers],[Include or Exclude]], 0,4)</f>
        <v/>
      </c>
      <c r="AB99" s="117" t="str" cm="1">
        <f t="array" ref="AB99">Common_InputFunctions.Utility_DisplayArrayInTable(Fertiliser_SourceData.Fertiliser_Products_Data1(),FertiliserProducts[[#Headers],[Include or Exclude]], 0,4)</f>
        <v/>
      </c>
      <c r="AC99" s="117" t="str" cm="1">
        <f t="array" ref="AC99">Common_InputFunctions.Utility_DisplayArrayInTable(Fertiliser_SourceData.Fertiliser_Products_Data1(),FertiliserProducts[[#Headers],[Include or Exclude]], 0,4)</f>
        <v/>
      </c>
      <c r="AD99" s="117" t="str" cm="1">
        <f t="array" ref="AD99">Common_InputFunctions.Utility_DisplayArrayInTable(Fertiliser_SourceData.Fertiliser_Products_Data1(),FertiliserProducts[[#Headers],[Include or Exclude]], 0,4)</f>
        <v/>
      </c>
      <c r="AE99" s="117" t="str" cm="1">
        <f t="array" ref="AE99">Common_InputFunctions.Utility_DisplayArrayInTable(Fertiliser_SourceData.Fertiliser_Products_Data1(),FertiliserProducts[[#Headers],[Include or Exclude]], 0,4)</f>
        <v/>
      </c>
    </row>
    <row r="100" spans="1:31" ht="20.100000000000001" customHeight="1" x14ac:dyDescent="0.25">
      <c r="A100"/>
      <c r="D100" s="117" t="str" cm="1">
        <f t="array" ref="D100">Common_InputFunctions.Utility_DisplayArrayInTable(Fertiliser_SourceData.Fertiliser_Products_Data1(),FertiliserProducts[[#Headers],[Include or Exclude]], -1)</f>
        <v>Exclude - Not relevant</v>
      </c>
      <c r="E100" s="117" t="str" cm="1">
        <f t="array" ref="E100">Common_InputFunctions.Utility_DisplayArrayInTable(Fertiliser_SourceData.Fertiliser_Products_Data1(),FertiliserProducts[[#Headers],[Include or Exclude]], 0)</f>
        <v/>
      </c>
      <c r="F100" s="117" t="str" cm="1">
        <f t="array" ref="F100">Common_InputFunctions.Utility_DisplayArrayInTable(Fertiliser_SourceData.Fertiliser_Products_Data1(),FertiliserProducts[[#Headers],[Include or Exclude]], 0)</f>
        <v>Campbells fertilisers Australia</v>
      </c>
      <c r="G100" s="117" t="str" cm="1">
        <f t="array" ref="G100">Common_InputFunctions.Utility_DisplayArrayInTable(Fertiliser_SourceData.Fertiliser_Products_Data1(),FertiliserProducts[[#Headers],[Include or Exclude]], 0)</f>
        <v>Asco Fol Plus</v>
      </c>
      <c r="H100" s="117" t="str" cm="1">
        <f t="array" ref="H100">Common_InputFunctions.Utility_DisplayArrayInTable(Fertiliser_SourceData.Fertiliser_Products_Data1(),FertiliserProducts[[#Headers],[Include or Exclude]], 0,4)</f>
        <v/>
      </c>
      <c r="I100" s="117" t="str" cm="1">
        <f t="array" ref="I100">Common_InputFunctions.Utility_DisplayArrayInTable(Fertiliser_SourceData.Fertiliser_Products_Data1(),FertiliserProducts[[#Headers],[Include or Exclude]], 0,4)</f>
        <v/>
      </c>
      <c r="J100" s="117" t="str" cm="1">
        <f t="array" ref="J100">Common_InputFunctions.Utility_DisplayArrayInTable(Fertiliser_SourceData.Fertiliser_Products_Data1(),FertiliserProducts[[#Headers],[Include or Exclude]], 0,4)</f>
        <v/>
      </c>
      <c r="K100" s="117" t="str" cm="1">
        <f t="array" ref="K100">Common_InputFunctions.Utility_DisplayArrayInTable(Fertiliser_SourceData.Fertiliser_Products_Data1(),FertiliserProducts[[#Headers],[Include or Exclude]], 0,4)</f>
        <v/>
      </c>
      <c r="L100" s="117" t="str" cm="1">
        <f t="array" ref="L100">Common_InputFunctions.Utility_DisplayArrayInTable(Fertiliser_SourceData.Fertiliser_Products_Data1(),FertiliserProducts[[#Headers],[Include or Exclude]], 0,4)</f>
        <v/>
      </c>
      <c r="M100" s="117" t="str" cm="1">
        <f t="array" ref="M100">Common_InputFunctions.Utility_DisplayArrayInTable(Fertiliser_SourceData.Fertiliser_Products_Data1(),FertiliserProducts[[#Headers],[Include or Exclude]], 0,4)</f>
        <v/>
      </c>
      <c r="N100" s="117" t="str" cm="1">
        <f t="array" ref="N100">Common_InputFunctions.Utility_DisplayArrayInTable(Fertiliser_SourceData.Fertiliser_Products_Data1(),FertiliserProducts[[#Headers],[Include or Exclude]], 0,4)</f>
        <v/>
      </c>
      <c r="O100" s="117" t="str" cm="1">
        <f t="array" ref="O100">Common_InputFunctions.Utility_DisplayArrayInTable(Fertiliser_SourceData.Fertiliser_Products_Data1(),FertiliserProducts[[#Headers],[Include or Exclude]], 0,4)</f>
        <v/>
      </c>
      <c r="P100" s="117" t="str" cm="1">
        <f t="array" ref="P100">Common_InputFunctions.Utility_DisplayArrayInTable(Fertiliser_SourceData.Fertiliser_Products_Data1(),FertiliserProducts[[#Headers],[Include or Exclude]], 0,4)</f>
        <v/>
      </c>
      <c r="Q100" s="117" t="str" cm="1">
        <f t="array" ref="Q100">Common_InputFunctions.Utility_DisplayArrayInTable(Fertiliser_SourceData.Fertiliser_Products_Data1(),FertiliserProducts[[#Headers],[Include or Exclude]], 0,4)</f>
        <v/>
      </c>
      <c r="R100" s="117" t="str" cm="1">
        <f t="array" ref="R100">Common_InputFunctions.Utility_DisplayArrayInTable(Fertiliser_SourceData.Fertiliser_Products_Data1(),FertiliserProducts[[#Headers],[Include or Exclude]], 0,4)</f>
        <v/>
      </c>
      <c r="S100" s="117" t="str" cm="1">
        <f t="array" ref="S100">Common_InputFunctions.Utility_DisplayArrayInTable(Fertiliser_SourceData.Fertiliser_Products_Data1(),FertiliserProducts[[#Headers],[Include or Exclude]], 0,4)</f>
        <v/>
      </c>
      <c r="T100" s="117" t="str" cm="1">
        <f t="array" ref="T100">Common_InputFunctions.Utility_DisplayArrayInTable(Fertiliser_SourceData.Fertiliser_Products_Data1(),FertiliserProducts[[#Headers],[Include or Exclude]], 0,4)</f>
        <v/>
      </c>
      <c r="U100" s="117" t="str" cm="1">
        <f t="array" ref="U100">Common_InputFunctions.Utility_DisplayArrayInTable(Fertiliser_SourceData.Fertiliser_Products_Data1(),FertiliserProducts[[#Headers],[Include or Exclude]], 0,4)</f>
        <v/>
      </c>
      <c r="V100" s="117" t="str" cm="1">
        <f t="array" ref="V100">Common_InputFunctions.Utility_DisplayArrayInTable(Fertiliser_SourceData.Fertiliser_Products_Data1(),FertiliserProducts[[#Headers],[Include or Exclude]], 0,4)</f>
        <v/>
      </c>
      <c r="W100" s="117" t="str" cm="1">
        <f t="array" ref="W100">Common_InputFunctions.Utility_DisplayArrayInTable(Fertiliser_SourceData.Fertiliser_Products_Data1(),FertiliserProducts[[#Headers],[Include or Exclude]], 0,4)</f>
        <v/>
      </c>
      <c r="X100" s="117" t="str" cm="1">
        <f t="array" ref="X100">Common_InputFunctions.Utility_DisplayArrayInTable(Fertiliser_SourceData.Fertiliser_Products_Data1(),FertiliserProducts[[#Headers],[Include or Exclude]], 0,4)</f>
        <v/>
      </c>
      <c r="Y100" s="117" t="str" cm="1">
        <f t="array" ref="Y100">Common_InputFunctions.Utility_DisplayArrayInTable(Fertiliser_SourceData.Fertiliser_Products_Data1(),FertiliserProducts[[#Headers],[Include or Exclude]], 0,4)</f>
        <v/>
      </c>
      <c r="Z100" s="117" t="str" cm="1">
        <f t="array" ref="Z100">Common_InputFunctions.Utility_DisplayArrayInTable(Fertiliser_SourceData.Fertiliser_Products_Data1(),FertiliserProducts[[#Headers],[Include or Exclude]], 0,4)</f>
        <v/>
      </c>
      <c r="AA100" s="117" t="str" cm="1">
        <f t="array" ref="AA100">Common_InputFunctions.Utility_DisplayArrayInTable(Fertiliser_SourceData.Fertiliser_Products_Data1(),FertiliserProducts[[#Headers],[Include or Exclude]], 0,4)</f>
        <v/>
      </c>
      <c r="AB100" s="117" t="str" cm="1">
        <f t="array" ref="AB100">Common_InputFunctions.Utility_DisplayArrayInTable(Fertiliser_SourceData.Fertiliser_Products_Data1(),FertiliserProducts[[#Headers],[Include or Exclude]], 0,4)</f>
        <v/>
      </c>
      <c r="AC100" s="117" t="str" cm="1">
        <f t="array" ref="AC100">Common_InputFunctions.Utility_DisplayArrayInTable(Fertiliser_SourceData.Fertiliser_Products_Data1(),FertiliserProducts[[#Headers],[Include or Exclude]], 0,4)</f>
        <v/>
      </c>
      <c r="AD100" s="117" t="str" cm="1">
        <f t="array" ref="AD100">Common_InputFunctions.Utility_DisplayArrayInTable(Fertiliser_SourceData.Fertiliser_Products_Data1(),FertiliserProducts[[#Headers],[Include or Exclude]], 0,4)</f>
        <v/>
      </c>
      <c r="AE100" s="117" t="str" cm="1">
        <f t="array" ref="AE100">Common_InputFunctions.Utility_DisplayArrayInTable(Fertiliser_SourceData.Fertiliser_Products_Data1(),FertiliserProducts[[#Headers],[Include or Exclude]], 0,4)</f>
        <v/>
      </c>
    </row>
    <row r="101" spans="1:31" ht="20.100000000000001" customHeight="1" x14ac:dyDescent="0.25">
      <c r="A101"/>
      <c r="D101" s="117" t="str" cm="1">
        <f t="array" ref="D101">Common_InputFunctions.Utility_DisplayArrayInTable(Fertiliser_SourceData.Fertiliser_Products_Data1(),FertiliserProducts[[#Headers],[Include or Exclude]], -1)</f>
        <v>Exclude - Not relevant</v>
      </c>
      <c r="E101" s="117" t="str" cm="1">
        <f t="array" ref="E101">Common_InputFunctions.Utility_DisplayArrayInTable(Fertiliser_SourceData.Fertiliser_Products_Data1(),FertiliserProducts[[#Headers],[Include or Exclude]], 0)</f>
        <v/>
      </c>
      <c r="F101" s="117" t="str" cm="1">
        <f t="array" ref="F101">Common_InputFunctions.Utility_DisplayArrayInTable(Fertiliser_SourceData.Fertiliser_Products_Data1(),FertiliserProducts[[#Headers],[Include or Exclude]], 0)</f>
        <v>Campbells fertilisers Australia</v>
      </c>
      <c r="G101" s="117" t="str" cm="1">
        <f t="array" ref="G101">Common_InputFunctions.Utility_DisplayArrayInTable(Fertiliser_SourceData.Fertiliser_Products_Data1(),FertiliserProducts[[#Headers],[Include or Exclude]], 0)</f>
        <v>Asco Plus</v>
      </c>
      <c r="H101" s="117" t="str" cm="1">
        <f t="array" ref="H101">Common_InputFunctions.Utility_DisplayArrayInTable(Fertiliser_SourceData.Fertiliser_Products_Data1(),FertiliserProducts[[#Headers],[Include or Exclude]], 0,4)</f>
        <v/>
      </c>
      <c r="I101" s="117" t="str" cm="1">
        <f t="array" ref="I101">Common_InputFunctions.Utility_DisplayArrayInTable(Fertiliser_SourceData.Fertiliser_Products_Data1(),FertiliserProducts[[#Headers],[Include or Exclude]], 0,4)</f>
        <v/>
      </c>
      <c r="J101" s="117" t="str" cm="1">
        <f t="array" ref="J101">Common_InputFunctions.Utility_DisplayArrayInTable(Fertiliser_SourceData.Fertiliser_Products_Data1(),FertiliserProducts[[#Headers],[Include or Exclude]], 0,4)</f>
        <v/>
      </c>
      <c r="K101" s="117" t="str" cm="1">
        <f t="array" ref="K101">Common_InputFunctions.Utility_DisplayArrayInTable(Fertiliser_SourceData.Fertiliser_Products_Data1(),FertiliserProducts[[#Headers],[Include or Exclude]], 0,4)</f>
        <v/>
      </c>
      <c r="L101" s="117" t="str" cm="1">
        <f t="array" ref="L101">Common_InputFunctions.Utility_DisplayArrayInTable(Fertiliser_SourceData.Fertiliser_Products_Data1(),FertiliserProducts[[#Headers],[Include or Exclude]], 0,4)</f>
        <v/>
      </c>
      <c r="M101" s="117" t="str" cm="1">
        <f t="array" ref="M101">Common_InputFunctions.Utility_DisplayArrayInTable(Fertiliser_SourceData.Fertiliser_Products_Data1(),FertiliserProducts[[#Headers],[Include or Exclude]], 0,4)</f>
        <v/>
      </c>
      <c r="N101" s="117" t="str" cm="1">
        <f t="array" ref="N101">Common_InputFunctions.Utility_DisplayArrayInTable(Fertiliser_SourceData.Fertiliser_Products_Data1(),FertiliserProducts[[#Headers],[Include or Exclude]], 0,4)</f>
        <v/>
      </c>
      <c r="O101" s="117" t="str" cm="1">
        <f t="array" ref="O101">Common_InputFunctions.Utility_DisplayArrayInTable(Fertiliser_SourceData.Fertiliser_Products_Data1(),FertiliserProducts[[#Headers],[Include or Exclude]], 0,4)</f>
        <v/>
      </c>
      <c r="P101" s="117" t="str" cm="1">
        <f t="array" ref="P101">Common_InputFunctions.Utility_DisplayArrayInTable(Fertiliser_SourceData.Fertiliser_Products_Data1(),FertiliserProducts[[#Headers],[Include or Exclude]], 0,4)</f>
        <v/>
      </c>
      <c r="Q101" s="117" t="str" cm="1">
        <f t="array" ref="Q101">Common_InputFunctions.Utility_DisplayArrayInTable(Fertiliser_SourceData.Fertiliser_Products_Data1(),FertiliserProducts[[#Headers],[Include or Exclude]], 0,4)</f>
        <v/>
      </c>
      <c r="R101" s="117" t="str" cm="1">
        <f t="array" ref="R101">Common_InputFunctions.Utility_DisplayArrayInTable(Fertiliser_SourceData.Fertiliser_Products_Data1(),FertiliserProducts[[#Headers],[Include or Exclude]], 0,4)</f>
        <v/>
      </c>
      <c r="S101" s="117" t="str" cm="1">
        <f t="array" ref="S101">Common_InputFunctions.Utility_DisplayArrayInTable(Fertiliser_SourceData.Fertiliser_Products_Data1(),FertiliserProducts[[#Headers],[Include or Exclude]], 0,4)</f>
        <v/>
      </c>
      <c r="T101" s="117" t="str" cm="1">
        <f t="array" ref="T101">Common_InputFunctions.Utility_DisplayArrayInTable(Fertiliser_SourceData.Fertiliser_Products_Data1(),FertiliserProducts[[#Headers],[Include or Exclude]], 0,4)</f>
        <v/>
      </c>
      <c r="U101" s="117" t="str" cm="1">
        <f t="array" ref="U101">Common_InputFunctions.Utility_DisplayArrayInTable(Fertiliser_SourceData.Fertiliser_Products_Data1(),FertiliserProducts[[#Headers],[Include or Exclude]], 0,4)</f>
        <v/>
      </c>
      <c r="V101" s="117" t="str" cm="1">
        <f t="array" ref="V101">Common_InputFunctions.Utility_DisplayArrayInTable(Fertiliser_SourceData.Fertiliser_Products_Data1(),FertiliserProducts[[#Headers],[Include or Exclude]], 0,4)</f>
        <v/>
      </c>
      <c r="W101" s="117" t="str" cm="1">
        <f t="array" ref="W101">Common_InputFunctions.Utility_DisplayArrayInTable(Fertiliser_SourceData.Fertiliser_Products_Data1(),FertiliserProducts[[#Headers],[Include or Exclude]], 0,4)</f>
        <v/>
      </c>
      <c r="X101" s="117" t="str" cm="1">
        <f t="array" ref="X101">Common_InputFunctions.Utility_DisplayArrayInTable(Fertiliser_SourceData.Fertiliser_Products_Data1(),FertiliserProducts[[#Headers],[Include or Exclude]], 0,4)</f>
        <v/>
      </c>
      <c r="Y101" s="117" t="str" cm="1">
        <f t="array" ref="Y101">Common_InputFunctions.Utility_DisplayArrayInTable(Fertiliser_SourceData.Fertiliser_Products_Data1(),FertiliserProducts[[#Headers],[Include or Exclude]], 0,4)</f>
        <v/>
      </c>
      <c r="Z101" s="117" t="str" cm="1">
        <f t="array" ref="Z101">Common_InputFunctions.Utility_DisplayArrayInTable(Fertiliser_SourceData.Fertiliser_Products_Data1(),FertiliserProducts[[#Headers],[Include or Exclude]], 0,4)</f>
        <v/>
      </c>
      <c r="AA101" s="117" t="str" cm="1">
        <f t="array" ref="AA101">Common_InputFunctions.Utility_DisplayArrayInTable(Fertiliser_SourceData.Fertiliser_Products_Data1(),FertiliserProducts[[#Headers],[Include or Exclude]], 0,4)</f>
        <v/>
      </c>
      <c r="AB101" s="117" t="str" cm="1">
        <f t="array" ref="AB101">Common_InputFunctions.Utility_DisplayArrayInTable(Fertiliser_SourceData.Fertiliser_Products_Data1(),FertiliserProducts[[#Headers],[Include or Exclude]], 0,4)</f>
        <v/>
      </c>
      <c r="AC101" s="117" t="str" cm="1">
        <f t="array" ref="AC101">Common_InputFunctions.Utility_DisplayArrayInTable(Fertiliser_SourceData.Fertiliser_Products_Data1(),FertiliserProducts[[#Headers],[Include or Exclude]], 0,4)</f>
        <v/>
      </c>
      <c r="AD101" s="117" t="str" cm="1">
        <f t="array" ref="AD101">Common_InputFunctions.Utility_DisplayArrayInTable(Fertiliser_SourceData.Fertiliser_Products_Data1(),FertiliserProducts[[#Headers],[Include or Exclude]], 0,4)</f>
        <v/>
      </c>
      <c r="AE101" s="117" t="str" cm="1">
        <f t="array" ref="AE101">Common_InputFunctions.Utility_DisplayArrayInTable(Fertiliser_SourceData.Fertiliser_Products_Data1(),FertiliserProducts[[#Headers],[Include or Exclude]], 0,4)</f>
        <v/>
      </c>
    </row>
    <row r="102" spans="1:31" ht="20.100000000000001" customHeight="1" x14ac:dyDescent="0.25">
      <c r="A102"/>
      <c r="D102" s="117" t="str" cm="1">
        <f t="array" ref="D102">Common_InputFunctions.Utility_DisplayArrayInTable(Fertiliser_SourceData.Fertiliser_Products_Data1(),FertiliserProducts[[#Headers],[Include or Exclude]], -1)</f>
        <v>Exclude - Not relevant</v>
      </c>
      <c r="E102" s="117" t="str" cm="1">
        <f t="array" ref="E102">Common_InputFunctions.Utility_DisplayArrayInTable(Fertiliser_SourceData.Fertiliser_Products_Data1(),FertiliserProducts[[#Headers],[Include or Exclude]], 0)</f>
        <v/>
      </c>
      <c r="F102" s="117" t="str" cm="1">
        <f t="array" ref="F102">Common_InputFunctions.Utility_DisplayArrayInTable(Fertiliser_SourceData.Fertiliser_Products_Data1(),FertiliserProducts[[#Headers],[Include or Exclude]], 0)</f>
        <v>Campbells fertilisers Australia</v>
      </c>
      <c r="G102" s="117" t="str" cm="1">
        <f t="array" ref="G102">Common_InputFunctions.Utility_DisplayArrayInTable(Fertiliser_SourceData.Fertiliser_Products_Data1(),FertiliserProducts[[#Headers],[Include or Exclude]], 0)</f>
        <v>Asco Rhizo Plus</v>
      </c>
      <c r="H102" s="117" t="str" cm="1">
        <f t="array" ref="H102">Common_InputFunctions.Utility_DisplayArrayInTable(Fertiliser_SourceData.Fertiliser_Products_Data1(),FertiliserProducts[[#Headers],[Include or Exclude]], 0,4)</f>
        <v/>
      </c>
      <c r="I102" s="117" t="str" cm="1">
        <f t="array" ref="I102">Common_InputFunctions.Utility_DisplayArrayInTable(Fertiliser_SourceData.Fertiliser_Products_Data1(),FertiliserProducts[[#Headers],[Include or Exclude]], 0,4)</f>
        <v/>
      </c>
      <c r="J102" s="117" t="str" cm="1">
        <f t="array" ref="J102">Common_InputFunctions.Utility_DisplayArrayInTable(Fertiliser_SourceData.Fertiliser_Products_Data1(),FertiliserProducts[[#Headers],[Include or Exclude]], 0,4)</f>
        <v/>
      </c>
      <c r="K102" s="117" t="str" cm="1">
        <f t="array" ref="K102">Common_InputFunctions.Utility_DisplayArrayInTable(Fertiliser_SourceData.Fertiliser_Products_Data1(),FertiliserProducts[[#Headers],[Include or Exclude]], 0,4)</f>
        <v/>
      </c>
      <c r="L102" s="117" t="str" cm="1">
        <f t="array" ref="L102">Common_InputFunctions.Utility_DisplayArrayInTable(Fertiliser_SourceData.Fertiliser_Products_Data1(),FertiliserProducts[[#Headers],[Include or Exclude]], 0,4)</f>
        <v/>
      </c>
      <c r="M102" s="117" t="str" cm="1">
        <f t="array" ref="M102">Common_InputFunctions.Utility_DisplayArrayInTable(Fertiliser_SourceData.Fertiliser_Products_Data1(),FertiliserProducts[[#Headers],[Include or Exclude]], 0,4)</f>
        <v/>
      </c>
      <c r="N102" s="117" t="str" cm="1">
        <f t="array" ref="N102">Common_InputFunctions.Utility_DisplayArrayInTable(Fertiliser_SourceData.Fertiliser_Products_Data1(),FertiliserProducts[[#Headers],[Include or Exclude]], 0,4)</f>
        <v/>
      </c>
      <c r="O102" s="117" t="str" cm="1">
        <f t="array" ref="O102">Common_InputFunctions.Utility_DisplayArrayInTable(Fertiliser_SourceData.Fertiliser_Products_Data1(),FertiliserProducts[[#Headers],[Include or Exclude]], 0,4)</f>
        <v/>
      </c>
      <c r="P102" s="117" t="str" cm="1">
        <f t="array" ref="P102">Common_InputFunctions.Utility_DisplayArrayInTable(Fertiliser_SourceData.Fertiliser_Products_Data1(),FertiliserProducts[[#Headers],[Include or Exclude]], 0,4)</f>
        <v/>
      </c>
      <c r="Q102" s="117" t="str" cm="1">
        <f t="array" ref="Q102">Common_InputFunctions.Utility_DisplayArrayInTable(Fertiliser_SourceData.Fertiliser_Products_Data1(),FertiliserProducts[[#Headers],[Include or Exclude]], 0,4)</f>
        <v/>
      </c>
      <c r="R102" s="117" t="str" cm="1">
        <f t="array" ref="R102">Common_InputFunctions.Utility_DisplayArrayInTable(Fertiliser_SourceData.Fertiliser_Products_Data1(),FertiliserProducts[[#Headers],[Include or Exclude]], 0,4)</f>
        <v/>
      </c>
      <c r="S102" s="117" t="str" cm="1">
        <f t="array" ref="S102">Common_InputFunctions.Utility_DisplayArrayInTable(Fertiliser_SourceData.Fertiliser_Products_Data1(),FertiliserProducts[[#Headers],[Include or Exclude]], 0,4)</f>
        <v/>
      </c>
      <c r="T102" s="117" t="str" cm="1">
        <f t="array" ref="T102">Common_InputFunctions.Utility_DisplayArrayInTable(Fertiliser_SourceData.Fertiliser_Products_Data1(),FertiliserProducts[[#Headers],[Include or Exclude]], 0,4)</f>
        <v/>
      </c>
      <c r="U102" s="117" t="str" cm="1">
        <f t="array" ref="U102">Common_InputFunctions.Utility_DisplayArrayInTable(Fertiliser_SourceData.Fertiliser_Products_Data1(),FertiliserProducts[[#Headers],[Include or Exclude]], 0,4)</f>
        <v/>
      </c>
      <c r="V102" s="117" t="str" cm="1">
        <f t="array" ref="V102">Common_InputFunctions.Utility_DisplayArrayInTable(Fertiliser_SourceData.Fertiliser_Products_Data1(),FertiliserProducts[[#Headers],[Include or Exclude]], 0,4)</f>
        <v/>
      </c>
      <c r="W102" s="117" t="str" cm="1">
        <f t="array" ref="W102">Common_InputFunctions.Utility_DisplayArrayInTable(Fertiliser_SourceData.Fertiliser_Products_Data1(),FertiliserProducts[[#Headers],[Include or Exclude]], 0,4)</f>
        <v/>
      </c>
      <c r="X102" s="117" t="str" cm="1">
        <f t="array" ref="X102">Common_InputFunctions.Utility_DisplayArrayInTable(Fertiliser_SourceData.Fertiliser_Products_Data1(),FertiliserProducts[[#Headers],[Include or Exclude]], 0,4)</f>
        <v/>
      </c>
      <c r="Y102" s="117" t="str" cm="1">
        <f t="array" ref="Y102">Common_InputFunctions.Utility_DisplayArrayInTable(Fertiliser_SourceData.Fertiliser_Products_Data1(),FertiliserProducts[[#Headers],[Include or Exclude]], 0,4)</f>
        <v/>
      </c>
      <c r="Z102" s="117" t="str" cm="1">
        <f t="array" ref="Z102">Common_InputFunctions.Utility_DisplayArrayInTable(Fertiliser_SourceData.Fertiliser_Products_Data1(),FertiliserProducts[[#Headers],[Include or Exclude]], 0,4)</f>
        <v/>
      </c>
      <c r="AA102" s="117" t="str" cm="1">
        <f t="array" ref="AA102">Common_InputFunctions.Utility_DisplayArrayInTable(Fertiliser_SourceData.Fertiliser_Products_Data1(),FertiliserProducts[[#Headers],[Include or Exclude]], 0,4)</f>
        <v/>
      </c>
      <c r="AB102" s="117" t="str" cm="1">
        <f t="array" ref="AB102">Common_InputFunctions.Utility_DisplayArrayInTable(Fertiliser_SourceData.Fertiliser_Products_Data1(),FertiliserProducts[[#Headers],[Include or Exclude]], 0,4)</f>
        <v/>
      </c>
      <c r="AC102" s="117" t="str" cm="1">
        <f t="array" ref="AC102">Common_InputFunctions.Utility_DisplayArrayInTable(Fertiliser_SourceData.Fertiliser_Products_Data1(),FertiliserProducts[[#Headers],[Include or Exclude]], 0,4)</f>
        <v/>
      </c>
      <c r="AD102" s="117" t="str" cm="1">
        <f t="array" ref="AD102">Common_InputFunctions.Utility_DisplayArrayInTable(Fertiliser_SourceData.Fertiliser_Products_Data1(),FertiliserProducts[[#Headers],[Include or Exclude]], 0,4)</f>
        <v/>
      </c>
      <c r="AE102" s="117" t="str" cm="1">
        <f t="array" ref="AE102">Common_InputFunctions.Utility_DisplayArrayInTable(Fertiliser_SourceData.Fertiliser_Products_Data1(),FertiliserProducts[[#Headers],[Include or Exclude]], 0,4)</f>
        <v/>
      </c>
    </row>
    <row r="103" spans="1:31" ht="20.100000000000001" customHeight="1" x14ac:dyDescent="0.25">
      <c r="A103"/>
      <c r="D103" s="117" t="str" cm="1">
        <f t="array" ref="D103">Common_InputFunctions.Utility_DisplayArrayInTable(Fertiliser_SourceData.Fertiliser_Products_Data1(),FertiliserProducts[[#Headers],[Include or Exclude]], -1)</f>
        <v>Include - Absent ingredients &lt; 2%</v>
      </c>
      <c r="E103" s="117" t="str" cm="1">
        <f t="array" ref="E103">Common_InputFunctions.Utility_DisplayArrayInTable(Fertiliser_SourceData.Fertiliser_Products_Data1(),FertiliserProducts[[#Headers],[Include or Exclude]], 0)</f>
        <v/>
      </c>
      <c r="F103" s="117" t="str" cm="1">
        <f t="array" ref="F103">Common_InputFunctions.Utility_DisplayArrayInTable(Fertiliser_SourceData.Fertiliser_Products_Data1(),FertiliserProducts[[#Headers],[Include or Exclude]], 0)</f>
        <v>Campbells fertilisers Australia</v>
      </c>
      <c r="G103" s="117" t="str" cm="1">
        <f t="array" ref="G103">Common_InputFunctions.Utility_DisplayArrayInTable(Fertiliser_SourceData.Fertiliser_Products_Data1(),FertiliserProducts[[#Headers],[Include or Exclude]], 0)</f>
        <v>Benefit PZ</v>
      </c>
      <c r="H103" s="117" t="str" cm="1">
        <f t="array" ref="H103">Common_InputFunctions.Utility_DisplayArrayInTable(Fertiliser_SourceData.Fertiliser_Products_Data1(),FertiliserProducts[[#Headers],[Include or Exclude]], 0,4)</f>
        <v/>
      </c>
      <c r="I103" s="117" t="str" cm="1">
        <f t="array" ref="I103">Common_InputFunctions.Utility_DisplayArrayInTable(Fertiliser_SourceData.Fertiliser_Products_Data1(),FertiliserProducts[[#Headers],[Include or Exclude]], 0,4)</f>
        <v/>
      </c>
      <c r="J103" s="117" t="str" cm="1">
        <f t="array" ref="J103">Common_InputFunctions.Utility_DisplayArrayInTable(Fertiliser_SourceData.Fertiliser_Products_Data1(),FertiliserProducts[[#Headers],[Include or Exclude]], 0,4)</f>
        <v/>
      </c>
      <c r="K103" s="117" t="str" cm="1">
        <f t="array" ref="K103">Common_InputFunctions.Utility_DisplayArrayInTable(Fertiliser_SourceData.Fertiliser_Products_Data1(),FertiliserProducts[[#Headers],[Include or Exclude]], 0,4)</f>
        <v/>
      </c>
      <c r="L103" s="117" t="str" cm="1">
        <f t="array" ref="L103">Common_InputFunctions.Utility_DisplayArrayInTable(Fertiliser_SourceData.Fertiliser_Products_Data1(),FertiliserProducts[[#Headers],[Include or Exclude]], 0,4)</f>
        <v/>
      </c>
      <c r="M103" s="117" t="str" cm="1">
        <f t="array" ref="M103">Common_InputFunctions.Utility_DisplayArrayInTable(Fertiliser_SourceData.Fertiliser_Products_Data1(),FertiliserProducts[[#Headers],[Include or Exclude]], 0,4)</f>
        <v/>
      </c>
      <c r="N103" s="117" t="str" cm="1">
        <f t="array" ref="N103">Common_InputFunctions.Utility_DisplayArrayInTable(Fertiliser_SourceData.Fertiliser_Products_Data1(),FertiliserProducts[[#Headers],[Include or Exclude]], 0,4)</f>
        <v/>
      </c>
      <c r="O103" s="117" t="str" cm="1">
        <f t="array" ref="O103">Common_InputFunctions.Utility_DisplayArrayInTable(Fertiliser_SourceData.Fertiliser_Products_Data1(),FertiliserProducts[[#Headers],[Include or Exclude]], 0,4)</f>
        <v/>
      </c>
      <c r="P103" s="117" t="str" cm="1">
        <f t="array" ref="P103">Common_InputFunctions.Utility_DisplayArrayInTable(Fertiliser_SourceData.Fertiliser_Products_Data1(),FertiliserProducts[[#Headers],[Include or Exclude]], 0,4)</f>
        <v/>
      </c>
      <c r="Q103" s="117" t="str" cm="1">
        <f t="array" ref="Q103">Common_InputFunctions.Utility_DisplayArrayInTable(Fertiliser_SourceData.Fertiliser_Products_Data1(),FertiliserProducts[[#Headers],[Include or Exclude]], 0,4)</f>
        <v/>
      </c>
      <c r="R103" s="117" t="str" cm="1">
        <f t="array" ref="R103">Common_InputFunctions.Utility_DisplayArrayInTable(Fertiliser_SourceData.Fertiliser_Products_Data1(),FertiliserProducts[[#Headers],[Include or Exclude]], 0,4)</f>
        <v/>
      </c>
      <c r="S103" s="117" t="str" cm="1">
        <f t="array" ref="S103">Common_InputFunctions.Utility_DisplayArrayInTable(Fertiliser_SourceData.Fertiliser_Products_Data1(),FertiliserProducts[[#Headers],[Include or Exclude]], 0,4)</f>
        <v/>
      </c>
      <c r="T103" s="117" t="str" cm="1">
        <f t="array" ref="T103">Common_InputFunctions.Utility_DisplayArrayInTable(Fertiliser_SourceData.Fertiliser_Products_Data1(),FertiliserProducts[[#Headers],[Include or Exclude]], 0,4)</f>
        <v/>
      </c>
      <c r="U103" s="117" t="str" cm="1">
        <f t="array" ref="U103">Common_InputFunctions.Utility_DisplayArrayInTable(Fertiliser_SourceData.Fertiliser_Products_Data1(),FertiliserProducts[[#Headers],[Include or Exclude]], 0,4)</f>
        <v/>
      </c>
      <c r="V103" s="117" t="str" cm="1">
        <f t="array" ref="V103">Common_InputFunctions.Utility_DisplayArrayInTable(Fertiliser_SourceData.Fertiliser_Products_Data1(),FertiliserProducts[[#Headers],[Include or Exclude]], 0,4)</f>
        <v/>
      </c>
      <c r="W103" s="117" t="str" cm="1">
        <f t="array" ref="W103">Common_InputFunctions.Utility_DisplayArrayInTable(Fertiliser_SourceData.Fertiliser_Products_Data1(),FertiliserProducts[[#Headers],[Include or Exclude]], 0,4)</f>
        <v/>
      </c>
      <c r="X103" s="117" t="str" cm="1">
        <f t="array" ref="X103">Common_InputFunctions.Utility_DisplayArrayInTable(Fertiliser_SourceData.Fertiliser_Products_Data1(),FertiliserProducts[[#Headers],[Include or Exclude]], 0,4)</f>
        <v/>
      </c>
      <c r="Y103" s="117" t="str" cm="1">
        <f t="array" ref="Y103">Common_InputFunctions.Utility_DisplayArrayInTable(Fertiliser_SourceData.Fertiliser_Products_Data1(),FertiliserProducts[[#Headers],[Include or Exclude]], 0,4)</f>
        <v/>
      </c>
      <c r="Z103" s="117" t="str" cm="1">
        <f t="array" ref="Z103">Common_InputFunctions.Utility_DisplayArrayInTable(Fertiliser_SourceData.Fertiliser_Products_Data1(),FertiliserProducts[[#Headers],[Include or Exclude]], 0,4)</f>
        <v/>
      </c>
      <c r="AA103" s="117" t="str" cm="1">
        <f t="array" ref="AA103">Common_InputFunctions.Utility_DisplayArrayInTable(Fertiliser_SourceData.Fertiliser_Products_Data1(),FertiliserProducts[[#Headers],[Include or Exclude]], 0,4)</f>
        <v/>
      </c>
      <c r="AB103" s="117" t="str" cm="1">
        <f t="array" ref="AB103">Common_InputFunctions.Utility_DisplayArrayInTable(Fertiliser_SourceData.Fertiliser_Products_Data1(),FertiliserProducts[[#Headers],[Include or Exclude]], 0,4)</f>
        <v/>
      </c>
      <c r="AC103" s="117" t="str" cm="1">
        <f t="array" ref="AC103">Common_InputFunctions.Utility_DisplayArrayInTable(Fertiliser_SourceData.Fertiliser_Products_Data1(),FertiliserProducts[[#Headers],[Include or Exclude]], 0,4)</f>
        <v/>
      </c>
      <c r="AD103" s="117" t="str" cm="1">
        <f t="array" ref="AD103">Common_InputFunctions.Utility_DisplayArrayInTable(Fertiliser_SourceData.Fertiliser_Products_Data1(),FertiliserProducts[[#Headers],[Include or Exclude]], 0,4)</f>
        <v/>
      </c>
      <c r="AE103" s="117" t="str" cm="1">
        <f t="array" ref="AE103">Common_InputFunctions.Utility_DisplayArrayInTable(Fertiliser_SourceData.Fertiliser_Products_Data1(),FertiliserProducts[[#Headers],[Include or Exclude]], 0,4)</f>
        <v/>
      </c>
    </row>
    <row r="104" spans="1:31" ht="20.100000000000001" customHeight="1" x14ac:dyDescent="0.25">
      <c r="A104"/>
      <c r="D104" s="117" t="str" cm="1">
        <f t="array" ref="D104">Common_InputFunctions.Utility_DisplayArrayInTable(Fertiliser_SourceData.Fertiliser_Products_Data1(),FertiliserProducts[[#Headers],[Include or Exclude]], -1)</f>
        <v>Exclude - Not relevant</v>
      </c>
      <c r="E104" s="117" t="str" cm="1">
        <f t="array" ref="E104">Common_InputFunctions.Utility_DisplayArrayInTable(Fertiliser_SourceData.Fertiliser_Products_Data1(),FertiliserProducts[[#Headers],[Include or Exclude]], 0)</f>
        <v>Amount of urea calculated from urea nitrogen amount</v>
      </c>
      <c r="F104" s="117" t="str" cm="1">
        <f t="array" ref="F104">Common_InputFunctions.Utility_DisplayArrayInTable(Fertiliser_SourceData.Fertiliser_Products_Data1(),FertiliserProducts[[#Headers],[Include or Exclude]], 0)</f>
        <v>Campbells fertilisers Australia</v>
      </c>
      <c r="G104" s="117" t="str" cm="1">
        <f t="array" ref="G104">Common_InputFunctions.Utility_DisplayArrayInTable(Fertiliser_SourceData.Fertiliser_Products_Data1(),FertiliserProducts[[#Headers],[Include or Exclude]], 0)</f>
        <v>Boost-It</v>
      </c>
      <c r="H104" s="117" t="str" cm="1">
        <f t="array" ref="H104">Common_InputFunctions.Utility_DisplayArrayInTable(Fertiliser_SourceData.Fertiliser_Products_Data1(),FertiliserProducts[[#Headers],[Include or Exclude]], 0,4)</f>
        <v>kg</v>
      </c>
      <c r="I104" s="117" cm="1">
        <f t="array" ref="I104">Common_InputFunctions.Utility_DisplayArrayInTable(Fertiliser_SourceData.Fertiliser_Products_Data1(),FertiliserProducts[[#Headers],[Include or Exclude]], 0,4)</f>
        <v>1</v>
      </c>
      <c r="J104" s="117" t="str" cm="1">
        <f t="array" ref="J104">Common_InputFunctions.Utility_DisplayArrayInTable(Fertiliser_SourceData.Fertiliser_Products_Data1(),FertiliserProducts[[#Headers],[Include or Exclude]], 0,4)</f>
        <v/>
      </c>
      <c r="K104" s="117" t="str" cm="1">
        <f t="array" ref="K104">Common_InputFunctions.Utility_DisplayArrayInTable(Fertiliser_SourceData.Fertiliser_Products_Data1(),FertiliserProducts[[#Headers],[Include or Exclude]], 0,4)</f>
        <v/>
      </c>
      <c r="L104" s="117" t="str" cm="1">
        <f t="array" ref="L104">Common_InputFunctions.Utility_DisplayArrayInTable(Fertiliser_SourceData.Fertiliser_Products_Data1(),FertiliserProducts[[#Headers],[Include or Exclude]], 0,4)</f>
        <v>Urea</v>
      </c>
      <c r="M104" s="117" cm="1">
        <f t="array" ref="M104">Common_InputFunctions.Utility_DisplayArrayInTable(Fertiliser_SourceData.Fertiliser_Products_Data1(),FertiliserProducts[[#Headers],[Include or Exclude]], 0,4)</f>
        <v>0.52173913000000005</v>
      </c>
      <c r="N104" s="117" t="str" cm="1">
        <f t="array" ref="N104">Common_InputFunctions.Utility_DisplayArrayInTable(Fertiliser_SourceData.Fertiliser_Products_Data1(),FertiliserProducts[[#Headers],[Include or Exclude]], 0,4)</f>
        <v>Potassium - Generic</v>
      </c>
      <c r="O104" s="117" cm="1">
        <f t="array" ref="O104">Common_InputFunctions.Utility_DisplayArrayInTable(Fertiliser_SourceData.Fertiliser_Products_Data1(),FertiliserProducts[[#Headers],[Include or Exclude]], 0,4)</f>
        <v>0.08</v>
      </c>
      <c r="P104" s="117" t="str" cm="1">
        <f t="array" ref="P104">Common_InputFunctions.Utility_DisplayArrayInTable(Fertiliser_SourceData.Fertiliser_Products_Data1(),FertiliserProducts[[#Headers],[Include or Exclude]], 0,4)</f>
        <v>Sulfur - Generic</v>
      </c>
      <c r="Q104" s="117" cm="1">
        <f t="array" ref="Q104">Common_InputFunctions.Utility_DisplayArrayInTable(Fertiliser_SourceData.Fertiliser_Products_Data1(),FertiliserProducts[[#Headers],[Include or Exclude]], 0,4)</f>
        <v>5.2999999999999999E-2</v>
      </c>
      <c r="R104" s="117" t="str" cm="1">
        <f t="array" ref="R104">Common_InputFunctions.Utility_DisplayArrayInTable(Fertiliser_SourceData.Fertiliser_Products_Data1(),FertiliserProducts[[#Headers],[Include or Exclude]], 0,4)</f>
        <v>Phosphorus - Generic</v>
      </c>
      <c r="S104" s="117" cm="1">
        <f t="array" ref="S104">Common_InputFunctions.Utility_DisplayArrayInTable(Fertiliser_SourceData.Fertiliser_Products_Data1(),FertiliserProducts[[#Headers],[Include or Exclude]], 0,4)</f>
        <v>5.1999999999999998E-2</v>
      </c>
      <c r="T104" s="117" t="str" cm="1">
        <f t="array" ref="T104">Common_InputFunctions.Utility_DisplayArrayInTable(Fertiliser_SourceData.Fertiliser_Products_Data1(),FertiliserProducts[[#Headers],[Include or Exclude]], 0,4)</f>
        <v>Magnesium</v>
      </c>
      <c r="U104" s="117" cm="1">
        <f t="array" ref="U104">Common_InputFunctions.Utility_DisplayArrayInTable(Fertiliser_SourceData.Fertiliser_Products_Data1(),FertiliserProducts[[#Headers],[Include or Exclude]], 0,4)</f>
        <v>1.2999999999999999E-2</v>
      </c>
      <c r="V104" s="117" t="str" cm="1">
        <f t="array" ref="V104">Common_InputFunctions.Utility_DisplayArrayInTable(Fertiliser_SourceData.Fertiliser_Products_Data1(),FertiliserProducts[[#Headers],[Include or Exclude]], 0,4)</f>
        <v>Zinc</v>
      </c>
      <c r="W104" s="117" cm="1">
        <f t="array" ref="W104">Common_InputFunctions.Utility_DisplayArrayInTable(Fertiliser_SourceData.Fertiliser_Products_Data1(),FertiliserProducts[[#Headers],[Include or Exclude]], 0,4)</f>
        <v>2E-3</v>
      </c>
      <c r="X104" s="117" t="str" cm="1">
        <f t="array" ref="X104">Common_InputFunctions.Utility_DisplayArrayInTable(Fertiliser_SourceData.Fertiliser_Products_Data1(),FertiliserProducts[[#Headers],[Include or Exclude]], 0,4)</f>
        <v>Manganese</v>
      </c>
      <c r="Y104" s="117" cm="1">
        <f t="array" ref="Y104">Common_InputFunctions.Utility_DisplayArrayInTable(Fertiliser_SourceData.Fertiliser_Products_Data1(),FertiliserProducts[[#Headers],[Include or Exclude]], 0,4)</f>
        <v>3.5000000000000001E-3</v>
      </c>
      <c r="Z104" s="117" t="str" cm="1">
        <f t="array" ref="Z104">Common_InputFunctions.Utility_DisplayArrayInTable(Fertiliser_SourceData.Fertiliser_Products_Data1(),FertiliserProducts[[#Headers],[Include or Exclude]], 0,4)</f>
        <v>Iron</v>
      </c>
      <c r="AA104" s="117" cm="1">
        <f t="array" ref="AA104">Common_InputFunctions.Utility_DisplayArrayInTable(Fertiliser_SourceData.Fertiliser_Products_Data1(),FertiliserProducts[[#Headers],[Include or Exclude]], 0,4)</f>
        <v>1.2999999999999999E-3</v>
      </c>
      <c r="AB104" s="117" t="str" cm="1">
        <f t="array" ref="AB104">Common_InputFunctions.Utility_DisplayArrayInTable(Fertiliser_SourceData.Fertiliser_Products_Data1(),FertiliserProducts[[#Headers],[Include or Exclude]], 0,4)</f>
        <v>Copper</v>
      </c>
      <c r="AC104" s="117" cm="1">
        <f t="array" ref="AC104">Common_InputFunctions.Utility_DisplayArrayInTable(Fertiliser_SourceData.Fertiliser_Products_Data1(),FertiliserProducts[[#Headers],[Include or Exclude]], 0,4)</f>
        <v>6.9999999999999999E-4</v>
      </c>
      <c r="AD104" s="117" t="str" cm="1">
        <f t="array" ref="AD104">Common_InputFunctions.Utility_DisplayArrayInTable(Fertiliser_SourceData.Fertiliser_Products_Data1(),FertiliserProducts[[#Headers],[Include or Exclude]], 0,4)</f>
        <v>Boron</v>
      </c>
      <c r="AE104" s="117"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7" t="str" cm="1">
        <f t="array" ref="D105">Common_InputFunctions.Utility_DisplayArrayInTable(Fertiliser_SourceData.Fertiliser_Products_Data1(),FertiliserProducts[[#Headers],[Include or Exclude]], -1)</f>
        <v>Exclude - Not relevant</v>
      </c>
      <c r="E105" s="117" t="str" cm="1">
        <f t="array" ref="E105">Common_InputFunctions.Utility_DisplayArrayInTable(Fertiliser_SourceData.Fertiliser_Products_Data1(),FertiliserProducts[[#Headers],[Include or Exclude]], 0)</f>
        <v/>
      </c>
      <c r="F105" s="117" t="str" cm="1">
        <f t="array" ref="F105">Common_InputFunctions.Utility_DisplayArrayInTable(Fertiliser_SourceData.Fertiliser_Products_Data1(),FertiliserProducts[[#Headers],[Include or Exclude]], 0)</f>
        <v>Campbells fertilisers Australia</v>
      </c>
      <c r="G105" s="117" t="str" cm="1">
        <f t="array" ref="G105">Common_InputFunctions.Utility_DisplayArrayInTable(Fertiliser_SourceData.Fertiliser_Products_Data1(),FertiliserProducts[[#Headers],[Include or Exclude]], 0)</f>
        <v>Boroplus</v>
      </c>
      <c r="H105" s="117" t="str" cm="1">
        <f t="array" ref="H105">Common_InputFunctions.Utility_DisplayArrayInTable(Fertiliser_SourceData.Fertiliser_Products_Data1(),FertiliserProducts[[#Headers],[Include or Exclude]], 0,4)</f>
        <v/>
      </c>
      <c r="I105" s="117" t="str" cm="1">
        <f t="array" ref="I105">Common_InputFunctions.Utility_DisplayArrayInTable(Fertiliser_SourceData.Fertiliser_Products_Data1(),FertiliserProducts[[#Headers],[Include or Exclude]], 0,4)</f>
        <v/>
      </c>
      <c r="J105" s="117" t="str" cm="1">
        <f t="array" ref="J105">Common_InputFunctions.Utility_DisplayArrayInTable(Fertiliser_SourceData.Fertiliser_Products_Data1(),FertiliserProducts[[#Headers],[Include or Exclude]], 0,4)</f>
        <v/>
      </c>
      <c r="K105" s="117" t="str" cm="1">
        <f t="array" ref="K105">Common_InputFunctions.Utility_DisplayArrayInTable(Fertiliser_SourceData.Fertiliser_Products_Data1(),FertiliserProducts[[#Headers],[Include or Exclude]], 0,4)</f>
        <v/>
      </c>
      <c r="L105" s="117" t="str" cm="1">
        <f t="array" ref="L105">Common_InputFunctions.Utility_DisplayArrayInTable(Fertiliser_SourceData.Fertiliser_Products_Data1(),FertiliserProducts[[#Headers],[Include or Exclude]], 0,4)</f>
        <v/>
      </c>
      <c r="M105" s="117" t="str" cm="1">
        <f t="array" ref="M105">Common_InputFunctions.Utility_DisplayArrayInTable(Fertiliser_SourceData.Fertiliser_Products_Data1(),FertiliserProducts[[#Headers],[Include or Exclude]], 0,4)</f>
        <v/>
      </c>
      <c r="N105" s="117" t="str" cm="1">
        <f t="array" ref="N105">Common_InputFunctions.Utility_DisplayArrayInTable(Fertiliser_SourceData.Fertiliser_Products_Data1(),FertiliserProducts[[#Headers],[Include or Exclude]], 0,4)</f>
        <v/>
      </c>
      <c r="O105" s="117" t="str" cm="1">
        <f t="array" ref="O105">Common_InputFunctions.Utility_DisplayArrayInTable(Fertiliser_SourceData.Fertiliser_Products_Data1(),FertiliserProducts[[#Headers],[Include or Exclude]], 0,4)</f>
        <v/>
      </c>
      <c r="P105" s="117" t="str" cm="1">
        <f t="array" ref="P105">Common_InputFunctions.Utility_DisplayArrayInTable(Fertiliser_SourceData.Fertiliser_Products_Data1(),FertiliserProducts[[#Headers],[Include or Exclude]], 0,4)</f>
        <v/>
      </c>
      <c r="Q105" s="117" t="str" cm="1">
        <f t="array" ref="Q105">Common_InputFunctions.Utility_DisplayArrayInTable(Fertiliser_SourceData.Fertiliser_Products_Data1(),FertiliserProducts[[#Headers],[Include or Exclude]], 0,4)</f>
        <v/>
      </c>
      <c r="R105" s="117" t="str" cm="1">
        <f t="array" ref="R105">Common_InputFunctions.Utility_DisplayArrayInTable(Fertiliser_SourceData.Fertiliser_Products_Data1(),FertiliserProducts[[#Headers],[Include or Exclude]], 0,4)</f>
        <v/>
      </c>
      <c r="S105" s="117" t="str" cm="1">
        <f t="array" ref="S105">Common_InputFunctions.Utility_DisplayArrayInTable(Fertiliser_SourceData.Fertiliser_Products_Data1(),FertiliserProducts[[#Headers],[Include or Exclude]], 0,4)</f>
        <v/>
      </c>
      <c r="T105" s="117" t="str" cm="1">
        <f t="array" ref="T105">Common_InputFunctions.Utility_DisplayArrayInTable(Fertiliser_SourceData.Fertiliser_Products_Data1(),FertiliserProducts[[#Headers],[Include or Exclude]], 0,4)</f>
        <v/>
      </c>
      <c r="U105" s="117" t="str" cm="1">
        <f t="array" ref="U105">Common_InputFunctions.Utility_DisplayArrayInTable(Fertiliser_SourceData.Fertiliser_Products_Data1(),FertiliserProducts[[#Headers],[Include or Exclude]], 0,4)</f>
        <v/>
      </c>
      <c r="V105" s="117" t="str" cm="1">
        <f t="array" ref="V105">Common_InputFunctions.Utility_DisplayArrayInTable(Fertiliser_SourceData.Fertiliser_Products_Data1(),FertiliserProducts[[#Headers],[Include or Exclude]], 0,4)</f>
        <v/>
      </c>
      <c r="W105" s="117" t="str" cm="1">
        <f t="array" ref="W105">Common_InputFunctions.Utility_DisplayArrayInTable(Fertiliser_SourceData.Fertiliser_Products_Data1(),FertiliserProducts[[#Headers],[Include or Exclude]], 0,4)</f>
        <v/>
      </c>
      <c r="X105" s="117" t="str" cm="1">
        <f t="array" ref="X105">Common_InputFunctions.Utility_DisplayArrayInTable(Fertiliser_SourceData.Fertiliser_Products_Data1(),FertiliserProducts[[#Headers],[Include or Exclude]], 0,4)</f>
        <v/>
      </c>
      <c r="Y105" s="117" t="str" cm="1">
        <f t="array" ref="Y105">Common_InputFunctions.Utility_DisplayArrayInTable(Fertiliser_SourceData.Fertiliser_Products_Data1(),FertiliserProducts[[#Headers],[Include or Exclude]], 0,4)</f>
        <v/>
      </c>
      <c r="Z105" s="117" t="str" cm="1">
        <f t="array" ref="Z105">Common_InputFunctions.Utility_DisplayArrayInTable(Fertiliser_SourceData.Fertiliser_Products_Data1(),FertiliserProducts[[#Headers],[Include or Exclude]], 0,4)</f>
        <v/>
      </c>
      <c r="AA105" s="117" t="str" cm="1">
        <f t="array" ref="AA105">Common_InputFunctions.Utility_DisplayArrayInTable(Fertiliser_SourceData.Fertiliser_Products_Data1(),FertiliserProducts[[#Headers],[Include or Exclude]], 0,4)</f>
        <v/>
      </c>
      <c r="AB105" s="117" t="str" cm="1">
        <f t="array" ref="AB105">Common_InputFunctions.Utility_DisplayArrayInTable(Fertiliser_SourceData.Fertiliser_Products_Data1(),FertiliserProducts[[#Headers],[Include or Exclude]], 0,4)</f>
        <v/>
      </c>
      <c r="AC105" s="117" t="str" cm="1">
        <f t="array" ref="AC105">Common_InputFunctions.Utility_DisplayArrayInTable(Fertiliser_SourceData.Fertiliser_Products_Data1(),FertiliserProducts[[#Headers],[Include or Exclude]], 0,4)</f>
        <v/>
      </c>
      <c r="AD105" s="117" t="str" cm="1">
        <f t="array" ref="AD105">Common_InputFunctions.Utility_DisplayArrayInTable(Fertiliser_SourceData.Fertiliser_Products_Data1(),FertiliserProducts[[#Headers],[Include or Exclude]], 0,4)</f>
        <v/>
      </c>
      <c r="AE105" s="117" t="str" cm="1">
        <f t="array" ref="AE105">Common_InputFunctions.Utility_DisplayArrayInTable(Fertiliser_SourceData.Fertiliser_Products_Data1(),FertiliserProducts[[#Headers],[Include or Exclude]], 0,4)</f>
        <v/>
      </c>
    </row>
    <row r="106" spans="1:31" ht="20.100000000000001" customHeight="1" x14ac:dyDescent="0.25">
      <c r="A106"/>
      <c r="D106" s="117" t="str" cm="1">
        <f t="array" ref="D106">Common_InputFunctions.Utility_DisplayArrayInTable(Fertiliser_SourceData.Fertiliser_Products_Data1(),FertiliserProducts[[#Headers],[Include or Exclude]], -1)</f>
        <v>Exclude - Not relevant</v>
      </c>
      <c r="E106" s="117" t="str" cm="1">
        <f t="array" ref="E106">Common_InputFunctions.Utility_DisplayArrayInTable(Fertiliser_SourceData.Fertiliser_Products_Data1(),FertiliserProducts[[#Headers],[Include or Exclude]], 0)</f>
        <v/>
      </c>
      <c r="F106" s="117" t="str" cm="1">
        <f t="array" ref="F106">Common_InputFunctions.Utility_DisplayArrayInTable(Fertiliser_SourceData.Fertiliser_Products_Data1(),FertiliserProducts[[#Headers],[Include or Exclude]], 0)</f>
        <v>Campbells fertilisers Australia</v>
      </c>
      <c r="G106" s="117" t="str" cm="1">
        <f t="array" ref="G106">Common_InputFunctions.Utility_DisplayArrayInTable(Fertiliser_SourceData.Fertiliser_Products_Data1(),FertiliserProducts[[#Headers],[Include or Exclude]], 0)</f>
        <v>Brevisol Range</v>
      </c>
      <c r="H106" s="117" t="str" cm="1">
        <f t="array" ref="H106">Common_InputFunctions.Utility_DisplayArrayInTable(Fertiliser_SourceData.Fertiliser_Products_Data1(),FertiliserProducts[[#Headers],[Include or Exclude]], 0,4)</f>
        <v/>
      </c>
      <c r="I106" s="117" t="str" cm="1">
        <f t="array" ref="I106">Common_InputFunctions.Utility_DisplayArrayInTable(Fertiliser_SourceData.Fertiliser_Products_Data1(),FertiliserProducts[[#Headers],[Include or Exclude]], 0,4)</f>
        <v/>
      </c>
      <c r="J106" s="117" t="str" cm="1">
        <f t="array" ref="J106">Common_InputFunctions.Utility_DisplayArrayInTable(Fertiliser_SourceData.Fertiliser_Products_Data1(),FertiliserProducts[[#Headers],[Include or Exclude]], 0,4)</f>
        <v/>
      </c>
      <c r="K106" s="117" t="str" cm="1">
        <f t="array" ref="K106">Common_InputFunctions.Utility_DisplayArrayInTable(Fertiliser_SourceData.Fertiliser_Products_Data1(),FertiliserProducts[[#Headers],[Include or Exclude]], 0,4)</f>
        <v/>
      </c>
      <c r="L106" s="117" t="str" cm="1">
        <f t="array" ref="L106">Common_InputFunctions.Utility_DisplayArrayInTable(Fertiliser_SourceData.Fertiliser_Products_Data1(),FertiliserProducts[[#Headers],[Include or Exclude]], 0,4)</f>
        <v/>
      </c>
      <c r="M106" s="117" t="str" cm="1">
        <f t="array" ref="M106">Common_InputFunctions.Utility_DisplayArrayInTable(Fertiliser_SourceData.Fertiliser_Products_Data1(),FertiliserProducts[[#Headers],[Include or Exclude]], 0,4)</f>
        <v/>
      </c>
      <c r="N106" s="117" t="str" cm="1">
        <f t="array" ref="N106">Common_InputFunctions.Utility_DisplayArrayInTable(Fertiliser_SourceData.Fertiliser_Products_Data1(),FertiliserProducts[[#Headers],[Include or Exclude]], 0,4)</f>
        <v/>
      </c>
      <c r="O106" s="117" t="str" cm="1">
        <f t="array" ref="O106">Common_InputFunctions.Utility_DisplayArrayInTable(Fertiliser_SourceData.Fertiliser_Products_Data1(),FertiliserProducts[[#Headers],[Include or Exclude]], 0,4)</f>
        <v/>
      </c>
      <c r="P106" s="117" t="str" cm="1">
        <f t="array" ref="P106">Common_InputFunctions.Utility_DisplayArrayInTable(Fertiliser_SourceData.Fertiliser_Products_Data1(),FertiliserProducts[[#Headers],[Include or Exclude]], 0,4)</f>
        <v/>
      </c>
      <c r="Q106" s="117" t="str" cm="1">
        <f t="array" ref="Q106">Common_InputFunctions.Utility_DisplayArrayInTable(Fertiliser_SourceData.Fertiliser_Products_Data1(),FertiliserProducts[[#Headers],[Include or Exclude]], 0,4)</f>
        <v/>
      </c>
      <c r="R106" s="117" t="str" cm="1">
        <f t="array" ref="R106">Common_InputFunctions.Utility_DisplayArrayInTable(Fertiliser_SourceData.Fertiliser_Products_Data1(),FertiliserProducts[[#Headers],[Include or Exclude]], 0,4)</f>
        <v/>
      </c>
      <c r="S106" s="117" t="str" cm="1">
        <f t="array" ref="S106">Common_InputFunctions.Utility_DisplayArrayInTable(Fertiliser_SourceData.Fertiliser_Products_Data1(),FertiliserProducts[[#Headers],[Include or Exclude]], 0,4)</f>
        <v/>
      </c>
      <c r="T106" s="117" t="str" cm="1">
        <f t="array" ref="T106">Common_InputFunctions.Utility_DisplayArrayInTable(Fertiliser_SourceData.Fertiliser_Products_Data1(),FertiliserProducts[[#Headers],[Include or Exclude]], 0,4)</f>
        <v/>
      </c>
      <c r="U106" s="117" t="str" cm="1">
        <f t="array" ref="U106">Common_InputFunctions.Utility_DisplayArrayInTable(Fertiliser_SourceData.Fertiliser_Products_Data1(),FertiliserProducts[[#Headers],[Include or Exclude]], 0,4)</f>
        <v/>
      </c>
      <c r="V106" s="117" t="str" cm="1">
        <f t="array" ref="V106">Common_InputFunctions.Utility_DisplayArrayInTable(Fertiliser_SourceData.Fertiliser_Products_Data1(),FertiliserProducts[[#Headers],[Include or Exclude]], 0,4)</f>
        <v/>
      </c>
      <c r="W106" s="117" t="str" cm="1">
        <f t="array" ref="W106">Common_InputFunctions.Utility_DisplayArrayInTable(Fertiliser_SourceData.Fertiliser_Products_Data1(),FertiliserProducts[[#Headers],[Include or Exclude]], 0,4)</f>
        <v/>
      </c>
      <c r="X106" s="117" t="str" cm="1">
        <f t="array" ref="X106">Common_InputFunctions.Utility_DisplayArrayInTable(Fertiliser_SourceData.Fertiliser_Products_Data1(),FertiliserProducts[[#Headers],[Include or Exclude]], 0,4)</f>
        <v/>
      </c>
      <c r="Y106" s="117" t="str" cm="1">
        <f t="array" ref="Y106">Common_InputFunctions.Utility_DisplayArrayInTable(Fertiliser_SourceData.Fertiliser_Products_Data1(),FertiliserProducts[[#Headers],[Include or Exclude]], 0,4)</f>
        <v/>
      </c>
      <c r="Z106" s="117" t="str" cm="1">
        <f t="array" ref="Z106">Common_InputFunctions.Utility_DisplayArrayInTable(Fertiliser_SourceData.Fertiliser_Products_Data1(),FertiliserProducts[[#Headers],[Include or Exclude]], 0,4)</f>
        <v/>
      </c>
      <c r="AA106" s="117" t="str" cm="1">
        <f t="array" ref="AA106">Common_InputFunctions.Utility_DisplayArrayInTable(Fertiliser_SourceData.Fertiliser_Products_Data1(),FertiliserProducts[[#Headers],[Include or Exclude]], 0,4)</f>
        <v/>
      </c>
      <c r="AB106" s="117" t="str" cm="1">
        <f t="array" ref="AB106">Common_InputFunctions.Utility_DisplayArrayInTable(Fertiliser_SourceData.Fertiliser_Products_Data1(),FertiliserProducts[[#Headers],[Include or Exclude]], 0,4)</f>
        <v/>
      </c>
      <c r="AC106" s="117" t="str" cm="1">
        <f t="array" ref="AC106">Common_InputFunctions.Utility_DisplayArrayInTable(Fertiliser_SourceData.Fertiliser_Products_Data1(),FertiliserProducts[[#Headers],[Include or Exclude]], 0,4)</f>
        <v/>
      </c>
      <c r="AD106" s="117" t="str" cm="1">
        <f t="array" ref="AD106">Common_InputFunctions.Utility_DisplayArrayInTable(Fertiliser_SourceData.Fertiliser_Products_Data1(),FertiliserProducts[[#Headers],[Include or Exclude]], 0,4)</f>
        <v/>
      </c>
      <c r="AE106" s="117" t="str" cm="1">
        <f t="array" ref="AE106">Common_InputFunctions.Utility_DisplayArrayInTable(Fertiliser_SourceData.Fertiliser_Products_Data1(),FertiliserProducts[[#Headers],[Include or Exclude]], 0,4)</f>
        <v/>
      </c>
    </row>
    <row r="107" spans="1:31" ht="20.100000000000001" customHeight="1" x14ac:dyDescent="0.25">
      <c r="A107"/>
      <c r="D107" s="117" t="str" cm="1">
        <f t="array" ref="D107">Common_InputFunctions.Utility_DisplayArrayInTable(Fertiliser_SourceData.Fertiliser_Products_Data1(),FertiliserProducts[[#Headers],[Include or Exclude]], -1)</f>
        <v>Include</v>
      </c>
      <c r="E107" s="117" t="str" cm="1">
        <f t="array" ref="E107">Common_InputFunctions.Utility_DisplayArrayInTable(Fertiliser_SourceData.Fertiliser_Products_Data1(),FertiliserProducts[[#Headers],[Include or Exclude]], 0)</f>
        <v/>
      </c>
      <c r="F107" s="117" t="str" cm="1">
        <f t="array" ref="F107">Common_InputFunctions.Utility_DisplayArrayInTable(Fertiliser_SourceData.Fertiliser_Products_Data1(),FertiliserProducts[[#Headers],[Include or Exclude]], 0)</f>
        <v>Campbells fertilisers Australia</v>
      </c>
      <c r="G107" s="117" t="str" cm="1">
        <f t="array" ref="G107">Common_InputFunctions.Utility_DisplayArrayInTable(Fertiliser_SourceData.Fertiliser_Products_Data1(),FertiliserProducts[[#Headers],[Include or Exclude]], 0)</f>
        <v>Brexil Line</v>
      </c>
      <c r="H107" s="117" t="str" cm="1">
        <f t="array" ref="H107">Common_InputFunctions.Utility_DisplayArrayInTable(Fertiliser_SourceData.Fertiliser_Products_Data1(),FertiliserProducts[[#Headers],[Include or Exclude]], 0,4)</f>
        <v/>
      </c>
      <c r="I107" s="117" t="str" cm="1">
        <f t="array" ref="I107">Common_InputFunctions.Utility_DisplayArrayInTable(Fertiliser_SourceData.Fertiliser_Products_Data1(),FertiliserProducts[[#Headers],[Include or Exclude]], 0,4)</f>
        <v/>
      </c>
      <c r="J107" s="117" t="str" cm="1">
        <f t="array" ref="J107">Common_InputFunctions.Utility_DisplayArrayInTable(Fertiliser_SourceData.Fertiliser_Products_Data1(),FertiliserProducts[[#Headers],[Include or Exclude]], 0,4)</f>
        <v/>
      </c>
      <c r="K107" s="117" t="str" cm="1">
        <f t="array" ref="K107">Common_InputFunctions.Utility_DisplayArrayInTable(Fertiliser_SourceData.Fertiliser_Products_Data1(),FertiliserProducts[[#Headers],[Include or Exclude]], 0,4)</f>
        <v/>
      </c>
      <c r="L107" s="117" t="str" cm="1">
        <f t="array" ref="L107">Common_InputFunctions.Utility_DisplayArrayInTable(Fertiliser_SourceData.Fertiliser_Products_Data1(),FertiliserProducts[[#Headers],[Include or Exclude]], 0,4)</f>
        <v/>
      </c>
      <c r="M107" s="117" t="str" cm="1">
        <f t="array" ref="M107">Common_InputFunctions.Utility_DisplayArrayInTable(Fertiliser_SourceData.Fertiliser_Products_Data1(),FertiliserProducts[[#Headers],[Include or Exclude]], 0,4)</f>
        <v/>
      </c>
      <c r="N107" s="117" t="str" cm="1">
        <f t="array" ref="N107">Common_InputFunctions.Utility_DisplayArrayInTable(Fertiliser_SourceData.Fertiliser_Products_Data1(),FertiliserProducts[[#Headers],[Include or Exclude]], 0,4)</f>
        <v/>
      </c>
      <c r="O107" s="117" t="str" cm="1">
        <f t="array" ref="O107">Common_InputFunctions.Utility_DisplayArrayInTable(Fertiliser_SourceData.Fertiliser_Products_Data1(),FertiliserProducts[[#Headers],[Include or Exclude]], 0,4)</f>
        <v/>
      </c>
      <c r="P107" s="117" t="str" cm="1">
        <f t="array" ref="P107">Common_InputFunctions.Utility_DisplayArrayInTable(Fertiliser_SourceData.Fertiliser_Products_Data1(),FertiliserProducts[[#Headers],[Include or Exclude]], 0,4)</f>
        <v/>
      </c>
      <c r="Q107" s="117" t="str" cm="1">
        <f t="array" ref="Q107">Common_InputFunctions.Utility_DisplayArrayInTable(Fertiliser_SourceData.Fertiliser_Products_Data1(),FertiliserProducts[[#Headers],[Include or Exclude]], 0,4)</f>
        <v/>
      </c>
      <c r="R107" s="117" t="str" cm="1">
        <f t="array" ref="R107">Common_InputFunctions.Utility_DisplayArrayInTable(Fertiliser_SourceData.Fertiliser_Products_Data1(),FertiliserProducts[[#Headers],[Include or Exclude]], 0,4)</f>
        <v/>
      </c>
      <c r="S107" s="117" t="str" cm="1">
        <f t="array" ref="S107">Common_InputFunctions.Utility_DisplayArrayInTable(Fertiliser_SourceData.Fertiliser_Products_Data1(),FertiliserProducts[[#Headers],[Include or Exclude]], 0,4)</f>
        <v/>
      </c>
      <c r="T107" s="117" t="str" cm="1">
        <f t="array" ref="T107">Common_InputFunctions.Utility_DisplayArrayInTable(Fertiliser_SourceData.Fertiliser_Products_Data1(),FertiliserProducts[[#Headers],[Include or Exclude]], 0,4)</f>
        <v/>
      </c>
      <c r="U107" s="117" t="str" cm="1">
        <f t="array" ref="U107">Common_InputFunctions.Utility_DisplayArrayInTable(Fertiliser_SourceData.Fertiliser_Products_Data1(),FertiliserProducts[[#Headers],[Include or Exclude]], 0,4)</f>
        <v/>
      </c>
      <c r="V107" s="117" t="str" cm="1">
        <f t="array" ref="V107">Common_InputFunctions.Utility_DisplayArrayInTable(Fertiliser_SourceData.Fertiliser_Products_Data1(),FertiliserProducts[[#Headers],[Include or Exclude]], 0,4)</f>
        <v/>
      </c>
      <c r="W107" s="117" t="str" cm="1">
        <f t="array" ref="W107">Common_InputFunctions.Utility_DisplayArrayInTable(Fertiliser_SourceData.Fertiliser_Products_Data1(),FertiliserProducts[[#Headers],[Include or Exclude]], 0,4)</f>
        <v/>
      </c>
      <c r="X107" s="117" t="str" cm="1">
        <f t="array" ref="X107">Common_InputFunctions.Utility_DisplayArrayInTable(Fertiliser_SourceData.Fertiliser_Products_Data1(),FertiliserProducts[[#Headers],[Include or Exclude]], 0,4)</f>
        <v/>
      </c>
      <c r="Y107" s="117" t="str" cm="1">
        <f t="array" ref="Y107">Common_InputFunctions.Utility_DisplayArrayInTable(Fertiliser_SourceData.Fertiliser_Products_Data1(),FertiliserProducts[[#Headers],[Include or Exclude]], 0,4)</f>
        <v/>
      </c>
      <c r="Z107" s="117" t="str" cm="1">
        <f t="array" ref="Z107">Common_InputFunctions.Utility_DisplayArrayInTable(Fertiliser_SourceData.Fertiliser_Products_Data1(),FertiliserProducts[[#Headers],[Include or Exclude]], 0,4)</f>
        <v/>
      </c>
      <c r="AA107" s="117" t="str" cm="1">
        <f t="array" ref="AA107">Common_InputFunctions.Utility_DisplayArrayInTable(Fertiliser_SourceData.Fertiliser_Products_Data1(),FertiliserProducts[[#Headers],[Include or Exclude]], 0,4)</f>
        <v/>
      </c>
      <c r="AB107" s="117" t="str" cm="1">
        <f t="array" ref="AB107">Common_InputFunctions.Utility_DisplayArrayInTable(Fertiliser_SourceData.Fertiliser_Products_Data1(),FertiliserProducts[[#Headers],[Include or Exclude]], 0,4)</f>
        <v/>
      </c>
      <c r="AC107" s="117" t="str" cm="1">
        <f t="array" ref="AC107">Common_InputFunctions.Utility_DisplayArrayInTable(Fertiliser_SourceData.Fertiliser_Products_Data1(),FertiliserProducts[[#Headers],[Include or Exclude]], 0,4)</f>
        <v/>
      </c>
      <c r="AD107" s="117" t="str" cm="1">
        <f t="array" ref="AD107">Common_InputFunctions.Utility_DisplayArrayInTable(Fertiliser_SourceData.Fertiliser_Products_Data1(),FertiliserProducts[[#Headers],[Include or Exclude]], 0,4)</f>
        <v/>
      </c>
      <c r="AE107" s="117" t="str" cm="1">
        <f t="array" ref="AE107">Common_InputFunctions.Utility_DisplayArrayInTable(Fertiliser_SourceData.Fertiliser_Products_Data1(),FertiliserProducts[[#Headers],[Include or Exclude]], 0,4)</f>
        <v/>
      </c>
    </row>
    <row r="108" spans="1:31" ht="20.100000000000001" customHeight="1" x14ac:dyDescent="0.25">
      <c r="A108"/>
      <c r="D108" s="117" t="str" cm="1">
        <f t="array" ref="D108">Common_InputFunctions.Utility_DisplayArrayInTable(Fertiliser_SourceData.Fertiliser_Products_Data1(),FertiliserProducts[[#Headers],[Include or Exclude]], -1)</f>
        <v>Exclude - Absent ingredients &gt; 2%</v>
      </c>
      <c r="E108" s="117" t="str" cm="1">
        <f t="array" ref="E108">Common_InputFunctions.Utility_DisplayArrayInTable(Fertiliser_SourceData.Fertiliser_Products_Data1(),FertiliserProducts[[#Headers],[Include or Exclude]], 0)</f>
        <v/>
      </c>
      <c r="F108" s="117" t="str" cm="1">
        <f t="array" ref="F108">Common_InputFunctions.Utility_DisplayArrayInTable(Fertiliser_SourceData.Fertiliser_Products_Data1(),FertiliserProducts[[#Headers],[Include or Exclude]], 0)</f>
        <v>Campbells fertilisers Australia</v>
      </c>
      <c r="G108" s="117" t="str" cm="1">
        <f t="array" ref="G108">Common_InputFunctions.Utility_DisplayArrayInTable(Fertiliser_SourceData.Fertiliser_Products_Data1(),FertiliserProducts[[#Headers],[Include or Exclude]], 0)</f>
        <v>Bronze</v>
      </c>
      <c r="H108" s="117" t="str" cm="1">
        <f t="array" ref="H108">Common_InputFunctions.Utility_DisplayArrayInTable(Fertiliser_SourceData.Fertiliser_Products_Data1(),FertiliserProducts[[#Headers],[Include or Exclude]], 0,4)</f>
        <v>kg</v>
      </c>
      <c r="I108" s="117" t="str" cm="1">
        <f t="array" ref="I108">Common_InputFunctions.Utility_DisplayArrayInTable(Fertiliser_SourceData.Fertiliser_Products_Data1(),FertiliserProducts[[#Headers],[Include or Exclude]], 0,4)</f>
        <v/>
      </c>
      <c r="J108" s="117" t="str" cm="1">
        <f t="array" ref="J108">Common_InputFunctions.Utility_DisplayArrayInTable(Fertiliser_SourceData.Fertiliser_Products_Data1(),FertiliserProducts[[#Headers],[Include or Exclude]], 0,4)</f>
        <v/>
      </c>
      <c r="K108" s="117" t="str" cm="1">
        <f t="array" ref="K108">Common_InputFunctions.Utility_DisplayArrayInTable(Fertiliser_SourceData.Fertiliser_Products_Data1(),FertiliserProducts[[#Headers],[Include or Exclude]], 0,4)</f>
        <v/>
      </c>
      <c r="L108" s="117" t="str" cm="1">
        <f t="array" ref="L108">Common_InputFunctions.Utility_DisplayArrayInTable(Fertiliser_SourceData.Fertiliser_Products_Data1(),FertiliserProducts[[#Headers],[Include or Exclude]], 0,4)</f>
        <v>Muriate of Potash (MOP)</v>
      </c>
      <c r="M108" s="117" cm="1">
        <f t="array" ref="M108">Common_InputFunctions.Utility_DisplayArrayInTable(Fertiliser_SourceData.Fertiliser_Products_Data1(),FertiliserProducts[[#Headers],[Include or Exclude]], 0,4)</f>
        <v>0.23200000000000001</v>
      </c>
      <c r="N108" s="117" t="str" cm="1">
        <f t="array" ref="N108">Common_InputFunctions.Utility_DisplayArrayInTable(Fertiliser_SourceData.Fertiliser_Products_Data1(),FertiliserProducts[[#Headers],[Include or Exclude]], 0,4)</f>
        <v>Nitrogen - Generic</v>
      </c>
      <c r="O108" s="117" cm="1">
        <f t="array" ref="O108">Common_InputFunctions.Utility_DisplayArrayInTable(Fertiliser_SourceData.Fertiliser_Products_Data1(),FertiliserProducts[[#Headers],[Include or Exclude]], 0,4)</f>
        <v>0.17</v>
      </c>
      <c r="P108" s="117" t="str" cm="1">
        <f t="array" ref="P108">Common_InputFunctions.Utility_DisplayArrayInTable(Fertiliser_SourceData.Fertiliser_Products_Data1(),FertiliserProducts[[#Headers],[Include or Exclude]], 0,4)</f>
        <v>Sulfur - Generic</v>
      </c>
      <c r="Q108" s="117" cm="1">
        <f t="array" ref="Q108">Common_InputFunctions.Utility_DisplayArrayInTable(Fertiliser_SourceData.Fertiliser_Products_Data1(),FertiliserProducts[[#Headers],[Include or Exclude]], 0,4)</f>
        <v>5.0000000000000001E-3</v>
      </c>
      <c r="R108" s="117" t="str" cm="1">
        <f t="array" ref="R108">Common_InputFunctions.Utility_DisplayArrayInTable(Fertiliser_SourceData.Fertiliser_Products_Data1(),FertiliserProducts[[#Headers],[Include or Exclude]], 0,4)</f>
        <v>Magnesium</v>
      </c>
      <c r="S108" s="117" cm="1">
        <f t="array" ref="S108">Common_InputFunctions.Utility_DisplayArrayInTable(Fertiliser_SourceData.Fertiliser_Products_Data1(),FertiliserProducts[[#Headers],[Include or Exclude]], 0,4)</f>
        <v>2.3999999999999998E-3</v>
      </c>
      <c r="T108" s="117" t="str" cm="1">
        <f t="array" ref="T108">Common_InputFunctions.Utility_DisplayArrayInTable(Fertiliser_SourceData.Fertiliser_Products_Data1(),FertiliserProducts[[#Headers],[Include or Exclude]], 0,4)</f>
        <v>Phosphorus - Generic</v>
      </c>
      <c r="U108" s="117" cm="1">
        <f t="array" ref="U108">Common_InputFunctions.Utility_DisplayArrayInTable(Fertiliser_SourceData.Fertiliser_Products_Data1(),FertiliserProducts[[#Headers],[Include or Exclude]], 0,4)</f>
        <v>4.0000000000000002E-4</v>
      </c>
      <c r="V108" s="117" t="str" cm="1">
        <f t="array" ref="V108">Common_InputFunctions.Utility_DisplayArrayInTable(Fertiliser_SourceData.Fertiliser_Products_Data1(),FertiliserProducts[[#Headers],[Include or Exclude]], 0,4)</f>
        <v/>
      </c>
      <c r="W108" s="117" t="str" cm="1">
        <f t="array" ref="W108">Common_InputFunctions.Utility_DisplayArrayInTable(Fertiliser_SourceData.Fertiliser_Products_Data1(),FertiliserProducts[[#Headers],[Include or Exclude]], 0,4)</f>
        <v/>
      </c>
      <c r="X108" s="117" t="str" cm="1">
        <f t="array" ref="X108">Common_InputFunctions.Utility_DisplayArrayInTable(Fertiliser_SourceData.Fertiliser_Products_Data1(),FertiliserProducts[[#Headers],[Include or Exclude]], 0,4)</f>
        <v/>
      </c>
      <c r="Y108" s="117" t="str" cm="1">
        <f t="array" ref="Y108">Common_InputFunctions.Utility_DisplayArrayInTable(Fertiliser_SourceData.Fertiliser_Products_Data1(),FertiliserProducts[[#Headers],[Include or Exclude]], 0,4)</f>
        <v/>
      </c>
      <c r="Z108" s="117" t="str" cm="1">
        <f t="array" ref="Z108">Common_InputFunctions.Utility_DisplayArrayInTable(Fertiliser_SourceData.Fertiliser_Products_Data1(),FertiliserProducts[[#Headers],[Include or Exclude]], 0,4)</f>
        <v/>
      </c>
      <c r="AA108" s="117" t="str" cm="1">
        <f t="array" ref="AA108">Common_InputFunctions.Utility_DisplayArrayInTable(Fertiliser_SourceData.Fertiliser_Products_Data1(),FertiliserProducts[[#Headers],[Include or Exclude]], 0,4)</f>
        <v/>
      </c>
      <c r="AB108" s="117" t="str" cm="1">
        <f t="array" ref="AB108">Common_InputFunctions.Utility_DisplayArrayInTable(Fertiliser_SourceData.Fertiliser_Products_Data1(),FertiliserProducts[[#Headers],[Include or Exclude]], 0,4)</f>
        <v/>
      </c>
      <c r="AC108" s="117" t="str" cm="1">
        <f t="array" ref="AC108">Common_InputFunctions.Utility_DisplayArrayInTable(Fertiliser_SourceData.Fertiliser_Products_Data1(),FertiliserProducts[[#Headers],[Include or Exclude]], 0,4)</f>
        <v/>
      </c>
      <c r="AD108" s="117" t="str" cm="1">
        <f t="array" ref="AD108">Common_InputFunctions.Utility_DisplayArrayInTable(Fertiliser_SourceData.Fertiliser_Products_Data1(),FertiliserProducts[[#Headers],[Include or Exclude]], 0,4)</f>
        <v/>
      </c>
      <c r="AE108" s="117" t="str" cm="1">
        <f t="array" ref="AE108">Common_InputFunctions.Utility_DisplayArrayInTable(Fertiliser_SourceData.Fertiliser_Products_Data1(),FertiliserProducts[[#Headers],[Include or Exclude]], 0,4)</f>
        <v/>
      </c>
    </row>
    <row r="109" spans="1:31" ht="20.100000000000001" customHeight="1" x14ac:dyDescent="0.25">
      <c r="A109"/>
      <c r="D109" s="117" t="str" cm="1">
        <f t="array" ref="D109">Common_InputFunctions.Utility_DisplayArrayInTable(Fertiliser_SourceData.Fertiliser_Products_Data1(),FertiliserProducts[[#Headers],[Include or Exclude]], -1)</f>
        <v>Exclude - Not relevant</v>
      </c>
      <c r="E109" s="117" t="str" cm="1">
        <f t="array" ref="E109">Common_InputFunctions.Utility_DisplayArrayInTable(Fertiliser_SourceData.Fertiliser_Products_Data1(),FertiliserProducts[[#Headers],[Include or Exclude]], 0)</f>
        <v/>
      </c>
      <c r="F109" s="117" t="str" cm="1">
        <f t="array" ref="F109">Common_InputFunctions.Utility_DisplayArrayInTable(Fertiliser_SourceData.Fertiliser_Products_Data1(),FertiliserProducts[[#Headers],[Include or Exclude]], 0)</f>
        <v>Campbells fertilisers Australia</v>
      </c>
      <c r="G109" s="117" t="str" cm="1">
        <f t="array" ref="G109">Common_InputFunctions.Utility_DisplayArrayInTable(Fertiliser_SourceData.Fertiliser_Products_Data1(),FertiliserProducts[[#Headers],[Include or Exclude]], 0)</f>
        <v>Bud-Wiser Dry</v>
      </c>
      <c r="H109" s="117" t="str" cm="1">
        <f t="array" ref="H109">Common_InputFunctions.Utility_DisplayArrayInTable(Fertiliser_SourceData.Fertiliser_Products_Data1(),FertiliserProducts[[#Headers],[Include or Exclude]], 0,4)</f>
        <v>kg</v>
      </c>
      <c r="I109" s="117" t="str" cm="1">
        <f t="array" ref="I109">Common_InputFunctions.Utility_DisplayArrayInTable(Fertiliser_SourceData.Fertiliser_Products_Data1(),FertiliserProducts[[#Headers],[Include or Exclude]], 0,4)</f>
        <v/>
      </c>
      <c r="J109" s="117" t="str" cm="1">
        <f t="array" ref="J109">Common_InputFunctions.Utility_DisplayArrayInTable(Fertiliser_SourceData.Fertiliser_Products_Data1(),FertiliserProducts[[#Headers],[Include or Exclude]], 0,4)</f>
        <v/>
      </c>
      <c r="K109" s="117" t="str" cm="1">
        <f t="array" ref="K109">Common_InputFunctions.Utility_DisplayArrayInTable(Fertiliser_SourceData.Fertiliser_Products_Data1(),FertiliserProducts[[#Headers],[Include or Exclude]], 0,4)</f>
        <v/>
      </c>
      <c r="L109" s="117" t="str" cm="1">
        <f t="array" ref="L109">Common_InputFunctions.Utility_DisplayArrayInTable(Fertiliser_SourceData.Fertiliser_Products_Data1(),FertiliserProducts[[#Headers],[Include or Exclude]], 0,4)</f>
        <v>Sulfur - Generic</v>
      </c>
      <c r="M109" s="117" cm="1">
        <f t="array" ref="M109">Common_InputFunctions.Utility_DisplayArrayInTable(Fertiliser_SourceData.Fertiliser_Products_Data1(),FertiliserProducts[[#Headers],[Include or Exclude]], 0,4)</f>
        <v>9.4E-2</v>
      </c>
      <c r="N109" s="117" t="str" cm="1">
        <f t="array" ref="N109">Common_InputFunctions.Utility_DisplayArrayInTable(Fertiliser_SourceData.Fertiliser_Products_Data1(),FertiliserProducts[[#Headers],[Include or Exclude]], 0,4)</f>
        <v>Magnesium</v>
      </c>
      <c r="O109" s="117" cm="1">
        <f t="array" ref="O109">Common_InputFunctions.Utility_DisplayArrayInTable(Fertiliser_SourceData.Fertiliser_Products_Data1(),FertiliserProducts[[#Headers],[Include or Exclude]], 0,4)</f>
        <v>0.06</v>
      </c>
      <c r="P109" s="117" t="str" cm="1">
        <f t="array" ref="P109">Common_InputFunctions.Utility_DisplayArrayInTable(Fertiliser_SourceData.Fertiliser_Products_Data1(),FertiliserProducts[[#Headers],[Include or Exclude]], 0,4)</f>
        <v>Boron</v>
      </c>
      <c r="Q109" s="117" cm="1">
        <f t="array" ref="Q109">Common_InputFunctions.Utility_DisplayArrayInTable(Fertiliser_SourceData.Fertiliser_Products_Data1(),FertiliserProducts[[#Headers],[Include or Exclude]], 0,4)</f>
        <v>4.4999999999999998E-2</v>
      </c>
      <c r="R109" s="117" t="str" cm="1">
        <f t="array" ref="R109">Common_InputFunctions.Utility_DisplayArrayInTable(Fertiliser_SourceData.Fertiliser_Products_Data1(),FertiliserProducts[[#Headers],[Include or Exclude]], 0,4)</f>
        <v>Zinc</v>
      </c>
      <c r="S109" s="117" cm="1">
        <f t="array" ref="S109">Common_InputFunctions.Utility_DisplayArrayInTable(Fertiliser_SourceData.Fertiliser_Products_Data1(),FertiliserProducts[[#Headers],[Include or Exclude]], 0,4)</f>
        <v>2.7E-2</v>
      </c>
      <c r="T109" s="117" t="str" cm="1">
        <f t="array" ref="T109">Common_InputFunctions.Utility_DisplayArrayInTable(Fertiliser_SourceData.Fertiliser_Products_Data1(),FertiliserProducts[[#Headers],[Include or Exclude]], 0,4)</f>
        <v/>
      </c>
      <c r="U109" s="117" t="str" cm="1">
        <f t="array" ref="U109">Common_InputFunctions.Utility_DisplayArrayInTable(Fertiliser_SourceData.Fertiliser_Products_Data1(),FertiliserProducts[[#Headers],[Include or Exclude]], 0,4)</f>
        <v/>
      </c>
      <c r="V109" s="117" t="str" cm="1">
        <f t="array" ref="V109">Common_InputFunctions.Utility_DisplayArrayInTable(Fertiliser_SourceData.Fertiliser_Products_Data1(),FertiliserProducts[[#Headers],[Include or Exclude]], 0,4)</f>
        <v/>
      </c>
      <c r="W109" s="117" t="str" cm="1">
        <f t="array" ref="W109">Common_InputFunctions.Utility_DisplayArrayInTable(Fertiliser_SourceData.Fertiliser_Products_Data1(),FertiliserProducts[[#Headers],[Include or Exclude]], 0,4)</f>
        <v/>
      </c>
      <c r="X109" s="117" t="str" cm="1">
        <f t="array" ref="X109">Common_InputFunctions.Utility_DisplayArrayInTable(Fertiliser_SourceData.Fertiliser_Products_Data1(),FertiliserProducts[[#Headers],[Include or Exclude]], 0,4)</f>
        <v/>
      </c>
      <c r="Y109" s="117" t="str" cm="1">
        <f t="array" ref="Y109">Common_InputFunctions.Utility_DisplayArrayInTable(Fertiliser_SourceData.Fertiliser_Products_Data1(),FertiliserProducts[[#Headers],[Include or Exclude]], 0,4)</f>
        <v/>
      </c>
      <c r="Z109" s="117" t="str" cm="1">
        <f t="array" ref="Z109">Common_InputFunctions.Utility_DisplayArrayInTable(Fertiliser_SourceData.Fertiliser_Products_Data1(),FertiliserProducts[[#Headers],[Include or Exclude]], 0,4)</f>
        <v/>
      </c>
      <c r="AA109" s="117" t="str" cm="1">
        <f t="array" ref="AA109">Common_InputFunctions.Utility_DisplayArrayInTable(Fertiliser_SourceData.Fertiliser_Products_Data1(),FertiliserProducts[[#Headers],[Include or Exclude]], 0,4)</f>
        <v/>
      </c>
      <c r="AB109" s="117" t="str" cm="1">
        <f t="array" ref="AB109">Common_InputFunctions.Utility_DisplayArrayInTable(Fertiliser_SourceData.Fertiliser_Products_Data1(),FertiliserProducts[[#Headers],[Include or Exclude]], 0,4)</f>
        <v/>
      </c>
      <c r="AC109" s="117" t="str" cm="1">
        <f t="array" ref="AC109">Common_InputFunctions.Utility_DisplayArrayInTable(Fertiliser_SourceData.Fertiliser_Products_Data1(),FertiliserProducts[[#Headers],[Include or Exclude]], 0,4)</f>
        <v/>
      </c>
      <c r="AD109" s="117" t="str" cm="1">
        <f t="array" ref="AD109">Common_InputFunctions.Utility_DisplayArrayInTable(Fertiliser_SourceData.Fertiliser_Products_Data1(),FertiliserProducts[[#Headers],[Include or Exclude]], 0,4)</f>
        <v/>
      </c>
      <c r="AE109" s="117" t="str" cm="1">
        <f t="array" ref="AE109">Common_InputFunctions.Utility_DisplayArrayInTable(Fertiliser_SourceData.Fertiliser_Products_Data1(),FertiliserProducts[[#Headers],[Include or Exclude]], 0,4)</f>
        <v/>
      </c>
    </row>
    <row r="110" spans="1:31" ht="20.100000000000001" customHeight="1" x14ac:dyDescent="0.25">
      <c r="A110"/>
      <c r="D110" s="117" t="str" cm="1">
        <f t="array" ref="D110">Common_InputFunctions.Utility_DisplayArrayInTable(Fertiliser_SourceData.Fertiliser_Products_Data1(),FertiliserProducts[[#Headers],[Include or Exclude]], -1)</f>
        <v>Exclude - Not relevant</v>
      </c>
      <c r="E110" s="117" t="str" cm="1">
        <f t="array" ref="E110">Common_InputFunctions.Utility_DisplayArrayInTable(Fertiliser_SourceData.Fertiliser_Products_Data1(),FertiliserProducts[[#Headers],[Include or Exclude]], 0)</f>
        <v/>
      </c>
      <c r="F110" s="117" t="str" cm="1">
        <f t="array" ref="F110">Common_InputFunctions.Utility_DisplayArrayInTable(Fertiliser_SourceData.Fertiliser_Products_Data1(),FertiliserProducts[[#Headers],[Include or Exclude]], 0)</f>
        <v>Campbells fertilisers Australia</v>
      </c>
      <c r="G110" s="117" t="str" cm="1">
        <f t="array" ref="G110">Common_InputFunctions.Utility_DisplayArrayInTable(Fertiliser_SourceData.Fertiliser_Products_Data1(),FertiliserProducts[[#Headers],[Include or Exclude]], 0)</f>
        <v>Calbit C</v>
      </c>
      <c r="H110" s="117" t="str" cm="1">
        <f t="array" ref="H110">Common_InputFunctions.Utility_DisplayArrayInTable(Fertiliser_SourceData.Fertiliser_Products_Data1(),FertiliserProducts[[#Headers],[Include or Exclude]], 0,4)</f>
        <v>L</v>
      </c>
      <c r="I110" s="117" t="str" cm="1">
        <f t="array" ref="I110">Common_InputFunctions.Utility_DisplayArrayInTable(Fertiliser_SourceData.Fertiliser_Products_Data1(),FertiliserProducts[[#Headers],[Include or Exclude]], 0,4)</f>
        <v/>
      </c>
      <c r="J110" s="117" t="str" cm="1">
        <f t="array" ref="J110">Common_InputFunctions.Utility_DisplayArrayInTable(Fertiliser_SourceData.Fertiliser_Products_Data1(),FertiliserProducts[[#Headers],[Include or Exclude]], 0,4)</f>
        <v/>
      </c>
      <c r="K110" s="117" t="str" cm="1">
        <f t="array" ref="K110">Common_InputFunctions.Utility_DisplayArrayInTable(Fertiliser_SourceData.Fertiliser_Products_Data1(),FertiliserProducts[[#Headers],[Include or Exclude]], 0,4)</f>
        <v/>
      </c>
      <c r="L110" s="117" t="str" cm="1">
        <f t="array" ref="L110">Common_InputFunctions.Utility_DisplayArrayInTable(Fertiliser_SourceData.Fertiliser_Products_Data1(),FertiliserProducts[[#Headers],[Include or Exclude]], 0,4)</f>
        <v/>
      </c>
      <c r="M110" s="117" t="str" cm="1">
        <f t="array" ref="M110">Common_InputFunctions.Utility_DisplayArrayInTable(Fertiliser_SourceData.Fertiliser_Products_Data1(),FertiliserProducts[[#Headers],[Include or Exclude]], 0,4)</f>
        <v/>
      </c>
      <c r="N110" s="117" t="str" cm="1">
        <f t="array" ref="N110">Common_InputFunctions.Utility_DisplayArrayInTable(Fertiliser_SourceData.Fertiliser_Products_Data1(),FertiliserProducts[[#Headers],[Include or Exclude]], 0,4)</f>
        <v/>
      </c>
      <c r="O110" s="117" t="str" cm="1">
        <f t="array" ref="O110">Common_InputFunctions.Utility_DisplayArrayInTable(Fertiliser_SourceData.Fertiliser_Products_Data1(),FertiliserProducts[[#Headers],[Include or Exclude]], 0,4)</f>
        <v/>
      </c>
      <c r="P110" s="117" t="str" cm="1">
        <f t="array" ref="P110">Common_InputFunctions.Utility_DisplayArrayInTable(Fertiliser_SourceData.Fertiliser_Products_Data1(),FertiliserProducts[[#Headers],[Include or Exclude]], 0,4)</f>
        <v/>
      </c>
      <c r="Q110" s="117" t="str" cm="1">
        <f t="array" ref="Q110">Common_InputFunctions.Utility_DisplayArrayInTable(Fertiliser_SourceData.Fertiliser_Products_Data1(),FertiliserProducts[[#Headers],[Include or Exclude]], 0,4)</f>
        <v/>
      </c>
      <c r="R110" s="117" t="str" cm="1">
        <f t="array" ref="R110">Common_InputFunctions.Utility_DisplayArrayInTable(Fertiliser_SourceData.Fertiliser_Products_Data1(),FertiliserProducts[[#Headers],[Include or Exclude]], 0,4)</f>
        <v/>
      </c>
      <c r="S110" s="117" t="str" cm="1">
        <f t="array" ref="S110">Common_InputFunctions.Utility_DisplayArrayInTable(Fertiliser_SourceData.Fertiliser_Products_Data1(),FertiliserProducts[[#Headers],[Include or Exclude]], 0,4)</f>
        <v/>
      </c>
      <c r="T110" s="117" t="str" cm="1">
        <f t="array" ref="T110">Common_InputFunctions.Utility_DisplayArrayInTable(Fertiliser_SourceData.Fertiliser_Products_Data1(),FertiliserProducts[[#Headers],[Include or Exclude]], 0,4)</f>
        <v/>
      </c>
      <c r="U110" s="117" t="str" cm="1">
        <f t="array" ref="U110">Common_InputFunctions.Utility_DisplayArrayInTable(Fertiliser_SourceData.Fertiliser_Products_Data1(),FertiliserProducts[[#Headers],[Include or Exclude]], 0,4)</f>
        <v/>
      </c>
      <c r="V110" s="117" t="str" cm="1">
        <f t="array" ref="V110">Common_InputFunctions.Utility_DisplayArrayInTable(Fertiliser_SourceData.Fertiliser_Products_Data1(),FertiliserProducts[[#Headers],[Include or Exclude]], 0,4)</f>
        <v/>
      </c>
      <c r="W110" s="117" t="str" cm="1">
        <f t="array" ref="W110">Common_InputFunctions.Utility_DisplayArrayInTable(Fertiliser_SourceData.Fertiliser_Products_Data1(),FertiliserProducts[[#Headers],[Include or Exclude]], 0,4)</f>
        <v/>
      </c>
      <c r="X110" s="117" t="str" cm="1">
        <f t="array" ref="X110">Common_InputFunctions.Utility_DisplayArrayInTable(Fertiliser_SourceData.Fertiliser_Products_Data1(),FertiliserProducts[[#Headers],[Include or Exclude]], 0,4)</f>
        <v/>
      </c>
      <c r="Y110" s="117" t="str" cm="1">
        <f t="array" ref="Y110">Common_InputFunctions.Utility_DisplayArrayInTable(Fertiliser_SourceData.Fertiliser_Products_Data1(),FertiliserProducts[[#Headers],[Include or Exclude]], 0,4)</f>
        <v/>
      </c>
      <c r="Z110" s="117" t="str" cm="1">
        <f t="array" ref="Z110">Common_InputFunctions.Utility_DisplayArrayInTable(Fertiliser_SourceData.Fertiliser_Products_Data1(),FertiliserProducts[[#Headers],[Include or Exclude]], 0,4)</f>
        <v/>
      </c>
      <c r="AA110" s="117" t="str" cm="1">
        <f t="array" ref="AA110">Common_InputFunctions.Utility_DisplayArrayInTable(Fertiliser_SourceData.Fertiliser_Products_Data1(),FertiliserProducts[[#Headers],[Include or Exclude]], 0,4)</f>
        <v/>
      </c>
      <c r="AB110" s="117" t="str" cm="1">
        <f t="array" ref="AB110">Common_InputFunctions.Utility_DisplayArrayInTable(Fertiliser_SourceData.Fertiliser_Products_Data1(),FertiliserProducts[[#Headers],[Include or Exclude]], 0,4)</f>
        <v/>
      </c>
      <c r="AC110" s="117" t="str" cm="1">
        <f t="array" ref="AC110">Common_InputFunctions.Utility_DisplayArrayInTable(Fertiliser_SourceData.Fertiliser_Products_Data1(),FertiliserProducts[[#Headers],[Include or Exclude]], 0,4)</f>
        <v/>
      </c>
      <c r="AD110" s="117" t="str" cm="1">
        <f t="array" ref="AD110">Common_InputFunctions.Utility_DisplayArrayInTable(Fertiliser_SourceData.Fertiliser_Products_Data1(),FertiliserProducts[[#Headers],[Include or Exclude]], 0,4)</f>
        <v/>
      </c>
      <c r="AE110" s="117" t="str" cm="1">
        <f t="array" ref="AE110">Common_InputFunctions.Utility_DisplayArrayInTable(Fertiliser_SourceData.Fertiliser_Products_Data1(),FertiliserProducts[[#Headers],[Include or Exclude]], 0,4)</f>
        <v/>
      </c>
    </row>
    <row r="111" spans="1:31" ht="20.100000000000001" customHeight="1" x14ac:dyDescent="0.25">
      <c r="A111"/>
      <c r="D111" s="117" t="str" cm="1">
        <f t="array" ref="D111">Common_InputFunctions.Utility_DisplayArrayInTable(Fertiliser_SourceData.Fertiliser_Products_Data1(),FertiliserProducts[[#Headers],[Include or Exclude]], -1)</f>
        <v>Include</v>
      </c>
      <c r="E111" s="117" t="str" cm="1">
        <f t="array" ref="E111">Common_InputFunctions.Utility_DisplayArrayInTable(Fertiliser_SourceData.Fertiliser_Products_Data1(),FertiliserProducts[[#Headers],[Include or Exclude]], 0)</f>
        <v/>
      </c>
      <c r="F111" s="117" t="str" cm="1">
        <f t="array" ref="F111">Common_InputFunctions.Utility_DisplayArrayInTable(Fertiliser_SourceData.Fertiliser_Products_Data1(),FertiliserProducts[[#Headers],[Include or Exclude]], 0)</f>
        <v>Campbells fertilisers Australia</v>
      </c>
      <c r="G111" s="117" t="str" cm="1">
        <f t="array" ref="G111">Common_InputFunctions.Utility_DisplayArrayInTable(Fertiliser_SourceData.Fertiliser_Products_Data1(),FertiliserProducts[[#Headers],[Include or Exclude]], 0)</f>
        <v>Calcium 175</v>
      </c>
      <c r="H111" s="117" t="str" cm="1">
        <f t="array" ref="H111">Common_InputFunctions.Utility_DisplayArrayInTable(Fertiliser_SourceData.Fertiliser_Products_Data1(),FertiliserProducts[[#Headers],[Include or Exclude]], 0,4)</f>
        <v>L</v>
      </c>
      <c r="I111" s="117" t="str" cm="1">
        <f t="array" ref="I111">Common_InputFunctions.Utility_DisplayArrayInTable(Fertiliser_SourceData.Fertiliser_Products_Data1(),FertiliserProducts[[#Headers],[Include or Exclude]], 0,4)</f>
        <v/>
      </c>
      <c r="J111" s="117" t="str" cm="1">
        <f t="array" ref="J111">Common_InputFunctions.Utility_DisplayArrayInTable(Fertiliser_SourceData.Fertiliser_Products_Data1(),FertiliserProducts[[#Headers],[Include or Exclude]], 0,4)</f>
        <v/>
      </c>
      <c r="K111" s="117" t="str" cm="1">
        <f t="array" ref="K111">Common_InputFunctions.Utility_DisplayArrayInTable(Fertiliser_SourceData.Fertiliser_Products_Data1(),FertiliserProducts[[#Headers],[Include or Exclude]], 0,4)</f>
        <v/>
      </c>
      <c r="L111" s="117" t="str" cm="1">
        <f t="array" ref="L111">Common_InputFunctions.Utility_DisplayArrayInTable(Fertiliser_SourceData.Fertiliser_Products_Data1(),FertiliserProducts[[#Headers],[Include or Exclude]], 0,4)</f>
        <v/>
      </c>
      <c r="M111" s="117" t="str" cm="1">
        <f t="array" ref="M111">Common_InputFunctions.Utility_DisplayArrayInTable(Fertiliser_SourceData.Fertiliser_Products_Data1(),FertiliserProducts[[#Headers],[Include or Exclude]], 0,4)</f>
        <v/>
      </c>
      <c r="N111" s="117" t="str" cm="1">
        <f t="array" ref="N111">Common_InputFunctions.Utility_DisplayArrayInTable(Fertiliser_SourceData.Fertiliser_Products_Data1(),FertiliserProducts[[#Headers],[Include or Exclude]], 0,4)</f>
        <v/>
      </c>
      <c r="O111" s="117" t="str" cm="1">
        <f t="array" ref="O111">Common_InputFunctions.Utility_DisplayArrayInTable(Fertiliser_SourceData.Fertiliser_Products_Data1(),FertiliserProducts[[#Headers],[Include or Exclude]], 0,4)</f>
        <v/>
      </c>
      <c r="P111" s="117" t="str" cm="1">
        <f t="array" ref="P111">Common_InputFunctions.Utility_DisplayArrayInTable(Fertiliser_SourceData.Fertiliser_Products_Data1(),FertiliserProducts[[#Headers],[Include or Exclude]], 0,4)</f>
        <v/>
      </c>
      <c r="Q111" s="117" t="str" cm="1">
        <f t="array" ref="Q111">Common_InputFunctions.Utility_DisplayArrayInTable(Fertiliser_SourceData.Fertiliser_Products_Data1(),FertiliserProducts[[#Headers],[Include or Exclude]], 0,4)</f>
        <v/>
      </c>
      <c r="R111" s="117" t="str" cm="1">
        <f t="array" ref="R111">Common_InputFunctions.Utility_DisplayArrayInTable(Fertiliser_SourceData.Fertiliser_Products_Data1(),FertiliserProducts[[#Headers],[Include or Exclude]], 0,4)</f>
        <v/>
      </c>
      <c r="S111" s="117" t="str" cm="1">
        <f t="array" ref="S111">Common_InputFunctions.Utility_DisplayArrayInTable(Fertiliser_SourceData.Fertiliser_Products_Data1(),FertiliserProducts[[#Headers],[Include or Exclude]], 0,4)</f>
        <v/>
      </c>
      <c r="T111" s="117" t="str" cm="1">
        <f t="array" ref="T111">Common_InputFunctions.Utility_DisplayArrayInTable(Fertiliser_SourceData.Fertiliser_Products_Data1(),FertiliserProducts[[#Headers],[Include or Exclude]], 0,4)</f>
        <v/>
      </c>
      <c r="U111" s="117" t="str" cm="1">
        <f t="array" ref="U111">Common_InputFunctions.Utility_DisplayArrayInTable(Fertiliser_SourceData.Fertiliser_Products_Data1(),FertiliserProducts[[#Headers],[Include or Exclude]], 0,4)</f>
        <v/>
      </c>
      <c r="V111" s="117" t="str" cm="1">
        <f t="array" ref="V111">Common_InputFunctions.Utility_DisplayArrayInTable(Fertiliser_SourceData.Fertiliser_Products_Data1(),FertiliserProducts[[#Headers],[Include or Exclude]], 0,4)</f>
        <v/>
      </c>
      <c r="W111" s="117" t="str" cm="1">
        <f t="array" ref="W111">Common_InputFunctions.Utility_DisplayArrayInTable(Fertiliser_SourceData.Fertiliser_Products_Data1(),FertiliserProducts[[#Headers],[Include or Exclude]], 0,4)</f>
        <v/>
      </c>
      <c r="X111" s="117" t="str" cm="1">
        <f t="array" ref="X111">Common_InputFunctions.Utility_DisplayArrayInTable(Fertiliser_SourceData.Fertiliser_Products_Data1(),FertiliserProducts[[#Headers],[Include or Exclude]], 0,4)</f>
        <v/>
      </c>
      <c r="Y111" s="117" t="str" cm="1">
        <f t="array" ref="Y111">Common_InputFunctions.Utility_DisplayArrayInTable(Fertiliser_SourceData.Fertiliser_Products_Data1(),FertiliserProducts[[#Headers],[Include or Exclude]], 0,4)</f>
        <v/>
      </c>
      <c r="Z111" s="117" t="str" cm="1">
        <f t="array" ref="Z111">Common_InputFunctions.Utility_DisplayArrayInTable(Fertiliser_SourceData.Fertiliser_Products_Data1(),FertiliserProducts[[#Headers],[Include or Exclude]], 0,4)</f>
        <v/>
      </c>
      <c r="AA111" s="117" t="str" cm="1">
        <f t="array" ref="AA111">Common_InputFunctions.Utility_DisplayArrayInTable(Fertiliser_SourceData.Fertiliser_Products_Data1(),FertiliserProducts[[#Headers],[Include or Exclude]], 0,4)</f>
        <v/>
      </c>
      <c r="AB111" s="117" t="str" cm="1">
        <f t="array" ref="AB111">Common_InputFunctions.Utility_DisplayArrayInTable(Fertiliser_SourceData.Fertiliser_Products_Data1(),FertiliserProducts[[#Headers],[Include or Exclude]], 0,4)</f>
        <v/>
      </c>
      <c r="AC111" s="117" t="str" cm="1">
        <f t="array" ref="AC111">Common_InputFunctions.Utility_DisplayArrayInTable(Fertiliser_SourceData.Fertiliser_Products_Data1(),FertiliserProducts[[#Headers],[Include or Exclude]], 0,4)</f>
        <v/>
      </c>
      <c r="AD111" s="117" t="str" cm="1">
        <f t="array" ref="AD111">Common_InputFunctions.Utility_DisplayArrayInTable(Fertiliser_SourceData.Fertiliser_Products_Data1(),FertiliserProducts[[#Headers],[Include or Exclude]], 0,4)</f>
        <v/>
      </c>
      <c r="AE111" s="117" t="str" cm="1">
        <f t="array" ref="AE111">Common_InputFunctions.Utility_DisplayArrayInTable(Fertiliser_SourceData.Fertiliser_Products_Data1(),FertiliserProducts[[#Headers],[Include or Exclude]], 0,4)</f>
        <v/>
      </c>
    </row>
    <row r="112" spans="1:31" ht="20.100000000000001" customHeight="1" x14ac:dyDescent="0.25">
      <c r="A112"/>
      <c r="D112" s="117" t="str" cm="1">
        <f t="array" ref="D112">Common_InputFunctions.Utility_DisplayArrayInTable(Fertiliser_SourceData.Fertiliser_Products_Data1(),FertiliserProducts[[#Headers],[Include or Exclude]], -1)</f>
        <v/>
      </c>
      <c r="E112" s="117" t="str" cm="1">
        <f t="array" ref="E112">Common_InputFunctions.Utility_DisplayArrayInTable(Fertiliser_SourceData.Fertiliser_Products_Data1(),FertiliserProducts[[#Headers],[Include or Exclude]], 0)</f>
        <v>Use Lime EF for calcium</v>
      </c>
      <c r="F112" s="117" t="str" cm="1">
        <f t="array" ref="F112">Common_InputFunctions.Utility_DisplayArrayInTable(Fertiliser_SourceData.Fertiliser_Products_Data1(),FertiliserProducts[[#Headers],[Include or Exclude]], 0)</f>
        <v>Campbells fertilisers Australia</v>
      </c>
      <c r="G112" s="117" t="str" cm="1">
        <f t="array" ref="G112">Common_InputFunctions.Utility_DisplayArrayInTable(Fertiliser_SourceData.Fertiliser_Products_Data1(),FertiliserProducts[[#Headers],[Include or Exclude]], 0)</f>
        <v>CalPhos</v>
      </c>
      <c r="H112" s="117" t="str" cm="1">
        <f t="array" ref="H112">Common_InputFunctions.Utility_DisplayArrayInTable(Fertiliser_SourceData.Fertiliser_Products_Data1(),FertiliserProducts[[#Headers],[Include or Exclude]], 0,4)</f>
        <v>L</v>
      </c>
      <c r="I112" s="117" cm="1">
        <f t="array" ref="I112">Common_InputFunctions.Utility_DisplayArrayInTable(Fertiliser_SourceData.Fertiliser_Products_Data1(),FertiliserProducts[[#Headers],[Include or Exclude]], 0,4)</f>
        <v>1.2849999999999999</v>
      </c>
      <c r="J112" s="117" t="str" cm="1">
        <f t="array" ref="J112">Common_InputFunctions.Utility_DisplayArrayInTable(Fertiliser_SourceData.Fertiliser_Products_Data1(),FertiliserProducts[[#Headers],[Include or Exclude]], 0,4)</f>
        <v/>
      </c>
      <c r="K112" s="117" t="str" cm="1">
        <f t="array" ref="K112">Common_InputFunctions.Utility_DisplayArrayInTable(Fertiliser_SourceData.Fertiliser_Products_Data1(),FertiliserProducts[[#Headers],[Include or Exclude]], 0,4)</f>
        <v/>
      </c>
      <c r="L112" s="117" t="str" cm="1">
        <f t="array" ref="L112">Common_InputFunctions.Utility_DisplayArrayInTable(Fertiliser_SourceData.Fertiliser_Products_Data1(),FertiliserProducts[[#Headers],[Include or Exclude]], 0,4)</f>
        <v>Phosphorus - Generic</v>
      </c>
      <c r="M112" s="117" cm="1">
        <f t="array" ref="M112">Common_InputFunctions.Utility_DisplayArrayInTable(Fertiliser_SourceData.Fertiliser_Products_Data1(),FertiliserProducts[[#Headers],[Include or Exclude]], 0,4)</f>
        <v>0.13500000000000001</v>
      </c>
      <c r="N112" s="117" t="str" cm="1">
        <f t="array" ref="N112">Common_InputFunctions.Utility_DisplayArrayInTable(Fertiliser_SourceData.Fertiliser_Products_Data1(),FertiliserProducts[[#Headers],[Include or Exclude]], 0,4)</f>
        <v>Calcium - Generic</v>
      </c>
      <c r="O112" s="117" cm="1">
        <f t="array" ref="O112">Common_InputFunctions.Utility_DisplayArrayInTable(Fertiliser_SourceData.Fertiliser_Products_Data1(),FertiliserProducts[[#Headers],[Include or Exclude]], 0,4)</f>
        <v>0.04</v>
      </c>
      <c r="P112" s="117" t="str" cm="1">
        <f t="array" ref="P112">Common_InputFunctions.Utility_DisplayArrayInTable(Fertiliser_SourceData.Fertiliser_Products_Data1(),FertiliserProducts[[#Headers],[Include or Exclude]], 0,4)</f>
        <v/>
      </c>
      <c r="Q112" s="117" t="str" cm="1">
        <f t="array" ref="Q112">Common_InputFunctions.Utility_DisplayArrayInTable(Fertiliser_SourceData.Fertiliser_Products_Data1(),FertiliserProducts[[#Headers],[Include or Exclude]], 0,4)</f>
        <v/>
      </c>
      <c r="R112" s="117" t="str" cm="1">
        <f t="array" ref="R112">Common_InputFunctions.Utility_DisplayArrayInTable(Fertiliser_SourceData.Fertiliser_Products_Data1(),FertiliserProducts[[#Headers],[Include or Exclude]], 0,4)</f>
        <v/>
      </c>
      <c r="S112" s="117" t="str" cm="1">
        <f t="array" ref="S112">Common_InputFunctions.Utility_DisplayArrayInTable(Fertiliser_SourceData.Fertiliser_Products_Data1(),FertiliserProducts[[#Headers],[Include or Exclude]], 0,4)</f>
        <v/>
      </c>
      <c r="T112" s="117" t="str" cm="1">
        <f t="array" ref="T112">Common_InputFunctions.Utility_DisplayArrayInTable(Fertiliser_SourceData.Fertiliser_Products_Data1(),FertiliserProducts[[#Headers],[Include or Exclude]], 0,4)</f>
        <v/>
      </c>
      <c r="U112" s="117" t="str" cm="1">
        <f t="array" ref="U112">Common_InputFunctions.Utility_DisplayArrayInTable(Fertiliser_SourceData.Fertiliser_Products_Data1(),FertiliserProducts[[#Headers],[Include or Exclude]], 0,4)</f>
        <v/>
      </c>
      <c r="V112" s="117" t="str" cm="1">
        <f t="array" ref="V112">Common_InputFunctions.Utility_DisplayArrayInTable(Fertiliser_SourceData.Fertiliser_Products_Data1(),FertiliserProducts[[#Headers],[Include or Exclude]], 0,4)</f>
        <v/>
      </c>
      <c r="W112" s="117" t="str" cm="1">
        <f t="array" ref="W112">Common_InputFunctions.Utility_DisplayArrayInTable(Fertiliser_SourceData.Fertiliser_Products_Data1(),FertiliserProducts[[#Headers],[Include or Exclude]], 0,4)</f>
        <v/>
      </c>
      <c r="X112" s="117" t="str" cm="1">
        <f t="array" ref="X112">Common_InputFunctions.Utility_DisplayArrayInTable(Fertiliser_SourceData.Fertiliser_Products_Data1(),FertiliserProducts[[#Headers],[Include or Exclude]], 0,4)</f>
        <v/>
      </c>
      <c r="Y112" s="117" t="str" cm="1">
        <f t="array" ref="Y112">Common_InputFunctions.Utility_DisplayArrayInTable(Fertiliser_SourceData.Fertiliser_Products_Data1(),FertiliserProducts[[#Headers],[Include or Exclude]], 0,4)</f>
        <v/>
      </c>
      <c r="Z112" s="117" t="str" cm="1">
        <f t="array" ref="Z112">Common_InputFunctions.Utility_DisplayArrayInTable(Fertiliser_SourceData.Fertiliser_Products_Data1(),FertiliserProducts[[#Headers],[Include or Exclude]], 0,4)</f>
        <v/>
      </c>
      <c r="AA112" s="117" t="str" cm="1">
        <f t="array" ref="AA112">Common_InputFunctions.Utility_DisplayArrayInTable(Fertiliser_SourceData.Fertiliser_Products_Data1(),FertiliserProducts[[#Headers],[Include or Exclude]], 0,4)</f>
        <v/>
      </c>
      <c r="AB112" s="117" t="str" cm="1">
        <f t="array" ref="AB112">Common_InputFunctions.Utility_DisplayArrayInTable(Fertiliser_SourceData.Fertiliser_Products_Data1(),FertiliserProducts[[#Headers],[Include or Exclude]], 0,4)</f>
        <v/>
      </c>
      <c r="AC112" s="117" t="str" cm="1">
        <f t="array" ref="AC112">Common_InputFunctions.Utility_DisplayArrayInTable(Fertiliser_SourceData.Fertiliser_Products_Data1(),FertiliserProducts[[#Headers],[Include or Exclude]], 0,4)</f>
        <v/>
      </c>
      <c r="AD112" s="117" t="str" cm="1">
        <f t="array" ref="AD112">Common_InputFunctions.Utility_DisplayArrayInTable(Fertiliser_SourceData.Fertiliser_Products_Data1(),FertiliserProducts[[#Headers],[Include or Exclude]], 0,4)</f>
        <v/>
      </c>
      <c r="AE112" s="117" t="str" cm="1">
        <f t="array" ref="AE112">Common_InputFunctions.Utility_DisplayArrayInTable(Fertiliser_SourceData.Fertiliser_Products_Data1(),FertiliserProducts[[#Headers],[Include or Exclude]], 0,4)</f>
        <v/>
      </c>
    </row>
    <row r="113" spans="1:31" ht="20.100000000000001" customHeight="1" x14ac:dyDescent="0.25">
      <c r="A113"/>
      <c r="D113" s="117" t="str" cm="1">
        <f t="array" ref="D113">Common_InputFunctions.Utility_DisplayArrayInTable(Fertiliser_SourceData.Fertiliser_Products_Data1(),FertiliserProducts[[#Headers],[Include or Exclude]], -1)</f>
        <v/>
      </c>
      <c r="E113" s="117" t="str" cm="1">
        <f t="array" ref="E113">Common_InputFunctions.Utility_DisplayArrayInTable(Fertiliser_SourceData.Fertiliser_Products_Data1(),FertiliserProducts[[#Headers],[Include or Exclude]], 0)</f>
        <v/>
      </c>
      <c r="F113" s="117" t="str" cm="1">
        <f t="array" ref="F113">Common_InputFunctions.Utility_DisplayArrayInTable(Fertiliser_SourceData.Fertiliser_Products_Data1(),FertiliserProducts[[#Headers],[Include or Exclude]], 0)</f>
        <v/>
      </c>
      <c r="G113" s="117" t="str" cm="1">
        <f t="array" ref="G113">Common_InputFunctions.Utility_DisplayArrayInTable(Fertiliser_SourceData.Fertiliser_Products_Data1(),FertiliserProducts[[#Headers],[Include or Exclude]], 0)</f>
        <v/>
      </c>
      <c r="H113" s="117" t="str" cm="1">
        <f t="array" ref="H113">Common_InputFunctions.Utility_DisplayArrayInTable(Fertiliser_SourceData.Fertiliser_Products_Data1(),FertiliserProducts[[#Headers],[Include or Exclude]], 0,4)</f>
        <v/>
      </c>
      <c r="I113" s="117" t="str" cm="1">
        <f t="array" ref="I113">Common_InputFunctions.Utility_DisplayArrayInTable(Fertiliser_SourceData.Fertiliser_Products_Data1(),FertiliserProducts[[#Headers],[Include or Exclude]], 0,4)</f>
        <v/>
      </c>
      <c r="J113" s="117" t="str" cm="1">
        <f t="array" ref="J113">Common_InputFunctions.Utility_DisplayArrayInTable(Fertiliser_SourceData.Fertiliser_Products_Data1(),FertiliserProducts[[#Headers],[Include or Exclude]], 0,4)</f>
        <v/>
      </c>
      <c r="K113" s="117" t="str" cm="1">
        <f t="array" ref="K113">Common_InputFunctions.Utility_DisplayArrayInTable(Fertiliser_SourceData.Fertiliser_Products_Data1(),FertiliserProducts[[#Headers],[Include or Exclude]], 0,4)</f>
        <v/>
      </c>
      <c r="L113" s="117" t="str" cm="1">
        <f t="array" ref="L113">Common_InputFunctions.Utility_DisplayArrayInTable(Fertiliser_SourceData.Fertiliser_Products_Data1(),FertiliserProducts[[#Headers],[Include or Exclude]], 0,4)</f>
        <v/>
      </c>
      <c r="M113" s="117" t="str" cm="1">
        <f t="array" ref="M113">Common_InputFunctions.Utility_DisplayArrayInTable(Fertiliser_SourceData.Fertiliser_Products_Data1(),FertiliserProducts[[#Headers],[Include or Exclude]], 0,4)</f>
        <v/>
      </c>
      <c r="N113" s="117" t="str" cm="1">
        <f t="array" ref="N113">Common_InputFunctions.Utility_DisplayArrayInTable(Fertiliser_SourceData.Fertiliser_Products_Data1(),FertiliserProducts[[#Headers],[Include or Exclude]], 0,4)</f>
        <v/>
      </c>
      <c r="O113" s="117" t="str" cm="1">
        <f t="array" ref="O113">Common_InputFunctions.Utility_DisplayArrayInTable(Fertiliser_SourceData.Fertiliser_Products_Data1(),FertiliserProducts[[#Headers],[Include or Exclude]], 0,4)</f>
        <v/>
      </c>
      <c r="P113" s="117" t="str" cm="1">
        <f t="array" ref="P113">Common_InputFunctions.Utility_DisplayArrayInTable(Fertiliser_SourceData.Fertiliser_Products_Data1(),FertiliserProducts[[#Headers],[Include or Exclude]], 0,4)</f>
        <v/>
      </c>
      <c r="Q113" s="117" t="str" cm="1">
        <f t="array" ref="Q113">Common_InputFunctions.Utility_DisplayArrayInTable(Fertiliser_SourceData.Fertiliser_Products_Data1(),FertiliserProducts[[#Headers],[Include or Exclude]], 0,4)</f>
        <v/>
      </c>
      <c r="R113" s="117" t="str" cm="1">
        <f t="array" ref="R113">Common_InputFunctions.Utility_DisplayArrayInTable(Fertiliser_SourceData.Fertiliser_Products_Data1(),FertiliserProducts[[#Headers],[Include or Exclude]], 0,4)</f>
        <v/>
      </c>
      <c r="S113" s="117" t="str" cm="1">
        <f t="array" ref="S113">Common_InputFunctions.Utility_DisplayArrayInTable(Fertiliser_SourceData.Fertiliser_Products_Data1(),FertiliserProducts[[#Headers],[Include or Exclude]], 0,4)</f>
        <v/>
      </c>
      <c r="T113" s="117" t="str" cm="1">
        <f t="array" ref="T113">Common_InputFunctions.Utility_DisplayArrayInTable(Fertiliser_SourceData.Fertiliser_Products_Data1(),FertiliserProducts[[#Headers],[Include or Exclude]], 0,4)</f>
        <v/>
      </c>
      <c r="U113" s="117" t="str" cm="1">
        <f t="array" ref="U113">Common_InputFunctions.Utility_DisplayArrayInTable(Fertiliser_SourceData.Fertiliser_Products_Data1(),FertiliserProducts[[#Headers],[Include or Exclude]], 0,4)</f>
        <v/>
      </c>
      <c r="V113" s="117" t="str" cm="1">
        <f t="array" ref="V113">Common_InputFunctions.Utility_DisplayArrayInTable(Fertiliser_SourceData.Fertiliser_Products_Data1(),FertiliserProducts[[#Headers],[Include or Exclude]], 0,4)</f>
        <v/>
      </c>
      <c r="W113" s="117" t="str" cm="1">
        <f t="array" ref="W113">Common_InputFunctions.Utility_DisplayArrayInTable(Fertiliser_SourceData.Fertiliser_Products_Data1(),FertiliserProducts[[#Headers],[Include or Exclude]], 0,4)</f>
        <v/>
      </c>
      <c r="X113" s="117" t="str" cm="1">
        <f t="array" ref="X113">Common_InputFunctions.Utility_DisplayArrayInTable(Fertiliser_SourceData.Fertiliser_Products_Data1(),FertiliserProducts[[#Headers],[Include or Exclude]], 0,4)</f>
        <v/>
      </c>
      <c r="Y113" s="117" t="str" cm="1">
        <f t="array" ref="Y113">Common_InputFunctions.Utility_DisplayArrayInTable(Fertiliser_SourceData.Fertiliser_Products_Data1(),FertiliserProducts[[#Headers],[Include or Exclude]], 0,4)</f>
        <v/>
      </c>
      <c r="Z113" s="117" t="str" cm="1">
        <f t="array" ref="Z113">Common_InputFunctions.Utility_DisplayArrayInTable(Fertiliser_SourceData.Fertiliser_Products_Data1(),FertiliserProducts[[#Headers],[Include or Exclude]], 0,4)</f>
        <v/>
      </c>
      <c r="AA113" s="117" t="str" cm="1">
        <f t="array" ref="AA113">Common_InputFunctions.Utility_DisplayArrayInTable(Fertiliser_SourceData.Fertiliser_Products_Data1(),FertiliserProducts[[#Headers],[Include or Exclude]], 0,4)</f>
        <v/>
      </c>
      <c r="AB113" s="117" t="str" cm="1">
        <f t="array" ref="AB113">Common_InputFunctions.Utility_DisplayArrayInTable(Fertiliser_SourceData.Fertiliser_Products_Data1(),FertiliserProducts[[#Headers],[Include or Exclude]], 0,4)</f>
        <v/>
      </c>
      <c r="AC113" s="117" t="str" cm="1">
        <f t="array" ref="AC113">Common_InputFunctions.Utility_DisplayArrayInTable(Fertiliser_SourceData.Fertiliser_Products_Data1(),FertiliserProducts[[#Headers],[Include or Exclude]], 0,4)</f>
        <v/>
      </c>
      <c r="AD113" s="117" t="str" cm="1">
        <f t="array" ref="AD113">Common_InputFunctions.Utility_DisplayArrayInTable(Fertiliser_SourceData.Fertiliser_Products_Data1(),FertiliserProducts[[#Headers],[Include or Exclude]], 0,4)</f>
        <v/>
      </c>
      <c r="AE113" s="117" t="str" cm="1">
        <f t="array" ref="AE113">Common_InputFunctions.Utility_DisplayArrayInTable(Fertiliser_SourceData.Fertiliser_Products_Data1(),FertiliserProducts[[#Headers],[Include or Exclude]], 0,4)</f>
        <v/>
      </c>
    </row>
    <row r="114" spans="1:31" ht="20.100000000000001" customHeight="1" x14ac:dyDescent="0.25">
      <c r="A114"/>
      <c r="D114" s="117" t="str" cm="1">
        <f t="array" ref="D114">Common_InputFunctions.Utility_DisplayArrayInTable(Fertiliser_SourceData.Fertiliser_Products_Data1(),FertiliserProducts[[#Headers],[Include or Exclude]], -1)</f>
        <v/>
      </c>
      <c r="E114" s="117" t="str" cm="1">
        <f t="array" ref="E114">Common_InputFunctions.Utility_DisplayArrayInTable(Fertiliser_SourceData.Fertiliser_Products_Data1(),FertiliserProducts[[#Headers],[Include or Exclude]], 0)</f>
        <v/>
      </c>
      <c r="F114" s="117" t="str" cm="1">
        <f t="array" ref="F114">Common_InputFunctions.Utility_DisplayArrayInTable(Fertiliser_SourceData.Fertiliser_Products_Data1(),FertiliserProducts[[#Headers],[Include or Exclude]], 0)</f>
        <v/>
      </c>
      <c r="G114" s="117" t="str" cm="1">
        <f t="array" ref="G114">Common_InputFunctions.Utility_DisplayArrayInTable(Fertiliser_SourceData.Fertiliser_Products_Data1(),FertiliserProducts[[#Headers],[Include or Exclude]], 0)</f>
        <v/>
      </c>
      <c r="H114" s="117" t="str" cm="1">
        <f t="array" ref="H114">Common_InputFunctions.Utility_DisplayArrayInTable(Fertiliser_SourceData.Fertiliser_Products_Data1(),FertiliserProducts[[#Headers],[Include or Exclude]], 0,4)</f>
        <v/>
      </c>
      <c r="I114" s="117" t="str" cm="1">
        <f t="array" ref="I114">Common_InputFunctions.Utility_DisplayArrayInTable(Fertiliser_SourceData.Fertiliser_Products_Data1(),FertiliserProducts[[#Headers],[Include or Exclude]], 0,4)</f>
        <v/>
      </c>
      <c r="J114" s="117" t="str" cm="1">
        <f t="array" ref="J114">Common_InputFunctions.Utility_DisplayArrayInTable(Fertiliser_SourceData.Fertiliser_Products_Data1(),FertiliserProducts[[#Headers],[Include or Exclude]], 0,4)</f>
        <v/>
      </c>
      <c r="K114" s="117" t="str" cm="1">
        <f t="array" ref="K114">Common_InputFunctions.Utility_DisplayArrayInTable(Fertiliser_SourceData.Fertiliser_Products_Data1(),FertiliserProducts[[#Headers],[Include or Exclude]], 0,4)</f>
        <v/>
      </c>
      <c r="L114" s="117" t="str" cm="1">
        <f t="array" ref="L114">Common_InputFunctions.Utility_DisplayArrayInTable(Fertiliser_SourceData.Fertiliser_Products_Data1(),FertiliserProducts[[#Headers],[Include or Exclude]], 0,4)</f>
        <v/>
      </c>
      <c r="M114" s="117" t="str" cm="1">
        <f t="array" ref="M114">Common_InputFunctions.Utility_DisplayArrayInTable(Fertiliser_SourceData.Fertiliser_Products_Data1(),FertiliserProducts[[#Headers],[Include or Exclude]], 0,4)</f>
        <v/>
      </c>
      <c r="N114" s="117" t="str" cm="1">
        <f t="array" ref="N114">Common_InputFunctions.Utility_DisplayArrayInTable(Fertiliser_SourceData.Fertiliser_Products_Data1(),FertiliserProducts[[#Headers],[Include or Exclude]], 0,4)</f>
        <v/>
      </c>
      <c r="O114" s="117" t="str" cm="1">
        <f t="array" ref="O114">Common_InputFunctions.Utility_DisplayArrayInTable(Fertiliser_SourceData.Fertiliser_Products_Data1(),FertiliserProducts[[#Headers],[Include or Exclude]], 0,4)</f>
        <v/>
      </c>
      <c r="P114" s="117" t="str" cm="1">
        <f t="array" ref="P114">Common_InputFunctions.Utility_DisplayArrayInTable(Fertiliser_SourceData.Fertiliser_Products_Data1(),FertiliserProducts[[#Headers],[Include or Exclude]], 0,4)</f>
        <v/>
      </c>
      <c r="Q114" s="117" t="str" cm="1">
        <f t="array" ref="Q114">Common_InputFunctions.Utility_DisplayArrayInTable(Fertiliser_SourceData.Fertiliser_Products_Data1(),FertiliserProducts[[#Headers],[Include or Exclude]], 0,4)</f>
        <v/>
      </c>
      <c r="R114" s="117" t="str" cm="1">
        <f t="array" ref="R114">Common_InputFunctions.Utility_DisplayArrayInTable(Fertiliser_SourceData.Fertiliser_Products_Data1(),FertiliserProducts[[#Headers],[Include or Exclude]], 0,4)</f>
        <v/>
      </c>
      <c r="S114" s="117" t="str" cm="1">
        <f t="array" ref="S114">Common_InputFunctions.Utility_DisplayArrayInTable(Fertiliser_SourceData.Fertiliser_Products_Data1(),FertiliserProducts[[#Headers],[Include or Exclude]], 0,4)</f>
        <v/>
      </c>
      <c r="T114" s="117" t="str" cm="1">
        <f t="array" ref="T114">Common_InputFunctions.Utility_DisplayArrayInTable(Fertiliser_SourceData.Fertiliser_Products_Data1(),FertiliserProducts[[#Headers],[Include or Exclude]], 0,4)</f>
        <v/>
      </c>
      <c r="U114" s="117" t="str" cm="1">
        <f t="array" ref="U114">Common_InputFunctions.Utility_DisplayArrayInTable(Fertiliser_SourceData.Fertiliser_Products_Data1(),FertiliserProducts[[#Headers],[Include or Exclude]], 0,4)</f>
        <v/>
      </c>
      <c r="V114" s="117" t="str" cm="1">
        <f t="array" ref="V114">Common_InputFunctions.Utility_DisplayArrayInTable(Fertiliser_SourceData.Fertiliser_Products_Data1(),FertiliserProducts[[#Headers],[Include or Exclude]], 0,4)</f>
        <v/>
      </c>
      <c r="W114" s="117" t="str" cm="1">
        <f t="array" ref="W114">Common_InputFunctions.Utility_DisplayArrayInTable(Fertiliser_SourceData.Fertiliser_Products_Data1(),FertiliserProducts[[#Headers],[Include or Exclude]], 0,4)</f>
        <v/>
      </c>
      <c r="X114" s="117" t="str" cm="1">
        <f t="array" ref="X114">Common_InputFunctions.Utility_DisplayArrayInTable(Fertiliser_SourceData.Fertiliser_Products_Data1(),FertiliserProducts[[#Headers],[Include or Exclude]], 0,4)</f>
        <v/>
      </c>
      <c r="Y114" s="117" t="str" cm="1">
        <f t="array" ref="Y114">Common_InputFunctions.Utility_DisplayArrayInTable(Fertiliser_SourceData.Fertiliser_Products_Data1(),FertiliserProducts[[#Headers],[Include or Exclude]], 0,4)</f>
        <v/>
      </c>
      <c r="Z114" s="117" t="str" cm="1">
        <f t="array" ref="Z114">Common_InputFunctions.Utility_DisplayArrayInTable(Fertiliser_SourceData.Fertiliser_Products_Data1(),FertiliserProducts[[#Headers],[Include or Exclude]], 0,4)</f>
        <v/>
      </c>
      <c r="AA114" s="117" t="str" cm="1">
        <f t="array" ref="AA114">Common_InputFunctions.Utility_DisplayArrayInTable(Fertiliser_SourceData.Fertiliser_Products_Data1(),FertiliserProducts[[#Headers],[Include or Exclude]], 0,4)</f>
        <v/>
      </c>
      <c r="AB114" s="117" t="str" cm="1">
        <f t="array" ref="AB114">Common_InputFunctions.Utility_DisplayArrayInTable(Fertiliser_SourceData.Fertiliser_Products_Data1(),FertiliserProducts[[#Headers],[Include or Exclude]], 0,4)</f>
        <v/>
      </c>
      <c r="AC114" s="117" t="str" cm="1">
        <f t="array" ref="AC114">Common_InputFunctions.Utility_DisplayArrayInTable(Fertiliser_SourceData.Fertiliser_Products_Data1(),FertiliserProducts[[#Headers],[Include or Exclude]], 0,4)</f>
        <v/>
      </c>
      <c r="AD114" s="117" t="str" cm="1">
        <f t="array" ref="AD114">Common_InputFunctions.Utility_DisplayArrayInTable(Fertiliser_SourceData.Fertiliser_Products_Data1(),FertiliserProducts[[#Headers],[Include or Exclude]], 0,4)</f>
        <v/>
      </c>
      <c r="AE114" s="117" t="str" cm="1">
        <f t="array" ref="AE114">Common_InputFunctions.Utility_DisplayArrayInTable(Fertiliser_SourceData.Fertiliser_Products_Data1(),FertiliserProducts[[#Headers],[Include or Exclude]], 0,4)</f>
        <v/>
      </c>
    </row>
    <row r="115" spans="1:31" ht="20.100000000000001" customHeight="1" x14ac:dyDescent="0.25">
      <c r="A115"/>
      <c r="D115" s="117" t="str" cm="1">
        <f t="array" ref="D115">Common_InputFunctions.Utility_DisplayArrayInTable(Fertiliser_SourceData.Fertiliser_Products_Data1(),FertiliserProducts[[#Headers],[Include or Exclude]], -1)</f>
        <v/>
      </c>
      <c r="E115" s="117" t="str" cm="1">
        <f t="array" ref="E115">Common_InputFunctions.Utility_DisplayArrayInTable(Fertiliser_SourceData.Fertiliser_Products_Data1(),FertiliserProducts[[#Headers],[Include or Exclude]], 0)</f>
        <v/>
      </c>
      <c r="F115" s="117" t="str" cm="1">
        <f t="array" ref="F115">Common_InputFunctions.Utility_DisplayArrayInTable(Fertiliser_SourceData.Fertiliser_Products_Data1(),FertiliserProducts[[#Headers],[Include or Exclude]], 0)</f>
        <v/>
      </c>
      <c r="G115" s="117" t="str" cm="1">
        <f t="array" ref="G115">Common_InputFunctions.Utility_DisplayArrayInTable(Fertiliser_SourceData.Fertiliser_Products_Data1(),FertiliserProducts[[#Headers],[Include or Exclude]], 0)</f>
        <v/>
      </c>
      <c r="H115" s="117" t="str" cm="1">
        <f t="array" ref="H115">Common_InputFunctions.Utility_DisplayArrayInTable(Fertiliser_SourceData.Fertiliser_Products_Data1(),FertiliserProducts[[#Headers],[Include or Exclude]], 0,4)</f>
        <v/>
      </c>
      <c r="I115" s="117" t="str" cm="1">
        <f t="array" ref="I115">Common_InputFunctions.Utility_DisplayArrayInTable(Fertiliser_SourceData.Fertiliser_Products_Data1(),FertiliserProducts[[#Headers],[Include or Exclude]], 0,4)</f>
        <v/>
      </c>
      <c r="J115" s="117" t="str" cm="1">
        <f t="array" ref="J115">Common_InputFunctions.Utility_DisplayArrayInTable(Fertiliser_SourceData.Fertiliser_Products_Data1(),FertiliserProducts[[#Headers],[Include or Exclude]], 0,4)</f>
        <v/>
      </c>
      <c r="K115" s="117" t="str" cm="1">
        <f t="array" ref="K115">Common_InputFunctions.Utility_DisplayArrayInTable(Fertiliser_SourceData.Fertiliser_Products_Data1(),FertiliserProducts[[#Headers],[Include or Exclude]], 0,4)</f>
        <v/>
      </c>
      <c r="L115" s="117" t="str" cm="1">
        <f t="array" ref="L115">Common_InputFunctions.Utility_DisplayArrayInTable(Fertiliser_SourceData.Fertiliser_Products_Data1(),FertiliserProducts[[#Headers],[Include or Exclude]], 0,4)</f>
        <v/>
      </c>
      <c r="M115" s="117" t="str" cm="1">
        <f t="array" ref="M115">Common_InputFunctions.Utility_DisplayArrayInTable(Fertiliser_SourceData.Fertiliser_Products_Data1(),FertiliserProducts[[#Headers],[Include or Exclude]], 0,4)</f>
        <v/>
      </c>
      <c r="N115" s="117" t="str" cm="1">
        <f t="array" ref="N115">Common_InputFunctions.Utility_DisplayArrayInTable(Fertiliser_SourceData.Fertiliser_Products_Data1(),FertiliserProducts[[#Headers],[Include or Exclude]], 0,4)</f>
        <v/>
      </c>
      <c r="O115" s="117" t="str" cm="1">
        <f t="array" ref="O115">Common_InputFunctions.Utility_DisplayArrayInTable(Fertiliser_SourceData.Fertiliser_Products_Data1(),FertiliserProducts[[#Headers],[Include or Exclude]], 0,4)</f>
        <v/>
      </c>
      <c r="P115" s="117" t="str" cm="1">
        <f t="array" ref="P115">Common_InputFunctions.Utility_DisplayArrayInTable(Fertiliser_SourceData.Fertiliser_Products_Data1(),FertiliserProducts[[#Headers],[Include or Exclude]], 0,4)</f>
        <v/>
      </c>
      <c r="Q115" s="117" t="str" cm="1">
        <f t="array" ref="Q115">Common_InputFunctions.Utility_DisplayArrayInTable(Fertiliser_SourceData.Fertiliser_Products_Data1(),FertiliserProducts[[#Headers],[Include or Exclude]], 0,4)</f>
        <v/>
      </c>
      <c r="R115" s="117" t="str" cm="1">
        <f t="array" ref="R115">Common_InputFunctions.Utility_DisplayArrayInTable(Fertiliser_SourceData.Fertiliser_Products_Data1(),FertiliserProducts[[#Headers],[Include or Exclude]], 0,4)</f>
        <v/>
      </c>
      <c r="S115" s="117" t="str" cm="1">
        <f t="array" ref="S115">Common_InputFunctions.Utility_DisplayArrayInTable(Fertiliser_SourceData.Fertiliser_Products_Data1(),FertiliserProducts[[#Headers],[Include or Exclude]], 0,4)</f>
        <v/>
      </c>
      <c r="T115" s="117" t="str" cm="1">
        <f t="array" ref="T115">Common_InputFunctions.Utility_DisplayArrayInTable(Fertiliser_SourceData.Fertiliser_Products_Data1(),FertiliserProducts[[#Headers],[Include or Exclude]], 0,4)</f>
        <v/>
      </c>
      <c r="U115" s="117" t="str" cm="1">
        <f t="array" ref="U115">Common_InputFunctions.Utility_DisplayArrayInTable(Fertiliser_SourceData.Fertiliser_Products_Data1(),FertiliserProducts[[#Headers],[Include or Exclude]], 0,4)</f>
        <v/>
      </c>
      <c r="V115" s="117" t="str" cm="1">
        <f t="array" ref="V115">Common_InputFunctions.Utility_DisplayArrayInTable(Fertiliser_SourceData.Fertiliser_Products_Data1(),FertiliserProducts[[#Headers],[Include or Exclude]], 0,4)</f>
        <v/>
      </c>
      <c r="W115" s="117" t="str" cm="1">
        <f t="array" ref="W115">Common_InputFunctions.Utility_DisplayArrayInTable(Fertiliser_SourceData.Fertiliser_Products_Data1(),FertiliserProducts[[#Headers],[Include or Exclude]], 0,4)</f>
        <v/>
      </c>
      <c r="X115" s="117" t="str" cm="1">
        <f t="array" ref="X115">Common_InputFunctions.Utility_DisplayArrayInTable(Fertiliser_SourceData.Fertiliser_Products_Data1(),FertiliserProducts[[#Headers],[Include or Exclude]], 0,4)</f>
        <v/>
      </c>
      <c r="Y115" s="117" t="str" cm="1">
        <f t="array" ref="Y115">Common_InputFunctions.Utility_DisplayArrayInTable(Fertiliser_SourceData.Fertiliser_Products_Data1(),FertiliserProducts[[#Headers],[Include or Exclude]], 0,4)</f>
        <v/>
      </c>
      <c r="Z115" s="117" t="str" cm="1">
        <f t="array" ref="Z115">Common_InputFunctions.Utility_DisplayArrayInTable(Fertiliser_SourceData.Fertiliser_Products_Data1(),FertiliserProducts[[#Headers],[Include or Exclude]], 0,4)</f>
        <v/>
      </c>
      <c r="AA115" s="117" t="str" cm="1">
        <f t="array" ref="AA115">Common_InputFunctions.Utility_DisplayArrayInTable(Fertiliser_SourceData.Fertiliser_Products_Data1(),FertiliserProducts[[#Headers],[Include or Exclude]], 0,4)</f>
        <v/>
      </c>
      <c r="AB115" s="117" t="str" cm="1">
        <f t="array" ref="AB115">Common_InputFunctions.Utility_DisplayArrayInTable(Fertiliser_SourceData.Fertiliser_Products_Data1(),FertiliserProducts[[#Headers],[Include or Exclude]], 0,4)</f>
        <v/>
      </c>
      <c r="AC115" s="117" t="str" cm="1">
        <f t="array" ref="AC115">Common_InputFunctions.Utility_DisplayArrayInTable(Fertiliser_SourceData.Fertiliser_Products_Data1(),FertiliserProducts[[#Headers],[Include or Exclude]], 0,4)</f>
        <v/>
      </c>
      <c r="AD115" s="117" t="str" cm="1">
        <f t="array" ref="AD115">Common_InputFunctions.Utility_DisplayArrayInTable(Fertiliser_SourceData.Fertiliser_Products_Data1(),FertiliserProducts[[#Headers],[Include or Exclude]], 0,4)</f>
        <v/>
      </c>
      <c r="AE115" s="117" t="str" cm="1">
        <f t="array" ref="AE115">Common_InputFunctions.Utility_DisplayArrayInTable(Fertiliser_SourceData.Fertiliser_Products_Data1(),FertiliserProducts[[#Headers],[Include or Exclude]], 0,4)</f>
        <v/>
      </c>
    </row>
    <row r="116" spans="1:31" ht="20.100000000000001" customHeight="1" x14ac:dyDescent="0.25">
      <c r="A116"/>
      <c r="D116" s="117" t="str" cm="1">
        <f t="array" ref="D116">Common_InputFunctions.Utility_DisplayArrayInTable(Fertiliser_SourceData.Fertiliser_Products_Data1(),FertiliserProducts[[#Headers],[Include or Exclude]], -1)</f>
        <v/>
      </c>
      <c r="E116" s="117" t="str" cm="1">
        <f t="array" ref="E116">Common_InputFunctions.Utility_DisplayArrayInTable(Fertiliser_SourceData.Fertiliser_Products_Data1(),FertiliserProducts[[#Headers],[Include or Exclude]], 0)</f>
        <v/>
      </c>
      <c r="F116" s="117" t="str" cm="1">
        <f t="array" ref="F116">Common_InputFunctions.Utility_DisplayArrayInTable(Fertiliser_SourceData.Fertiliser_Products_Data1(),FertiliserProducts[[#Headers],[Include or Exclude]], 0)</f>
        <v/>
      </c>
      <c r="G116" s="117" t="str" cm="1">
        <f t="array" ref="G116">Common_InputFunctions.Utility_DisplayArrayInTable(Fertiliser_SourceData.Fertiliser_Products_Data1(),FertiliserProducts[[#Headers],[Include or Exclude]], 0)</f>
        <v/>
      </c>
      <c r="H116" s="117" t="str" cm="1">
        <f t="array" ref="H116">Common_InputFunctions.Utility_DisplayArrayInTable(Fertiliser_SourceData.Fertiliser_Products_Data1(),FertiliserProducts[[#Headers],[Include or Exclude]], 0,4)</f>
        <v/>
      </c>
      <c r="I116" s="117" t="str" cm="1">
        <f t="array" ref="I116">Common_InputFunctions.Utility_DisplayArrayInTable(Fertiliser_SourceData.Fertiliser_Products_Data1(),FertiliserProducts[[#Headers],[Include or Exclude]], 0,4)</f>
        <v/>
      </c>
      <c r="J116" s="117" t="str" cm="1">
        <f t="array" ref="J116">Common_InputFunctions.Utility_DisplayArrayInTable(Fertiliser_SourceData.Fertiliser_Products_Data1(),FertiliserProducts[[#Headers],[Include or Exclude]], 0,4)</f>
        <v/>
      </c>
      <c r="K116" s="117" t="str" cm="1">
        <f t="array" ref="K116">Common_InputFunctions.Utility_DisplayArrayInTable(Fertiliser_SourceData.Fertiliser_Products_Data1(),FertiliserProducts[[#Headers],[Include or Exclude]], 0,4)</f>
        <v/>
      </c>
      <c r="L116" s="117" t="str" cm="1">
        <f t="array" ref="L116">Common_InputFunctions.Utility_DisplayArrayInTable(Fertiliser_SourceData.Fertiliser_Products_Data1(),FertiliserProducts[[#Headers],[Include or Exclude]], 0,4)</f>
        <v/>
      </c>
      <c r="M116" s="117" t="str" cm="1">
        <f t="array" ref="M116">Common_InputFunctions.Utility_DisplayArrayInTable(Fertiliser_SourceData.Fertiliser_Products_Data1(),FertiliserProducts[[#Headers],[Include or Exclude]], 0,4)</f>
        <v/>
      </c>
      <c r="N116" s="117" t="str" cm="1">
        <f t="array" ref="N116">Common_InputFunctions.Utility_DisplayArrayInTable(Fertiliser_SourceData.Fertiliser_Products_Data1(),FertiliserProducts[[#Headers],[Include or Exclude]], 0,4)</f>
        <v/>
      </c>
      <c r="O116" s="117" t="str" cm="1">
        <f t="array" ref="O116">Common_InputFunctions.Utility_DisplayArrayInTable(Fertiliser_SourceData.Fertiliser_Products_Data1(),FertiliserProducts[[#Headers],[Include or Exclude]], 0,4)</f>
        <v/>
      </c>
      <c r="P116" s="117" t="str" cm="1">
        <f t="array" ref="P116">Common_InputFunctions.Utility_DisplayArrayInTable(Fertiliser_SourceData.Fertiliser_Products_Data1(),FertiliserProducts[[#Headers],[Include or Exclude]], 0,4)</f>
        <v/>
      </c>
      <c r="Q116" s="117" t="str" cm="1">
        <f t="array" ref="Q116">Common_InputFunctions.Utility_DisplayArrayInTable(Fertiliser_SourceData.Fertiliser_Products_Data1(),FertiliserProducts[[#Headers],[Include or Exclude]], 0,4)</f>
        <v/>
      </c>
      <c r="R116" s="117" t="str" cm="1">
        <f t="array" ref="R116">Common_InputFunctions.Utility_DisplayArrayInTable(Fertiliser_SourceData.Fertiliser_Products_Data1(),FertiliserProducts[[#Headers],[Include or Exclude]], 0,4)</f>
        <v/>
      </c>
      <c r="S116" s="117" t="str" cm="1">
        <f t="array" ref="S116">Common_InputFunctions.Utility_DisplayArrayInTable(Fertiliser_SourceData.Fertiliser_Products_Data1(),FertiliserProducts[[#Headers],[Include or Exclude]], 0,4)</f>
        <v/>
      </c>
      <c r="T116" s="117" t="str" cm="1">
        <f t="array" ref="T116">Common_InputFunctions.Utility_DisplayArrayInTable(Fertiliser_SourceData.Fertiliser_Products_Data1(),FertiliserProducts[[#Headers],[Include or Exclude]], 0,4)</f>
        <v/>
      </c>
      <c r="U116" s="117" t="str" cm="1">
        <f t="array" ref="U116">Common_InputFunctions.Utility_DisplayArrayInTable(Fertiliser_SourceData.Fertiliser_Products_Data1(),FertiliserProducts[[#Headers],[Include or Exclude]], 0,4)</f>
        <v/>
      </c>
      <c r="V116" s="117" t="str" cm="1">
        <f t="array" ref="V116">Common_InputFunctions.Utility_DisplayArrayInTable(Fertiliser_SourceData.Fertiliser_Products_Data1(),FertiliserProducts[[#Headers],[Include or Exclude]], 0,4)</f>
        <v/>
      </c>
      <c r="W116" s="117" t="str" cm="1">
        <f t="array" ref="W116">Common_InputFunctions.Utility_DisplayArrayInTable(Fertiliser_SourceData.Fertiliser_Products_Data1(),FertiliserProducts[[#Headers],[Include or Exclude]], 0,4)</f>
        <v/>
      </c>
      <c r="X116" s="117" t="str" cm="1">
        <f t="array" ref="X116">Common_InputFunctions.Utility_DisplayArrayInTable(Fertiliser_SourceData.Fertiliser_Products_Data1(),FertiliserProducts[[#Headers],[Include or Exclude]], 0,4)</f>
        <v/>
      </c>
      <c r="Y116" s="117" t="str" cm="1">
        <f t="array" ref="Y116">Common_InputFunctions.Utility_DisplayArrayInTable(Fertiliser_SourceData.Fertiliser_Products_Data1(),FertiliserProducts[[#Headers],[Include or Exclude]], 0,4)</f>
        <v/>
      </c>
      <c r="Z116" s="117" t="str" cm="1">
        <f t="array" ref="Z116">Common_InputFunctions.Utility_DisplayArrayInTable(Fertiliser_SourceData.Fertiliser_Products_Data1(),FertiliserProducts[[#Headers],[Include or Exclude]], 0,4)</f>
        <v/>
      </c>
      <c r="AA116" s="117" t="str" cm="1">
        <f t="array" ref="AA116">Common_InputFunctions.Utility_DisplayArrayInTable(Fertiliser_SourceData.Fertiliser_Products_Data1(),FertiliserProducts[[#Headers],[Include or Exclude]], 0,4)</f>
        <v/>
      </c>
      <c r="AB116" s="117" t="str" cm="1">
        <f t="array" ref="AB116">Common_InputFunctions.Utility_DisplayArrayInTable(Fertiliser_SourceData.Fertiliser_Products_Data1(),FertiliserProducts[[#Headers],[Include or Exclude]], 0,4)</f>
        <v/>
      </c>
      <c r="AC116" s="117" t="str" cm="1">
        <f t="array" ref="AC116">Common_InputFunctions.Utility_DisplayArrayInTable(Fertiliser_SourceData.Fertiliser_Products_Data1(),FertiliserProducts[[#Headers],[Include or Exclude]], 0,4)</f>
        <v/>
      </c>
      <c r="AD116" s="117" t="str" cm="1">
        <f t="array" ref="AD116">Common_InputFunctions.Utility_DisplayArrayInTable(Fertiliser_SourceData.Fertiliser_Products_Data1(),FertiliserProducts[[#Headers],[Include or Exclude]], 0,4)</f>
        <v/>
      </c>
      <c r="AE116" s="117" t="str" cm="1">
        <f t="array" ref="AE116">Common_InputFunctions.Utility_DisplayArrayInTable(Fertiliser_SourceData.Fertiliser_Products_Data1(),FertiliserProducts[[#Headers],[Include or Exclude]], 0,4)</f>
        <v/>
      </c>
    </row>
    <row r="117" spans="1:31" ht="20.100000000000001" customHeight="1" x14ac:dyDescent="0.25">
      <c r="A117"/>
      <c r="D117" s="117" t="str" cm="1">
        <f t="array" ref="D117">Common_InputFunctions.Utility_DisplayArrayInTable(Fertiliser_SourceData.Fertiliser_Products_Data1(),FertiliserProducts[[#Headers],[Include or Exclude]], -1)</f>
        <v/>
      </c>
      <c r="E117" s="117" t="str" cm="1">
        <f t="array" ref="E117">Common_InputFunctions.Utility_DisplayArrayInTable(Fertiliser_SourceData.Fertiliser_Products_Data1(),FertiliserProducts[[#Headers],[Include or Exclude]], 0)</f>
        <v/>
      </c>
      <c r="F117" s="117" t="str" cm="1">
        <f t="array" ref="F117">Common_InputFunctions.Utility_DisplayArrayInTable(Fertiliser_SourceData.Fertiliser_Products_Data1(),FertiliserProducts[[#Headers],[Include or Exclude]], 0)</f>
        <v/>
      </c>
      <c r="G117" s="117" t="str" cm="1">
        <f t="array" ref="G117">Common_InputFunctions.Utility_DisplayArrayInTable(Fertiliser_SourceData.Fertiliser_Products_Data1(),FertiliserProducts[[#Headers],[Include or Exclude]], 0)</f>
        <v/>
      </c>
      <c r="H117" s="117" t="str" cm="1">
        <f t="array" ref="H117">Common_InputFunctions.Utility_DisplayArrayInTable(Fertiliser_SourceData.Fertiliser_Products_Data1(),FertiliserProducts[[#Headers],[Include or Exclude]], 0,4)</f>
        <v/>
      </c>
      <c r="I117" s="117" t="str" cm="1">
        <f t="array" ref="I117">Common_InputFunctions.Utility_DisplayArrayInTable(Fertiliser_SourceData.Fertiliser_Products_Data1(),FertiliserProducts[[#Headers],[Include or Exclude]], 0,4)</f>
        <v/>
      </c>
      <c r="J117" s="117" t="str" cm="1">
        <f t="array" ref="J117">Common_InputFunctions.Utility_DisplayArrayInTable(Fertiliser_SourceData.Fertiliser_Products_Data1(),FertiliserProducts[[#Headers],[Include or Exclude]], 0,4)</f>
        <v/>
      </c>
      <c r="K117" s="117" t="str" cm="1">
        <f t="array" ref="K117">Common_InputFunctions.Utility_DisplayArrayInTable(Fertiliser_SourceData.Fertiliser_Products_Data1(),FertiliserProducts[[#Headers],[Include or Exclude]], 0,4)</f>
        <v/>
      </c>
      <c r="L117" s="117" t="str" cm="1">
        <f t="array" ref="L117">Common_InputFunctions.Utility_DisplayArrayInTable(Fertiliser_SourceData.Fertiliser_Products_Data1(),FertiliserProducts[[#Headers],[Include or Exclude]], 0,4)</f>
        <v/>
      </c>
      <c r="M117" s="117" t="str" cm="1">
        <f t="array" ref="M117">Common_InputFunctions.Utility_DisplayArrayInTable(Fertiliser_SourceData.Fertiliser_Products_Data1(),FertiliserProducts[[#Headers],[Include or Exclude]], 0,4)</f>
        <v/>
      </c>
      <c r="N117" s="117" t="str" cm="1">
        <f t="array" ref="N117">Common_InputFunctions.Utility_DisplayArrayInTable(Fertiliser_SourceData.Fertiliser_Products_Data1(),FertiliserProducts[[#Headers],[Include or Exclude]], 0,4)</f>
        <v/>
      </c>
      <c r="O117" s="117" t="str" cm="1">
        <f t="array" ref="O117">Common_InputFunctions.Utility_DisplayArrayInTable(Fertiliser_SourceData.Fertiliser_Products_Data1(),FertiliserProducts[[#Headers],[Include or Exclude]], 0,4)</f>
        <v/>
      </c>
      <c r="P117" s="117" t="str" cm="1">
        <f t="array" ref="P117">Common_InputFunctions.Utility_DisplayArrayInTable(Fertiliser_SourceData.Fertiliser_Products_Data1(),FertiliserProducts[[#Headers],[Include or Exclude]], 0,4)</f>
        <v/>
      </c>
      <c r="Q117" s="117" t="str" cm="1">
        <f t="array" ref="Q117">Common_InputFunctions.Utility_DisplayArrayInTable(Fertiliser_SourceData.Fertiliser_Products_Data1(),FertiliserProducts[[#Headers],[Include or Exclude]], 0,4)</f>
        <v/>
      </c>
      <c r="R117" s="117" t="str" cm="1">
        <f t="array" ref="R117">Common_InputFunctions.Utility_DisplayArrayInTable(Fertiliser_SourceData.Fertiliser_Products_Data1(),FertiliserProducts[[#Headers],[Include or Exclude]], 0,4)</f>
        <v/>
      </c>
      <c r="S117" s="117" t="str" cm="1">
        <f t="array" ref="S117">Common_InputFunctions.Utility_DisplayArrayInTable(Fertiliser_SourceData.Fertiliser_Products_Data1(),FertiliserProducts[[#Headers],[Include or Exclude]], 0,4)</f>
        <v/>
      </c>
      <c r="T117" s="117" t="str" cm="1">
        <f t="array" ref="T117">Common_InputFunctions.Utility_DisplayArrayInTable(Fertiliser_SourceData.Fertiliser_Products_Data1(),FertiliserProducts[[#Headers],[Include or Exclude]], 0,4)</f>
        <v/>
      </c>
      <c r="U117" s="117" t="str" cm="1">
        <f t="array" ref="U117">Common_InputFunctions.Utility_DisplayArrayInTable(Fertiliser_SourceData.Fertiliser_Products_Data1(),FertiliserProducts[[#Headers],[Include or Exclude]], 0,4)</f>
        <v/>
      </c>
      <c r="V117" s="117" t="str" cm="1">
        <f t="array" ref="V117">Common_InputFunctions.Utility_DisplayArrayInTable(Fertiliser_SourceData.Fertiliser_Products_Data1(),FertiliserProducts[[#Headers],[Include or Exclude]], 0,4)</f>
        <v/>
      </c>
      <c r="W117" s="117" t="str" cm="1">
        <f t="array" ref="W117">Common_InputFunctions.Utility_DisplayArrayInTable(Fertiliser_SourceData.Fertiliser_Products_Data1(),FertiliserProducts[[#Headers],[Include or Exclude]], 0,4)</f>
        <v/>
      </c>
      <c r="X117" s="117" t="str" cm="1">
        <f t="array" ref="X117">Common_InputFunctions.Utility_DisplayArrayInTable(Fertiliser_SourceData.Fertiliser_Products_Data1(),FertiliserProducts[[#Headers],[Include or Exclude]], 0,4)</f>
        <v/>
      </c>
      <c r="Y117" s="117" t="str" cm="1">
        <f t="array" ref="Y117">Common_InputFunctions.Utility_DisplayArrayInTable(Fertiliser_SourceData.Fertiliser_Products_Data1(),FertiliserProducts[[#Headers],[Include or Exclude]], 0,4)</f>
        <v/>
      </c>
      <c r="Z117" s="117" t="str" cm="1">
        <f t="array" ref="Z117">Common_InputFunctions.Utility_DisplayArrayInTable(Fertiliser_SourceData.Fertiliser_Products_Data1(),FertiliserProducts[[#Headers],[Include or Exclude]], 0,4)</f>
        <v/>
      </c>
      <c r="AA117" s="117" t="str" cm="1">
        <f t="array" ref="AA117">Common_InputFunctions.Utility_DisplayArrayInTable(Fertiliser_SourceData.Fertiliser_Products_Data1(),FertiliserProducts[[#Headers],[Include or Exclude]], 0,4)</f>
        <v/>
      </c>
      <c r="AB117" s="117" t="str" cm="1">
        <f t="array" ref="AB117">Common_InputFunctions.Utility_DisplayArrayInTable(Fertiliser_SourceData.Fertiliser_Products_Data1(),FertiliserProducts[[#Headers],[Include or Exclude]], 0,4)</f>
        <v/>
      </c>
      <c r="AC117" s="117" t="str" cm="1">
        <f t="array" ref="AC117">Common_InputFunctions.Utility_DisplayArrayInTable(Fertiliser_SourceData.Fertiliser_Products_Data1(),FertiliserProducts[[#Headers],[Include or Exclude]], 0,4)</f>
        <v/>
      </c>
      <c r="AD117" s="117" t="str" cm="1">
        <f t="array" ref="AD117">Common_InputFunctions.Utility_DisplayArrayInTable(Fertiliser_SourceData.Fertiliser_Products_Data1(),FertiliserProducts[[#Headers],[Include or Exclude]], 0,4)</f>
        <v/>
      </c>
      <c r="AE117" s="117" t="str" cm="1">
        <f t="array" ref="AE117">Common_InputFunctions.Utility_DisplayArrayInTable(Fertiliser_SourceData.Fertiliser_Products_Data1(),FertiliserProducts[[#Headers],[Include or Exclude]], 0,4)</f>
        <v/>
      </c>
    </row>
    <row r="118" spans="1:31" ht="20.100000000000001" customHeight="1" x14ac:dyDescent="0.25">
      <c r="A118"/>
      <c r="D118" s="117" t="str" cm="1">
        <f t="array" ref="D118">Common_InputFunctions.Utility_DisplayArrayInTable(Fertiliser_SourceData.Fertiliser_Products_Data1(),FertiliserProducts[[#Headers],[Include or Exclude]], -1)</f>
        <v/>
      </c>
      <c r="E118" s="117" t="str" cm="1">
        <f t="array" ref="E118">Common_InputFunctions.Utility_DisplayArrayInTable(Fertiliser_SourceData.Fertiliser_Products_Data1(),FertiliserProducts[[#Headers],[Include or Exclude]], 0)</f>
        <v/>
      </c>
      <c r="F118" s="117" t="str" cm="1">
        <f t="array" ref="F118">Common_InputFunctions.Utility_DisplayArrayInTable(Fertiliser_SourceData.Fertiliser_Products_Data1(),FertiliserProducts[[#Headers],[Include or Exclude]], 0)</f>
        <v/>
      </c>
      <c r="G118" s="117" t="str" cm="1">
        <f t="array" ref="G118">Common_InputFunctions.Utility_DisplayArrayInTable(Fertiliser_SourceData.Fertiliser_Products_Data1(),FertiliserProducts[[#Headers],[Include or Exclude]], 0)</f>
        <v/>
      </c>
      <c r="H118" s="117" t="str" cm="1">
        <f t="array" ref="H118">Common_InputFunctions.Utility_DisplayArrayInTable(Fertiliser_SourceData.Fertiliser_Products_Data1(),FertiliserProducts[[#Headers],[Include or Exclude]], 0,4)</f>
        <v/>
      </c>
      <c r="I118" s="117" t="str" cm="1">
        <f t="array" ref="I118">Common_InputFunctions.Utility_DisplayArrayInTable(Fertiliser_SourceData.Fertiliser_Products_Data1(),FertiliserProducts[[#Headers],[Include or Exclude]], 0,4)</f>
        <v/>
      </c>
      <c r="J118" s="117" t="str" cm="1">
        <f t="array" ref="J118">Common_InputFunctions.Utility_DisplayArrayInTable(Fertiliser_SourceData.Fertiliser_Products_Data1(),FertiliserProducts[[#Headers],[Include or Exclude]], 0,4)</f>
        <v/>
      </c>
      <c r="K118" s="117" t="str" cm="1">
        <f t="array" ref="K118">Common_InputFunctions.Utility_DisplayArrayInTable(Fertiliser_SourceData.Fertiliser_Products_Data1(),FertiliserProducts[[#Headers],[Include or Exclude]], 0,4)</f>
        <v/>
      </c>
      <c r="L118" s="117" t="str" cm="1">
        <f t="array" ref="L118">Common_InputFunctions.Utility_DisplayArrayInTable(Fertiliser_SourceData.Fertiliser_Products_Data1(),FertiliserProducts[[#Headers],[Include or Exclude]], 0,4)</f>
        <v/>
      </c>
      <c r="M118" s="117" t="str" cm="1">
        <f t="array" ref="M118">Common_InputFunctions.Utility_DisplayArrayInTable(Fertiliser_SourceData.Fertiliser_Products_Data1(),FertiliserProducts[[#Headers],[Include or Exclude]], 0,4)</f>
        <v/>
      </c>
      <c r="N118" s="117" t="str" cm="1">
        <f t="array" ref="N118">Common_InputFunctions.Utility_DisplayArrayInTable(Fertiliser_SourceData.Fertiliser_Products_Data1(),FertiliserProducts[[#Headers],[Include or Exclude]], 0,4)</f>
        <v/>
      </c>
      <c r="O118" s="117" t="str" cm="1">
        <f t="array" ref="O118">Common_InputFunctions.Utility_DisplayArrayInTable(Fertiliser_SourceData.Fertiliser_Products_Data1(),FertiliserProducts[[#Headers],[Include or Exclude]], 0,4)</f>
        <v/>
      </c>
      <c r="P118" s="117" t="str" cm="1">
        <f t="array" ref="P118">Common_InputFunctions.Utility_DisplayArrayInTable(Fertiliser_SourceData.Fertiliser_Products_Data1(),FertiliserProducts[[#Headers],[Include or Exclude]], 0,4)</f>
        <v/>
      </c>
      <c r="Q118" s="117" t="str" cm="1">
        <f t="array" ref="Q118">Common_InputFunctions.Utility_DisplayArrayInTable(Fertiliser_SourceData.Fertiliser_Products_Data1(),FertiliserProducts[[#Headers],[Include or Exclude]], 0,4)</f>
        <v/>
      </c>
      <c r="R118" s="117" t="str" cm="1">
        <f t="array" ref="R118">Common_InputFunctions.Utility_DisplayArrayInTable(Fertiliser_SourceData.Fertiliser_Products_Data1(),FertiliserProducts[[#Headers],[Include or Exclude]], 0,4)</f>
        <v/>
      </c>
      <c r="S118" s="117" t="str" cm="1">
        <f t="array" ref="S118">Common_InputFunctions.Utility_DisplayArrayInTable(Fertiliser_SourceData.Fertiliser_Products_Data1(),FertiliserProducts[[#Headers],[Include or Exclude]], 0,4)</f>
        <v/>
      </c>
      <c r="T118" s="117" t="str" cm="1">
        <f t="array" ref="T118">Common_InputFunctions.Utility_DisplayArrayInTable(Fertiliser_SourceData.Fertiliser_Products_Data1(),FertiliserProducts[[#Headers],[Include or Exclude]], 0,4)</f>
        <v/>
      </c>
      <c r="U118" s="117" t="str" cm="1">
        <f t="array" ref="U118">Common_InputFunctions.Utility_DisplayArrayInTable(Fertiliser_SourceData.Fertiliser_Products_Data1(),FertiliserProducts[[#Headers],[Include or Exclude]], 0,4)</f>
        <v/>
      </c>
      <c r="V118" s="117" t="str" cm="1">
        <f t="array" ref="V118">Common_InputFunctions.Utility_DisplayArrayInTable(Fertiliser_SourceData.Fertiliser_Products_Data1(),FertiliserProducts[[#Headers],[Include or Exclude]], 0,4)</f>
        <v/>
      </c>
      <c r="W118" s="117" t="str" cm="1">
        <f t="array" ref="W118">Common_InputFunctions.Utility_DisplayArrayInTable(Fertiliser_SourceData.Fertiliser_Products_Data1(),FertiliserProducts[[#Headers],[Include or Exclude]], 0,4)</f>
        <v/>
      </c>
      <c r="X118" s="117" t="str" cm="1">
        <f t="array" ref="X118">Common_InputFunctions.Utility_DisplayArrayInTable(Fertiliser_SourceData.Fertiliser_Products_Data1(),FertiliserProducts[[#Headers],[Include or Exclude]], 0,4)</f>
        <v/>
      </c>
      <c r="Y118" s="117" t="str" cm="1">
        <f t="array" ref="Y118">Common_InputFunctions.Utility_DisplayArrayInTable(Fertiliser_SourceData.Fertiliser_Products_Data1(),FertiliserProducts[[#Headers],[Include or Exclude]], 0,4)</f>
        <v/>
      </c>
      <c r="Z118" s="117" t="str" cm="1">
        <f t="array" ref="Z118">Common_InputFunctions.Utility_DisplayArrayInTable(Fertiliser_SourceData.Fertiliser_Products_Data1(),FertiliserProducts[[#Headers],[Include or Exclude]], 0,4)</f>
        <v/>
      </c>
      <c r="AA118" s="117" t="str" cm="1">
        <f t="array" ref="AA118">Common_InputFunctions.Utility_DisplayArrayInTable(Fertiliser_SourceData.Fertiliser_Products_Data1(),FertiliserProducts[[#Headers],[Include or Exclude]], 0,4)</f>
        <v/>
      </c>
      <c r="AB118" s="117" t="str" cm="1">
        <f t="array" ref="AB118">Common_InputFunctions.Utility_DisplayArrayInTable(Fertiliser_SourceData.Fertiliser_Products_Data1(),FertiliserProducts[[#Headers],[Include or Exclude]], 0,4)</f>
        <v/>
      </c>
      <c r="AC118" s="117" t="str" cm="1">
        <f t="array" ref="AC118">Common_InputFunctions.Utility_DisplayArrayInTable(Fertiliser_SourceData.Fertiliser_Products_Data1(),FertiliserProducts[[#Headers],[Include or Exclude]], 0,4)</f>
        <v/>
      </c>
      <c r="AD118" s="117" t="str" cm="1">
        <f t="array" ref="AD118">Common_InputFunctions.Utility_DisplayArrayInTable(Fertiliser_SourceData.Fertiliser_Products_Data1(),FertiliserProducts[[#Headers],[Include or Exclude]], 0,4)</f>
        <v/>
      </c>
      <c r="AE118" s="117" t="str" cm="1">
        <f t="array" ref="AE118">Common_InputFunctions.Utility_DisplayArrayInTable(Fertiliser_SourceData.Fertiliser_Products_Data1(),FertiliserProducts[[#Headers],[Include or Exclude]], 0,4)</f>
        <v/>
      </c>
    </row>
    <row r="119" spans="1:31" ht="20.100000000000001" customHeight="1" x14ac:dyDescent="0.25">
      <c r="A119"/>
      <c r="D119" s="117" t="str" cm="1">
        <f t="array" ref="D119">Common_InputFunctions.Utility_DisplayArrayInTable(Fertiliser_SourceData.Fertiliser_Products_Data1(),FertiliserProducts[[#Headers],[Include or Exclude]], -1)</f>
        <v/>
      </c>
      <c r="E119" s="117" t="str" cm="1">
        <f t="array" ref="E119">Common_InputFunctions.Utility_DisplayArrayInTable(Fertiliser_SourceData.Fertiliser_Products_Data1(),FertiliserProducts[[#Headers],[Include or Exclude]], 0)</f>
        <v/>
      </c>
      <c r="F119" s="117" t="str" cm="1">
        <f t="array" ref="F119">Common_InputFunctions.Utility_DisplayArrayInTable(Fertiliser_SourceData.Fertiliser_Products_Data1(),FertiliserProducts[[#Headers],[Include or Exclude]], 0)</f>
        <v/>
      </c>
      <c r="G119" s="117" t="str" cm="1">
        <f t="array" ref="G119">Common_InputFunctions.Utility_DisplayArrayInTable(Fertiliser_SourceData.Fertiliser_Products_Data1(),FertiliserProducts[[#Headers],[Include or Exclude]], 0)</f>
        <v/>
      </c>
      <c r="H119" s="117" t="str" cm="1">
        <f t="array" ref="H119">Common_InputFunctions.Utility_DisplayArrayInTable(Fertiliser_SourceData.Fertiliser_Products_Data1(),FertiliserProducts[[#Headers],[Include or Exclude]], 0,4)</f>
        <v/>
      </c>
      <c r="I119" s="117" t="str" cm="1">
        <f t="array" ref="I119">Common_InputFunctions.Utility_DisplayArrayInTable(Fertiliser_SourceData.Fertiliser_Products_Data1(),FertiliserProducts[[#Headers],[Include or Exclude]], 0,4)</f>
        <v/>
      </c>
      <c r="J119" s="117" t="str" cm="1">
        <f t="array" ref="J119">Common_InputFunctions.Utility_DisplayArrayInTable(Fertiliser_SourceData.Fertiliser_Products_Data1(),FertiliserProducts[[#Headers],[Include or Exclude]], 0,4)</f>
        <v/>
      </c>
      <c r="K119" s="117" t="str" cm="1">
        <f t="array" ref="K119">Common_InputFunctions.Utility_DisplayArrayInTable(Fertiliser_SourceData.Fertiliser_Products_Data1(),FertiliserProducts[[#Headers],[Include or Exclude]], 0,4)</f>
        <v/>
      </c>
      <c r="L119" s="117" t="str" cm="1">
        <f t="array" ref="L119">Common_InputFunctions.Utility_DisplayArrayInTable(Fertiliser_SourceData.Fertiliser_Products_Data1(),FertiliserProducts[[#Headers],[Include or Exclude]], 0,4)</f>
        <v/>
      </c>
      <c r="M119" s="117" t="str" cm="1">
        <f t="array" ref="M119">Common_InputFunctions.Utility_DisplayArrayInTable(Fertiliser_SourceData.Fertiliser_Products_Data1(),FertiliserProducts[[#Headers],[Include or Exclude]], 0,4)</f>
        <v/>
      </c>
      <c r="N119" s="117" t="str" cm="1">
        <f t="array" ref="N119">Common_InputFunctions.Utility_DisplayArrayInTable(Fertiliser_SourceData.Fertiliser_Products_Data1(),FertiliserProducts[[#Headers],[Include or Exclude]], 0,4)</f>
        <v/>
      </c>
      <c r="O119" s="117" t="str" cm="1">
        <f t="array" ref="O119">Common_InputFunctions.Utility_DisplayArrayInTable(Fertiliser_SourceData.Fertiliser_Products_Data1(),FertiliserProducts[[#Headers],[Include or Exclude]], 0,4)</f>
        <v/>
      </c>
      <c r="P119" s="117" t="str" cm="1">
        <f t="array" ref="P119">Common_InputFunctions.Utility_DisplayArrayInTable(Fertiliser_SourceData.Fertiliser_Products_Data1(),FertiliserProducts[[#Headers],[Include or Exclude]], 0,4)</f>
        <v/>
      </c>
      <c r="Q119" s="117" t="str" cm="1">
        <f t="array" ref="Q119">Common_InputFunctions.Utility_DisplayArrayInTable(Fertiliser_SourceData.Fertiliser_Products_Data1(),FertiliserProducts[[#Headers],[Include or Exclude]], 0,4)</f>
        <v/>
      </c>
      <c r="R119" s="117" t="str" cm="1">
        <f t="array" ref="R119">Common_InputFunctions.Utility_DisplayArrayInTable(Fertiliser_SourceData.Fertiliser_Products_Data1(),FertiliserProducts[[#Headers],[Include or Exclude]], 0,4)</f>
        <v/>
      </c>
      <c r="S119" s="117" t="str" cm="1">
        <f t="array" ref="S119">Common_InputFunctions.Utility_DisplayArrayInTable(Fertiliser_SourceData.Fertiliser_Products_Data1(),FertiliserProducts[[#Headers],[Include or Exclude]], 0,4)</f>
        <v/>
      </c>
      <c r="T119" s="117" t="str" cm="1">
        <f t="array" ref="T119">Common_InputFunctions.Utility_DisplayArrayInTable(Fertiliser_SourceData.Fertiliser_Products_Data1(),FertiliserProducts[[#Headers],[Include or Exclude]], 0,4)</f>
        <v/>
      </c>
      <c r="U119" s="117" t="str" cm="1">
        <f t="array" ref="U119">Common_InputFunctions.Utility_DisplayArrayInTable(Fertiliser_SourceData.Fertiliser_Products_Data1(),FertiliserProducts[[#Headers],[Include or Exclude]], 0,4)</f>
        <v/>
      </c>
      <c r="V119" s="117" t="str" cm="1">
        <f t="array" ref="V119">Common_InputFunctions.Utility_DisplayArrayInTable(Fertiliser_SourceData.Fertiliser_Products_Data1(),FertiliserProducts[[#Headers],[Include or Exclude]], 0,4)</f>
        <v/>
      </c>
      <c r="W119" s="117" t="str" cm="1">
        <f t="array" ref="W119">Common_InputFunctions.Utility_DisplayArrayInTable(Fertiliser_SourceData.Fertiliser_Products_Data1(),FertiliserProducts[[#Headers],[Include or Exclude]], 0,4)</f>
        <v/>
      </c>
      <c r="X119" s="117" t="str" cm="1">
        <f t="array" ref="X119">Common_InputFunctions.Utility_DisplayArrayInTable(Fertiliser_SourceData.Fertiliser_Products_Data1(),FertiliserProducts[[#Headers],[Include or Exclude]], 0,4)</f>
        <v/>
      </c>
      <c r="Y119" s="117" t="str" cm="1">
        <f t="array" ref="Y119">Common_InputFunctions.Utility_DisplayArrayInTable(Fertiliser_SourceData.Fertiliser_Products_Data1(),FertiliserProducts[[#Headers],[Include or Exclude]], 0,4)</f>
        <v/>
      </c>
      <c r="Z119" s="117" t="str" cm="1">
        <f t="array" ref="Z119">Common_InputFunctions.Utility_DisplayArrayInTable(Fertiliser_SourceData.Fertiliser_Products_Data1(),FertiliserProducts[[#Headers],[Include or Exclude]], 0,4)</f>
        <v/>
      </c>
      <c r="AA119" s="117" t="str" cm="1">
        <f t="array" ref="AA119">Common_InputFunctions.Utility_DisplayArrayInTable(Fertiliser_SourceData.Fertiliser_Products_Data1(),FertiliserProducts[[#Headers],[Include or Exclude]], 0,4)</f>
        <v/>
      </c>
      <c r="AB119" s="117" t="str" cm="1">
        <f t="array" ref="AB119">Common_InputFunctions.Utility_DisplayArrayInTable(Fertiliser_SourceData.Fertiliser_Products_Data1(),FertiliserProducts[[#Headers],[Include or Exclude]], 0,4)</f>
        <v/>
      </c>
      <c r="AC119" s="117" t="str" cm="1">
        <f t="array" ref="AC119">Common_InputFunctions.Utility_DisplayArrayInTable(Fertiliser_SourceData.Fertiliser_Products_Data1(),FertiliserProducts[[#Headers],[Include or Exclude]], 0,4)</f>
        <v/>
      </c>
      <c r="AD119" s="117" t="str" cm="1">
        <f t="array" ref="AD119">Common_InputFunctions.Utility_DisplayArrayInTable(Fertiliser_SourceData.Fertiliser_Products_Data1(),FertiliserProducts[[#Headers],[Include or Exclude]], 0,4)</f>
        <v/>
      </c>
      <c r="AE119" s="117" t="str" cm="1">
        <f t="array" ref="AE119">Common_InputFunctions.Utility_DisplayArrayInTable(Fertiliser_SourceData.Fertiliser_Products_Data1(),FertiliserProducts[[#Headers],[Include or Exclude]], 0,4)</f>
        <v/>
      </c>
    </row>
    <row r="120" spans="1:31" ht="20.100000000000001" customHeight="1" x14ac:dyDescent="0.25">
      <c r="A120"/>
      <c r="D120" s="117" t="str" cm="1">
        <f t="array" ref="D120">Common_InputFunctions.Utility_DisplayArrayInTable(Fertiliser_SourceData.Fertiliser_Products_Data1(),FertiliserProducts[[#Headers],[Include or Exclude]], -1)</f>
        <v/>
      </c>
      <c r="E120" s="117" t="str" cm="1">
        <f t="array" ref="E120">Common_InputFunctions.Utility_DisplayArrayInTable(Fertiliser_SourceData.Fertiliser_Products_Data1(),FertiliserProducts[[#Headers],[Include or Exclude]], 0)</f>
        <v/>
      </c>
      <c r="F120" s="117" t="str" cm="1">
        <f t="array" ref="F120">Common_InputFunctions.Utility_DisplayArrayInTable(Fertiliser_SourceData.Fertiliser_Products_Data1(),FertiliserProducts[[#Headers],[Include or Exclude]], 0)</f>
        <v/>
      </c>
      <c r="G120" s="117" t="str" cm="1">
        <f t="array" ref="G120">Common_InputFunctions.Utility_DisplayArrayInTable(Fertiliser_SourceData.Fertiliser_Products_Data1(),FertiliserProducts[[#Headers],[Include or Exclude]], 0)</f>
        <v/>
      </c>
      <c r="H120" s="117" t="str" cm="1">
        <f t="array" ref="H120">Common_InputFunctions.Utility_DisplayArrayInTable(Fertiliser_SourceData.Fertiliser_Products_Data1(),FertiliserProducts[[#Headers],[Include or Exclude]], 0,4)</f>
        <v/>
      </c>
      <c r="I120" s="117" t="str" cm="1">
        <f t="array" ref="I120">Common_InputFunctions.Utility_DisplayArrayInTable(Fertiliser_SourceData.Fertiliser_Products_Data1(),FertiliserProducts[[#Headers],[Include or Exclude]], 0,4)</f>
        <v/>
      </c>
      <c r="J120" s="117" t="str" cm="1">
        <f t="array" ref="J120">Common_InputFunctions.Utility_DisplayArrayInTable(Fertiliser_SourceData.Fertiliser_Products_Data1(),FertiliserProducts[[#Headers],[Include or Exclude]], 0,4)</f>
        <v/>
      </c>
      <c r="K120" s="117" t="str" cm="1">
        <f t="array" ref="K120">Common_InputFunctions.Utility_DisplayArrayInTable(Fertiliser_SourceData.Fertiliser_Products_Data1(),FertiliserProducts[[#Headers],[Include or Exclude]], 0,4)</f>
        <v/>
      </c>
      <c r="L120" s="117" t="str" cm="1">
        <f t="array" ref="L120">Common_InputFunctions.Utility_DisplayArrayInTable(Fertiliser_SourceData.Fertiliser_Products_Data1(),FertiliserProducts[[#Headers],[Include or Exclude]], 0,4)</f>
        <v/>
      </c>
      <c r="M120" s="117" t="str" cm="1">
        <f t="array" ref="M120">Common_InputFunctions.Utility_DisplayArrayInTable(Fertiliser_SourceData.Fertiliser_Products_Data1(),FertiliserProducts[[#Headers],[Include or Exclude]], 0,4)</f>
        <v/>
      </c>
      <c r="N120" s="117" t="str" cm="1">
        <f t="array" ref="N120">Common_InputFunctions.Utility_DisplayArrayInTable(Fertiliser_SourceData.Fertiliser_Products_Data1(),FertiliserProducts[[#Headers],[Include or Exclude]], 0,4)</f>
        <v/>
      </c>
      <c r="O120" s="117" t="str" cm="1">
        <f t="array" ref="O120">Common_InputFunctions.Utility_DisplayArrayInTable(Fertiliser_SourceData.Fertiliser_Products_Data1(),FertiliserProducts[[#Headers],[Include or Exclude]], 0,4)</f>
        <v/>
      </c>
      <c r="P120" s="117" t="str" cm="1">
        <f t="array" ref="P120">Common_InputFunctions.Utility_DisplayArrayInTable(Fertiliser_SourceData.Fertiliser_Products_Data1(),FertiliserProducts[[#Headers],[Include or Exclude]], 0,4)</f>
        <v/>
      </c>
      <c r="Q120" s="117" t="str" cm="1">
        <f t="array" ref="Q120">Common_InputFunctions.Utility_DisplayArrayInTable(Fertiliser_SourceData.Fertiliser_Products_Data1(),FertiliserProducts[[#Headers],[Include or Exclude]], 0,4)</f>
        <v/>
      </c>
      <c r="R120" s="117" t="str" cm="1">
        <f t="array" ref="R120">Common_InputFunctions.Utility_DisplayArrayInTable(Fertiliser_SourceData.Fertiliser_Products_Data1(),FertiliserProducts[[#Headers],[Include or Exclude]], 0,4)</f>
        <v/>
      </c>
      <c r="S120" s="117" t="str" cm="1">
        <f t="array" ref="S120">Common_InputFunctions.Utility_DisplayArrayInTable(Fertiliser_SourceData.Fertiliser_Products_Data1(),FertiliserProducts[[#Headers],[Include or Exclude]], 0,4)</f>
        <v/>
      </c>
      <c r="T120" s="117" t="str" cm="1">
        <f t="array" ref="T120">Common_InputFunctions.Utility_DisplayArrayInTable(Fertiliser_SourceData.Fertiliser_Products_Data1(),FertiliserProducts[[#Headers],[Include or Exclude]], 0,4)</f>
        <v/>
      </c>
      <c r="U120" s="117" t="str" cm="1">
        <f t="array" ref="U120">Common_InputFunctions.Utility_DisplayArrayInTable(Fertiliser_SourceData.Fertiliser_Products_Data1(),FertiliserProducts[[#Headers],[Include or Exclude]], 0,4)</f>
        <v/>
      </c>
      <c r="V120" s="117" t="str" cm="1">
        <f t="array" ref="V120">Common_InputFunctions.Utility_DisplayArrayInTable(Fertiliser_SourceData.Fertiliser_Products_Data1(),FertiliserProducts[[#Headers],[Include or Exclude]], 0,4)</f>
        <v/>
      </c>
      <c r="W120" s="117" t="str" cm="1">
        <f t="array" ref="W120">Common_InputFunctions.Utility_DisplayArrayInTable(Fertiliser_SourceData.Fertiliser_Products_Data1(),FertiliserProducts[[#Headers],[Include or Exclude]], 0,4)</f>
        <v/>
      </c>
      <c r="X120" s="117" t="str" cm="1">
        <f t="array" ref="X120">Common_InputFunctions.Utility_DisplayArrayInTable(Fertiliser_SourceData.Fertiliser_Products_Data1(),FertiliserProducts[[#Headers],[Include or Exclude]], 0,4)</f>
        <v/>
      </c>
      <c r="Y120" s="117" t="str" cm="1">
        <f t="array" ref="Y120">Common_InputFunctions.Utility_DisplayArrayInTable(Fertiliser_SourceData.Fertiliser_Products_Data1(),FertiliserProducts[[#Headers],[Include or Exclude]], 0,4)</f>
        <v/>
      </c>
      <c r="Z120" s="117" t="str" cm="1">
        <f t="array" ref="Z120">Common_InputFunctions.Utility_DisplayArrayInTable(Fertiliser_SourceData.Fertiliser_Products_Data1(),FertiliserProducts[[#Headers],[Include or Exclude]], 0,4)</f>
        <v/>
      </c>
      <c r="AA120" s="117" t="str" cm="1">
        <f t="array" ref="AA120">Common_InputFunctions.Utility_DisplayArrayInTable(Fertiliser_SourceData.Fertiliser_Products_Data1(),FertiliserProducts[[#Headers],[Include or Exclude]], 0,4)</f>
        <v/>
      </c>
      <c r="AB120" s="117" t="str" cm="1">
        <f t="array" ref="AB120">Common_InputFunctions.Utility_DisplayArrayInTable(Fertiliser_SourceData.Fertiliser_Products_Data1(),FertiliserProducts[[#Headers],[Include or Exclude]], 0,4)</f>
        <v/>
      </c>
      <c r="AC120" s="117" t="str" cm="1">
        <f t="array" ref="AC120">Common_InputFunctions.Utility_DisplayArrayInTable(Fertiliser_SourceData.Fertiliser_Products_Data1(),FertiliserProducts[[#Headers],[Include or Exclude]], 0,4)</f>
        <v/>
      </c>
      <c r="AD120" s="117" t="str" cm="1">
        <f t="array" ref="AD120">Common_InputFunctions.Utility_DisplayArrayInTable(Fertiliser_SourceData.Fertiliser_Products_Data1(),FertiliserProducts[[#Headers],[Include or Exclude]], 0,4)</f>
        <v/>
      </c>
      <c r="AE120" s="117" t="str" cm="1">
        <f t="array" ref="AE120">Common_InputFunctions.Utility_DisplayArrayInTable(Fertiliser_SourceData.Fertiliser_Products_Data1(),FertiliserProducts[[#Headers],[Include or Exclude]], 0,4)</f>
        <v/>
      </c>
    </row>
    <row r="121" spans="1:31" ht="20.100000000000001" customHeight="1" x14ac:dyDescent="0.25">
      <c r="A121"/>
      <c r="D121" s="117" t="str" cm="1">
        <f t="array" ref="D121">Common_InputFunctions.Utility_DisplayArrayInTable(Fertiliser_SourceData.Fertiliser_Products_Data1(),FertiliserProducts[[#Headers],[Include or Exclude]], -1)</f>
        <v/>
      </c>
      <c r="E121" s="117" t="str" cm="1">
        <f t="array" ref="E121">Common_InputFunctions.Utility_DisplayArrayInTable(Fertiliser_SourceData.Fertiliser_Products_Data1(),FertiliserProducts[[#Headers],[Include or Exclude]], 0)</f>
        <v/>
      </c>
      <c r="F121" s="117" t="str" cm="1">
        <f t="array" ref="F121">Common_InputFunctions.Utility_DisplayArrayInTable(Fertiliser_SourceData.Fertiliser_Products_Data1(),FertiliserProducts[[#Headers],[Include or Exclude]], 0)</f>
        <v/>
      </c>
      <c r="G121" s="117" t="str" cm="1">
        <f t="array" ref="G121">Common_InputFunctions.Utility_DisplayArrayInTable(Fertiliser_SourceData.Fertiliser_Products_Data1(),FertiliserProducts[[#Headers],[Include or Exclude]], 0)</f>
        <v/>
      </c>
      <c r="H121" s="117" t="str" cm="1">
        <f t="array" ref="H121">Common_InputFunctions.Utility_DisplayArrayInTable(Fertiliser_SourceData.Fertiliser_Products_Data1(),FertiliserProducts[[#Headers],[Include or Exclude]], 0,4)</f>
        <v/>
      </c>
      <c r="I121" s="117" t="str" cm="1">
        <f t="array" ref="I121">Common_InputFunctions.Utility_DisplayArrayInTable(Fertiliser_SourceData.Fertiliser_Products_Data1(),FertiliserProducts[[#Headers],[Include or Exclude]], 0,4)</f>
        <v/>
      </c>
      <c r="J121" s="117" t="str" cm="1">
        <f t="array" ref="J121">Common_InputFunctions.Utility_DisplayArrayInTable(Fertiliser_SourceData.Fertiliser_Products_Data1(),FertiliserProducts[[#Headers],[Include or Exclude]], 0,4)</f>
        <v/>
      </c>
      <c r="K121" s="117" t="str" cm="1">
        <f t="array" ref="K121">Common_InputFunctions.Utility_DisplayArrayInTable(Fertiliser_SourceData.Fertiliser_Products_Data1(),FertiliserProducts[[#Headers],[Include or Exclude]], 0,4)</f>
        <v/>
      </c>
      <c r="L121" s="117" t="str" cm="1">
        <f t="array" ref="L121">Common_InputFunctions.Utility_DisplayArrayInTable(Fertiliser_SourceData.Fertiliser_Products_Data1(),FertiliserProducts[[#Headers],[Include or Exclude]], 0,4)</f>
        <v/>
      </c>
      <c r="M121" s="117" t="str" cm="1">
        <f t="array" ref="M121">Common_InputFunctions.Utility_DisplayArrayInTable(Fertiliser_SourceData.Fertiliser_Products_Data1(),FertiliserProducts[[#Headers],[Include or Exclude]], 0,4)</f>
        <v/>
      </c>
      <c r="N121" s="117" t="str" cm="1">
        <f t="array" ref="N121">Common_InputFunctions.Utility_DisplayArrayInTable(Fertiliser_SourceData.Fertiliser_Products_Data1(),FertiliserProducts[[#Headers],[Include or Exclude]], 0,4)</f>
        <v/>
      </c>
      <c r="O121" s="117" t="str" cm="1">
        <f t="array" ref="O121">Common_InputFunctions.Utility_DisplayArrayInTable(Fertiliser_SourceData.Fertiliser_Products_Data1(),FertiliserProducts[[#Headers],[Include or Exclude]], 0,4)</f>
        <v/>
      </c>
      <c r="P121" s="117" t="str" cm="1">
        <f t="array" ref="P121">Common_InputFunctions.Utility_DisplayArrayInTable(Fertiliser_SourceData.Fertiliser_Products_Data1(),FertiliserProducts[[#Headers],[Include or Exclude]], 0,4)</f>
        <v/>
      </c>
      <c r="Q121" s="117" t="str" cm="1">
        <f t="array" ref="Q121">Common_InputFunctions.Utility_DisplayArrayInTable(Fertiliser_SourceData.Fertiliser_Products_Data1(),FertiliserProducts[[#Headers],[Include or Exclude]], 0,4)</f>
        <v/>
      </c>
      <c r="R121" s="117" t="str" cm="1">
        <f t="array" ref="R121">Common_InputFunctions.Utility_DisplayArrayInTable(Fertiliser_SourceData.Fertiliser_Products_Data1(),FertiliserProducts[[#Headers],[Include or Exclude]], 0,4)</f>
        <v/>
      </c>
      <c r="S121" s="117" t="str" cm="1">
        <f t="array" ref="S121">Common_InputFunctions.Utility_DisplayArrayInTable(Fertiliser_SourceData.Fertiliser_Products_Data1(),FertiliserProducts[[#Headers],[Include or Exclude]], 0,4)</f>
        <v/>
      </c>
      <c r="T121" s="117" t="str" cm="1">
        <f t="array" ref="T121">Common_InputFunctions.Utility_DisplayArrayInTable(Fertiliser_SourceData.Fertiliser_Products_Data1(),FertiliserProducts[[#Headers],[Include or Exclude]], 0,4)</f>
        <v/>
      </c>
      <c r="U121" s="117" t="str" cm="1">
        <f t="array" ref="U121">Common_InputFunctions.Utility_DisplayArrayInTable(Fertiliser_SourceData.Fertiliser_Products_Data1(),FertiliserProducts[[#Headers],[Include or Exclude]], 0,4)</f>
        <v/>
      </c>
      <c r="V121" s="117" t="str" cm="1">
        <f t="array" ref="V121">Common_InputFunctions.Utility_DisplayArrayInTable(Fertiliser_SourceData.Fertiliser_Products_Data1(),FertiliserProducts[[#Headers],[Include or Exclude]], 0,4)</f>
        <v/>
      </c>
      <c r="W121" s="117" t="str" cm="1">
        <f t="array" ref="W121">Common_InputFunctions.Utility_DisplayArrayInTable(Fertiliser_SourceData.Fertiliser_Products_Data1(),FertiliserProducts[[#Headers],[Include or Exclude]], 0,4)</f>
        <v/>
      </c>
      <c r="X121" s="117" t="str" cm="1">
        <f t="array" ref="X121">Common_InputFunctions.Utility_DisplayArrayInTable(Fertiliser_SourceData.Fertiliser_Products_Data1(),FertiliserProducts[[#Headers],[Include or Exclude]], 0,4)</f>
        <v/>
      </c>
      <c r="Y121" s="117" t="str" cm="1">
        <f t="array" ref="Y121">Common_InputFunctions.Utility_DisplayArrayInTable(Fertiliser_SourceData.Fertiliser_Products_Data1(),FertiliserProducts[[#Headers],[Include or Exclude]], 0,4)</f>
        <v/>
      </c>
      <c r="Z121" s="117" t="str" cm="1">
        <f t="array" ref="Z121">Common_InputFunctions.Utility_DisplayArrayInTable(Fertiliser_SourceData.Fertiliser_Products_Data1(),FertiliserProducts[[#Headers],[Include or Exclude]], 0,4)</f>
        <v/>
      </c>
      <c r="AA121" s="117" t="str" cm="1">
        <f t="array" ref="AA121">Common_InputFunctions.Utility_DisplayArrayInTable(Fertiliser_SourceData.Fertiliser_Products_Data1(),FertiliserProducts[[#Headers],[Include or Exclude]], 0,4)</f>
        <v/>
      </c>
      <c r="AB121" s="117" t="str" cm="1">
        <f t="array" ref="AB121">Common_InputFunctions.Utility_DisplayArrayInTable(Fertiliser_SourceData.Fertiliser_Products_Data1(),FertiliserProducts[[#Headers],[Include or Exclude]], 0,4)</f>
        <v/>
      </c>
      <c r="AC121" s="117" t="str" cm="1">
        <f t="array" ref="AC121">Common_InputFunctions.Utility_DisplayArrayInTable(Fertiliser_SourceData.Fertiliser_Products_Data1(),FertiliserProducts[[#Headers],[Include or Exclude]], 0,4)</f>
        <v/>
      </c>
      <c r="AD121" s="117" t="str" cm="1">
        <f t="array" ref="AD121">Common_InputFunctions.Utility_DisplayArrayInTable(Fertiliser_SourceData.Fertiliser_Products_Data1(),FertiliserProducts[[#Headers],[Include or Exclude]], 0,4)</f>
        <v/>
      </c>
      <c r="AE121" s="117" t="str" cm="1">
        <f t="array" ref="AE121">Common_InputFunctions.Utility_DisplayArrayInTable(Fertiliser_SourceData.Fertiliser_Products_Data1(),FertiliserProducts[[#Headers],[Include or Exclude]], 0,4)</f>
        <v/>
      </c>
    </row>
    <row r="122" spans="1:31" ht="20.100000000000001" customHeight="1" x14ac:dyDescent="0.25">
      <c r="A122"/>
      <c r="D122" s="117" t="str" cm="1">
        <f t="array" ref="D122">Common_InputFunctions.Utility_DisplayArrayInTable(Fertiliser_SourceData.Fertiliser_Products_Data1(),FertiliserProducts[[#Headers],[Include or Exclude]], -1)</f>
        <v/>
      </c>
      <c r="E122" s="117" t="str" cm="1">
        <f t="array" ref="E122">Common_InputFunctions.Utility_DisplayArrayInTable(Fertiliser_SourceData.Fertiliser_Products_Data1(),FertiliserProducts[[#Headers],[Include or Exclude]], 0)</f>
        <v/>
      </c>
      <c r="F122" s="117" t="str" cm="1">
        <f t="array" ref="F122">Common_InputFunctions.Utility_DisplayArrayInTable(Fertiliser_SourceData.Fertiliser_Products_Data1(),FertiliserProducts[[#Headers],[Include or Exclude]], 0)</f>
        <v/>
      </c>
      <c r="G122" s="117" t="str" cm="1">
        <f t="array" ref="G122">Common_InputFunctions.Utility_DisplayArrayInTable(Fertiliser_SourceData.Fertiliser_Products_Data1(),FertiliserProducts[[#Headers],[Include or Exclude]], 0)</f>
        <v/>
      </c>
      <c r="H122" s="117" t="str" cm="1">
        <f t="array" ref="H122">Common_InputFunctions.Utility_DisplayArrayInTable(Fertiliser_SourceData.Fertiliser_Products_Data1(),FertiliserProducts[[#Headers],[Include or Exclude]], 0,4)</f>
        <v/>
      </c>
      <c r="I122" s="117" t="str" cm="1">
        <f t="array" ref="I122">Common_InputFunctions.Utility_DisplayArrayInTable(Fertiliser_SourceData.Fertiliser_Products_Data1(),FertiliserProducts[[#Headers],[Include or Exclude]], 0,4)</f>
        <v/>
      </c>
      <c r="J122" s="117" t="str" cm="1">
        <f t="array" ref="J122">Common_InputFunctions.Utility_DisplayArrayInTable(Fertiliser_SourceData.Fertiliser_Products_Data1(),FertiliserProducts[[#Headers],[Include or Exclude]], 0,4)</f>
        <v/>
      </c>
      <c r="K122" s="117" t="str" cm="1">
        <f t="array" ref="K122">Common_InputFunctions.Utility_DisplayArrayInTable(Fertiliser_SourceData.Fertiliser_Products_Data1(),FertiliserProducts[[#Headers],[Include or Exclude]], 0,4)</f>
        <v/>
      </c>
      <c r="L122" s="117" t="str" cm="1">
        <f t="array" ref="L122">Common_InputFunctions.Utility_DisplayArrayInTable(Fertiliser_SourceData.Fertiliser_Products_Data1(),FertiliserProducts[[#Headers],[Include or Exclude]], 0,4)</f>
        <v/>
      </c>
      <c r="M122" s="117" t="str" cm="1">
        <f t="array" ref="M122">Common_InputFunctions.Utility_DisplayArrayInTable(Fertiliser_SourceData.Fertiliser_Products_Data1(),FertiliserProducts[[#Headers],[Include or Exclude]], 0,4)</f>
        <v/>
      </c>
      <c r="N122" s="117" t="str" cm="1">
        <f t="array" ref="N122">Common_InputFunctions.Utility_DisplayArrayInTable(Fertiliser_SourceData.Fertiliser_Products_Data1(),FertiliserProducts[[#Headers],[Include or Exclude]], 0,4)</f>
        <v/>
      </c>
      <c r="O122" s="117" t="str" cm="1">
        <f t="array" ref="O122">Common_InputFunctions.Utility_DisplayArrayInTable(Fertiliser_SourceData.Fertiliser_Products_Data1(),FertiliserProducts[[#Headers],[Include or Exclude]], 0,4)</f>
        <v/>
      </c>
      <c r="P122" s="117" t="str" cm="1">
        <f t="array" ref="P122">Common_InputFunctions.Utility_DisplayArrayInTable(Fertiliser_SourceData.Fertiliser_Products_Data1(),FertiliserProducts[[#Headers],[Include or Exclude]], 0,4)</f>
        <v/>
      </c>
      <c r="Q122" s="117" t="str" cm="1">
        <f t="array" ref="Q122">Common_InputFunctions.Utility_DisplayArrayInTable(Fertiliser_SourceData.Fertiliser_Products_Data1(),FertiliserProducts[[#Headers],[Include or Exclude]], 0,4)</f>
        <v/>
      </c>
      <c r="R122" s="117" t="str" cm="1">
        <f t="array" ref="R122">Common_InputFunctions.Utility_DisplayArrayInTable(Fertiliser_SourceData.Fertiliser_Products_Data1(),FertiliserProducts[[#Headers],[Include or Exclude]], 0,4)</f>
        <v/>
      </c>
      <c r="S122" s="117" t="str" cm="1">
        <f t="array" ref="S122">Common_InputFunctions.Utility_DisplayArrayInTable(Fertiliser_SourceData.Fertiliser_Products_Data1(),FertiliserProducts[[#Headers],[Include or Exclude]], 0,4)</f>
        <v/>
      </c>
      <c r="T122" s="117" t="str" cm="1">
        <f t="array" ref="T122">Common_InputFunctions.Utility_DisplayArrayInTable(Fertiliser_SourceData.Fertiliser_Products_Data1(),FertiliserProducts[[#Headers],[Include or Exclude]], 0,4)</f>
        <v/>
      </c>
      <c r="U122" s="117" t="str" cm="1">
        <f t="array" ref="U122">Common_InputFunctions.Utility_DisplayArrayInTable(Fertiliser_SourceData.Fertiliser_Products_Data1(),FertiliserProducts[[#Headers],[Include or Exclude]], 0,4)</f>
        <v/>
      </c>
      <c r="V122" s="117" t="str" cm="1">
        <f t="array" ref="V122">Common_InputFunctions.Utility_DisplayArrayInTable(Fertiliser_SourceData.Fertiliser_Products_Data1(),FertiliserProducts[[#Headers],[Include or Exclude]], 0,4)</f>
        <v/>
      </c>
      <c r="W122" s="117" t="str" cm="1">
        <f t="array" ref="W122">Common_InputFunctions.Utility_DisplayArrayInTable(Fertiliser_SourceData.Fertiliser_Products_Data1(),FertiliserProducts[[#Headers],[Include or Exclude]], 0,4)</f>
        <v/>
      </c>
      <c r="X122" s="117" t="str" cm="1">
        <f t="array" ref="X122">Common_InputFunctions.Utility_DisplayArrayInTable(Fertiliser_SourceData.Fertiliser_Products_Data1(),FertiliserProducts[[#Headers],[Include or Exclude]], 0,4)</f>
        <v/>
      </c>
      <c r="Y122" s="117" t="str" cm="1">
        <f t="array" ref="Y122">Common_InputFunctions.Utility_DisplayArrayInTable(Fertiliser_SourceData.Fertiliser_Products_Data1(),FertiliserProducts[[#Headers],[Include or Exclude]], 0,4)</f>
        <v/>
      </c>
      <c r="Z122" s="117" t="str" cm="1">
        <f t="array" ref="Z122">Common_InputFunctions.Utility_DisplayArrayInTable(Fertiliser_SourceData.Fertiliser_Products_Data1(),FertiliserProducts[[#Headers],[Include or Exclude]], 0,4)</f>
        <v/>
      </c>
      <c r="AA122" s="117" t="str" cm="1">
        <f t="array" ref="AA122">Common_InputFunctions.Utility_DisplayArrayInTable(Fertiliser_SourceData.Fertiliser_Products_Data1(),FertiliserProducts[[#Headers],[Include or Exclude]], 0,4)</f>
        <v/>
      </c>
      <c r="AB122" s="117" t="str" cm="1">
        <f t="array" ref="AB122">Common_InputFunctions.Utility_DisplayArrayInTable(Fertiliser_SourceData.Fertiliser_Products_Data1(),FertiliserProducts[[#Headers],[Include or Exclude]], 0,4)</f>
        <v/>
      </c>
      <c r="AC122" s="117" t="str" cm="1">
        <f t="array" ref="AC122">Common_InputFunctions.Utility_DisplayArrayInTable(Fertiliser_SourceData.Fertiliser_Products_Data1(),FertiliserProducts[[#Headers],[Include or Exclude]], 0,4)</f>
        <v/>
      </c>
      <c r="AD122" s="117" t="str" cm="1">
        <f t="array" ref="AD122">Common_InputFunctions.Utility_DisplayArrayInTable(Fertiliser_SourceData.Fertiliser_Products_Data1(),FertiliserProducts[[#Headers],[Include or Exclude]], 0,4)</f>
        <v/>
      </c>
      <c r="AE122" s="117" t="str" cm="1">
        <f t="array" ref="AE122">Common_InputFunctions.Utility_DisplayArrayInTable(Fertiliser_SourceData.Fertiliser_Products_Data1(),FertiliserProducts[[#Headers],[Include or Exclude]], 0,4)</f>
        <v/>
      </c>
    </row>
    <row r="123" spans="1:31" ht="20.100000000000001" customHeight="1" x14ac:dyDescent="0.25">
      <c r="A123"/>
      <c r="D123" s="117" t="str" cm="1">
        <f t="array" ref="D123">Common_InputFunctions.Utility_DisplayArrayInTable(Fertiliser_SourceData.Fertiliser_Products_Data1(),FertiliserProducts[[#Headers],[Include or Exclude]], -1)</f>
        <v/>
      </c>
      <c r="E123" s="117" t="str" cm="1">
        <f t="array" ref="E123">Common_InputFunctions.Utility_DisplayArrayInTable(Fertiliser_SourceData.Fertiliser_Products_Data1(),FertiliserProducts[[#Headers],[Include or Exclude]], 0)</f>
        <v/>
      </c>
      <c r="F123" s="117" t="str" cm="1">
        <f t="array" ref="F123">Common_InputFunctions.Utility_DisplayArrayInTable(Fertiliser_SourceData.Fertiliser_Products_Data1(),FertiliserProducts[[#Headers],[Include or Exclude]], 0)</f>
        <v/>
      </c>
      <c r="G123" s="117" t="str" cm="1">
        <f t="array" ref="G123">Common_InputFunctions.Utility_DisplayArrayInTable(Fertiliser_SourceData.Fertiliser_Products_Data1(),FertiliserProducts[[#Headers],[Include or Exclude]], 0)</f>
        <v/>
      </c>
      <c r="H123" s="117" t="str" cm="1">
        <f t="array" ref="H123">Common_InputFunctions.Utility_DisplayArrayInTable(Fertiliser_SourceData.Fertiliser_Products_Data1(),FertiliserProducts[[#Headers],[Include or Exclude]], 0,4)</f>
        <v/>
      </c>
      <c r="I123" s="117" t="str" cm="1">
        <f t="array" ref="I123">Common_InputFunctions.Utility_DisplayArrayInTable(Fertiliser_SourceData.Fertiliser_Products_Data1(),FertiliserProducts[[#Headers],[Include or Exclude]], 0,4)</f>
        <v/>
      </c>
      <c r="J123" s="117" t="str" cm="1">
        <f t="array" ref="J123">Common_InputFunctions.Utility_DisplayArrayInTable(Fertiliser_SourceData.Fertiliser_Products_Data1(),FertiliserProducts[[#Headers],[Include or Exclude]], 0,4)</f>
        <v/>
      </c>
      <c r="K123" s="117" t="str" cm="1">
        <f t="array" ref="K123">Common_InputFunctions.Utility_DisplayArrayInTable(Fertiliser_SourceData.Fertiliser_Products_Data1(),FertiliserProducts[[#Headers],[Include or Exclude]], 0,4)</f>
        <v/>
      </c>
      <c r="L123" s="117" t="str" cm="1">
        <f t="array" ref="L123">Common_InputFunctions.Utility_DisplayArrayInTable(Fertiliser_SourceData.Fertiliser_Products_Data1(),FertiliserProducts[[#Headers],[Include or Exclude]], 0,4)</f>
        <v/>
      </c>
      <c r="M123" s="117" t="str" cm="1">
        <f t="array" ref="M123">Common_InputFunctions.Utility_DisplayArrayInTable(Fertiliser_SourceData.Fertiliser_Products_Data1(),FertiliserProducts[[#Headers],[Include or Exclude]], 0,4)</f>
        <v/>
      </c>
      <c r="N123" s="117" t="str" cm="1">
        <f t="array" ref="N123">Common_InputFunctions.Utility_DisplayArrayInTable(Fertiliser_SourceData.Fertiliser_Products_Data1(),FertiliserProducts[[#Headers],[Include or Exclude]], 0,4)</f>
        <v/>
      </c>
      <c r="O123" s="117" t="str" cm="1">
        <f t="array" ref="O123">Common_InputFunctions.Utility_DisplayArrayInTable(Fertiliser_SourceData.Fertiliser_Products_Data1(),FertiliserProducts[[#Headers],[Include or Exclude]], 0,4)</f>
        <v/>
      </c>
      <c r="P123" s="117" t="str" cm="1">
        <f t="array" ref="P123">Common_InputFunctions.Utility_DisplayArrayInTable(Fertiliser_SourceData.Fertiliser_Products_Data1(),FertiliserProducts[[#Headers],[Include or Exclude]], 0,4)</f>
        <v/>
      </c>
      <c r="Q123" s="117" t="str" cm="1">
        <f t="array" ref="Q123">Common_InputFunctions.Utility_DisplayArrayInTable(Fertiliser_SourceData.Fertiliser_Products_Data1(),FertiliserProducts[[#Headers],[Include or Exclude]], 0,4)</f>
        <v/>
      </c>
      <c r="R123" s="117" t="str" cm="1">
        <f t="array" ref="R123">Common_InputFunctions.Utility_DisplayArrayInTable(Fertiliser_SourceData.Fertiliser_Products_Data1(),FertiliserProducts[[#Headers],[Include or Exclude]], 0,4)</f>
        <v/>
      </c>
      <c r="S123" s="117" t="str" cm="1">
        <f t="array" ref="S123">Common_InputFunctions.Utility_DisplayArrayInTable(Fertiliser_SourceData.Fertiliser_Products_Data1(),FertiliserProducts[[#Headers],[Include or Exclude]], 0,4)</f>
        <v/>
      </c>
      <c r="T123" s="117" t="str" cm="1">
        <f t="array" ref="T123">Common_InputFunctions.Utility_DisplayArrayInTable(Fertiliser_SourceData.Fertiliser_Products_Data1(),FertiliserProducts[[#Headers],[Include or Exclude]], 0,4)</f>
        <v/>
      </c>
      <c r="U123" s="117" t="str" cm="1">
        <f t="array" ref="U123">Common_InputFunctions.Utility_DisplayArrayInTable(Fertiliser_SourceData.Fertiliser_Products_Data1(),FertiliserProducts[[#Headers],[Include or Exclude]], 0,4)</f>
        <v/>
      </c>
      <c r="V123" s="117" t="str" cm="1">
        <f t="array" ref="V123">Common_InputFunctions.Utility_DisplayArrayInTable(Fertiliser_SourceData.Fertiliser_Products_Data1(),FertiliserProducts[[#Headers],[Include or Exclude]], 0,4)</f>
        <v/>
      </c>
      <c r="W123" s="117" t="str" cm="1">
        <f t="array" ref="W123">Common_InputFunctions.Utility_DisplayArrayInTable(Fertiliser_SourceData.Fertiliser_Products_Data1(),FertiliserProducts[[#Headers],[Include or Exclude]], 0,4)</f>
        <v/>
      </c>
      <c r="X123" s="117" t="str" cm="1">
        <f t="array" ref="X123">Common_InputFunctions.Utility_DisplayArrayInTable(Fertiliser_SourceData.Fertiliser_Products_Data1(),FertiliserProducts[[#Headers],[Include or Exclude]], 0,4)</f>
        <v/>
      </c>
      <c r="Y123" s="117" t="str" cm="1">
        <f t="array" ref="Y123">Common_InputFunctions.Utility_DisplayArrayInTable(Fertiliser_SourceData.Fertiliser_Products_Data1(),FertiliserProducts[[#Headers],[Include or Exclude]], 0,4)</f>
        <v/>
      </c>
      <c r="Z123" s="117" t="str" cm="1">
        <f t="array" ref="Z123">Common_InputFunctions.Utility_DisplayArrayInTable(Fertiliser_SourceData.Fertiliser_Products_Data1(),FertiliserProducts[[#Headers],[Include or Exclude]], 0,4)</f>
        <v/>
      </c>
      <c r="AA123" s="117" t="str" cm="1">
        <f t="array" ref="AA123">Common_InputFunctions.Utility_DisplayArrayInTable(Fertiliser_SourceData.Fertiliser_Products_Data1(),FertiliserProducts[[#Headers],[Include or Exclude]], 0,4)</f>
        <v/>
      </c>
      <c r="AB123" s="117" t="str" cm="1">
        <f t="array" ref="AB123">Common_InputFunctions.Utility_DisplayArrayInTable(Fertiliser_SourceData.Fertiliser_Products_Data1(),FertiliserProducts[[#Headers],[Include or Exclude]], 0,4)</f>
        <v/>
      </c>
      <c r="AC123" s="117" t="str" cm="1">
        <f t="array" ref="AC123">Common_InputFunctions.Utility_DisplayArrayInTable(Fertiliser_SourceData.Fertiliser_Products_Data1(),FertiliserProducts[[#Headers],[Include or Exclude]], 0,4)</f>
        <v/>
      </c>
      <c r="AD123" s="117" t="str" cm="1">
        <f t="array" ref="AD123">Common_InputFunctions.Utility_DisplayArrayInTable(Fertiliser_SourceData.Fertiliser_Products_Data1(),FertiliserProducts[[#Headers],[Include or Exclude]], 0,4)</f>
        <v/>
      </c>
      <c r="AE123" s="117" t="str" cm="1">
        <f t="array" ref="AE123">Common_InputFunctions.Utility_DisplayArrayInTable(Fertiliser_SourceData.Fertiliser_Products_Data1(),FertiliserProducts[[#Headers],[Include or Exclude]], 0,4)</f>
        <v/>
      </c>
    </row>
    <row r="124" spans="1:31" ht="20.100000000000001" customHeight="1" x14ac:dyDescent="0.25">
      <c r="A124"/>
      <c r="D124" s="117" t="str" cm="1">
        <f t="array" ref="D124">Common_InputFunctions.Utility_DisplayArrayInTable(Fertiliser_SourceData.Fertiliser_Products_Data1(),FertiliserProducts[[#Headers],[Include or Exclude]], -1)</f>
        <v/>
      </c>
      <c r="E124" s="117" t="str" cm="1">
        <f t="array" ref="E124">Common_InputFunctions.Utility_DisplayArrayInTable(Fertiliser_SourceData.Fertiliser_Products_Data1(),FertiliserProducts[[#Headers],[Include or Exclude]], 0)</f>
        <v/>
      </c>
      <c r="F124" s="117" t="str" cm="1">
        <f t="array" ref="F124">Common_InputFunctions.Utility_DisplayArrayInTable(Fertiliser_SourceData.Fertiliser_Products_Data1(),FertiliserProducts[[#Headers],[Include or Exclude]], 0)</f>
        <v/>
      </c>
      <c r="G124" s="117" t="str" cm="1">
        <f t="array" ref="G124">Common_InputFunctions.Utility_DisplayArrayInTable(Fertiliser_SourceData.Fertiliser_Products_Data1(),FertiliserProducts[[#Headers],[Include or Exclude]], 0)</f>
        <v/>
      </c>
      <c r="H124" s="117" t="str" cm="1">
        <f t="array" ref="H124">Common_InputFunctions.Utility_DisplayArrayInTable(Fertiliser_SourceData.Fertiliser_Products_Data1(),FertiliserProducts[[#Headers],[Include or Exclude]], 0,4)</f>
        <v/>
      </c>
      <c r="I124" s="117" t="str" cm="1">
        <f t="array" ref="I124">Common_InputFunctions.Utility_DisplayArrayInTable(Fertiliser_SourceData.Fertiliser_Products_Data1(),FertiliserProducts[[#Headers],[Include or Exclude]], 0,4)</f>
        <v/>
      </c>
      <c r="J124" s="117" t="str" cm="1">
        <f t="array" ref="J124">Common_InputFunctions.Utility_DisplayArrayInTable(Fertiliser_SourceData.Fertiliser_Products_Data1(),FertiliserProducts[[#Headers],[Include or Exclude]], 0,4)</f>
        <v/>
      </c>
      <c r="K124" s="117" t="str" cm="1">
        <f t="array" ref="K124">Common_InputFunctions.Utility_DisplayArrayInTable(Fertiliser_SourceData.Fertiliser_Products_Data1(),FertiliserProducts[[#Headers],[Include or Exclude]], 0,4)</f>
        <v/>
      </c>
      <c r="L124" s="117" t="str" cm="1">
        <f t="array" ref="L124">Common_InputFunctions.Utility_DisplayArrayInTable(Fertiliser_SourceData.Fertiliser_Products_Data1(),FertiliserProducts[[#Headers],[Include or Exclude]], 0,4)</f>
        <v/>
      </c>
      <c r="M124" s="117" t="str" cm="1">
        <f t="array" ref="M124">Common_InputFunctions.Utility_DisplayArrayInTable(Fertiliser_SourceData.Fertiliser_Products_Data1(),FertiliserProducts[[#Headers],[Include or Exclude]], 0,4)</f>
        <v/>
      </c>
      <c r="N124" s="117" t="str" cm="1">
        <f t="array" ref="N124">Common_InputFunctions.Utility_DisplayArrayInTable(Fertiliser_SourceData.Fertiliser_Products_Data1(),FertiliserProducts[[#Headers],[Include or Exclude]], 0,4)</f>
        <v/>
      </c>
      <c r="O124" s="117" t="str" cm="1">
        <f t="array" ref="O124">Common_InputFunctions.Utility_DisplayArrayInTable(Fertiliser_SourceData.Fertiliser_Products_Data1(),FertiliserProducts[[#Headers],[Include or Exclude]], 0,4)</f>
        <v/>
      </c>
      <c r="P124" s="117" t="str" cm="1">
        <f t="array" ref="P124">Common_InputFunctions.Utility_DisplayArrayInTable(Fertiliser_SourceData.Fertiliser_Products_Data1(),FertiliserProducts[[#Headers],[Include or Exclude]], 0,4)</f>
        <v/>
      </c>
      <c r="Q124" s="117" t="str" cm="1">
        <f t="array" ref="Q124">Common_InputFunctions.Utility_DisplayArrayInTable(Fertiliser_SourceData.Fertiliser_Products_Data1(),FertiliserProducts[[#Headers],[Include or Exclude]], 0,4)</f>
        <v/>
      </c>
      <c r="R124" s="117" t="str" cm="1">
        <f t="array" ref="R124">Common_InputFunctions.Utility_DisplayArrayInTable(Fertiliser_SourceData.Fertiliser_Products_Data1(),FertiliserProducts[[#Headers],[Include or Exclude]], 0,4)</f>
        <v/>
      </c>
      <c r="S124" s="117" t="str" cm="1">
        <f t="array" ref="S124">Common_InputFunctions.Utility_DisplayArrayInTable(Fertiliser_SourceData.Fertiliser_Products_Data1(),FertiliserProducts[[#Headers],[Include or Exclude]], 0,4)</f>
        <v/>
      </c>
      <c r="T124" s="117" t="str" cm="1">
        <f t="array" ref="T124">Common_InputFunctions.Utility_DisplayArrayInTable(Fertiliser_SourceData.Fertiliser_Products_Data1(),FertiliserProducts[[#Headers],[Include or Exclude]], 0,4)</f>
        <v/>
      </c>
      <c r="U124" s="117" t="str" cm="1">
        <f t="array" ref="U124">Common_InputFunctions.Utility_DisplayArrayInTable(Fertiliser_SourceData.Fertiliser_Products_Data1(),FertiliserProducts[[#Headers],[Include or Exclude]], 0,4)</f>
        <v/>
      </c>
      <c r="V124" s="117" t="str" cm="1">
        <f t="array" ref="V124">Common_InputFunctions.Utility_DisplayArrayInTable(Fertiliser_SourceData.Fertiliser_Products_Data1(),FertiliserProducts[[#Headers],[Include or Exclude]], 0,4)</f>
        <v/>
      </c>
      <c r="W124" s="117" t="str" cm="1">
        <f t="array" ref="W124">Common_InputFunctions.Utility_DisplayArrayInTable(Fertiliser_SourceData.Fertiliser_Products_Data1(),FertiliserProducts[[#Headers],[Include or Exclude]], 0,4)</f>
        <v/>
      </c>
      <c r="X124" s="117" t="str" cm="1">
        <f t="array" ref="X124">Common_InputFunctions.Utility_DisplayArrayInTable(Fertiliser_SourceData.Fertiliser_Products_Data1(),FertiliserProducts[[#Headers],[Include or Exclude]], 0,4)</f>
        <v/>
      </c>
      <c r="Y124" s="117" t="str" cm="1">
        <f t="array" ref="Y124">Common_InputFunctions.Utility_DisplayArrayInTable(Fertiliser_SourceData.Fertiliser_Products_Data1(),FertiliserProducts[[#Headers],[Include or Exclude]], 0,4)</f>
        <v/>
      </c>
      <c r="Z124" s="117" t="str" cm="1">
        <f t="array" ref="Z124">Common_InputFunctions.Utility_DisplayArrayInTable(Fertiliser_SourceData.Fertiliser_Products_Data1(),FertiliserProducts[[#Headers],[Include or Exclude]], 0,4)</f>
        <v/>
      </c>
      <c r="AA124" s="117" t="str" cm="1">
        <f t="array" ref="AA124">Common_InputFunctions.Utility_DisplayArrayInTable(Fertiliser_SourceData.Fertiliser_Products_Data1(),FertiliserProducts[[#Headers],[Include or Exclude]], 0,4)</f>
        <v/>
      </c>
      <c r="AB124" s="117" t="str" cm="1">
        <f t="array" ref="AB124">Common_InputFunctions.Utility_DisplayArrayInTable(Fertiliser_SourceData.Fertiliser_Products_Data1(),FertiliserProducts[[#Headers],[Include or Exclude]], 0,4)</f>
        <v/>
      </c>
      <c r="AC124" s="117" t="str" cm="1">
        <f t="array" ref="AC124">Common_InputFunctions.Utility_DisplayArrayInTable(Fertiliser_SourceData.Fertiliser_Products_Data1(),FertiliserProducts[[#Headers],[Include or Exclude]], 0,4)</f>
        <v/>
      </c>
      <c r="AD124" s="117" t="str" cm="1">
        <f t="array" ref="AD124">Common_InputFunctions.Utility_DisplayArrayInTable(Fertiliser_SourceData.Fertiliser_Products_Data1(),FertiliserProducts[[#Headers],[Include or Exclude]], 0,4)</f>
        <v/>
      </c>
      <c r="AE124" s="117" t="str" cm="1">
        <f t="array" ref="AE124">Common_InputFunctions.Utility_DisplayArrayInTable(Fertiliser_SourceData.Fertiliser_Products_Data1(),FertiliserProducts[[#Headers],[Include or Exclude]], 0,4)</f>
        <v/>
      </c>
    </row>
    <row r="125" spans="1:31" ht="20.100000000000001" customHeight="1" x14ac:dyDescent="0.25">
      <c r="A125"/>
      <c r="D125" s="117" t="str" cm="1">
        <f t="array" ref="D125">Common_InputFunctions.Utility_DisplayArrayInTable(Fertiliser_SourceData.Fertiliser_Products_Data1(),FertiliserProducts[[#Headers],[Include or Exclude]], -1)</f>
        <v/>
      </c>
      <c r="E125" s="117" t="str" cm="1">
        <f t="array" ref="E125">Common_InputFunctions.Utility_DisplayArrayInTable(Fertiliser_SourceData.Fertiliser_Products_Data1(),FertiliserProducts[[#Headers],[Include or Exclude]], 0)</f>
        <v/>
      </c>
      <c r="F125" s="117" t="str" cm="1">
        <f t="array" ref="F125">Common_InputFunctions.Utility_DisplayArrayInTable(Fertiliser_SourceData.Fertiliser_Products_Data1(),FertiliserProducts[[#Headers],[Include or Exclude]], 0)</f>
        <v/>
      </c>
      <c r="G125" s="117" t="str" cm="1">
        <f t="array" ref="G125">Common_InputFunctions.Utility_DisplayArrayInTable(Fertiliser_SourceData.Fertiliser_Products_Data1(),FertiliserProducts[[#Headers],[Include or Exclude]], 0)</f>
        <v/>
      </c>
      <c r="H125" s="117" t="str" cm="1">
        <f t="array" ref="H125">Common_InputFunctions.Utility_DisplayArrayInTable(Fertiliser_SourceData.Fertiliser_Products_Data1(),FertiliserProducts[[#Headers],[Include or Exclude]], 0,4)</f>
        <v/>
      </c>
      <c r="I125" s="117" t="str" cm="1">
        <f t="array" ref="I125">Common_InputFunctions.Utility_DisplayArrayInTable(Fertiliser_SourceData.Fertiliser_Products_Data1(),FertiliserProducts[[#Headers],[Include or Exclude]], 0,4)</f>
        <v/>
      </c>
      <c r="J125" s="117" t="str" cm="1">
        <f t="array" ref="J125">Common_InputFunctions.Utility_DisplayArrayInTable(Fertiliser_SourceData.Fertiliser_Products_Data1(),FertiliserProducts[[#Headers],[Include or Exclude]], 0,4)</f>
        <v/>
      </c>
      <c r="K125" s="117" t="str" cm="1">
        <f t="array" ref="K125">Common_InputFunctions.Utility_DisplayArrayInTable(Fertiliser_SourceData.Fertiliser_Products_Data1(),FertiliserProducts[[#Headers],[Include or Exclude]], 0,4)</f>
        <v/>
      </c>
      <c r="L125" s="117" t="str" cm="1">
        <f t="array" ref="L125">Common_InputFunctions.Utility_DisplayArrayInTable(Fertiliser_SourceData.Fertiliser_Products_Data1(),FertiliserProducts[[#Headers],[Include or Exclude]], 0,4)</f>
        <v/>
      </c>
      <c r="M125" s="117" t="str" cm="1">
        <f t="array" ref="M125">Common_InputFunctions.Utility_DisplayArrayInTable(Fertiliser_SourceData.Fertiliser_Products_Data1(),FertiliserProducts[[#Headers],[Include or Exclude]], 0,4)</f>
        <v/>
      </c>
      <c r="N125" s="117" t="str" cm="1">
        <f t="array" ref="N125">Common_InputFunctions.Utility_DisplayArrayInTable(Fertiliser_SourceData.Fertiliser_Products_Data1(),FertiliserProducts[[#Headers],[Include or Exclude]], 0,4)</f>
        <v/>
      </c>
      <c r="O125" s="117" t="str" cm="1">
        <f t="array" ref="O125">Common_InputFunctions.Utility_DisplayArrayInTable(Fertiliser_SourceData.Fertiliser_Products_Data1(),FertiliserProducts[[#Headers],[Include or Exclude]], 0,4)</f>
        <v/>
      </c>
      <c r="P125" s="117" t="str" cm="1">
        <f t="array" ref="P125">Common_InputFunctions.Utility_DisplayArrayInTable(Fertiliser_SourceData.Fertiliser_Products_Data1(),FertiliserProducts[[#Headers],[Include or Exclude]], 0,4)</f>
        <v/>
      </c>
      <c r="Q125" s="117" t="str" cm="1">
        <f t="array" ref="Q125">Common_InputFunctions.Utility_DisplayArrayInTable(Fertiliser_SourceData.Fertiliser_Products_Data1(),FertiliserProducts[[#Headers],[Include or Exclude]], 0,4)</f>
        <v/>
      </c>
      <c r="R125" s="117" t="str" cm="1">
        <f t="array" ref="R125">Common_InputFunctions.Utility_DisplayArrayInTable(Fertiliser_SourceData.Fertiliser_Products_Data1(),FertiliserProducts[[#Headers],[Include or Exclude]], 0,4)</f>
        <v/>
      </c>
      <c r="S125" s="117" t="str" cm="1">
        <f t="array" ref="S125">Common_InputFunctions.Utility_DisplayArrayInTable(Fertiliser_SourceData.Fertiliser_Products_Data1(),FertiliserProducts[[#Headers],[Include or Exclude]], 0,4)</f>
        <v/>
      </c>
      <c r="T125" s="117" t="str" cm="1">
        <f t="array" ref="T125">Common_InputFunctions.Utility_DisplayArrayInTable(Fertiliser_SourceData.Fertiliser_Products_Data1(),FertiliserProducts[[#Headers],[Include or Exclude]], 0,4)</f>
        <v/>
      </c>
      <c r="U125" s="117" t="str" cm="1">
        <f t="array" ref="U125">Common_InputFunctions.Utility_DisplayArrayInTable(Fertiliser_SourceData.Fertiliser_Products_Data1(),FertiliserProducts[[#Headers],[Include or Exclude]], 0,4)</f>
        <v/>
      </c>
      <c r="V125" s="117" t="str" cm="1">
        <f t="array" ref="V125">Common_InputFunctions.Utility_DisplayArrayInTable(Fertiliser_SourceData.Fertiliser_Products_Data1(),FertiliserProducts[[#Headers],[Include or Exclude]], 0,4)</f>
        <v/>
      </c>
      <c r="W125" s="117" t="str" cm="1">
        <f t="array" ref="W125">Common_InputFunctions.Utility_DisplayArrayInTable(Fertiliser_SourceData.Fertiliser_Products_Data1(),FertiliserProducts[[#Headers],[Include or Exclude]], 0,4)</f>
        <v/>
      </c>
      <c r="X125" s="117" t="str" cm="1">
        <f t="array" ref="X125">Common_InputFunctions.Utility_DisplayArrayInTable(Fertiliser_SourceData.Fertiliser_Products_Data1(),FertiliserProducts[[#Headers],[Include or Exclude]], 0,4)</f>
        <v/>
      </c>
      <c r="Y125" s="117" t="str" cm="1">
        <f t="array" ref="Y125">Common_InputFunctions.Utility_DisplayArrayInTable(Fertiliser_SourceData.Fertiliser_Products_Data1(),FertiliserProducts[[#Headers],[Include or Exclude]], 0,4)</f>
        <v/>
      </c>
      <c r="Z125" s="117" t="str" cm="1">
        <f t="array" ref="Z125">Common_InputFunctions.Utility_DisplayArrayInTable(Fertiliser_SourceData.Fertiliser_Products_Data1(),FertiliserProducts[[#Headers],[Include or Exclude]], 0,4)</f>
        <v/>
      </c>
      <c r="AA125" s="117" t="str" cm="1">
        <f t="array" ref="AA125">Common_InputFunctions.Utility_DisplayArrayInTable(Fertiliser_SourceData.Fertiliser_Products_Data1(),FertiliserProducts[[#Headers],[Include or Exclude]], 0,4)</f>
        <v/>
      </c>
      <c r="AB125" s="117" t="str" cm="1">
        <f t="array" ref="AB125">Common_InputFunctions.Utility_DisplayArrayInTable(Fertiliser_SourceData.Fertiliser_Products_Data1(),FertiliserProducts[[#Headers],[Include or Exclude]], 0,4)</f>
        <v/>
      </c>
      <c r="AC125" s="117" t="str" cm="1">
        <f t="array" ref="AC125">Common_InputFunctions.Utility_DisplayArrayInTable(Fertiliser_SourceData.Fertiliser_Products_Data1(),FertiliserProducts[[#Headers],[Include or Exclude]], 0,4)</f>
        <v/>
      </c>
      <c r="AD125" s="117" t="str" cm="1">
        <f t="array" ref="AD125">Common_InputFunctions.Utility_DisplayArrayInTable(Fertiliser_SourceData.Fertiliser_Products_Data1(),FertiliserProducts[[#Headers],[Include or Exclude]], 0,4)</f>
        <v/>
      </c>
      <c r="AE125" s="117" t="str" cm="1">
        <f t="array" ref="AE125">Common_InputFunctions.Utility_DisplayArrayInTable(Fertiliser_SourceData.Fertiliser_Products_Data1(),FertiliserProducts[[#Headers],[Include or Exclude]], 0,4)</f>
        <v/>
      </c>
    </row>
    <row r="126" spans="1:31" ht="20.100000000000001" customHeight="1" x14ac:dyDescent="0.25">
      <c r="A126"/>
      <c r="D126" s="117" t="str" cm="1">
        <f t="array" ref="D126">Common_InputFunctions.Utility_DisplayArrayInTable(Fertiliser_SourceData.Fertiliser_Products_Data1(),FertiliserProducts[[#Headers],[Include or Exclude]], -1)</f>
        <v/>
      </c>
      <c r="E126" s="117" t="str" cm="1">
        <f t="array" ref="E126">Common_InputFunctions.Utility_DisplayArrayInTable(Fertiliser_SourceData.Fertiliser_Products_Data1(),FertiliserProducts[[#Headers],[Include or Exclude]], 0)</f>
        <v/>
      </c>
      <c r="F126" s="117" t="str" cm="1">
        <f t="array" ref="F126">Common_InputFunctions.Utility_DisplayArrayInTable(Fertiliser_SourceData.Fertiliser_Products_Data1(),FertiliserProducts[[#Headers],[Include or Exclude]], 0)</f>
        <v/>
      </c>
      <c r="G126" s="117" t="str" cm="1">
        <f t="array" ref="G126">Common_InputFunctions.Utility_DisplayArrayInTable(Fertiliser_SourceData.Fertiliser_Products_Data1(),FertiliserProducts[[#Headers],[Include or Exclude]], 0)</f>
        <v/>
      </c>
      <c r="H126" s="117" t="str" cm="1">
        <f t="array" ref="H126">Common_InputFunctions.Utility_DisplayArrayInTable(Fertiliser_SourceData.Fertiliser_Products_Data1(),FertiliserProducts[[#Headers],[Include or Exclude]], 0,4)</f>
        <v/>
      </c>
      <c r="I126" s="117" t="str" cm="1">
        <f t="array" ref="I126">Common_InputFunctions.Utility_DisplayArrayInTable(Fertiliser_SourceData.Fertiliser_Products_Data1(),FertiliserProducts[[#Headers],[Include or Exclude]], 0,4)</f>
        <v/>
      </c>
      <c r="J126" s="117" t="str" cm="1">
        <f t="array" ref="J126">Common_InputFunctions.Utility_DisplayArrayInTable(Fertiliser_SourceData.Fertiliser_Products_Data1(),FertiliserProducts[[#Headers],[Include or Exclude]], 0,4)</f>
        <v/>
      </c>
      <c r="K126" s="117" t="str" cm="1">
        <f t="array" ref="K126">Common_InputFunctions.Utility_DisplayArrayInTable(Fertiliser_SourceData.Fertiliser_Products_Data1(),FertiliserProducts[[#Headers],[Include or Exclude]], 0,4)</f>
        <v/>
      </c>
      <c r="L126" s="117" t="str" cm="1">
        <f t="array" ref="L126">Common_InputFunctions.Utility_DisplayArrayInTable(Fertiliser_SourceData.Fertiliser_Products_Data1(),FertiliserProducts[[#Headers],[Include or Exclude]], 0,4)</f>
        <v/>
      </c>
      <c r="M126" s="117" t="str" cm="1">
        <f t="array" ref="M126">Common_InputFunctions.Utility_DisplayArrayInTable(Fertiliser_SourceData.Fertiliser_Products_Data1(),FertiliserProducts[[#Headers],[Include or Exclude]], 0,4)</f>
        <v/>
      </c>
      <c r="N126" s="117" t="str" cm="1">
        <f t="array" ref="N126">Common_InputFunctions.Utility_DisplayArrayInTable(Fertiliser_SourceData.Fertiliser_Products_Data1(),FertiliserProducts[[#Headers],[Include or Exclude]], 0,4)</f>
        <v/>
      </c>
      <c r="O126" s="117" t="str" cm="1">
        <f t="array" ref="O126">Common_InputFunctions.Utility_DisplayArrayInTable(Fertiliser_SourceData.Fertiliser_Products_Data1(),FertiliserProducts[[#Headers],[Include or Exclude]], 0,4)</f>
        <v/>
      </c>
      <c r="P126" s="117" t="str" cm="1">
        <f t="array" ref="P126">Common_InputFunctions.Utility_DisplayArrayInTable(Fertiliser_SourceData.Fertiliser_Products_Data1(),FertiliserProducts[[#Headers],[Include or Exclude]], 0,4)</f>
        <v/>
      </c>
      <c r="Q126" s="117" t="str" cm="1">
        <f t="array" ref="Q126">Common_InputFunctions.Utility_DisplayArrayInTable(Fertiliser_SourceData.Fertiliser_Products_Data1(),FertiliserProducts[[#Headers],[Include or Exclude]], 0,4)</f>
        <v/>
      </c>
      <c r="R126" s="117" t="str" cm="1">
        <f t="array" ref="R126">Common_InputFunctions.Utility_DisplayArrayInTable(Fertiliser_SourceData.Fertiliser_Products_Data1(),FertiliserProducts[[#Headers],[Include or Exclude]], 0,4)</f>
        <v/>
      </c>
      <c r="S126" s="117" t="str" cm="1">
        <f t="array" ref="S126">Common_InputFunctions.Utility_DisplayArrayInTable(Fertiliser_SourceData.Fertiliser_Products_Data1(),FertiliserProducts[[#Headers],[Include or Exclude]], 0,4)</f>
        <v/>
      </c>
      <c r="T126" s="117" t="str" cm="1">
        <f t="array" ref="T126">Common_InputFunctions.Utility_DisplayArrayInTable(Fertiliser_SourceData.Fertiliser_Products_Data1(),FertiliserProducts[[#Headers],[Include or Exclude]], 0,4)</f>
        <v/>
      </c>
      <c r="U126" s="117" t="str" cm="1">
        <f t="array" ref="U126">Common_InputFunctions.Utility_DisplayArrayInTable(Fertiliser_SourceData.Fertiliser_Products_Data1(),FertiliserProducts[[#Headers],[Include or Exclude]], 0,4)</f>
        <v/>
      </c>
      <c r="V126" s="117" t="str" cm="1">
        <f t="array" ref="V126">Common_InputFunctions.Utility_DisplayArrayInTable(Fertiliser_SourceData.Fertiliser_Products_Data1(),FertiliserProducts[[#Headers],[Include or Exclude]], 0,4)</f>
        <v/>
      </c>
      <c r="W126" s="117" t="str" cm="1">
        <f t="array" ref="W126">Common_InputFunctions.Utility_DisplayArrayInTable(Fertiliser_SourceData.Fertiliser_Products_Data1(),FertiliserProducts[[#Headers],[Include or Exclude]], 0,4)</f>
        <v/>
      </c>
      <c r="X126" s="117" t="str" cm="1">
        <f t="array" ref="X126">Common_InputFunctions.Utility_DisplayArrayInTable(Fertiliser_SourceData.Fertiliser_Products_Data1(),FertiliserProducts[[#Headers],[Include or Exclude]], 0,4)</f>
        <v/>
      </c>
      <c r="Y126" s="117" t="str" cm="1">
        <f t="array" ref="Y126">Common_InputFunctions.Utility_DisplayArrayInTable(Fertiliser_SourceData.Fertiliser_Products_Data1(),FertiliserProducts[[#Headers],[Include or Exclude]], 0,4)</f>
        <v/>
      </c>
      <c r="Z126" s="117" t="str" cm="1">
        <f t="array" ref="Z126">Common_InputFunctions.Utility_DisplayArrayInTable(Fertiliser_SourceData.Fertiliser_Products_Data1(),FertiliserProducts[[#Headers],[Include or Exclude]], 0,4)</f>
        <v/>
      </c>
      <c r="AA126" s="117" t="str" cm="1">
        <f t="array" ref="AA126">Common_InputFunctions.Utility_DisplayArrayInTable(Fertiliser_SourceData.Fertiliser_Products_Data1(),FertiliserProducts[[#Headers],[Include or Exclude]], 0,4)</f>
        <v/>
      </c>
      <c r="AB126" s="117" t="str" cm="1">
        <f t="array" ref="AB126">Common_InputFunctions.Utility_DisplayArrayInTable(Fertiliser_SourceData.Fertiliser_Products_Data1(),FertiliserProducts[[#Headers],[Include or Exclude]], 0,4)</f>
        <v/>
      </c>
      <c r="AC126" s="117" t="str" cm="1">
        <f t="array" ref="AC126">Common_InputFunctions.Utility_DisplayArrayInTable(Fertiliser_SourceData.Fertiliser_Products_Data1(),FertiliserProducts[[#Headers],[Include or Exclude]], 0,4)</f>
        <v/>
      </c>
      <c r="AD126" s="117" t="str" cm="1">
        <f t="array" ref="AD126">Common_InputFunctions.Utility_DisplayArrayInTable(Fertiliser_SourceData.Fertiliser_Products_Data1(),FertiliserProducts[[#Headers],[Include or Exclude]], 0,4)</f>
        <v/>
      </c>
      <c r="AE126" s="117" t="str" cm="1">
        <f t="array" ref="AE126">Common_InputFunctions.Utility_DisplayArrayInTable(Fertiliser_SourceData.Fertiliser_Products_Data1(),FertiliserProducts[[#Headers],[Include or Exclude]], 0,4)</f>
        <v/>
      </c>
    </row>
    <row r="127" spans="1:31" ht="20.100000000000001" customHeight="1" x14ac:dyDescent="0.25">
      <c r="A127"/>
      <c r="D127" s="117" t="str" cm="1">
        <f t="array" ref="D127">Common_InputFunctions.Utility_DisplayArrayInTable(Fertiliser_SourceData.Fertiliser_Products_Data1(),FertiliserProducts[[#Headers],[Include or Exclude]], -1)</f>
        <v/>
      </c>
      <c r="E127" s="117" t="str" cm="1">
        <f t="array" ref="E127">Common_InputFunctions.Utility_DisplayArrayInTable(Fertiliser_SourceData.Fertiliser_Products_Data1(),FertiliserProducts[[#Headers],[Include or Exclude]], 0)</f>
        <v/>
      </c>
      <c r="F127" s="117" t="str" cm="1">
        <f t="array" ref="F127">Common_InputFunctions.Utility_DisplayArrayInTable(Fertiliser_SourceData.Fertiliser_Products_Data1(),FertiliserProducts[[#Headers],[Include or Exclude]], 0)</f>
        <v/>
      </c>
      <c r="G127" s="117" t="str" cm="1">
        <f t="array" ref="G127">Common_InputFunctions.Utility_DisplayArrayInTable(Fertiliser_SourceData.Fertiliser_Products_Data1(),FertiliserProducts[[#Headers],[Include or Exclude]], 0)</f>
        <v/>
      </c>
      <c r="H127" s="117" t="str" cm="1">
        <f t="array" ref="H127">Common_InputFunctions.Utility_DisplayArrayInTable(Fertiliser_SourceData.Fertiliser_Products_Data1(),FertiliserProducts[[#Headers],[Include or Exclude]], 0,4)</f>
        <v/>
      </c>
      <c r="I127" s="117" t="str" cm="1">
        <f t="array" ref="I127">Common_InputFunctions.Utility_DisplayArrayInTable(Fertiliser_SourceData.Fertiliser_Products_Data1(),FertiliserProducts[[#Headers],[Include or Exclude]], 0,4)</f>
        <v/>
      </c>
      <c r="J127" s="117" t="str" cm="1">
        <f t="array" ref="J127">Common_InputFunctions.Utility_DisplayArrayInTable(Fertiliser_SourceData.Fertiliser_Products_Data1(),FertiliserProducts[[#Headers],[Include or Exclude]], 0,4)</f>
        <v/>
      </c>
      <c r="K127" s="117" t="str" cm="1">
        <f t="array" ref="K127">Common_InputFunctions.Utility_DisplayArrayInTable(Fertiliser_SourceData.Fertiliser_Products_Data1(),FertiliserProducts[[#Headers],[Include or Exclude]], 0,4)</f>
        <v/>
      </c>
      <c r="L127" s="117" t="str" cm="1">
        <f t="array" ref="L127">Common_InputFunctions.Utility_DisplayArrayInTable(Fertiliser_SourceData.Fertiliser_Products_Data1(),FertiliserProducts[[#Headers],[Include or Exclude]], 0,4)</f>
        <v/>
      </c>
      <c r="M127" s="117" t="str" cm="1">
        <f t="array" ref="M127">Common_InputFunctions.Utility_DisplayArrayInTable(Fertiliser_SourceData.Fertiliser_Products_Data1(),FertiliserProducts[[#Headers],[Include or Exclude]], 0,4)</f>
        <v/>
      </c>
      <c r="N127" s="117" t="str" cm="1">
        <f t="array" ref="N127">Common_InputFunctions.Utility_DisplayArrayInTable(Fertiliser_SourceData.Fertiliser_Products_Data1(),FertiliserProducts[[#Headers],[Include or Exclude]], 0,4)</f>
        <v/>
      </c>
      <c r="O127" s="117" t="str" cm="1">
        <f t="array" ref="O127">Common_InputFunctions.Utility_DisplayArrayInTable(Fertiliser_SourceData.Fertiliser_Products_Data1(),FertiliserProducts[[#Headers],[Include or Exclude]], 0,4)</f>
        <v/>
      </c>
      <c r="P127" s="117" t="str" cm="1">
        <f t="array" ref="P127">Common_InputFunctions.Utility_DisplayArrayInTable(Fertiliser_SourceData.Fertiliser_Products_Data1(),FertiliserProducts[[#Headers],[Include or Exclude]], 0,4)</f>
        <v/>
      </c>
      <c r="Q127" s="117" t="str" cm="1">
        <f t="array" ref="Q127">Common_InputFunctions.Utility_DisplayArrayInTable(Fertiliser_SourceData.Fertiliser_Products_Data1(),FertiliserProducts[[#Headers],[Include or Exclude]], 0,4)</f>
        <v/>
      </c>
      <c r="R127" s="117" t="str" cm="1">
        <f t="array" ref="R127">Common_InputFunctions.Utility_DisplayArrayInTable(Fertiliser_SourceData.Fertiliser_Products_Data1(),FertiliserProducts[[#Headers],[Include or Exclude]], 0,4)</f>
        <v/>
      </c>
      <c r="S127" s="117" t="str" cm="1">
        <f t="array" ref="S127">Common_InputFunctions.Utility_DisplayArrayInTable(Fertiliser_SourceData.Fertiliser_Products_Data1(),FertiliserProducts[[#Headers],[Include or Exclude]], 0,4)</f>
        <v/>
      </c>
      <c r="T127" s="117" t="str" cm="1">
        <f t="array" ref="T127">Common_InputFunctions.Utility_DisplayArrayInTable(Fertiliser_SourceData.Fertiliser_Products_Data1(),FertiliserProducts[[#Headers],[Include or Exclude]], 0,4)</f>
        <v/>
      </c>
      <c r="U127" s="117" t="str" cm="1">
        <f t="array" ref="U127">Common_InputFunctions.Utility_DisplayArrayInTable(Fertiliser_SourceData.Fertiliser_Products_Data1(),FertiliserProducts[[#Headers],[Include or Exclude]], 0,4)</f>
        <v/>
      </c>
      <c r="V127" s="117" t="str" cm="1">
        <f t="array" ref="V127">Common_InputFunctions.Utility_DisplayArrayInTable(Fertiliser_SourceData.Fertiliser_Products_Data1(),FertiliserProducts[[#Headers],[Include or Exclude]], 0,4)</f>
        <v/>
      </c>
      <c r="W127" s="117" t="str" cm="1">
        <f t="array" ref="W127">Common_InputFunctions.Utility_DisplayArrayInTable(Fertiliser_SourceData.Fertiliser_Products_Data1(),FertiliserProducts[[#Headers],[Include or Exclude]], 0,4)</f>
        <v/>
      </c>
      <c r="X127" s="117" t="str" cm="1">
        <f t="array" ref="X127">Common_InputFunctions.Utility_DisplayArrayInTable(Fertiliser_SourceData.Fertiliser_Products_Data1(),FertiliserProducts[[#Headers],[Include or Exclude]], 0,4)</f>
        <v/>
      </c>
      <c r="Y127" s="117" t="str" cm="1">
        <f t="array" ref="Y127">Common_InputFunctions.Utility_DisplayArrayInTable(Fertiliser_SourceData.Fertiliser_Products_Data1(),FertiliserProducts[[#Headers],[Include or Exclude]], 0,4)</f>
        <v/>
      </c>
      <c r="Z127" s="117" t="str" cm="1">
        <f t="array" ref="Z127">Common_InputFunctions.Utility_DisplayArrayInTable(Fertiliser_SourceData.Fertiliser_Products_Data1(),FertiliserProducts[[#Headers],[Include or Exclude]], 0,4)</f>
        <v/>
      </c>
      <c r="AA127" s="117" t="str" cm="1">
        <f t="array" ref="AA127">Common_InputFunctions.Utility_DisplayArrayInTable(Fertiliser_SourceData.Fertiliser_Products_Data1(),FertiliserProducts[[#Headers],[Include or Exclude]], 0,4)</f>
        <v/>
      </c>
      <c r="AB127" s="117" t="str" cm="1">
        <f t="array" ref="AB127">Common_InputFunctions.Utility_DisplayArrayInTable(Fertiliser_SourceData.Fertiliser_Products_Data1(),FertiliserProducts[[#Headers],[Include or Exclude]], 0,4)</f>
        <v/>
      </c>
      <c r="AC127" s="117" t="str" cm="1">
        <f t="array" ref="AC127">Common_InputFunctions.Utility_DisplayArrayInTable(Fertiliser_SourceData.Fertiliser_Products_Data1(),FertiliserProducts[[#Headers],[Include or Exclude]], 0,4)</f>
        <v/>
      </c>
      <c r="AD127" s="117" t="str" cm="1">
        <f t="array" ref="AD127">Common_InputFunctions.Utility_DisplayArrayInTable(Fertiliser_SourceData.Fertiliser_Products_Data1(),FertiliserProducts[[#Headers],[Include or Exclude]], 0,4)</f>
        <v/>
      </c>
      <c r="AE127" s="117" t="str" cm="1">
        <f t="array" ref="AE127">Common_InputFunctions.Utility_DisplayArrayInTable(Fertiliser_SourceData.Fertiliser_Products_Data1(),FertiliserProducts[[#Headers],[Include or Exclude]], 0,4)</f>
        <v/>
      </c>
    </row>
    <row r="128" spans="1:31" ht="20.100000000000001" customHeight="1" x14ac:dyDescent="0.25">
      <c r="A128"/>
      <c r="D128" s="117" t="str" cm="1">
        <f t="array" ref="D128">Common_InputFunctions.Utility_DisplayArrayInTable(Fertiliser_SourceData.Fertiliser_Products_Data1(),FertiliserProducts[[#Headers],[Include or Exclude]], -1)</f>
        <v/>
      </c>
      <c r="E128" s="117" t="str" cm="1">
        <f t="array" ref="E128">Common_InputFunctions.Utility_DisplayArrayInTable(Fertiliser_SourceData.Fertiliser_Products_Data1(),FertiliserProducts[[#Headers],[Include or Exclude]], 0)</f>
        <v/>
      </c>
      <c r="F128" s="117" t="str" cm="1">
        <f t="array" ref="F128">Common_InputFunctions.Utility_DisplayArrayInTable(Fertiliser_SourceData.Fertiliser_Products_Data1(),FertiliserProducts[[#Headers],[Include or Exclude]], 0)</f>
        <v/>
      </c>
      <c r="G128" s="117" t="str" cm="1">
        <f t="array" ref="G128">Common_InputFunctions.Utility_DisplayArrayInTable(Fertiliser_SourceData.Fertiliser_Products_Data1(),FertiliserProducts[[#Headers],[Include or Exclude]], 0)</f>
        <v/>
      </c>
      <c r="H128" s="117" t="str" cm="1">
        <f t="array" ref="H128">Common_InputFunctions.Utility_DisplayArrayInTable(Fertiliser_SourceData.Fertiliser_Products_Data1(),FertiliserProducts[[#Headers],[Include or Exclude]], 0,4)</f>
        <v/>
      </c>
      <c r="I128" s="117" t="str" cm="1">
        <f t="array" ref="I128">Common_InputFunctions.Utility_DisplayArrayInTable(Fertiliser_SourceData.Fertiliser_Products_Data1(),FertiliserProducts[[#Headers],[Include or Exclude]], 0,4)</f>
        <v/>
      </c>
      <c r="J128" s="117" t="str" cm="1">
        <f t="array" ref="J128">Common_InputFunctions.Utility_DisplayArrayInTable(Fertiliser_SourceData.Fertiliser_Products_Data1(),FertiliserProducts[[#Headers],[Include or Exclude]], 0,4)</f>
        <v/>
      </c>
      <c r="K128" s="117" t="str" cm="1">
        <f t="array" ref="K128">Common_InputFunctions.Utility_DisplayArrayInTable(Fertiliser_SourceData.Fertiliser_Products_Data1(),FertiliserProducts[[#Headers],[Include or Exclude]], 0,4)</f>
        <v/>
      </c>
      <c r="L128" s="117" t="str" cm="1">
        <f t="array" ref="L128">Common_InputFunctions.Utility_DisplayArrayInTable(Fertiliser_SourceData.Fertiliser_Products_Data1(),FertiliserProducts[[#Headers],[Include or Exclude]], 0,4)</f>
        <v/>
      </c>
      <c r="M128" s="117" t="str" cm="1">
        <f t="array" ref="M128">Common_InputFunctions.Utility_DisplayArrayInTable(Fertiliser_SourceData.Fertiliser_Products_Data1(),FertiliserProducts[[#Headers],[Include or Exclude]], 0,4)</f>
        <v/>
      </c>
      <c r="N128" s="117" t="str" cm="1">
        <f t="array" ref="N128">Common_InputFunctions.Utility_DisplayArrayInTable(Fertiliser_SourceData.Fertiliser_Products_Data1(),FertiliserProducts[[#Headers],[Include or Exclude]], 0,4)</f>
        <v/>
      </c>
      <c r="O128" s="117" t="str" cm="1">
        <f t="array" ref="O128">Common_InputFunctions.Utility_DisplayArrayInTable(Fertiliser_SourceData.Fertiliser_Products_Data1(),FertiliserProducts[[#Headers],[Include or Exclude]], 0,4)</f>
        <v/>
      </c>
      <c r="P128" s="117" t="str" cm="1">
        <f t="array" ref="P128">Common_InputFunctions.Utility_DisplayArrayInTable(Fertiliser_SourceData.Fertiliser_Products_Data1(),FertiliserProducts[[#Headers],[Include or Exclude]], 0,4)</f>
        <v/>
      </c>
      <c r="Q128" s="117" t="str" cm="1">
        <f t="array" ref="Q128">Common_InputFunctions.Utility_DisplayArrayInTable(Fertiliser_SourceData.Fertiliser_Products_Data1(),FertiliserProducts[[#Headers],[Include or Exclude]], 0,4)</f>
        <v/>
      </c>
      <c r="R128" s="117" t="str" cm="1">
        <f t="array" ref="R128">Common_InputFunctions.Utility_DisplayArrayInTable(Fertiliser_SourceData.Fertiliser_Products_Data1(),FertiliserProducts[[#Headers],[Include or Exclude]], 0,4)</f>
        <v/>
      </c>
      <c r="S128" s="117" t="str" cm="1">
        <f t="array" ref="S128">Common_InputFunctions.Utility_DisplayArrayInTable(Fertiliser_SourceData.Fertiliser_Products_Data1(),FertiliserProducts[[#Headers],[Include or Exclude]], 0,4)</f>
        <v/>
      </c>
      <c r="T128" s="117" t="str" cm="1">
        <f t="array" ref="T128">Common_InputFunctions.Utility_DisplayArrayInTable(Fertiliser_SourceData.Fertiliser_Products_Data1(),FertiliserProducts[[#Headers],[Include or Exclude]], 0,4)</f>
        <v/>
      </c>
      <c r="U128" s="117" t="str" cm="1">
        <f t="array" ref="U128">Common_InputFunctions.Utility_DisplayArrayInTable(Fertiliser_SourceData.Fertiliser_Products_Data1(),FertiliserProducts[[#Headers],[Include or Exclude]], 0,4)</f>
        <v/>
      </c>
      <c r="V128" s="117" t="str" cm="1">
        <f t="array" ref="V128">Common_InputFunctions.Utility_DisplayArrayInTable(Fertiliser_SourceData.Fertiliser_Products_Data1(),FertiliserProducts[[#Headers],[Include or Exclude]], 0,4)</f>
        <v/>
      </c>
      <c r="W128" s="117" t="str" cm="1">
        <f t="array" ref="W128">Common_InputFunctions.Utility_DisplayArrayInTable(Fertiliser_SourceData.Fertiliser_Products_Data1(),FertiliserProducts[[#Headers],[Include or Exclude]], 0,4)</f>
        <v/>
      </c>
      <c r="X128" s="117" t="str" cm="1">
        <f t="array" ref="X128">Common_InputFunctions.Utility_DisplayArrayInTable(Fertiliser_SourceData.Fertiliser_Products_Data1(),FertiliserProducts[[#Headers],[Include or Exclude]], 0,4)</f>
        <v/>
      </c>
      <c r="Y128" s="117" t="str" cm="1">
        <f t="array" ref="Y128">Common_InputFunctions.Utility_DisplayArrayInTable(Fertiliser_SourceData.Fertiliser_Products_Data1(),FertiliserProducts[[#Headers],[Include or Exclude]], 0,4)</f>
        <v/>
      </c>
      <c r="Z128" s="117" t="str" cm="1">
        <f t="array" ref="Z128">Common_InputFunctions.Utility_DisplayArrayInTable(Fertiliser_SourceData.Fertiliser_Products_Data1(),FertiliserProducts[[#Headers],[Include or Exclude]], 0,4)</f>
        <v/>
      </c>
      <c r="AA128" s="117" t="str" cm="1">
        <f t="array" ref="AA128">Common_InputFunctions.Utility_DisplayArrayInTable(Fertiliser_SourceData.Fertiliser_Products_Data1(),FertiliserProducts[[#Headers],[Include or Exclude]], 0,4)</f>
        <v/>
      </c>
      <c r="AB128" s="117" t="str" cm="1">
        <f t="array" ref="AB128">Common_InputFunctions.Utility_DisplayArrayInTable(Fertiliser_SourceData.Fertiliser_Products_Data1(),FertiliserProducts[[#Headers],[Include or Exclude]], 0,4)</f>
        <v/>
      </c>
      <c r="AC128" s="117" t="str" cm="1">
        <f t="array" ref="AC128">Common_InputFunctions.Utility_DisplayArrayInTable(Fertiliser_SourceData.Fertiliser_Products_Data1(),FertiliserProducts[[#Headers],[Include or Exclude]], 0,4)</f>
        <v/>
      </c>
      <c r="AD128" s="117" t="str" cm="1">
        <f t="array" ref="AD128">Common_InputFunctions.Utility_DisplayArrayInTable(Fertiliser_SourceData.Fertiliser_Products_Data1(),FertiliserProducts[[#Headers],[Include or Exclude]], 0,4)</f>
        <v/>
      </c>
      <c r="AE128" s="117" t="str" cm="1">
        <f t="array" ref="AE128">Common_InputFunctions.Utility_DisplayArrayInTable(Fertiliser_SourceData.Fertiliser_Products_Data1(),FertiliserProducts[[#Headers],[Include or Exclude]], 0,4)</f>
        <v/>
      </c>
    </row>
    <row r="129" spans="1:31" ht="20.100000000000001" customHeight="1" x14ac:dyDescent="0.25">
      <c r="A129"/>
      <c r="D129" s="117" t="str" cm="1">
        <f t="array" ref="D129">Common_InputFunctions.Utility_DisplayArrayInTable(Fertiliser_SourceData.Fertiliser_Products_Data1(),FertiliserProducts[[#Headers],[Include or Exclude]], -1)</f>
        <v/>
      </c>
      <c r="E129" s="117" t="str" cm="1">
        <f t="array" ref="E129">Common_InputFunctions.Utility_DisplayArrayInTable(Fertiliser_SourceData.Fertiliser_Products_Data1(),FertiliserProducts[[#Headers],[Include or Exclude]], 0)</f>
        <v/>
      </c>
      <c r="F129" s="117" t="str" cm="1">
        <f t="array" ref="F129">Common_InputFunctions.Utility_DisplayArrayInTable(Fertiliser_SourceData.Fertiliser_Products_Data1(),FertiliserProducts[[#Headers],[Include or Exclude]], 0)</f>
        <v/>
      </c>
      <c r="G129" s="117" t="str" cm="1">
        <f t="array" ref="G129">Common_InputFunctions.Utility_DisplayArrayInTable(Fertiliser_SourceData.Fertiliser_Products_Data1(),FertiliserProducts[[#Headers],[Include or Exclude]], 0)</f>
        <v/>
      </c>
      <c r="H129" s="117" t="str" cm="1">
        <f t="array" ref="H129">Common_InputFunctions.Utility_DisplayArrayInTable(Fertiliser_SourceData.Fertiliser_Products_Data1(),FertiliserProducts[[#Headers],[Include or Exclude]], 0,4)</f>
        <v/>
      </c>
      <c r="I129" s="117" t="str" cm="1">
        <f t="array" ref="I129">Common_InputFunctions.Utility_DisplayArrayInTable(Fertiliser_SourceData.Fertiliser_Products_Data1(),FertiliserProducts[[#Headers],[Include or Exclude]], 0,4)</f>
        <v/>
      </c>
      <c r="J129" s="117" t="str" cm="1">
        <f t="array" ref="J129">Common_InputFunctions.Utility_DisplayArrayInTable(Fertiliser_SourceData.Fertiliser_Products_Data1(),FertiliserProducts[[#Headers],[Include or Exclude]], 0,4)</f>
        <v/>
      </c>
      <c r="K129" s="117" t="str" cm="1">
        <f t="array" ref="K129">Common_InputFunctions.Utility_DisplayArrayInTable(Fertiliser_SourceData.Fertiliser_Products_Data1(),FertiliserProducts[[#Headers],[Include or Exclude]], 0,4)</f>
        <v/>
      </c>
      <c r="L129" s="117" t="str" cm="1">
        <f t="array" ref="L129">Common_InputFunctions.Utility_DisplayArrayInTable(Fertiliser_SourceData.Fertiliser_Products_Data1(),FertiliserProducts[[#Headers],[Include or Exclude]], 0,4)</f>
        <v/>
      </c>
      <c r="M129" s="117" t="str" cm="1">
        <f t="array" ref="M129">Common_InputFunctions.Utility_DisplayArrayInTable(Fertiliser_SourceData.Fertiliser_Products_Data1(),FertiliserProducts[[#Headers],[Include or Exclude]], 0,4)</f>
        <v/>
      </c>
      <c r="N129" s="117" t="str" cm="1">
        <f t="array" ref="N129">Common_InputFunctions.Utility_DisplayArrayInTable(Fertiliser_SourceData.Fertiliser_Products_Data1(),FertiliserProducts[[#Headers],[Include or Exclude]], 0,4)</f>
        <v/>
      </c>
      <c r="O129" s="117" t="str" cm="1">
        <f t="array" ref="O129">Common_InputFunctions.Utility_DisplayArrayInTable(Fertiliser_SourceData.Fertiliser_Products_Data1(),FertiliserProducts[[#Headers],[Include or Exclude]], 0,4)</f>
        <v/>
      </c>
      <c r="P129" s="117" t="str" cm="1">
        <f t="array" ref="P129">Common_InputFunctions.Utility_DisplayArrayInTable(Fertiliser_SourceData.Fertiliser_Products_Data1(),FertiliserProducts[[#Headers],[Include or Exclude]], 0,4)</f>
        <v/>
      </c>
      <c r="Q129" s="117" t="str" cm="1">
        <f t="array" ref="Q129">Common_InputFunctions.Utility_DisplayArrayInTable(Fertiliser_SourceData.Fertiliser_Products_Data1(),FertiliserProducts[[#Headers],[Include or Exclude]], 0,4)</f>
        <v/>
      </c>
      <c r="R129" s="117" t="str" cm="1">
        <f t="array" ref="R129">Common_InputFunctions.Utility_DisplayArrayInTable(Fertiliser_SourceData.Fertiliser_Products_Data1(),FertiliserProducts[[#Headers],[Include or Exclude]], 0,4)</f>
        <v/>
      </c>
      <c r="S129" s="117" t="str" cm="1">
        <f t="array" ref="S129">Common_InputFunctions.Utility_DisplayArrayInTable(Fertiliser_SourceData.Fertiliser_Products_Data1(),FertiliserProducts[[#Headers],[Include or Exclude]], 0,4)</f>
        <v/>
      </c>
      <c r="T129" s="117" t="str" cm="1">
        <f t="array" ref="T129">Common_InputFunctions.Utility_DisplayArrayInTable(Fertiliser_SourceData.Fertiliser_Products_Data1(),FertiliserProducts[[#Headers],[Include or Exclude]], 0,4)</f>
        <v/>
      </c>
      <c r="U129" s="117" t="str" cm="1">
        <f t="array" ref="U129">Common_InputFunctions.Utility_DisplayArrayInTable(Fertiliser_SourceData.Fertiliser_Products_Data1(),FertiliserProducts[[#Headers],[Include or Exclude]], 0,4)</f>
        <v/>
      </c>
      <c r="V129" s="117" t="str" cm="1">
        <f t="array" ref="V129">Common_InputFunctions.Utility_DisplayArrayInTable(Fertiliser_SourceData.Fertiliser_Products_Data1(),FertiliserProducts[[#Headers],[Include or Exclude]], 0,4)</f>
        <v/>
      </c>
      <c r="W129" s="117" t="str" cm="1">
        <f t="array" ref="W129">Common_InputFunctions.Utility_DisplayArrayInTable(Fertiliser_SourceData.Fertiliser_Products_Data1(),FertiliserProducts[[#Headers],[Include or Exclude]], 0,4)</f>
        <v/>
      </c>
      <c r="X129" s="117" t="str" cm="1">
        <f t="array" ref="X129">Common_InputFunctions.Utility_DisplayArrayInTable(Fertiliser_SourceData.Fertiliser_Products_Data1(),FertiliserProducts[[#Headers],[Include or Exclude]], 0,4)</f>
        <v/>
      </c>
      <c r="Y129" s="117" t="str" cm="1">
        <f t="array" ref="Y129">Common_InputFunctions.Utility_DisplayArrayInTable(Fertiliser_SourceData.Fertiliser_Products_Data1(),FertiliserProducts[[#Headers],[Include or Exclude]], 0,4)</f>
        <v/>
      </c>
      <c r="Z129" s="117" t="str" cm="1">
        <f t="array" ref="Z129">Common_InputFunctions.Utility_DisplayArrayInTable(Fertiliser_SourceData.Fertiliser_Products_Data1(),FertiliserProducts[[#Headers],[Include or Exclude]], 0,4)</f>
        <v/>
      </c>
      <c r="AA129" s="117" t="str" cm="1">
        <f t="array" ref="AA129">Common_InputFunctions.Utility_DisplayArrayInTable(Fertiliser_SourceData.Fertiliser_Products_Data1(),FertiliserProducts[[#Headers],[Include or Exclude]], 0,4)</f>
        <v/>
      </c>
      <c r="AB129" s="117" t="str" cm="1">
        <f t="array" ref="AB129">Common_InputFunctions.Utility_DisplayArrayInTable(Fertiliser_SourceData.Fertiliser_Products_Data1(),FertiliserProducts[[#Headers],[Include or Exclude]], 0,4)</f>
        <v/>
      </c>
      <c r="AC129" s="117" t="str" cm="1">
        <f t="array" ref="AC129">Common_InputFunctions.Utility_DisplayArrayInTable(Fertiliser_SourceData.Fertiliser_Products_Data1(),FertiliserProducts[[#Headers],[Include or Exclude]], 0,4)</f>
        <v/>
      </c>
      <c r="AD129" s="117" t="str" cm="1">
        <f t="array" ref="AD129">Common_InputFunctions.Utility_DisplayArrayInTable(Fertiliser_SourceData.Fertiliser_Products_Data1(),FertiliserProducts[[#Headers],[Include or Exclude]], 0,4)</f>
        <v/>
      </c>
      <c r="AE129" s="117" t="str" cm="1">
        <f t="array" ref="AE129">Common_InputFunctions.Utility_DisplayArrayInTable(Fertiliser_SourceData.Fertiliser_Products_Data1(),FertiliserProducts[[#Headers],[Include or Exclude]], 0,4)</f>
        <v/>
      </c>
    </row>
    <row r="130" spans="1:31" ht="20.100000000000001" customHeight="1" x14ac:dyDescent="0.25">
      <c r="A130"/>
      <c r="D130" s="117" t="str" cm="1">
        <f t="array" ref="D130">Common_InputFunctions.Utility_DisplayArrayInTable(Fertiliser_SourceData.Fertiliser_Products_Data1(),FertiliserProducts[[#Headers],[Include or Exclude]], -1)</f>
        <v/>
      </c>
      <c r="E130" s="117" t="str" cm="1">
        <f t="array" ref="E130">Common_InputFunctions.Utility_DisplayArrayInTable(Fertiliser_SourceData.Fertiliser_Products_Data1(),FertiliserProducts[[#Headers],[Include or Exclude]], 0)</f>
        <v/>
      </c>
      <c r="F130" s="117" t="str" cm="1">
        <f t="array" ref="F130">Common_InputFunctions.Utility_DisplayArrayInTable(Fertiliser_SourceData.Fertiliser_Products_Data1(),FertiliserProducts[[#Headers],[Include or Exclude]], 0)</f>
        <v/>
      </c>
      <c r="G130" s="117" t="str" cm="1">
        <f t="array" ref="G130">Common_InputFunctions.Utility_DisplayArrayInTable(Fertiliser_SourceData.Fertiliser_Products_Data1(),FertiliserProducts[[#Headers],[Include or Exclude]], 0)</f>
        <v/>
      </c>
      <c r="H130" s="117" t="str" cm="1">
        <f t="array" ref="H130">Common_InputFunctions.Utility_DisplayArrayInTable(Fertiliser_SourceData.Fertiliser_Products_Data1(),FertiliserProducts[[#Headers],[Include or Exclude]], 0,4)</f>
        <v/>
      </c>
      <c r="I130" s="117" t="str" cm="1">
        <f t="array" ref="I130">Common_InputFunctions.Utility_DisplayArrayInTable(Fertiliser_SourceData.Fertiliser_Products_Data1(),FertiliserProducts[[#Headers],[Include or Exclude]], 0,4)</f>
        <v/>
      </c>
      <c r="J130" s="117" t="str" cm="1">
        <f t="array" ref="J130">Common_InputFunctions.Utility_DisplayArrayInTable(Fertiliser_SourceData.Fertiliser_Products_Data1(),FertiliserProducts[[#Headers],[Include or Exclude]], 0,4)</f>
        <v/>
      </c>
      <c r="K130" s="117" t="str" cm="1">
        <f t="array" ref="K130">Common_InputFunctions.Utility_DisplayArrayInTable(Fertiliser_SourceData.Fertiliser_Products_Data1(),FertiliserProducts[[#Headers],[Include or Exclude]], 0,4)</f>
        <v/>
      </c>
      <c r="L130" s="117" t="str" cm="1">
        <f t="array" ref="L130">Common_InputFunctions.Utility_DisplayArrayInTable(Fertiliser_SourceData.Fertiliser_Products_Data1(),FertiliserProducts[[#Headers],[Include or Exclude]], 0,4)</f>
        <v/>
      </c>
      <c r="M130" s="117" t="str" cm="1">
        <f t="array" ref="M130">Common_InputFunctions.Utility_DisplayArrayInTable(Fertiliser_SourceData.Fertiliser_Products_Data1(),FertiliserProducts[[#Headers],[Include or Exclude]], 0,4)</f>
        <v/>
      </c>
      <c r="N130" s="117" t="str" cm="1">
        <f t="array" ref="N130">Common_InputFunctions.Utility_DisplayArrayInTable(Fertiliser_SourceData.Fertiliser_Products_Data1(),FertiliserProducts[[#Headers],[Include or Exclude]], 0,4)</f>
        <v/>
      </c>
      <c r="O130" s="117" t="str" cm="1">
        <f t="array" ref="O130">Common_InputFunctions.Utility_DisplayArrayInTable(Fertiliser_SourceData.Fertiliser_Products_Data1(),FertiliserProducts[[#Headers],[Include or Exclude]], 0,4)</f>
        <v/>
      </c>
      <c r="P130" s="117" t="str" cm="1">
        <f t="array" ref="P130">Common_InputFunctions.Utility_DisplayArrayInTable(Fertiliser_SourceData.Fertiliser_Products_Data1(),FertiliserProducts[[#Headers],[Include or Exclude]], 0,4)</f>
        <v/>
      </c>
      <c r="Q130" s="117" t="str" cm="1">
        <f t="array" ref="Q130">Common_InputFunctions.Utility_DisplayArrayInTable(Fertiliser_SourceData.Fertiliser_Products_Data1(),FertiliserProducts[[#Headers],[Include or Exclude]], 0,4)</f>
        <v/>
      </c>
      <c r="R130" s="117" t="str" cm="1">
        <f t="array" ref="R130">Common_InputFunctions.Utility_DisplayArrayInTable(Fertiliser_SourceData.Fertiliser_Products_Data1(),FertiliserProducts[[#Headers],[Include or Exclude]], 0,4)</f>
        <v/>
      </c>
      <c r="S130" s="117" t="str" cm="1">
        <f t="array" ref="S130">Common_InputFunctions.Utility_DisplayArrayInTable(Fertiliser_SourceData.Fertiliser_Products_Data1(),FertiliserProducts[[#Headers],[Include or Exclude]], 0,4)</f>
        <v/>
      </c>
      <c r="T130" s="117" t="str" cm="1">
        <f t="array" ref="T130">Common_InputFunctions.Utility_DisplayArrayInTable(Fertiliser_SourceData.Fertiliser_Products_Data1(),FertiliserProducts[[#Headers],[Include or Exclude]], 0,4)</f>
        <v/>
      </c>
      <c r="U130" s="117" t="str" cm="1">
        <f t="array" ref="U130">Common_InputFunctions.Utility_DisplayArrayInTable(Fertiliser_SourceData.Fertiliser_Products_Data1(),FertiliserProducts[[#Headers],[Include or Exclude]], 0,4)</f>
        <v/>
      </c>
      <c r="V130" s="117" t="str" cm="1">
        <f t="array" ref="V130">Common_InputFunctions.Utility_DisplayArrayInTable(Fertiliser_SourceData.Fertiliser_Products_Data1(),FertiliserProducts[[#Headers],[Include or Exclude]], 0,4)</f>
        <v/>
      </c>
      <c r="W130" s="117" t="str" cm="1">
        <f t="array" ref="W130">Common_InputFunctions.Utility_DisplayArrayInTable(Fertiliser_SourceData.Fertiliser_Products_Data1(),FertiliserProducts[[#Headers],[Include or Exclude]], 0,4)</f>
        <v/>
      </c>
      <c r="X130" s="117" t="str" cm="1">
        <f t="array" ref="X130">Common_InputFunctions.Utility_DisplayArrayInTable(Fertiliser_SourceData.Fertiliser_Products_Data1(),FertiliserProducts[[#Headers],[Include or Exclude]], 0,4)</f>
        <v/>
      </c>
      <c r="Y130" s="117" t="str" cm="1">
        <f t="array" ref="Y130">Common_InputFunctions.Utility_DisplayArrayInTable(Fertiliser_SourceData.Fertiliser_Products_Data1(),FertiliserProducts[[#Headers],[Include or Exclude]], 0,4)</f>
        <v/>
      </c>
      <c r="Z130" s="117" t="str" cm="1">
        <f t="array" ref="Z130">Common_InputFunctions.Utility_DisplayArrayInTable(Fertiliser_SourceData.Fertiliser_Products_Data1(),FertiliserProducts[[#Headers],[Include or Exclude]], 0,4)</f>
        <v/>
      </c>
      <c r="AA130" s="117" t="str" cm="1">
        <f t="array" ref="AA130">Common_InputFunctions.Utility_DisplayArrayInTable(Fertiliser_SourceData.Fertiliser_Products_Data1(),FertiliserProducts[[#Headers],[Include or Exclude]], 0,4)</f>
        <v/>
      </c>
      <c r="AB130" s="117" t="str" cm="1">
        <f t="array" ref="AB130">Common_InputFunctions.Utility_DisplayArrayInTable(Fertiliser_SourceData.Fertiliser_Products_Data1(),FertiliserProducts[[#Headers],[Include or Exclude]], 0,4)</f>
        <v/>
      </c>
      <c r="AC130" s="117" t="str" cm="1">
        <f t="array" ref="AC130">Common_InputFunctions.Utility_DisplayArrayInTable(Fertiliser_SourceData.Fertiliser_Products_Data1(),FertiliserProducts[[#Headers],[Include or Exclude]], 0,4)</f>
        <v/>
      </c>
      <c r="AD130" s="117" t="str" cm="1">
        <f t="array" ref="AD130">Common_InputFunctions.Utility_DisplayArrayInTable(Fertiliser_SourceData.Fertiliser_Products_Data1(),FertiliserProducts[[#Headers],[Include or Exclude]], 0,4)</f>
        <v/>
      </c>
      <c r="AE130" s="117" t="str" cm="1">
        <f t="array" ref="AE130">Common_InputFunctions.Utility_DisplayArrayInTable(Fertiliser_SourceData.Fertiliser_Products_Data1(),FertiliserProducts[[#Headers],[Include or Exclude]], 0,4)</f>
        <v/>
      </c>
    </row>
    <row r="131" spans="1:31" ht="20.100000000000001" customHeight="1" x14ac:dyDescent="0.25">
      <c r="A131"/>
      <c r="D131" s="117" t="str" cm="1">
        <f t="array" ref="D131">Common_InputFunctions.Utility_DisplayArrayInTable(Fertiliser_SourceData.Fertiliser_Products_Data1(),FertiliserProducts[[#Headers],[Include or Exclude]], -1)</f>
        <v/>
      </c>
      <c r="E131" s="117" t="str" cm="1">
        <f t="array" ref="E131">Common_InputFunctions.Utility_DisplayArrayInTable(Fertiliser_SourceData.Fertiliser_Products_Data1(),FertiliserProducts[[#Headers],[Include or Exclude]], 0)</f>
        <v/>
      </c>
      <c r="F131" s="117" t="str" cm="1">
        <f t="array" ref="F131">Common_InputFunctions.Utility_DisplayArrayInTable(Fertiliser_SourceData.Fertiliser_Products_Data1(),FertiliserProducts[[#Headers],[Include or Exclude]], 0)</f>
        <v/>
      </c>
      <c r="G131" s="117" t="str" cm="1">
        <f t="array" ref="G131">Common_InputFunctions.Utility_DisplayArrayInTable(Fertiliser_SourceData.Fertiliser_Products_Data1(),FertiliserProducts[[#Headers],[Include or Exclude]], 0)</f>
        <v/>
      </c>
      <c r="H131" s="117" t="str" cm="1">
        <f t="array" ref="H131">Common_InputFunctions.Utility_DisplayArrayInTable(Fertiliser_SourceData.Fertiliser_Products_Data1(),FertiliserProducts[[#Headers],[Include or Exclude]], 0,4)</f>
        <v/>
      </c>
      <c r="I131" s="117" t="str" cm="1">
        <f t="array" ref="I131">Common_InputFunctions.Utility_DisplayArrayInTable(Fertiliser_SourceData.Fertiliser_Products_Data1(),FertiliserProducts[[#Headers],[Include or Exclude]], 0,4)</f>
        <v/>
      </c>
      <c r="J131" s="117" t="str" cm="1">
        <f t="array" ref="J131">Common_InputFunctions.Utility_DisplayArrayInTable(Fertiliser_SourceData.Fertiliser_Products_Data1(),FertiliserProducts[[#Headers],[Include or Exclude]], 0,4)</f>
        <v/>
      </c>
      <c r="K131" s="117" t="str" cm="1">
        <f t="array" ref="K131">Common_InputFunctions.Utility_DisplayArrayInTable(Fertiliser_SourceData.Fertiliser_Products_Data1(),FertiliserProducts[[#Headers],[Include or Exclude]], 0,4)</f>
        <v/>
      </c>
      <c r="L131" s="117" t="str" cm="1">
        <f t="array" ref="L131">Common_InputFunctions.Utility_DisplayArrayInTable(Fertiliser_SourceData.Fertiliser_Products_Data1(),FertiliserProducts[[#Headers],[Include or Exclude]], 0,4)</f>
        <v/>
      </c>
      <c r="M131" s="117" t="str" cm="1">
        <f t="array" ref="M131">Common_InputFunctions.Utility_DisplayArrayInTable(Fertiliser_SourceData.Fertiliser_Products_Data1(),FertiliserProducts[[#Headers],[Include or Exclude]], 0,4)</f>
        <v/>
      </c>
      <c r="N131" s="117" t="str" cm="1">
        <f t="array" ref="N131">Common_InputFunctions.Utility_DisplayArrayInTable(Fertiliser_SourceData.Fertiliser_Products_Data1(),FertiliserProducts[[#Headers],[Include or Exclude]], 0,4)</f>
        <v/>
      </c>
      <c r="O131" s="117" t="str" cm="1">
        <f t="array" ref="O131">Common_InputFunctions.Utility_DisplayArrayInTable(Fertiliser_SourceData.Fertiliser_Products_Data1(),FertiliserProducts[[#Headers],[Include or Exclude]], 0,4)</f>
        <v/>
      </c>
      <c r="P131" s="117" t="str" cm="1">
        <f t="array" ref="P131">Common_InputFunctions.Utility_DisplayArrayInTable(Fertiliser_SourceData.Fertiliser_Products_Data1(),FertiliserProducts[[#Headers],[Include or Exclude]], 0,4)</f>
        <v/>
      </c>
      <c r="Q131" s="117" t="str" cm="1">
        <f t="array" ref="Q131">Common_InputFunctions.Utility_DisplayArrayInTable(Fertiliser_SourceData.Fertiliser_Products_Data1(),FertiliserProducts[[#Headers],[Include or Exclude]], 0,4)</f>
        <v/>
      </c>
      <c r="R131" s="117" t="str" cm="1">
        <f t="array" ref="R131">Common_InputFunctions.Utility_DisplayArrayInTable(Fertiliser_SourceData.Fertiliser_Products_Data1(),FertiliserProducts[[#Headers],[Include or Exclude]], 0,4)</f>
        <v/>
      </c>
      <c r="S131" s="117" t="str" cm="1">
        <f t="array" ref="S131">Common_InputFunctions.Utility_DisplayArrayInTable(Fertiliser_SourceData.Fertiliser_Products_Data1(),FertiliserProducts[[#Headers],[Include or Exclude]], 0,4)</f>
        <v/>
      </c>
      <c r="T131" s="117" t="str" cm="1">
        <f t="array" ref="T131">Common_InputFunctions.Utility_DisplayArrayInTable(Fertiliser_SourceData.Fertiliser_Products_Data1(),FertiliserProducts[[#Headers],[Include or Exclude]], 0,4)</f>
        <v/>
      </c>
      <c r="U131" s="117" t="str" cm="1">
        <f t="array" ref="U131">Common_InputFunctions.Utility_DisplayArrayInTable(Fertiliser_SourceData.Fertiliser_Products_Data1(),FertiliserProducts[[#Headers],[Include or Exclude]], 0,4)</f>
        <v/>
      </c>
      <c r="V131" s="117" t="str" cm="1">
        <f t="array" ref="V131">Common_InputFunctions.Utility_DisplayArrayInTable(Fertiliser_SourceData.Fertiliser_Products_Data1(),FertiliserProducts[[#Headers],[Include or Exclude]], 0,4)</f>
        <v/>
      </c>
      <c r="W131" s="117" t="str" cm="1">
        <f t="array" ref="W131">Common_InputFunctions.Utility_DisplayArrayInTable(Fertiliser_SourceData.Fertiliser_Products_Data1(),FertiliserProducts[[#Headers],[Include or Exclude]], 0,4)</f>
        <v/>
      </c>
      <c r="X131" s="117" t="str" cm="1">
        <f t="array" ref="X131">Common_InputFunctions.Utility_DisplayArrayInTable(Fertiliser_SourceData.Fertiliser_Products_Data1(),FertiliserProducts[[#Headers],[Include or Exclude]], 0,4)</f>
        <v/>
      </c>
      <c r="Y131" s="117" t="str" cm="1">
        <f t="array" ref="Y131">Common_InputFunctions.Utility_DisplayArrayInTable(Fertiliser_SourceData.Fertiliser_Products_Data1(),FertiliserProducts[[#Headers],[Include or Exclude]], 0,4)</f>
        <v/>
      </c>
      <c r="Z131" s="117" t="str" cm="1">
        <f t="array" ref="Z131">Common_InputFunctions.Utility_DisplayArrayInTable(Fertiliser_SourceData.Fertiliser_Products_Data1(),FertiliserProducts[[#Headers],[Include or Exclude]], 0,4)</f>
        <v/>
      </c>
      <c r="AA131" s="117" t="str" cm="1">
        <f t="array" ref="AA131">Common_InputFunctions.Utility_DisplayArrayInTable(Fertiliser_SourceData.Fertiliser_Products_Data1(),FertiliserProducts[[#Headers],[Include or Exclude]], 0,4)</f>
        <v/>
      </c>
      <c r="AB131" s="117" t="str" cm="1">
        <f t="array" ref="AB131">Common_InputFunctions.Utility_DisplayArrayInTable(Fertiliser_SourceData.Fertiliser_Products_Data1(),FertiliserProducts[[#Headers],[Include or Exclude]], 0,4)</f>
        <v/>
      </c>
      <c r="AC131" s="117" t="str" cm="1">
        <f t="array" ref="AC131">Common_InputFunctions.Utility_DisplayArrayInTable(Fertiliser_SourceData.Fertiliser_Products_Data1(),FertiliserProducts[[#Headers],[Include or Exclude]], 0,4)</f>
        <v/>
      </c>
      <c r="AD131" s="117" t="str" cm="1">
        <f t="array" ref="AD131">Common_InputFunctions.Utility_DisplayArrayInTable(Fertiliser_SourceData.Fertiliser_Products_Data1(),FertiliserProducts[[#Headers],[Include or Exclude]], 0,4)</f>
        <v/>
      </c>
      <c r="AE131" s="117" t="str" cm="1">
        <f t="array" ref="AE131">Common_InputFunctions.Utility_DisplayArrayInTable(Fertiliser_SourceData.Fertiliser_Products_Data1(),FertiliserProducts[[#Headers],[Include or Exclude]], 0,4)</f>
        <v/>
      </c>
    </row>
    <row r="132" spans="1:31" ht="20.100000000000001" customHeight="1" x14ac:dyDescent="0.25">
      <c r="A132"/>
      <c r="D132" s="117" t="str" cm="1">
        <f t="array" ref="D132">Common_InputFunctions.Utility_DisplayArrayInTable(Fertiliser_SourceData.Fertiliser_Products_Data1(),FertiliserProducts[[#Headers],[Include or Exclude]], -1)</f>
        <v/>
      </c>
      <c r="E132" s="117" t="str" cm="1">
        <f t="array" ref="E132">Common_InputFunctions.Utility_DisplayArrayInTable(Fertiliser_SourceData.Fertiliser_Products_Data1(),FertiliserProducts[[#Headers],[Include or Exclude]], 0)</f>
        <v/>
      </c>
      <c r="F132" s="117" t="str" cm="1">
        <f t="array" ref="F132">Common_InputFunctions.Utility_DisplayArrayInTable(Fertiliser_SourceData.Fertiliser_Products_Data1(),FertiliserProducts[[#Headers],[Include or Exclude]], 0)</f>
        <v/>
      </c>
      <c r="G132" s="117" t="str" cm="1">
        <f t="array" ref="G132">Common_InputFunctions.Utility_DisplayArrayInTable(Fertiliser_SourceData.Fertiliser_Products_Data1(),FertiliserProducts[[#Headers],[Include or Exclude]], 0)</f>
        <v/>
      </c>
      <c r="H132" s="117" t="str" cm="1">
        <f t="array" ref="H132">Common_InputFunctions.Utility_DisplayArrayInTable(Fertiliser_SourceData.Fertiliser_Products_Data1(),FertiliserProducts[[#Headers],[Include or Exclude]], 0,4)</f>
        <v/>
      </c>
      <c r="I132" s="117" t="str" cm="1">
        <f t="array" ref="I132">Common_InputFunctions.Utility_DisplayArrayInTable(Fertiliser_SourceData.Fertiliser_Products_Data1(),FertiliserProducts[[#Headers],[Include or Exclude]], 0,4)</f>
        <v/>
      </c>
      <c r="J132" s="117" t="str" cm="1">
        <f t="array" ref="J132">Common_InputFunctions.Utility_DisplayArrayInTable(Fertiliser_SourceData.Fertiliser_Products_Data1(),FertiliserProducts[[#Headers],[Include or Exclude]], 0,4)</f>
        <v/>
      </c>
      <c r="K132" s="117" t="str" cm="1">
        <f t="array" ref="K132">Common_InputFunctions.Utility_DisplayArrayInTable(Fertiliser_SourceData.Fertiliser_Products_Data1(),FertiliserProducts[[#Headers],[Include or Exclude]], 0,4)</f>
        <v/>
      </c>
      <c r="L132" s="117" t="str" cm="1">
        <f t="array" ref="L132">Common_InputFunctions.Utility_DisplayArrayInTable(Fertiliser_SourceData.Fertiliser_Products_Data1(),FertiliserProducts[[#Headers],[Include or Exclude]], 0,4)</f>
        <v/>
      </c>
      <c r="M132" s="117" t="str" cm="1">
        <f t="array" ref="M132">Common_InputFunctions.Utility_DisplayArrayInTable(Fertiliser_SourceData.Fertiliser_Products_Data1(),FertiliserProducts[[#Headers],[Include or Exclude]], 0,4)</f>
        <v/>
      </c>
      <c r="N132" s="117" t="str" cm="1">
        <f t="array" ref="N132">Common_InputFunctions.Utility_DisplayArrayInTable(Fertiliser_SourceData.Fertiliser_Products_Data1(),FertiliserProducts[[#Headers],[Include or Exclude]], 0,4)</f>
        <v/>
      </c>
      <c r="O132" s="117" t="str" cm="1">
        <f t="array" ref="O132">Common_InputFunctions.Utility_DisplayArrayInTable(Fertiliser_SourceData.Fertiliser_Products_Data1(),FertiliserProducts[[#Headers],[Include or Exclude]], 0,4)</f>
        <v/>
      </c>
      <c r="P132" s="117" t="str" cm="1">
        <f t="array" ref="P132">Common_InputFunctions.Utility_DisplayArrayInTable(Fertiliser_SourceData.Fertiliser_Products_Data1(),FertiliserProducts[[#Headers],[Include or Exclude]], 0,4)</f>
        <v/>
      </c>
      <c r="Q132" s="117" t="str" cm="1">
        <f t="array" ref="Q132">Common_InputFunctions.Utility_DisplayArrayInTable(Fertiliser_SourceData.Fertiliser_Products_Data1(),FertiliserProducts[[#Headers],[Include or Exclude]], 0,4)</f>
        <v/>
      </c>
      <c r="R132" s="117" t="str" cm="1">
        <f t="array" ref="R132">Common_InputFunctions.Utility_DisplayArrayInTable(Fertiliser_SourceData.Fertiliser_Products_Data1(),FertiliserProducts[[#Headers],[Include or Exclude]], 0,4)</f>
        <v/>
      </c>
      <c r="S132" s="117" t="str" cm="1">
        <f t="array" ref="S132">Common_InputFunctions.Utility_DisplayArrayInTable(Fertiliser_SourceData.Fertiliser_Products_Data1(),FertiliserProducts[[#Headers],[Include or Exclude]], 0,4)</f>
        <v/>
      </c>
      <c r="T132" s="117" t="str" cm="1">
        <f t="array" ref="T132">Common_InputFunctions.Utility_DisplayArrayInTable(Fertiliser_SourceData.Fertiliser_Products_Data1(),FertiliserProducts[[#Headers],[Include or Exclude]], 0,4)</f>
        <v/>
      </c>
      <c r="U132" s="117" t="str" cm="1">
        <f t="array" ref="U132">Common_InputFunctions.Utility_DisplayArrayInTable(Fertiliser_SourceData.Fertiliser_Products_Data1(),FertiliserProducts[[#Headers],[Include or Exclude]], 0,4)</f>
        <v/>
      </c>
      <c r="V132" s="117" t="str" cm="1">
        <f t="array" ref="V132">Common_InputFunctions.Utility_DisplayArrayInTable(Fertiliser_SourceData.Fertiliser_Products_Data1(),FertiliserProducts[[#Headers],[Include or Exclude]], 0,4)</f>
        <v/>
      </c>
      <c r="W132" s="117" t="str" cm="1">
        <f t="array" ref="W132">Common_InputFunctions.Utility_DisplayArrayInTable(Fertiliser_SourceData.Fertiliser_Products_Data1(),FertiliserProducts[[#Headers],[Include or Exclude]], 0,4)</f>
        <v/>
      </c>
      <c r="X132" s="117" t="str" cm="1">
        <f t="array" ref="X132">Common_InputFunctions.Utility_DisplayArrayInTable(Fertiliser_SourceData.Fertiliser_Products_Data1(),FertiliserProducts[[#Headers],[Include or Exclude]], 0,4)</f>
        <v/>
      </c>
      <c r="Y132" s="117" t="str" cm="1">
        <f t="array" ref="Y132">Common_InputFunctions.Utility_DisplayArrayInTable(Fertiliser_SourceData.Fertiliser_Products_Data1(),FertiliserProducts[[#Headers],[Include or Exclude]], 0,4)</f>
        <v/>
      </c>
      <c r="Z132" s="117" t="str" cm="1">
        <f t="array" ref="Z132">Common_InputFunctions.Utility_DisplayArrayInTable(Fertiliser_SourceData.Fertiliser_Products_Data1(),FertiliserProducts[[#Headers],[Include or Exclude]], 0,4)</f>
        <v/>
      </c>
      <c r="AA132" s="117" t="str" cm="1">
        <f t="array" ref="AA132">Common_InputFunctions.Utility_DisplayArrayInTable(Fertiliser_SourceData.Fertiliser_Products_Data1(),FertiliserProducts[[#Headers],[Include or Exclude]], 0,4)</f>
        <v/>
      </c>
      <c r="AB132" s="117" t="str" cm="1">
        <f t="array" ref="AB132">Common_InputFunctions.Utility_DisplayArrayInTable(Fertiliser_SourceData.Fertiliser_Products_Data1(),FertiliserProducts[[#Headers],[Include or Exclude]], 0,4)</f>
        <v/>
      </c>
      <c r="AC132" s="117" t="str" cm="1">
        <f t="array" ref="AC132">Common_InputFunctions.Utility_DisplayArrayInTable(Fertiliser_SourceData.Fertiliser_Products_Data1(),FertiliserProducts[[#Headers],[Include or Exclude]], 0,4)</f>
        <v/>
      </c>
      <c r="AD132" s="117" t="str" cm="1">
        <f t="array" ref="AD132">Common_InputFunctions.Utility_DisplayArrayInTable(Fertiliser_SourceData.Fertiliser_Products_Data1(),FertiliserProducts[[#Headers],[Include or Exclude]], 0,4)</f>
        <v/>
      </c>
      <c r="AE132" s="117" t="str" cm="1">
        <f t="array" ref="AE132">Common_InputFunctions.Utility_DisplayArrayInTable(Fertiliser_SourceData.Fertiliser_Products_Data1(),FertiliserProducts[[#Headers],[Include or Exclude]], 0,4)</f>
        <v/>
      </c>
    </row>
    <row r="133" spans="1:31" ht="20.100000000000001" customHeight="1" x14ac:dyDescent="0.25">
      <c r="A133"/>
      <c r="D133" s="117" t="str" cm="1">
        <f t="array" ref="D133">Common_InputFunctions.Utility_DisplayArrayInTable(Fertiliser_SourceData.Fertiliser_Products_Data1(),FertiliserProducts[[#Headers],[Include or Exclude]], -1)</f>
        <v/>
      </c>
      <c r="E133" s="117" t="str" cm="1">
        <f t="array" ref="E133">Common_InputFunctions.Utility_DisplayArrayInTable(Fertiliser_SourceData.Fertiliser_Products_Data1(),FertiliserProducts[[#Headers],[Include or Exclude]], 0)</f>
        <v/>
      </c>
      <c r="F133" s="117" t="str" cm="1">
        <f t="array" ref="F133">Common_InputFunctions.Utility_DisplayArrayInTable(Fertiliser_SourceData.Fertiliser_Products_Data1(),FertiliserProducts[[#Headers],[Include or Exclude]], 0)</f>
        <v/>
      </c>
      <c r="G133" s="117" t="str" cm="1">
        <f t="array" ref="G133">Common_InputFunctions.Utility_DisplayArrayInTable(Fertiliser_SourceData.Fertiliser_Products_Data1(),FertiliserProducts[[#Headers],[Include or Exclude]], 0)</f>
        <v/>
      </c>
      <c r="H133" s="117" t="str" cm="1">
        <f t="array" ref="H133">Common_InputFunctions.Utility_DisplayArrayInTable(Fertiliser_SourceData.Fertiliser_Products_Data1(),FertiliserProducts[[#Headers],[Include or Exclude]], 0,4)</f>
        <v/>
      </c>
      <c r="I133" s="117" t="str" cm="1">
        <f t="array" ref="I133">Common_InputFunctions.Utility_DisplayArrayInTable(Fertiliser_SourceData.Fertiliser_Products_Data1(),FertiliserProducts[[#Headers],[Include or Exclude]], 0,4)</f>
        <v/>
      </c>
      <c r="J133" s="117" t="str" cm="1">
        <f t="array" ref="J133">Common_InputFunctions.Utility_DisplayArrayInTable(Fertiliser_SourceData.Fertiliser_Products_Data1(),FertiliserProducts[[#Headers],[Include or Exclude]], 0,4)</f>
        <v/>
      </c>
      <c r="K133" s="117" t="str" cm="1">
        <f t="array" ref="K133">Common_InputFunctions.Utility_DisplayArrayInTable(Fertiliser_SourceData.Fertiliser_Products_Data1(),FertiliserProducts[[#Headers],[Include or Exclude]], 0,4)</f>
        <v/>
      </c>
      <c r="L133" s="117" t="str" cm="1">
        <f t="array" ref="L133">Common_InputFunctions.Utility_DisplayArrayInTable(Fertiliser_SourceData.Fertiliser_Products_Data1(),FertiliserProducts[[#Headers],[Include or Exclude]], 0,4)</f>
        <v/>
      </c>
      <c r="M133" s="117" t="str" cm="1">
        <f t="array" ref="M133">Common_InputFunctions.Utility_DisplayArrayInTable(Fertiliser_SourceData.Fertiliser_Products_Data1(),FertiliserProducts[[#Headers],[Include or Exclude]], 0,4)</f>
        <v/>
      </c>
      <c r="N133" s="117" t="str" cm="1">
        <f t="array" ref="N133">Common_InputFunctions.Utility_DisplayArrayInTable(Fertiliser_SourceData.Fertiliser_Products_Data1(),FertiliserProducts[[#Headers],[Include or Exclude]], 0,4)</f>
        <v/>
      </c>
      <c r="O133" s="117" t="str" cm="1">
        <f t="array" ref="O133">Common_InputFunctions.Utility_DisplayArrayInTable(Fertiliser_SourceData.Fertiliser_Products_Data1(),FertiliserProducts[[#Headers],[Include or Exclude]], 0,4)</f>
        <v/>
      </c>
      <c r="P133" s="117" t="str" cm="1">
        <f t="array" ref="P133">Common_InputFunctions.Utility_DisplayArrayInTable(Fertiliser_SourceData.Fertiliser_Products_Data1(),FertiliserProducts[[#Headers],[Include or Exclude]], 0,4)</f>
        <v/>
      </c>
      <c r="Q133" s="117" t="str" cm="1">
        <f t="array" ref="Q133">Common_InputFunctions.Utility_DisplayArrayInTable(Fertiliser_SourceData.Fertiliser_Products_Data1(),FertiliserProducts[[#Headers],[Include or Exclude]], 0,4)</f>
        <v/>
      </c>
      <c r="R133" s="117" t="str" cm="1">
        <f t="array" ref="R133">Common_InputFunctions.Utility_DisplayArrayInTable(Fertiliser_SourceData.Fertiliser_Products_Data1(),FertiliserProducts[[#Headers],[Include or Exclude]], 0,4)</f>
        <v/>
      </c>
      <c r="S133" s="117" t="str" cm="1">
        <f t="array" ref="S133">Common_InputFunctions.Utility_DisplayArrayInTable(Fertiliser_SourceData.Fertiliser_Products_Data1(),FertiliserProducts[[#Headers],[Include or Exclude]], 0,4)</f>
        <v/>
      </c>
      <c r="T133" s="117" t="str" cm="1">
        <f t="array" ref="T133">Common_InputFunctions.Utility_DisplayArrayInTable(Fertiliser_SourceData.Fertiliser_Products_Data1(),FertiliserProducts[[#Headers],[Include or Exclude]], 0,4)</f>
        <v/>
      </c>
      <c r="U133" s="117" t="str" cm="1">
        <f t="array" ref="U133">Common_InputFunctions.Utility_DisplayArrayInTable(Fertiliser_SourceData.Fertiliser_Products_Data1(),FertiliserProducts[[#Headers],[Include or Exclude]], 0,4)</f>
        <v/>
      </c>
      <c r="V133" s="117" t="str" cm="1">
        <f t="array" ref="V133">Common_InputFunctions.Utility_DisplayArrayInTable(Fertiliser_SourceData.Fertiliser_Products_Data1(),FertiliserProducts[[#Headers],[Include or Exclude]], 0,4)</f>
        <v/>
      </c>
      <c r="W133" s="117" t="str" cm="1">
        <f t="array" ref="W133">Common_InputFunctions.Utility_DisplayArrayInTable(Fertiliser_SourceData.Fertiliser_Products_Data1(),FertiliserProducts[[#Headers],[Include or Exclude]], 0,4)</f>
        <v/>
      </c>
      <c r="X133" s="117" t="str" cm="1">
        <f t="array" ref="X133">Common_InputFunctions.Utility_DisplayArrayInTable(Fertiliser_SourceData.Fertiliser_Products_Data1(),FertiliserProducts[[#Headers],[Include or Exclude]], 0,4)</f>
        <v/>
      </c>
      <c r="Y133" s="117" t="str" cm="1">
        <f t="array" ref="Y133">Common_InputFunctions.Utility_DisplayArrayInTable(Fertiliser_SourceData.Fertiliser_Products_Data1(),FertiliserProducts[[#Headers],[Include or Exclude]], 0,4)</f>
        <v/>
      </c>
      <c r="Z133" s="117" t="str" cm="1">
        <f t="array" ref="Z133">Common_InputFunctions.Utility_DisplayArrayInTable(Fertiliser_SourceData.Fertiliser_Products_Data1(),FertiliserProducts[[#Headers],[Include or Exclude]], 0,4)</f>
        <v/>
      </c>
      <c r="AA133" s="117" t="str" cm="1">
        <f t="array" ref="AA133">Common_InputFunctions.Utility_DisplayArrayInTable(Fertiliser_SourceData.Fertiliser_Products_Data1(),FertiliserProducts[[#Headers],[Include or Exclude]], 0,4)</f>
        <v/>
      </c>
      <c r="AB133" s="117" t="str" cm="1">
        <f t="array" ref="AB133">Common_InputFunctions.Utility_DisplayArrayInTable(Fertiliser_SourceData.Fertiliser_Products_Data1(),FertiliserProducts[[#Headers],[Include or Exclude]], 0,4)</f>
        <v/>
      </c>
      <c r="AC133" s="117" t="str" cm="1">
        <f t="array" ref="AC133">Common_InputFunctions.Utility_DisplayArrayInTable(Fertiliser_SourceData.Fertiliser_Products_Data1(),FertiliserProducts[[#Headers],[Include or Exclude]], 0,4)</f>
        <v/>
      </c>
      <c r="AD133" s="117" t="str" cm="1">
        <f t="array" ref="AD133">Common_InputFunctions.Utility_DisplayArrayInTable(Fertiliser_SourceData.Fertiliser_Products_Data1(),FertiliserProducts[[#Headers],[Include or Exclude]], 0,4)</f>
        <v/>
      </c>
      <c r="AE133" s="117" t="str" cm="1">
        <f t="array" ref="AE133">Common_InputFunctions.Utility_DisplayArrayInTable(Fertiliser_SourceData.Fertiliser_Products_Data1(),FertiliserProducts[[#Headers],[Include or Exclude]], 0,4)</f>
        <v/>
      </c>
    </row>
    <row r="134" spans="1:31" ht="20.100000000000001" customHeight="1" x14ac:dyDescent="0.25">
      <c r="A134"/>
      <c r="D134" s="117" t="str" cm="1">
        <f t="array" ref="D134">Common_InputFunctions.Utility_DisplayArrayInTable(Fertiliser_SourceData.Fertiliser_Products_Data1(),FertiliserProducts[[#Headers],[Include or Exclude]], -1)</f>
        <v/>
      </c>
      <c r="E134" s="117" t="str" cm="1">
        <f t="array" ref="E134">Common_InputFunctions.Utility_DisplayArrayInTable(Fertiliser_SourceData.Fertiliser_Products_Data1(),FertiliserProducts[[#Headers],[Include or Exclude]], 0)</f>
        <v/>
      </c>
      <c r="F134" s="117" t="str" cm="1">
        <f t="array" ref="F134">Common_InputFunctions.Utility_DisplayArrayInTable(Fertiliser_SourceData.Fertiliser_Products_Data1(),FertiliserProducts[[#Headers],[Include or Exclude]], 0)</f>
        <v/>
      </c>
      <c r="G134" s="117" t="str" cm="1">
        <f t="array" ref="G134">Common_InputFunctions.Utility_DisplayArrayInTable(Fertiliser_SourceData.Fertiliser_Products_Data1(),FertiliserProducts[[#Headers],[Include or Exclude]], 0)</f>
        <v/>
      </c>
      <c r="H134" s="117" t="str" cm="1">
        <f t="array" ref="H134">Common_InputFunctions.Utility_DisplayArrayInTable(Fertiliser_SourceData.Fertiliser_Products_Data1(),FertiliserProducts[[#Headers],[Include or Exclude]], 0,4)</f>
        <v/>
      </c>
      <c r="I134" s="117" t="str" cm="1">
        <f t="array" ref="I134">Common_InputFunctions.Utility_DisplayArrayInTable(Fertiliser_SourceData.Fertiliser_Products_Data1(),FertiliserProducts[[#Headers],[Include or Exclude]], 0,4)</f>
        <v/>
      </c>
      <c r="J134" s="117" t="str" cm="1">
        <f t="array" ref="J134">Common_InputFunctions.Utility_DisplayArrayInTable(Fertiliser_SourceData.Fertiliser_Products_Data1(),FertiliserProducts[[#Headers],[Include or Exclude]], 0,4)</f>
        <v/>
      </c>
      <c r="K134" s="117" t="str" cm="1">
        <f t="array" ref="K134">Common_InputFunctions.Utility_DisplayArrayInTable(Fertiliser_SourceData.Fertiliser_Products_Data1(),FertiliserProducts[[#Headers],[Include or Exclude]], 0,4)</f>
        <v/>
      </c>
      <c r="L134" s="117" t="str" cm="1">
        <f t="array" ref="L134">Common_InputFunctions.Utility_DisplayArrayInTable(Fertiliser_SourceData.Fertiliser_Products_Data1(),FertiliserProducts[[#Headers],[Include or Exclude]], 0,4)</f>
        <v/>
      </c>
      <c r="M134" s="117" t="str" cm="1">
        <f t="array" ref="M134">Common_InputFunctions.Utility_DisplayArrayInTable(Fertiliser_SourceData.Fertiliser_Products_Data1(),FertiliserProducts[[#Headers],[Include or Exclude]], 0,4)</f>
        <v/>
      </c>
      <c r="N134" s="117" t="str" cm="1">
        <f t="array" ref="N134">Common_InputFunctions.Utility_DisplayArrayInTable(Fertiliser_SourceData.Fertiliser_Products_Data1(),FertiliserProducts[[#Headers],[Include or Exclude]], 0,4)</f>
        <v/>
      </c>
      <c r="O134" s="117" t="str" cm="1">
        <f t="array" ref="O134">Common_InputFunctions.Utility_DisplayArrayInTable(Fertiliser_SourceData.Fertiliser_Products_Data1(),FertiliserProducts[[#Headers],[Include or Exclude]], 0,4)</f>
        <v/>
      </c>
      <c r="P134" s="117" t="str" cm="1">
        <f t="array" ref="P134">Common_InputFunctions.Utility_DisplayArrayInTable(Fertiliser_SourceData.Fertiliser_Products_Data1(),FertiliserProducts[[#Headers],[Include or Exclude]], 0,4)</f>
        <v/>
      </c>
      <c r="Q134" s="117" t="str" cm="1">
        <f t="array" ref="Q134">Common_InputFunctions.Utility_DisplayArrayInTable(Fertiliser_SourceData.Fertiliser_Products_Data1(),FertiliserProducts[[#Headers],[Include or Exclude]], 0,4)</f>
        <v/>
      </c>
      <c r="R134" s="117" t="str" cm="1">
        <f t="array" ref="R134">Common_InputFunctions.Utility_DisplayArrayInTable(Fertiliser_SourceData.Fertiliser_Products_Data1(),FertiliserProducts[[#Headers],[Include or Exclude]], 0,4)</f>
        <v/>
      </c>
      <c r="S134" s="117" t="str" cm="1">
        <f t="array" ref="S134">Common_InputFunctions.Utility_DisplayArrayInTable(Fertiliser_SourceData.Fertiliser_Products_Data1(),FertiliserProducts[[#Headers],[Include or Exclude]], 0,4)</f>
        <v/>
      </c>
      <c r="T134" s="117" t="str" cm="1">
        <f t="array" ref="T134">Common_InputFunctions.Utility_DisplayArrayInTable(Fertiliser_SourceData.Fertiliser_Products_Data1(),FertiliserProducts[[#Headers],[Include or Exclude]], 0,4)</f>
        <v/>
      </c>
      <c r="U134" s="117" t="str" cm="1">
        <f t="array" ref="U134">Common_InputFunctions.Utility_DisplayArrayInTable(Fertiliser_SourceData.Fertiliser_Products_Data1(),FertiliserProducts[[#Headers],[Include or Exclude]], 0,4)</f>
        <v/>
      </c>
      <c r="V134" s="117" t="str" cm="1">
        <f t="array" ref="V134">Common_InputFunctions.Utility_DisplayArrayInTable(Fertiliser_SourceData.Fertiliser_Products_Data1(),FertiliserProducts[[#Headers],[Include or Exclude]], 0,4)</f>
        <v/>
      </c>
      <c r="W134" s="117" t="str" cm="1">
        <f t="array" ref="W134">Common_InputFunctions.Utility_DisplayArrayInTable(Fertiliser_SourceData.Fertiliser_Products_Data1(),FertiliserProducts[[#Headers],[Include or Exclude]], 0,4)</f>
        <v/>
      </c>
      <c r="X134" s="117" t="str" cm="1">
        <f t="array" ref="X134">Common_InputFunctions.Utility_DisplayArrayInTable(Fertiliser_SourceData.Fertiliser_Products_Data1(),FertiliserProducts[[#Headers],[Include or Exclude]], 0,4)</f>
        <v/>
      </c>
      <c r="Y134" s="117" t="str" cm="1">
        <f t="array" ref="Y134">Common_InputFunctions.Utility_DisplayArrayInTable(Fertiliser_SourceData.Fertiliser_Products_Data1(),FertiliserProducts[[#Headers],[Include or Exclude]], 0,4)</f>
        <v/>
      </c>
      <c r="Z134" s="117" t="str" cm="1">
        <f t="array" ref="Z134">Common_InputFunctions.Utility_DisplayArrayInTable(Fertiliser_SourceData.Fertiliser_Products_Data1(),FertiliserProducts[[#Headers],[Include or Exclude]], 0,4)</f>
        <v/>
      </c>
      <c r="AA134" s="117" t="str" cm="1">
        <f t="array" ref="AA134">Common_InputFunctions.Utility_DisplayArrayInTable(Fertiliser_SourceData.Fertiliser_Products_Data1(),FertiliserProducts[[#Headers],[Include or Exclude]], 0,4)</f>
        <v/>
      </c>
      <c r="AB134" s="117" t="str" cm="1">
        <f t="array" ref="AB134">Common_InputFunctions.Utility_DisplayArrayInTable(Fertiliser_SourceData.Fertiliser_Products_Data1(),FertiliserProducts[[#Headers],[Include or Exclude]], 0,4)</f>
        <v/>
      </c>
      <c r="AC134" s="117" t="str" cm="1">
        <f t="array" ref="AC134">Common_InputFunctions.Utility_DisplayArrayInTable(Fertiliser_SourceData.Fertiliser_Products_Data1(),FertiliserProducts[[#Headers],[Include or Exclude]], 0,4)</f>
        <v/>
      </c>
      <c r="AD134" s="117" t="str" cm="1">
        <f t="array" ref="AD134">Common_InputFunctions.Utility_DisplayArrayInTable(Fertiliser_SourceData.Fertiliser_Products_Data1(),FertiliserProducts[[#Headers],[Include or Exclude]], 0,4)</f>
        <v/>
      </c>
      <c r="AE134" s="117" t="str" cm="1">
        <f t="array" ref="AE134">Common_InputFunctions.Utility_DisplayArrayInTable(Fertiliser_SourceData.Fertiliser_Products_Data1(),FertiliserProducts[[#Headers],[Include or Exclude]], 0,4)</f>
        <v/>
      </c>
    </row>
    <row r="135" spans="1:31" ht="20.100000000000001" customHeight="1" x14ac:dyDescent="0.25">
      <c r="A135"/>
      <c r="D135" s="117" t="str" cm="1">
        <f t="array" ref="D135">Common_InputFunctions.Utility_DisplayArrayInTable(Fertiliser_SourceData.Fertiliser_Products_Data1(),FertiliserProducts[[#Headers],[Include or Exclude]], -1)</f>
        <v/>
      </c>
      <c r="E135" s="117" t="str" cm="1">
        <f t="array" ref="E135">Common_InputFunctions.Utility_DisplayArrayInTable(Fertiliser_SourceData.Fertiliser_Products_Data1(),FertiliserProducts[[#Headers],[Include or Exclude]], 0)</f>
        <v/>
      </c>
      <c r="F135" s="117" t="str" cm="1">
        <f t="array" ref="F135">Common_InputFunctions.Utility_DisplayArrayInTable(Fertiliser_SourceData.Fertiliser_Products_Data1(),FertiliserProducts[[#Headers],[Include or Exclude]], 0)</f>
        <v/>
      </c>
      <c r="G135" s="117" t="str" cm="1">
        <f t="array" ref="G135">Common_InputFunctions.Utility_DisplayArrayInTable(Fertiliser_SourceData.Fertiliser_Products_Data1(),FertiliserProducts[[#Headers],[Include or Exclude]], 0)</f>
        <v/>
      </c>
      <c r="H135" s="117" t="str" cm="1">
        <f t="array" ref="H135">Common_InputFunctions.Utility_DisplayArrayInTable(Fertiliser_SourceData.Fertiliser_Products_Data1(),FertiliserProducts[[#Headers],[Include or Exclude]], 0,4)</f>
        <v/>
      </c>
      <c r="I135" s="117" t="str" cm="1">
        <f t="array" ref="I135">Common_InputFunctions.Utility_DisplayArrayInTable(Fertiliser_SourceData.Fertiliser_Products_Data1(),FertiliserProducts[[#Headers],[Include or Exclude]], 0,4)</f>
        <v/>
      </c>
      <c r="J135" s="117" t="str" cm="1">
        <f t="array" ref="J135">Common_InputFunctions.Utility_DisplayArrayInTable(Fertiliser_SourceData.Fertiliser_Products_Data1(),FertiliserProducts[[#Headers],[Include or Exclude]], 0,4)</f>
        <v/>
      </c>
      <c r="K135" s="117" t="str" cm="1">
        <f t="array" ref="K135">Common_InputFunctions.Utility_DisplayArrayInTable(Fertiliser_SourceData.Fertiliser_Products_Data1(),FertiliserProducts[[#Headers],[Include or Exclude]], 0,4)</f>
        <v/>
      </c>
      <c r="L135" s="117" t="str" cm="1">
        <f t="array" ref="L135">Common_InputFunctions.Utility_DisplayArrayInTable(Fertiliser_SourceData.Fertiliser_Products_Data1(),FertiliserProducts[[#Headers],[Include or Exclude]], 0,4)</f>
        <v/>
      </c>
      <c r="M135" s="117" t="str" cm="1">
        <f t="array" ref="M135">Common_InputFunctions.Utility_DisplayArrayInTable(Fertiliser_SourceData.Fertiliser_Products_Data1(),FertiliserProducts[[#Headers],[Include or Exclude]], 0,4)</f>
        <v/>
      </c>
      <c r="N135" s="117" t="str" cm="1">
        <f t="array" ref="N135">Common_InputFunctions.Utility_DisplayArrayInTable(Fertiliser_SourceData.Fertiliser_Products_Data1(),FertiliserProducts[[#Headers],[Include or Exclude]], 0,4)</f>
        <v/>
      </c>
      <c r="O135" s="117" t="str" cm="1">
        <f t="array" ref="O135">Common_InputFunctions.Utility_DisplayArrayInTable(Fertiliser_SourceData.Fertiliser_Products_Data1(),FertiliserProducts[[#Headers],[Include or Exclude]], 0,4)</f>
        <v/>
      </c>
      <c r="P135" s="117" t="str" cm="1">
        <f t="array" ref="P135">Common_InputFunctions.Utility_DisplayArrayInTable(Fertiliser_SourceData.Fertiliser_Products_Data1(),FertiliserProducts[[#Headers],[Include or Exclude]], 0,4)</f>
        <v/>
      </c>
      <c r="Q135" s="117" t="str" cm="1">
        <f t="array" ref="Q135">Common_InputFunctions.Utility_DisplayArrayInTable(Fertiliser_SourceData.Fertiliser_Products_Data1(),FertiliserProducts[[#Headers],[Include or Exclude]], 0,4)</f>
        <v/>
      </c>
      <c r="R135" s="117" t="str" cm="1">
        <f t="array" ref="R135">Common_InputFunctions.Utility_DisplayArrayInTable(Fertiliser_SourceData.Fertiliser_Products_Data1(),FertiliserProducts[[#Headers],[Include or Exclude]], 0,4)</f>
        <v/>
      </c>
      <c r="S135" s="117" t="str" cm="1">
        <f t="array" ref="S135">Common_InputFunctions.Utility_DisplayArrayInTable(Fertiliser_SourceData.Fertiliser_Products_Data1(),FertiliserProducts[[#Headers],[Include or Exclude]], 0,4)</f>
        <v/>
      </c>
      <c r="T135" s="117" t="str" cm="1">
        <f t="array" ref="T135">Common_InputFunctions.Utility_DisplayArrayInTable(Fertiliser_SourceData.Fertiliser_Products_Data1(),FertiliserProducts[[#Headers],[Include or Exclude]], 0,4)</f>
        <v/>
      </c>
      <c r="U135" s="117" t="str" cm="1">
        <f t="array" ref="U135">Common_InputFunctions.Utility_DisplayArrayInTable(Fertiliser_SourceData.Fertiliser_Products_Data1(),FertiliserProducts[[#Headers],[Include or Exclude]], 0,4)</f>
        <v/>
      </c>
      <c r="V135" s="117" t="str" cm="1">
        <f t="array" ref="V135">Common_InputFunctions.Utility_DisplayArrayInTable(Fertiliser_SourceData.Fertiliser_Products_Data1(),FertiliserProducts[[#Headers],[Include or Exclude]], 0,4)</f>
        <v/>
      </c>
      <c r="W135" s="117" t="str" cm="1">
        <f t="array" ref="W135">Common_InputFunctions.Utility_DisplayArrayInTable(Fertiliser_SourceData.Fertiliser_Products_Data1(),FertiliserProducts[[#Headers],[Include or Exclude]], 0,4)</f>
        <v/>
      </c>
      <c r="X135" s="117" t="str" cm="1">
        <f t="array" ref="X135">Common_InputFunctions.Utility_DisplayArrayInTable(Fertiliser_SourceData.Fertiliser_Products_Data1(),FertiliserProducts[[#Headers],[Include or Exclude]], 0,4)</f>
        <v/>
      </c>
      <c r="Y135" s="117" t="str" cm="1">
        <f t="array" ref="Y135">Common_InputFunctions.Utility_DisplayArrayInTable(Fertiliser_SourceData.Fertiliser_Products_Data1(),FertiliserProducts[[#Headers],[Include or Exclude]], 0,4)</f>
        <v/>
      </c>
      <c r="Z135" s="117" t="str" cm="1">
        <f t="array" ref="Z135">Common_InputFunctions.Utility_DisplayArrayInTable(Fertiliser_SourceData.Fertiliser_Products_Data1(),FertiliserProducts[[#Headers],[Include or Exclude]], 0,4)</f>
        <v/>
      </c>
      <c r="AA135" s="117" t="str" cm="1">
        <f t="array" ref="AA135">Common_InputFunctions.Utility_DisplayArrayInTable(Fertiliser_SourceData.Fertiliser_Products_Data1(),FertiliserProducts[[#Headers],[Include or Exclude]], 0,4)</f>
        <v/>
      </c>
      <c r="AB135" s="117" t="str" cm="1">
        <f t="array" ref="AB135">Common_InputFunctions.Utility_DisplayArrayInTable(Fertiliser_SourceData.Fertiliser_Products_Data1(),FertiliserProducts[[#Headers],[Include or Exclude]], 0,4)</f>
        <v/>
      </c>
      <c r="AC135" s="117" t="str" cm="1">
        <f t="array" ref="AC135">Common_InputFunctions.Utility_DisplayArrayInTable(Fertiliser_SourceData.Fertiliser_Products_Data1(),FertiliserProducts[[#Headers],[Include or Exclude]], 0,4)</f>
        <v/>
      </c>
      <c r="AD135" s="117" t="str" cm="1">
        <f t="array" ref="AD135">Common_InputFunctions.Utility_DisplayArrayInTable(Fertiliser_SourceData.Fertiliser_Products_Data1(),FertiliserProducts[[#Headers],[Include or Exclude]], 0,4)</f>
        <v/>
      </c>
      <c r="AE135" s="117" t="str" cm="1">
        <f t="array" ref="AE135">Common_InputFunctions.Utility_DisplayArrayInTable(Fertiliser_SourceData.Fertiliser_Products_Data1(),FertiliserProducts[[#Headers],[Include or Exclude]], 0,4)</f>
        <v/>
      </c>
    </row>
    <row r="136" spans="1:31" ht="20.100000000000001" customHeight="1" x14ac:dyDescent="0.25">
      <c r="A136"/>
      <c r="D136" s="117" t="str" cm="1">
        <f t="array" ref="D136">Common_InputFunctions.Utility_DisplayArrayInTable(Fertiliser_SourceData.Fertiliser_Products_Data1(),FertiliserProducts[[#Headers],[Include or Exclude]], -1)</f>
        <v/>
      </c>
      <c r="E136" s="117" t="str" cm="1">
        <f t="array" ref="E136">Common_InputFunctions.Utility_DisplayArrayInTable(Fertiliser_SourceData.Fertiliser_Products_Data1(),FertiliserProducts[[#Headers],[Include or Exclude]], 0)</f>
        <v/>
      </c>
      <c r="F136" s="117" t="str" cm="1">
        <f t="array" ref="F136">Common_InputFunctions.Utility_DisplayArrayInTable(Fertiliser_SourceData.Fertiliser_Products_Data1(),FertiliserProducts[[#Headers],[Include or Exclude]], 0)</f>
        <v/>
      </c>
      <c r="G136" s="117" t="str" cm="1">
        <f t="array" ref="G136">Common_InputFunctions.Utility_DisplayArrayInTable(Fertiliser_SourceData.Fertiliser_Products_Data1(),FertiliserProducts[[#Headers],[Include or Exclude]], 0)</f>
        <v/>
      </c>
      <c r="H136" s="117" t="str" cm="1">
        <f t="array" ref="H136">Common_InputFunctions.Utility_DisplayArrayInTable(Fertiliser_SourceData.Fertiliser_Products_Data1(),FertiliserProducts[[#Headers],[Include or Exclude]], 0,4)</f>
        <v/>
      </c>
      <c r="I136" s="117" t="str" cm="1">
        <f t="array" ref="I136">Common_InputFunctions.Utility_DisplayArrayInTable(Fertiliser_SourceData.Fertiliser_Products_Data1(),FertiliserProducts[[#Headers],[Include or Exclude]], 0,4)</f>
        <v/>
      </c>
      <c r="J136" s="117" t="str" cm="1">
        <f t="array" ref="J136">Common_InputFunctions.Utility_DisplayArrayInTable(Fertiliser_SourceData.Fertiliser_Products_Data1(),FertiliserProducts[[#Headers],[Include or Exclude]], 0,4)</f>
        <v/>
      </c>
      <c r="K136" s="117" t="str" cm="1">
        <f t="array" ref="K136">Common_InputFunctions.Utility_DisplayArrayInTable(Fertiliser_SourceData.Fertiliser_Products_Data1(),FertiliserProducts[[#Headers],[Include or Exclude]], 0,4)</f>
        <v/>
      </c>
      <c r="L136" s="117" t="str" cm="1">
        <f t="array" ref="L136">Common_InputFunctions.Utility_DisplayArrayInTable(Fertiliser_SourceData.Fertiliser_Products_Data1(),FertiliserProducts[[#Headers],[Include or Exclude]], 0,4)</f>
        <v/>
      </c>
      <c r="M136" s="117" t="str" cm="1">
        <f t="array" ref="M136">Common_InputFunctions.Utility_DisplayArrayInTable(Fertiliser_SourceData.Fertiliser_Products_Data1(),FertiliserProducts[[#Headers],[Include or Exclude]], 0,4)</f>
        <v/>
      </c>
      <c r="N136" s="117" t="str" cm="1">
        <f t="array" ref="N136">Common_InputFunctions.Utility_DisplayArrayInTable(Fertiliser_SourceData.Fertiliser_Products_Data1(),FertiliserProducts[[#Headers],[Include or Exclude]], 0,4)</f>
        <v/>
      </c>
      <c r="O136" s="117" t="str" cm="1">
        <f t="array" ref="O136">Common_InputFunctions.Utility_DisplayArrayInTable(Fertiliser_SourceData.Fertiliser_Products_Data1(),FertiliserProducts[[#Headers],[Include or Exclude]], 0,4)</f>
        <v/>
      </c>
      <c r="P136" s="117" t="str" cm="1">
        <f t="array" ref="P136">Common_InputFunctions.Utility_DisplayArrayInTable(Fertiliser_SourceData.Fertiliser_Products_Data1(),FertiliserProducts[[#Headers],[Include or Exclude]], 0,4)</f>
        <v/>
      </c>
      <c r="Q136" s="117" t="str" cm="1">
        <f t="array" ref="Q136">Common_InputFunctions.Utility_DisplayArrayInTable(Fertiliser_SourceData.Fertiliser_Products_Data1(),FertiliserProducts[[#Headers],[Include or Exclude]], 0,4)</f>
        <v/>
      </c>
      <c r="R136" s="117" t="str" cm="1">
        <f t="array" ref="R136">Common_InputFunctions.Utility_DisplayArrayInTable(Fertiliser_SourceData.Fertiliser_Products_Data1(),FertiliserProducts[[#Headers],[Include or Exclude]], 0,4)</f>
        <v/>
      </c>
      <c r="S136" s="117" t="str" cm="1">
        <f t="array" ref="S136">Common_InputFunctions.Utility_DisplayArrayInTable(Fertiliser_SourceData.Fertiliser_Products_Data1(),FertiliserProducts[[#Headers],[Include or Exclude]], 0,4)</f>
        <v/>
      </c>
      <c r="T136" s="117" t="str" cm="1">
        <f t="array" ref="T136">Common_InputFunctions.Utility_DisplayArrayInTable(Fertiliser_SourceData.Fertiliser_Products_Data1(),FertiliserProducts[[#Headers],[Include or Exclude]], 0,4)</f>
        <v/>
      </c>
      <c r="U136" s="117" t="str" cm="1">
        <f t="array" ref="U136">Common_InputFunctions.Utility_DisplayArrayInTable(Fertiliser_SourceData.Fertiliser_Products_Data1(),FertiliserProducts[[#Headers],[Include or Exclude]], 0,4)</f>
        <v/>
      </c>
      <c r="V136" s="117" t="str" cm="1">
        <f t="array" ref="V136">Common_InputFunctions.Utility_DisplayArrayInTable(Fertiliser_SourceData.Fertiliser_Products_Data1(),FertiliserProducts[[#Headers],[Include or Exclude]], 0,4)</f>
        <v/>
      </c>
      <c r="W136" s="117" t="str" cm="1">
        <f t="array" ref="W136">Common_InputFunctions.Utility_DisplayArrayInTable(Fertiliser_SourceData.Fertiliser_Products_Data1(),FertiliserProducts[[#Headers],[Include or Exclude]], 0,4)</f>
        <v/>
      </c>
      <c r="X136" s="117" t="str" cm="1">
        <f t="array" ref="X136">Common_InputFunctions.Utility_DisplayArrayInTable(Fertiliser_SourceData.Fertiliser_Products_Data1(),FertiliserProducts[[#Headers],[Include or Exclude]], 0,4)</f>
        <v/>
      </c>
      <c r="Y136" s="117" t="str" cm="1">
        <f t="array" ref="Y136">Common_InputFunctions.Utility_DisplayArrayInTable(Fertiliser_SourceData.Fertiliser_Products_Data1(),FertiliserProducts[[#Headers],[Include or Exclude]], 0,4)</f>
        <v/>
      </c>
      <c r="Z136" s="117" t="str" cm="1">
        <f t="array" ref="Z136">Common_InputFunctions.Utility_DisplayArrayInTable(Fertiliser_SourceData.Fertiliser_Products_Data1(),FertiliserProducts[[#Headers],[Include or Exclude]], 0,4)</f>
        <v/>
      </c>
      <c r="AA136" s="117" t="str" cm="1">
        <f t="array" ref="AA136">Common_InputFunctions.Utility_DisplayArrayInTable(Fertiliser_SourceData.Fertiliser_Products_Data1(),FertiliserProducts[[#Headers],[Include or Exclude]], 0,4)</f>
        <v/>
      </c>
      <c r="AB136" s="117" t="str" cm="1">
        <f t="array" ref="AB136">Common_InputFunctions.Utility_DisplayArrayInTable(Fertiliser_SourceData.Fertiliser_Products_Data1(),FertiliserProducts[[#Headers],[Include or Exclude]], 0,4)</f>
        <v/>
      </c>
      <c r="AC136" s="117" t="str" cm="1">
        <f t="array" ref="AC136">Common_InputFunctions.Utility_DisplayArrayInTable(Fertiliser_SourceData.Fertiliser_Products_Data1(),FertiliserProducts[[#Headers],[Include or Exclude]], 0,4)</f>
        <v/>
      </c>
      <c r="AD136" s="117" t="str" cm="1">
        <f t="array" ref="AD136">Common_InputFunctions.Utility_DisplayArrayInTable(Fertiliser_SourceData.Fertiliser_Products_Data1(),FertiliserProducts[[#Headers],[Include or Exclude]], 0,4)</f>
        <v/>
      </c>
      <c r="AE136" s="117" t="str" cm="1">
        <f t="array" ref="AE136">Common_InputFunctions.Utility_DisplayArrayInTable(Fertiliser_SourceData.Fertiliser_Products_Data1(),FertiliserProducts[[#Headers],[Include or Exclude]], 0,4)</f>
        <v/>
      </c>
    </row>
    <row r="137" spans="1:31" ht="20.100000000000001" customHeight="1" x14ac:dyDescent="0.25">
      <c r="A137"/>
      <c r="D137" s="117" t="str" cm="1">
        <f t="array" ref="D137">Common_InputFunctions.Utility_DisplayArrayInTable(Fertiliser_SourceData.Fertiliser_Products_Data1(),FertiliserProducts[[#Headers],[Include or Exclude]], -1)</f>
        <v/>
      </c>
      <c r="E137" s="117" t="str" cm="1">
        <f t="array" ref="E137">Common_InputFunctions.Utility_DisplayArrayInTable(Fertiliser_SourceData.Fertiliser_Products_Data1(),FertiliserProducts[[#Headers],[Include or Exclude]], 0)</f>
        <v/>
      </c>
      <c r="F137" s="117" t="str" cm="1">
        <f t="array" ref="F137">Common_InputFunctions.Utility_DisplayArrayInTable(Fertiliser_SourceData.Fertiliser_Products_Data1(),FertiliserProducts[[#Headers],[Include or Exclude]], 0)</f>
        <v/>
      </c>
      <c r="G137" s="117" t="str" cm="1">
        <f t="array" ref="G137">Common_InputFunctions.Utility_DisplayArrayInTable(Fertiliser_SourceData.Fertiliser_Products_Data1(),FertiliserProducts[[#Headers],[Include or Exclude]], 0)</f>
        <v/>
      </c>
      <c r="H137" s="117" t="str" cm="1">
        <f t="array" ref="H137">Common_InputFunctions.Utility_DisplayArrayInTable(Fertiliser_SourceData.Fertiliser_Products_Data1(),FertiliserProducts[[#Headers],[Include or Exclude]], 0,4)</f>
        <v/>
      </c>
      <c r="I137" s="117" t="str" cm="1">
        <f t="array" ref="I137">Common_InputFunctions.Utility_DisplayArrayInTable(Fertiliser_SourceData.Fertiliser_Products_Data1(),FertiliserProducts[[#Headers],[Include or Exclude]], 0,4)</f>
        <v/>
      </c>
      <c r="J137" s="117" t="str" cm="1">
        <f t="array" ref="J137">Common_InputFunctions.Utility_DisplayArrayInTable(Fertiliser_SourceData.Fertiliser_Products_Data1(),FertiliserProducts[[#Headers],[Include or Exclude]], 0,4)</f>
        <v/>
      </c>
      <c r="K137" s="117" t="str" cm="1">
        <f t="array" ref="K137">Common_InputFunctions.Utility_DisplayArrayInTable(Fertiliser_SourceData.Fertiliser_Products_Data1(),FertiliserProducts[[#Headers],[Include or Exclude]], 0,4)</f>
        <v/>
      </c>
      <c r="L137" s="117" t="str" cm="1">
        <f t="array" ref="L137">Common_InputFunctions.Utility_DisplayArrayInTable(Fertiliser_SourceData.Fertiliser_Products_Data1(),FertiliserProducts[[#Headers],[Include or Exclude]], 0,4)</f>
        <v/>
      </c>
      <c r="M137" s="117" t="str" cm="1">
        <f t="array" ref="M137">Common_InputFunctions.Utility_DisplayArrayInTable(Fertiliser_SourceData.Fertiliser_Products_Data1(),FertiliserProducts[[#Headers],[Include or Exclude]], 0,4)</f>
        <v/>
      </c>
      <c r="N137" s="117" t="str" cm="1">
        <f t="array" ref="N137">Common_InputFunctions.Utility_DisplayArrayInTable(Fertiliser_SourceData.Fertiliser_Products_Data1(),FertiliserProducts[[#Headers],[Include or Exclude]], 0,4)</f>
        <v/>
      </c>
      <c r="O137" s="117" t="str" cm="1">
        <f t="array" ref="O137">Common_InputFunctions.Utility_DisplayArrayInTable(Fertiliser_SourceData.Fertiliser_Products_Data1(),FertiliserProducts[[#Headers],[Include or Exclude]], 0,4)</f>
        <v/>
      </c>
      <c r="P137" s="117" t="str" cm="1">
        <f t="array" ref="P137">Common_InputFunctions.Utility_DisplayArrayInTable(Fertiliser_SourceData.Fertiliser_Products_Data1(),FertiliserProducts[[#Headers],[Include or Exclude]], 0,4)</f>
        <v/>
      </c>
      <c r="Q137" s="117" t="str" cm="1">
        <f t="array" ref="Q137">Common_InputFunctions.Utility_DisplayArrayInTable(Fertiliser_SourceData.Fertiliser_Products_Data1(),FertiliserProducts[[#Headers],[Include or Exclude]], 0,4)</f>
        <v/>
      </c>
      <c r="R137" s="117" t="str" cm="1">
        <f t="array" ref="R137">Common_InputFunctions.Utility_DisplayArrayInTable(Fertiliser_SourceData.Fertiliser_Products_Data1(),FertiliserProducts[[#Headers],[Include or Exclude]], 0,4)</f>
        <v/>
      </c>
      <c r="S137" s="117" t="str" cm="1">
        <f t="array" ref="S137">Common_InputFunctions.Utility_DisplayArrayInTable(Fertiliser_SourceData.Fertiliser_Products_Data1(),FertiliserProducts[[#Headers],[Include or Exclude]], 0,4)</f>
        <v/>
      </c>
      <c r="T137" s="117" t="str" cm="1">
        <f t="array" ref="T137">Common_InputFunctions.Utility_DisplayArrayInTable(Fertiliser_SourceData.Fertiliser_Products_Data1(),FertiliserProducts[[#Headers],[Include or Exclude]], 0,4)</f>
        <v/>
      </c>
      <c r="U137" s="117" t="str" cm="1">
        <f t="array" ref="U137">Common_InputFunctions.Utility_DisplayArrayInTable(Fertiliser_SourceData.Fertiliser_Products_Data1(),FertiliserProducts[[#Headers],[Include or Exclude]], 0,4)</f>
        <v/>
      </c>
      <c r="V137" s="117" t="str" cm="1">
        <f t="array" ref="V137">Common_InputFunctions.Utility_DisplayArrayInTable(Fertiliser_SourceData.Fertiliser_Products_Data1(),FertiliserProducts[[#Headers],[Include or Exclude]], 0,4)</f>
        <v/>
      </c>
      <c r="W137" s="117" t="str" cm="1">
        <f t="array" ref="W137">Common_InputFunctions.Utility_DisplayArrayInTable(Fertiliser_SourceData.Fertiliser_Products_Data1(),FertiliserProducts[[#Headers],[Include or Exclude]], 0,4)</f>
        <v/>
      </c>
      <c r="X137" s="117" t="str" cm="1">
        <f t="array" ref="X137">Common_InputFunctions.Utility_DisplayArrayInTable(Fertiliser_SourceData.Fertiliser_Products_Data1(),FertiliserProducts[[#Headers],[Include or Exclude]], 0,4)</f>
        <v/>
      </c>
      <c r="Y137" s="117" t="str" cm="1">
        <f t="array" ref="Y137">Common_InputFunctions.Utility_DisplayArrayInTable(Fertiliser_SourceData.Fertiliser_Products_Data1(),FertiliserProducts[[#Headers],[Include or Exclude]], 0,4)</f>
        <v/>
      </c>
      <c r="Z137" s="117" t="str" cm="1">
        <f t="array" ref="Z137">Common_InputFunctions.Utility_DisplayArrayInTable(Fertiliser_SourceData.Fertiliser_Products_Data1(),FertiliserProducts[[#Headers],[Include or Exclude]], 0,4)</f>
        <v/>
      </c>
      <c r="AA137" s="117" t="str" cm="1">
        <f t="array" ref="AA137">Common_InputFunctions.Utility_DisplayArrayInTable(Fertiliser_SourceData.Fertiliser_Products_Data1(),FertiliserProducts[[#Headers],[Include or Exclude]], 0,4)</f>
        <v/>
      </c>
      <c r="AB137" s="117" t="str" cm="1">
        <f t="array" ref="AB137">Common_InputFunctions.Utility_DisplayArrayInTable(Fertiliser_SourceData.Fertiliser_Products_Data1(),FertiliserProducts[[#Headers],[Include or Exclude]], 0,4)</f>
        <v/>
      </c>
      <c r="AC137" s="117" t="str" cm="1">
        <f t="array" ref="AC137">Common_InputFunctions.Utility_DisplayArrayInTable(Fertiliser_SourceData.Fertiliser_Products_Data1(),FertiliserProducts[[#Headers],[Include or Exclude]], 0,4)</f>
        <v/>
      </c>
      <c r="AD137" s="117" t="str" cm="1">
        <f t="array" ref="AD137">Common_InputFunctions.Utility_DisplayArrayInTable(Fertiliser_SourceData.Fertiliser_Products_Data1(),FertiliserProducts[[#Headers],[Include or Exclude]], 0,4)</f>
        <v/>
      </c>
      <c r="AE137" s="117" t="str" cm="1">
        <f t="array" ref="AE137">Common_InputFunctions.Utility_DisplayArrayInTable(Fertiliser_SourceData.Fertiliser_Products_Data1(),FertiliserProducts[[#Headers],[Include or Exclude]], 0,4)</f>
        <v/>
      </c>
    </row>
    <row r="138" spans="1:31" ht="20.100000000000001" customHeight="1" x14ac:dyDescent="0.25">
      <c r="A138"/>
      <c r="D138" s="117" t="str" cm="1">
        <f t="array" ref="D138">Common_InputFunctions.Utility_DisplayArrayInTable(Fertiliser_SourceData.Fertiliser_Products_Data1(),FertiliserProducts[[#Headers],[Include or Exclude]], -1)</f>
        <v/>
      </c>
      <c r="E138" s="117" t="str" cm="1">
        <f t="array" ref="E138">Common_InputFunctions.Utility_DisplayArrayInTable(Fertiliser_SourceData.Fertiliser_Products_Data1(),FertiliserProducts[[#Headers],[Include or Exclude]], 0)</f>
        <v/>
      </c>
      <c r="F138" s="117" t="str" cm="1">
        <f t="array" ref="F138">Common_InputFunctions.Utility_DisplayArrayInTable(Fertiliser_SourceData.Fertiliser_Products_Data1(),FertiliserProducts[[#Headers],[Include or Exclude]], 0)</f>
        <v/>
      </c>
      <c r="G138" s="117" t="str" cm="1">
        <f t="array" ref="G138">Common_InputFunctions.Utility_DisplayArrayInTable(Fertiliser_SourceData.Fertiliser_Products_Data1(),FertiliserProducts[[#Headers],[Include or Exclude]], 0)</f>
        <v/>
      </c>
      <c r="H138" s="117" t="str" cm="1">
        <f t="array" ref="H138">Common_InputFunctions.Utility_DisplayArrayInTable(Fertiliser_SourceData.Fertiliser_Products_Data1(),FertiliserProducts[[#Headers],[Include or Exclude]], 0,4)</f>
        <v/>
      </c>
      <c r="I138" s="117" t="str" cm="1">
        <f t="array" ref="I138">Common_InputFunctions.Utility_DisplayArrayInTable(Fertiliser_SourceData.Fertiliser_Products_Data1(),FertiliserProducts[[#Headers],[Include or Exclude]], 0,4)</f>
        <v/>
      </c>
      <c r="J138" s="117" t="str" cm="1">
        <f t="array" ref="J138">Common_InputFunctions.Utility_DisplayArrayInTable(Fertiliser_SourceData.Fertiliser_Products_Data1(),FertiliserProducts[[#Headers],[Include or Exclude]], 0,4)</f>
        <v/>
      </c>
      <c r="K138" s="117" t="str" cm="1">
        <f t="array" ref="K138">Common_InputFunctions.Utility_DisplayArrayInTable(Fertiliser_SourceData.Fertiliser_Products_Data1(),FertiliserProducts[[#Headers],[Include or Exclude]], 0,4)</f>
        <v/>
      </c>
      <c r="L138" s="117" t="str" cm="1">
        <f t="array" ref="L138">Common_InputFunctions.Utility_DisplayArrayInTable(Fertiliser_SourceData.Fertiliser_Products_Data1(),FertiliserProducts[[#Headers],[Include or Exclude]], 0,4)</f>
        <v/>
      </c>
      <c r="M138" s="117" t="str" cm="1">
        <f t="array" ref="M138">Common_InputFunctions.Utility_DisplayArrayInTable(Fertiliser_SourceData.Fertiliser_Products_Data1(),FertiliserProducts[[#Headers],[Include or Exclude]], 0,4)</f>
        <v/>
      </c>
      <c r="N138" s="117" t="str" cm="1">
        <f t="array" ref="N138">Common_InputFunctions.Utility_DisplayArrayInTable(Fertiliser_SourceData.Fertiliser_Products_Data1(),FertiliserProducts[[#Headers],[Include or Exclude]], 0,4)</f>
        <v/>
      </c>
      <c r="O138" s="117" t="str" cm="1">
        <f t="array" ref="O138">Common_InputFunctions.Utility_DisplayArrayInTable(Fertiliser_SourceData.Fertiliser_Products_Data1(),FertiliserProducts[[#Headers],[Include or Exclude]], 0,4)</f>
        <v/>
      </c>
      <c r="P138" s="117" t="str" cm="1">
        <f t="array" ref="P138">Common_InputFunctions.Utility_DisplayArrayInTable(Fertiliser_SourceData.Fertiliser_Products_Data1(),FertiliserProducts[[#Headers],[Include or Exclude]], 0,4)</f>
        <v/>
      </c>
      <c r="Q138" s="117" t="str" cm="1">
        <f t="array" ref="Q138">Common_InputFunctions.Utility_DisplayArrayInTable(Fertiliser_SourceData.Fertiliser_Products_Data1(),FertiliserProducts[[#Headers],[Include or Exclude]], 0,4)</f>
        <v/>
      </c>
      <c r="R138" s="117" t="str" cm="1">
        <f t="array" ref="R138">Common_InputFunctions.Utility_DisplayArrayInTable(Fertiliser_SourceData.Fertiliser_Products_Data1(),FertiliserProducts[[#Headers],[Include or Exclude]], 0,4)</f>
        <v/>
      </c>
      <c r="S138" s="117" t="str" cm="1">
        <f t="array" ref="S138">Common_InputFunctions.Utility_DisplayArrayInTable(Fertiliser_SourceData.Fertiliser_Products_Data1(),FertiliserProducts[[#Headers],[Include or Exclude]], 0,4)</f>
        <v/>
      </c>
      <c r="T138" s="117" t="str" cm="1">
        <f t="array" ref="T138">Common_InputFunctions.Utility_DisplayArrayInTable(Fertiliser_SourceData.Fertiliser_Products_Data1(),FertiliserProducts[[#Headers],[Include or Exclude]], 0,4)</f>
        <v/>
      </c>
      <c r="U138" s="117" t="str" cm="1">
        <f t="array" ref="U138">Common_InputFunctions.Utility_DisplayArrayInTable(Fertiliser_SourceData.Fertiliser_Products_Data1(),FertiliserProducts[[#Headers],[Include or Exclude]], 0,4)</f>
        <v/>
      </c>
      <c r="V138" s="117" t="str" cm="1">
        <f t="array" ref="V138">Common_InputFunctions.Utility_DisplayArrayInTable(Fertiliser_SourceData.Fertiliser_Products_Data1(),FertiliserProducts[[#Headers],[Include or Exclude]], 0,4)</f>
        <v/>
      </c>
      <c r="W138" s="117" t="str" cm="1">
        <f t="array" ref="W138">Common_InputFunctions.Utility_DisplayArrayInTable(Fertiliser_SourceData.Fertiliser_Products_Data1(),FertiliserProducts[[#Headers],[Include or Exclude]], 0,4)</f>
        <v/>
      </c>
      <c r="X138" s="117" t="str" cm="1">
        <f t="array" ref="X138">Common_InputFunctions.Utility_DisplayArrayInTable(Fertiliser_SourceData.Fertiliser_Products_Data1(),FertiliserProducts[[#Headers],[Include or Exclude]], 0,4)</f>
        <v/>
      </c>
      <c r="Y138" s="117" t="str" cm="1">
        <f t="array" ref="Y138">Common_InputFunctions.Utility_DisplayArrayInTable(Fertiliser_SourceData.Fertiliser_Products_Data1(),FertiliserProducts[[#Headers],[Include or Exclude]], 0,4)</f>
        <v/>
      </c>
      <c r="Z138" s="117" t="str" cm="1">
        <f t="array" ref="Z138">Common_InputFunctions.Utility_DisplayArrayInTable(Fertiliser_SourceData.Fertiliser_Products_Data1(),FertiliserProducts[[#Headers],[Include or Exclude]], 0,4)</f>
        <v/>
      </c>
      <c r="AA138" s="117" t="str" cm="1">
        <f t="array" ref="AA138">Common_InputFunctions.Utility_DisplayArrayInTable(Fertiliser_SourceData.Fertiliser_Products_Data1(),FertiliserProducts[[#Headers],[Include or Exclude]], 0,4)</f>
        <v/>
      </c>
      <c r="AB138" s="117" t="str" cm="1">
        <f t="array" ref="AB138">Common_InputFunctions.Utility_DisplayArrayInTable(Fertiliser_SourceData.Fertiliser_Products_Data1(),FertiliserProducts[[#Headers],[Include or Exclude]], 0,4)</f>
        <v/>
      </c>
      <c r="AC138" s="117" t="str" cm="1">
        <f t="array" ref="AC138">Common_InputFunctions.Utility_DisplayArrayInTable(Fertiliser_SourceData.Fertiliser_Products_Data1(),FertiliserProducts[[#Headers],[Include or Exclude]], 0,4)</f>
        <v/>
      </c>
      <c r="AD138" s="117" t="str" cm="1">
        <f t="array" ref="AD138">Common_InputFunctions.Utility_DisplayArrayInTable(Fertiliser_SourceData.Fertiliser_Products_Data1(),FertiliserProducts[[#Headers],[Include or Exclude]], 0,4)</f>
        <v/>
      </c>
      <c r="AE138" s="117" t="str" cm="1">
        <f t="array" ref="AE138">Common_InputFunctions.Utility_DisplayArrayInTable(Fertiliser_SourceData.Fertiliser_Products_Data1(),FertiliserProducts[[#Headers],[Include or Exclude]], 0,4)</f>
        <v/>
      </c>
    </row>
    <row r="139" spans="1:31" ht="20.100000000000001" customHeight="1" x14ac:dyDescent="0.25">
      <c r="A139"/>
      <c r="D139" s="117" t="str" cm="1">
        <f t="array" ref="D139">Common_InputFunctions.Utility_DisplayArrayInTable(Fertiliser_SourceData.Fertiliser_Products_Data1(),FertiliserProducts[[#Headers],[Include or Exclude]], -1)</f>
        <v/>
      </c>
      <c r="E139" s="117" t="str" cm="1">
        <f t="array" ref="E139">Common_InputFunctions.Utility_DisplayArrayInTable(Fertiliser_SourceData.Fertiliser_Products_Data1(),FertiliserProducts[[#Headers],[Include or Exclude]], 0)</f>
        <v/>
      </c>
      <c r="F139" s="117" t="str" cm="1">
        <f t="array" ref="F139">Common_InputFunctions.Utility_DisplayArrayInTable(Fertiliser_SourceData.Fertiliser_Products_Data1(),FertiliserProducts[[#Headers],[Include or Exclude]], 0)</f>
        <v/>
      </c>
      <c r="G139" s="117" t="str" cm="1">
        <f t="array" ref="G139">Common_InputFunctions.Utility_DisplayArrayInTable(Fertiliser_SourceData.Fertiliser_Products_Data1(),FertiliserProducts[[#Headers],[Include or Exclude]], 0)</f>
        <v/>
      </c>
      <c r="H139" s="117" t="str" cm="1">
        <f t="array" ref="H139">Common_InputFunctions.Utility_DisplayArrayInTable(Fertiliser_SourceData.Fertiliser_Products_Data1(),FertiliserProducts[[#Headers],[Include or Exclude]], 0,4)</f>
        <v/>
      </c>
      <c r="I139" s="117" t="str" cm="1">
        <f t="array" ref="I139">Common_InputFunctions.Utility_DisplayArrayInTable(Fertiliser_SourceData.Fertiliser_Products_Data1(),FertiliserProducts[[#Headers],[Include or Exclude]], 0,4)</f>
        <v/>
      </c>
      <c r="J139" s="117" t="str" cm="1">
        <f t="array" ref="J139">Common_InputFunctions.Utility_DisplayArrayInTable(Fertiliser_SourceData.Fertiliser_Products_Data1(),FertiliserProducts[[#Headers],[Include or Exclude]], 0,4)</f>
        <v/>
      </c>
      <c r="K139" s="117" t="str" cm="1">
        <f t="array" ref="K139">Common_InputFunctions.Utility_DisplayArrayInTable(Fertiliser_SourceData.Fertiliser_Products_Data1(),FertiliserProducts[[#Headers],[Include or Exclude]], 0,4)</f>
        <v/>
      </c>
      <c r="L139" s="117" t="str" cm="1">
        <f t="array" ref="L139">Common_InputFunctions.Utility_DisplayArrayInTable(Fertiliser_SourceData.Fertiliser_Products_Data1(),FertiliserProducts[[#Headers],[Include or Exclude]], 0,4)</f>
        <v/>
      </c>
      <c r="M139" s="117" t="str" cm="1">
        <f t="array" ref="M139">Common_InputFunctions.Utility_DisplayArrayInTable(Fertiliser_SourceData.Fertiliser_Products_Data1(),FertiliserProducts[[#Headers],[Include or Exclude]], 0,4)</f>
        <v/>
      </c>
      <c r="N139" s="117" t="str" cm="1">
        <f t="array" ref="N139">Common_InputFunctions.Utility_DisplayArrayInTable(Fertiliser_SourceData.Fertiliser_Products_Data1(),FertiliserProducts[[#Headers],[Include or Exclude]], 0,4)</f>
        <v/>
      </c>
      <c r="O139" s="117" t="str" cm="1">
        <f t="array" ref="O139">Common_InputFunctions.Utility_DisplayArrayInTable(Fertiliser_SourceData.Fertiliser_Products_Data1(),FertiliserProducts[[#Headers],[Include or Exclude]], 0,4)</f>
        <v/>
      </c>
      <c r="P139" s="117" t="str" cm="1">
        <f t="array" ref="P139">Common_InputFunctions.Utility_DisplayArrayInTable(Fertiliser_SourceData.Fertiliser_Products_Data1(),FertiliserProducts[[#Headers],[Include or Exclude]], 0,4)</f>
        <v/>
      </c>
      <c r="Q139" s="117" t="str" cm="1">
        <f t="array" ref="Q139">Common_InputFunctions.Utility_DisplayArrayInTable(Fertiliser_SourceData.Fertiliser_Products_Data1(),FertiliserProducts[[#Headers],[Include or Exclude]], 0,4)</f>
        <v/>
      </c>
      <c r="R139" s="117" t="str" cm="1">
        <f t="array" ref="R139">Common_InputFunctions.Utility_DisplayArrayInTable(Fertiliser_SourceData.Fertiliser_Products_Data1(),FertiliserProducts[[#Headers],[Include or Exclude]], 0,4)</f>
        <v/>
      </c>
      <c r="S139" s="117" t="str" cm="1">
        <f t="array" ref="S139">Common_InputFunctions.Utility_DisplayArrayInTable(Fertiliser_SourceData.Fertiliser_Products_Data1(),FertiliserProducts[[#Headers],[Include or Exclude]], 0,4)</f>
        <v/>
      </c>
      <c r="T139" s="117" t="str" cm="1">
        <f t="array" ref="T139">Common_InputFunctions.Utility_DisplayArrayInTable(Fertiliser_SourceData.Fertiliser_Products_Data1(),FertiliserProducts[[#Headers],[Include or Exclude]], 0,4)</f>
        <v/>
      </c>
      <c r="U139" s="117" t="str" cm="1">
        <f t="array" ref="U139">Common_InputFunctions.Utility_DisplayArrayInTable(Fertiliser_SourceData.Fertiliser_Products_Data1(),FertiliserProducts[[#Headers],[Include or Exclude]], 0,4)</f>
        <v/>
      </c>
      <c r="V139" s="117" t="str" cm="1">
        <f t="array" ref="V139">Common_InputFunctions.Utility_DisplayArrayInTable(Fertiliser_SourceData.Fertiliser_Products_Data1(),FertiliserProducts[[#Headers],[Include or Exclude]], 0,4)</f>
        <v/>
      </c>
      <c r="W139" s="117" t="str" cm="1">
        <f t="array" ref="W139">Common_InputFunctions.Utility_DisplayArrayInTable(Fertiliser_SourceData.Fertiliser_Products_Data1(),FertiliserProducts[[#Headers],[Include or Exclude]], 0,4)</f>
        <v/>
      </c>
      <c r="X139" s="117" t="str" cm="1">
        <f t="array" ref="X139">Common_InputFunctions.Utility_DisplayArrayInTable(Fertiliser_SourceData.Fertiliser_Products_Data1(),FertiliserProducts[[#Headers],[Include or Exclude]], 0,4)</f>
        <v/>
      </c>
      <c r="Y139" s="117" t="str" cm="1">
        <f t="array" ref="Y139">Common_InputFunctions.Utility_DisplayArrayInTable(Fertiliser_SourceData.Fertiliser_Products_Data1(),FertiliserProducts[[#Headers],[Include or Exclude]], 0,4)</f>
        <v/>
      </c>
      <c r="Z139" s="117" t="str" cm="1">
        <f t="array" ref="Z139">Common_InputFunctions.Utility_DisplayArrayInTable(Fertiliser_SourceData.Fertiliser_Products_Data1(),FertiliserProducts[[#Headers],[Include or Exclude]], 0,4)</f>
        <v/>
      </c>
      <c r="AA139" s="117" t="str" cm="1">
        <f t="array" ref="AA139">Common_InputFunctions.Utility_DisplayArrayInTable(Fertiliser_SourceData.Fertiliser_Products_Data1(),FertiliserProducts[[#Headers],[Include or Exclude]], 0,4)</f>
        <v/>
      </c>
      <c r="AB139" s="117" t="str" cm="1">
        <f t="array" ref="AB139">Common_InputFunctions.Utility_DisplayArrayInTable(Fertiliser_SourceData.Fertiliser_Products_Data1(),FertiliserProducts[[#Headers],[Include or Exclude]], 0,4)</f>
        <v/>
      </c>
      <c r="AC139" s="117" t="str" cm="1">
        <f t="array" ref="AC139">Common_InputFunctions.Utility_DisplayArrayInTable(Fertiliser_SourceData.Fertiliser_Products_Data1(),FertiliserProducts[[#Headers],[Include or Exclude]], 0,4)</f>
        <v/>
      </c>
      <c r="AD139" s="117" t="str" cm="1">
        <f t="array" ref="AD139">Common_InputFunctions.Utility_DisplayArrayInTable(Fertiliser_SourceData.Fertiliser_Products_Data1(),FertiliserProducts[[#Headers],[Include or Exclude]], 0,4)</f>
        <v/>
      </c>
      <c r="AE139" s="117" t="str" cm="1">
        <f t="array" ref="AE139">Common_InputFunctions.Utility_DisplayArrayInTable(Fertiliser_SourceData.Fertiliser_Products_Data1(),FertiliserProducts[[#Headers],[Include or Exclude]], 0,4)</f>
        <v/>
      </c>
    </row>
    <row r="140" spans="1:31" ht="20.100000000000001" customHeight="1" x14ac:dyDescent="0.25">
      <c r="A140"/>
      <c r="D140" s="117" t="str" cm="1">
        <f t="array" ref="D140">Common_InputFunctions.Utility_DisplayArrayInTable(Fertiliser_SourceData.Fertiliser_Products_Data1(),FertiliserProducts[[#Headers],[Include or Exclude]], -1)</f>
        <v/>
      </c>
      <c r="E140" s="117" t="str" cm="1">
        <f t="array" ref="E140">Common_InputFunctions.Utility_DisplayArrayInTable(Fertiliser_SourceData.Fertiliser_Products_Data1(),FertiliserProducts[[#Headers],[Include or Exclude]], 0)</f>
        <v/>
      </c>
      <c r="F140" s="117" t="str" cm="1">
        <f t="array" ref="F140">Common_InputFunctions.Utility_DisplayArrayInTable(Fertiliser_SourceData.Fertiliser_Products_Data1(),FertiliserProducts[[#Headers],[Include or Exclude]], 0)</f>
        <v/>
      </c>
      <c r="G140" s="117" t="str" cm="1">
        <f t="array" ref="G140">Common_InputFunctions.Utility_DisplayArrayInTable(Fertiliser_SourceData.Fertiliser_Products_Data1(),FertiliserProducts[[#Headers],[Include or Exclude]], 0)</f>
        <v/>
      </c>
      <c r="H140" s="117" t="str" cm="1">
        <f t="array" ref="H140">Common_InputFunctions.Utility_DisplayArrayInTable(Fertiliser_SourceData.Fertiliser_Products_Data1(),FertiliserProducts[[#Headers],[Include or Exclude]], 0,4)</f>
        <v/>
      </c>
      <c r="I140" s="117" t="str" cm="1">
        <f t="array" ref="I140">Common_InputFunctions.Utility_DisplayArrayInTable(Fertiliser_SourceData.Fertiliser_Products_Data1(),FertiliserProducts[[#Headers],[Include or Exclude]], 0,4)</f>
        <v/>
      </c>
      <c r="J140" s="117" t="str" cm="1">
        <f t="array" ref="J140">Common_InputFunctions.Utility_DisplayArrayInTable(Fertiliser_SourceData.Fertiliser_Products_Data1(),FertiliserProducts[[#Headers],[Include or Exclude]], 0,4)</f>
        <v/>
      </c>
      <c r="K140" s="117" t="str" cm="1">
        <f t="array" ref="K140">Common_InputFunctions.Utility_DisplayArrayInTable(Fertiliser_SourceData.Fertiliser_Products_Data1(),FertiliserProducts[[#Headers],[Include or Exclude]], 0,4)</f>
        <v/>
      </c>
      <c r="L140" s="117" t="str" cm="1">
        <f t="array" ref="L140">Common_InputFunctions.Utility_DisplayArrayInTable(Fertiliser_SourceData.Fertiliser_Products_Data1(),FertiliserProducts[[#Headers],[Include or Exclude]], 0,4)</f>
        <v/>
      </c>
      <c r="M140" s="117" t="str" cm="1">
        <f t="array" ref="M140">Common_InputFunctions.Utility_DisplayArrayInTable(Fertiliser_SourceData.Fertiliser_Products_Data1(),FertiliserProducts[[#Headers],[Include or Exclude]], 0,4)</f>
        <v/>
      </c>
      <c r="N140" s="117" t="str" cm="1">
        <f t="array" ref="N140">Common_InputFunctions.Utility_DisplayArrayInTable(Fertiliser_SourceData.Fertiliser_Products_Data1(),FertiliserProducts[[#Headers],[Include or Exclude]], 0,4)</f>
        <v/>
      </c>
      <c r="O140" s="117" t="str" cm="1">
        <f t="array" ref="O140">Common_InputFunctions.Utility_DisplayArrayInTable(Fertiliser_SourceData.Fertiliser_Products_Data1(),FertiliserProducts[[#Headers],[Include or Exclude]], 0,4)</f>
        <v/>
      </c>
      <c r="P140" s="117" t="str" cm="1">
        <f t="array" ref="P140">Common_InputFunctions.Utility_DisplayArrayInTable(Fertiliser_SourceData.Fertiliser_Products_Data1(),FertiliserProducts[[#Headers],[Include or Exclude]], 0,4)</f>
        <v/>
      </c>
      <c r="Q140" s="117" t="str" cm="1">
        <f t="array" ref="Q140">Common_InputFunctions.Utility_DisplayArrayInTable(Fertiliser_SourceData.Fertiliser_Products_Data1(),FertiliserProducts[[#Headers],[Include or Exclude]], 0,4)</f>
        <v/>
      </c>
      <c r="R140" s="117" t="str" cm="1">
        <f t="array" ref="R140">Common_InputFunctions.Utility_DisplayArrayInTable(Fertiliser_SourceData.Fertiliser_Products_Data1(),FertiliserProducts[[#Headers],[Include or Exclude]], 0,4)</f>
        <v/>
      </c>
      <c r="S140" s="117" t="str" cm="1">
        <f t="array" ref="S140">Common_InputFunctions.Utility_DisplayArrayInTable(Fertiliser_SourceData.Fertiliser_Products_Data1(),FertiliserProducts[[#Headers],[Include or Exclude]], 0,4)</f>
        <v/>
      </c>
      <c r="T140" s="117" t="str" cm="1">
        <f t="array" ref="T140">Common_InputFunctions.Utility_DisplayArrayInTable(Fertiliser_SourceData.Fertiliser_Products_Data1(),FertiliserProducts[[#Headers],[Include or Exclude]], 0,4)</f>
        <v/>
      </c>
      <c r="U140" s="117" t="str" cm="1">
        <f t="array" ref="U140">Common_InputFunctions.Utility_DisplayArrayInTable(Fertiliser_SourceData.Fertiliser_Products_Data1(),FertiliserProducts[[#Headers],[Include or Exclude]], 0,4)</f>
        <v/>
      </c>
      <c r="V140" s="117" t="str" cm="1">
        <f t="array" ref="V140">Common_InputFunctions.Utility_DisplayArrayInTable(Fertiliser_SourceData.Fertiliser_Products_Data1(),FertiliserProducts[[#Headers],[Include or Exclude]], 0,4)</f>
        <v/>
      </c>
      <c r="W140" s="117" t="str" cm="1">
        <f t="array" ref="W140">Common_InputFunctions.Utility_DisplayArrayInTable(Fertiliser_SourceData.Fertiliser_Products_Data1(),FertiliserProducts[[#Headers],[Include or Exclude]], 0,4)</f>
        <v/>
      </c>
      <c r="X140" s="117" t="str" cm="1">
        <f t="array" ref="X140">Common_InputFunctions.Utility_DisplayArrayInTable(Fertiliser_SourceData.Fertiliser_Products_Data1(),FertiliserProducts[[#Headers],[Include or Exclude]], 0,4)</f>
        <v/>
      </c>
      <c r="Y140" s="117" t="str" cm="1">
        <f t="array" ref="Y140">Common_InputFunctions.Utility_DisplayArrayInTable(Fertiliser_SourceData.Fertiliser_Products_Data1(),FertiliserProducts[[#Headers],[Include or Exclude]], 0,4)</f>
        <v/>
      </c>
      <c r="Z140" s="117" t="str" cm="1">
        <f t="array" ref="Z140">Common_InputFunctions.Utility_DisplayArrayInTable(Fertiliser_SourceData.Fertiliser_Products_Data1(),FertiliserProducts[[#Headers],[Include or Exclude]], 0,4)</f>
        <v/>
      </c>
      <c r="AA140" s="117" t="str" cm="1">
        <f t="array" ref="AA140">Common_InputFunctions.Utility_DisplayArrayInTable(Fertiliser_SourceData.Fertiliser_Products_Data1(),FertiliserProducts[[#Headers],[Include or Exclude]], 0,4)</f>
        <v/>
      </c>
      <c r="AB140" s="117" t="str" cm="1">
        <f t="array" ref="AB140">Common_InputFunctions.Utility_DisplayArrayInTable(Fertiliser_SourceData.Fertiliser_Products_Data1(),FertiliserProducts[[#Headers],[Include or Exclude]], 0,4)</f>
        <v/>
      </c>
      <c r="AC140" s="117" t="str" cm="1">
        <f t="array" ref="AC140">Common_InputFunctions.Utility_DisplayArrayInTable(Fertiliser_SourceData.Fertiliser_Products_Data1(),FertiliserProducts[[#Headers],[Include or Exclude]], 0,4)</f>
        <v/>
      </c>
      <c r="AD140" s="117" t="str" cm="1">
        <f t="array" ref="AD140">Common_InputFunctions.Utility_DisplayArrayInTable(Fertiliser_SourceData.Fertiliser_Products_Data1(),FertiliserProducts[[#Headers],[Include or Exclude]], 0,4)</f>
        <v/>
      </c>
      <c r="AE140" s="117" t="str" cm="1">
        <f t="array" ref="AE140">Common_InputFunctions.Utility_DisplayArrayInTable(Fertiliser_SourceData.Fertiliser_Products_Data1(),FertiliserProducts[[#Headers],[Include or Exclude]], 0,4)</f>
        <v/>
      </c>
    </row>
    <row r="141" spans="1:31" ht="20.100000000000001" customHeight="1" x14ac:dyDescent="0.25">
      <c r="A141"/>
      <c r="D141" s="117" t="str" cm="1">
        <f t="array" ref="D141">Common_InputFunctions.Utility_DisplayArrayInTable(Fertiliser_SourceData.Fertiliser_Products_Data1(),FertiliserProducts[[#Headers],[Include or Exclude]], -1)</f>
        <v/>
      </c>
      <c r="E141" s="117" t="str" cm="1">
        <f t="array" ref="E141">Common_InputFunctions.Utility_DisplayArrayInTable(Fertiliser_SourceData.Fertiliser_Products_Data1(),FertiliserProducts[[#Headers],[Include or Exclude]], 0)</f>
        <v/>
      </c>
      <c r="F141" s="117" t="str" cm="1">
        <f t="array" ref="F141">Common_InputFunctions.Utility_DisplayArrayInTable(Fertiliser_SourceData.Fertiliser_Products_Data1(),FertiliserProducts[[#Headers],[Include or Exclude]], 0)</f>
        <v/>
      </c>
      <c r="G141" s="117" t="str" cm="1">
        <f t="array" ref="G141">Common_InputFunctions.Utility_DisplayArrayInTable(Fertiliser_SourceData.Fertiliser_Products_Data1(),FertiliserProducts[[#Headers],[Include or Exclude]], 0)</f>
        <v/>
      </c>
      <c r="H141" s="117" t="str" cm="1">
        <f t="array" ref="H141">Common_InputFunctions.Utility_DisplayArrayInTable(Fertiliser_SourceData.Fertiliser_Products_Data1(),FertiliserProducts[[#Headers],[Include or Exclude]], 0,4)</f>
        <v/>
      </c>
      <c r="I141" s="117" t="str" cm="1">
        <f t="array" ref="I141">Common_InputFunctions.Utility_DisplayArrayInTable(Fertiliser_SourceData.Fertiliser_Products_Data1(),FertiliserProducts[[#Headers],[Include or Exclude]], 0,4)</f>
        <v/>
      </c>
      <c r="J141" s="117" t="str" cm="1">
        <f t="array" ref="J141">Common_InputFunctions.Utility_DisplayArrayInTable(Fertiliser_SourceData.Fertiliser_Products_Data1(),FertiliserProducts[[#Headers],[Include or Exclude]], 0,4)</f>
        <v/>
      </c>
      <c r="K141" s="117" t="str" cm="1">
        <f t="array" ref="K141">Common_InputFunctions.Utility_DisplayArrayInTable(Fertiliser_SourceData.Fertiliser_Products_Data1(),FertiliserProducts[[#Headers],[Include or Exclude]], 0,4)</f>
        <v/>
      </c>
      <c r="L141" s="117" t="str" cm="1">
        <f t="array" ref="L141">Common_InputFunctions.Utility_DisplayArrayInTable(Fertiliser_SourceData.Fertiliser_Products_Data1(),FertiliserProducts[[#Headers],[Include or Exclude]], 0,4)</f>
        <v/>
      </c>
      <c r="M141" s="117" t="str" cm="1">
        <f t="array" ref="M141">Common_InputFunctions.Utility_DisplayArrayInTable(Fertiliser_SourceData.Fertiliser_Products_Data1(),FertiliserProducts[[#Headers],[Include or Exclude]], 0,4)</f>
        <v/>
      </c>
      <c r="N141" s="117" t="str" cm="1">
        <f t="array" ref="N141">Common_InputFunctions.Utility_DisplayArrayInTable(Fertiliser_SourceData.Fertiliser_Products_Data1(),FertiliserProducts[[#Headers],[Include or Exclude]], 0,4)</f>
        <v/>
      </c>
      <c r="O141" s="117" t="str" cm="1">
        <f t="array" ref="O141">Common_InputFunctions.Utility_DisplayArrayInTable(Fertiliser_SourceData.Fertiliser_Products_Data1(),FertiliserProducts[[#Headers],[Include or Exclude]], 0,4)</f>
        <v/>
      </c>
      <c r="P141" s="117" t="str" cm="1">
        <f t="array" ref="P141">Common_InputFunctions.Utility_DisplayArrayInTable(Fertiliser_SourceData.Fertiliser_Products_Data1(),FertiliserProducts[[#Headers],[Include or Exclude]], 0,4)</f>
        <v/>
      </c>
      <c r="Q141" s="117" t="str" cm="1">
        <f t="array" ref="Q141">Common_InputFunctions.Utility_DisplayArrayInTable(Fertiliser_SourceData.Fertiliser_Products_Data1(),FertiliserProducts[[#Headers],[Include or Exclude]], 0,4)</f>
        <v/>
      </c>
      <c r="R141" s="117" t="str" cm="1">
        <f t="array" ref="R141">Common_InputFunctions.Utility_DisplayArrayInTable(Fertiliser_SourceData.Fertiliser_Products_Data1(),FertiliserProducts[[#Headers],[Include or Exclude]], 0,4)</f>
        <v/>
      </c>
      <c r="S141" s="117" t="str" cm="1">
        <f t="array" ref="S141">Common_InputFunctions.Utility_DisplayArrayInTable(Fertiliser_SourceData.Fertiliser_Products_Data1(),FertiliserProducts[[#Headers],[Include or Exclude]], 0,4)</f>
        <v/>
      </c>
      <c r="T141" s="117" t="str" cm="1">
        <f t="array" ref="T141">Common_InputFunctions.Utility_DisplayArrayInTable(Fertiliser_SourceData.Fertiliser_Products_Data1(),FertiliserProducts[[#Headers],[Include or Exclude]], 0,4)</f>
        <v/>
      </c>
      <c r="U141" s="117" t="str" cm="1">
        <f t="array" ref="U141">Common_InputFunctions.Utility_DisplayArrayInTable(Fertiliser_SourceData.Fertiliser_Products_Data1(),FertiliserProducts[[#Headers],[Include or Exclude]], 0,4)</f>
        <v/>
      </c>
      <c r="V141" s="117" t="str" cm="1">
        <f t="array" ref="V141">Common_InputFunctions.Utility_DisplayArrayInTable(Fertiliser_SourceData.Fertiliser_Products_Data1(),FertiliserProducts[[#Headers],[Include or Exclude]], 0,4)</f>
        <v/>
      </c>
      <c r="W141" s="117" t="str" cm="1">
        <f t="array" ref="W141">Common_InputFunctions.Utility_DisplayArrayInTable(Fertiliser_SourceData.Fertiliser_Products_Data1(),FertiliserProducts[[#Headers],[Include or Exclude]], 0,4)</f>
        <v/>
      </c>
      <c r="X141" s="117" t="str" cm="1">
        <f t="array" ref="X141">Common_InputFunctions.Utility_DisplayArrayInTable(Fertiliser_SourceData.Fertiliser_Products_Data1(),FertiliserProducts[[#Headers],[Include or Exclude]], 0,4)</f>
        <v/>
      </c>
      <c r="Y141" s="117" t="str" cm="1">
        <f t="array" ref="Y141">Common_InputFunctions.Utility_DisplayArrayInTable(Fertiliser_SourceData.Fertiliser_Products_Data1(),FertiliserProducts[[#Headers],[Include or Exclude]], 0,4)</f>
        <v/>
      </c>
      <c r="Z141" s="117" t="str" cm="1">
        <f t="array" ref="Z141">Common_InputFunctions.Utility_DisplayArrayInTable(Fertiliser_SourceData.Fertiliser_Products_Data1(),FertiliserProducts[[#Headers],[Include or Exclude]], 0,4)</f>
        <v/>
      </c>
      <c r="AA141" s="117" t="str" cm="1">
        <f t="array" ref="AA141">Common_InputFunctions.Utility_DisplayArrayInTable(Fertiliser_SourceData.Fertiliser_Products_Data1(),FertiliserProducts[[#Headers],[Include or Exclude]], 0,4)</f>
        <v/>
      </c>
      <c r="AB141" s="117" t="str" cm="1">
        <f t="array" ref="AB141">Common_InputFunctions.Utility_DisplayArrayInTable(Fertiliser_SourceData.Fertiliser_Products_Data1(),FertiliserProducts[[#Headers],[Include or Exclude]], 0,4)</f>
        <v/>
      </c>
      <c r="AC141" s="117" t="str" cm="1">
        <f t="array" ref="AC141">Common_InputFunctions.Utility_DisplayArrayInTable(Fertiliser_SourceData.Fertiliser_Products_Data1(),FertiliserProducts[[#Headers],[Include or Exclude]], 0,4)</f>
        <v/>
      </c>
      <c r="AD141" s="117" t="str" cm="1">
        <f t="array" ref="AD141">Common_InputFunctions.Utility_DisplayArrayInTable(Fertiliser_SourceData.Fertiliser_Products_Data1(),FertiliserProducts[[#Headers],[Include or Exclude]], 0,4)</f>
        <v/>
      </c>
      <c r="AE141" s="117" t="str" cm="1">
        <f t="array" ref="AE141">Common_InputFunctions.Utility_DisplayArrayInTable(Fertiliser_SourceData.Fertiliser_Products_Data1(),FertiliserProducts[[#Headers],[Include or Exclude]], 0,4)</f>
        <v/>
      </c>
    </row>
    <row r="142" spans="1:31" ht="20.100000000000001" customHeight="1" x14ac:dyDescent="0.25">
      <c r="A142"/>
      <c r="D142" s="117" t="str" cm="1">
        <f t="array" ref="D142">Common_InputFunctions.Utility_DisplayArrayInTable(Fertiliser_SourceData.Fertiliser_Products_Data1(),FertiliserProducts[[#Headers],[Include or Exclude]], -1)</f>
        <v/>
      </c>
      <c r="E142" s="117" t="str" cm="1">
        <f t="array" ref="E142">Common_InputFunctions.Utility_DisplayArrayInTable(Fertiliser_SourceData.Fertiliser_Products_Data1(),FertiliserProducts[[#Headers],[Include or Exclude]], 0)</f>
        <v/>
      </c>
      <c r="F142" s="117" t="str" cm="1">
        <f t="array" ref="F142">Common_InputFunctions.Utility_DisplayArrayInTable(Fertiliser_SourceData.Fertiliser_Products_Data1(),FertiliserProducts[[#Headers],[Include or Exclude]], 0)</f>
        <v/>
      </c>
      <c r="G142" s="117" t="str" cm="1">
        <f t="array" ref="G142">Common_InputFunctions.Utility_DisplayArrayInTable(Fertiliser_SourceData.Fertiliser_Products_Data1(),FertiliserProducts[[#Headers],[Include or Exclude]], 0)</f>
        <v/>
      </c>
      <c r="H142" s="117" t="str" cm="1">
        <f t="array" ref="H142">Common_InputFunctions.Utility_DisplayArrayInTable(Fertiliser_SourceData.Fertiliser_Products_Data1(),FertiliserProducts[[#Headers],[Include or Exclude]], 0,4)</f>
        <v/>
      </c>
      <c r="I142" s="117" t="str" cm="1">
        <f t="array" ref="I142">Common_InputFunctions.Utility_DisplayArrayInTable(Fertiliser_SourceData.Fertiliser_Products_Data1(),FertiliserProducts[[#Headers],[Include or Exclude]], 0,4)</f>
        <v/>
      </c>
      <c r="J142" s="117" t="str" cm="1">
        <f t="array" ref="J142">Common_InputFunctions.Utility_DisplayArrayInTable(Fertiliser_SourceData.Fertiliser_Products_Data1(),FertiliserProducts[[#Headers],[Include or Exclude]], 0,4)</f>
        <v/>
      </c>
      <c r="K142" s="117" t="str" cm="1">
        <f t="array" ref="K142">Common_InputFunctions.Utility_DisplayArrayInTable(Fertiliser_SourceData.Fertiliser_Products_Data1(),FertiliserProducts[[#Headers],[Include or Exclude]], 0,4)</f>
        <v/>
      </c>
      <c r="L142" s="117" t="str" cm="1">
        <f t="array" ref="L142">Common_InputFunctions.Utility_DisplayArrayInTable(Fertiliser_SourceData.Fertiliser_Products_Data1(),FertiliserProducts[[#Headers],[Include or Exclude]], 0,4)</f>
        <v/>
      </c>
      <c r="M142" s="117" t="str" cm="1">
        <f t="array" ref="M142">Common_InputFunctions.Utility_DisplayArrayInTable(Fertiliser_SourceData.Fertiliser_Products_Data1(),FertiliserProducts[[#Headers],[Include or Exclude]], 0,4)</f>
        <v/>
      </c>
      <c r="N142" s="117" t="str" cm="1">
        <f t="array" ref="N142">Common_InputFunctions.Utility_DisplayArrayInTable(Fertiliser_SourceData.Fertiliser_Products_Data1(),FertiliserProducts[[#Headers],[Include or Exclude]], 0,4)</f>
        <v/>
      </c>
      <c r="O142" s="117" t="str" cm="1">
        <f t="array" ref="O142">Common_InputFunctions.Utility_DisplayArrayInTable(Fertiliser_SourceData.Fertiliser_Products_Data1(),FertiliserProducts[[#Headers],[Include or Exclude]], 0,4)</f>
        <v/>
      </c>
      <c r="P142" s="117" t="str" cm="1">
        <f t="array" ref="P142">Common_InputFunctions.Utility_DisplayArrayInTable(Fertiliser_SourceData.Fertiliser_Products_Data1(),FertiliserProducts[[#Headers],[Include or Exclude]], 0,4)</f>
        <v/>
      </c>
      <c r="Q142" s="117" t="str" cm="1">
        <f t="array" ref="Q142">Common_InputFunctions.Utility_DisplayArrayInTable(Fertiliser_SourceData.Fertiliser_Products_Data1(),FertiliserProducts[[#Headers],[Include or Exclude]], 0,4)</f>
        <v/>
      </c>
      <c r="R142" s="117" t="str" cm="1">
        <f t="array" ref="R142">Common_InputFunctions.Utility_DisplayArrayInTable(Fertiliser_SourceData.Fertiliser_Products_Data1(),FertiliserProducts[[#Headers],[Include or Exclude]], 0,4)</f>
        <v/>
      </c>
      <c r="S142" s="117" t="str" cm="1">
        <f t="array" ref="S142">Common_InputFunctions.Utility_DisplayArrayInTable(Fertiliser_SourceData.Fertiliser_Products_Data1(),FertiliserProducts[[#Headers],[Include or Exclude]], 0,4)</f>
        <v/>
      </c>
      <c r="T142" s="117" t="str" cm="1">
        <f t="array" ref="T142">Common_InputFunctions.Utility_DisplayArrayInTable(Fertiliser_SourceData.Fertiliser_Products_Data1(),FertiliserProducts[[#Headers],[Include or Exclude]], 0,4)</f>
        <v/>
      </c>
      <c r="U142" s="117" t="str" cm="1">
        <f t="array" ref="U142">Common_InputFunctions.Utility_DisplayArrayInTable(Fertiliser_SourceData.Fertiliser_Products_Data1(),FertiliserProducts[[#Headers],[Include or Exclude]], 0,4)</f>
        <v/>
      </c>
      <c r="V142" s="117" t="str" cm="1">
        <f t="array" ref="V142">Common_InputFunctions.Utility_DisplayArrayInTable(Fertiliser_SourceData.Fertiliser_Products_Data1(),FertiliserProducts[[#Headers],[Include or Exclude]], 0,4)</f>
        <v/>
      </c>
      <c r="W142" s="117" t="str" cm="1">
        <f t="array" ref="W142">Common_InputFunctions.Utility_DisplayArrayInTable(Fertiliser_SourceData.Fertiliser_Products_Data1(),FertiliserProducts[[#Headers],[Include or Exclude]], 0,4)</f>
        <v/>
      </c>
      <c r="X142" s="117" t="str" cm="1">
        <f t="array" ref="X142">Common_InputFunctions.Utility_DisplayArrayInTable(Fertiliser_SourceData.Fertiliser_Products_Data1(),FertiliserProducts[[#Headers],[Include or Exclude]], 0,4)</f>
        <v/>
      </c>
      <c r="Y142" s="117" t="str" cm="1">
        <f t="array" ref="Y142">Common_InputFunctions.Utility_DisplayArrayInTable(Fertiliser_SourceData.Fertiliser_Products_Data1(),FertiliserProducts[[#Headers],[Include or Exclude]], 0,4)</f>
        <v/>
      </c>
      <c r="Z142" s="117" t="str" cm="1">
        <f t="array" ref="Z142">Common_InputFunctions.Utility_DisplayArrayInTable(Fertiliser_SourceData.Fertiliser_Products_Data1(),FertiliserProducts[[#Headers],[Include or Exclude]], 0,4)</f>
        <v/>
      </c>
      <c r="AA142" s="117" t="str" cm="1">
        <f t="array" ref="AA142">Common_InputFunctions.Utility_DisplayArrayInTable(Fertiliser_SourceData.Fertiliser_Products_Data1(),FertiliserProducts[[#Headers],[Include or Exclude]], 0,4)</f>
        <v/>
      </c>
      <c r="AB142" s="117" t="str" cm="1">
        <f t="array" ref="AB142">Common_InputFunctions.Utility_DisplayArrayInTable(Fertiliser_SourceData.Fertiliser_Products_Data1(),FertiliserProducts[[#Headers],[Include or Exclude]], 0,4)</f>
        <v/>
      </c>
      <c r="AC142" s="117" t="str" cm="1">
        <f t="array" ref="AC142">Common_InputFunctions.Utility_DisplayArrayInTable(Fertiliser_SourceData.Fertiliser_Products_Data1(),FertiliserProducts[[#Headers],[Include or Exclude]], 0,4)</f>
        <v/>
      </c>
      <c r="AD142" s="117" t="str" cm="1">
        <f t="array" ref="AD142">Common_InputFunctions.Utility_DisplayArrayInTable(Fertiliser_SourceData.Fertiliser_Products_Data1(),FertiliserProducts[[#Headers],[Include or Exclude]], 0,4)</f>
        <v/>
      </c>
      <c r="AE142" s="117" t="str" cm="1">
        <f t="array" ref="AE142">Common_InputFunctions.Utility_DisplayArrayInTable(Fertiliser_SourceData.Fertiliser_Products_Data1(),FertiliserProducts[[#Headers],[Include or Exclude]], 0,4)</f>
        <v/>
      </c>
    </row>
    <row r="143" spans="1:31" ht="20.100000000000001" customHeight="1" x14ac:dyDescent="0.25">
      <c r="A143"/>
      <c r="D143" s="117" t="str" cm="1">
        <f t="array" ref="D143">Common_InputFunctions.Utility_DisplayArrayInTable(Fertiliser_SourceData.Fertiliser_Products_Data1(),FertiliserProducts[[#Headers],[Include or Exclude]], -1)</f>
        <v/>
      </c>
      <c r="E143" s="117" t="str" cm="1">
        <f t="array" ref="E143">Common_InputFunctions.Utility_DisplayArrayInTable(Fertiliser_SourceData.Fertiliser_Products_Data1(),FertiliserProducts[[#Headers],[Include or Exclude]], 0)</f>
        <v/>
      </c>
      <c r="F143" s="117" t="str" cm="1">
        <f t="array" ref="F143">Common_InputFunctions.Utility_DisplayArrayInTable(Fertiliser_SourceData.Fertiliser_Products_Data1(),FertiliserProducts[[#Headers],[Include or Exclude]], 0)</f>
        <v/>
      </c>
      <c r="G143" s="117" t="str" cm="1">
        <f t="array" ref="G143">Common_InputFunctions.Utility_DisplayArrayInTable(Fertiliser_SourceData.Fertiliser_Products_Data1(),FertiliserProducts[[#Headers],[Include or Exclude]], 0)</f>
        <v/>
      </c>
      <c r="H143" s="117" t="str" cm="1">
        <f t="array" ref="H143">Common_InputFunctions.Utility_DisplayArrayInTable(Fertiliser_SourceData.Fertiliser_Products_Data1(),FertiliserProducts[[#Headers],[Include or Exclude]], 0,4)</f>
        <v/>
      </c>
      <c r="I143" s="117" t="str" cm="1">
        <f t="array" ref="I143">Common_InputFunctions.Utility_DisplayArrayInTable(Fertiliser_SourceData.Fertiliser_Products_Data1(),FertiliserProducts[[#Headers],[Include or Exclude]], 0,4)</f>
        <v/>
      </c>
      <c r="J143" s="117" t="str" cm="1">
        <f t="array" ref="J143">Common_InputFunctions.Utility_DisplayArrayInTable(Fertiliser_SourceData.Fertiliser_Products_Data1(),FertiliserProducts[[#Headers],[Include or Exclude]], 0,4)</f>
        <v/>
      </c>
      <c r="K143" s="117" t="str" cm="1">
        <f t="array" ref="K143">Common_InputFunctions.Utility_DisplayArrayInTable(Fertiliser_SourceData.Fertiliser_Products_Data1(),FertiliserProducts[[#Headers],[Include or Exclude]], 0,4)</f>
        <v/>
      </c>
      <c r="L143" s="117" t="str" cm="1">
        <f t="array" ref="L143">Common_InputFunctions.Utility_DisplayArrayInTable(Fertiliser_SourceData.Fertiliser_Products_Data1(),FertiliserProducts[[#Headers],[Include or Exclude]], 0,4)</f>
        <v/>
      </c>
      <c r="M143" s="117" t="str" cm="1">
        <f t="array" ref="M143">Common_InputFunctions.Utility_DisplayArrayInTable(Fertiliser_SourceData.Fertiliser_Products_Data1(),FertiliserProducts[[#Headers],[Include or Exclude]], 0,4)</f>
        <v/>
      </c>
      <c r="N143" s="117" t="str" cm="1">
        <f t="array" ref="N143">Common_InputFunctions.Utility_DisplayArrayInTable(Fertiliser_SourceData.Fertiliser_Products_Data1(),FertiliserProducts[[#Headers],[Include or Exclude]], 0,4)</f>
        <v/>
      </c>
      <c r="O143" s="117" t="str" cm="1">
        <f t="array" ref="O143">Common_InputFunctions.Utility_DisplayArrayInTable(Fertiliser_SourceData.Fertiliser_Products_Data1(),FertiliserProducts[[#Headers],[Include or Exclude]], 0,4)</f>
        <v/>
      </c>
      <c r="P143" s="117" t="str" cm="1">
        <f t="array" ref="P143">Common_InputFunctions.Utility_DisplayArrayInTable(Fertiliser_SourceData.Fertiliser_Products_Data1(),FertiliserProducts[[#Headers],[Include or Exclude]], 0,4)</f>
        <v/>
      </c>
      <c r="Q143" s="117" t="str" cm="1">
        <f t="array" ref="Q143">Common_InputFunctions.Utility_DisplayArrayInTable(Fertiliser_SourceData.Fertiliser_Products_Data1(),FertiliserProducts[[#Headers],[Include or Exclude]], 0,4)</f>
        <v/>
      </c>
      <c r="R143" s="117" t="str" cm="1">
        <f t="array" ref="R143">Common_InputFunctions.Utility_DisplayArrayInTable(Fertiliser_SourceData.Fertiliser_Products_Data1(),FertiliserProducts[[#Headers],[Include or Exclude]], 0,4)</f>
        <v/>
      </c>
      <c r="S143" s="117" t="str" cm="1">
        <f t="array" ref="S143">Common_InputFunctions.Utility_DisplayArrayInTable(Fertiliser_SourceData.Fertiliser_Products_Data1(),FertiliserProducts[[#Headers],[Include or Exclude]], 0,4)</f>
        <v/>
      </c>
      <c r="T143" s="117" t="str" cm="1">
        <f t="array" ref="T143">Common_InputFunctions.Utility_DisplayArrayInTable(Fertiliser_SourceData.Fertiliser_Products_Data1(),FertiliserProducts[[#Headers],[Include or Exclude]], 0,4)</f>
        <v/>
      </c>
      <c r="U143" s="117" t="str" cm="1">
        <f t="array" ref="U143">Common_InputFunctions.Utility_DisplayArrayInTable(Fertiliser_SourceData.Fertiliser_Products_Data1(),FertiliserProducts[[#Headers],[Include or Exclude]], 0,4)</f>
        <v/>
      </c>
      <c r="V143" s="117" t="str" cm="1">
        <f t="array" ref="V143">Common_InputFunctions.Utility_DisplayArrayInTable(Fertiliser_SourceData.Fertiliser_Products_Data1(),FertiliserProducts[[#Headers],[Include or Exclude]], 0,4)</f>
        <v/>
      </c>
      <c r="W143" s="117" t="str" cm="1">
        <f t="array" ref="W143">Common_InputFunctions.Utility_DisplayArrayInTable(Fertiliser_SourceData.Fertiliser_Products_Data1(),FertiliserProducts[[#Headers],[Include or Exclude]], 0,4)</f>
        <v/>
      </c>
      <c r="X143" s="117" t="str" cm="1">
        <f t="array" ref="X143">Common_InputFunctions.Utility_DisplayArrayInTable(Fertiliser_SourceData.Fertiliser_Products_Data1(),FertiliserProducts[[#Headers],[Include or Exclude]], 0,4)</f>
        <v/>
      </c>
      <c r="Y143" s="117" t="str" cm="1">
        <f t="array" ref="Y143">Common_InputFunctions.Utility_DisplayArrayInTable(Fertiliser_SourceData.Fertiliser_Products_Data1(),FertiliserProducts[[#Headers],[Include or Exclude]], 0,4)</f>
        <v/>
      </c>
      <c r="Z143" s="117" t="str" cm="1">
        <f t="array" ref="Z143">Common_InputFunctions.Utility_DisplayArrayInTable(Fertiliser_SourceData.Fertiliser_Products_Data1(),FertiliserProducts[[#Headers],[Include or Exclude]], 0,4)</f>
        <v/>
      </c>
      <c r="AA143" s="117" t="str" cm="1">
        <f t="array" ref="AA143">Common_InputFunctions.Utility_DisplayArrayInTable(Fertiliser_SourceData.Fertiliser_Products_Data1(),FertiliserProducts[[#Headers],[Include or Exclude]], 0,4)</f>
        <v/>
      </c>
      <c r="AB143" s="117" t="str" cm="1">
        <f t="array" ref="AB143">Common_InputFunctions.Utility_DisplayArrayInTable(Fertiliser_SourceData.Fertiliser_Products_Data1(),FertiliserProducts[[#Headers],[Include or Exclude]], 0,4)</f>
        <v/>
      </c>
      <c r="AC143" s="117" t="str" cm="1">
        <f t="array" ref="AC143">Common_InputFunctions.Utility_DisplayArrayInTable(Fertiliser_SourceData.Fertiliser_Products_Data1(),FertiliserProducts[[#Headers],[Include or Exclude]], 0,4)</f>
        <v/>
      </c>
      <c r="AD143" s="117" t="str" cm="1">
        <f t="array" ref="AD143">Common_InputFunctions.Utility_DisplayArrayInTable(Fertiliser_SourceData.Fertiliser_Products_Data1(),FertiliserProducts[[#Headers],[Include or Exclude]], 0,4)</f>
        <v/>
      </c>
      <c r="AE143" s="117" t="str" cm="1">
        <f t="array" ref="AE143">Common_InputFunctions.Utility_DisplayArrayInTable(Fertiliser_SourceData.Fertiliser_Products_Data1(),FertiliserProducts[[#Headers],[Include or Exclude]], 0,4)</f>
        <v/>
      </c>
    </row>
    <row r="144" spans="1:31" ht="20.100000000000001" customHeight="1" x14ac:dyDescent="0.25">
      <c r="A144"/>
      <c r="D144" s="117" t="str" cm="1">
        <f t="array" ref="D144">Common_InputFunctions.Utility_DisplayArrayInTable(Fertiliser_SourceData.Fertiliser_Products_Data1(),FertiliserProducts[[#Headers],[Include or Exclude]], -1)</f>
        <v/>
      </c>
      <c r="E144" s="117" t="str" cm="1">
        <f t="array" ref="E144">Common_InputFunctions.Utility_DisplayArrayInTable(Fertiliser_SourceData.Fertiliser_Products_Data1(),FertiliserProducts[[#Headers],[Include or Exclude]], 0)</f>
        <v/>
      </c>
      <c r="F144" s="117" t="str" cm="1">
        <f t="array" ref="F144">Common_InputFunctions.Utility_DisplayArrayInTable(Fertiliser_SourceData.Fertiliser_Products_Data1(),FertiliserProducts[[#Headers],[Include or Exclude]], 0)</f>
        <v/>
      </c>
      <c r="G144" s="117" t="str" cm="1">
        <f t="array" ref="G144">Common_InputFunctions.Utility_DisplayArrayInTable(Fertiliser_SourceData.Fertiliser_Products_Data1(),FertiliserProducts[[#Headers],[Include or Exclude]], 0)</f>
        <v/>
      </c>
      <c r="H144" s="117" t="str" cm="1">
        <f t="array" ref="H144">Common_InputFunctions.Utility_DisplayArrayInTable(Fertiliser_SourceData.Fertiliser_Products_Data1(),FertiliserProducts[[#Headers],[Include or Exclude]], 0,4)</f>
        <v/>
      </c>
      <c r="I144" s="117" t="str" cm="1">
        <f t="array" ref="I144">Common_InputFunctions.Utility_DisplayArrayInTable(Fertiliser_SourceData.Fertiliser_Products_Data1(),FertiliserProducts[[#Headers],[Include or Exclude]], 0,4)</f>
        <v/>
      </c>
      <c r="J144" s="117" t="str" cm="1">
        <f t="array" ref="J144">Common_InputFunctions.Utility_DisplayArrayInTable(Fertiliser_SourceData.Fertiliser_Products_Data1(),FertiliserProducts[[#Headers],[Include or Exclude]], 0,4)</f>
        <v/>
      </c>
      <c r="K144" s="117" t="str" cm="1">
        <f t="array" ref="K144">Common_InputFunctions.Utility_DisplayArrayInTable(Fertiliser_SourceData.Fertiliser_Products_Data1(),FertiliserProducts[[#Headers],[Include or Exclude]], 0,4)</f>
        <v/>
      </c>
      <c r="L144" s="117" t="str" cm="1">
        <f t="array" ref="L144">Common_InputFunctions.Utility_DisplayArrayInTable(Fertiliser_SourceData.Fertiliser_Products_Data1(),FertiliserProducts[[#Headers],[Include or Exclude]], 0,4)</f>
        <v/>
      </c>
      <c r="M144" s="117" t="str" cm="1">
        <f t="array" ref="M144">Common_InputFunctions.Utility_DisplayArrayInTable(Fertiliser_SourceData.Fertiliser_Products_Data1(),FertiliserProducts[[#Headers],[Include or Exclude]], 0,4)</f>
        <v/>
      </c>
      <c r="N144" s="117" t="str" cm="1">
        <f t="array" ref="N144">Common_InputFunctions.Utility_DisplayArrayInTable(Fertiliser_SourceData.Fertiliser_Products_Data1(),FertiliserProducts[[#Headers],[Include or Exclude]], 0,4)</f>
        <v/>
      </c>
      <c r="O144" s="117" t="str" cm="1">
        <f t="array" ref="O144">Common_InputFunctions.Utility_DisplayArrayInTable(Fertiliser_SourceData.Fertiliser_Products_Data1(),FertiliserProducts[[#Headers],[Include or Exclude]], 0,4)</f>
        <v/>
      </c>
      <c r="P144" s="117" t="str" cm="1">
        <f t="array" ref="P144">Common_InputFunctions.Utility_DisplayArrayInTable(Fertiliser_SourceData.Fertiliser_Products_Data1(),FertiliserProducts[[#Headers],[Include or Exclude]], 0,4)</f>
        <v/>
      </c>
      <c r="Q144" s="117" t="str" cm="1">
        <f t="array" ref="Q144">Common_InputFunctions.Utility_DisplayArrayInTable(Fertiliser_SourceData.Fertiliser_Products_Data1(),FertiliserProducts[[#Headers],[Include or Exclude]], 0,4)</f>
        <v/>
      </c>
      <c r="R144" s="117" t="str" cm="1">
        <f t="array" ref="R144">Common_InputFunctions.Utility_DisplayArrayInTable(Fertiliser_SourceData.Fertiliser_Products_Data1(),FertiliserProducts[[#Headers],[Include or Exclude]], 0,4)</f>
        <v/>
      </c>
      <c r="S144" s="117" t="str" cm="1">
        <f t="array" ref="S144">Common_InputFunctions.Utility_DisplayArrayInTable(Fertiliser_SourceData.Fertiliser_Products_Data1(),FertiliserProducts[[#Headers],[Include or Exclude]], 0,4)</f>
        <v/>
      </c>
      <c r="T144" s="117" t="str" cm="1">
        <f t="array" ref="T144">Common_InputFunctions.Utility_DisplayArrayInTable(Fertiliser_SourceData.Fertiliser_Products_Data1(),FertiliserProducts[[#Headers],[Include or Exclude]], 0,4)</f>
        <v/>
      </c>
      <c r="U144" s="117" t="str" cm="1">
        <f t="array" ref="U144">Common_InputFunctions.Utility_DisplayArrayInTable(Fertiliser_SourceData.Fertiliser_Products_Data1(),FertiliserProducts[[#Headers],[Include or Exclude]], 0,4)</f>
        <v/>
      </c>
      <c r="V144" s="117" t="str" cm="1">
        <f t="array" ref="V144">Common_InputFunctions.Utility_DisplayArrayInTable(Fertiliser_SourceData.Fertiliser_Products_Data1(),FertiliserProducts[[#Headers],[Include or Exclude]], 0,4)</f>
        <v/>
      </c>
      <c r="W144" s="117" t="str" cm="1">
        <f t="array" ref="W144">Common_InputFunctions.Utility_DisplayArrayInTable(Fertiliser_SourceData.Fertiliser_Products_Data1(),FertiliserProducts[[#Headers],[Include or Exclude]], 0,4)</f>
        <v/>
      </c>
      <c r="X144" s="117" t="str" cm="1">
        <f t="array" ref="X144">Common_InputFunctions.Utility_DisplayArrayInTable(Fertiliser_SourceData.Fertiliser_Products_Data1(),FertiliserProducts[[#Headers],[Include or Exclude]], 0,4)</f>
        <v/>
      </c>
      <c r="Y144" s="117" t="str" cm="1">
        <f t="array" ref="Y144">Common_InputFunctions.Utility_DisplayArrayInTable(Fertiliser_SourceData.Fertiliser_Products_Data1(),FertiliserProducts[[#Headers],[Include or Exclude]], 0,4)</f>
        <v/>
      </c>
      <c r="Z144" s="117" t="str" cm="1">
        <f t="array" ref="Z144">Common_InputFunctions.Utility_DisplayArrayInTable(Fertiliser_SourceData.Fertiliser_Products_Data1(),FertiliserProducts[[#Headers],[Include or Exclude]], 0,4)</f>
        <v/>
      </c>
      <c r="AA144" s="117" t="str" cm="1">
        <f t="array" ref="AA144">Common_InputFunctions.Utility_DisplayArrayInTable(Fertiliser_SourceData.Fertiliser_Products_Data1(),FertiliserProducts[[#Headers],[Include or Exclude]], 0,4)</f>
        <v/>
      </c>
      <c r="AB144" s="117" t="str" cm="1">
        <f t="array" ref="AB144">Common_InputFunctions.Utility_DisplayArrayInTable(Fertiliser_SourceData.Fertiliser_Products_Data1(),FertiliserProducts[[#Headers],[Include or Exclude]], 0,4)</f>
        <v/>
      </c>
      <c r="AC144" s="117" t="str" cm="1">
        <f t="array" ref="AC144">Common_InputFunctions.Utility_DisplayArrayInTable(Fertiliser_SourceData.Fertiliser_Products_Data1(),FertiliserProducts[[#Headers],[Include or Exclude]], 0,4)</f>
        <v/>
      </c>
      <c r="AD144" s="117" t="str" cm="1">
        <f t="array" ref="AD144">Common_InputFunctions.Utility_DisplayArrayInTable(Fertiliser_SourceData.Fertiliser_Products_Data1(),FertiliserProducts[[#Headers],[Include or Exclude]], 0,4)</f>
        <v/>
      </c>
      <c r="AE144" s="117" t="str" cm="1">
        <f t="array" ref="AE144">Common_InputFunctions.Utility_DisplayArrayInTable(Fertiliser_SourceData.Fertiliser_Products_Data1(),FertiliserProducts[[#Headers],[Include or Exclude]], 0,4)</f>
        <v/>
      </c>
    </row>
    <row r="145" spans="1:31" ht="20.100000000000001" customHeight="1" x14ac:dyDescent="0.25">
      <c r="A145"/>
      <c r="D145" s="117" t="str" cm="1">
        <f t="array" ref="D145">Common_InputFunctions.Utility_DisplayArrayInTable(Fertiliser_SourceData.Fertiliser_Products_Data1(),FertiliserProducts[[#Headers],[Include or Exclude]], -1)</f>
        <v/>
      </c>
      <c r="E145" s="117" t="str" cm="1">
        <f t="array" ref="E145">Common_InputFunctions.Utility_DisplayArrayInTable(Fertiliser_SourceData.Fertiliser_Products_Data1(),FertiliserProducts[[#Headers],[Include or Exclude]], 0)</f>
        <v/>
      </c>
      <c r="F145" s="117" t="str" cm="1">
        <f t="array" ref="F145">Common_InputFunctions.Utility_DisplayArrayInTable(Fertiliser_SourceData.Fertiliser_Products_Data1(),FertiliserProducts[[#Headers],[Include or Exclude]], 0)</f>
        <v/>
      </c>
      <c r="G145" s="117" t="str" cm="1">
        <f t="array" ref="G145">Common_InputFunctions.Utility_DisplayArrayInTable(Fertiliser_SourceData.Fertiliser_Products_Data1(),FertiliserProducts[[#Headers],[Include or Exclude]], 0)</f>
        <v/>
      </c>
      <c r="H145" s="117" t="str" cm="1">
        <f t="array" ref="H145">Common_InputFunctions.Utility_DisplayArrayInTable(Fertiliser_SourceData.Fertiliser_Products_Data1(),FertiliserProducts[[#Headers],[Include or Exclude]], 0,4)</f>
        <v/>
      </c>
      <c r="I145" s="117" t="str" cm="1">
        <f t="array" ref="I145">Common_InputFunctions.Utility_DisplayArrayInTable(Fertiliser_SourceData.Fertiliser_Products_Data1(),FertiliserProducts[[#Headers],[Include or Exclude]], 0,4)</f>
        <v/>
      </c>
      <c r="J145" s="117" t="str" cm="1">
        <f t="array" ref="J145">Common_InputFunctions.Utility_DisplayArrayInTable(Fertiliser_SourceData.Fertiliser_Products_Data1(),FertiliserProducts[[#Headers],[Include or Exclude]], 0,4)</f>
        <v/>
      </c>
      <c r="K145" s="117" t="str" cm="1">
        <f t="array" ref="K145">Common_InputFunctions.Utility_DisplayArrayInTable(Fertiliser_SourceData.Fertiliser_Products_Data1(),FertiliserProducts[[#Headers],[Include or Exclude]], 0,4)</f>
        <v/>
      </c>
      <c r="L145" s="117" t="str" cm="1">
        <f t="array" ref="L145">Common_InputFunctions.Utility_DisplayArrayInTable(Fertiliser_SourceData.Fertiliser_Products_Data1(),FertiliserProducts[[#Headers],[Include or Exclude]], 0,4)</f>
        <v/>
      </c>
      <c r="M145" s="117" t="str" cm="1">
        <f t="array" ref="M145">Common_InputFunctions.Utility_DisplayArrayInTable(Fertiliser_SourceData.Fertiliser_Products_Data1(),FertiliserProducts[[#Headers],[Include or Exclude]], 0,4)</f>
        <v/>
      </c>
      <c r="N145" s="117" t="str" cm="1">
        <f t="array" ref="N145">Common_InputFunctions.Utility_DisplayArrayInTable(Fertiliser_SourceData.Fertiliser_Products_Data1(),FertiliserProducts[[#Headers],[Include or Exclude]], 0,4)</f>
        <v/>
      </c>
      <c r="O145" s="117" t="str" cm="1">
        <f t="array" ref="O145">Common_InputFunctions.Utility_DisplayArrayInTable(Fertiliser_SourceData.Fertiliser_Products_Data1(),FertiliserProducts[[#Headers],[Include or Exclude]], 0,4)</f>
        <v/>
      </c>
      <c r="P145" s="117" t="str" cm="1">
        <f t="array" ref="P145">Common_InputFunctions.Utility_DisplayArrayInTable(Fertiliser_SourceData.Fertiliser_Products_Data1(),FertiliserProducts[[#Headers],[Include or Exclude]], 0,4)</f>
        <v/>
      </c>
      <c r="Q145" s="117" t="str" cm="1">
        <f t="array" ref="Q145">Common_InputFunctions.Utility_DisplayArrayInTable(Fertiliser_SourceData.Fertiliser_Products_Data1(),FertiliserProducts[[#Headers],[Include or Exclude]], 0,4)</f>
        <v/>
      </c>
      <c r="R145" s="117" t="str" cm="1">
        <f t="array" ref="R145">Common_InputFunctions.Utility_DisplayArrayInTable(Fertiliser_SourceData.Fertiliser_Products_Data1(),FertiliserProducts[[#Headers],[Include or Exclude]], 0,4)</f>
        <v/>
      </c>
      <c r="S145" s="117" t="str" cm="1">
        <f t="array" ref="S145">Common_InputFunctions.Utility_DisplayArrayInTable(Fertiliser_SourceData.Fertiliser_Products_Data1(),FertiliserProducts[[#Headers],[Include or Exclude]], 0,4)</f>
        <v/>
      </c>
      <c r="T145" s="117" t="str" cm="1">
        <f t="array" ref="T145">Common_InputFunctions.Utility_DisplayArrayInTable(Fertiliser_SourceData.Fertiliser_Products_Data1(),FertiliserProducts[[#Headers],[Include or Exclude]], 0,4)</f>
        <v/>
      </c>
      <c r="U145" s="117" t="str" cm="1">
        <f t="array" ref="U145">Common_InputFunctions.Utility_DisplayArrayInTable(Fertiliser_SourceData.Fertiliser_Products_Data1(),FertiliserProducts[[#Headers],[Include or Exclude]], 0,4)</f>
        <v/>
      </c>
      <c r="V145" s="117" t="str" cm="1">
        <f t="array" ref="V145">Common_InputFunctions.Utility_DisplayArrayInTable(Fertiliser_SourceData.Fertiliser_Products_Data1(),FertiliserProducts[[#Headers],[Include or Exclude]], 0,4)</f>
        <v/>
      </c>
      <c r="W145" s="117" t="str" cm="1">
        <f t="array" ref="W145">Common_InputFunctions.Utility_DisplayArrayInTable(Fertiliser_SourceData.Fertiliser_Products_Data1(),FertiliserProducts[[#Headers],[Include or Exclude]], 0,4)</f>
        <v/>
      </c>
      <c r="X145" s="117" t="str" cm="1">
        <f t="array" ref="X145">Common_InputFunctions.Utility_DisplayArrayInTable(Fertiliser_SourceData.Fertiliser_Products_Data1(),FertiliserProducts[[#Headers],[Include or Exclude]], 0,4)</f>
        <v/>
      </c>
      <c r="Y145" s="117" t="str" cm="1">
        <f t="array" ref="Y145">Common_InputFunctions.Utility_DisplayArrayInTable(Fertiliser_SourceData.Fertiliser_Products_Data1(),FertiliserProducts[[#Headers],[Include or Exclude]], 0,4)</f>
        <v/>
      </c>
      <c r="Z145" s="117" t="str" cm="1">
        <f t="array" ref="Z145">Common_InputFunctions.Utility_DisplayArrayInTable(Fertiliser_SourceData.Fertiliser_Products_Data1(),FertiliserProducts[[#Headers],[Include or Exclude]], 0,4)</f>
        <v/>
      </c>
      <c r="AA145" s="117" t="str" cm="1">
        <f t="array" ref="AA145">Common_InputFunctions.Utility_DisplayArrayInTable(Fertiliser_SourceData.Fertiliser_Products_Data1(),FertiliserProducts[[#Headers],[Include or Exclude]], 0,4)</f>
        <v/>
      </c>
      <c r="AB145" s="117" t="str" cm="1">
        <f t="array" ref="AB145">Common_InputFunctions.Utility_DisplayArrayInTable(Fertiliser_SourceData.Fertiliser_Products_Data1(),FertiliserProducts[[#Headers],[Include or Exclude]], 0,4)</f>
        <v/>
      </c>
      <c r="AC145" s="117" t="str" cm="1">
        <f t="array" ref="AC145">Common_InputFunctions.Utility_DisplayArrayInTable(Fertiliser_SourceData.Fertiliser_Products_Data1(),FertiliserProducts[[#Headers],[Include or Exclude]], 0,4)</f>
        <v/>
      </c>
      <c r="AD145" s="117" t="str" cm="1">
        <f t="array" ref="AD145">Common_InputFunctions.Utility_DisplayArrayInTable(Fertiliser_SourceData.Fertiliser_Products_Data1(),FertiliserProducts[[#Headers],[Include or Exclude]], 0,4)</f>
        <v/>
      </c>
      <c r="AE145" s="117" t="str" cm="1">
        <f t="array" ref="AE145">Common_InputFunctions.Utility_DisplayArrayInTable(Fertiliser_SourceData.Fertiliser_Products_Data1(),FertiliserProducts[[#Headers],[Include or Exclude]], 0,4)</f>
        <v/>
      </c>
    </row>
    <row r="146" spans="1:31" ht="20.100000000000001" customHeight="1" x14ac:dyDescent="0.25">
      <c r="A146"/>
      <c r="D146" s="117" t="str" cm="1">
        <f t="array" ref="D146">Common_InputFunctions.Utility_DisplayArrayInTable(Fertiliser_SourceData.Fertiliser_Products_Data1(),FertiliserProducts[[#Headers],[Include or Exclude]], -1)</f>
        <v/>
      </c>
      <c r="E146" s="117" t="str" cm="1">
        <f t="array" ref="E146">Common_InputFunctions.Utility_DisplayArrayInTable(Fertiliser_SourceData.Fertiliser_Products_Data1(),FertiliserProducts[[#Headers],[Include or Exclude]], 0)</f>
        <v/>
      </c>
      <c r="F146" s="117" t="str" cm="1">
        <f t="array" ref="F146">Common_InputFunctions.Utility_DisplayArrayInTable(Fertiliser_SourceData.Fertiliser_Products_Data1(),FertiliserProducts[[#Headers],[Include or Exclude]], 0)</f>
        <v/>
      </c>
      <c r="G146" s="117" t="str" cm="1">
        <f t="array" ref="G146">Common_InputFunctions.Utility_DisplayArrayInTable(Fertiliser_SourceData.Fertiliser_Products_Data1(),FertiliserProducts[[#Headers],[Include or Exclude]], 0)</f>
        <v/>
      </c>
      <c r="H146" s="117" t="str" cm="1">
        <f t="array" ref="H146">Common_InputFunctions.Utility_DisplayArrayInTable(Fertiliser_SourceData.Fertiliser_Products_Data1(),FertiliserProducts[[#Headers],[Include or Exclude]], 0,4)</f>
        <v/>
      </c>
      <c r="I146" s="117" t="str" cm="1">
        <f t="array" ref="I146">Common_InputFunctions.Utility_DisplayArrayInTable(Fertiliser_SourceData.Fertiliser_Products_Data1(),FertiliserProducts[[#Headers],[Include or Exclude]], 0,4)</f>
        <v/>
      </c>
      <c r="J146" s="117" t="str" cm="1">
        <f t="array" ref="J146">Common_InputFunctions.Utility_DisplayArrayInTable(Fertiliser_SourceData.Fertiliser_Products_Data1(),FertiliserProducts[[#Headers],[Include or Exclude]], 0,4)</f>
        <v/>
      </c>
      <c r="K146" s="117" t="str" cm="1">
        <f t="array" ref="K146">Common_InputFunctions.Utility_DisplayArrayInTable(Fertiliser_SourceData.Fertiliser_Products_Data1(),FertiliserProducts[[#Headers],[Include or Exclude]], 0,4)</f>
        <v/>
      </c>
      <c r="L146" s="117" t="str" cm="1">
        <f t="array" ref="L146">Common_InputFunctions.Utility_DisplayArrayInTable(Fertiliser_SourceData.Fertiliser_Products_Data1(),FertiliserProducts[[#Headers],[Include or Exclude]], 0,4)</f>
        <v/>
      </c>
      <c r="M146" s="117" t="str" cm="1">
        <f t="array" ref="M146">Common_InputFunctions.Utility_DisplayArrayInTable(Fertiliser_SourceData.Fertiliser_Products_Data1(),FertiliserProducts[[#Headers],[Include or Exclude]], 0,4)</f>
        <v/>
      </c>
      <c r="N146" s="117" t="str" cm="1">
        <f t="array" ref="N146">Common_InputFunctions.Utility_DisplayArrayInTable(Fertiliser_SourceData.Fertiliser_Products_Data1(),FertiliserProducts[[#Headers],[Include or Exclude]], 0,4)</f>
        <v/>
      </c>
      <c r="O146" s="117" t="str" cm="1">
        <f t="array" ref="O146">Common_InputFunctions.Utility_DisplayArrayInTable(Fertiliser_SourceData.Fertiliser_Products_Data1(),FertiliserProducts[[#Headers],[Include or Exclude]], 0,4)</f>
        <v/>
      </c>
      <c r="P146" s="117" t="str" cm="1">
        <f t="array" ref="P146">Common_InputFunctions.Utility_DisplayArrayInTable(Fertiliser_SourceData.Fertiliser_Products_Data1(),FertiliserProducts[[#Headers],[Include or Exclude]], 0,4)</f>
        <v/>
      </c>
      <c r="Q146" s="117" t="str" cm="1">
        <f t="array" ref="Q146">Common_InputFunctions.Utility_DisplayArrayInTable(Fertiliser_SourceData.Fertiliser_Products_Data1(),FertiliserProducts[[#Headers],[Include or Exclude]], 0,4)</f>
        <v/>
      </c>
      <c r="R146" s="117" t="str" cm="1">
        <f t="array" ref="R146">Common_InputFunctions.Utility_DisplayArrayInTable(Fertiliser_SourceData.Fertiliser_Products_Data1(),FertiliserProducts[[#Headers],[Include or Exclude]], 0,4)</f>
        <v/>
      </c>
      <c r="S146" s="117" t="str" cm="1">
        <f t="array" ref="S146">Common_InputFunctions.Utility_DisplayArrayInTable(Fertiliser_SourceData.Fertiliser_Products_Data1(),FertiliserProducts[[#Headers],[Include or Exclude]], 0,4)</f>
        <v/>
      </c>
      <c r="T146" s="117" t="str" cm="1">
        <f t="array" ref="T146">Common_InputFunctions.Utility_DisplayArrayInTable(Fertiliser_SourceData.Fertiliser_Products_Data1(),FertiliserProducts[[#Headers],[Include or Exclude]], 0,4)</f>
        <v/>
      </c>
      <c r="U146" s="117" t="str" cm="1">
        <f t="array" ref="U146">Common_InputFunctions.Utility_DisplayArrayInTable(Fertiliser_SourceData.Fertiliser_Products_Data1(),FertiliserProducts[[#Headers],[Include or Exclude]], 0,4)</f>
        <v/>
      </c>
      <c r="V146" s="117" t="str" cm="1">
        <f t="array" ref="V146">Common_InputFunctions.Utility_DisplayArrayInTable(Fertiliser_SourceData.Fertiliser_Products_Data1(),FertiliserProducts[[#Headers],[Include or Exclude]], 0,4)</f>
        <v/>
      </c>
      <c r="W146" s="117" t="str" cm="1">
        <f t="array" ref="W146">Common_InputFunctions.Utility_DisplayArrayInTable(Fertiliser_SourceData.Fertiliser_Products_Data1(),FertiliserProducts[[#Headers],[Include or Exclude]], 0,4)</f>
        <v/>
      </c>
      <c r="X146" s="117" t="str" cm="1">
        <f t="array" ref="X146">Common_InputFunctions.Utility_DisplayArrayInTable(Fertiliser_SourceData.Fertiliser_Products_Data1(),FertiliserProducts[[#Headers],[Include or Exclude]], 0,4)</f>
        <v/>
      </c>
      <c r="Y146" s="117" t="str" cm="1">
        <f t="array" ref="Y146">Common_InputFunctions.Utility_DisplayArrayInTable(Fertiliser_SourceData.Fertiliser_Products_Data1(),FertiliserProducts[[#Headers],[Include or Exclude]], 0,4)</f>
        <v/>
      </c>
      <c r="Z146" s="117" t="str" cm="1">
        <f t="array" ref="Z146">Common_InputFunctions.Utility_DisplayArrayInTable(Fertiliser_SourceData.Fertiliser_Products_Data1(),FertiliserProducts[[#Headers],[Include or Exclude]], 0,4)</f>
        <v/>
      </c>
      <c r="AA146" s="117" t="str" cm="1">
        <f t="array" ref="AA146">Common_InputFunctions.Utility_DisplayArrayInTable(Fertiliser_SourceData.Fertiliser_Products_Data1(),FertiliserProducts[[#Headers],[Include or Exclude]], 0,4)</f>
        <v/>
      </c>
      <c r="AB146" s="117" t="str" cm="1">
        <f t="array" ref="AB146">Common_InputFunctions.Utility_DisplayArrayInTable(Fertiliser_SourceData.Fertiliser_Products_Data1(),FertiliserProducts[[#Headers],[Include or Exclude]], 0,4)</f>
        <v/>
      </c>
      <c r="AC146" s="117" t="str" cm="1">
        <f t="array" ref="AC146">Common_InputFunctions.Utility_DisplayArrayInTable(Fertiliser_SourceData.Fertiliser_Products_Data1(),FertiliserProducts[[#Headers],[Include or Exclude]], 0,4)</f>
        <v/>
      </c>
      <c r="AD146" s="117" t="str" cm="1">
        <f t="array" ref="AD146">Common_InputFunctions.Utility_DisplayArrayInTable(Fertiliser_SourceData.Fertiliser_Products_Data1(),FertiliserProducts[[#Headers],[Include or Exclude]], 0,4)</f>
        <v/>
      </c>
      <c r="AE146" s="117" t="str" cm="1">
        <f t="array" ref="AE146">Common_InputFunctions.Utility_DisplayArrayInTable(Fertiliser_SourceData.Fertiliser_Products_Data1(),FertiliserProducts[[#Headers],[Include or Exclude]], 0,4)</f>
        <v/>
      </c>
    </row>
    <row r="147" spans="1:31" ht="20.100000000000001" customHeight="1" x14ac:dyDescent="0.25">
      <c r="A147"/>
      <c r="D147" s="117" t="str" cm="1">
        <f t="array" ref="D147">Common_InputFunctions.Utility_DisplayArrayInTable(Fertiliser_SourceData.Fertiliser_Products_Data1(),FertiliserProducts[[#Headers],[Include or Exclude]], -1)</f>
        <v/>
      </c>
      <c r="E147" s="117" t="str" cm="1">
        <f t="array" ref="E147">Common_InputFunctions.Utility_DisplayArrayInTable(Fertiliser_SourceData.Fertiliser_Products_Data1(),FertiliserProducts[[#Headers],[Include or Exclude]], 0)</f>
        <v/>
      </c>
      <c r="F147" s="117" t="str" cm="1">
        <f t="array" ref="F147">Common_InputFunctions.Utility_DisplayArrayInTable(Fertiliser_SourceData.Fertiliser_Products_Data1(),FertiliserProducts[[#Headers],[Include or Exclude]], 0)</f>
        <v/>
      </c>
      <c r="G147" s="117" t="str" cm="1">
        <f t="array" ref="G147">Common_InputFunctions.Utility_DisplayArrayInTable(Fertiliser_SourceData.Fertiliser_Products_Data1(),FertiliserProducts[[#Headers],[Include or Exclude]], 0)</f>
        <v/>
      </c>
      <c r="H147" s="117" t="str" cm="1">
        <f t="array" ref="H147">Common_InputFunctions.Utility_DisplayArrayInTable(Fertiliser_SourceData.Fertiliser_Products_Data1(),FertiliserProducts[[#Headers],[Include or Exclude]], 0,4)</f>
        <v/>
      </c>
      <c r="I147" s="117" t="str" cm="1">
        <f t="array" ref="I147">Common_InputFunctions.Utility_DisplayArrayInTable(Fertiliser_SourceData.Fertiliser_Products_Data1(),FertiliserProducts[[#Headers],[Include or Exclude]], 0,4)</f>
        <v/>
      </c>
      <c r="J147" s="117" t="str" cm="1">
        <f t="array" ref="J147">Common_InputFunctions.Utility_DisplayArrayInTable(Fertiliser_SourceData.Fertiliser_Products_Data1(),FertiliserProducts[[#Headers],[Include or Exclude]], 0,4)</f>
        <v/>
      </c>
      <c r="K147" s="117" t="str" cm="1">
        <f t="array" ref="K147">Common_InputFunctions.Utility_DisplayArrayInTable(Fertiliser_SourceData.Fertiliser_Products_Data1(),FertiliserProducts[[#Headers],[Include or Exclude]], 0,4)</f>
        <v/>
      </c>
      <c r="L147" s="117" t="str" cm="1">
        <f t="array" ref="L147">Common_InputFunctions.Utility_DisplayArrayInTable(Fertiliser_SourceData.Fertiliser_Products_Data1(),FertiliserProducts[[#Headers],[Include or Exclude]], 0,4)</f>
        <v/>
      </c>
      <c r="M147" s="117" t="str" cm="1">
        <f t="array" ref="M147">Common_InputFunctions.Utility_DisplayArrayInTable(Fertiliser_SourceData.Fertiliser_Products_Data1(),FertiliserProducts[[#Headers],[Include or Exclude]], 0,4)</f>
        <v/>
      </c>
      <c r="N147" s="117" t="str" cm="1">
        <f t="array" ref="N147">Common_InputFunctions.Utility_DisplayArrayInTable(Fertiliser_SourceData.Fertiliser_Products_Data1(),FertiliserProducts[[#Headers],[Include or Exclude]], 0,4)</f>
        <v/>
      </c>
      <c r="O147" s="117" t="str" cm="1">
        <f t="array" ref="O147">Common_InputFunctions.Utility_DisplayArrayInTable(Fertiliser_SourceData.Fertiliser_Products_Data1(),FertiliserProducts[[#Headers],[Include or Exclude]], 0,4)</f>
        <v/>
      </c>
      <c r="P147" s="117" t="str" cm="1">
        <f t="array" ref="P147">Common_InputFunctions.Utility_DisplayArrayInTable(Fertiliser_SourceData.Fertiliser_Products_Data1(),FertiliserProducts[[#Headers],[Include or Exclude]], 0,4)</f>
        <v/>
      </c>
      <c r="Q147" s="117" t="str" cm="1">
        <f t="array" ref="Q147">Common_InputFunctions.Utility_DisplayArrayInTable(Fertiliser_SourceData.Fertiliser_Products_Data1(),FertiliserProducts[[#Headers],[Include or Exclude]], 0,4)</f>
        <v/>
      </c>
      <c r="R147" s="117" t="str" cm="1">
        <f t="array" ref="R147">Common_InputFunctions.Utility_DisplayArrayInTable(Fertiliser_SourceData.Fertiliser_Products_Data1(),FertiliserProducts[[#Headers],[Include or Exclude]], 0,4)</f>
        <v/>
      </c>
      <c r="S147" s="117" t="str" cm="1">
        <f t="array" ref="S147">Common_InputFunctions.Utility_DisplayArrayInTable(Fertiliser_SourceData.Fertiliser_Products_Data1(),FertiliserProducts[[#Headers],[Include or Exclude]], 0,4)</f>
        <v/>
      </c>
      <c r="T147" s="117" t="str" cm="1">
        <f t="array" ref="T147">Common_InputFunctions.Utility_DisplayArrayInTable(Fertiliser_SourceData.Fertiliser_Products_Data1(),FertiliserProducts[[#Headers],[Include or Exclude]], 0,4)</f>
        <v/>
      </c>
      <c r="U147" s="117" t="str" cm="1">
        <f t="array" ref="U147">Common_InputFunctions.Utility_DisplayArrayInTable(Fertiliser_SourceData.Fertiliser_Products_Data1(),FertiliserProducts[[#Headers],[Include or Exclude]], 0,4)</f>
        <v/>
      </c>
      <c r="V147" s="117" t="str" cm="1">
        <f t="array" ref="V147">Common_InputFunctions.Utility_DisplayArrayInTable(Fertiliser_SourceData.Fertiliser_Products_Data1(),FertiliserProducts[[#Headers],[Include or Exclude]], 0,4)</f>
        <v/>
      </c>
      <c r="W147" s="117" t="str" cm="1">
        <f t="array" ref="W147">Common_InputFunctions.Utility_DisplayArrayInTable(Fertiliser_SourceData.Fertiliser_Products_Data1(),FertiliserProducts[[#Headers],[Include or Exclude]], 0,4)</f>
        <v/>
      </c>
      <c r="X147" s="117" t="str" cm="1">
        <f t="array" ref="X147">Common_InputFunctions.Utility_DisplayArrayInTable(Fertiliser_SourceData.Fertiliser_Products_Data1(),FertiliserProducts[[#Headers],[Include or Exclude]], 0,4)</f>
        <v/>
      </c>
      <c r="Y147" s="117" t="str" cm="1">
        <f t="array" ref="Y147">Common_InputFunctions.Utility_DisplayArrayInTable(Fertiliser_SourceData.Fertiliser_Products_Data1(),FertiliserProducts[[#Headers],[Include or Exclude]], 0,4)</f>
        <v/>
      </c>
      <c r="Z147" s="117" t="str" cm="1">
        <f t="array" ref="Z147">Common_InputFunctions.Utility_DisplayArrayInTable(Fertiliser_SourceData.Fertiliser_Products_Data1(),FertiliserProducts[[#Headers],[Include or Exclude]], 0,4)</f>
        <v/>
      </c>
      <c r="AA147" s="117" t="str" cm="1">
        <f t="array" ref="AA147">Common_InputFunctions.Utility_DisplayArrayInTable(Fertiliser_SourceData.Fertiliser_Products_Data1(),FertiliserProducts[[#Headers],[Include or Exclude]], 0,4)</f>
        <v/>
      </c>
      <c r="AB147" s="117" t="str" cm="1">
        <f t="array" ref="AB147">Common_InputFunctions.Utility_DisplayArrayInTable(Fertiliser_SourceData.Fertiliser_Products_Data1(),FertiliserProducts[[#Headers],[Include or Exclude]], 0,4)</f>
        <v/>
      </c>
      <c r="AC147" s="117" t="str" cm="1">
        <f t="array" ref="AC147">Common_InputFunctions.Utility_DisplayArrayInTable(Fertiliser_SourceData.Fertiliser_Products_Data1(),FertiliserProducts[[#Headers],[Include or Exclude]], 0,4)</f>
        <v/>
      </c>
      <c r="AD147" s="117" t="str" cm="1">
        <f t="array" ref="AD147">Common_InputFunctions.Utility_DisplayArrayInTable(Fertiliser_SourceData.Fertiliser_Products_Data1(),FertiliserProducts[[#Headers],[Include or Exclude]], 0,4)</f>
        <v/>
      </c>
      <c r="AE147" s="117" t="str" cm="1">
        <f t="array" ref="AE147">Common_InputFunctions.Utility_DisplayArrayInTable(Fertiliser_SourceData.Fertiliser_Products_Data1(),FertiliserProducts[[#Headers],[Include or Exclude]], 0,4)</f>
        <v/>
      </c>
    </row>
    <row r="148" spans="1:31" ht="20.100000000000001" customHeight="1" x14ac:dyDescent="0.25">
      <c r="A148"/>
      <c r="D148" s="117" t="str" cm="1">
        <f t="array" ref="D148">Common_InputFunctions.Utility_DisplayArrayInTable(Fertiliser_SourceData.Fertiliser_Products_Data1(),FertiliserProducts[[#Headers],[Include or Exclude]], -1)</f>
        <v/>
      </c>
      <c r="E148" s="117" t="str" cm="1">
        <f t="array" ref="E148">Common_InputFunctions.Utility_DisplayArrayInTable(Fertiliser_SourceData.Fertiliser_Products_Data1(),FertiliserProducts[[#Headers],[Include or Exclude]], 0)</f>
        <v/>
      </c>
      <c r="F148" s="117" t="str" cm="1">
        <f t="array" ref="F148">Common_InputFunctions.Utility_DisplayArrayInTable(Fertiliser_SourceData.Fertiliser_Products_Data1(),FertiliserProducts[[#Headers],[Include or Exclude]], 0)</f>
        <v/>
      </c>
      <c r="G148" s="117" t="str" cm="1">
        <f t="array" ref="G148">Common_InputFunctions.Utility_DisplayArrayInTable(Fertiliser_SourceData.Fertiliser_Products_Data1(),FertiliserProducts[[#Headers],[Include or Exclude]], 0)</f>
        <v/>
      </c>
      <c r="H148" s="117" t="str" cm="1">
        <f t="array" ref="H148">Common_InputFunctions.Utility_DisplayArrayInTable(Fertiliser_SourceData.Fertiliser_Products_Data1(),FertiliserProducts[[#Headers],[Include or Exclude]], 0,4)</f>
        <v/>
      </c>
      <c r="I148" s="117" t="str" cm="1">
        <f t="array" ref="I148">Common_InputFunctions.Utility_DisplayArrayInTable(Fertiliser_SourceData.Fertiliser_Products_Data1(),FertiliserProducts[[#Headers],[Include or Exclude]], 0,4)</f>
        <v/>
      </c>
      <c r="J148" s="117" t="str" cm="1">
        <f t="array" ref="J148">Common_InputFunctions.Utility_DisplayArrayInTable(Fertiliser_SourceData.Fertiliser_Products_Data1(),FertiliserProducts[[#Headers],[Include or Exclude]], 0,4)</f>
        <v/>
      </c>
      <c r="K148" s="117" t="str" cm="1">
        <f t="array" ref="K148">Common_InputFunctions.Utility_DisplayArrayInTable(Fertiliser_SourceData.Fertiliser_Products_Data1(),FertiliserProducts[[#Headers],[Include or Exclude]], 0,4)</f>
        <v/>
      </c>
      <c r="L148" s="117" t="str" cm="1">
        <f t="array" ref="L148">Common_InputFunctions.Utility_DisplayArrayInTable(Fertiliser_SourceData.Fertiliser_Products_Data1(),FertiliserProducts[[#Headers],[Include or Exclude]], 0,4)</f>
        <v/>
      </c>
      <c r="M148" s="117" t="str" cm="1">
        <f t="array" ref="M148">Common_InputFunctions.Utility_DisplayArrayInTable(Fertiliser_SourceData.Fertiliser_Products_Data1(),FertiliserProducts[[#Headers],[Include or Exclude]], 0,4)</f>
        <v/>
      </c>
      <c r="N148" s="117" t="str" cm="1">
        <f t="array" ref="N148">Common_InputFunctions.Utility_DisplayArrayInTable(Fertiliser_SourceData.Fertiliser_Products_Data1(),FertiliserProducts[[#Headers],[Include or Exclude]], 0,4)</f>
        <v/>
      </c>
      <c r="O148" s="117" t="str" cm="1">
        <f t="array" ref="O148">Common_InputFunctions.Utility_DisplayArrayInTable(Fertiliser_SourceData.Fertiliser_Products_Data1(),FertiliserProducts[[#Headers],[Include or Exclude]], 0,4)</f>
        <v/>
      </c>
      <c r="P148" s="117" t="str" cm="1">
        <f t="array" ref="P148">Common_InputFunctions.Utility_DisplayArrayInTable(Fertiliser_SourceData.Fertiliser_Products_Data1(),FertiliserProducts[[#Headers],[Include or Exclude]], 0,4)</f>
        <v/>
      </c>
      <c r="Q148" s="117" t="str" cm="1">
        <f t="array" ref="Q148">Common_InputFunctions.Utility_DisplayArrayInTable(Fertiliser_SourceData.Fertiliser_Products_Data1(),FertiliserProducts[[#Headers],[Include or Exclude]], 0,4)</f>
        <v/>
      </c>
      <c r="R148" s="117" t="str" cm="1">
        <f t="array" ref="R148">Common_InputFunctions.Utility_DisplayArrayInTable(Fertiliser_SourceData.Fertiliser_Products_Data1(),FertiliserProducts[[#Headers],[Include or Exclude]], 0,4)</f>
        <v/>
      </c>
      <c r="S148" s="117" t="str" cm="1">
        <f t="array" ref="S148">Common_InputFunctions.Utility_DisplayArrayInTable(Fertiliser_SourceData.Fertiliser_Products_Data1(),FertiliserProducts[[#Headers],[Include or Exclude]], 0,4)</f>
        <v/>
      </c>
      <c r="T148" s="117" t="str" cm="1">
        <f t="array" ref="T148">Common_InputFunctions.Utility_DisplayArrayInTable(Fertiliser_SourceData.Fertiliser_Products_Data1(),FertiliserProducts[[#Headers],[Include or Exclude]], 0,4)</f>
        <v/>
      </c>
      <c r="U148" s="117" t="str" cm="1">
        <f t="array" ref="U148">Common_InputFunctions.Utility_DisplayArrayInTable(Fertiliser_SourceData.Fertiliser_Products_Data1(),FertiliserProducts[[#Headers],[Include or Exclude]], 0,4)</f>
        <v/>
      </c>
      <c r="V148" s="117" t="str" cm="1">
        <f t="array" ref="V148">Common_InputFunctions.Utility_DisplayArrayInTable(Fertiliser_SourceData.Fertiliser_Products_Data1(),FertiliserProducts[[#Headers],[Include or Exclude]], 0,4)</f>
        <v/>
      </c>
      <c r="W148" s="117" t="str" cm="1">
        <f t="array" ref="W148">Common_InputFunctions.Utility_DisplayArrayInTable(Fertiliser_SourceData.Fertiliser_Products_Data1(),FertiliserProducts[[#Headers],[Include or Exclude]], 0,4)</f>
        <v/>
      </c>
      <c r="X148" s="117" t="str" cm="1">
        <f t="array" ref="X148">Common_InputFunctions.Utility_DisplayArrayInTable(Fertiliser_SourceData.Fertiliser_Products_Data1(),FertiliserProducts[[#Headers],[Include or Exclude]], 0,4)</f>
        <v/>
      </c>
      <c r="Y148" s="117" t="str" cm="1">
        <f t="array" ref="Y148">Common_InputFunctions.Utility_DisplayArrayInTable(Fertiliser_SourceData.Fertiliser_Products_Data1(),FertiliserProducts[[#Headers],[Include or Exclude]], 0,4)</f>
        <v/>
      </c>
      <c r="Z148" s="117" t="str" cm="1">
        <f t="array" ref="Z148">Common_InputFunctions.Utility_DisplayArrayInTable(Fertiliser_SourceData.Fertiliser_Products_Data1(),FertiliserProducts[[#Headers],[Include or Exclude]], 0,4)</f>
        <v/>
      </c>
      <c r="AA148" s="117" t="str" cm="1">
        <f t="array" ref="AA148">Common_InputFunctions.Utility_DisplayArrayInTable(Fertiliser_SourceData.Fertiliser_Products_Data1(),FertiliserProducts[[#Headers],[Include or Exclude]], 0,4)</f>
        <v/>
      </c>
      <c r="AB148" s="117" t="str" cm="1">
        <f t="array" ref="AB148">Common_InputFunctions.Utility_DisplayArrayInTable(Fertiliser_SourceData.Fertiliser_Products_Data1(),FertiliserProducts[[#Headers],[Include or Exclude]], 0,4)</f>
        <v/>
      </c>
      <c r="AC148" s="117" t="str" cm="1">
        <f t="array" ref="AC148">Common_InputFunctions.Utility_DisplayArrayInTable(Fertiliser_SourceData.Fertiliser_Products_Data1(),FertiliserProducts[[#Headers],[Include or Exclude]], 0,4)</f>
        <v/>
      </c>
      <c r="AD148" s="117" t="str" cm="1">
        <f t="array" ref="AD148">Common_InputFunctions.Utility_DisplayArrayInTable(Fertiliser_SourceData.Fertiliser_Products_Data1(),FertiliserProducts[[#Headers],[Include or Exclude]], 0,4)</f>
        <v/>
      </c>
      <c r="AE148" s="117" t="str" cm="1">
        <f t="array" ref="AE148">Common_InputFunctions.Utility_DisplayArrayInTable(Fertiliser_SourceData.Fertiliser_Products_Data1(),FertiliserProducts[[#Headers],[Include or Exclude]], 0,4)</f>
        <v/>
      </c>
    </row>
    <row r="149" spans="1:31" ht="20.100000000000001" customHeight="1" x14ac:dyDescent="0.25">
      <c r="A149"/>
      <c r="D149" s="117" t="str" cm="1">
        <f t="array" ref="D149">Common_InputFunctions.Utility_DisplayArrayInTable(Fertiliser_SourceData.Fertiliser_Products_Data1(),FertiliserProducts[[#Headers],[Include or Exclude]], -1)</f>
        <v/>
      </c>
      <c r="E149" s="117" t="str" cm="1">
        <f t="array" ref="E149">Common_InputFunctions.Utility_DisplayArrayInTable(Fertiliser_SourceData.Fertiliser_Products_Data1(),FertiliserProducts[[#Headers],[Include or Exclude]], 0)</f>
        <v/>
      </c>
      <c r="F149" s="117" t="str" cm="1">
        <f t="array" ref="F149">Common_InputFunctions.Utility_DisplayArrayInTable(Fertiliser_SourceData.Fertiliser_Products_Data1(),FertiliserProducts[[#Headers],[Include or Exclude]], 0)</f>
        <v/>
      </c>
      <c r="G149" s="117" t="str" cm="1">
        <f t="array" ref="G149">Common_InputFunctions.Utility_DisplayArrayInTable(Fertiliser_SourceData.Fertiliser_Products_Data1(),FertiliserProducts[[#Headers],[Include or Exclude]], 0)</f>
        <v/>
      </c>
      <c r="H149" s="117" t="str" cm="1">
        <f t="array" ref="H149">Common_InputFunctions.Utility_DisplayArrayInTable(Fertiliser_SourceData.Fertiliser_Products_Data1(),FertiliserProducts[[#Headers],[Include or Exclude]], 0,4)</f>
        <v/>
      </c>
      <c r="I149" s="117" t="str" cm="1">
        <f t="array" ref="I149">Common_InputFunctions.Utility_DisplayArrayInTable(Fertiliser_SourceData.Fertiliser_Products_Data1(),FertiliserProducts[[#Headers],[Include or Exclude]], 0,4)</f>
        <v/>
      </c>
      <c r="J149" s="117" t="str" cm="1">
        <f t="array" ref="J149">Common_InputFunctions.Utility_DisplayArrayInTable(Fertiliser_SourceData.Fertiliser_Products_Data1(),FertiliserProducts[[#Headers],[Include or Exclude]], 0,4)</f>
        <v/>
      </c>
      <c r="K149" s="117" t="str" cm="1">
        <f t="array" ref="K149">Common_InputFunctions.Utility_DisplayArrayInTable(Fertiliser_SourceData.Fertiliser_Products_Data1(),FertiliserProducts[[#Headers],[Include or Exclude]], 0,4)</f>
        <v/>
      </c>
      <c r="L149" s="117" t="str" cm="1">
        <f t="array" ref="L149">Common_InputFunctions.Utility_DisplayArrayInTable(Fertiliser_SourceData.Fertiliser_Products_Data1(),FertiliserProducts[[#Headers],[Include or Exclude]], 0,4)</f>
        <v/>
      </c>
      <c r="M149" s="117" t="str" cm="1">
        <f t="array" ref="M149">Common_InputFunctions.Utility_DisplayArrayInTable(Fertiliser_SourceData.Fertiliser_Products_Data1(),FertiliserProducts[[#Headers],[Include or Exclude]], 0,4)</f>
        <v/>
      </c>
      <c r="N149" s="117" t="str" cm="1">
        <f t="array" ref="N149">Common_InputFunctions.Utility_DisplayArrayInTable(Fertiliser_SourceData.Fertiliser_Products_Data1(),FertiliserProducts[[#Headers],[Include or Exclude]], 0,4)</f>
        <v/>
      </c>
      <c r="O149" s="117" t="str" cm="1">
        <f t="array" ref="O149">Common_InputFunctions.Utility_DisplayArrayInTable(Fertiliser_SourceData.Fertiliser_Products_Data1(),FertiliserProducts[[#Headers],[Include or Exclude]], 0,4)</f>
        <v/>
      </c>
      <c r="P149" s="117" t="str" cm="1">
        <f t="array" ref="P149">Common_InputFunctions.Utility_DisplayArrayInTable(Fertiliser_SourceData.Fertiliser_Products_Data1(),FertiliserProducts[[#Headers],[Include or Exclude]], 0,4)</f>
        <v/>
      </c>
      <c r="Q149" s="117" t="str" cm="1">
        <f t="array" ref="Q149">Common_InputFunctions.Utility_DisplayArrayInTable(Fertiliser_SourceData.Fertiliser_Products_Data1(),FertiliserProducts[[#Headers],[Include or Exclude]], 0,4)</f>
        <v/>
      </c>
      <c r="R149" s="117" t="str" cm="1">
        <f t="array" ref="R149">Common_InputFunctions.Utility_DisplayArrayInTable(Fertiliser_SourceData.Fertiliser_Products_Data1(),FertiliserProducts[[#Headers],[Include or Exclude]], 0,4)</f>
        <v/>
      </c>
      <c r="S149" s="117" t="str" cm="1">
        <f t="array" ref="S149">Common_InputFunctions.Utility_DisplayArrayInTable(Fertiliser_SourceData.Fertiliser_Products_Data1(),FertiliserProducts[[#Headers],[Include or Exclude]], 0,4)</f>
        <v/>
      </c>
      <c r="T149" s="117" t="str" cm="1">
        <f t="array" ref="T149">Common_InputFunctions.Utility_DisplayArrayInTable(Fertiliser_SourceData.Fertiliser_Products_Data1(),FertiliserProducts[[#Headers],[Include or Exclude]], 0,4)</f>
        <v/>
      </c>
      <c r="U149" s="117" t="str" cm="1">
        <f t="array" ref="U149">Common_InputFunctions.Utility_DisplayArrayInTable(Fertiliser_SourceData.Fertiliser_Products_Data1(),FertiliserProducts[[#Headers],[Include or Exclude]], 0,4)</f>
        <v/>
      </c>
      <c r="V149" s="117" t="str" cm="1">
        <f t="array" ref="V149">Common_InputFunctions.Utility_DisplayArrayInTable(Fertiliser_SourceData.Fertiliser_Products_Data1(),FertiliserProducts[[#Headers],[Include or Exclude]], 0,4)</f>
        <v/>
      </c>
      <c r="W149" s="117" t="str" cm="1">
        <f t="array" ref="W149">Common_InputFunctions.Utility_DisplayArrayInTable(Fertiliser_SourceData.Fertiliser_Products_Data1(),FertiliserProducts[[#Headers],[Include or Exclude]], 0,4)</f>
        <v/>
      </c>
      <c r="X149" s="117" t="str" cm="1">
        <f t="array" ref="X149">Common_InputFunctions.Utility_DisplayArrayInTable(Fertiliser_SourceData.Fertiliser_Products_Data1(),FertiliserProducts[[#Headers],[Include or Exclude]], 0,4)</f>
        <v/>
      </c>
      <c r="Y149" s="117" t="str" cm="1">
        <f t="array" ref="Y149">Common_InputFunctions.Utility_DisplayArrayInTable(Fertiliser_SourceData.Fertiliser_Products_Data1(),FertiliserProducts[[#Headers],[Include or Exclude]], 0,4)</f>
        <v/>
      </c>
      <c r="Z149" s="117" t="str" cm="1">
        <f t="array" ref="Z149">Common_InputFunctions.Utility_DisplayArrayInTable(Fertiliser_SourceData.Fertiliser_Products_Data1(),FertiliserProducts[[#Headers],[Include or Exclude]], 0,4)</f>
        <v/>
      </c>
      <c r="AA149" s="117" t="str" cm="1">
        <f t="array" ref="AA149">Common_InputFunctions.Utility_DisplayArrayInTable(Fertiliser_SourceData.Fertiliser_Products_Data1(),FertiliserProducts[[#Headers],[Include or Exclude]], 0,4)</f>
        <v/>
      </c>
      <c r="AB149" s="117" t="str" cm="1">
        <f t="array" ref="AB149">Common_InputFunctions.Utility_DisplayArrayInTable(Fertiliser_SourceData.Fertiliser_Products_Data1(),FertiliserProducts[[#Headers],[Include or Exclude]], 0,4)</f>
        <v/>
      </c>
      <c r="AC149" s="117" t="str" cm="1">
        <f t="array" ref="AC149">Common_InputFunctions.Utility_DisplayArrayInTable(Fertiliser_SourceData.Fertiliser_Products_Data1(),FertiliserProducts[[#Headers],[Include or Exclude]], 0,4)</f>
        <v/>
      </c>
      <c r="AD149" s="117" t="str" cm="1">
        <f t="array" ref="AD149">Common_InputFunctions.Utility_DisplayArrayInTable(Fertiliser_SourceData.Fertiliser_Products_Data1(),FertiliserProducts[[#Headers],[Include or Exclude]], 0,4)</f>
        <v/>
      </c>
      <c r="AE149" s="117" t="str" cm="1">
        <f t="array" ref="AE149">Common_InputFunctions.Utility_DisplayArrayInTable(Fertiliser_SourceData.Fertiliser_Products_Data1(),FertiliserProducts[[#Headers],[Include or Exclude]], 0,4)</f>
        <v/>
      </c>
    </row>
    <row r="150" spans="1:31" ht="20.100000000000001" customHeight="1" x14ac:dyDescent="0.25">
      <c r="A150"/>
      <c r="D150" s="117" t="str" cm="1">
        <f t="array" ref="D150">Common_InputFunctions.Utility_DisplayArrayInTable(Fertiliser_SourceData.Fertiliser_Products_Data1(),FertiliserProducts[[#Headers],[Include or Exclude]], -1)</f>
        <v/>
      </c>
      <c r="E150" s="117" t="str" cm="1">
        <f t="array" ref="E150">Common_InputFunctions.Utility_DisplayArrayInTable(Fertiliser_SourceData.Fertiliser_Products_Data1(),FertiliserProducts[[#Headers],[Include or Exclude]], 0)</f>
        <v/>
      </c>
      <c r="F150" s="117" t="str" cm="1">
        <f t="array" ref="F150">Common_InputFunctions.Utility_DisplayArrayInTable(Fertiliser_SourceData.Fertiliser_Products_Data1(),FertiliserProducts[[#Headers],[Include or Exclude]], 0)</f>
        <v/>
      </c>
      <c r="G150" s="117" t="str" cm="1">
        <f t="array" ref="G150">Common_InputFunctions.Utility_DisplayArrayInTable(Fertiliser_SourceData.Fertiliser_Products_Data1(),FertiliserProducts[[#Headers],[Include or Exclude]], 0)</f>
        <v/>
      </c>
      <c r="H150" s="117" t="str" cm="1">
        <f t="array" ref="H150">Common_InputFunctions.Utility_DisplayArrayInTable(Fertiliser_SourceData.Fertiliser_Products_Data1(),FertiliserProducts[[#Headers],[Include or Exclude]], 0,4)</f>
        <v/>
      </c>
      <c r="I150" s="117" t="str" cm="1">
        <f t="array" ref="I150">Common_InputFunctions.Utility_DisplayArrayInTable(Fertiliser_SourceData.Fertiliser_Products_Data1(),FertiliserProducts[[#Headers],[Include or Exclude]], 0,4)</f>
        <v/>
      </c>
      <c r="J150" s="117" t="str" cm="1">
        <f t="array" ref="J150">Common_InputFunctions.Utility_DisplayArrayInTable(Fertiliser_SourceData.Fertiliser_Products_Data1(),FertiliserProducts[[#Headers],[Include or Exclude]], 0,4)</f>
        <v/>
      </c>
      <c r="K150" s="117" t="str" cm="1">
        <f t="array" ref="K150">Common_InputFunctions.Utility_DisplayArrayInTable(Fertiliser_SourceData.Fertiliser_Products_Data1(),FertiliserProducts[[#Headers],[Include or Exclude]], 0,4)</f>
        <v/>
      </c>
      <c r="L150" s="117" t="str" cm="1">
        <f t="array" ref="L150">Common_InputFunctions.Utility_DisplayArrayInTable(Fertiliser_SourceData.Fertiliser_Products_Data1(),FertiliserProducts[[#Headers],[Include or Exclude]], 0,4)</f>
        <v/>
      </c>
      <c r="M150" s="117" t="str" cm="1">
        <f t="array" ref="M150">Common_InputFunctions.Utility_DisplayArrayInTable(Fertiliser_SourceData.Fertiliser_Products_Data1(),FertiliserProducts[[#Headers],[Include or Exclude]], 0,4)</f>
        <v/>
      </c>
      <c r="N150" s="117" t="str" cm="1">
        <f t="array" ref="N150">Common_InputFunctions.Utility_DisplayArrayInTable(Fertiliser_SourceData.Fertiliser_Products_Data1(),FertiliserProducts[[#Headers],[Include or Exclude]], 0,4)</f>
        <v/>
      </c>
      <c r="O150" s="117" t="str" cm="1">
        <f t="array" ref="O150">Common_InputFunctions.Utility_DisplayArrayInTable(Fertiliser_SourceData.Fertiliser_Products_Data1(),FertiliserProducts[[#Headers],[Include or Exclude]], 0,4)</f>
        <v/>
      </c>
      <c r="P150" s="117" t="str" cm="1">
        <f t="array" ref="P150">Common_InputFunctions.Utility_DisplayArrayInTable(Fertiliser_SourceData.Fertiliser_Products_Data1(),FertiliserProducts[[#Headers],[Include or Exclude]], 0,4)</f>
        <v/>
      </c>
      <c r="Q150" s="117" t="str" cm="1">
        <f t="array" ref="Q150">Common_InputFunctions.Utility_DisplayArrayInTable(Fertiliser_SourceData.Fertiliser_Products_Data1(),FertiliserProducts[[#Headers],[Include or Exclude]], 0,4)</f>
        <v/>
      </c>
      <c r="R150" s="117" t="str" cm="1">
        <f t="array" ref="R150">Common_InputFunctions.Utility_DisplayArrayInTable(Fertiliser_SourceData.Fertiliser_Products_Data1(),FertiliserProducts[[#Headers],[Include or Exclude]], 0,4)</f>
        <v/>
      </c>
      <c r="S150" s="117" t="str" cm="1">
        <f t="array" ref="S150">Common_InputFunctions.Utility_DisplayArrayInTable(Fertiliser_SourceData.Fertiliser_Products_Data1(),FertiliserProducts[[#Headers],[Include or Exclude]], 0,4)</f>
        <v/>
      </c>
      <c r="T150" s="117" t="str" cm="1">
        <f t="array" ref="T150">Common_InputFunctions.Utility_DisplayArrayInTable(Fertiliser_SourceData.Fertiliser_Products_Data1(),FertiliserProducts[[#Headers],[Include or Exclude]], 0,4)</f>
        <v/>
      </c>
      <c r="U150" s="117" t="str" cm="1">
        <f t="array" ref="U150">Common_InputFunctions.Utility_DisplayArrayInTable(Fertiliser_SourceData.Fertiliser_Products_Data1(),FertiliserProducts[[#Headers],[Include or Exclude]], 0,4)</f>
        <v/>
      </c>
      <c r="V150" s="117" t="str" cm="1">
        <f t="array" ref="V150">Common_InputFunctions.Utility_DisplayArrayInTable(Fertiliser_SourceData.Fertiliser_Products_Data1(),FertiliserProducts[[#Headers],[Include or Exclude]], 0,4)</f>
        <v/>
      </c>
      <c r="W150" s="117" t="str" cm="1">
        <f t="array" ref="W150">Common_InputFunctions.Utility_DisplayArrayInTable(Fertiliser_SourceData.Fertiliser_Products_Data1(),FertiliserProducts[[#Headers],[Include or Exclude]], 0,4)</f>
        <v/>
      </c>
      <c r="X150" s="117" t="str" cm="1">
        <f t="array" ref="X150">Common_InputFunctions.Utility_DisplayArrayInTable(Fertiliser_SourceData.Fertiliser_Products_Data1(),FertiliserProducts[[#Headers],[Include or Exclude]], 0,4)</f>
        <v/>
      </c>
      <c r="Y150" s="117" t="str" cm="1">
        <f t="array" ref="Y150">Common_InputFunctions.Utility_DisplayArrayInTable(Fertiliser_SourceData.Fertiliser_Products_Data1(),FertiliserProducts[[#Headers],[Include or Exclude]], 0,4)</f>
        <v/>
      </c>
      <c r="Z150" s="117" t="str" cm="1">
        <f t="array" ref="Z150">Common_InputFunctions.Utility_DisplayArrayInTable(Fertiliser_SourceData.Fertiliser_Products_Data1(),FertiliserProducts[[#Headers],[Include or Exclude]], 0,4)</f>
        <v/>
      </c>
      <c r="AA150" s="117" t="str" cm="1">
        <f t="array" ref="AA150">Common_InputFunctions.Utility_DisplayArrayInTable(Fertiliser_SourceData.Fertiliser_Products_Data1(),FertiliserProducts[[#Headers],[Include or Exclude]], 0,4)</f>
        <v/>
      </c>
      <c r="AB150" s="117" t="str" cm="1">
        <f t="array" ref="AB150">Common_InputFunctions.Utility_DisplayArrayInTable(Fertiliser_SourceData.Fertiliser_Products_Data1(),FertiliserProducts[[#Headers],[Include or Exclude]], 0,4)</f>
        <v/>
      </c>
      <c r="AC150" s="117" t="str" cm="1">
        <f t="array" ref="AC150">Common_InputFunctions.Utility_DisplayArrayInTable(Fertiliser_SourceData.Fertiliser_Products_Data1(),FertiliserProducts[[#Headers],[Include or Exclude]], 0,4)</f>
        <v/>
      </c>
      <c r="AD150" s="117" t="str" cm="1">
        <f t="array" ref="AD150">Common_InputFunctions.Utility_DisplayArrayInTable(Fertiliser_SourceData.Fertiliser_Products_Data1(),FertiliserProducts[[#Headers],[Include or Exclude]], 0,4)</f>
        <v/>
      </c>
      <c r="AE150" s="117" t="str" cm="1">
        <f t="array" ref="AE150">Common_InputFunctions.Utility_DisplayArrayInTable(Fertiliser_SourceData.Fertiliser_Products_Data1(),FertiliserProducts[[#Headers],[Include or Exclude]], 0,4)</f>
        <v/>
      </c>
    </row>
    <row r="151" spans="1:31" ht="20.100000000000001" customHeight="1" x14ac:dyDescent="0.25">
      <c r="A151"/>
      <c r="D151" s="117" t="str" cm="1">
        <f t="array" ref="D151">Common_InputFunctions.Utility_DisplayArrayInTable(Fertiliser_SourceData.Fertiliser_Products_Data1(),FertiliserProducts[[#Headers],[Include or Exclude]], -1)</f>
        <v/>
      </c>
      <c r="E151" s="117" t="str" cm="1">
        <f t="array" ref="E151">Common_InputFunctions.Utility_DisplayArrayInTable(Fertiliser_SourceData.Fertiliser_Products_Data1(),FertiliserProducts[[#Headers],[Include or Exclude]], 0)</f>
        <v/>
      </c>
      <c r="F151" s="117" t="str" cm="1">
        <f t="array" ref="F151">Common_InputFunctions.Utility_DisplayArrayInTable(Fertiliser_SourceData.Fertiliser_Products_Data1(),FertiliserProducts[[#Headers],[Include or Exclude]], 0)</f>
        <v/>
      </c>
      <c r="G151" s="117" t="str" cm="1">
        <f t="array" ref="G151">Common_InputFunctions.Utility_DisplayArrayInTable(Fertiliser_SourceData.Fertiliser_Products_Data1(),FertiliserProducts[[#Headers],[Include or Exclude]], 0)</f>
        <v/>
      </c>
      <c r="H151" s="117" t="str" cm="1">
        <f t="array" ref="H151">Common_InputFunctions.Utility_DisplayArrayInTable(Fertiliser_SourceData.Fertiliser_Products_Data1(),FertiliserProducts[[#Headers],[Include or Exclude]], 0,4)</f>
        <v/>
      </c>
      <c r="I151" s="117" t="str" cm="1">
        <f t="array" ref="I151">Common_InputFunctions.Utility_DisplayArrayInTable(Fertiliser_SourceData.Fertiliser_Products_Data1(),FertiliserProducts[[#Headers],[Include or Exclude]], 0,4)</f>
        <v/>
      </c>
      <c r="J151" s="117" t="str" cm="1">
        <f t="array" ref="J151">Common_InputFunctions.Utility_DisplayArrayInTable(Fertiliser_SourceData.Fertiliser_Products_Data1(),FertiliserProducts[[#Headers],[Include or Exclude]], 0,4)</f>
        <v/>
      </c>
      <c r="K151" s="117" t="str" cm="1">
        <f t="array" ref="K151">Common_InputFunctions.Utility_DisplayArrayInTable(Fertiliser_SourceData.Fertiliser_Products_Data1(),FertiliserProducts[[#Headers],[Include or Exclude]], 0,4)</f>
        <v/>
      </c>
      <c r="L151" s="117" t="str" cm="1">
        <f t="array" ref="L151">Common_InputFunctions.Utility_DisplayArrayInTable(Fertiliser_SourceData.Fertiliser_Products_Data1(),FertiliserProducts[[#Headers],[Include or Exclude]], 0,4)</f>
        <v/>
      </c>
      <c r="M151" s="117" t="str" cm="1">
        <f t="array" ref="M151">Common_InputFunctions.Utility_DisplayArrayInTable(Fertiliser_SourceData.Fertiliser_Products_Data1(),FertiliserProducts[[#Headers],[Include or Exclude]], 0,4)</f>
        <v/>
      </c>
      <c r="N151" s="117" t="str" cm="1">
        <f t="array" ref="N151">Common_InputFunctions.Utility_DisplayArrayInTable(Fertiliser_SourceData.Fertiliser_Products_Data1(),FertiliserProducts[[#Headers],[Include or Exclude]], 0,4)</f>
        <v/>
      </c>
      <c r="O151" s="117" t="str" cm="1">
        <f t="array" ref="O151">Common_InputFunctions.Utility_DisplayArrayInTable(Fertiliser_SourceData.Fertiliser_Products_Data1(),FertiliserProducts[[#Headers],[Include or Exclude]], 0,4)</f>
        <v/>
      </c>
      <c r="P151" s="117" t="str" cm="1">
        <f t="array" ref="P151">Common_InputFunctions.Utility_DisplayArrayInTable(Fertiliser_SourceData.Fertiliser_Products_Data1(),FertiliserProducts[[#Headers],[Include or Exclude]], 0,4)</f>
        <v/>
      </c>
      <c r="Q151" s="117" t="str" cm="1">
        <f t="array" ref="Q151">Common_InputFunctions.Utility_DisplayArrayInTable(Fertiliser_SourceData.Fertiliser_Products_Data1(),FertiliserProducts[[#Headers],[Include or Exclude]], 0,4)</f>
        <v/>
      </c>
      <c r="R151" s="117" t="str" cm="1">
        <f t="array" ref="R151">Common_InputFunctions.Utility_DisplayArrayInTable(Fertiliser_SourceData.Fertiliser_Products_Data1(),FertiliserProducts[[#Headers],[Include or Exclude]], 0,4)</f>
        <v/>
      </c>
      <c r="S151" s="117" t="str" cm="1">
        <f t="array" ref="S151">Common_InputFunctions.Utility_DisplayArrayInTable(Fertiliser_SourceData.Fertiliser_Products_Data1(),FertiliserProducts[[#Headers],[Include or Exclude]], 0,4)</f>
        <v/>
      </c>
      <c r="T151" s="117" t="str" cm="1">
        <f t="array" ref="T151">Common_InputFunctions.Utility_DisplayArrayInTable(Fertiliser_SourceData.Fertiliser_Products_Data1(),FertiliserProducts[[#Headers],[Include or Exclude]], 0,4)</f>
        <v/>
      </c>
      <c r="U151" s="117" t="str" cm="1">
        <f t="array" ref="U151">Common_InputFunctions.Utility_DisplayArrayInTable(Fertiliser_SourceData.Fertiliser_Products_Data1(),FertiliserProducts[[#Headers],[Include or Exclude]], 0,4)</f>
        <v/>
      </c>
      <c r="V151" s="117" t="str" cm="1">
        <f t="array" ref="V151">Common_InputFunctions.Utility_DisplayArrayInTable(Fertiliser_SourceData.Fertiliser_Products_Data1(),FertiliserProducts[[#Headers],[Include or Exclude]], 0,4)</f>
        <v/>
      </c>
      <c r="W151" s="117" t="str" cm="1">
        <f t="array" ref="W151">Common_InputFunctions.Utility_DisplayArrayInTable(Fertiliser_SourceData.Fertiliser_Products_Data1(),FertiliserProducts[[#Headers],[Include or Exclude]], 0,4)</f>
        <v/>
      </c>
      <c r="X151" s="117" t="str" cm="1">
        <f t="array" ref="X151">Common_InputFunctions.Utility_DisplayArrayInTable(Fertiliser_SourceData.Fertiliser_Products_Data1(),FertiliserProducts[[#Headers],[Include or Exclude]], 0,4)</f>
        <v/>
      </c>
      <c r="Y151" s="117" t="str" cm="1">
        <f t="array" ref="Y151">Common_InputFunctions.Utility_DisplayArrayInTable(Fertiliser_SourceData.Fertiliser_Products_Data1(),FertiliserProducts[[#Headers],[Include or Exclude]], 0,4)</f>
        <v/>
      </c>
      <c r="Z151" s="117" t="str" cm="1">
        <f t="array" ref="Z151">Common_InputFunctions.Utility_DisplayArrayInTable(Fertiliser_SourceData.Fertiliser_Products_Data1(),FertiliserProducts[[#Headers],[Include or Exclude]], 0,4)</f>
        <v/>
      </c>
      <c r="AA151" s="117" t="str" cm="1">
        <f t="array" ref="AA151">Common_InputFunctions.Utility_DisplayArrayInTable(Fertiliser_SourceData.Fertiliser_Products_Data1(),FertiliserProducts[[#Headers],[Include or Exclude]], 0,4)</f>
        <v/>
      </c>
      <c r="AB151" s="117" t="str" cm="1">
        <f t="array" ref="AB151">Common_InputFunctions.Utility_DisplayArrayInTable(Fertiliser_SourceData.Fertiliser_Products_Data1(),FertiliserProducts[[#Headers],[Include or Exclude]], 0,4)</f>
        <v/>
      </c>
      <c r="AC151" s="117" t="str" cm="1">
        <f t="array" ref="AC151">Common_InputFunctions.Utility_DisplayArrayInTable(Fertiliser_SourceData.Fertiliser_Products_Data1(),FertiliserProducts[[#Headers],[Include or Exclude]], 0,4)</f>
        <v/>
      </c>
      <c r="AD151" s="117" t="str" cm="1">
        <f t="array" ref="AD151">Common_InputFunctions.Utility_DisplayArrayInTable(Fertiliser_SourceData.Fertiliser_Products_Data1(),FertiliserProducts[[#Headers],[Include or Exclude]], 0,4)</f>
        <v/>
      </c>
      <c r="AE151" s="117" t="str" cm="1">
        <f t="array" ref="AE151">Common_InputFunctions.Utility_DisplayArrayInTable(Fertiliser_SourceData.Fertiliser_Products_Data1(),FertiliserProducts[[#Headers],[Include or Exclude]], 0,4)</f>
        <v/>
      </c>
    </row>
    <row r="152" spans="1:31" ht="20.100000000000001" customHeight="1" x14ac:dyDescent="0.25">
      <c r="A152"/>
      <c r="D152" s="117" t="str" cm="1">
        <f t="array" ref="D152">Common_InputFunctions.Utility_DisplayArrayInTable(Fertiliser_SourceData.Fertiliser_Products_Data1(),FertiliserProducts[[#Headers],[Include or Exclude]], -1)</f>
        <v/>
      </c>
      <c r="E152" s="117" t="str" cm="1">
        <f t="array" ref="E152">Common_InputFunctions.Utility_DisplayArrayInTable(Fertiliser_SourceData.Fertiliser_Products_Data1(),FertiliserProducts[[#Headers],[Include or Exclude]], 0)</f>
        <v/>
      </c>
      <c r="F152" s="117" t="str" cm="1">
        <f t="array" ref="F152">Common_InputFunctions.Utility_DisplayArrayInTable(Fertiliser_SourceData.Fertiliser_Products_Data1(),FertiliserProducts[[#Headers],[Include or Exclude]], 0)</f>
        <v/>
      </c>
      <c r="G152" s="117" t="str" cm="1">
        <f t="array" ref="G152">Common_InputFunctions.Utility_DisplayArrayInTable(Fertiliser_SourceData.Fertiliser_Products_Data1(),FertiliserProducts[[#Headers],[Include or Exclude]], 0)</f>
        <v/>
      </c>
      <c r="H152" s="117" t="str" cm="1">
        <f t="array" ref="H152">Common_InputFunctions.Utility_DisplayArrayInTable(Fertiliser_SourceData.Fertiliser_Products_Data1(),FertiliserProducts[[#Headers],[Include or Exclude]], 0,4)</f>
        <v/>
      </c>
      <c r="I152" s="117" t="str" cm="1">
        <f t="array" ref="I152">Common_InputFunctions.Utility_DisplayArrayInTable(Fertiliser_SourceData.Fertiliser_Products_Data1(),FertiliserProducts[[#Headers],[Include or Exclude]], 0,4)</f>
        <v/>
      </c>
      <c r="J152" s="117" t="str" cm="1">
        <f t="array" ref="J152">Common_InputFunctions.Utility_DisplayArrayInTable(Fertiliser_SourceData.Fertiliser_Products_Data1(),FertiliserProducts[[#Headers],[Include or Exclude]], 0,4)</f>
        <v/>
      </c>
      <c r="K152" s="117" t="str" cm="1">
        <f t="array" ref="K152">Common_InputFunctions.Utility_DisplayArrayInTable(Fertiliser_SourceData.Fertiliser_Products_Data1(),FertiliserProducts[[#Headers],[Include or Exclude]], 0,4)</f>
        <v/>
      </c>
      <c r="L152" s="117" t="str" cm="1">
        <f t="array" ref="L152">Common_InputFunctions.Utility_DisplayArrayInTable(Fertiliser_SourceData.Fertiliser_Products_Data1(),FertiliserProducts[[#Headers],[Include or Exclude]], 0,4)</f>
        <v/>
      </c>
      <c r="M152" s="117" t="str" cm="1">
        <f t="array" ref="M152">Common_InputFunctions.Utility_DisplayArrayInTable(Fertiliser_SourceData.Fertiliser_Products_Data1(),FertiliserProducts[[#Headers],[Include or Exclude]], 0,4)</f>
        <v/>
      </c>
      <c r="N152" s="117" t="str" cm="1">
        <f t="array" ref="N152">Common_InputFunctions.Utility_DisplayArrayInTable(Fertiliser_SourceData.Fertiliser_Products_Data1(),FertiliserProducts[[#Headers],[Include or Exclude]], 0,4)</f>
        <v/>
      </c>
      <c r="O152" s="117" t="str" cm="1">
        <f t="array" ref="O152">Common_InputFunctions.Utility_DisplayArrayInTable(Fertiliser_SourceData.Fertiliser_Products_Data1(),FertiliserProducts[[#Headers],[Include or Exclude]], 0,4)</f>
        <v/>
      </c>
      <c r="P152" s="117" t="str" cm="1">
        <f t="array" ref="P152">Common_InputFunctions.Utility_DisplayArrayInTable(Fertiliser_SourceData.Fertiliser_Products_Data1(),FertiliserProducts[[#Headers],[Include or Exclude]], 0,4)</f>
        <v/>
      </c>
      <c r="Q152" s="117" t="str" cm="1">
        <f t="array" ref="Q152">Common_InputFunctions.Utility_DisplayArrayInTable(Fertiliser_SourceData.Fertiliser_Products_Data1(),FertiliserProducts[[#Headers],[Include or Exclude]], 0,4)</f>
        <v/>
      </c>
      <c r="R152" s="117" t="str" cm="1">
        <f t="array" ref="R152">Common_InputFunctions.Utility_DisplayArrayInTable(Fertiliser_SourceData.Fertiliser_Products_Data1(),FertiliserProducts[[#Headers],[Include or Exclude]], 0,4)</f>
        <v/>
      </c>
      <c r="S152" s="117" t="str" cm="1">
        <f t="array" ref="S152">Common_InputFunctions.Utility_DisplayArrayInTable(Fertiliser_SourceData.Fertiliser_Products_Data1(),FertiliserProducts[[#Headers],[Include or Exclude]], 0,4)</f>
        <v/>
      </c>
      <c r="T152" s="117" t="str" cm="1">
        <f t="array" ref="T152">Common_InputFunctions.Utility_DisplayArrayInTable(Fertiliser_SourceData.Fertiliser_Products_Data1(),FertiliserProducts[[#Headers],[Include or Exclude]], 0,4)</f>
        <v/>
      </c>
      <c r="U152" s="117" t="str" cm="1">
        <f t="array" ref="U152">Common_InputFunctions.Utility_DisplayArrayInTable(Fertiliser_SourceData.Fertiliser_Products_Data1(),FertiliserProducts[[#Headers],[Include or Exclude]], 0,4)</f>
        <v/>
      </c>
      <c r="V152" s="117" t="str" cm="1">
        <f t="array" ref="V152">Common_InputFunctions.Utility_DisplayArrayInTable(Fertiliser_SourceData.Fertiliser_Products_Data1(),FertiliserProducts[[#Headers],[Include or Exclude]], 0,4)</f>
        <v/>
      </c>
      <c r="W152" s="117" t="str" cm="1">
        <f t="array" ref="W152">Common_InputFunctions.Utility_DisplayArrayInTable(Fertiliser_SourceData.Fertiliser_Products_Data1(),FertiliserProducts[[#Headers],[Include or Exclude]], 0,4)</f>
        <v/>
      </c>
      <c r="X152" s="117" t="str" cm="1">
        <f t="array" ref="X152">Common_InputFunctions.Utility_DisplayArrayInTable(Fertiliser_SourceData.Fertiliser_Products_Data1(),FertiliserProducts[[#Headers],[Include or Exclude]], 0,4)</f>
        <v/>
      </c>
      <c r="Y152" s="117" t="str" cm="1">
        <f t="array" ref="Y152">Common_InputFunctions.Utility_DisplayArrayInTable(Fertiliser_SourceData.Fertiliser_Products_Data1(),FertiliserProducts[[#Headers],[Include or Exclude]], 0,4)</f>
        <v/>
      </c>
      <c r="Z152" s="117" t="str" cm="1">
        <f t="array" ref="Z152">Common_InputFunctions.Utility_DisplayArrayInTable(Fertiliser_SourceData.Fertiliser_Products_Data1(),FertiliserProducts[[#Headers],[Include or Exclude]], 0,4)</f>
        <v/>
      </c>
      <c r="AA152" s="117" t="str" cm="1">
        <f t="array" ref="AA152">Common_InputFunctions.Utility_DisplayArrayInTable(Fertiliser_SourceData.Fertiliser_Products_Data1(),FertiliserProducts[[#Headers],[Include or Exclude]], 0,4)</f>
        <v/>
      </c>
      <c r="AB152" s="117" t="str" cm="1">
        <f t="array" ref="AB152">Common_InputFunctions.Utility_DisplayArrayInTable(Fertiliser_SourceData.Fertiliser_Products_Data1(),FertiliserProducts[[#Headers],[Include or Exclude]], 0,4)</f>
        <v/>
      </c>
      <c r="AC152" s="117" t="str" cm="1">
        <f t="array" ref="AC152">Common_InputFunctions.Utility_DisplayArrayInTable(Fertiliser_SourceData.Fertiliser_Products_Data1(),FertiliserProducts[[#Headers],[Include or Exclude]], 0,4)</f>
        <v/>
      </c>
      <c r="AD152" s="117" t="str" cm="1">
        <f t="array" ref="AD152">Common_InputFunctions.Utility_DisplayArrayInTable(Fertiliser_SourceData.Fertiliser_Products_Data1(),FertiliserProducts[[#Headers],[Include or Exclude]], 0,4)</f>
        <v/>
      </c>
      <c r="AE152" s="117" t="str" cm="1">
        <f t="array" ref="AE152">Common_InputFunctions.Utility_DisplayArrayInTable(Fertiliser_SourceData.Fertiliser_Products_Data1(),FertiliserProducts[[#Headers],[Include or Exclude]], 0,4)</f>
        <v/>
      </c>
    </row>
    <row r="153" spans="1:31" ht="20.100000000000001" customHeight="1" x14ac:dyDescent="0.25">
      <c r="A153"/>
      <c r="D153" s="117" t="str" cm="1">
        <f t="array" ref="D153">Common_InputFunctions.Utility_DisplayArrayInTable(Fertiliser_SourceData.Fertiliser_Products_Data1(),FertiliserProducts[[#Headers],[Include or Exclude]], -1)</f>
        <v/>
      </c>
      <c r="E153" s="117" t="str" cm="1">
        <f t="array" ref="E153">Common_InputFunctions.Utility_DisplayArrayInTable(Fertiliser_SourceData.Fertiliser_Products_Data1(),FertiliserProducts[[#Headers],[Include or Exclude]], 0)</f>
        <v/>
      </c>
      <c r="F153" s="117" t="str" cm="1">
        <f t="array" ref="F153">Common_InputFunctions.Utility_DisplayArrayInTable(Fertiliser_SourceData.Fertiliser_Products_Data1(),FertiliserProducts[[#Headers],[Include or Exclude]], 0)</f>
        <v/>
      </c>
      <c r="G153" s="117" t="str" cm="1">
        <f t="array" ref="G153">Common_InputFunctions.Utility_DisplayArrayInTable(Fertiliser_SourceData.Fertiliser_Products_Data1(),FertiliserProducts[[#Headers],[Include or Exclude]], 0)</f>
        <v/>
      </c>
      <c r="H153" s="117" t="str" cm="1">
        <f t="array" ref="H153">Common_InputFunctions.Utility_DisplayArrayInTable(Fertiliser_SourceData.Fertiliser_Products_Data1(),FertiliserProducts[[#Headers],[Include or Exclude]], 0,4)</f>
        <v/>
      </c>
      <c r="I153" s="117" t="str" cm="1">
        <f t="array" ref="I153">Common_InputFunctions.Utility_DisplayArrayInTable(Fertiliser_SourceData.Fertiliser_Products_Data1(),FertiliserProducts[[#Headers],[Include or Exclude]], 0,4)</f>
        <v/>
      </c>
      <c r="J153" s="117" t="str" cm="1">
        <f t="array" ref="J153">Common_InputFunctions.Utility_DisplayArrayInTable(Fertiliser_SourceData.Fertiliser_Products_Data1(),FertiliserProducts[[#Headers],[Include or Exclude]], 0,4)</f>
        <v/>
      </c>
      <c r="K153" s="117" t="str" cm="1">
        <f t="array" ref="K153">Common_InputFunctions.Utility_DisplayArrayInTable(Fertiliser_SourceData.Fertiliser_Products_Data1(),FertiliserProducts[[#Headers],[Include or Exclude]], 0,4)</f>
        <v/>
      </c>
      <c r="L153" s="117" t="str" cm="1">
        <f t="array" ref="L153">Common_InputFunctions.Utility_DisplayArrayInTable(Fertiliser_SourceData.Fertiliser_Products_Data1(),FertiliserProducts[[#Headers],[Include or Exclude]], 0,4)</f>
        <v/>
      </c>
      <c r="M153" s="117" t="str" cm="1">
        <f t="array" ref="M153">Common_InputFunctions.Utility_DisplayArrayInTable(Fertiliser_SourceData.Fertiliser_Products_Data1(),FertiliserProducts[[#Headers],[Include or Exclude]], 0,4)</f>
        <v/>
      </c>
      <c r="N153" s="117" t="str" cm="1">
        <f t="array" ref="N153">Common_InputFunctions.Utility_DisplayArrayInTable(Fertiliser_SourceData.Fertiliser_Products_Data1(),FertiliserProducts[[#Headers],[Include or Exclude]], 0,4)</f>
        <v/>
      </c>
      <c r="O153" s="117" t="str" cm="1">
        <f t="array" ref="O153">Common_InputFunctions.Utility_DisplayArrayInTable(Fertiliser_SourceData.Fertiliser_Products_Data1(),FertiliserProducts[[#Headers],[Include or Exclude]], 0,4)</f>
        <v/>
      </c>
      <c r="P153" s="117" t="str" cm="1">
        <f t="array" ref="P153">Common_InputFunctions.Utility_DisplayArrayInTable(Fertiliser_SourceData.Fertiliser_Products_Data1(),FertiliserProducts[[#Headers],[Include or Exclude]], 0,4)</f>
        <v/>
      </c>
      <c r="Q153" s="117" t="str" cm="1">
        <f t="array" ref="Q153">Common_InputFunctions.Utility_DisplayArrayInTable(Fertiliser_SourceData.Fertiliser_Products_Data1(),FertiliserProducts[[#Headers],[Include or Exclude]], 0,4)</f>
        <v/>
      </c>
      <c r="R153" s="117" t="str" cm="1">
        <f t="array" ref="R153">Common_InputFunctions.Utility_DisplayArrayInTable(Fertiliser_SourceData.Fertiliser_Products_Data1(),FertiliserProducts[[#Headers],[Include or Exclude]], 0,4)</f>
        <v/>
      </c>
      <c r="S153" s="117" t="str" cm="1">
        <f t="array" ref="S153">Common_InputFunctions.Utility_DisplayArrayInTable(Fertiliser_SourceData.Fertiliser_Products_Data1(),FertiliserProducts[[#Headers],[Include or Exclude]], 0,4)</f>
        <v/>
      </c>
      <c r="T153" s="117" t="str" cm="1">
        <f t="array" ref="T153">Common_InputFunctions.Utility_DisplayArrayInTable(Fertiliser_SourceData.Fertiliser_Products_Data1(),FertiliserProducts[[#Headers],[Include or Exclude]], 0,4)</f>
        <v/>
      </c>
      <c r="U153" s="117" t="str" cm="1">
        <f t="array" ref="U153">Common_InputFunctions.Utility_DisplayArrayInTable(Fertiliser_SourceData.Fertiliser_Products_Data1(),FertiliserProducts[[#Headers],[Include or Exclude]], 0,4)</f>
        <v/>
      </c>
      <c r="V153" s="117" t="str" cm="1">
        <f t="array" ref="V153">Common_InputFunctions.Utility_DisplayArrayInTable(Fertiliser_SourceData.Fertiliser_Products_Data1(),FertiliserProducts[[#Headers],[Include or Exclude]], 0,4)</f>
        <v/>
      </c>
      <c r="W153" s="117" t="str" cm="1">
        <f t="array" ref="W153">Common_InputFunctions.Utility_DisplayArrayInTable(Fertiliser_SourceData.Fertiliser_Products_Data1(),FertiliserProducts[[#Headers],[Include or Exclude]], 0,4)</f>
        <v/>
      </c>
      <c r="X153" s="117" t="str" cm="1">
        <f t="array" ref="X153">Common_InputFunctions.Utility_DisplayArrayInTable(Fertiliser_SourceData.Fertiliser_Products_Data1(),FertiliserProducts[[#Headers],[Include or Exclude]], 0,4)</f>
        <v/>
      </c>
      <c r="Y153" s="117" t="str" cm="1">
        <f t="array" ref="Y153">Common_InputFunctions.Utility_DisplayArrayInTable(Fertiliser_SourceData.Fertiliser_Products_Data1(),FertiliserProducts[[#Headers],[Include or Exclude]], 0,4)</f>
        <v/>
      </c>
      <c r="Z153" s="117" t="str" cm="1">
        <f t="array" ref="Z153">Common_InputFunctions.Utility_DisplayArrayInTable(Fertiliser_SourceData.Fertiliser_Products_Data1(),FertiliserProducts[[#Headers],[Include or Exclude]], 0,4)</f>
        <v/>
      </c>
      <c r="AA153" s="117" t="str" cm="1">
        <f t="array" ref="AA153">Common_InputFunctions.Utility_DisplayArrayInTable(Fertiliser_SourceData.Fertiliser_Products_Data1(),FertiliserProducts[[#Headers],[Include or Exclude]], 0,4)</f>
        <v/>
      </c>
      <c r="AB153" s="117" t="str" cm="1">
        <f t="array" ref="AB153">Common_InputFunctions.Utility_DisplayArrayInTable(Fertiliser_SourceData.Fertiliser_Products_Data1(),FertiliserProducts[[#Headers],[Include or Exclude]], 0,4)</f>
        <v/>
      </c>
      <c r="AC153" s="117" t="str" cm="1">
        <f t="array" ref="AC153">Common_InputFunctions.Utility_DisplayArrayInTable(Fertiliser_SourceData.Fertiliser_Products_Data1(),FertiliserProducts[[#Headers],[Include or Exclude]], 0,4)</f>
        <v/>
      </c>
      <c r="AD153" s="117" t="str" cm="1">
        <f t="array" ref="AD153">Common_InputFunctions.Utility_DisplayArrayInTable(Fertiliser_SourceData.Fertiliser_Products_Data1(),FertiliserProducts[[#Headers],[Include or Exclude]], 0,4)</f>
        <v/>
      </c>
      <c r="AE153" s="117"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4866F-EAD5-4CC3-ABF3-11D70E0CE5C8}">
  <dimension ref="A1:AI165"/>
  <sheetViews>
    <sheetView showGridLines="0" topLeftCell="A138"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343</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Fuel_SourceData.Fuel_Scope1Scope3EmissionFactorsTransport_Title()</f>
        <v>Fuel scope 1 and 3 emission factors - Transport</v>
      </c>
      <c r="E5" s="103"/>
      <c r="F5" s="103"/>
      <c r="G5" s="103"/>
      <c r="H5" s="103"/>
      <c r="I5" s="103"/>
      <c r="J5" s="103"/>
      <c r="K5" s="103"/>
      <c r="L5" s="103"/>
    </row>
    <row r="6" spans="1:35" ht="20.100000000000001" customHeight="1" x14ac:dyDescent="0.25">
      <c r="A6" s="29" t="s">
        <v>83</v>
      </c>
      <c r="D6" s="15" t="str" cm="1">
        <f t="array" ref="D6">Fuel_SourceData.Fuel_Scope1Scope3EmissionFactorsTransport_Description()</f>
        <v>Direct (scope 1) and indirect (scope 3) emission factors for the consumption of transport fuels in different transport equipment</v>
      </c>
      <c r="E6" s="103"/>
      <c r="F6" s="103"/>
      <c r="G6" s="103"/>
      <c r="H6" s="103"/>
      <c r="I6" s="103"/>
      <c r="J6" s="103"/>
      <c r="K6" s="103"/>
      <c r="L6" s="103"/>
    </row>
    <row r="7" spans="1:35" ht="20.100000000000001" customHeight="1" x14ac:dyDescent="0.25">
      <c r="A7" s="24" t="str">
        <f>HYPERLINK("#'Input - Planting'!A1", "Planting")</f>
        <v>Planting</v>
      </c>
      <c r="D7" s="18" t="str" cm="1">
        <f t="array" ref="D7">Fuel_SourceData.Fuel_Scope1Scope3EmissionFactorsTransport_Source()</f>
        <v>Australian National Greenhouse Accounts Factors 2025 - Table 9</v>
      </c>
      <c r="E7" s="103"/>
      <c r="F7" s="103"/>
      <c r="G7" s="103"/>
      <c r="H7" s="103"/>
      <c r="I7" s="103"/>
      <c r="J7" s="103"/>
      <c r="K7" s="103"/>
      <c r="L7" s="103"/>
    </row>
    <row r="8" spans="1:35" ht="20.100000000000001" customHeight="1" x14ac:dyDescent="0.25">
      <c r="A8" s="24" t="str">
        <f>HYPERLINK("#'Input - Fertiliser'!A1", "Fertiliser")</f>
        <v>Fertiliser</v>
      </c>
      <c r="D8" s="19" t="str" cm="1">
        <f t="array" ref="D8">"⚠️" &amp; Fuel_SourceData.Fuel_Scope1Scope3EmissionFactorsTransport_Variation()</f>
        <v>⚠️VARIATION OF SOURCE DATA: 'NE' values returned as zero for calculations.</v>
      </c>
      <c r="E8" s="103"/>
      <c r="F8" s="103"/>
      <c r="G8" s="103"/>
      <c r="H8" s="103"/>
      <c r="I8" s="103"/>
      <c r="J8" s="103"/>
      <c r="K8" s="103"/>
      <c r="L8" s="103"/>
    </row>
    <row r="9" spans="1:35" ht="20.100000000000001" customHeight="1" x14ac:dyDescent="0.25">
      <c r="A9" s="24" t="str">
        <f>HYPERLINK("#'Input - Fuel'!A1", "Fuel")</f>
        <v>Fuel</v>
      </c>
      <c r="D9" s="150" t="s">
        <v>344</v>
      </c>
      <c r="E9" s="150" t="s">
        <v>345</v>
      </c>
      <c r="F9" s="150" t="s">
        <v>346</v>
      </c>
      <c r="G9" s="150" t="s">
        <v>347</v>
      </c>
      <c r="H9" s="150" t="s">
        <v>348</v>
      </c>
      <c r="I9" s="150" t="s">
        <v>349</v>
      </c>
      <c r="J9" s="150" t="s">
        <v>350</v>
      </c>
      <c r="K9" s="150" t="s">
        <v>351</v>
      </c>
      <c r="L9" s="150" t="s">
        <v>352</v>
      </c>
    </row>
    <row r="10" spans="1:35" ht="20.100000000000001" customHeight="1" x14ac:dyDescent="0.25">
      <c r="A10" s="24" t="str">
        <f>HYPERLINK("#'Input - Site'!A1", "Site")</f>
        <v>Site</v>
      </c>
      <c r="D10" s="151" t="str" cm="1">
        <f t="array" ref="D10">Common_InputFunctions.Utility_DisplayArrayInTable(Fuel_SourceData.Fuel_Scope1Scope3EmissionFactorsTransport_Data(), Table_Fuel_EFs_Transport[[#Headers],[Transport type]], 0)</f>
        <v>Cars and light commercial vehicles</v>
      </c>
      <c r="E10" s="151" t="str" cm="1">
        <f t="array" ref="E10">Common_InputFunctions.Utility_DisplayArrayInTable(Fuel_SourceData.Fuel_Scope1Scope3EmissionFactorsTransport_Data(), Table_Fuel_EFs_Transport[[#Headers],[Transport type]], 0)</f>
        <v>Gasoline</v>
      </c>
      <c r="F10" s="151" cm="1">
        <f t="array" ref="F10">Common_InputFunctions.Utility_DisplayArrayInTable(Fuel_SourceData.Fuel_Scope1Scope3EmissionFactorsTransport_Data(), Table_Fuel_EFs_Transport[[#Headers],[Transport type]], 0)</f>
        <v>34.200000000000003</v>
      </c>
      <c r="G10" s="151" t="str" cm="1">
        <f t="array" ref="G10">Common_InputFunctions.Utility_DisplayArrayInTable(Fuel_SourceData.Fuel_Scope1Scope3EmissionFactorsTransport_Data(), Table_Fuel_EFs_Transport[[#Headers],[Transport type]], 0)</f>
        <v>kl</v>
      </c>
      <c r="H10" s="151" cm="1">
        <f t="array" ref="H10">Common_InputFunctions.Utility_DisplayArrayInTable(Fuel_SourceData.Fuel_Scope1Scope3EmissionFactorsTransport_Data(), Table_Fuel_EFs_Transport[[#Headers],[Transport type]], 0)</f>
        <v>67.400000000000006</v>
      </c>
      <c r="I10" s="151" cm="1">
        <f t="array" ref="I10">Common_InputFunctions.Utility_DisplayArrayInTable(Fuel_SourceData.Fuel_Scope1Scope3EmissionFactorsTransport_Data(), Table_Fuel_EFs_Transport[[#Headers],[Transport type]], 0)</f>
        <v>0.02</v>
      </c>
      <c r="J10" s="151" cm="1">
        <f t="array" ref="J10">Common_InputFunctions.Utility_DisplayArrayInTable(Fuel_SourceData.Fuel_Scope1Scope3EmissionFactorsTransport_Data(), Table_Fuel_EFs_Transport[[#Headers],[Transport type]], 0)</f>
        <v>0.2</v>
      </c>
      <c r="K10" s="151" cm="1">
        <f t="array" ref="K10">Common_InputFunctions.Utility_DisplayArrayInTable(Fuel_SourceData.Fuel_Scope1Scope3EmissionFactorsTransport_Data(), Table_Fuel_EFs_Transport[[#Headers],[Transport type]], 0)</f>
        <v>67.62</v>
      </c>
      <c r="L10" s="151" cm="1">
        <f t="array" ref="L10">Common_InputFunctions.Utility_DisplayArrayInTable(Fuel_SourceData.Fuel_Scope1Scope3EmissionFactorsTransport_Data(), Table_Fuel_EFs_Transport[[#Headers],[Transport type]], 0)</f>
        <v>17.2</v>
      </c>
    </row>
    <row r="11" spans="1:35" ht="20.100000000000001" customHeight="1" x14ac:dyDescent="0.25">
      <c r="A11"/>
      <c r="D11" s="151" t="str" cm="1">
        <f t="array" ref="D11">Common_InputFunctions.Utility_DisplayArrayInTable(Fuel_SourceData.Fuel_Scope1Scope3EmissionFactorsTransport_Data(), Table_Fuel_EFs_Transport[[#Headers],[Transport type]], 0)</f>
        <v>Cars and light commercial vehicles</v>
      </c>
      <c r="E11" s="151" t="str" cm="1">
        <f t="array" ref="E11">Common_InputFunctions.Utility_DisplayArrayInTable(Fuel_SourceData.Fuel_Scope1Scope3EmissionFactorsTransport_Data(), Table_Fuel_EFs_Transport[[#Headers],[Transport type]], 0)</f>
        <v>Diesel oil</v>
      </c>
      <c r="F11" s="151" cm="1">
        <f t="array" ref="F11">Common_InputFunctions.Utility_DisplayArrayInTable(Fuel_SourceData.Fuel_Scope1Scope3EmissionFactorsTransport_Data(), Table_Fuel_EFs_Transport[[#Headers],[Transport type]], 0)</f>
        <v>38.6</v>
      </c>
      <c r="G11" s="151" t="str" cm="1">
        <f t="array" ref="G11">Common_InputFunctions.Utility_DisplayArrayInTable(Fuel_SourceData.Fuel_Scope1Scope3EmissionFactorsTransport_Data(), Table_Fuel_EFs_Transport[[#Headers],[Transport type]], 0)</f>
        <v>kl</v>
      </c>
      <c r="H11" s="151" cm="1">
        <f t="array" ref="H11">Common_InputFunctions.Utility_DisplayArrayInTable(Fuel_SourceData.Fuel_Scope1Scope3EmissionFactorsTransport_Data(), Table_Fuel_EFs_Transport[[#Headers],[Transport type]], 0)</f>
        <v>69.900000000000006</v>
      </c>
      <c r="I11" s="151" cm="1">
        <f t="array" ref="I11">Common_InputFunctions.Utility_DisplayArrayInTable(Fuel_SourceData.Fuel_Scope1Scope3EmissionFactorsTransport_Data(), Table_Fuel_EFs_Transport[[#Headers],[Transport type]], 0)</f>
        <v>0.01</v>
      </c>
      <c r="J11" s="151" cm="1">
        <f t="array" ref="J11">Common_InputFunctions.Utility_DisplayArrayInTable(Fuel_SourceData.Fuel_Scope1Scope3EmissionFactorsTransport_Data(), Table_Fuel_EFs_Transport[[#Headers],[Transport type]], 0)</f>
        <v>0.5</v>
      </c>
      <c r="K11" s="151" cm="1">
        <f t="array" ref="K11">Common_InputFunctions.Utility_DisplayArrayInTable(Fuel_SourceData.Fuel_Scope1Scope3EmissionFactorsTransport_Data(), Table_Fuel_EFs_Transport[[#Headers],[Transport type]], 0)</f>
        <v>70.41</v>
      </c>
      <c r="L11" s="151" cm="1">
        <f t="array" ref="L11">Common_InputFunctions.Utility_DisplayArrayInTable(Fuel_SourceData.Fuel_Scope1Scope3EmissionFactorsTransport_Data(), Table_Fuel_EFs_Transport[[#Headers],[Transport type]], 0)</f>
        <v>17.3</v>
      </c>
    </row>
    <row r="12" spans="1:35" ht="20.100000000000001" customHeight="1" x14ac:dyDescent="0.25">
      <c r="A12"/>
      <c r="D12" s="151" t="str" cm="1">
        <f t="array" ref="D12">Common_InputFunctions.Utility_DisplayArrayInTable(Fuel_SourceData.Fuel_Scope1Scope3EmissionFactorsTransport_Data(), Table_Fuel_EFs_Transport[[#Headers],[Transport type]], 0)</f>
        <v>Cars and light commercial vehicles</v>
      </c>
      <c r="E12" s="151" t="str" cm="1">
        <f t="array" ref="E12">Common_InputFunctions.Utility_DisplayArrayInTable(Fuel_SourceData.Fuel_Scope1Scope3EmissionFactorsTransport_Data(), Table_Fuel_EFs_Transport[[#Headers],[Transport type]], 0)</f>
        <v>Liquefied petroleum gas (LPG)</v>
      </c>
      <c r="F12" s="151" cm="1">
        <f t="array" ref="F12">Common_InputFunctions.Utility_DisplayArrayInTable(Fuel_SourceData.Fuel_Scope1Scope3EmissionFactorsTransport_Data(), Table_Fuel_EFs_Transport[[#Headers],[Transport type]], 0)</f>
        <v>26.2</v>
      </c>
      <c r="G12" s="151" t="str" cm="1">
        <f t="array" ref="G12">Common_InputFunctions.Utility_DisplayArrayInTable(Fuel_SourceData.Fuel_Scope1Scope3EmissionFactorsTransport_Data(), Table_Fuel_EFs_Transport[[#Headers],[Transport type]], 0)</f>
        <v>kl</v>
      </c>
      <c r="H12" s="151" cm="1">
        <f t="array" ref="H12">Common_InputFunctions.Utility_DisplayArrayInTable(Fuel_SourceData.Fuel_Scope1Scope3EmissionFactorsTransport_Data(), Table_Fuel_EFs_Transport[[#Headers],[Transport type]], 0)</f>
        <v>60.2</v>
      </c>
      <c r="I12" s="151" cm="1">
        <f t="array" ref="I12">Common_InputFunctions.Utility_DisplayArrayInTable(Fuel_SourceData.Fuel_Scope1Scope3EmissionFactorsTransport_Data(), Table_Fuel_EFs_Transport[[#Headers],[Transport type]], 0)</f>
        <v>0.5</v>
      </c>
      <c r="J12" s="151" cm="1">
        <f t="array" ref="J12">Common_InputFunctions.Utility_DisplayArrayInTable(Fuel_SourceData.Fuel_Scope1Scope3EmissionFactorsTransport_Data(), Table_Fuel_EFs_Transport[[#Headers],[Transport type]], 0)</f>
        <v>0.3</v>
      </c>
      <c r="K12" s="151" cm="1">
        <f t="array" ref="K12">Common_InputFunctions.Utility_DisplayArrayInTable(Fuel_SourceData.Fuel_Scope1Scope3EmissionFactorsTransport_Data(), Table_Fuel_EFs_Transport[[#Headers],[Transport type]], 0)</f>
        <v>61</v>
      </c>
      <c r="L12" s="151" cm="1">
        <f t="array" ref="L12">Common_InputFunctions.Utility_DisplayArrayInTable(Fuel_SourceData.Fuel_Scope1Scope3EmissionFactorsTransport_Data(), Table_Fuel_EFs_Transport[[#Headers],[Transport type]], 0)</f>
        <v>20.2</v>
      </c>
    </row>
    <row r="13" spans="1:35" ht="20.100000000000001" customHeight="1" x14ac:dyDescent="0.25">
      <c r="A13" s="32" t="s">
        <v>89</v>
      </c>
      <c r="D13" s="151" t="str" cm="1">
        <f t="array" ref="D13">Common_InputFunctions.Utility_DisplayArrayInTable(Fuel_SourceData.Fuel_Scope1Scope3EmissionFactorsTransport_Data(), Table_Fuel_EFs_Transport[[#Headers],[Transport type]], 0)</f>
        <v>Cars and light commercial vehicles</v>
      </c>
      <c r="E13" s="151" t="str" cm="1">
        <f t="array" ref="E13">Common_InputFunctions.Utility_DisplayArrayInTable(Fuel_SourceData.Fuel_Scope1Scope3EmissionFactorsTransport_Data(), Table_Fuel_EFs_Transport[[#Headers],[Transport type]], 0)</f>
        <v>Fuel oil</v>
      </c>
      <c r="F13" s="151" cm="1">
        <f t="array" ref="F13">Common_InputFunctions.Utility_DisplayArrayInTable(Fuel_SourceData.Fuel_Scope1Scope3EmissionFactorsTransport_Data(), Table_Fuel_EFs_Transport[[#Headers],[Transport type]], 0)</f>
        <v>39.700000000000003</v>
      </c>
      <c r="G13" s="151" t="str" cm="1">
        <f t="array" ref="G13">Common_InputFunctions.Utility_DisplayArrayInTable(Fuel_SourceData.Fuel_Scope1Scope3EmissionFactorsTransport_Data(), Table_Fuel_EFs_Transport[[#Headers],[Transport type]], 0)</f>
        <v>kl</v>
      </c>
      <c r="H13" s="151" cm="1">
        <f t="array" ref="H13">Common_InputFunctions.Utility_DisplayArrayInTable(Fuel_SourceData.Fuel_Scope1Scope3EmissionFactorsTransport_Data(), Table_Fuel_EFs_Transport[[#Headers],[Transport type]], 0)</f>
        <v>73.599999999999994</v>
      </c>
      <c r="I13" s="151" cm="1">
        <f t="array" ref="I13">Common_InputFunctions.Utility_DisplayArrayInTable(Fuel_SourceData.Fuel_Scope1Scope3EmissionFactorsTransport_Data(), Table_Fuel_EFs_Transport[[#Headers],[Transport type]], 0)</f>
        <v>0.08</v>
      </c>
      <c r="J13" s="151" cm="1">
        <f t="array" ref="J13">Common_InputFunctions.Utility_DisplayArrayInTable(Fuel_SourceData.Fuel_Scope1Scope3EmissionFactorsTransport_Data(), Table_Fuel_EFs_Transport[[#Headers],[Transport type]], 0)</f>
        <v>0.5</v>
      </c>
      <c r="K13" s="151" cm="1">
        <f t="array" ref="K13">Common_InputFunctions.Utility_DisplayArrayInTable(Fuel_SourceData.Fuel_Scope1Scope3EmissionFactorsTransport_Data(), Table_Fuel_EFs_Transport[[#Headers],[Transport type]], 0)</f>
        <v>74.180000000000007</v>
      </c>
      <c r="L13" s="151" cm="1">
        <f t="array" ref="L13">Common_InputFunctions.Utility_DisplayArrayInTable(Fuel_SourceData.Fuel_Scope1Scope3EmissionFactorsTransport_Data(), Table_Fuel_EFs_Transport[[#Headers],[Transport type]], 0)</f>
        <v>18</v>
      </c>
    </row>
    <row r="14" spans="1:35" ht="20.100000000000001" customHeight="1" x14ac:dyDescent="0.25">
      <c r="A14" s="24" t="str">
        <f>HYPERLINK("#'5.1.1.1-2 Inorganic fert N2O'!A1", "5.1.1.1-2 Inorganic fert N2O")</f>
        <v>5.1.1.1-2 Inorganic fert N2O</v>
      </c>
      <c r="D14" s="151" t="str" cm="1">
        <f t="array" ref="D14">Common_InputFunctions.Utility_DisplayArrayInTable(Fuel_SourceData.Fuel_Scope1Scope3EmissionFactorsTransport_Data(), Table_Fuel_EFs_Transport[[#Headers],[Transport type]], 0)</f>
        <v>Cars and light commercial vehicles</v>
      </c>
      <c r="E14" s="151" t="str" cm="1">
        <f t="array" ref="E14">Common_InputFunctions.Utility_DisplayArrayInTable(Fuel_SourceData.Fuel_Scope1Scope3EmissionFactorsTransport_Data(), Table_Fuel_EFs_Transport[[#Headers],[Transport type]], 0)</f>
        <v>Ethanol</v>
      </c>
      <c r="F14" s="151" cm="1">
        <f t="array" ref="F14">Common_InputFunctions.Utility_DisplayArrayInTable(Fuel_SourceData.Fuel_Scope1Scope3EmissionFactorsTransport_Data(), Table_Fuel_EFs_Transport[[#Headers],[Transport type]], 0)</f>
        <v>23.4</v>
      </c>
      <c r="G14" s="151" t="str" cm="1">
        <f t="array" ref="G14">Common_InputFunctions.Utility_DisplayArrayInTable(Fuel_SourceData.Fuel_Scope1Scope3EmissionFactorsTransport_Data(), Table_Fuel_EFs_Transport[[#Headers],[Transport type]], 0)</f>
        <v>kl</v>
      </c>
      <c r="H14" s="151" cm="1">
        <f t="array" ref="H14">Common_InputFunctions.Utility_DisplayArrayInTable(Fuel_SourceData.Fuel_Scope1Scope3EmissionFactorsTransport_Data(), Table_Fuel_EFs_Transport[[#Headers],[Transport type]], 0)</f>
        <v>0</v>
      </c>
      <c r="I14" s="151" cm="1">
        <f t="array" ref="I14">Common_InputFunctions.Utility_DisplayArrayInTable(Fuel_SourceData.Fuel_Scope1Scope3EmissionFactorsTransport_Data(), Table_Fuel_EFs_Transport[[#Headers],[Transport type]], 0)</f>
        <v>0.2</v>
      </c>
      <c r="J14" s="151" cm="1">
        <f t="array" ref="J14">Common_InputFunctions.Utility_DisplayArrayInTable(Fuel_SourceData.Fuel_Scope1Scope3EmissionFactorsTransport_Data(), Table_Fuel_EFs_Transport[[#Headers],[Transport type]], 0)</f>
        <v>0.2</v>
      </c>
      <c r="K14" s="151" cm="1">
        <f t="array" ref="K14">Common_InputFunctions.Utility_DisplayArrayInTable(Fuel_SourceData.Fuel_Scope1Scope3EmissionFactorsTransport_Data(), Table_Fuel_EFs_Transport[[#Headers],[Transport type]], 0)</f>
        <v>0.4</v>
      </c>
      <c r="L14" s="151" t="str" cm="1">
        <f t="array" ref="L14">Common_InputFunctions.Utility_DisplayArrayInTable(Fuel_SourceData.Fuel_Scope1Scope3EmissionFactorsTransport_Data(), Table_Fuel_EFs_Transport[[#Headers],[Transport type]], 0)</f>
        <v>NE</v>
      </c>
    </row>
    <row r="15" spans="1:35" ht="20.100000000000001" customHeight="1" x14ac:dyDescent="0.25">
      <c r="A15" s="24" t="str">
        <f>HYPERLINK("#'5.1.1.3-4 Inorganic fert CO2'!A1", "5.1.1.3-4 Inorganic fert CO2")</f>
        <v>5.1.1.3-4 Inorganic fert CO2</v>
      </c>
      <c r="D15" s="151" t="str" cm="1">
        <f t="array" ref="D15">Common_InputFunctions.Utility_DisplayArrayInTable(Fuel_SourceData.Fuel_Scope1Scope3EmissionFactorsTransport_Data(), Table_Fuel_EFs_Transport[[#Headers],[Transport type]], 0)</f>
        <v>Cars and light commercial vehicles</v>
      </c>
      <c r="E15" s="151" t="str" cm="1">
        <f t="array" ref="E15">Common_InputFunctions.Utility_DisplayArrayInTable(Fuel_SourceData.Fuel_Scope1Scope3EmissionFactorsTransport_Data(), Table_Fuel_EFs_Transport[[#Headers],[Transport type]], 0)</f>
        <v>Biodiesel</v>
      </c>
      <c r="F15" s="151" cm="1">
        <f t="array" ref="F15">Common_InputFunctions.Utility_DisplayArrayInTable(Fuel_SourceData.Fuel_Scope1Scope3EmissionFactorsTransport_Data(), Table_Fuel_EFs_Transport[[#Headers],[Transport type]], 0)</f>
        <v>34.6</v>
      </c>
      <c r="G15" s="151" t="str" cm="1">
        <f t="array" ref="G15">Common_InputFunctions.Utility_DisplayArrayInTable(Fuel_SourceData.Fuel_Scope1Scope3EmissionFactorsTransport_Data(), Table_Fuel_EFs_Transport[[#Headers],[Transport type]], 0)</f>
        <v>kl</v>
      </c>
      <c r="H15" s="151" cm="1">
        <f t="array" ref="H15">Common_InputFunctions.Utility_DisplayArrayInTable(Fuel_SourceData.Fuel_Scope1Scope3EmissionFactorsTransport_Data(), Table_Fuel_EFs_Transport[[#Headers],[Transport type]], 0)</f>
        <v>0</v>
      </c>
      <c r="I15" s="151" cm="1">
        <f t="array" ref="I15">Common_InputFunctions.Utility_DisplayArrayInTable(Fuel_SourceData.Fuel_Scope1Scope3EmissionFactorsTransport_Data(), Table_Fuel_EFs_Transport[[#Headers],[Transport type]], 0)</f>
        <v>0.8</v>
      </c>
      <c r="J15" s="151" cm="1">
        <f t="array" ref="J15">Common_InputFunctions.Utility_DisplayArrayInTable(Fuel_SourceData.Fuel_Scope1Scope3EmissionFactorsTransport_Data(), Table_Fuel_EFs_Transport[[#Headers],[Transport type]], 0)</f>
        <v>1.7</v>
      </c>
      <c r="K15" s="151" cm="1">
        <f t="array" ref="K15">Common_InputFunctions.Utility_DisplayArrayInTable(Fuel_SourceData.Fuel_Scope1Scope3EmissionFactorsTransport_Data(), Table_Fuel_EFs_Transport[[#Headers],[Transport type]], 0)</f>
        <v>2.5</v>
      </c>
      <c r="L15" s="151"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HYPERLINK("#'5.2.1.1-2 Organic Fert N2O'!A1", "5.2.1.1-2 Organic fert N2O")</f>
        <v>5.2.1.1-2 Organic fert N2O</v>
      </c>
      <c r="D16" s="151" t="str" cm="1">
        <f t="array" ref="D16">Common_InputFunctions.Utility_DisplayArrayInTable(Fuel_SourceData.Fuel_Scope1Scope3EmissionFactorsTransport_Data(), Table_Fuel_EFs_Transport[[#Headers],[Transport type]], 0)</f>
        <v>Cars and light commercial vehicles</v>
      </c>
      <c r="E16" s="151" t="str" cm="1">
        <f t="array" ref="E16">Common_InputFunctions.Utility_DisplayArrayInTable(Fuel_SourceData.Fuel_Scope1Scope3EmissionFactorsTransport_Data(), Table_Fuel_EFs_Transport[[#Headers],[Transport type]], 0)</f>
        <v>Renewable diesel</v>
      </c>
      <c r="F16" s="151" cm="1">
        <f t="array" ref="F16">Common_InputFunctions.Utility_DisplayArrayInTable(Fuel_SourceData.Fuel_Scope1Scope3EmissionFactorsTransport_Data(), Table_Fuel_EFs_Transport[[#Headers],[Transport type]], 0)</f>
        <v>38.6</v>
      </c>
      <c r="G16" s="151" t="str" cm="1">
        <f t="array" ref="G16">Common_InputFunctions.Utility_DisplayArrayInTable(Fuel_SourceData.Fuel_Scope1Scope3EmissionFactorsTransport_Data(), Table_Fuel_EFs_Transport[[#Headers],[Transport type]], 0)</f>
        <v>kl</v>
      </c>
      <c r="H16" s="151" cm="1">
        <f t="array" ref="H16">Common_InputFunctions.Utility_DisplayArrayInTable(Fuel_SourceData.Fuel_Scope1Scope3EmissionFactorsTransport_Data(), Table_Fuel_EFs_Transport[[#Headers],[Transport type]], 0)</f>
        <v>0</v>
      </c>
      <c r="I16" s="151" cm="1">
        <f t="array" ref="I16">Common_InputFunctions.Utility_DisplayArrayInTable(Fuel_SourceData.Fuel_Scope1Scope3EmissionFactorsTransport_Data(), Table_Fuel_EFs_Transport[[#Headers],[Transport type]], 0)</f>
        <v>0.01</v>
      </c>
      <c r="J16" s="151" cm="1">
        <f t="array" ref="J16">Common_InputFunctions.Utility_DisplayArrayInTable(Fuel_SourceData.Fuel_Scope1Scope3EmissionFactorsTransport_Data(), Table_Fuel_EFs_Transport[[#Headers],[Transport type]], 0)</f>
        <v>0.5</v>
      </c>
      <c r="K16" s="151" cm="1">
        <f t="array" ref="K16">Common_InputFunctions.Utility_DisplayArrayInTable(Fuel_SourceData.Fuel_Scope1Scope3EmissionFactorsTransport_Data(), Table_Fuel_EFs_Transport[[#Headers],[Transport type]], 0)</f>
        <v>0.51</v>
      </c>
      <c r="L16" s="151" t="str" cm="1">
        <f t="array" ref="L16">Common_InputFunctions.Utility_DisplayArrayInTable(Fuel_SourceData.Fuel_Scope1Scope3EmissionFactorsTransport_Data(), Table_Fuel_EFs_Transport[[#Headers],[Transport type]], 0)</f>
        <v>NE</v>
      </c>
    </row>
    <row r="17" spans="1:12" ht="20.100000000000001" customHeight="1" x14ac:dyDescent="0.25">
      <c r="A17" s="24" t="str">
        <f>HYPERLINK("#'5.3.1.1-2 Lime CO2'!A1", "5.3.1.1-2 Lime CO2")</f>
        <v>5.3.1.1-2 Lime CO2</v>
      </c>
      <c r="D17" s="151" t="str" cm="1">
        <f t="array" ref="D17">Common_InputFunctions.Utility_DisplayArrayInTable(Fuel_SourceData.Fuel_Scope1Scope3EmissionFactorsTransport_Data(), Table_Fuel_EFs_Transport[[#Headers],[Transport type]], 0)</f>
        <v>Cars and light commercial vehicles</v>
      </c>
      <c r="E17" s="151" t="str" cm="1">
        <f t="array" ref="E17">Common_InputFunctions.Utility_DisplayArrayInTable(Fuel_SourceData.Fuel_Scope1Scope3EmissionFactorsTransport_Data(), Table_Fuel_EFs_Transport[[#Headers],[Transport type]], 0)</f>
        <v>Other biofuels</v>
      </c>
      <c r="F17" s="151" cm="1">
        <f t="array" ref="F17">Common_InputFunctions.Utility_DisplayArrayInTable(Fuel_SourceData.Fuel_Scope1Scope3EmissionFactorsTransport_Data(), Table_Fuel_EFs_Transport[[#Headers],[Transport type]], 0)</f>
        <v>23.4</v>
      </c>
      <c r="G17" s="151" t="str" cm="1">
        <f t="array" ref="G17">Common_InputFunctions.Utility_DisplayArrayInTable(Fuel_SourceData.Fuel_Scope1Scope3EmissionFactorsTransport_Data(), Table_Fuel_EFs_Transport[[#Headers],[Transport type]], 0)</f>
        <v>kl</v>
      </c>
      <c r="H17" s="151" cm="1">
        <f t="array" ref="H17">Common_InputFunctions.Utility_DisplayArrayInTable(Fuel_SourceData.Fuel_Scope1Scope3EmissionFactorsTransport_Data(), Table_Fuel_EFs_Transport[[#Headers],[Transport type]], 0)</f>
        <v>0</v>
      </c>
      <c r="I17" s="151" cm="1">
        <f t="array" ref="I17">Common_InputFunctions.Utility_DisplayArrayInTable(Fuel_SourceData.Fuel_Scope1Scope3EmissionFactorsTransport_Data(), Table_Fuel_EFs_Transport[[#Headers],[Transport type]], 0)</f>
        <v>0.8</v>
      </c>
      <c r="J17" s="151" cm="1">
        <f t="array" ref="J17">Common_InputFunctions.Utility_DisplayArrayInTable(Fuel_SourceData.Fuel_Scope1Scope3EmissionFactorsTransport_Data(), Table_Fuel_EFs_Transport[[#Headers],[Transport type]], 0)</f>
        <v>1.7</v>
      </c>
      <c r="K17" s="151" cm="1">
        <f t="array" ref="K17">Common_InputFunctions.Utility_DisplayArrayInTable(Fuel_SourceData.Fuel_Scope1Scope3EmissionFactorsTransport_Data(), Table_Fuel_EFs_Transport[[#Headers],[Transport type]], 0)</f>
        <v>2.5</v>
      </c>
      <c r="L17" s="151" t="str" cm="1">
        <f t="array" ref="L17">Common_InputFunctions.Utility_DisplayArrayInTable(Fuel_SourceData.Fuel_Scope1Scope3EmissionFactorsTransport_Data(), Table_Fuel_EFs_Transport[[#Headers],[Transport type]], 0)</f>
        <v>NE</v>
      </c>
    </row>
    <row r="18" spans="1:12" ht="20.100000000000001" customHeight="1" x14ac:dyDescent="0.25">
      <c r="A18" s="24" t="str">
        <f>HYPERLINK("#'5.4.1.1-4 Atmos deposition'!A1", "5.4.1.1-4 Atmos. deposition")</f>
        <v>5.4.1.1-4 Atmos. deposition</v>
      </c>
      <c r="D18" s="151" t="str" cm="1">
        <f t="array" ref="D18">Common_InputFunctions.Utility_DisplayArrayInTable(Fuel_SourceData.Fuel_Scope1Scope3EmissionFactorsTransport_Data(), Table_Fuel_EFs_Transport[[#Headers],[Transport type]], 0)</f>
        <v>Light duty vehicles</v>
      </c>
      <c r="E18" s="151" t="str" cm="1">
        <f t="array" ref="E18">Common_InputFunctions.Utility_DisplayArrayInTable(Fuel_SourceData.Fuel_Scope1Scope3EmissionFactorsTransport_Data(), Table_Fuel_EFs_Transport[[#Headers],[Transport type]], 0)</f>
        <v>Compressed natural gas</v>
      </c>
      <c r="F18" s="151" cm="1">
        <f t="array" ref="F18">Common_InputFunctions.Utility_DisplayArrayInTable(Fuel_SourceData.Fuel_Scope1Scope3EmissionFactorsTransport_Data(), Table_Fuel_EFs_Transport[[#Headers],[Transport type]], 0)</f>
        <v>3.9300000000000002E-2</v>
      </c>
      <c r="G18" s="151" t="str" cm="1">
        <f t="array" ref="G18">Common_InputFunctions.Utility_DisplayArrayInTable(Fuel_SourceData.Fuel_Scope1Scope3EmissionFactorsTransport_Data(), Table_Fuel_EFs_Transport[[#Headers],[Transport type]], 0)</f>
        <v>m3</v>
      </c>
      <c r="H18" s="151" cm="1">
        <f t="array" ref="H18">Common_InputFunctions.Utility_DisplayArrayInTable(Fuel_SourceData.Fuel_Scope1Scope3EmissionFactorsTransport_Data(), Table_Fuel_EFs_Transport[[#Headers],[Transport type]], 0)</f>
        <v>51.4</v>
      </c>
      <c r="I18" s="151" cm="1">
        <f t="array" ref="I18">Common_InputFunctions.Utility_DisplayArrayInTable(Fuel_SourceData.Fuel_Scope1Scope3EmissionFactorsTransport_Data(), Table_Fuel_EFs_Transport[[#Headers],[Transport type]], 0)</f>
        <v>7.3</v>
      </c>
      <c r="J18" s="151" cm="1">
        <f t="array" ref="J18">Common_InputFunctions.Utility_DisplayArrayInTable(Fuel_SourceData.Fuel_Scope1Scope3EmissionFactorsTransport_Data(), Table_Fuel_EFs_Transport[[#Headers],[Transport type]], 0)</f>
        <v>0.3</v>
      </c>
      <c r="K18" s="151" cm="1">
        <f t="array" ref="K18">Common_InputFunctions.Utility_DisplayArrayInTable(Fuel_SourceData.Fuel_Scope1Scope3EmissionFactorsTransport_Data(), Table_Fuel_EFs_Transport[[#Headers],[Transport type]], 0)</f>
        <v>59</v>
      </c>
      <c r="L18" s="151" cm="1">
        <f t="array" ref="L18">Common_InputFunctions.Utility_DisplayArrayInTable(Fuel_SourceData.Fuel_Scope1Scope3EmissionFactorsTransport_Data(), Table_Fuel_EFs_Transport[[#Headers],[Transport type]], 0)</f>
        <v>18</v>
      </c>
    </row>
    <row r="19" spans="1:12" ht="20.100000000000001" customHeight="1" x14ac:dyDescent="0.25">
      <c r="A19" s="24" t="str">
        <f>HYPERLINK("#'5.5.1.1-2 Leaching and runoff'!A1", "5.5.1.1-2 Leaching &amp; runoff")</f>
        <v>5.5.1.1-2 Leaching &amp; runoff</v>
      </c>
      <c r="D19" s="151" t="str" cm="1">
        <f t="array" ref="D19">Common_InputFunctions.Utility_DisplayArrayInTable(Fuel_SourceData.Fuel_Scope1Scope3EmissionFactorsTransport_Data(), Table_Fuel_EFs_Transport[[#Headers],[Transport type]], 0)</f>
        <v>Light duty vehicles</v>
      </c>
      <c r="E19" s="151" t="str" cm="1">
        <f t="array" ref="E19">Common_InputFunctions.Utility_DisplayArrayInTable(Fuel_SourceData.Fuel_Scope1Scope3EmissionFactorsTransport_Data(), Table_Fuel_EFs_Transport[[#Headers],[Transport type]], 0)</f>
        <v>Liquefied natural gas</v>
      </c>
      <c r="F19" s="151" cm="1">
        <f t="array" ref="F19">Common_InputFunctions.Utility_DisplayArrayInTable(Fuel_SourceData.Fuel_Scope1Scope3EmissionFactorsTransport_Data(), Table_Fuel_EFs_Transport[[#Headers],[Transport type]], 0)</f>
        <v>25.3</v>
      </c>
      <c r="G19" s="151" t="str" cm="1">
        <f t="array" ref="G19">Common_InputFunctions.Utility_DisplayArrayInTable(Fuel_SourceData.Fuel_Scope1Scope3EmissionFactorsTransport_Data(), Table_Fuel_EFs_Transport[[#Headers],[Transport type]], 0)</f>
        <v>kl</v>
      </c>
      <c r="H19" s="151" cm="1">
        <f t="array" ref="H19">Common_InputFunctions.Utility_DisplayArrayInTable(Fuel_SourceData.Fuel_Scope1Scope3EmissionFactorsTransport_Data(), Table_Fuel_EFs_Transport[[#Headers],[Transport type]], 0)</f>
        <v>51.4</v>
      </c>
      <c r="I19" s="151" cm="1">
        <f t="array" ref="I19">Common_InputFunctions.Utility_DisplayArrayInTable(Fuel_SourceData.Fuel_Scope1Scope3EmissionFactorsTransport_Data(), Table_Fuel_EFs_Transport[[#Headers],[Transport type]], 0)</f>
        <v>7.3</v>
      </c>
      <c r="J19" s="151" cm="1">
        <f t="array" ref="J19">Common_InputFunctions.Utility_DisplayArrayInTable(Fuel_SourceData.Fuel_Scope1Scope3EmissionFactorsTransport_Data(), Table_Fuel_EFs_Transport[[#Headers],[Transport type]], 0)</f>
        <v>0.3</v>
      </c>
      <c r="K19" s="151" cm="1">
        <f t="array" ref="K19">Common_InputFunctions.Utility_DisplayArrayInTable(Fuel_SourceData.Fuel_Scope1Scope3EmissionFactorsTransport_Data(), Table_Fuel_EFs_Transport[[#Headers],[Transport type]], 0)</f>
        <v>59</v>
      </c>
      <c r="L19" s="151" cm="1">
        <f t="array" ref="L19">Common_InputFunctions.Utility_DisplayArrayInTable(Fuel_SourceData.Fuel_Scope1Scope3EmissionFactorsTransport_Data(), Table_Fuel_EFs_Transport[[#Headers],[Transport type]], 0)</f>
        <v>18</v>
      </c>
    </row>
    <row r="20" spans="1:12" ht="20.100000000000001" customHeight="1" x14ac:dyDescent="0.25">
      <c r="A20" s="24" t="str">
        <f>HYPERLINK("#'8.1.1.1-2 Transport fuel'!A1", "8.1.1.1-2 Transport fuel")</f>
        <v>8.1.1.1-2 Transport fuel</v>
      </c>
      <c r="D20" s="151" t="str" cm="1">
        <f t="array" ref="D20">Common_InputFunctions.Utility_DisplayArrayInTable(Fuel_SourceData.Fuel_Scope1Scope3EmissionFactorsTransport_Data(), Table_Fuel_EFs_Transport[[#Headers],[Transport type]], 0)</f>
        <v>Heavy duty vehicles</v>
      </c>
      <c r="E20" s="151" t="str" cm="1">
        <f t="array" ref="E20">Common_InputFunctions.Utility_DisplayArrayInTable(Fuel_SourceData.Fuel_Scope1Scope3EmissionFactorsTransport_Data(), Table_Fuel_EFs_Transport[[#Headers],[Transport type]], 0)</f>
        <v>Compressed natural gas</v>
      </c>
      <c r="F20" s="151" cm="1">
        <f t="array" ref="F20">Common_InputFunctions.Utility_DisplayArrayInTable(Fuel_SourceData.Fuel_Scope1Scope3EmissionFactorsTransport_Data(), Table_Fuel_EFs_Transport[[#Headers],[Transport type]], 0)</f>
        <v>3.9300000000000002E-2</v>
      </c>
      <c r="G20" s="151" t="str" cm="1">
        <f t="array" ref="G20">Common_InputFunctions.Utility_DisplayArrayInTable(Fuel_SourceData.Fuel_Scope1Scope3EmissionFactorsTransport_Data(), Table_Fuel_EFs_Transport[[#Headers],[Transport type]], 0)</f>
        <v>m3</v>
      </c>
      <c r="H20" s="151" cm="1">
        <f t="array" ref="H20">Common_InputFunctions.Utility_DisplayArrayInTable(Fuel_SourceData.Fuel_Scope1Scope3EmissionFactorsTransport_Data(), Table_Fuel_EFs_Transport[[#Headers],[Transport type]], 0)</f>
        <v>51.4</v>
      </c>
      <c r="I20" s="151" cm="1">
        <f t="array" ref="I20">Common_InputFunctions.Utility_DisplayArrayInTable(Fuel_SourceData.Fuel_Scope1Scope3EmissionFactorsTransport_Data(), Table_Fuel_EFs_Transport[[#Headers],[Transport type]], 0)</f>
        <v>2.8</v>
      </c>
      <c r="J20" s="151" cm="1">
        <f t="array" ref="J20">Common_InputFunctions.Utility_DisplayArrayInTable(Fuel_SourceData.Fuel_Scope1Scope3EmissionFactorsTransport_Data(), Table_Fuel_EFs_Transport[[#Headers],[Transport type]], 0)</f>
        <v>0.3</v>
      </c>
      <c r="K20" s="151" cm="1">
        <f t="array" ref="K20">Common_InputFunctions.Utility_DisplayArrayInTable(Fuel_SourceData.Fuel_Scope1Scope3EmissionFactorsTransport_Data(), Table_Fuel_EFs_Transport[[#Headers],[Transport type]], 0)</f>
        <v>54.5</v>
      </c>
      <c r="L20" s="151" cm="1">
        <f t="array" ref="L20">Common_InputFunctions.Utility_DisplayArrayInTable(Fuel_SourceData.Fuel_Scope1Scope3EmissionFactorsTransport_Data(), Table_Fuel_EFs_Transport[[#Headers],[Transport type]], 0)</f>
        <v>18</v>
      </c>
    </row>
    <row r="21" spans="1:12" ht="20.100000000000001" customHeight="1" x14ac:dyDescent="0.25">
      <c r="A21" s="24" t="str">
        <f>HYPERLINK("#'8.2.1.1-2 Stationary fuel'!A1", "8.2.1.1-2 Stationary fuel")</f>
        <v>8.2.1.1-2 Stationary fuel</v>
      </c>
      <c r="D21" s="151" t="str" cm="1">
        <f t="array" ref="D21">Common_InputFunctions.Utility_DisplayArrayInTable(Fuel_SourceData.Fuel_Scope1Scope3EmissionFactorsTransport_Data(), Table_Fuel_EFs_Transport[[#Headers],[Transport type]], 0)</f>
        <v>Heavy duty vehicles</v>
      </c>
      <c r="E21" s="151" t="str" cm="1">
        <f t="array" ref="E21">Common_InputFunctions.Utility_DisplayArrayInTable(Fuel_SourceData.Fuel_Scope1Scope3EmissionFactorsTransport_Data(), Table_Fuel_EFs_Transport[[#Headers],[Transport type]], 0)</f>
        <v>Liquefied natural gas</v>
      </c>
      <c r="F21" s="151" cm="1">
        <f t="array" ref="F21">Common_InputFunctions.Utility_DisplayArrayInTable(Fuel_SourceData.Fuel_Scope1Scope3EmissionFactorsTransport_Data(), Table_Fuel_EFs_Transport[[#Headers],[Transport type]], 0)</f>
        <v>25.3</v>
      </c>
      <c r="G21" s="151" t="str" cm="1">
        <f t="array" ref="G21">Common_InputFunctions.Utility_DisplayArrayInTable(Fuel_SourceData.Fuel_Scope1Scope3EmissionFactorsTransport_Data(), Table_Fuel_EFs_Transport[[#Headers],[Transport type]], 0)</f>
        <v>kl</v>
      </c>
      <c r="H21" s="151" cm="1">
        <f t="array" ref="H21">Common_InputFunctions.Utility_DisplayArrayInTable(Fuel_SourceData.Fuel_Scope1Scope3EmissionFactorsTransport_Data(), Table_Fuel_EFs_Transport[[#Headers],[Transport type]], 0)</f>
        <v>51.4</v>
      </c>
      <c r="I21" s="151" cm="1">
        <f t="array" ref="I21">Common_InputFunctions.Utility_DisplayArrayInTable(Fuel_SourceData.Fuel_Scope1Scope3EmissionFactorsTransport_Data(), Table_Fuel_EFs_Transport[[#Headers],[Transport type]], 0)</f>
        <v>2.8</v>
      </c>
      <c r="J21" s="151" cm="1">
        <f t="array" ref="J21">Common_InputFunctions.Utility_DisplayArrayInTable(Fuel_SourceData.Fuel_Scope1Scope3EmissionFactorsTransport_Data(), Table_Fuel_EFs_Transport[[#Headers],[Transport type]], 0)</f>
        <v>0.3</v>
      </c>
      <c r="K21" s="151" cm="1">
        <f t="array" ref="K21">Common_InputFunctions.Utility_DisplayArrayInTable(Fuel_SourceData.Fuel_Scope1Scope3EmissionFactorsTransport_Data(), Table_Fuel_EFs_Transport[[#Headers],[Transport type]], 0)</f>
        <v>54.5</v>
      </c>
      <c r="L21" s="151" cm="1">
        <f t="array" ref="L21">Common_InputFunctions.Utility_DisplayArrayInTable(Fuel_SourceData.Fuel_Scope1Scope3EmissionFactorsTransport_Data(), Table_Fuel_EFs_Transport[[#Headers],[Transport type]], 0)</f>
        <v>18</v>
      </c>
    </row>
    <row r="22" spans="1:12" ht="20.100000000000001" customHeight="1" x14ac:dyDescent="0.25">
      <c r="A22"/>
      <c r="D22" s="151" t="str" cm="1">
        <f t="array" ref="D22">Common_InputFunctions.Utility_DisplayArrayInTable(Fuel_SourceData.Fuel_Scope1Scope3EmissionFactorsTransport_Data(), Table_Fuel_EFs_Transport[[#Headers],[Transport type]], 0)</f>
        <v>Heavy duty vehicles</v>
      </c>
      <c r="E22" s="151" t="str" cm="1">
        <f t="array" ref="E22">Common_InputFunctions.Utility_DisplayArrayInTable(Fuel_SourceData.Fuel_Scope1Scope3EmissionFactorsTransport_Data(), Table_Fuel_EFs_Transport[[#Headers],[Transport type]], 0)</f>
        <v>Diesel oil - Euro iv or higher</v>
      </c>
      <c r="F22" s="151" cm="1">
        <f t="array" ref="F22">Common_InputFunctions.Utility_DisplayArrayInTable(Fuel_SourceData.Fuel_Scope1Scope3EmissionFactorsTransport_Data(), Table_Fuel_EFs_Transport[[#Headers],[Transport type]], 0)</f>
        <v>38.6</v>
      </c>
      <c r="G22" s="151" t="str" cm="1">
        <f t="array" ref="G22">Common_InputFunctions.Utility_DisplayArrayInTable(Fuel_SourceData.Fuel_Scope1Scope3EmissionFactorsTransport_Data(), Table_Fuel_EFs_Transport[[#Headers],[Transport type]], 0)</f>
        <v>kl</v>
      </c>
      <c r="H22" s="151" cm="1">
        <f t="array" ref="H22">Common_InputFunctions.Utility_DisplayArrayInTable(Fuel_SourceData.Fuel_Scope1Scope3EmissionFactorsTransport_Data(), Table_Fuel_EFs_Transport[[#Headers],[Transport type]], 0)</f>
        <v>69.900000000000006</v>
      </c>
      <c r="I22" s="151" cm="1">
        <f t="array" ref="I22">Common_InputFunctions.Utility_DisplayArrayInTable(Fuel_SourceData.Fuel_Scope1Scope3EmissionFactorsTransport_Data(), Table_Fuel_EFs_Transport[[#Headers],[Transport type]], 0)</f>
        <v>7.0000000000000007E-2</v>
      </c>
      <c r="J22" s="151" cm="1">
        <f t="array" ref="J22">Common_InputFunctions.Utility_DisplayArrayInTable(Fuel_SourceData.Fuel_Scope1Scope3EmissionFactorsTransport_Data(), Table_Fuel_EFs_Transport[[#Headers],[Transport type]], 0)</f>
        <v>0.4</v>
      </c>
      <c r="K22" s="151" cm="1">
        <f t="array" ref="K22">Common_InputFunctions.Utility_DisplayArrayInTable(Fuel_SourceData.Fuel_Scope1Scope3EmissionFactorsTransport_Data(), Table_Fuel_EFs_Transport[[#Headers],[Transport type]], 0)</f>
        <v>70.37</v>
      </c>
      <c r="L22" s="151" cm="1">
        <f t="array" ref="L22">Common_InputFunctions.Utility_DisplayArrayInTable(Fuel_SourceData.Fuel_Scope1Scope3EmissionFactorsTransport_Data(), Table_Fuel_EFs_Transport[[#Headers],[Transport type]], 0)</f>
        <v>17.3</v>
      </c>
    </row>
    <row r="23" spans="1:12" ht="20.100000000000001" customHeight="1" x14ac:dyDescent="0.25">
      <c r="A23"/>
      <c r="D23" s="151" t="str" cm="1">
        <f t="array" ref="D23">Common_InputFunctions.Utility_DisplayArrayInTable(Fuel_SourceData.Fuel_Scope1Scope3EmissionFactorsTransport_Data(), Table_Fuel_EFs_Transport[[#Headers],[Transport type]], 0)</f>
        <v>Heavy duty vehicles</v>
      </c>
      <c r="E23" s="151" t="str" cm="1">
        <f t="array" ref="E23">Common_InputFunctions.Utility_DisplayArrayInTable(Fuel_SourceData.Fuel_Scope1Scope3EmissionFactorsTransport_Data(), Table_Fuel_EFs_Transport[[#Headers],[Transport type]], 0)</f>
        <v>Diesel oil - Euro iii</v>
      </c>
      <c r="F23" s="151" cm="1">
        <f t="array" ref="F23">Common_InputFunctions.Utility_DisplayArrayInTable(Fuel_SourceData.Fuel_Scope1Scope3EmissionFactorsTransport_Data(), Table_Fuel_EFs_Transport[[#Headers],[Transport type]], 0)</f>
        <v>38.6</v>
      </c>
      <c r="G23" s="151" t="str" cm="1">
        <f t="array" ref="G23">Common_InputFunctions.Utility_DisplayArrayInTable(Fuel_SourceData.Fuel_Scope1Scope3EmissionFactorsTransport_Data(), Table_Fuel_EFs_Transport[[#Headers],[Transport type]], 0)</f>
        <v>kl</v>
      </c>
      <c r="H23" s="151" cm="1">
        <f t="array" ref="H23">Common_InputFunctions.Utility_DisplayArrayInTable(Fuel_SourceData.Fuel_Scope1Scope3EmissionFactorsTransport_Data(), Table_Fuel_EFs_Transport[[#Headers],[Transport type]], 0)</f>
        <v>69.900000000000006</v>
      </c>
      <c r="I23" s="151" cm="1">
        <f t="array" ref="I23">Common_InputFunctions.Utility_DisplayArrayInTable(Fuel_SourceData.Fuel_Scope1Scope3EmissionFactorsTransport_Data(), Table_Fuel_EFs_Transport[[#Headers],[Transport type]], 0)</f>
        <v>0.1</v>
      </c>
      <c r="J23" s="151" cm="1">
        <f t="array" ref="J23">Common_InputFunctions.Utility_DisplayArrayInTable(Fuel_SourceData.Fuel_Scope1Scope3EmissionFactorsTransport_Data(), Table_Fuel_EFs_Transport[[#Headers],[Transport type]], 0)</f>
        <v>0.4</v>
      </c>
      <c r="K23" s="151" cm="1">
        <f t="array" ref="K23">Common_InputFunctions.Utility_DisplayArrayInTable(Fuel_SourceData.Fuel_Scope1Scope3EmissionFactorsTransport_Data(), Table_Fuel_EFs_Transport[[#Headers],[Transport type]], 0)</f>
        <v>70.400000000000006</v>
      </c>
      <c r="L23" s="151" cm="1">
        <f t="array" ref="L23">Common_InputFunctions.Utility_DisplayArrayInTable(Fuel_SourceData.Fuel_Scope1Scope3EmissionFactorsTransport_Data(), Table_Fuel_EFs_Transport[[#Headers],[Transport type]], 0)</f>
        <v>17.3</v>
      </c>
    </row>
    <row r="24" spans="1:12" ht="20.100000000000001" customHeight="1" x14ac:dyDescent="0.25">
      <c r="A24" s="210" t="s">
        <v>116</v>
      </c>
      <c r="D24" s="151" t="str" cm="1">
        <f t="array" ref="D24">Common_InputFunctions.Utility_DisplayArrayInTable(Fuel_SourceData.Fuel_Scope1Scope3EmissionFactorsTransport_Data(), Table_Fuel_EFs_Transport[[#Headers],[Transport type]], 0)</f>
        <v>Heavy duty vehicles</v>
      </c>
      <c r="E24" s="151" t="str" cm="1">
        <f t="array" ref="E24">Common_InputFunctions.Utility_DisplayArrayInTable(Fuel_SourceData.Fuel_Scope1Scope3EmissionFactorsTransport_Data(), Table_Fuel_EFs_Transport[[#Headers],[Transport type]], 0)</f>
        <v>Diesel oil - Euro i</v>
      </c>
      <c r="F24" s="151" cm="1">
        <f t="array" ref="F24">Common_InputFunctions.Utility_DisplayArrayInTable(Fuel_SourceData.Fuel_Scope1Scope3EmissionFactorsTransport_Data(), Table_Fuel_EFs_Transport[[#Headers],[Transport type]], 0)</f>
        <v>38.6</v>
      </c>
      <c r="G24" s="151" t="str" cm="1">
        <f t="array" ref="G24">Common_InputFunctions.Utility_DisplayArrayInTable(Fuel_SourceData.Fuel_Scope1Scope3EmissionFactorsTransport_Data(), Table_Fuel_EFs_Transport[[#Headers],[Transport type]], 0)</f>
        <v>kl</v>
      </c>
      <c r="H24" s="151" cm="1">
        <f t="array" ref="H24">Common_InputFunctions.Utility_DisplayArrayInTable(Fuel_SourceData.Fuel_Scope1Scope3EmissionFactorsTransport_Data(), Table_Fuel_EFs_Transport[[#Headers],[Transport type]], 0)</f>
        <v>69.900000000000006</v>
      </c>
      <c r="I24" s="151" cm="1">
        <f t="array" ref="I24">Common_InputFunctions.Utility_DisplayArrayInTable(Fuel_SourceData.Fuel_Scope1Scope3EmissionFactorsTransport_Data(), Table_Fuel_EFs_Transport[[#Headers],[Transport type]], 0)</f>
        <v>0.2</v>
      </c>
      <c r="J24" s="151" cm="1">
        <f t="array" ref="J24">Common_InputFunctions.Utility_DisplayArrayInTable(Fuel_SourceData.Fuel_Scope1Scope3EmissionFactorsTransport_Data(), Table_Fuel_EFs_Transport[[#Headers],[Transport type]], 0)</f>
        <v>0.4</v>
      </c>
      <c r="K24" s="151" cm="1">
        <f t="array" ref="K24">Common_InputFunctions.Utility_DisplayArrayInTable(Fuel_SourceData.Fuel_Scope1Scope3EmissionFactorsTransport_Data(), Table_Fuel_EFs_Transport[[#Headers],[Transport type]], 0)</f>
        <v>70.5</v>
      </c>
      <c r="L24" s="151" cm="1">
        <f t="array" ref="L24">Common_InputFunctions.Utility_DisplayArrayInTable(Fuel_SourceData.Fuel_Scope1Scope3EmissionFactorsTransport_Data(), Table_Fuel_EFs_Transport[[#Headers],[Transport type]], 0)</f>
        <v>17.3</v>
      </c>
    </row>
    <row r="25" spans="1:12" ht="20.100000000000001" customHeight="1" x14ac:dyDescent="0.25">
      <c r="A25" s="24" t="str">
        <f>HYPERLINK("#'Constants - Fertiliser'!A1", "Constants - Fertiliser")</f>
        <v>Constants - Fertiliser</v>
      </c>
      <c r="D25" s="151" t="str" cm="1">
        <f t="array" ref="D25">Common_InputFunctions.Utility_DisplayArrayInTable(Fuel_SourceData.Fuel_Scope1Scope3EmissionFactorsTransport_Data(), Table_Fuel_EFs_Transport[[#Headers],[Transport type]], 0)</f>
        <v>Heavy duty vehicles</v>
      </c>
      <c r="E25" s="151" t="str" cm="1">
        <f t="array" ref="E25">Common_InputFunctions.Utility_DisplayArrayInTable(Fuel_SourceData.Fuel_Scope1Scope3EmissionFactorsTransport_Data(), Table_Fuel_EFs_Transport[[#Headers],[Transport type]], 0)</f>
        <v>Renewable diesel – Euro iv or higher</v>
      </c>
      <c r="F25" s="151" cm="1">
        <f t="array" ref="F25">Common_InputFunctions.Utility_DisplayArrayInTable(Fuel_SourceData.Fuel_Scope1Scope3EmissionFactorsTransport_Data(), Table_Fuel_EFs_Transport[[#Headers],[Transport type]], 0)</f>
        <v>38.6</v>
      </c>
      <c r="G25" s="151" t="str" cm="1">
        <f t="array" ref="G25">Common_InputFunctions.Utility_DisplayArrayInTable(Fuel_SourceData.Fuel_Scope1Scope3EmissionFactorsTransport_Data(), Table_Fuel_EFs_Transport[[#Headers],[Transport type]], 0)</f>
        <v>kl</v>
      </c>
      <c r="H25" s="151" cm="1">
        <f t="array" ref="H25">Common_InputFunctions.Utility_DisplayArrayInTable(Fuel_SourceData.Fuel_Scope1Scope3EmissionFactorsTransport_Data(), Table_Fuel_EFs_Transport[[#Headers],[Transport type]], 0)</f>
        <v>0</v>
      </c>
      <c r="I25" s="151" cm="1">
        <f t="array" ref="I25">Common_InputFunctions.Utility_DisplayArrayInTable(Fuel_SourceData.Fuel_Scope1Scope3EmissionFactorsTransport_Data(), Table_Fuel_EFs_Transport[[#Headers],[Transport type]], 0)</f>
        <v>7.0000000000000007E-2</v>
      </c>
      <c r="J25" s="151" cm="1">
        <f t="array" ref="J25">Common_InputFunctions.Utility_DisplayArrayInTable(Fuel_SourceData.Fuel_Scope1Scope3EmissionFactorsTransport_Data(), Table_Fuel_EFs_Transport[[#Headers],[Transport type]], 0)</f>
        <v>0.4</v>
      </c>
      <c r="K25" s="151" cm="1">
        <f t="array" ref="K25">Common_InputFunctions.Utility_DisplayArrayInTable(Fuel_SourceData.Fuel_Scope1Scope3EmissionFactorsTransport_Data(), Table_Fuel_EFs_Transport[[#Headers],[Transport type]], 0)</f>
        <v>0.47</v>
      </c>
      <c r="L25" s="151" t="str" cm="1">
        <f t="array" ref="L25">Common_InputFunctions.Utility_DisplayArrayInTable(Fuel_SourceData.Fuel_Scope1Scope3EmissionFactorsTransport_Data(), Table_Fuel_EFs_Transport[[#Headers],[Transport type]], 0)</f>
        <v>NE</v>
      </c>
    </row>
    <row r="26" spans="1:12" ht="20.100000000000001" customHeight="1" x14ac:dyDescent="0.25">
      <c r="A26" s="116" t="str">
        <f>HYPERLINK("#'Constants - Fuel'!A1", "Constants - Fuel")</f>
        <v>Constants - Fuel</v>
      </c>
      <c r="D26" s="151" t="str" cm="1">
        <f t="array" ref="D26">Common_InputFunctions.Utility_DisplayArrayInTable(Fuel_SourceData.Fuel_Scope1Scope3EmissionFactorsTransport_Data(), Table_Fuel_EFs_Transport[[#Headers],[Transport type]], 0)</f>
        <v>Heavy duty vehicles</v>
      </c>
      <c r="E26" s="151" t="str" cm="1">
        <f t="array" ref="E26">Common_InputFunctions.Utility_DisplayArrayInTable(Fuel_SourceData.Fuel_Scope1Scope3EmissionFactorsTransport_Data(), Table_Fuel_EFs_Transport[[#Headers],[Transport type]], 0)</f>
        <v>Renewable diesel – Euro iii</v>
      </c>
      <c r="F26" s="151" cm="1">
        <f t="array" ref="F26">Common_InputFunctions.Utility_DisplayArrayInTable(Fuel_SourceData.Fuel_Scope1Scope3EmissionFactorsTransport_Data(), Table_Fuel_EFs_Transport[[#Headers],[Transport type]], 0)</f>
        <v>38.6</v>
      </c>
      <c r="G26" s="151" t="str" cm="1">
        <f t="array" ref="G26">Common_InputFunctions.Utility_DisplayArrayInTable(Fuel_SourceData.Fuel_Scope1Scope3EmissionFactorsTransport_Data(), Table_Fuel_EFs_Transport[[#Headers],[Transport type]], 0)</f>
        <v>kl</v>
      </c>
      <c r="H26" s="151" cm="1">
        <f t="array" ref="H26">Common_InputFunctions.Utility_DisplayArrayInTable(Fuel_SourceData.Fuel_Scope1Scope3EmissionFactorsTransport_Data(), Table_Fuel_EFs_Transport[[#Headers],[Transport type]], 0)</f>
        <v>0</v>
      </c>
      <c r="I26" s="151" cm="1">
        <f t="array" ref="I26">Common_InputFunctions.Utility_DisplayArrayInTable(Fuel_SourceData.Fuel_Scope1Scope3EmissionFactorsTransport_Data(), Table_Fuel_EFs_Transport[[#Headers],[Transport type]], 0)</f>
        <v>0.1</v>
      </c>
      <c r="J26" s="151" cm="1">
        <f t="array" ref="J26">Common_InputFunctions.Utility_DisplayArrayInTable(Fuel_SourceData.Fuel_Scope1Scope3EmissionFactorsTransport_Data(), Table_Fuel_EFs_Transport[[#Headers],[Transport type]], 0)</f>
        <v>0.4</v>
      </c>
      <c r="K26" s="151" cm="1">
        <f t="array" ref="K26">Common_InputFunctions.Utility_DisplayArrayInTable(Fuel_SourceData.Fuel_Scope1Scope3EmissionFactorsTransport_Data(), Table_Fuel_EFs_Transport[[#Headers],[Transport type]], 0)</f>
        <v>0.5</v>
      </c>
      <c r="L26" s="151" t="str" cm="1">
        <f t="array" ref="L26">Common_InputFunctions.Utility_DisplayArrayInTable(Fuel_SourceData.Fuel_Scope1Scope3EmissionFactorsTransport_Data(), Table_Fuel_EFs_Transport[[#Headers],[Transport type]], 0)</f>
        <v>NE</v>
      </c>
    </row>
    <row r="27" spans="1:12" ht="20.100000000000001" customHeight="1" x14ac:dyDescent="0.25">
      <c r="A27" s="24" t="str">
        <f>HYPERLINK("#'Constants - Common'!A1", "Constants - Common")</f>
        <v>Constants - Common</v>
      </c>
      <c r="D27" s="151" t="str" cm="1">
        <f t="array" ref="D27">Common_InputFunctions.Utility_DisplayArrayInTable(Fuel_SourceData.Fuel_Scope1Scope3EmissionFactorsTransport_Data(), Table_Fuel_EFs_Transport[[#Headers],[Transport type]], 0)</f>
        <v>Heavy duty vehicles</v>
      </c>
      <c r="E27" s="151" t="str" cm="1">
        <f t="array" ref="E27">Common_InputFunctions.Utility_DisplayArrayInTable(Fuel_SourceData.Fuel_Scope1Scope3EmissionFactorsTransport_Data(), Table_Fuel_EFs_Transport[[#Headers],[Transport type]], 0)</f>
        <v>Renewable diesel – Euro i</v>
      </c>
      <c r="F27" s="151" cm="1">
        <f t="array" ref="F27">Common_InputFunctions.Utility_DisplayArrayInTable(Fuel_SourceData.Fuel_Scope1Scope3EmissionFactorsTransport_Data(), Table_Fuel_EFs_Transport[[#Headers],[Transport type]], 0)</f>
        <v>38.6</v>
      </c>
      <c r="G27" s="151" t="str" cm="1">
        <f t="array" ref="G27">Common_InputFunctions.Utility_DisplayArrayInTable(Fuel_SourceData.Fuel_Scope1Scope3EmissionFactorsTransport_Data(), Table_Fuel_EFs_Transport[[#Headers],[Transport type]], 0)</f>
        <v>kl</v>
      </c>
      <c r="H27" s="151" cm="1">
        <f t="array" ref="H27">Common_InputFunctions.Utility_DisplayArrayInTable(Fuel_SourceData.Fuel_Scope1Scope3EmissionFactorsTransport_Data(), Table_Fuel_EFs_Transport[[#Headers],[Transport type]], 0)</f>
        <v>0</v>
      </c>
      <c r="I27" s="151" cm="1">
        <f t="array" ref="I27">Common_InputFunctions.Utility_DisplayArrayInTable(Fuel_SourceData.Fuel_Scope1Scope3EmissionFactorsTransport_Data(), Table_Fuel_EFs_Transport[[#Headers],[Transport type]], 0)</f>
        <v>0.2</v>
      </c>
      <c r="J27" s="151" cm="1">
        <f t="array" ref="J27">Common_InputFunctions.Utility_DisplayArrayInTable(Fuel_SourceData.Fuel_Scope1Scope3EmissionFactorsTransport_Data(), Table_Fuel_EFs_Transport[[#Headers],[Transport type]], 0)</f>
        <v>0.4</v>
      </c>
      <c r="K27" s="151" cm="1">
        <f t="array" ref="K27">Common_InputFunctions.Utility_DisplayArrayInTable(Fuel_SourceData.Fuel_Scope1Scope3EmissionFactorsTransport_Data(), Table_Fuel_EFs_Transport[[#Headers],[Transport type]], 0)</f>
        <v>0.6</v>
      </c>
      <c r="L27" s="151" t="str" cm="1">
        <f t="array" ref="L27">Common_InputFunctions.Utility_DisplayArrayInTable(Fuel_SourceData.Fuel_Scope1Scope3EmissionFactorsTransport_Data(), Table_Fuel_EFs_Transport[[#Headers],[Transport type]], 0)</f>
        <v>NE</v>
      </c>
    </row>
    <row r="28" spans="1:12" ht="20.100000000000001" customHeight="1" x14ac:dyDescent="0.25">
      <c r="A28" s="24" t="str">
        <f>HYPERLINK("#'Overview'!A1", "Overview")</f>
        <v>Overview</v>
      </c>
      <c r="D28" s="151" t="str" cm="1">
        <f t="array" ref="D28">Common_InputFunctions.Utility_DisplayArrayInTable(Fuel_SourceData.Fuel_Scope1Scope3EmissionFactorsTransport_Data(), Table_Fuel_EFs_Transport[[#Headers],[Transport type]], 0)</f>
        <v>Aviation</v>
      </c>
      <c r="E28" s="151" t="str" cm="1">
        <f t="array" ref="E28">Common_InputFunctions.Utility_DisplayArrayInTable(Fuel_SourceData.Fuel_Scope1Scope3EmissionFactorsTransport_Data(), Table_Fuel_EFs_Transport[[#Headers],[Transport type]], 0)</f>
        <v>Gasoline for use as fuel in an aircraft</v>
      </c>
      <c r="F28" s="151" cm="1">
        <f t="array" ref="F28">Common_InputFunctions.Utility_DisplayArrayInTable(Fuel_SourceData.Fuel_Scope1Scope3EmissionFactorsTransport_Data(), Table_Fuel_EFs_Transport[[#Headers],[Transport type]], 0)</f>
        <v>33.1</v>
      </c>
      <c r="G28" s="151" t="str" cm="1">
        <f t="array" ref="G28">Common_InputFunctions.Utility_DisplayArrayInTable(Fuel_SourceData.Fuel_Scope1Scope3EmissionFactorsTransport_Data(), Table_Fuel_EFs_Transport[[#Headers],[Transport type]], 0)</f>
        <v>kl</v>
      </c>
      <c r="H28" s="151" cm="1">
        <f t="array" ref="H28">Common_InputFunctions.Utility_DisplayArrayInTable(Fuel_SourceData.Fuel_Scope1Scope3EmissionFactorsTransport_Data(), Table_Fuel_EFs_Transport[[#Headers],[Transport type]], 0)</f>
        <v>67</v>
      </c>
      <c r="I28" s="151" cm="1">
        <f t="array" ref="I28">Common_InputFunctions.Utility_DisplayArrayInTable(Fuel_SourceData.Fuel_Scope1Scope3EmissionFactorsTransport_Data(), Table_Fuel_EFs_Transport[[#Headers],[Transport type]], 0)</f>
        <v>0.06</v>
      </c>
      <c r="J28" s="151" cm="1">
        <f t="array" ref="J28">Common_InputFunctions.Utility_DisplayArrayInTable(Fuel_SourceData.Fuel_Scope1Scope3EmissionFactorsTransport_Data(), Table_Fuel_EFs_Transport[[#Headers],[Transport type]], 0)</f>
        <v>0.6</v>
      </c>
      <c r="K28" s="151" cm="1">
        <f t="array" ref="K28">Common_InputFunctions.Utility_DisplayArrayInTable(Fuel_SourceData.Fuel_Scope1Scope3EmissionFactorsTransport_Data(), Table_Fuel_EFs_Transport[[#Headers],[Transport type]], 0)</f>
        <v>67.66</v>
      </c>
      <c r="L28" s="151" cm="1">
        <f t="array" ref="L28">Common_InputFunctions.Utility_DisplayArrayInTable(Fuel_SourceData.Fuel_Scope1Scope3EmissionFactorsTransport_Data(), Table_Fuel_EFs_Transport[[#Headers],[Transport type]], 0)</f>
        <v>18</v>
      </c>
    </row>
    <row r="29" spans="1:12" ht="20.100000000000001" customHeight="1" x14ac:dyDescent="0.25">
      <c r="A29"/>
      <c r="D29" s="151" t="str" cm="1">
        <f t="array" ref="D29">Common_InputFunctions.Utility_DisplayArrayInTable(Fuel_SourceData.Fuel_Scope1Scope3EmissionFactorsTransport_Data(), Table_Fuel_EFs_Transport[[#Headers],[Transport type]], 0)</f>
        <v>Aviation</v>
      </c>
      <c r="E29" s="151" t="str" cm="1">
        <f t="array" ref="E29">Common_InputFunctions.Utility_DisplayArrayInTable(Fuel_SourceData.Fuel_Scope1Scope3EmissionFactorsTransport_Data(), Table_Fuel_EFs_Transport[[#Headers],[Transport type]], 0)</f>
        <v>Kerosene for use as fuel in an aircraft</v>
      </c>
      <c r="F29" s="151" cm="1">
        <f t="array" ref="F29">Common_InputFunctions.Utility_DisplayArrayInTable(Fuel_SourceData.Fuel_Scope1Scope3EmissionFactorsTransport_Data(), Table_Fuel_EFs_Transport[[#Headers],[Transport type]], 0)</f>
        <v>36.799999999999997</v>
      </c>
      <c r="G29" s="151" t="str" cm="1">
        <f t="array" ref="G29">Common_InputFunctions.Utility_DisplayArrayInTable(Fuel_SourceData.Fuel_Scope1Scope3EmissionFactorsTransport_Data(), Table_Fuel_EFs_Transport[[#Headers],[Transport type]], 0)</f>
        <v>kl</v>
      </c>
      <c r="H29" s="151" cm="1">
        <f t="array" ref="H29">Common_InputFunctions.Utility_DisplayArrayInTable(Fuel_SourceData.Fuel_Scope1Scope3EmissionFactorsTransport_Data(), Table_Fuel_EFs_Transport[[#Headers],[Transport type]], 0)</f>
        <v>69.599999999999994</v>
      </c>
      <c r="I29" s="151" cm="1">
        <f t="array" ref="I29">Common_InputFunctions.Utility_DisplayArrayInTable(Fuel_SourceData.Fuel_Scope1Scope3EmissionFactorsTransport_Data(), Table_Fuel_EFs_Transport[[#Headers],[Transport type]], 0)</f>
        <v>0.01</v>
      </c>
      <c r="J29" s="151" cm="1">
        <f t="array" ref="J29">Common_InputFunctions.Utility_DisplayArrayInTable(Fuel_SourceData.Fuel_Scope1Scope3EmissionFactorsTransport_Data(), Table_Fuel_EFs_Transport[[#Headers],[Transport type]], 0)</f>
        <v>0.6</v>
      </c>
      <c r="K29" s="151" cm="1">
        <f t="array" ref="K29">Common_InputFunctions.Utility_DisplayArrayInTable(Fuel_SourceData.Fuel_Scope1Scope3EmissionFactorsTransport_Data(), Table_Fuel_EFs_Transport[[#Headers],[Transport type]], 0)</f>
        <v>70.209999999999994</v>
      </c>
      <c r="L29" s="151" cm="1">
        <f t="array" ref="L29">Common_InputFunctions.Utility_DisplayArrayInTable(Fuel_SourceData.Fuel_Scope1Scope3EmissionFactorsTransport_Data(), Table_Fuel_EFs_Transport[[#Headers],[Transport type]], 0)</f>
        <v>18</v>
      </c>
    </row>
    <row r="30" spans="1:12" ht="20.100000000000001" customHeight="1" x14ac:dyDescent="0.25">
      <c r="A30"/>
      <c r="D30" s="151" t="str" cm="1">
        <f t="array" ref="D30">Common_InputFunctions.Utility_DisplayArrayInTable(Fuel_SourceData.Fuel_Scope1Scope3EmissionFactorsTransport_Data(), Table_Fuel_EFs_Transport[[#Headers],[Transport type]], 0)</f>
        <v>Aviation</v>
      </c>
      <c r="E30" s="151" t="str" cm="1">
        <f t="array" ref="E30">Common_InputFunctions.Utility_DisplayArrayInTable(Fuel_SourceData.Fuel_Scope1Scope3EmissionFactorsTransport_Data(), Table_Fuel_EFs_Transport[[#Headers],[Transport type]], 0)</f>
        <v>Renewable aviation kerosene</v>
      </c>
      <c r="F30" s="151" cm="1">
        <f t="array" ref="F30">Common_InputFunctions.Utility_DisplayArrayInTable(Fuel_SourceData.Fuel_Scope1Scope3EmissionFactorsTransport_Data(), Table_Fuel_EFs_Transport[[#Headers],[Transport type]], 0)</f>
        <v>36.799999999999997</v>
      </c>
      <c r="G30" s="151" t="str" cm="1">
        <f t="array" ref="G30">Common_InputFunctions.Utility_DisplayArrayInTable(Fuel_SourceData.Fuel_Scope1Scope3EmissionFactorsTransport_Data(), Table_Fuel_EFs_Transport[[#Headers],[Transport type]], 0)</f>
        <v>kl</v>
      </c>
      <c r="H30" s="151" cm="1">
        <f t="array" ref="H30">Common_InputFunctions.Utility_DisplayArrayInTable(Fuel_SourceData.Fuel_Scope1Scope3EmissionFactorsTransport_Data(), Table_Fuel_EFs_Transport[[#Headers],[Transport type]], 0)</f>
        <v>0</v>
      </c>
      <c r="I30" s="151" cm="1">
        <f t="array" ref="I30">Common_InputFunctions.Utility_DisplayArrayInTable(Fuel_SourceData.Fuel_Scope1Scope3EmissionFactorsTransport_Data(), Table_Fuel_EFs_Transport[[#Headers],[Transport type]], 0)</f>
        <v>0.01</v>
      </c>
      <c r="J30" s="151" cm="1">
        <f t="array" ref="J30">Common_InputFunctions.Utility_DisplayArrayInTable(Fuel_SourceData.Fuel_Scope1Scope3EmissionFactorsTransport_Data(), Table_Fuel_EFs_Transport[[#Headers],[Transport type]], 0)</f>
        <v>0.6</v>
      </c>
      <c r="K30" s="151" cm="1">
        <f t="array" ref="K30">Common_InputFunctions.Utility_DisplayArrayInTable(Fuel_SourceData.Fuel_Scope1Scope3EmissionFactorsTransport_Data(), Table_Fuel_EFs_Transport[[#Headers],[Transport type]], 0)</f>
        <v>0.61</v>
      </c>
      <c r="L30" s="151"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1" t="str" cm="1">
        <f t="array" ref="D31">Common_InputFunctions.Utility_DisplayArrayInTable(Fuel_SourceData.Fuel_Scope1Scope3EmissionFactorsTransport_Data(), Table_Fuel_EFs_Transport[[#Headers],[Transport type]], 0)</f>
        <v>Vessels</v>
      </c>
      <c r="E31" s="151" t="str" cm="1">
        <f t="array" ref="E31">Common_InputFunctions.Utility_DisplayArrayInTable(Fuel_SourceData.Fuel_Scope1Scope3EmissionFactorsTransport_Data(), Table_Fuel_EFs_Transport[[#Headers],[Transport type]], 0)</f>
        <v>Gasoline</v>
      </c>
      <c r="F31" s="151" cm="1">
        <f t="array" ref="F31">Common_InputFunctions.Utility_DisplayArrayInTable(Fuel_SourceData.Fuel_Scope1Scope3EmissionFactorsTransport_Data(), Table_Fuel_EFs_Transport[[#Headers],[Transport type]], 0)</f>
        <v>34.200000000000003</v>
      </c>
      <c r="G31" s="151" t="str" cm="1">
        <f t="array" ref="G31">Common_InputFunctions.Utility_DisplayArrayInTable(Fuel_SourceData.Fuel_Scope1Scope3EmissionFactorsTransport_Data(), Table_Fuel_EFs_Transport[[#Headers],[Transport type]], 0)</f>
        <v>kL</v>
      </c>
      <c r="H31" s="151" cm="1">
        <f t="array" ref="H31">Common_InputFunctions.Utility_DisplayArrayInTable(Fuel_SourceData.Fuel_Scope1Scope3EmissionFactorsTransport_Data(), Table_Fuel_EFs_Transport[[#Headers],[Transport type]], 0)</f>
        <v>67.400000000000006</v>
      </c>
      <c r="I31" s="151" cm="1">
        <f t="array" ref="I31">Common_InputFunctions.Utility_DisplayArrayInTable(Fuel_SourceData.Fuel_Scope1Scope3EmissionFactorsTransport_Data(), Table_Fuel_EFs_Transport[[#Headers],[Transport type]], 0)</f>
        <v>10.1</v>
      </c>
      <c r="J31" s="151" cm="1">
        <f t="array" ref="J31">Common_InputFunctions.Utility_DisplayArrayInTable(Fuel_SourceData.Fuel_Scope1Scope3EmissionFactorsTransport_Data(), Table_Fuel_EFs_Transport[[#Headers],[Transport type]], 0)</f>
        <v>0.3</v>
      </c>
      <c r="K31" s="151" t="str" cm="1">
        <f t="array" ref="K31">Common_InputFunctions.Utility_DisplayArrayInTable(Fuel_SourceData.Fuel_Scope1Scope3EmissionFactorsTransport_Data(), Table_Fuel_EFs_Transport[[#Headers],[Transport type]], 0)</f>
        <v/>
      </c>
      <c r="L31" s="151" cm="1">
        <f t="array" ref="L31">Common_InputFunctions.Utility_DisplayArrayInTable(Fuel_SourceData.Fuel_Scope1Scope3EmissionFactorsTransport_Data(), Table_Fuel_EFs_Transport[[#Headers],[Transport type]], 0)</f>
        <v>17.2</v>
      </c>
    </row>
    <row r="32" spans="1:12" ht="20.100000000000001" customHeight="1" x14ac:dyDescent="0.25">
      <c r="A32"/>
      <c r="D32" s="152" t="str" cm="1">
        <f t="array" ref="D32">Common_InputFunctions.Utility_DisplayArrayInTable(Fuel_SourceData.Fuel_Scope1Scope3EmissionFactorsTransport_Data(), Table_Fuel_EFs_Transport[[#Headers],[Transport type]], 0)</f>
        <v>Vessels</v>
      </c>
      <c r="E32" s="152" t="str" cm="1">
        <f t="array" ref="E32">Common_InputFunctions.Utility_DisplayArrayInTable(Fuel_SourceData.Fuel_Scope1Scope3EmissionFactorsTransport_Data(), Table_Fuel_EFs_Transport[[#Headers],[Transport type]], 0)</f>
        <v>Diesel oil</v>
      </c>
      <c r="F32" s="152" cm="1">
        <f t="array" ref="F32">Common_InputFunctions.Utility_DisplayArrayInTable(Fuel_SourceData.Fuel_Scope1Scope3EmissionFactorsTransport_Data(), Table_Fuel_EFs_Transport[[#Headers],[Transport type]], 0)</f>
        <v>38.6</v>
      </c>
      <c r="G32" s="152" t="str" cm="1">
        <f t="array" ref="G32">Common_InputFunctions.Utility_DisplayArrayInTable(Fuel_SourceData.Fuel_Scope1Scope3EmissionFactorsTransport_Data(), Table_Fuel_EFs_Transport[[#Headers],[Transport type]], 0)</f>
        <v>kL</v>
      </c>
      <c r="H32" s="152" cm="1">
        <f t="array" ref="H32">Common_InputFunctions.Utility_DisplayArrayInTable(Fuel_SourceData.Fuel_Scope1Scope3EmissionFactorsTransport_Data(), Table_Fuel_EFs_Transport[[#Headers],[Transport type]], 0)</f>
        <v>69.900000000000006</v>
      </c>
      <c r="I32" s="152" cm="1">
        <f t="array" ref="I32">Common_InputFunctions.Utility_DisplayArrayInTable(Fuel_SourceData.Fuel_Scope1Scope3EmissionFactorsTransport_Data(), Table_Fuel_EFs_Transport[[#Headers],[Transport type]], 0)</f>
        <v>0.2</v>
      </c>
      <c r="J32" s="152" cm="1">
        <f t="array" ref="J32">Common_InputFunctions.Utility_DisplayArrayInTable(Fuel_SourceData.Fuel_Scope1Scope3EmissionFactorsTransport_Data(), Table_Fuel_EFs_Transport[[#Headers],[Transport type]], 0)</f>
        <v>0.5</v>
      </c>
      <c r="K32" s="152" t="str" cm="1">
        <f t="array" ref="K32">Common_InputFunctions.Utility_DisplayArrayInTable(Fuel_SourceData.Fuel_Scope1Scope3EmissionFactorsTransport_Data(), Table_Fuel_EFs_Transport[[#Headers],[Transport type]], 0)</f>
        <v/>
      </c>
      <c r="L32" s="152" cm="1">
        <f t="array" ref="L32">Common_InputFunctions.Utility_DisplayArrayInTable(Fuel_SourceData.Fuel_Scope1Scope3EmissionFactorsTransport_Data(), Table_Fuel_EFs_Transport[[#Headers],[Transport type]], 0)</f>
        <v>17.3</v>
      </c>
    </row>
    <row r="33" spans="1:12" ht="20.100000000000001" customHeight="1" x14ac:dyDescent="0.25">
      <c r="A33"/>
      <c r="D33" s="152" t="str" cm="1">
        <f t="array" ref="D33">Common_InputFunctions.Utility_DisplayArrayInTable(Fuel_SourceData.Fuel_Scope1Scope3EmissionFactorsTransport_Data(), Table_Fuel_EFs_Transport[[#Headers],[Transport type]], 0)</f>
        <v>Vessels</v>
      </c>
      <c r="E33" s="152" t="str" cm="1">
        <f t="array" ref="E33">Common_InputFunctions.Utility_DisplayArrayInTable(Fuel_SourceData.Fuel_Scope1Scope3EmissionFactorsTransport_Data(), Table_Fuel_EFs_Transport[[#Headers],[Transport type]], 0)</f>
        <v>Fuel Oil</v>
      </c>
      <c r="F33" s="152" cm="1">
        <f t="array" ref="F33">Common_InputFunctions.Utility_DisplayArrayInTable(Fuel_SourceData.Fuel_Scope1Scope3EmissionFactorsTransport_Data(), Table_Fuel_EFs_Transport[[#Headers],[Transport type]], 0)</f>
        <v>39.700000000000003</v>
      </c>
      <c r="G33" s="152" t="str" cm="1">
        <f t="array" ref="G33">Common_InputFunctions.Utility_DisplayArrayInTable(Fuel_SourceData.Fuel_Scope1Scope3EmissionFactorsTransport_Data(), Table_Fuel_EFs_Transport[[#Headers],[Transport type]], 0)</f>
        <v>kL</v>
      </c>
      <c r="H33" s="152" cm="1">
        <f t="array" ref="H33">Common_InputFunctions.Utility_DisplayArrayInTable(Fuel_SourceData.Fuel_Scope1Scope3EmissionFactorsTransport_Data(), Table_Fuel_EFs_Transport[[#Headers],[Transport type]], 0)</f>
        <v>73.599999999999994</v>
      </c>
      <c r="I33" s="152" cm="1">
        <f t="array" ref="I33">Common_InputFunctions.Utility_DisplayArrayInTable(Fuel_SourceData.Fuel_Scope1Scope3EmissionFactorsTransport_Data(), Table_Fuel_EFs_Transport[[#Headers],[Transport type]], 0)</f>
        <v>0.2</v>
      </c>
      <c r="J33" s="152" cm="1">
        <f t="array" ref="J33">Common_InputFunctions.Utility_DisplayArrayInTable(Fuel_SourceData.Fuel_Scope1Scope3EmissionFactorsTransport_Data(), Table_Fuel_EFs_Transport[[#Headers],[Transport type]], 0)</f>
        <v>0.5</v>
      </c>
      <c r="K33" s="152" t="str" cm="1">
        <f t="array" ref="K33">Common_InputFunctions.Utility_DisplayArrayInTable(Fuel_SourceData.Fuel_Scope1Scope3EmissionFactorsTransport_Data(), Table_Fuel_EFs_Transport[[#Headers],[Transport type]], 0)</f>
        <v/>
      </c>
      <c r="L33" s="152" cm="1">
        <f t="array" ref="L33">Common_InputFunctions.Utility_DisplayArrayInTable(Fuel_SourceData.Fuel_Scope1Scope3EmissionFactorsTransport_Data(), Table_Fuel_EFs_Transport[[#Headers],[Transport type]], 0)</f>
        <v>18</v>
      </c>
    </row>
    <row r="34" spans="1:12" ht="20.100000000000001" customHeight="1" x14ac:dyDescent="0.25">
      <c r="A34"/>
      <c r="D34" s="152" t="str" cm="1">
        <f t="array" ref="D34">Common_InputFunctions.Utility_DisplayArrayInTable(Fuel_SourceData.Fuel_Scope1Scope3EmissionFactorsTransport_Data(), Table_Fuel_EFs_Transport[[#Headers],[Transport type]], 0)</f>
        <v>Off-road Agriculture and forestry equipment</v>
      </c>
      <c r="E34" s="152" t="str" cm="1">
        <f t="array" ref="E34">Common_InputFunctions.Utility_DisplayArrayInTable(Fuel_SourceData.Fuel_Scope1Scope3EmissionFactorsTransport_Data(), Table_Fuel_EFs_Transport[[#Headers],[Transport type]], 0)</f>
        <v>Diesel oil</v>
      </c>
      <c r="F34" s="152" cm="1">
        <f t="array" ref="F34">Common_InputFunctions.Utility_DisplayArrayInTable(Fuel_SourceData.Fuel_Scope1Scope3EmissionFactorsTransport_Data(), Table_Fuel_EFs_Transport[[#Headers],[Transport type]], 0)</f>
        <v>38.6</v>
      </c>
      <c r="G34" s="152" t="str" cm="1">
        <f t="array" ref="G34">Common_InputFunctions.Utility_DisplayArrayInTable(Fuel_SourceData.Fuel_Scope1Scope3EmissionFactorsTransport_Data(), Table_Fuel_EFs_Transport[[#Headers],[Transport type]], 0)</f>
        <v>kL</v>
      </c>
      <c r="H34" s="152" cm="1">
        <f t="array" ref="H34">Common_InputFunctions.Utility_DisplayArrayInTable(Fuel_SourceData.Fuel_Scope1Scope3EmissionFactorsTransport_Data(), Table_Fuel_EFs_Transport[[#Headers],[Transport type]], 0)</f>
        <v>69.900000000000006</v>
      </c>
      <c r="I34" s="152" cm="1">
        <f t="array" ref="I34">Common_InputFunctions.Utility_DisplayArrayInTable(Fuel_SourceData.Fuel_Scope1Scope3EmissionFactorsTransport_Data(), Table_Fuel_EFs_Transport[[#Headers],[Transport type]], 0)</f>
        <v>0.3</v>
      </c>
      <c r="J34" s="152" cm="1">
        <f t="array" ref="J34">Common_InputFunctions.Utility_DisplayArrayInTable(Fuel_SourceData.Fuel_Scope1Scope3EmissionFactorsTransport_Data(), Table_Fuel_EFs_Transport[[#Headers],[Transport type]], 0)</f>
        <v>0.5</v>
      </c>
      <c r="K34" s="152" t="str" cm="1">
        <f t="array" ref="K34">Common_InputFunctions.Utility_DisplayArrayInTable(Fuel_SourceData.Fuel_Scope1Scope3EmissionFactorsTransport_Data(), Table_Fuel_EFs_Transport[[#Headers],[Transport type]], 0)</f>
        <v/>
      </c>
      <c r="L34" s="152"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353</v>
      </c>
      <c r="E39" s="17" t="s">
        <v>354</v>
      </c>
      <c r="F39" s="17" t="s">
        <v>355</v>
      </c>
      <c r="G39" s="17" t="s">
        <v>356</v>
      </c>
      <c r="H39" s="17" t="s">
        <v>357</v>
      </c>
      <c r="I39" s="17" t="s">
        <v>358</v>
      </c>
      <c r="J39" s="17" t="s">
        <v>359</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3"/>
      <c r="F49" s="103"/>
      <c r="G49" s="103"/>
      <c r="H49" s="103"/>
      <c r="I49" s="103"/>
      <c r="J49" s="103"/>
      <c r="K49" s="103"/>
      <c r="L49" s="103"/>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3"/>
      <c r="F50" s="103"/>
      <c r="G50" s="103"/>
      <c r="H50" s="103"/>
      <c r="I50" s="103"/>
      <c r="J50" s="103"/>
      <c r="K50" s="103"/>
      <c r="L50" s="103"/>
    </row>
    <row r="51" spans="1:12" ht="20.100000000000001" customHeight="1" x14ac:dyDescent="0.25">
      <c r="A51"/>
      <c r="D51" s="18" t="str" cm="1">
        <f t="array" ref="D51">Fuel_SourceData.Fuel_Scope1Scope3EmissionFactorsStationaryLiquid_Source()</f>
        <v>Australian National Greenhouse Accounts Factors 2025 - Table 8</v>
      </c>
      <c r="E51" s="103"/>
      <c r="F51" s="103"/>
      <c r="G51" s="103"/>
      <c r="H51" s="103"/>
      <c r="I51" s="103"/>
      <c r="J51" s="103"/>
      <c r="K51" s="103"/>
      <c r="L51" s="103"/>
    </row>
    <row r="52" spans="1:12" ht="20.100000000000001" customHeight="1" x14ac:dyDescent="0.25">
      <c r="A52"/>
      <c r="D52" s="19" t="str" cm="1">
        <f t="array" ref="D52">"⚠️" &amp; Fuel_SourceData.Fuel_Scope1Scope3EmissionFactorsStationaryLiquid_Variation()</f>
        <v>⚠️VARIATION OF SOURCE DATA: 'NE' values returned as zero for calculations.</v>
      </c>
      <c r="E52" s="103"/>
      <c r="F52" s="103"/>
      <c r="G52" s="103"/>
      <c r="H52" s="103"/>
      <c r="I52" s="103"/>
      <c r="J52" s="103"/>
      <c r="K52" s="103"/>
      <c r="L52" s="103"/>
    </row>
    <row r="53" spans="1:12" ht="20.100000000000001" customHeight="1" x14ac:dyDescent="0.25">
      <c r="A53"/>
      <c r="D53" s="153" t="s">
        <v>345</v>
      </c>
      <c r="E53" s="150" t="s">
        <v>346</v>
      </c>
      <c r="F53" s="153" t="s">
        <v>347</v>
      </c>
      <c r="G53" s="150" t="s">
        <v>348</v>
      </c>
      <c r="H53" s="150" t="s">
        <v>349</v>
      </c>
      <c r="I53" s="150" t="s">
        <v>350</v>
      </c>
      <c r="J53" s="150" t="s">
        <v>351</v>
      </c>
      <c r="K53" s="150" t="s">
        <v>352</v>
      </c>
      <c r="L53" s="103"/>
    </row>
    <row r="54" spans="1:12" ht="20.100000000000001" customHeight="1" x14ac:dyDescent="0.25">
      <c r="A54"/>
      <c r="D54" s="15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4" cm="1">
        <f t="array" ref="E54">Common_InputFunctions.Utility_DisplayArrayInTable(Fuel_SourceData.Fuel_Scope1Scope3EmissionFactorsStationaryLiquid_Data(), Table_Fuel_EFs_StationaryLiquid[[#Headers],[Fuel combusted]],0)</f>
        <v>38.799999999999997</v>
      </c>
      <c r="F54" s="154" t="str" cm="1">
        <f t="array" ref="F54">Common_InputFunctions.Utility_DisplayArrayInTable(Fuel_SourceData.Fuel_Scope1Scope3EmissionFactorsStationaryLiquid_Data(), Table_Fuel_EFs_StationaryLiquid[[#Headers],[Fuel combusted]],0)</f>
        <v>kl</v>
      </c>
      <c r="G54" s="154" cm="1">
        <f t="array" ref="G54">Common_InputFunctions.Utility_DisplayArrayInTable(Fuel_SourceData.Fuel_Scope1Scope3EmissionFactorsStationaryLiquid_Data(), Table_Fuel_EFs_StationaryLiquid[[#Headers],[Fuel combusted]],0)</f>
        <v>13.9</v>
      </c>
      <c r="H54" s="154" cm="1">
        <f t="array" ref="H54">Common_InputFunctions.Utility_DisplayArrayInTable(Fuel_SourceData.Fuel_Scope1Scope3EmissionFactorsStationaryLiquid_Data(), Table_Fuel_EFs_StationaryLiquid[[#Headers],[Fuel combusted]],0)</f>
        <v>0</v>
      </c>
      <c r="I54" s="154" cm="1">
        <f t="array" ref="I54">Common_InputFunctions.Utility_DisplayArrayInTable(Fuel_SourceData.Fuel_Scope1Scope3EmissionFactorsStationaryLiquid_Data(), Table_Fuel_EFs_StationaryLiquid[[#Headers],[Fuel combusted]],0)</f>
        <v>0</v>
      </c>
      <c r="J54" s="154" cm="1">
        <f t="array" ref="J54">Common_InputFunctions.Utility_DisplayArrayInTable(Fuel_SourceData.Fuel_Scope1Scope3EmissionFactorsStationaryLiquid_Data(), Table_Fuel_EFs_StationaryLiquid[[#Headers],[Fuel combusted]],0)</f>
        <v>13.9</v>
      </c>
      <c r="K54" s="154" cm="1">
        <f t="array" ref="K54">Common_InputFunctions.Utility_DisplayArrayInTable(Fuel_SourceData.Fuel_Scope1Scope3EmissionFactorsStationaryLiquid_Data(), Table_Fuel_EFs_StationaryLiquid[[#Headers],[Fuel combusted]],0)</f>
        <v>18</v>
      </c>
      <c r="L54" s="103"/>
    </row>
    <row r="55" spans="1:12" ht="20.100000000000001" customHeight="1" x14ac:dyDescent="0.25">
      <c r="A55"/>
      <c r="D55" s="154" t="str" cm="1">
        <f t="array" ref="D55">Common_InputFunctions.Utility_DisplayArrayInTable(Fuel_SourceData.Fuel_Scope1Scope3EmissionFactorsStationaryLiquid_Data(), Table_Fuel_EFs_StationaryLiquid[[#Headers],[Fuel combusted]],0)</f>
        <v>Petroleum based greases</v>
      </c>
      <c r="E55" s="154" cm="1">
        <f t="array" ref="E55">Common_InputFunctions.Utility_DisplayArrayInTable(Fuel_SourceData.Fuel_Scope1Scope3EmissionFactorsStationaryLiquid_Data(), Table_Fuel_EFs_StationaryLiquid[[#Headers],[Fuel combusted]],0)</f>
        <v>38.799999999999997</v>
      </c>
      <c r="F55" s="154" t="str" cm="1">
        <f t="array" ref="F55">Common_InputFunctions.Utility_DisplayArrayInTable(Fuel_SourceData.Fuel_Scope1Scope3EmissionFactorsStationaryLiquid_Data(), Table_Fuel_EFs_StationaryLiquid[[#Headers],[Fuel combusted]],0)</f>
        <v>kl</v>
      </c>
      <c r="G55" s="154" cm="1">
        <f t="array" ref="G55">Common_InputFunctions.Utility_DisplayArrayInTable(Fuel_SourceData.Fuel_Scope1Scope3EmissionFactorsStationaryLiquid_Data(), Table_Fuel_EFs_StationaryLiquid[[#Headers],[Fuel combusted]],0)</f>
        <v>3.5</v>
      </c>
      <c r="H55" s="154" cm="1">
        <f t="array" ref="H55">Common_InputFunctions.Utility_DisplayArrayInTable(Fuel_SourceData.Fuel_Scope1Scope3EmissionFactorsStationaryLiquid_Data(), Table_Fuel_EFs_StationaryLiquid[[#Headers],[Fuel combusted]],0)</f>
        <v>0</v>
      </c>
      <c r="I55" s="154" cm="1">
        <f t="array" ref="I55">Common_InputFunctions.Utility_DisplayArrayInTable(Fuel_SourceData.Fuel_Scope1Scope3EmissionFactorsStationaryLiquid_Data(), Table_Fuel_EFs_StationaryLiquid[[#Headers],[Fuel combusted]],0)</f>
        <v>0</v>
      </c>
      <c r="J55" s="154" cm="1">
        <f t="array" ref="J55">Common_InputFunctions.Utility_DisplayArrayInTable(Fuel_SourceData.Fuel_Scope1Scope3EmissionFactorsStationaryLiquid_Data(), Table_Fuel_EFs_StationaryLiquid[[#Headers],[Fuel combusted]],0)</f>
        <v>3.5</v>
      </c>
      <c r="K55" s="154" cm="1">
        <f t="array" ref="K55">Common_InputFunctions.Utility_DisplayArrayInTable(Fuel_SourceData.Fuel_Scope1Scope3EmissionFactorsStationaryLiquid_Data(), Table_Fuel_EFs_StationaryLiquid[[#Headers],[Fuel combusted]],0)</f>
        <v>18</v>
      </c>
      <c r="L55" s="103"/>
    </row>
    <row r="56" spans="1:12" ht="20.100000000000001" customHeight="1" x14ac:dyDescent="0.25">
      <c r="A56"/>
      <c r="D56" s="154" t="str" cm="1">
        <f t="array" ref="D56">Common_InputFunctions.Utility_DisplayArrayInTable(Fuel_SourceData.Fuel_Scope1Scope3EmissionFactorsStationaryLiquid_Data(), Table_Fuel_EFs_StationaryLiquid[[#Headers],[Fuel combusted]],0)</f>
        <v>Crude oil including crude oil condensates</v>
      </c>
      <c r="E56" s="154" cm="1">
        <f t="array" ref="E56">Common_InputFunctions.Utility_DisplayArrayInTable(Fuel_SourceData.Fuel_Scope1Scope3EmissionFactorsStationaryLiquid_Data(), Table_Fuel_EFs_StationaryLiquid[[#Headers],[Fuel combusted]],0)</f>
        <v>45.3</v>
      </c>
      <c r="F56" s="154" t="str" cm="1">
        <f t="array" ref="F56">Common_InputFunctions.Utility_DisplayArrayInTable(Fuel_SourceData.Fuel_Scope1Scope3EmissionFactorsStationaryLiquid_Data(), Table_Fuel_EFs_StationaryLiquid[[#Headers],[Fuel combusted]],0)</f>
        <v>t</v>
      </c>
      <c r="G56" s="154" cm="1">
        <f t="array" ref="G56">Common_InputFunctions.Utility_DisplayArrayInTable(Fuel_SourceData.Fuel_Scope1Scope3EmissionFactorsStationaryLiquid_Data(), Table_Fuel_EFs_StationaryLiquid[[#Headers],[Fuel combusted]],0)</f>
        <v>69.599999999999994</v>
      </c>
      <c r="H56" s="154" cm="1">
        <f t="array" ref="H56">Common_InputFunctions.Utility_DisplayArrayInTable(Fuel_SourceData.Fuel_Scope1Scope3EmissionFactorsStationaryLiquid_Data(), Table_Fuel_EFs_StationaryLiquid[[#Headers],[Fuel combusted]],0)</f>
        <v>0.08</v>
      </c>
      <c r="I56" s="154" cm="1">
        <f t="array" ref="I56">Common_InputFunctions.Utility_DisplayArrayInTable(Fuel_SourceData.Fuel_Scope1Scope3EmissionFactorsStationaryLiquid_Data(), Table_Fuel_EFs_StationaryLiquid[[#Headers],[Fuel combusted]],0)</f>
        <v>0.2</v>
      </c>
      <c r="J56" s="154" cm="1">
        <f t="array" ref="J56">Common_InputFunctions.Utility_DisplayArrayInTable(Fuel_SourceData.Fuel_Scope1Scope3EmissionFactorsStationaryLiquid_Data(), Table_Fuel_EFs_StationaryLiquid[[#Headers],[Fuel combusted]],0)</f>
        <v>69.88</v>
      </c>
      <c r="K56" s="154" t="str" cm="1">
        <f t="array" ref="K56">Common_InputFunctions.Utility_DisplayArrayInTable(Fuel_SourceData.Fuel_Scope1Scope3EmissionFactorsStationaryLiquid_Data(), Table_Fuel_EFs_StationaryLiquid[[#Headers],[Fuel combusted]],0)</f>
        <v>NE</v>
      </c>
      <c r="L56" s="103"/>
    </row>
    <row r="57" spans="1:12" ht="20.100000000000001" customHeight="1" x14ac:dyDescent="0.25">
      <c r="A57"/>
      <c r="D57" s="154" t="str" cm="1">
        <f t="array" ref="D57">Common_InputFunctions.Utility_DisplayArrayInTable(Fuel_SourceData.Fuel_Scope1Scope3EmissionFactorsStationaryLiquid_Data(), Table_Fuel_EFs_StationaryLiquid[[#Headers],[Fuel combusted]],0)</f>
        <v>Other natural gas liquids</v>
      </c>
      <c r="E57" s="154" cm="1">
        <f t="array" ref="E57">Common_InputFunctions.Utility_DisplayArrayInTable(Fuel_SourceData.Fuel_Scope1Scope3EmissionFactorsStationaryLiquid_Data(), Table_Fuel_EFs_StationaryLiquid[[#Headers],[Fuel combusted]],0)</f>
        <v>46.5</v>
      </c>
      <c r="F57" s="154" t="str" cm="1">
        <f t="array" ref="F57">Common_InputFunctions.Utility_DisplayArrayInTable(Fuel_SourceData.Fuel_Scope1Scope3EmissionFactorsStationaryLiquid_Data(), Table_Fuel_EFs_StationaryLiquid[[#Headers],[Fuel combusted]],0)</f>
        <v>t</v>
      </c>
      <c r="G57" s="154" cm="1">
        <f t="array" ref="G57">Common_InputFunctions.Utility_DisplayArrayInTable(Fuel_SourceData.Fuel_Scope1Scope3EmissionFactorsStationaryLiquid_Data(), Table_Fuel_EFs_StationaryLiquid[[#Headers],[Fuel combusted]],0)</f>
        <v>61</v>
      </c>
      <c r="H57" s="154" cm="1">
        <f t="array" ref="H57">Common_InputFunctions.Utility_DisplayArrayInTable(Fuel_SourceData.Fuel_Scope1Scope3EmissionFactorsStationaryLiquid_Data(), Table_Fuel_EFs_StationaryLiquid[[#Headers],[Fuel combusted]],0)</f>
        <v>0.08</v>
      </c>
      <c r="I57" s="154" cm="1">
        <f t="array" ref="I57">Common_InputFunctions.Utility_DisplayArrayInTable(Fuel_SourceData.Fuel_Scope1Scope3EmissionFactorsStationaryLiquid_Data(), Table_Fuel_EFs_StationaryLiquid[[#Headers],[Fuel combusted]],0)</f>
        <v>0.2</v>
      </c>
      <c r="J57" s="154" cm="1">
        <f t="array" ref="J57">Common_InputFunctions.Utility_DisplayArrayInTable(Fuel_SourceData.Fuel_Scope1Scope3EmissionFactorsStationaryLiquid_Data(), Table_Fuel_EFs_StationaryLiquid[[#Headers],[Fuel combusted]],0)</f>
        <v>61.28</v>
      </c>
      <c r="K57" s="154" t="str" cm="1">
        <f t="array" ref="K57">Common_InputFunctions.Utility_DisplayArrayInTable(Fuel_SourceData.Fuel_Scope1Scope3EmissionFactorsStationaryLiquid_Data(), Table_Fuel_EFs_StationaryLiquid[[#Headers],[Fuel combusted]],0)</f>
        <v>NE</v>
      </c>
      <c r="L57" s="103"/>
    </row>
    <row r="58" spans="1:12" ht="20.100000000000001" customHeight="1" x14ac:dyDescent="0.25">
      <c r="A58"/>
      <c r="D58" s="15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4" cm="1">
        <f t="array" ref="E58">Common_InputFunctions.Utility_DisplayArrayInTable(Fuel_SourceData.Fuel_Scope1Scope3EmissionFactorsStationaryLiquid_Data(), Table_Fuel_EFs_StationaryLiquid[[#Headers],[Fuel combusted]],0)</f>
        <v>34.200000000000003</v>
      </c>
      <c r="F58" s="154" t="str" cm="1">
        <f t="array" ref="F58">Common_InputFunctions.Utility_DisplayArrayInTable(Fuel_SourceData.Fuel_Scope1Scope3EmissionFactorsStationaryLiquid_Data(), Table_Fuel_EFs_StationaryLiquid[[#Headers],[Fuel combusted]],0)</f>
        <v>kL</v>
      </c>
      <c r="G58" s="154" cm="1">
        <f t="array" ref="G58">Common_InputFunctions.Utility_DisplayArrayInTable(Fuel_SourceData.Fuel_Scope1Scope3EmissionFactorsStationaryLiquid_Data(), Table_Fuel_EFs_StationaryLiquid[[#Headers],[Fuel combusted]],0)</f>
        <v>67.400000000000006</v>
      </c>
      <c r="H58" s="154" cm="1">
        <f t="array" ref="H58">Common_InputFunctions.Utility_DisplayArrayInTable(Fuel_SourceData.Fuel_Scope1Scope3EmissionFactorsStationaryLiquid_Data(), Table_Fuel_EFs_StationaryLiquid[[#Headers],[Fuel combusted]],0)</f>
        <v>0.2</v>
      </c>
      <c r="I58" s="154" cm="1">
        <f t="array" ref="I58">Common_InputFunctions.Utility_DisplayArrayInTable(Fuel_SourceData.Fuel_Scope1Scope3EmissionFactorsStationaryLiquid_Data(), Table_Fuel_EFs_StationaryLiquid[[#Headers],[Fuel combusted]],0)</f>
        <v>0.2</v>
      </c>
      <c r="J58" s="154" cm="1">
        <f t="array" ref="J58">Common_InputFunctions.Utility_DisplayArrayInTable(Fuel_SourceData.Fuel_Scope1Scope3EmissionFactorsStationaryLiquid_Data(), Table_Fuel_EFs_StationaryLiquid[[#Headers],[Fuel combusted]],0)</f>
        <v>67.8</v>
      </c>
      <c r="K58" s="154" cm="1">
        <f t="array" ref="K58">Common_InputFunctions.Utility_DisplayArrayInTable(Fuel_SourceData.Fuel_Scope1Scope3EmissionFactorsStationaryLiquid_Data(), Table_Fuel_EFs_StationaryLiquid[[#Headers],[Fuel combusted]],0)</f>
        <v>17.2</v>
      </c>
      <c r="L58" s="103"/>
    </row>
    <row r="59" spans="1:12" ht="20.100000000000001" customHeight="1" x14ac:dyDescent="0.25">
      <c r="A59"/>
      <c r="D59" s="154" t="str" cm="1">
        <f t="array" ref="D59">Common_InputFunctions.Utility_DisplayArrayInTable(Fuel_SourceData.Fuel_Scope1Scope3EmissionFactorsStationaryLiquid_Data(), Table_Fuel_EFs_StationaryLiquid[[#Headers],[Fuel combusted]],0)</f>
        <v>Aviation gasoline</v>
      </c>
      <c r="E59" s="154" cm="1">
        <f t="array" ref="E59">Common_InputFunctions.Utility_DisplayArrayInTable(Fuel_SourceData.Fuel_Scope1Scope3EmissionFactorsStationaryLiquid_Data(), Table_Fuel_EFs_StationaryLiquid[[#Headers],[Fuel combusted]],0)</f>
        <v>33.1</v>
      </c>
      <c r="F59" s="154" t="str" cm="1">
        <f t="array" ref="F59">Common_InputFunctions.Utility_DisplayArrayInTable(Fuel_SourceData.Fuel_Scope1Scope3EmissionFactorsStationaryLiquid_Data(), Table_Fuel_EFs_StationaryLiquid[[#Headers],[Fuel combusted]],0)</f>
        <v>kL</v>
      </c>
      <c r="G59" s="154" cm="1">
        <f t="array" ref="G59">Common_InputFunctions.Utility_DisplayArrayInTable(Fuel_SourceData.Fuel_Scope1Scope3EmissionFactorsStationaryLiquid_Data(), Table_Fuel_EFs_StationaryLiquid[[#Headers],[Fuel combusted]],0)</f>
        <v>67</v>
      </c>
      <c r="H59" s="154" cm="1">
        <f t="array" ref="H59">Common_InputFunctions.Utility_DisplayArrayInTable(Fuel_SourceData.Fuel_Scope1Scope3EmissionFactorsStationaryLiquid_Data(), Table_Fuel_EFs_StationaryLiquid[[#Headers],[Fuel combusted]],0)</f>
        <v>0.2</v>
      </c>
      <c r="I59" s="154" cm="1">
        <f t="array" ref="I59">Common_InputFunctions.Utility_DisplayArrayInTable(Fuel_SourceData.Fuel_Scope1Scope3EmissionFactorsStationaryLiquid_Data(), Table_Fuel_EFs_StationaryLiquid[[#Headers],[Fuel combusted]],0)</f>
        <v>0.2</v>
      </c>
      <c r="J59" s="154" cm="1">
        <f t="array" ref="J59">Common_InputFunctions.Utility_DisplayArrayInTable(Fuel_SourceData.Fuel_Scope1Scope3EmissionFactorsStationaryLiquid_Data(), Table_Fuel_EFs_StationaryLiquid[[#Headers],[Fuel combusted]],0)</f>
        <v>67.400000000000006</v>
      </c>
      <c r="K59" s="154" cm="1">
        <f t="array" ref="K59">Common_InputFunctions.Utility_DisplayArrayInTable(Fuel_SourceData.Fuel_Scope1Scope3EmissionFactorsStationaryLiquid_Data(), Table_Fuel_EFs_StationaryLiquid[[#Headers],[Fuel combusted]],0)</f>
        <v>18</v>
      </c>
      <c r="L59" s="103"/>
    </row>
    <row r="60" spans="1:12" ht="20.100000000000001" customHeight="1" x14ac:dyDescent="0.25">
      <c r="A60"/>
      <c r="D60" s="154" t="str" cm="1">
        <f t="array" ref="D60">Common_InputFunctions.Utility_DisplayArrayInTable(Fuel_SourceData.Fuel_Scope1Scope3EmissionFactorsStationaryLiquid_Data(), Table_Fuel_EFs_StationaryLiquid[[#Headers],[Fuel combusted]],0)</f>
        <v>Kerosene (other than for use as fuel in an aircraft)</v>
      </c>
      <c r="E60" s="154" cm="1">
        <f t="array" ref="E60">Common_InputFunctions.Utility_DisplayArrayInTable(Fuel_SourceData.Fuel_Scope1Scope3EmissionFactorsStationaryLiquid_Data(), Table_Fuel_EFs_StationaryLiquid[[#Headers],[Fuel combusted]],0)</f>
        <v>37.5</v>
      </c>
      <c r="F60" s="154" t="str" cm="1">
        <f t="array" ref="F60">Common_InputFunctions.Utility_DisplayArrayInTable(Fuel_SourceData.Fuel_Scope1Scope3EmissionFactorsStationaryLiquid_Data(), Table_Fuel_EFs_StationaryLiquid[[#Headers],[Fuel combusted]],0)</f>
        <v>kL</v>
      </c>
      <c r="G60" s="154" cm="1">
        <f t="array" ref="G60">Common_InputFunctions.Utility_DisplayArrayInTable(Fuel_SourceData.Fuel_Scope1Scope3EmissionFactorsStationaryLiquid_Data(), Table_Fuel_EFs_StationaryLiquid[[#Headers],[Fuel combusted]],0)</f>
        <v>68.900000000000006</v>
      </c>
      <c r="H60" s="154" cm="1">
        <f t="array" ref="H60">Common_InputFunctions.Utility_DisplayArrayInTable(Fuel_SourceData.Fuel_Scope1Scope3EmissionFactorsStationaryLiquid_Data(), Table_Fuel_EFs_StationaryLiquid[[#Headers],[Fuel combusted]],0)</f>
        <v>0.01</v>
      </c>
      <c r="I60" s="154" cm="1">
        <f t="array" ref="I60">Common_InputFunctions.Utility_DisplayArrayInTable(Fuel_SourceData.Fuel_Scope1Scope3EmissionFactorsStationaryLiquid_Data(), Table_Fuel_EFs_StationaryLiquid[[#Headers],[Fuel combusted]],0)</f>
        <v>0.2</v>
      </c>
      <c r="J60" s="154" cm="1">
        <f t="array" ref="J60">Common_InputFunctions.Utility_DisplayArrayInTable(Fuel_SourceData.Fuel_Scope1Scope3EmissionFactorsStationaryLiquid_Data(), Table_Fuel_EFs_StationaryLiquid[[#Headers],[Fuel combusted]],0)</f>
        <v>69.11</v>
      </c>
      <c r="K60" s="154" cm="1">
        <f t="array" ref="K60">Common_InputFunctions.Utility_DisplayArrayInTable(Fuel_SourceData.Fuel_Scope1Scope3EmissionFactorsStationaryLiquid_Data(), Table_Fuel_EFs_StationaryLiquid[[#Headers],[Fuel combusted]],0)</f>
        <v>18</v>
      </c>
      <c r="L60" s="103"/>
    </row>
    <row r="61" spans="1:12" ht="20.100000000000001" customHeight="1" x14ac:dyDescent="0.25">
      <c r="A61"/>
      <c r="D61" s="154" t="str" cm="1">
        <f t="array" ref="D61">Common_InputFunctions.Utility_DisplayArrayInTable(Fuel_SourceData.Fuel_Scope1Scope3EmissionFactorsStationaryLiquid_Data(), Table_Fuel_EFs_StationaryLiquid[[#Headers],[Fuel combusted]],0)</f>
        <v>Aviation turbine fuel / kerosene</v>
      </c>
      <c r="E61" s="154" cm="1">
        <f t="array" ref="E61">Common_InputFunctions.Utility_DisplayArrayInTable(Fuel_SourceData.Fuel_Scope1Scope3EmissionFactorsStationaryLiquid_Data(), Table_Fuel_EFs_StationaryLiquid[[#Headers],[Fuel combusted]],0)</f>
        <v>36.799999999999997</v>
      </c>
      <c r="F61" s="154" t="str" cm="1">
        <f t="array" ref="F61">Common_InputFunctions.Utility_DisplayArrayInTable(Fuel_SourceData.Fuel_Scope1Scope3EmissionFactorsStationaryLiquid_Data(), Table_Fuel_EFs_StationaryLiquid[[#Headers],[Fuel combusted]],0)</f>
        <v>kL</v>
      </c>
      <c r="G61" s="154" cm="1">
        <f t="array" ref="G61">Common_InputFunctions.Utility_DisplayArrayInTable(Fuel_SourceData.Fuel_Scope1Scope3EmissionFactorsStationaryLiquid_Data(), Table_Fuel_EFs_StationaryLiquid[[#Headers],[Fuel combusted]],0)</f>
        <v>69.599999999999994</v>
      </c>
      <c r="H61" s="154" cm="1">
        <f t="array" ref="H61">Common_InputFunctions.Utility_DisplayArrayInTable(Fuel_SourceData.Fuel_Scope1Scope3EmissionFactorsStationaryLiquid_Data(), Table_Fuel_EFs_StationaryLiquid[[#Headers],[Fuel combusted]],0)</f>
        <v>0.02</v>
      </c>
      <c r="I61" s="154" cm="1">
        <f t="array" ref="I61">Common_InputFunctions.Utility_DisplayArrayInTable(Fuel_SourceData.Fuel_Scope1Scope3EmissionFactorsStationaryLiquid_Data(), Table_Fuel_EFs_StationaryLiquid[[#Headers],[Fuel combusted]],0)</f>
        <v>0.2</v>
      </c>
      <c r="J61" s="154" cm="1">
        <f t="array" ref="J61">Common_InputFunctions.Utility_DisplayArrayInTable(Fuel_SourceData.Fuel_Scope1Scope3EmissionFactorsStationaryLiquid_Data(), Table_Fuel_EFs_StationaryLiquid[[#Headers],[Fuel combusted]],0)</f>
        <v>69.819999999999993</v>
      </c>
      <c r="K61" s="154" cm="1">
        <f t="array" ref="K61">Common_InputFunctions.Utility_DisplayArrayInTable(Fuel_SourceData.Fuel_Scope1Scope3EmissionFactorsStationaryLiquid_Data(), Table_Fuel_EFs_StationaryLiquid[[#Headers],[Fuel combusted]],0)</f>
        <v>18</v>
      </c>
      <c r="L61" s="103"/>
    </row>
    <row r="62" spans="1:12" ht="20.100000000000001" customHeight="1" x14ac:dyDescent="0.25">
      <c r="A62"/>
      <c r="D62" s="154" t="str" cm="1">
        <f t="array" ref="D62">Common_InputFunctions.Utility_DisplayArrayInTable(Fuel_SourceData.Fuel_Scope1Scope3EmissionFactorsStationaryLiquid_Data(), Table_Fuel_EFs_StationaryLiquid[[#Headers],[Fuel combusted]],0)</f>
        <v>Heating oil</v>
      </c>
      <c r="E62" s="154" cm="1">
        <f t="array" ref="E62">Common_InputFunctions.Utility_DisplayArrayInTable(Fuel_SourceData.Fuel_Scope1Scope3EmissionFactorsStationaryLiquid_Data(), Table_Fuel_EFs_StationaryLiquid[[#Headers],[Fuel combusted]],0)</f>
        <v>37.299999999999997</v>
      </c>
      <c r="F62" s="154" t="str" cm="1">
        <f t="array" ref="F62">Common_InputFunctions.Utility_DisplayArrayInTable(Fuel_SourceData.Fuel_Scope1Scope3EmissionFactorsStationaryLiquid_Data(), Table_Fuel_EFs_StationaryLiquid[[#Headers],[Fuel combusted]],0)</f>
        <v>kL</v>
      </c>
      <c r="G62" s="154" cm="1">
        <f t="array" ref="G62">Common_InputFunctions.Utility_DisplayArrayInTable(Fuel_SourceData.Fuel_Scope1Scope3EmissionFactorsStationaryLiquid_Data(), Table_Fuel_EFs_StationaryLiquid[[#Headers],[Fuel combusted]],0)</f>
        <v>69.5</v>
      </c>
      <c r="H62" s="154" cm="1">
        <f t="array" ref="H62">Common_InputFunctions.Utility_DisplayArrayInTable(Fuel_SourceData.Fuel_Scope1Scope3EmissionFactorsStationaryLiquid_Data(), Table_Fuel_EFs_StationaryLiquid[[#Headers],[Fuel combusted]],0)</f>
        <v>0.03</v>
      </c>
      <c r="I62" s="154" cm="1">
        <f t="array" ref="I62">Common_InputFunctions.Utility_DisplayArrayInTable(Fuel_SourceData.Fuel_Scope1Scope3EmissionFactorsStationaryLiquid_Data(), Table_Fuel_EFs_StationaryLiquid[[#Headers],[Fuel combusted]],0)</f>
        <v>0.2</v>
      </c>
      <c r="J62" s="154" cm="1">
        <f t="array" ref="J62">Common_InputFunctions.Utility_DisplayArrayInTable(Fuel_SourceData.Fuel_Scope1Scope3EmissionFactorsStationaryLiquid_Data(), Table_Fuel_EFs_StationaryLiquid[[#Headers],[Fuel combusted]],0)</f>
        <v>69.73</v>
      </c>
      <c r="K62" s="154" cm="1">
        <f t="array" ref="K62">Common_InputFunctions.Utility_DisplayArrayInTable(Fuel_SourceData.Fuel_Scope1Scope3EmissionFactorsStationaryLiquid_Data(), Table_Fuel_EFs_StationaryLiquid[[#Headers],[Fuel combusted]],0)</f>
        <v>18</v>
      </c>
      <c r="L62" s="103"/>
    </row>
    <row r="63" spans="1:12" ht="20.100000000000001" customHeight="1" x14ac:dyDescent="0.25">
      <c r="A63"/>
      <c r="D63" s="154" t="str" cm="1">
        <f t="array" ref="D63">Common_InputFunctions.Utility_DisplayArrayInTable(Fuel_SourceData.Fuel_Scope1Scope3EmissionFactorsStationaryLiquid_Data(), Table_Fuel_EFs_StationaryLiquid[[#Headers],[Fuel combusted]],0)</f>
        <v>Diesel oil</v>
      </c>
      <c r="E63" s="154" cm="1">
        <f t="array" ref="E63">Common_InputFunctions.Utility_DisplayArrayInTable(Fuel_SourceData.Fuel_Scope1Scope3EmissionFactorsStationaryLiquid_Data(), Table_Fuel_EFs_StationaryLiquid[[#Headers],[Fuel combusted]],0)</f>
        <v>38.6</v>
      </c>
      <c r="F63" s="154" t="str" cm="1">
        <f t="array" ref="F63">Common_InputFunctions.Utility_DisplayArrayInTable(Fuel_SourceData.Fuel_Scope1Scope3EmissionFactorsStationaryLiquid_Data(), Table_Fuel_EFs_StationaryLiquid[[#Headers],[Fuel combusted]],0)</f>
        <v>kL</v>
      </c>
      <c r="G63" s="154" cm="1">
        <f t="array" ref="G63">Common_InputFunctions.Utility_DisplayArrayInTable(Fuel_SourceData.Fuel_Scope1Scope3EmissionFactorsStationaryLiquid_Data(), Table_Fuel_EFs_StationaryLiquid[[#Headers],[Fuel combusted]],0)</f>
        <v>69.900000000000006</v>
      </c>
      <c r="H63" s="154" cm="1">
        <f t="array" ref="H63">Common_InputFunctions.Utility_DisplayArrayInTable(Fuel_SourceData.Fuel_Scope1Scope3EmissionFactorsStationaryLiquid_Data(), Table_Fuel_EFs_StationaryLiquid[[#Headers],[Fuel combusted]],0)</f>
        <v>0.1</v>
      </c>
      <c r="I63" s="154" cm="1">
        <f t="array" ref="I63">Common_InputFunctions.Utility_DisplayArrayInTable(Fuel_SourceData.Fuel_Scope1Scope3EmissionFactorsStationaryLiquid_Data(), Table_Fuel_EFs_StationaryLiquid[[#Headers],[Fuel combusted]],0)</f>
        <v>0.2</v>
      </c>
      <c r="J63" s="154" cm="1">
        <f t="array" ref="J63">Common_InputFunctions.Utility_DisplayArrayInTable(Fuel_SourceData.Fuel_Scope1Scope3EmissionFactorsStationaryLiquid_Data(), Table_Fuel_EFs_StationaryLiquid[[#Headers],[Fuel combusted]],0)</f>
        <v>70.2</v>
      </c>
      <c r="K63" s="154" cm="1">
        <f t="array" ref="K63">Common_InputFunctions.Utility_DisplayArrayInTable(Fuel_SourceData.Fuel_Scope1Scope3EmissionFactorsStationaryLiquid_Data(), Table_Fuel_EFs_StationaryLiquid[[#Headers],[Fuel combusted]],0)</f>
        <v>17.3</v>
      </c>
      <c r="L63" s="103"/>
    </row>
    <row r="64" spans="1:12" ht="20.100000000000001" customHeight="1" x14ac:dyDescent="0.25">
      <c r="A64"/>
      <c r="D64" s="154" t="str" cm="1">
        <f t="array" ref="D64">Common_InputFunctions.Utility_DisplayArrayInTable(Fuel_SourceData.Fuel_Scope1Scope3EmissionFactorsStationaryLiquid_Data(), Table_Fuel_EFs_StationaryLiquid[[#Headers],[Fuel combusted]],0)</f>
        <v>Fuel oil</v>
      </c>
      <c r="E64" s="154" cm="1">
        <f t="array" ref="E64">Common_InputFunctions.Utility_DisplayArrayInTable(Fuel_SourceData.Fuel_Scope1Scope3EmissionFactorsStationaryLiquid_Data(), Table_Fuel_EFs_StationaryLiquid[[#Headers],[Fuel combusted]],0)</f>
        <v>39.700000000000003</v>
      </c>
      <c r="F64" s="154" t="str" cm="1">
        <f t="array" ref="F64">Common_InputFunctions.Utility_DisplayArrayInTable(Fuel_SourceData.Fuel_Scope1Scope3EmissionFactorsStationaryLiquid_Data(), Table_Fuel_EFs_StationaryLiquid[[#Headers],[Fuel combusted]],0)</f>
        <v>kL</v>
      </c>
      <c r="G64" s="154" cm="1">
        <f t="array" ref="G64">Common_InputFunctions.Utility_DisplayArrayInTable(Fuel_SourceData.Fuel_Scope1Scope3EmissionFactorsStationaryLiquid_Data(), Table_Fuel_EFs_StationaryLiquid[[#Headers],[Fuel combusted]],0)</f>
        <v>73.599999999999994</v>
      </c>
      <c r="H64" s="154" cm="1">
        <f t="array" ref="H64">Common_InputFunctions.Utility_DisplayArrayInTable(Fuel_SourceData.Fuel_Scope1Scope3EmissionFactorsStationaryLiquid_Data(), Table_Fuel_EFs_StationaryLiquid[[#Headers],[Fuel combusted]],0)</f>
        <v>0.04</v>
      </c>
      <c r="I64" s="154" cm="1">
        <f t="array" ref="I64">Common_InputFunctions.Utility_DisplayArrayInTable(Fuel_SourceData.Fuel_Scope1Scope3EmissionFactorsStationaryLiquid_Data(), Table_Fuel_EFs_StationaryLiquid[[#Headers],[Fuel combusted]],0)</f>
        <v>0.2</v>
      </c>
      <c r="J64" s="154" cm="1">
        <f t="array" ref="J64">Common_InputFunctions.Utility_DisplayArrayInTable(Fuel_SourceData.Fuel_Scope1Scope3EmissionFactorsStationaryLiquid_Data(), Table_Fuel_EFs_StationaryLiquid[[#Headers],[Fuel combusted]],0)</f>
        <v>73.84</v>
      </c>
      <c r="K64" s="154" cm="1">
        <f t="array" ref="K64">Common_InputFunctions.Utility_DisplayArrayInTable(Fuel_SourceData.Fuel_Scope1Scope3EmissionFactorsStationaryLiquid_Data(), Table_Fuel_EFs_StationaryLiquid[[#Headers],[Fuel combusted]],0)</f>
        <v>18</v>
      </c>
      <c r="L64" s="103"/>
    </row>
    <row r="65" spans="1:13" ht="20.100000000000001" customHeight="1" x14ac:dyDescent="0.25">
      <c r="A65"/>
      <c r="D65" s="154" t="str" cm="1">
        <f t="array" ref="D65">Common_InputFunctions.Utility_DisplayArrayInTable(Fuel_SourceData.Fuel_Scope1Scope3EmissionFactorsStationaryLiquid_Data(), Table_Fuel_EFs_StationaryLiquid[[#Headers],[Fuel combusted]],0)</f>
        <v>Liquefied aromatic hydrocarbons</v>
      </c>
      <c r="E65" s="154" cm="1">
        <f t="array" ref="E65">Common_InputFunctions.Utility_DisplayArrayInTable(Fuel_SourceData.Fuel_Scope1Scope3EmissionFactorsStationaryLiquid_Data(), Table_Fuel_EFs_StationaryLiquid[[#Headers],[Fuel combusted]],0)</f>
        <v>34.4</v>
      </c>
      <c r="F65" s="154" t="str" cm="1">
        <f t="array" ref="F65">Common_InputFunctions.Utility_DisplayArrayInTable(Fuel_SourceData.Fuel_Scope1Scope3EmissionFactorsStationaryLiquid_Data(), Table_Fuel_EFs_StationaryLiquid[[#Headers],[Fuel combusted]],0)</f>
        <v>kL</v>
      </c>
      <c r="G65" s="154" cm="1">
        <f t="array" ref="G65">Common_InputFunctions.Utility_DisplayArrayInTable(Fuel_SourceData.Fuel_Scope1Scope3EmissionFactorsStationaryLiquid_Data(), Table_Fuel_EFs_StationaryLiquid[[#Headers],[Fuel combusted]],0)</f>
        <v>69.7</v>
      </c>
      <c r="H65" s="154" cm="1">
        <f t="array" ref="H65">Common_InputFunctions.Utility_DisplayArrayInTable(Fuel_SourceData.Fuel_Scope1Scope3EmissionFactorsStationaryLiquid_Data(), Table_Fuel_EFs_StationaryLiquid[[#Headers],[Fuel combusted]],0)</f>
        <v>0.03</v>
      </c>
      <c r="I65" s="154" cm="1">
        <f t="array" ref="I65">Common_InputFunctions.Utility_DisplayArrayInTable(Fuel_SourceData.Fuel_Scope1Scope3EmissionFactorsStationaryLiquid_Data(), Table_Fuel_EFs_StationaryLiquid[[#Headers],[Fuel combusted]],0)</f>
        <v>0.2</v>
      </c>
      <c r="J65" s="154" cm="1">
        <f t="array" ref="J65">Common_InputFunctions.Utility_DisplayArrayInTable(Fuel_SourceData.Fuel_Scope1Scope3EmissionFactorsStationaryLiquid_Data(), Table_Fuel_EFs_StationaryLiquid[[#Headers],[Fuel combusted]],0)</f>
        <v>69.930000000000007</v>
      </c>
      <c r="K65" s="154" cm="1">
        <f t="array" ref="K65">Common_InputFunctions.Utility_DisplayArrayInTable(Fuel_SourceData.Fuel_Scope1Scope3EmissionFactorsStationaryLiquid_Data(), Table_Fuel_EFs_StationaryLiquid[[#Headers],[Fuel combusted]],0)</f>
        <v>18</v>
      </c>
      <c r="L65" s="103"/>
    </row>
    <row r="66" spans="1:13" ht="20.100000000000001" customHeight="1" x14ac:dyDescent="0.25">
      <c r="A66"/>
      <c r="D66" s="154" t="str" cm="1">
        <f t="array" ref="D66">Common_InputFunctions.Utility_DisplayArrayInTable(Fuel_SourceData.Fuel_Scope1Scope3EmissionFactorsStationaryLiquid_Data(), Table_Fuel_EFs_StationaryLiquid[[#Headers],[Fuel combusted]],0)</f>
        <v>Solvents: mineral turpentine or white spirits</v>
      </c>
      <c r="E66" s="154" cm="1">
        <f t="array" ref="E66">Common_InputFunctions.Utility_DisplayArrayInTable(Fuel_SourceData.Fuel_Scope1Scope3EmissionFactorsStationaryLiquid_Data(), Table_Fuel_EFs_StationaryLiquid[[#Headers],[Fuel combusted]],0)</f>
        <v>34.4</v>
      </c>
      <c r="F66" s="154" t="str" cm="1">
        <f t="array" ref="F66">Common_InputFunctions.Utility_DisplayArrayInTable(Fuel_SourceData.Fuel_Scope1Scope3EmissionFactorsStationaryLiquid_Data(), Table_Fuel_EFs_StationaryLiquid[[#Headers],[Fuel combusted]],0)</f>
        <v>kL</v>
      </c>
      <c r="G66" s="154" cm="1">
        <f t="array" ref="G66">Common_InputFunctions.Utility_DisplayArrayInTable(Fuel_SourceData.Fuel_Scope1Scope3EmissionFactorsStationaryLiquid_Data(), Table_Fuel_EFs_StationaryLiquid[[#Headers],[Fuel combusted]],0)</f>
        <v>69.7</v>
      </c>
      <c r="H66" s="154" cm="1">
        <f t="array" ref="H66">Common_InputFunctions.Utility_DisplayArrayInTable(Fuel_SourceData.Fuel_Scope1Scope3EmissionFactorsStationaryLiquid_Data(), Table_Fuel_EFs_StationaryLiquid[[#Headers],[Fuel combusted]],0)</f>
        <v>0.03</v>
      </c>
      <c r="I66" s="154" cm="1">
        <f t="array" ref="I66">Common_InputFunctions.Utility_DisplayArrayInTable(Fuel_SourceData.Fuel_Scope1Scope3EmissionFactorsStationaryLiquid_Data(), Table_Fuel_EFs_StationaryLiquid[[#Headers],[Fuel combusted]],0)</f>
        <v>0.2</v>
      </c>
      <c r="J66" s="154" cm="1">
        <f t="array" ref="J66">Common_InputFunctions.Utility_DisplayArrayInTable(Fuel_SourceData.Fuel_Scope1Scope3EmissionFactorsStationaryLiquid_Data(), Table_Fuel_EFs_StationaryLiquid[[#Headers],[Fuel combusted]],0)</f>
        <v>69.930000000000007</v>
      </c>
      <c r="K66" s="154" cm="1">
        <f t="array" ref="K66">Common_InputFunctions.Utility_DisplayArrayInTable(Fuel_SourceData.Fuel_Scope1Scope3EmissionFactorsStationaryLiquid_Data(), Table_Fuel_EFs_StationaryLiquid[[#Headers],[Fuel combusted]],0)</f>
        <v>18</v>
      </c>
      <c r="L66" s="103"/>
    </row>
    <row r="67" spans="1:13" ht="20.100000000000001" customHeight="1" x14ac:dyDescent="0.25">
      <c r="A67"/>
      <c r="D67" s="154" t="str" cm="1">
        <f t="array" ref="D67">Common_InputFunctions.Utility_DisplayArrayInTable(Fuel_SourceData.Fuel_Scope1Scope3EmissionFactorsStationaryLiquid_Data(), Table_Fuel_EFs_StationaryLiquid[[#Headers],[Fuel combusted]],0)</f>
        <v>Liquefied petroleum gas (LPG)</v>
      </c>
      <c r="E67" s="154" cm="1">
        <f t="array" ref="E67">Common_InputFunctions.Utility_DisplayArrayInTable(Fuel_SourceData.Fuel_Scope1Scope3EmissionFactorsStationaryLiquid_Data(), Table_Fuel_EFs_StationaryLiquid[[#Headers],[Fuel combusted]],0)</f>
        <v>25.7</v>
      </c>
      <c r="F67" s="154" t="str" cm="1">
        <f t="array" ref="F67">Common_InputFunctions.Utility_DisplayArrayInTable(Fuel_SourceData.Fuel_Scope1Scope3EmissionFactorsStationaryLiquid_Data(), Table_Fuel_EFs_StationaryLiquid[[#Headers],[Fuel combusted]],0)</f>
        <v>kL</v>
      </c>
      <c r="G67" s="154" cm="1">
        <f t="array" ref="G67">Common_InputFunctions.Utility_DisplayArrayInTable(Fuel_SourceData.Fuel_Scope1Scope3EmissionFactorsStationaryLiquid_Data(), Table_Fuel_EFs_StationaryLiquid[[#Headers],[Fuel combusted]],0)</f>
        <v>60.2</v>
      </c>
      <c r="H67" s="154" cm="1">
        <f t="array" ref="H67">Common_InputFunctions.Utility_DisplayArrayInTable(Fuel_SourceData.Fuel_Scope1Scope3EmissionFactorsStationaryLiquid_Data(), Table_Fuel_EFs_StationaryLiquid[[#Headers],[Fuel combusted]],0)</f>
        <v>0.2</v>
      </c>
      <c r="I67" s="154" cm="1">
        <f t="array" ref="I67">Common_InputFunctions.Utility_DisplayArrayInTable(Fuel_SourceData.Fuel_Scope1Scope3EmissionFactorsStationaryLiquid_Data(), Table_Fuel_EFs_StationaryLiquid[[#Headers],[Fuel combusted]],0)</f>
        <v>0.2</v>
      </c>
      <c r="J67" s="154" cm="1">
        <f t="array" ref="J67">Common_InputFunctions.Utility_DisplayArrayInTable(Fuel_SourceData.Fuel_Scope1Scope3EmissionFactorsStationaryLiquid_Data(), Table_Fuel_EFs_StationaryLiquid[[#Headers],[Fuel combusted]],0)</f>
        <v>60.6</v>
      </c>
      <c r="K67" s="154" cm="1">
        <f t="array" ref="K67">Common_InputFunctions.Utility_DisplayArrayInTable(Fuel_SourceData.Fuel_Scope1Scope3EmissionFactorsStationaryLiquid_Data(), Table_Fuel_EFs_StationaryLiquid[[#Headers],[Fuel combusted]],0)</f>
        <v>20.2</v>
      </c>
      <c r="L67" s="103"/>
    </row>
    <row r="68" spans="1:13" ht="20.100000000000001" customHeight="1" x14ac:dyDescent="0.25">
      <c r="A68"/>
      <c r="D68" s="154" t="str" cm="1">
        <f t="array" ref="D68">Common_InputFunctions.Utility_DisplayArrayInTable(Fuel_SourceData.Fuel_Scope1Scope3EmissionFactorsStationaryLiquid_Data(), Table_Fuel_EFs_StationaryLiquid[[#Headers],[Fuel combusted]],0)</f>
        <v>Naphtha</v>
      </c>
      <c r="E68" s="154" cm="1">
        <f t="array" ref="E68">Common_InputFunctions.Utility_DisplayArrayInTable(Fuel_SourceData.Fuel_Scope1Scope3EmissionFactorsStationaryLiquid_Data(), Table_Fuel_EFs_StationaryLiquid[[#Headers],[Fuel combusted]],0)</f>
        <v>31.4</v>
      </c>
      <c r="F68" s="154" t="str" cm="1">
        <f t="array" ref="F68">Common_InputFunctions.Utility_DisplayArrayInTable(Fuel_SourceData.Fuel_Scope1Scope3EmissionFactorsStationaryLiquid_Data(), Table_Fuel_EFs_StationaryLiquid[[#Headers],[Fuel combusted]],0)</f>
        <v>kL</v>
      </c>
      <c r="G68" s="154" cm="1">
        <f t="array" ref="G68">Common_InputFunctions.Utility_DisplayArrayInTable(Fuel_SourceData.Fuel_Scope1Scope3EmissionFactorsStationaryLiquid_Data(), Table_Fuel_EFs_StationaryLiquid[[#Headers],[Fuel combusted]],0)</f>
        <v>69.8</v>
      </c>
      <c r="H68" s="154" cm="1">
        <f t="array" ref="H68">Common_InputFunctions.Utility_DisplayArrayInTable(Fuel_SourceData.Fuel_Scope1Scope3EmissionFactorsStationaryLiquid_Data(), Table_Fuel_EFs_StationaryLiquid[[#Headers],[Fuel combusted]],0)</f>
        <v>0.01</v>
      </c>
      <c r="I68" s="154" cm="1">
        <f t="array" ref="I68">Common_InputFunctions.Utility_DisplayArrayInTable(Fuel_SourceData.Fuel_Scope1Scope3EmissionFactorsStationaryLiquid_Data(), Table_Fuel_EFs_StationaryLiquid[[#Headers],[Fuel combusted]],0)</f>
        <v>0.01</v>
      </c>
      <c r="J68" s="154" cm="1">
        <f t="array" ref="J68">Common_InputFunctions.Utility_DisplayArrayInTable(Fuel_SourceData.Fuel_Scope1Scope3EmissionFactorsStationaryLiquid_Data(), Table_Fuel_EFs_StationaryLiquid[[#Headers],[Fuel combusted]],0)</f>
        <v>69.819999999999993</v>
      </c>
      <c r="K68" s="154" cm="1">
        <f t="array" ref="K68">Common_InputFunctions.Utility_DisplayArrayInTable(Fuel_SourceData.Fuel_Scope1Scope3EmissionFactorsStationaryLiquid_Data(), Table_Fuel_EFs_StationaryLiquid[[#Headers],[Fuel combusted]],0)</f>
        <v>18</v>
      </c>
      <c r="L68" s="103"/>
    </row>
    <row r="69" spans="1:13" ht="20.100000000000001" customHeight="1" x14ac:dyDescent="0.25">
      <c r="A69"/>
      <c r="D69" s="154" t="str" cm="1">
        <f t="array" ref="D69">Common_InputFunctions.Utility_DisplayArrayInTable(Fuel_SourceData.Fuel_Scope1Scope3EmissionFactorsStationaryLiquid_Data(), Table_Fuel_EFs_StationaryLiquid[[#Headers],[Fuel combusted]],0)</f>
        <v>Petroleum coke</v>
      </c>
      <c r="E69" s="154" cm="1">
        <f t="array" ref="E69">Common_InputFunctions.Utility_DisplayArrayInTable(Fuel_SourceData.Fuel_Scope1Scope3EmissionFactorsStationaryLiquid_Data(), Table_Fuel_EFs_StationaryLiquid[[#Headers],[Fuel combusted]],0)</f>
        <v>34.200000000000003</v>
      </c>
      <c r="F69" s="154" t="str" cm="1">
        <f t="array" ref="F69">Common_InputFunctions.Utility_DisplayArrayInTable(Fuel_SourceData.Fuel_Scope1Scope3EmissionFactorsStationaryLiquid_Data(), Table_Fuel_EFs_StationaryLiquid[[#Headers],[Fuel combusted]],0)</f>
        <v>t</v>
      </c>
      <c r="G69" s="154" cm="1">
        <f t="array" ref="G69">Common_InputFunctions.Utility_DisplayArrayInTable(Fuel_SourceData.Fuel_Scope1Scope3EmissionFactorsStationaryLiquid_Data(), Table_Fuel_EFs_StationaryLiquid[[#Headers],[Fuel combusted]],0)</f>
        <v>92.6</v>
      </c>
      <c r="H69" s="154" cm="1">
        <f t="array" ref="H69">Common_InputFunctions.Utility_DisplayArrayInTable(Fuel_SourceData.Fuel_Scope1Scope3EmissionFactorsStationaryLiquid_Data(), Table_Fuel_EFs_StationaryLiquid[[#Headers],[Fuel combusted]],0)</f>
        <v>0.08</v>
      </c>
      <c r="I69" s="154" cm="1">
        <f t="array" ref="I69">Common_InputFunctions.Utility_DisplayArrayInTable(Fuel_SourceData.Fuel_Scope1Scope3EmissionFactorsStationaryLiquid_Data(), Table_Fuel_EFs_StationaryLiquid[[#Headers],[Fuel combusted]],0)</f>
        <v>0.2</v>
      </c>
      <c r="J69" s="154" cm="1">
        <f t="array" ref="J69">Common_InputFunctions.Utility_DisplayArrayInTable(Fuel_SourceData.Fuel_Scope1Scope3EmissionFactorsStationaryLiquid_Data(), Table_Fuel_EFs_StationaryLiquid[[#Headers],[Fuel combusted]],0)</f>
        <v>92.88</v>
      </c>
      <c r="K69" s="154" cm="1">
        <f t="array" ref="K69">Common_InputFunctions.Utility_DisplayArrayInTable(Fuel_SourceData.Fuel_Scope1Scope3EmissionFactorsStationaryLiquid_Data(), Table_Fuel_EFs_StationaryLiquid[[#Headers],[Fuel combusted]],0)</f>
        <v>18</v>
      </c>
      <c r="L69" s="103"/>
    </row>
    <row r="70" spans="1:13" ht="20.100000000000001" customHeight="1" x14ac:dyDescent="0.25">
      <c r="A70"/>
      <c r="D70" s="154" t="str" cm="1">
        <f t="array" ref="D70">Common_InputFunctions.Utility_DisplayArrayInTable(Fuel_SourceData.Fuel_Scope1Scope3EmissionFactorsStationaryLiquid_Data(), Table_Fuel_EFs_StationaryLiquid[[#Headers],[Fuel combusted]],0)</f>
        <v>Refinery gas and liquids</v>
      </c>
      <c r="E70" s="154" cm="1">
        <f t="array" ref="E70">Common_InputFunctions.Utility_DisplayArrayInTable(Fuel_SourceData.Fuel_Scope1Scope3EmissionFactorsStationaryLiquid_Data(), Table_Fuel_EFs_StationaryLiquid[[#Headers],[Fuel combusted]],0)</f>
        <v>42.9</v>
      </c>
      <c r="F70" s="154" t="str" cm="1">
        <f t="array" ref="F70">Common_InputFunctions.Utility_DisplayArrayInTable(Fuel_SourceData.Fuel_Scope1Scope3EmissionFactorsStationaryLiquid_Data(), Table_Fuel_EFs_StationaryLiquid[[#Headers],[Fuel combusted]],0)</f>
        <v>t</v>
      </c>
      <c r="G70" s="154" cm="1">
        <f t="array" ref="G70">Common_InputFunctions.Utility_DisplayArrayInTable(Fuel_SourceData.Fuel_Scope1Scope3EmissionFactorsStationaryLiquid_Data(), Table_Fuel_EFs_StationaryLiquid[[#Headers],[Fuel combusted]],0)</f>
        <v>54.7</v>
      </c>
      <c r="H70" s="154" cm="1">
        <f t="array" ref="H70">Common_InputFunctions.Utility_DisplayArrayInTable(Fuel_SourceData.Fuel_Scope1Scope3EmissionFactorsStationaryLiquid_Data(), Table_Fuel_EFs_StationaryLiquid[[#Headers],[Fuel combusted]],0)</f>
        <v>0.03</v>
      </c>
      <c r="I70" s="154" cm="1">
        <f t="array" ref="I70">Common_InputFunctions.Utility_DisplayArrayInTable(Fuel_SourceData.Fuel_Scope1Scope3EmissionFactorsStationaryLiquid_Data(), Table_Fuel_EFs_StationaryLiquid[[#Headers],[Fuel combusted]],0)</f>
        <v>0.03</v>
      </c>
      <c r="J70" s="154" cm="1">
        <f t="array" ref="J70">Common_InputFunctions.Utility_DisplayArrayInTable(Fuel_SourceData.Fuel_Scope1Scope3EmissionFactorsStationaryLiquid_Data(), Table_Fuel_EFs_StationaryLiquid[[#Headers],[Fuel combusted]],0)</f>
        <v>54.76</v>
      </c>
      <c r="K70" s="154" cm="1">
        <f t="array" ref="K70">Common_InputFunctions.Utility_DisplayArrayInTable(Fuel_SourceData.Fuel_Scope1Scope3EmissionFactorsStationaryLiquid_Data(), Table_Fuel_EFs_StationaryLiquid[[#Headers],[Fuel combusted]],0)</f>
        <v>18</v>
      </c>
      <c r="L70" s="103"/>
    </row>
    <row r="71" spans="1:13" ht="20.100000000000001" customHeight="1" x14ac:dyDescent="0.25">
      <c r="A71"/>
      <c r="D71" s="154" t="str" cm="1">
        <f t="array" ref="D71">Common_InputFunctions.Utility_DisplayArrayInTable(Fuel_SourceData.Fuel_Scope1Scope3EmissionFactorsStationaryLiquid_Data(), Table_Fuel_EFs_StationaryLiquid[[#Headers],[Fuel combusted]],0)</f>
        <v>Refinery coke</v>
      </c>
      <c r="E71" s="154" cm="1">
        <f t="array" ref="E71">Common_InputFunctions.Utility_DisplayArrayInTable(Fuel_SourceData.Fuel_Scope1Scope3EmissionFactorsStationaryLiquid_Data(), Table_Fuel_EFs_StationaryLiquid[[#Headers],[Fuel combusted]],0)</f>
        <v>34.200000000000003</v>
      </c>
      <c r="F71" s="154" t="str" cm="1">
        <f t="array" ref="F71">Common_InputFunctions.Utility_DisplayArrayInTable(Fuel_SourceData.Fuel_Scope1Scope3EmissionFactorsStationaryLiquid_Data(), Table_Fuel_EFs_StationaryLiquid[[#Headers],[Fuel combusted]],0)</f>
        <v>t</v>
      </c>
      <c r="G71" s="154" cm="1">
        <f t="array" ref="G71">Common_InputFunctions.Utility_DisplayArrayInTable(Fuel_SourceData.Fuel_Scope1Scope3EmissionFactorsStationaryLiquid_Data(), Table_Fuel_EFs_StationaryLiquid[[#Headers],[Fuel combusted]],0)</f>
        <v>92.6</v>
      </c>
      <c r="H71" s="154" cm="1">
        <f t="array" ref="H71">Common_InputFunctions.Utility_DisplayArrayInTable(Fuel_SourceData.Fuel_Scope1Scope3EmissionFactorsStationaryLiquid_Data(), Table_Fuel_EFs_StationaryLiquid[[#Headers],[Fuel combusted]],0)</f>
        <v>0.08</v>
      </c>
      <c r="I71" s="154" cm="1">
        <f t="array" ref="I71">Common_InputFunctions.Utility_DisplayArrayInTable(Fuel_SourceData.Fuel_Scope1Scope3EmissionFactorsStationaryLiquid_Data(), Table_Fuel_EFs_StationaryLiquid[[#Headers],[Fuel combusted]],0)</f>
        <v>0.2</v>
      </c>
      <c r="J71" s="154" cm="1">
        <f t="array" ref="J71">Common_InputFunctions.Utility_DisplayArrayInTable(Fuel_SourceData.Fuel_Scope1Scope3EmissionFactorsStationaryLiquid_Data(), Table_Fuel_EFs_StationaryLiquid[[#Headers],[Fuel combusted]],0)</f>
        <v>92.88</v>
      </c>
      <c r="K71" s="154" cm="1">
        <f t="array" ref="K71">Common_InputFunctions.Utility_DisplayArrayInTable(Fuel_SourceData.Fuel_Scope1Scope3EmissionFactorsStationaryLiquid_Data(), Table_Fuel_EFs_StationaryLiquid[[#Headers],[Fuel combusted]],0)</f>
        <v>18</v>
      </c>
      <c r="L71" s="103"/>
    </row>
    <row r="72" spans="1:13" ht="20.100000000000001" customHeight="1" x14ac:dyDescent="0.25">
      <c r="A72"/>
      <c r="D72" s="154" t="str" cm="1">
        <f t="array" ref="D72">Common_InputFunctions.Utility_DisplayArrayInTable(Fuel_SourceData.Fuel_Scope1Scope3EmissionFactorsStationaryLiquid_Data(), Table_Fuel_EFs_StationaryLiquid[[#Headers],[Fuel combusted]],0)</f>
        <v>Petroleum based products other than mentioned in the items above</v>
      </c>
      <c r="E72" s="154" cm="1">
        <f t="array" ref="E72">Common_InputFunctions.Utility_DisplayArrayInTable(Fuel_SourceData.Fuel_Scope1Scope3EmissionFactorsStationaryLiquid_Data(), Table_Fuel_EFs_StationaryLiquid[[#Headers],[Fuel combusted]],0)</f>
        <v>34.4</v>
      </c>
      <c r="F72" s="154" t="str" cm="1">
        <f t="array" ref="F72">Common_InputFunctions.Utility_DisplayArrayInTable(Fuel_SourceData.Fuel_Scope1Scope3EmissionFactorsStationaryLiquid_Data(), Table_Fuel_EFs_StationaryLiquid[[#Headers],[Fuel combusted]],0)</f>
        <v>kL</v>
      </c>
      <c r="G72" s="154" cm="1">
        <f t="array" ref="G72">Common_InputFunctions.Utility_DisplayArrayInTable(Fuel_SourceData.Fuel_Scope1Scope3EmissionFactorsStationaryLiquid_Data(), Table_Fuel_EFs_StationaryLiquid[[#Headers],[Fuel combusted]],0)</f>
        <v>69.8</v>
      </c>
      <c r="H72" s="154" cm="1">
        <f t="array" ref="H72">Common_InputFunctions.Utility_DisplayArrayInTable(Fuel_SourceData.Fuel_Scope1Scope3EmissionFactorsStationaryLiquid_Data(), Table_Fuel_EFs_StationaryLiquid[[#Headers],[Fuel combusted]],0)</f>
        <v>0.02</v>
      </c>
      <c r="I72" s="154" cm="1">
        <f t="array" ref="I72">Common_InputFunctions.Utility_DisplayArrayInTable(Fuel_SourceData.Fuel_Scope1Scope3EmissionFactorsStationaryLiquid_Data(), Table_Fuel_EFs_StationaryLiquid[[#Headers],[Fuel combusted]],0)</f>
        <v>0.1</v>
      </c>
      <c r="J72" s="154" cm="1">
        <f t="array" ref="J72">Common_InputFunctions.Utility_DisplayArrayInTable(Fuel_SourceData.Fuel_Scope1Scope3EmissionFactorsStationaryLiquid_Data(), Table_Fuel_EFs_StationaryLiquid[[#Headers],[Fuel combusted]],0)</f>
        <v>69.92</v>
      </c>
      <c r="K72" s="154" cm="1">
        <f t="array" ref="K72">Common_InputFunctions.Utility_DisplayArrayInTable(Fuel_SourceData.Fuel_Scope1Scope3EmissionFactorsStationaryLiquid_Data(), Table_Fuel_EFs_StationaryLiquid[[#Headers],[Fuel combusted]],0)</f>
        <v>18</v>
      </c>
      <c r="L72" s="103"/>
    </row>
    <row r="73" spans="1:13" ht="20.100000000000001" customHeight="1" x14ac:dyDescent="0.25">
      <c r="A73"/>
      <c r="D73" s="154" t="str" cm="1">
        <f t="array" ref="D73">Common_InputFunctions.Utility_DisplayArrayInTable(Fuel_SourceData.Fuel_Scope1Scope3EmissionFactorsStationaryLiquid_Data(), Table_Fuel_EFs_StationaryLiquid[[#Headers],[Fuel combusted]],0)</f>
        <v>Biodiesel</v>
      </c>
      <c r="E73" s="154" cm="1">
        <f t="array" ref="E73">Common_InputFunctions.Utility_DisplayArrayInTable(Fuel_SourceData.Fuel_Scope1Scope3EmissionFactorsStationaryLiquid_Data(), Table_Fuel_EFs_StationaryLiquid[[#Headers],[Fuel combusted]],0)</f>
        <v>34.6</v>
      </c>
      <c r="F73" s="154" t="str" cm="1">
        <f t="array" ref="F73">Common_InputFunctions.Utility_DisplayArrayInTable(Fuel_SourceData.Fuel_Scope1Scope3EmissionFactorsStationaryLiquid_Data(), Table_Fuel_EFs_StationaryLiquid[[#Headers],[Fuel combusted]],0)</f>
        <v>kL</v>
      </c>
      <c r="G73" s="154" cm="1">
        <f t="array" ref="G73">Common_InputFunctions.Utility_DisplayArrayInTable(Fuel_SourceData.Fuel_Scope1Scope3EmissionFactorsStationaryLiquid_Data(), Table_Fuel_EFs_StationaryLiquid[[#Headers],[Fuel combusted]],0)</f>
        <v>0</v>
      </c>
      <c r="H73" s="154" cm="1">
        <f t="array" ref="H73">Common_InputFunctions.Utility_DisplayArrayInTable(Fuel_SourceData.Fuel_Scope1Scope3EmissionFactorsStationaryLiquid_Data(), Table_Fuel_EFs_StationaryLiquid[[#Headers],[Fuel combusted]],0)</f>
        <v>0.08</v>
      </c>
      <c r="I73" s="154" cm="1">
        <f t="array" ref="I73">Common_InputFunctions.Utility_DisplayArrayInTable(Fuel_SourceData.Fuel_Scope1Scope3EmissionFactorsStationaryLiquid_Data(), Table_Fuel_EFs_StationaryLiquid[[#Headers],[Fuel combusted]],0)</f>
        <v>0.2</v>
      </c>
      <c r="J73" s="154" cm="1">
        <f t="array" ref="J73">Common_InputFunctions.Utility_DisplayArrayInTable(Fuel_SourceData.Fuel_Scope1Scope3EmissionFactorsStationaryLiquid_Data(), Table_Fuel_EFs_StationaryLiquid[[#Headers],[Fuel combusted]],0)</f>
        <v>0.28000000000000003</v>
      </c>
      <c r="K73" s="154" t="str" cm="1">
        <f t="array" ref="K73">Common_InputFunctions.Utility_DisplayArrayInTable(Fuel_SourceData.Fuel_Scope1Scope3EmissionFactorsStationaryLiquid_Data(), Table_Fuel_EFs_StationaryLiquid[[#Headers],[Fuel combusted]],0)</f>
        <v>NE</v>
      </c>
      <c r="L73" s="103"/>
    </row>
    <row r="74" spans="1:13" ht="20.100000000000001" customHeight="1" x14ac:dyDescent="0.25">
      <c r="A74"/>
      <c r="D74" s="154" t="str" cm="1">
        <f t="array" ref="D74">Common_InputFunctions.Utility_DisplayArrayInTable(Fuel_SourceData.Fuel_Scope1Scope3EmissionFactorsStationaryLiquid_Data(), Table_Fuel_EFs_StationaryLiquid[[#Headers],[Fuel combusted]],0)</f>
        <v>Ethanol for use as a fuel in an internal combustion engine</v>
      </c>
      <c r="E74" s="154" cm="1">
        <f t="array" ref="E74">Common_InputFunctions.Utility_DisplayArrayInTable(Fuel_SourceData.Fuel_Scope1Scope3EmissionFactorsStationaryLiquid_Data(), Table_Fuel_EFs_StationaryLiquid[[#Headers],[Fuel combusted]],0)</f>
        <v>23.4</v>
      </c>
      <c r="F74" s="154" t="str" cm="1">
        <f t="array" ref="F74">Common_InputFunctions.Utility_DisplayArrayInTable(Fuel_SourceData.Fuel_Scope1Scope3EmissionFactorsStationaryLiquid_Data(), Table_Fuel_EFs_StationaryLiquid[[#Headers],[Fuel combusted]],0)</f>
        <v>kL</v>
      </c>
      <c r="G74" s="154" cm="1">
        <f t="array" ref="G74">Common_InputFunctions.Utility_DisplayArrayInTable(Fuel_SourceData.Fuel_Scope1Scope3EmissionFactorsStationaryLiquid_Data(), Table_Fuel_EFs_StationaryLiquid[[#Headers],[Fuel combusted]],0)</f>
        <v>0</v>
      </c>
      <c r="H74" s="154" cm="1">
        <f t="array" ref="H74">Common_InputFunctions.Utility_DisplayArrayInTable(Fuel_SourceData.Fuel_Scope1Scope3EmissionFactorsStationaryLiquid_Data(), Table_Fuel_EFs_StationaryLiquid[[#Headers],[Fuel combusted]],0)</f>
        <v>0.08</v>
      </c>
      <c r="I74" s="154" cm="1">
        <f t="array" ref="I74">Common_InputFunctions.Utility_DisplayArrayInTable(Fuel_SourceData.Fuel_Scope1Scope3EmissionFactorsStationaryLiquid_Data(), Table_Fuel_EFs_StationaryLiquid[[#Headers],[Fuel combusted]],0)</f>
        <v>0.2</v>
      </c>
      <c r="J74" s="154" cm="1">
        <f t="array" ref="J74">Common_InputFunctions.Utility_DisplayArrayInTable(Fuel_SourceData.Fuel_Scope1Scope3EmissionFactorsStationaryLiquid_Data(), Table_Fuel_EFs_StationaryLiquid[[#Headers],[Fuel combusted]],0)</f>
        <v>0.28000000000000003</v>
      </c>
      <c r="K74" s="154" t="str" cm="1">
        <f t="array" ref="K74">Common_InputFunctions.Utility_DisplayArrayInTable(Fuel_SourceData.Fuel_Scope1Scope3EmissionFactorsStationaryLiquid_Data(), Table_Fuel_EFs_StationaryLiquid[[#Headers],[Fuel combusted]],0)</f>
        <v>NE</v>
      </c>
      <c r="L74" s="103"/>
    </row>
    <row r="75" spans="1:13" ht="20.100000000000001" customHeight="1" x14ac:dyDescent="0.25">
      <c r="A75"/>
      <c r="D75" s="154" t="str" cm="1">
        <f t="array" ref="D75">Common_InputFunctions.Utility_DisplayArrayInTable(Fuel_SourceData.Fuel_Scope1Scope3EmissionFactorsStationaryLiquid_Data(), Table_Fuel_EFs_StationaryLiquid[[#Headers],[Fuel combusted]],0)</f>
        <v>Biofuels other than those mentioned in the items above and below</v>
      </c>
      <c r="E75" s="154" cm="1">
        <f t="array" ref="E75">Common_InputFunctions.Utility_DisplayArrayInTable(Fuel_SourceData.Fuel_Scope1Scope3EmissionFactorsStationaryLiquid_Data(), Table_Fuel_EFs_StationaryLiquid[[#Headers],[Fuel combusted]],0)</f>
        <v>23.4</v>
      </c>
      <c r="F75" s="154" t="str" cm="1">
        <f t="array" ref="F75">Common_InputFunctions.Utility_DisplayArrayInTable(Fuel_SourceData.Fuel_Scope1Scope3EmissionFactorsStationaryLiquid_Data(), Table_Fuel_EFs_StationaryLiquid[[#Headers],[Fuel combusted]],0)</f>
        <v>kL</v>
      </c>
      <c r="G75" s="154" cm="1">
        <f t="array" ref="G75">Common_InputFunctions.Utility_DisplayArrayInTable(Fuel_SourceData.Fuel_Scope1Scope3EmissionFactorsStationaryLiquid_Data(), Table_Fuel_EFs_StationaryLiquid[[#Headers],[Fuel combusted]],0)</f>
        <v>0</v>
      </c>
      <c r="H75" s="154" cm="1">
        <f t="array" ref="H75">Common_InputFunctions.Utility_DisplayArrayInTable(Fuel_SourceData.Fuel_Scope1Scope3EmissionFactorsStationaryLiquid_Data(), Table_Fuel_EFs_StationaryLiquid[[#Headers],[Fuel combusted]],0)</f>
        <v>0.08</v>
      </c>
      <c r="I75" s="154" cm="1">
        <f t="array" ref="I75">Common_InputFunctions.Utility_DisplayArrayInTable(Fuel_SourceData.Fuel_Scope1Scope3EmissionFactorsStationaryLiquid_Data(), Table_Fuel_EFs_StationaryLiquid[[#Headers],[Fuel combusted]],0)</f>
        <v>0.2</v>
      </c>
      <c r="J75" s="154" cm="1">
        <f t="array" ref="J75">Common_InputFunctions.Utility_DisplayArrayInTable(Fuel_SourceData.Fuel_Scope1Scope3EmissionFactorsStationaryLiquid_Data(), Table_Fuel_EFs_StationaryLiquid[[#Headers],[Fuel combusted]],0)</f>
        <v>0.28000000000000003</v>
      </c>
      <c r="K75" s="154" t="str" cm="1">
        <f t="array" ref="K75">Common_InputFunctions.Utility_DisplayArrayInTable(Fuel_SourceData.Fuel_Scope1Scope3EmissionFactorsStationaryLiquid_Data(), Table_Fuel_EFs_StationaryLiquid[[#Headers],[Fuel combusted]],0)</f>
        <v>NE</v>
      </c>
      <c r="L75" s="103"/>
    </row>
    <row r="76" spans="1:13" ht="20.100000000000001" customHeight="1" x14ac:dyDescent="0.25">
      <c r="A76"/>
      <c r="D76" s="154" t="str" cm="1">
        <f t="array" ref="D76">Common_InputFunctions.Utility_DisplayArrayInTable(Fuel_SourceData.Fuel_Scope1Scope3EmissionFactorsStationaryLiquid_Data(), Table_Fuel_EFs_StationaryLiquid[[#Headers],[Fuel combusted]],0)</f>
        <v>Renewable aviation kerosene</v>
      </c>
      <c r="E76" s="154" cm="1">
        <f t="array" ref="E76">Common_InputFunctions.Utility_DisplayArrayInTable(Fuel_SourceData.Fuel_Scope1Scope3EmissionFactorsStationaryLiquid_Data(), Table_Fuel_EFs_StationaryLiquid[[#Headers],[Fuel combusted]],0)</f>
        <v>36.799999999999997</v>
      </c>
      <c r="F76" s="154" t="str" cm="1">
        <f t="array" ref="F76">Common_InputFunctions.Utility_DisplayArrayInTable(Fuel_SourceData.Fuel_Scope1Scope3EmissionFactorsStationaryLiquid_Data(), Table_Fuel_EFs_StationaryLiquid[[#Headers],[Fuel combusted]],0)</f>
        <v>kL</v>
      </c>
      <c r="G76" s="154" cm="1">
        <f t="array" ref="G76">Common_InputFunctions.Utility_DisplayArrayInTable(Fuel_SourceData.Fuel_Scope1Scope3EmissionFactorsStationaryLiquid_Data(), Table_Fuel_EFs_StationaryLiquid[[#Headers],[Fuel combusted]],0)</f>
        <v>0</v>
      </c>
      <c r="H76" s="154" cm="1">
        <f t="array" ref="H76">Common_InputFunctions.Utility_DisplayArrayInTable(Fuel_SourceData.Fuel_Scope1Scope3EmissionFactorsStationaryLiquid_Data(), Table_Fuel_EFs_StationaryLiquid[[#Headers],[Fuel combusted]],0)</f>
        <v>0.02</v>
      </c>
      <c r="I76" s="154" cm="1">
        <f t="array" ref="I76">Common_InputFunctions.Utility_DisplayArrayInTable(Fuel_SourceData.Fuel_Scope1Scope3EmissionFactorsStationaryLiquid_Data(), Table_Fuel_EFs_StationaryLiquid[[#Headers],[Fuel combusted]],0)</f>
        <v>0.2</v>
      </c>
      <c r="J76" s="154" cm="1">
        <f t="array" ref="J76">Common_InputFunctions.Utility_DisplayArrayInTable(Fuel_SourceData.Fuel_Scope1Scope3EmissionFactorsStationaryLiquid_Data(), Table_Fuel_EFs_StationaryLiquid[[#Headers],[Fuel combusted]],0)</f>
        <v>0.22</v>
      </c>
      <c r="K76" s="154" t="str" cm="1">
        <f t="array" ref="K76">Common_InputFunctions.Utility_DisplayArrayInTable(Fuel_SourceData.Fuel_Scope1Scope3EmissionFactorsStationaryLiquid_Data(), Table_Fuel_EFs_StationaryLiquid[[#Headers],[Fuel combusted]],0)</f>
        <v>NE</v>
      </c>
      <c r="L76" s="103"/>
    </row>
    <row r="77" spans="1:13" ht="20.100000000000001" customHeight="1" x14ac:dyDescent="0.25">
      <c r="A77"/>
      <c r="D77" s="154" t="str" cm="1">
        <f t="array" ref="D77">Common_InputFunctions.Utility_DisplayArrayInTable(Fuel_SourceData.Fuel_Scope1Scope3EmissionFactorsStationaryLiquid_Data(), Table_Fuel_EFs_StationaryLiquid[[#Headers],[Fuel combusted]],0)</f>
        <v>Renewable diesel</v>
      </c>
      <c r="E77" s="154" cm="1">
        <f t="array" ref="E77">Common_InputFunctions.Utility_DisplayArrayInTable(Fuel_SourceData.Fuel_Scope1Scope3EmissionFactorsStationaryLiquid_Data(), Table_Fuel_EFs_StationaryLiquid[[#Headers],[Fuel combusted]],0)</f>
        <v>38.6</v>
      </c>
      <c r="F77" s="154" t="str" cm="1">
        <f t="array" ref="F77">Common_InputFunctions.Utility_DisplayArrayInTable(Fuel_SourceData.Fuel_Scope1Scope3EmissionFactorsStationaryLiquid_Data(), Table_Fuel_EFs_StationaryLiquid[[#Headers],[Fuel combusted]],0)</f>
        <v>kL</v>
      </c>
      <c r="G77" s="154" cm="1">
        <f t="array" ref="G77">Common_InputFunctions.Utility_DisplayArrayInTable(Fuel_SourceData.Fuel_Scope1Scope3EmissionFactorsStationaryLiquid_Data(), Table_Fuel_EFs_StationaryLiquid[[#Headers],[Fuel combusted]],0)</f>
        <v>0</v>
      </c>
      <c r="H77" s="154" cm="1">
        <f t="array" ref="H77">Common_InputFunctions.Utility_DisplayArrayInTable(Fuel_SourceData.Fuel_Scope1Scope3EmissionFactorsStationaryLiquid_Data(), Table_Fuel_EFs_StationaryLiquid[[#Headers],[Fuel combusted]],0)</f>
        <v>0.1</v>
      </c>
      <c r="I77" s="154" cm="1">
        <f t="array" ref="I77">Common_InputFunctions.Utility_DisplayArrayInTable(Fuel_SourceData.Fuel_Scope1Scope3EmissionFactorsStationaryLiquid_Data(), Table_Fuel_EFs_StationaryLiquid[[#Headers],[Fuel combusted]],0)</f>
        <v>0.2</v>
      </c>
      <c r="J77" s="154" cm="1">
        <f t="array" ref="J77">Common_InputFunctions.Utility_DisplayArrayInTable(Fuel_SourceData.Fuel_Scope1Scope3EmissionFactorsStationaryLiquid_Data(), Table_Fuel_EFs_StationaryLiquid[[#Headers],[Fuel combusted]],0)</f>
        <v>0.3</v>
      </c>
      <c r="K77" s="154" t="str" cm="1">
        <f t="array" ref="K77">Common_InputFunctions.Utility_DisplayArrayInTable(Fuel_SourceData.Fuel_Scope1Scope3EmissionFactorsStationaryLiquid_Data(), Table_Fuel_EFs_StationaryLiquid[[#Headers],[Fuel combusted]],0)</f>
        <v>NE</v>
      </c>
      <c r="L77" s="103"/>
    </row>
    <row r="78" spans="1:13" ht="20.100000000000001" customHeight="1" x14ac:dyDescent="0.25">
      <c r="A78"/>
      <c r="D78" s="103"/>
      <c r="E78" s="103"/>
      <c r="F78" s="103"/>
      <c r="G78" s="103"/>
      <c r="H78" s="103"/>
      <c r="I78" s="103"/>
      <c r="J78" s="103"/>
      <c r="K78" s="103"/>
      <c r="L78" s="103"/>
    </row>
    <row r="79" spans="1:13" ht="20.100000000000001" customHeight="1" x14ac:dyDescent="0.25">
      <c r="A79"/>
      <c r="D79" s="103"/>
      <c r="E79" s="103"/>
      <c r="F79" s="103"/>
      <c r="G79" s="103"/>
      <c r="H79" s="103"/>
      <c r="I79" s="103"/>
      <c r="J79" s="103"/>
      <c r="K79" s="103"/>
      <c r="L79" s="103"/>
      <c r="M79" s="103"/>
    </row>
    <row r="80" spans="1:13" ht="20.100000000000001" customHeight="1" x14ac:dyDescent="0.25">
      <c r="A80"/>
      <c r="D80" s="103"/>
      <c r="E80" s="103"/>
      <c r="F80" s="103"/>
      <c r="G80" s="103"/>
      <c r="H80" s="103"/>
      <c r="I80" s="103"/>
      <c r="J80" s="103"/>
      <c r="K80" s="103"/>
      <c r="L80" s="103"/>
      <c r="M80" s="103"/>
    </row>
    <row r="81" spans="1:12" ht="20.100000000000001" customHeight="1" x14ac:dyDescent="0.25">
      <c r="A81"/>
      <c r="D81" s="16" t="str" cm="1">
        <f t="array" ref="D81">Fuel_SourceData.Fuel_Scope1EmissionFactorsStationaryGaseous_Title()</f>
        <v>Fuel scope 1 emission factors - Stationary gaseous fuels</v>
      </c>
      <c r="E81" s="103"/>
      <c r="F81" s="103"/>
      <c r="G81" s="103"/>
      <c r="H81" s="103"/>
      <c r="I81" s="103"/>
      <c r="J81" s="103"/>
      <c r="K81" s="103"/>
      <c r="L81" s="103"/>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3"/>
      <c r="F82" s="103"/>
      <c r="G82" s="103"/>
      <c r="H82" s="103"/>
      <c r="I82" s="103"/>
      <c r="J82" s="103"/>
      <c r="K82" s="103"/>
      <c r="L82" s="103"/>
    </row>
    <row r="83" spans="1:12" ht="20.100000000000001" customHeight="1" x14ac:dyDescent="0.25">
      <c r="A83"/>
      <c r="D83" s="18" t="str" cm="1">
        <f t="array" ref="D83">Fuel_SourceData.Fuel_Scope1EmissionFactorsStationaryGaseous_Source()</f>
        <v>Australian National Greenhouse Accounts Factors 2025 - Table 5</v>
      </c>
      <c r="E83" s="103"/>
      <c r="F83" s="103"/>
      <c r="G83" s="103"/>
      <c r="H83" s="103"/>
      <c r="I83" s="103"/>
      <c r="J83" s="103"/>
      <c r="K83" s="103"/>
      <c r="L83" s="103"/>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3"/>
      <c r="F84" s="103"/>
      <c r="G84" s="103"/>
      <c r="H84" s="103"/>
      <c r="I84" s="103"/>
      <c r="J84" s="103"/>
      <c r="K84" s="103"/>
      <c r="L84" s="103"/>
    </row>
    <row r="85" spans="1:12" ht="20.100000000000001" customHeight="1" x14ac:dyDescent="0.25">
      <c r="A85"/>
      <c r="D85" s="103"/>
      <c r="E85" s="103"/>
      <c r="F85" s="103"/>
      <c r="G85" s="103"/>
      <c r="H85" s="103"/>
      <c r="I85" s="103"/>
      <c r="J85" s="103"/>
      <c r="K85" s="103"/>
      <c r="L85" s="103"/>
    </row>
    <row r="86" spans="1:12" ht="20.100000000000001" customHeight="1" x14ac:dyDescent="0.25">
      <c r="A86"/>
      <c r="D86" s="153" t="s">
        <v>345</v>
      </c>
      <c r="E86" s="150" t="s">
        <v>346</v>
      </c>
      <c r="F86" s="153" t="s">
        <v>347</v>
      </c>
      <c r="G86" s="150" t="s">
        <v>348</v>
      </c>
      <c r="H86" s="150" t="s">
        <v>349</v>
      </c>
      <c r="I86" s="150" t="s">
        <v>350</v>
      </c>
      <c r="J86" s="150" t="s">
        <v>351</v>
      </c>
      <c r="K86" s="103"/>
      <c r="L86" s="103"/>
    </row>
    <row r="87" spans="1:12" ht="20.100000000000001" customHeight="1" x14ac:dyDescent="0.25">
      <c r="A87"/>
      <c r="D87" s="154" t="str" cm="1">
        <f t="array" ref="D87">Common_InputFunctions.Utility_DisplayArrayInTable(Fuel_SourceData.Fuel_Scope1EmissionFactorsStationaryGaseous_Data(), Table_Fuel_EFs_StationaryGaseous[[#Headers],[Fuel combusted]],0)</f>
        <v>Natural gas distributed in a pipeline</v>
      </c>
      <c r="E87" s="154" cm="1">
        <f t="array" ref="E87">Common_InputFunctions.Utility_DisplayArrayInTable(Fuel_SourceData.Fuel_Scope1EmissionFactorsStationaryGaseous_Data(), Table_Fuel_EFs_StationaryGaseous[[#Headers],[Fuel combusted]],0)</f>
        <v>3.9300000000000002E-2</v>
      </c>
      <c r="F87" s="154" t="str" cm="1">
        <f t="array" ref="F87">Common_InputFunctions.Utility_DisplayArrayInTable(Fuel_SourceData.Fuel_Scope1EmissionFactorsStationaryGaseous_Data(), Table_Fuel_EFs_StationaryGaseous[[#Headers],[Fuel combusted]],0)</f>
        <v>m3</v>
      </c>
      <c r="G87" s="154" cm="1">
        <f t="array" ref="G87">Common_InputFunctions.Utility_DisplayArrayInTable(Fuel_SourceData.Fuel_Scope1EmissionFactorsStationaryGaseous_Data(), Table_Fuel_EFs_StationaryGaseous[[#Headers],[Fuel combusted]],0)</f>
        <v>51.4</v>
      </c>
      <c r="H87" s="154" cm="1">
        <f t="array" ref="H87">Common_InputFunctions.Utility_DisplayArrayInTable(Fuel_SourceData.Fuel_Scope1EmissionFactorsStationaryGaseous_Data(), Table_Fuel_EFs_StationaryGaseous[[#Headers],[Fuel combusted]],0)</f>
        <v>0.1</v>
      </c>
      <c r="I87" s="154" cm="1">
        <f t="array" ref="I87">Common_InputFunctions.Utility_DisplayArrayInTable(Fuel_SourceData.Fuel_Scope1EmissionFactorsStationaryGaseous_Data(), Table_Fuel_EFs_StationaryGaseous[[#Headers],[Fuel combusted]],0)</f>
        <v>0.03</v>
      </c>
      <c r="J87" s="154" cm="1">
        <f t="array" ref="J87">Common_InputFunctions.Utility_DisplayArrayInTable(Fuel_SourceData.Fuel_Scope1EmissionFactorsStationaryGaseous_Data(), Table_Fuel_EFs_StationaryGaseous[[#Headers],[Fuel combusted]],0)</f>
        <v>51.53</v>
      </c>
      <c r="K87" s="103"/>
      <c r="L87" s="103"/>
    </row>
    <row r="88" spans="1:12" ht="20.100000000000001" customHeight="1" x14ac:dyDescent="0.25">
      <c r="A88"/>
      <c r="D88" s="154" t="str" cm="1">
        <f t="array" ref="D88">Common_InputFunctions.Utility_DisplayArrayInTable(Fuel_SourceData.Fuel_Scope1EmissionFactorsStationaryGaseous_Data(), Table_Fuel_EFs_StationaryGaseous[[#Headers],[Fuel combusted]],0)</f>
        <v>Coal seam methane that is captured for combustion</v>
      </c>
      <c r="E88" s="154" cm="1">
        <f t="array" ref="E88">Common_InputFunctions.Utility_DisplayArrayInTable(Fuel_SourceData.Fuel_Scope1EmissionFactorsStationaryGaseous_Data(), Table_Fuel_EFs_StationaryGaseous[[#Headers],[Fuel combusted]],0)</f>
        <v>3.7699999999999997E-2</v>
      </c>
      <c r="F88" s="154" t="str" cm="1">
        <f t="array" ref="F88">Common_InputFunctions.Utility_DisplayArrayInTable(Fuel_SourceData.Fuel_Scope1EmissionFactorsStationaryGaseous_Data(), Table_Fuel_EFs_StationaryGaseous[[#Headers],[Fuel combusted]],0)</f>
        <v>m3</v>
      </c>
      <c r="G88" s="154" cm="1">
        <f t="array" ref="G88">Common_InputFunctions.Utility_DisplayArrayInTable(Fuel_SourceData.Fuel_Scope1EmissionFactorsStationaryGaseous_Data(), Table_Fuel_EFs_StationaryGaseous[[#Headers],[Fuel combusted]],0)</f>
        <v>51.4</v>
      </c>
      <c r="H88" s="154" cm="1">
        <f t="array" ref="H88">Common_InputFunctions.Utility_DisplayArrayInTable(Fuel_SourceData.Fuel_Scope1EmissionFactorsStationaryGaseous_Data(), Table_Fuel_EFs_StationaryGaseous[[#Headers],[Fuel combusted]],0)</f>
        <v>0.2</v>
      </c>
      <c r="I88" s="154" cm="1">
        <f t="array" ref="I88">Common_InputFunctions.Utility_DisplayArrayInTable(Fuel_SourceData.Fuel_Scope1EmissionFactorsStationaryGaseous_Data(), Table_Fuel_EFs_StationaryGaseous[[#Headers],[Fuel combusted]],0)</f>
        <v>0.03</v>
      </c>
      <c r="J88" s="154" cm="1">
        <f t="array" ref="J88">Common_InputFunctions.Utility_DisplayArrayInTable(Fuel_SourceData.Fuel_Scope1EmissionFactorsStationaryGaseous_Data(), Table_Fuel_EFs_StationaryGaseous[[#Headers],[Fuel combusted]],0)</f>
        <v>51.63</v>
      </c>
      <c r="K88" s="103"/>
      <c r="L88" s="103"/>
    </row>
    <row r="89" spans="1:12" ht="20.100000000000001" customHeight="1" x14ac:dyDescent="0.25">
      <c r="A89"/>
      <c r="D89" s="154" t="str" cm="1">
        <f t="array" ref="D89">Common_InputFunctions.Utility_DisplayArrayInTable(Fuel_SourceData.Fuel_Scope1EmissionFactorsStationaryGaseous_Data(), Table_Fuel_EFs_StationaryGaseous[[#Headers],[Fuel combusted]],0)</f>
        <v>Coal mine waste gas that is captured for combustion</v>
      </c>
      <c r="E89" s="154" cm="1">
        <f t="array" ref="E89">Common_InputFunctions.Utility_DisplayArrayInTable(Fuel_SourceData.Fuel_Scope1EmissionFactorsStationaryGaseous_Data(), Table_Fuel_EFs_StationaryGaseous[[#Headers],[Fuel combusted]],0)</f>
        <v>3.7699999999999997E-2</v>
      </c>
      <c r="F89" s="154" t="str" cm="1">
        <f t="array" ref="F89">Common_InputFunctions.Utility_DisplayArrayInTable(Fuel_SourceData.Fuel_Scope1EmissionFactorsStationaryGaseous_Data(), Table_Fuel_EFs_StationaryGaseous[[#Headers],[Fuel combusted]],0)</f>
        <v>m3</v>
      </c>
      <c r="G89" s="154" cm="1">
        <f t="array" ref="G89">Common_InputFunctions.Utility_DisplayArrayInTable(Fuel_SourceData.Fuel_Scope1EmissionFactorsStationaryGaseous_Data(), Table_Fuel_EFs_StationaryGaseous[[#Headers],[Fuel combusted]],0)</f>
        <v>51.9</v>
      </c>
      <c r="H89" s="154" cm="1">
        <f t="array" ref="H89">Common_InputFunctions.Utility_DisplayArrayInTable(Fuel_SourceData.Fuel_Scope1EmissionFactorsStationaryGaseous_Data(), Table_Fuel_EFs_StationaryGaseous[[#Headers],[Fuel combusted]],0)</f>
        <v>4.5999999999999996</v>
      </c>
      <c r="I89" s="154" cm="1">
        <f t="array" ref="I89">Common_InputFunctions.Utility_DisplayArrayInTable(Fuel_SourceData.Fuel_Scope1EmissionFactorsStationaryGaseous_Data(), Table_Fuel_EFs_StationaryGaseous[[#Headers],[Fuel combusted]],0)</f>
        <v>0.3</v>
      </c>
      <c r="J89" s="154" cm="1">
        <f t="array" ref="J89">Common_InputFunctions.Utility_DisplayArrayInTable(Fuel_SourceData.Fuel_Scope1EmissionFactorsStationaryGaseous_Data(), Table_Fuel_EFs_StationaryGaseous[[#Headers],[Fuel combusted]],0)</f>
        <v>56.8</v>
      </c>
      <c r="K89" s="103"/>
      <c r="L89" s="103"/>
    </row>
    <row r="90" spans="1:12" ht="20.100000000000001" customHeight="1" x14ac:dyDescent="0.25">
      <c r="A90"/>
      <c r="D90" s="154" t="str" cm="1">
        <f t="array" ref="D90">Common_InputFunctions.Utility_DisplayArrayInTable(Fuel_SourceData.Fuel_Scope1EmissionFactorsStationaryGaseous_Data(), Table_Fuel_EFs_StationaryGaseous[[#Headers],[Fuel combusted]],0)</f>
        <v>Compressed natural gas(reverting to standard conditions)</v>
      </c>
      <c r="E90" s="154" cm="1">
        <f t="array" ref="E90">Common_InputFunctions.Utility_DisplayArrayInTable(Fuel_SourceData.Fuel_Scope1EmissionFactorsStationaryGaseous_Data(), Table_Fuel_EFs_StationaryGaseous[[#Headers],[Fuel combusted]],0)</f>
        <v>3.9300000000000002E-2</v>
      </c>
      <c r="F90" s="154" t="str" cm="1">
        <f t="array" ref="F90">Common_InputFunctions.Utility_DisplayArrayInTable(Fuel_SourceData.Fuel_Scope1EmissionFactorsStationaryGaseous_Data(), Table_Fuel_EFs_StationaryGaseous[[#Headers],[Fuel combusted]],0)</f>
        <v>m3</v>
      </c>
      <c r="G90" s="154" cm="1">
        <f t="array" ref="G90">Common_InputFunctions.Utility_DisplayArrayInTable(Fuel_SourceData.Fuel_Scope1EmissionFactorsStationaryGaseous_Data(), Table_Fuel_EFs_StationaryGaseous[[#Headers],[Fuel combusted]],0)</f>
        <v>51.4</v>
      </c>
      <c r="H90" s="154" cm="1">
        <f t="array" ref="H90">Common_InputFunctions.Utility_DisplayArrayInTable(Fuel_SourceData.Fuel_Scope1EmissionFactorsStationaryGaseous_Data(), Table_Fuel_EFs_StationaryGaseous[[#Headers],[Fuel combusted]],0)</f>
        <v>0.1</v>
      </c>
      <c r="I90" s="154" cm="1">
        <f t="array" ref="I90">Common_InputFunctions.Utility_DisplayArrayInTable(Fuel_SourceData.Fuel_Scope1EmissionFactorsStationaryGaseous_Data(), Table_Fuel_EFs_StationaryGaseous[[#Headers],[Fuel combusted]],0)</f>
        <v>0.03</v>
      </c>
      <c r="J90" s="154" cm="1">
        <f t="array" ref="J90">Common_InputFunctions.Utility_DisplayArrayInTable(Fuel_SourceData.Fuel_Scope1EmissionFactorsStationaryGaseous_Data(), Table_Fuel_EFs_StationaryGaseous[[#Headers],[Fuel combusted]],0)</f>
        <v>51.53</v>
      </c>
      <c r="K90" s="103"/>
      <c r="L90" s="103"/>
    </row>
    <row r="91" spans="1:12" ht="20.100000000000001" customHeight="1" x14ac:dyDescent="0.25">
      <c r="A91"/>
      <c r="D91" s="154" t="str" cm="1">
        <f t="array" ref="D91">Common_InputFunctions.Utility_DisplayArrayInTable(Fuel_SourceData.Fuel_Scope1EmissionFactorsStationaryGaseous_Data(), Table_Fuel_EFs_StationaryGaseous[[#Headers],[Fuel combusted]],0)</f>
        <v>Unprocessed natural gas</v>
      </c>
      <c r="E91" s="154" cm="1">
        <f t="array" ref="E91">Common_InputFunctions.Utility_DisplayArrayInTable(Fuel_SourceData.Fuel_Scope1EmissionFactorsStationaryGaseous_Data(), Table_Fuel_EFs_StationaryGaseous[[#Headers],[Fuel combusted]],0)</f>
        <v>3.9300000000000002E-2</v>
      </c>
      <c r="F91" s="154" t="str" cm="1">
        <f t="array" ref="F91">Common_InputFunctions.Utility_DisplayArrayInTable(Fuel_SourceData.Fuel_Scope1EmissionFactorsStationaryGaseous_Data(), Table_Fuel_EFs_StationaryGaseous[[#Headers],[Fuel combusted]],0)</f>
        <v>m3</v>
      </c>
      <c r="G91" s="154" cm="1">
        <f t="array" ref="G91">Common_InputFunctions.Utility_DisplayArrayInTable(Fuel_SourceData.Fuel_Scope1EmissionFactorsStationaryGaseous_Data(), Table_Fuel_EFs_StationaryGaseous[[#Headers],[Fuel combusted]],0)</f>
        <v>51.4</v>
      </c>
      <c r="H91" s="154" cm="1">
        <f t="array" ref="H91">Common_InputFunctions.Utility_DisplayArrayInTable(Fuel_SourceData.Fuel_Scope1EmissionFactorsStationaryGaseous_Data(), Table_Fuel_EFs_StationaryGaseous[[#Headers],[Fuel combusted]],0)</f>
        <v>0.1</v>
      </c>
      <c r="I91" s="154" cm="1">
        <f t="array" ref="I91">Common_InputFunctions.Utility_DisplayArrayInTable(Fuel_SourceData.Fuel_Scope1EmissionFactorsStationaryGaseous_Data(), Table_Fuel_EFs_StationaryGaseous[[#Headers],[Fuel combusted]],0)</f>
        <v>0.03</v>
      </c>
      <c r="J91" s="154" cm="1">
        <f t="array" ref="J91">Common_InputFunctions.Utility_DisplayArrayInTable(Fuel_SourceData.Fuel_Scope1EmissionFactorsStationaryGaseous_Data(), Table_Fuel_EFs_StationaryGaseous[[#Headers],[Fuel combusted]],0)</f>
        <v>51.53</v>
      </c>
      <c r="K91" s="103"/>
      <c r="L91" s="103"/>
    </row>
    <row r="92" spans="1:12" ht="20.100000000000001" customHeight="1" x14ac:dyDescent="0.25">
      <c r="A92"/>
      <c r="D92" s="154" t="str" cm="1">
        <f t="array" ref="D92">Common_InputFunctions.Utility_DisplayArrayInTable(Fuel_SourceData.Fuel_Scope1EmissionFactorsStationaryGaseous_Data(), Table_Fuel_EFs_StationaryGaseous[[#Headers],[Fuel combusted]],0)</f>
        <v>Ethane</v>
      </c>
      <c r="E92" s="154" cm="1">
        <f t="array" ref="E92">Common_InputFunctions.Utility_DisplayArrayInTable(Fuel_SourceData.Fuel_Scope1EmissionFactorsStationaryGaseous_Data(), Table_Fuel_EFs_StationaryGaseous[[#Headers],[Fuel combusted]],0)</f>
        <v>6.2899999999999998E-2</v>
      </c>
      <c r="F92" s="154" t="str" cm="1">
        <f t="array" ref="F92">Common_InputFunctions.Utility_DisplayArrayInTable(Fuel_SourceData.Fuel_Scope1EmissionFactorsStationaryGaseous_Data(), Table_Fuel_EFs_StationaryGaseous[[#Headers],[Fuel combusted]],0)</f>
        <v>m3</v>
      </c>
      <c r="G92" s="154" cm="1">
        <f t="array" ref="G92">Common_InputFunctions.Utility_DisplayArrayInTable(Fuel_SourceData.Fuel_Scope1EmissionFactorsStationaryGaseous_Data(), Table_Fuel_EFs_StationaryGaseous[[#Headers],[Fuel combusted]],0)</f>
        <v>56.5</v>
      </c>
      <c r="H92" s="154" cm="1">
        <f t="array" ref="H92">Common_InputFunctions.Utility_DisplayArrayInTable(Fuel_SourceData.Fuel_Scope1EmissionFactorsStationaryGaseous_Data(), Table_Fuel_EFs_StationaryGaseous[[#Headers],[Fuel combusted]],0)</f>
        <v>0.03</v>
      </c>
      <c r="I92" s="154" cm="1">
        <f t="array" ref="I92">Common_InputFunctions.Utility_DisplayArrayInTable(Fuel_SourceData.Fuel_Scope1EmissionFactorsStationaryGaseous_Data(), Table_Fuel_EFs_StationaryGaseous[[#Headers],[Fuel combusted]],0)</f>
        <v>0.03</v>
      </c>
      <c r="J92" s="154" cm="1">
        <f t="array" ref="J92">Common_InputFunctions.Utility_DisplayArrayInTable(Fuel_SourceData.Fuel_Scope1EmissionFactorsStationaryGaseous_Data(), Table_Fuel_EFs_StationaryGaseous[[#Headers],[Fuel combusted]],0)</f>
        <v>56.56</v>
      </c>
      <c r="K92" s="103"/>
      <c r="L92" s="103"/>
    </row>
    <row r="93" spans="1:12" ht="20.100000000000001" customHeight="1" x14ac:dyDescent="0.25">
      <c r="A93"/>
      <c r="D93" s="154" t="str" cm="1">
        <f t="array" ref="D93">Common_InputFunctions.Utility_DisplayArrayInTable(Fuel_SourceData.Fuel_Scope1EmissionFactorsStationaryGaseous_Data(), Table_Fuel_EFs_StationaryGaseous[[#Headers],[Fuel combusted]],0)</f>
        <v>Coke oven gas</v>
      </c>
      <c r="E93" s="154" cm="1">
        <f t="array" ref="E93">Common_InputFunctions.Utility_DisplayArrayInTable(Fuel_SourceData.Fuel_Scope1EmissionFactorsStationaryGaseous_Data(), Table_Fuel_EFs_StationaryGaseous[[#Headers],[Fuel combusted]],0)</f>
        <v>1.8100000000000002E-2</v>
      </c>
      <c r="F93" s="154" t="str" cm="1">
        <f t="array" ref="F93">Common_InputFunctions.Utility_DisplayArrayInTable(Fuel_SourceData.Fuel_Scope1EmissionFactorsStationaryGaseous_Data(), Table_Fuel_EFs_StationaryGaseous[[#Headers],[Fuel combusted]],0)</f>
        <v>m3</v>
      </c>
      <c r="G93" s="154" cm="1">
        <f t="array" ref="G93">Common_InputFunctions.Utility_DisplayArrayInTable(Fuel_SourceData.Fuel_Scope1EmissionFactorsStationaryGaseous_Data(), Table_Fuel_EFs_StationaryGaseous[[#Headers],[Fuel combusted]],0)</f>
        <v>37</v>
      </c>
      <c r="H93" s="154" cm="1">
        <f t="array" ref="H93">Common_InputFunctions.Utility_DisplayArrayInTable(Fuel_SourceData.Fuel_Scope1EmissionFactorsStationaryGaseous_Data(), Table_Fuel_EFs_StationaryGaseous[[#Headers],[Fuel combusted]],0)</f>
        <v>0.03</v>
      </c>
      <c r="I93" s="154" cm="1">
        <f t="array" ref="I93">Common_InputFunctions.Utility_DisplayArrayInTable(Fuel_SourceData.Fuel_Scope1EmissionFactorsStationaryGaseous_Data(), Table_Fuel_EFs_StationaryGaseous[[#Headers],[Fuel combusted]],0)</f>
        <v>0.05</v>
      </c>
      <c r="J93" s="154" cm="1">
        <f t="array" ref="J93">Common_InputFunctions.Utility_DisplayArrayInTable(Fuel_SourceData.Fuel_Scope1EmissionFactorsStationaryGaseous_Data(), Table_Fuel_EFs_StationaryGaseous[[#Headers],[Fuel combusted]],0)</f>
        <v>37.08</v>
      </c>
      <c r="K93" s="103"/>
      <c r="L93" s="103"/>
    </row>
    <row r="94" spans="1:12" ht="20.100000000000001" customHeight="1" x14ac:dyDescent="0.25">
      <c r="A94"/>
      <c r="D94" s="154" t="str" cm="1">
        <f t="array" ref="D94">Common_InputFunctions.Utility_DisplayArrayInTable(Fuel_SourceData.Fuel_Scope1EmissionFactorsStationaryGaseous_Data(), Table_Fuel_EFs_StationaryGaseous[[#Headers],[Fuel combusted]],0)</f>
        <v>Blast furnace gas</v>
      </c>
      <c r="E94" s="154" cm="1">
        <f t="array" ref="E94">Common_InputFunctions.Utility_DisplayArrayInTable(Fuel_SourceData.Fuel_Scope1EmissionFactorsStationaryGaseous_Data(), Table_Fuel_EFs_StationaryGaseous[[#Headers],[Fuel combusted]],0)</f>
        <v>4.0000000000000001E-3</v>
      </c>
      <c r="F94" s="154" t="str" cm="1">
        <f t="array" ref="F94">Common_InputFunctions.Utility_DisplayArrayInTable(Fuel_SourceData.Fuel_Scope1EmissionFactorsStationaryGaseous_Data(), Table_Fuel_EFs_StationaryGaseous[[#Headers],[Fuel combusted]],0)</f>
        <v>m3</v>
      </c>
      <c r="G94" s="154" cm="1">
        <f t="array" ref="G94">Common_InputFunctions.Utility_DisplayArrayInTable(Fuel_SourceData.Fuel_Scope1EmissionFactorsStationaryGaseous_Data(), Table_Fuel_EFs_StationaryGaseous[[#Headers],[Fuel combusted]],0)</f>
        <v>234</v>
      </c>
      <c r="H94" s="154" cm="1">
        <f t="array" ref="H94">Common_InputFunctions.Utility_DisplayArrayInTable(Fuel_SourceData.Fuel_Scope1EmissionFactorsStationaryGaseous_Data(), Table_Fuel_EFs_StationaryGaseous[[#Headers],[Fuel combusted]],0)</f>
        <v>0.03</v>
      </c>
      <c r="I94" s="154" cm="1">
        <f t="array" ref="I94">Common_InputFunctions.Utility_DisplayArrayInTable(Fuel_SourceData.Fuel_Scope1EmissionFactorsStationaryGaseous_Data(), Table_Fuel_EFs_StationaryGaseous[[#Headers],[Fuel combusted]],0)</f>
        <v>0.02</v>
      </c>
      <c r="J94" s="154" cm="1">
        <f t="array" ref="J94">Common_InputFunctions.Utility_DisplayArrayInTable(Fuel_SourceData.Fuel_Scope1EmissionFactorsStationaryGaseous_Data(), Table_Fuel_EFs_StationaryGaseous[[#Headers],[Fuel combusted]],0)</f>
        <v>234.05</v>
      </c>
      <c r="K94" s="103"/>
      <c r="L94" s="103"/>
    </row>
    <row r="95" spans="1:12" ht="20.100000000000001" customHeight="1" x14ac:dyDescent="0.25">
      <c r="A95"/>
      <c r="D95" s="154" t="str" cm="1">
        <f t="array" ref="D95">Common_InputFunctions.Utility_DisplayArrayInTable(Fuel_SourceData.Fuel_Scope1EmissionFactorsStationaryGaseous_Data(), Table_Fuel_EFs_StationaryGaseous[[#Headers],[Fuel combusted]],0)</f>
        <v>Town gas</v>
      </c>
      <c r="E95" s="154" cm="1">
        <f t="array" ref="E95">Common_InputFunctions.Utility_DisplayArrayInTable(Fuel_SourceData.Fuel_Scope1EmissionFactorsStationaryGaseous_Data(), Table_Fuel_EFs_StationaryGaseous[[#Headers],[Fuel combusted]],0)</f>
        <v>3.9E-2</v>
      </c>
      <c r="F95" s="154" t="str" cm="1">
        <f t="array" ref="F95">Common_InputFunctions.Utility_DisplayArrayInTable(Fuel_SourceData.Fuel_Scope1EmissionFactorsStationaryGaseous_Data(), Table_Fuel_EFs_StationaryGaseous[[#Headers],[Fuel combusted]],0)</f>
        <v>m3</v>
      </c>
      <c r="G95" s="154" cm="1">
        <f t="array" ref="G95">Common_InputFunctions.Utility_DisplayArrayInTable(Fuel_SourceData.Fuel_Scope1EmissionFactorsStationaryGaseous_Data(), Table_Fuel_EFs_StationaryGaseous[[#Headers],[Fuel combusted]],0)</f>
        <v>60.2</v>
      </c>
      <c r="H95" s="154" cm="1">
        <f t="array" ref="H95">Common_InputFunctions.Utility_DisplayArrayInTable(Fuel_SourceData.Fuel_Scope1EmissionFactorsStationaryGaseous_Data(), Table_Fuel_EFs_StationaryGaseous[[#Headers],[Fuel combusted]],0)</f>
        <v>0.04</v>
      </c>
      <c r="I95" s="154" cm="1">
        <f t="array" ref="I95">Common_InputFunctions.Utility_DisplayArrayInTable(Fuel_SourceData.Fuel_Scope1EmissionFactorsStationaryGaseous_Data(), Table_Fuel_EFs_StationaryGaseous[[#Headers],[Fuel combusted]],0)</f>
        <v>0.03</v>
      </c>
      <c r="J95" s="154" cm="1">
        <f t="array" ref="J95">Common_InputFunctions.Utility_DisplayArrayInTable(Fuel_SourceData.Fuel_Scope1EmissionFactorsStationaryGaseous_Data(), Table_Fuel_EFs_StationaryGaseous[[#Headers],[Fuel combusted]],0)</f>
        <v>60.27</v>
      </c>
      <c r="K95" s="103"/>
      <c r="L95" s="103"/>
    </row>
    <row r="96" spans="1:12" ht="20.100000000000001" customHeight="1" x14ac:dyDescent="0.25">
      <c r="A96"/>
      <c r="D96" s="154" t="str" cm="1">
        <f t="array" ref="D96">Common_InputFunctions.Utility_DisplayArrayInTable(Fuel_SourceData.Fuel_Scope1EmissionFactorsStationaryGaseous_Data(), Table_Fuel_EFs_StationaryGaseous[[#Headers],[Fuel combusted]],0)</f>
        <v>Liquefied natural gas</v>
      </c>
      <c r="E96" s="154" cm="1">
        <f t="array" ref="E96">Common_InputFunctions.Utility_DisplayArrayInTable(Fuel_SourceData.Fuel_Scope1EmissionFactorsStationaryGaseous_Data(), Table_Fuel_EFs_StationaryGaseous[[#Headers],[Fuel combusted]],0)</f>
        <v>25.3</v>
      </c>
      <c r="F96" s="154" t="str" cm="1">
        <f t="array" ref="F96">Common_InputFunctions.Utility_DisplayArrayInTable(Fuel_SourceData.Fuel_Scope1EmissionFactorsStationaryGaseous_Data(), Table_Fuel_EFs_StationaryGaseous[[#Headers],[Fuel combusted]],0)</f>
        <v>kL</v>
      </c>
      <c r="G96" s="154" cm="1">
        <f t="array" ref="G96">Common_InputFunctions.Utility_DisplayArrayInTable(Fuel_SourceData.Fuel_Scope1EmissionFactorsStationaryGaseous_Data(), Table_Fuel_EFs_StationaryGaseous[[#Headers],[Fuel combusted]],0)</f>
        <v>51.4</v>
      </c>
      <c r="H96" s="154" cm="1">
        <f t="array" ref="H96">Common_InputFunctions.Utility_DisplayArrayInTable(Fuel_SourceData.Fuel_Scope1EmissionFactorsStationaryGaseous_Data(), Table_Fuel_EFs_StationaryGaseous[[#Headers],[Fuel combusted]],0)</f>
        <v>0.1</v>
      </c>
      <c r="I96" s="154" cm="1">
        <f t="array" ref="I96">Common_InputFunctions.Utility_DisplayArrayInTable(Fuel_SourceData.Fuel_Scope1EmissionFactorsStationaryGaseous_Data(), Table_Fuel_EFs_StationaryGaseous[[#Headers],[Fuel combusted]],0)</f>
        <v>0.03</v>
      </c>
      <c r="J96" s="154" cm="1">
        <f t="array" ref="J96">Common_InputFunctions.Utility_DisplayArrayInTable(Fuel_SourceData.Fuel_Scope1EmissionFactorsStationaryGaseous_Data(), Table_Fuel_EFs_StationaryGaseous[[#Headers],[Fuel combusted]],0)</f>
        <v>51.53</v>
      </c>
      <c r="K96" s="103"/>
      <c r="L96" s="103"/>
    </row>
    <row r="97" spans="1:13" ht="20.100000000000001" customHeight="1" x14ac:dyDescent="0.25">
      <c r="A97"/>
      <c r="D97" s="154" t="str" cm="1">
        <f t="array" ref="D97">Common_InputFunctions.Utility_DisplayArrayInTable(Fuel_SourceData.Fuel_Scope1EmissionFactorsStationaryGaseous_Data(), Table_Fuel_EFs_StationaryGaseous[[#Headers],[Fuel combusted]],0)</f>
        <v>Gaseous fossil fuels other than those mentioned in the items above</v>
      </c>
      <c r="E97" s="154" cm="1">
        <f t="array" ref="E97">Common_InputFunctions.Utility_DisplayArrayInTable(Fuel_SourceData.Fuel_Scope1EmissionFactorsStationaryGaseous_Data(), Table_Fuel_EFs_StationaryGaseous[[#Headers],[Fuel combusted]],0)</f>
        <v>3.9E-2</v>
      </c>
      <c r="F97" s="154" t="str" cm="1">
        <f t="array" ref="F97">Common_InputFunctions.Utility_DisplayArrayInTable(Fuel_SourceData.Fuel_Scope1EmissionFactorsStationaryGaseous_Data(), Table_Fuel_EFs_StationaryGaseous[[#Headers],[Fuel combusted]],0)</f>
        <v>m3</v>
      </c>
      <c r="G97" s="154" cm="1">
        <f t="array" ref="G97">Common_InputFunctions.Utility_DisplayArrayInTable(Fuel_SourceData.Fuel_Scope1EmissionFactorsStationaryGaseous_Data(), Table_Fuel_EFs_StationaryGaseous[[#Headers],[Fuel combusted]],0)</f>
        <v>51.4</v>
      </c>
      <c r="H97" s="154" cm="1">
        <f t="array" ref="H97">Common_InputFunctions.Utility_DisplayArrayInTable(Fuel_SourceData.Fuel_Scope1EmissionFactorsStationaryGaseous_Data(), Table_Fuel_EFs_StationaryGaseous[[#Headers],[Fuel combusted]],0)</f>
        <v>0.1</v>
      </c>
      <c r="I97" s="154" cm="1">
        <f t="array" ref="I97">Common_InputFunctions.Utility_DisplayArrayInTable(Fuel_SourceData.Fuel_Scope1EmissionFactorsStationaryGaseous_Data(), Table_Fuel_EFs_StationaryGaseous[[#Headers],[Fuel combusted]],0)</f>
        <v>0.03</v>
      </c>
      <c r="J97" s="154" cm="1">
        <f t="array" ref="J97">Common_InputFunctions.Utility_DisplayArrayInTable(Fuel_SourceData.Fuel_Scope1EmissionFactorsStationaryGaseous_Data(), Table_Fuel_EFs_StationaryGaseous[[#Headers],[Fuel combusted]],0)</f>
        <v>51.53</v>
      </c>
      <c r="K97" s="103"/>
      <c r="L97" s="103"/>
    </row>
    <row r="98" spans="1:13" ht="20.100000000000001" customHeight="1" x14ac:dyDescent="0.25">
      <c r="A98"/>
      <c r="D98" s="154" t="str" cm="1">
        <f t="array" ref="D98">Common_InputFunctions.Utility_DisplayArrayInTable(Fuel_SourceData.Fuel_Scope1EmissionFactorsStationaryGaseous_Data(), Table_Fuel_EFs_StationaryGaseous[[#Headers],[Fuel combusted]],0)</f>
        <v>Landfill biogas that is captured for combustion (methane only)</v>
      </c>
      <c r="E98" s="154" cm="1">
        <f t="array" ref="E98">Common_InputFunctions.Utility_DisplayArrayInTable(Fuel_SourceData.Fuel_Scope1EmissionFactorsStationaryGaseous_Data(), Table_Fuel_EFs_StationaryGaseous[[#Headers],[Fuel combusted]],0)</f>
        <v>3.7699999999999997E-2</v>
      </c>
      <c r="F98" s="154" t="str" cm="1">
        <f t="array" ref="F98">Common_InputFunctions.Utility_DisplayArrayInTable(Fuel_SourceData.Fuel_Scope1EmissionFactorsStationaryGaseous_Data(), Table_Fuel_EFs_StationaryGaseous[[#Headers],[Fuel combusted]],0)</f>
        <v>m3</v>
      </c>
      <c r="G98" s="154" cm="1">
        <f t="array" ref="G98">Common_InputFunctions.Utility_DisplayArrayInTable(Fuel_SourceData.Fuel_Scope1EmissionFactorsStationaryGaseous_Data(), Table_Fuel_EFs_StationaryGaseous[[#Headers],[Fuel combusted]],0)</f>
        <v>0</v>
      </c>
      <c r="H98" s="154" cm="1">
        <f t="array" ref="H98">Common_InputFunctions.Utility_DisplayArrayInTable(Fuel_SourceData.Fuel_Scope1EmissionFactorsStationaryGaseous_Data(), Table_Fuel_EFs_StationaryGaseous[[#Headers],[Fuel combusted]],0)</f>
        <v>6.4</v>
      </c>
      <c r="I98" s="154" cm="1">
        <f t="array" ref="I98">Common_InputFunctions.Utility_DisplayArrayInTable(Fuel_SourceData.Fuel_Scope1EmissionFactorsStationaryGaseous_Data(), Table_Fuel_EFs_StationaryGaseous[[#Headers],[Fuel combusted]],0)</f>
        <v>0.03</v>
      </c>
      <c r="J98" s="154" cm="1">
        <f t="array" ref="J98">Common_InputFunctions.Utility_DisplayArrayInTable(Fuel_SourceData.Fuel_Scope1EmissionFactorsStationaryGaseous_Data(), Table_Fuel_EFs_StationaryGaseous[[#Headers],[Fuel combusted]],0)</f>
        <v>6.43</v>
      </c>
      <c r="K98" s="103"/>
      <c r="L98" s="103"/>
    </row>
    <row r="99" spans="1:13" ht="20.100000000000001" customHeight="1" x14ac:dyDescent="0.25">
      <c r="A99"/>
      <c r="D99" s="154" t="str" cm="1">
        <f t="array" ref="D99">Common_InputFunctions.Utility_DisplayArrayInTable(Fuel_SourceData.Fuel_Scope1EmissionFactorsStationaryGaseous_Data(), Table_Fuel_EFs_StationaryGaseous[[#Headers],[Fuel combusted]],0)</f>
        <v>Sludge biogas that is captured for combustion (methane only)</v>
      </c>
      <c r="E99" s="154" cm="1">
        <f t="array" ref="E99">Common_InputFunctions.Utility_DisplayArrayInTable(Fuel_SourceData.Fuel_Scope1EmissionFactorsStationaryGaseous_Data(), Table_Fuel_EFs_StationaryGaseous[[#Headers],[Fuel combusted]],0)</f>
        <v>3.7699999999999997E-2</v>
      </c>
      <c r="F99" s="154" t="str" cm="1">
        <f t="array" ref="F99">Common_InputFunctions.Utility_DisplayArrayInTable(Fuel_SourceData.Fuel_Scope1EmissionFactorsStationaryGaseous_Data(), Table_Fuel_EFs_StationaryGaseous[[#Headers],[Fuel combusted]],0)</f>
        <v>m3</v>
      </c>
      <c r="G99" s="154" cm="1">
        <f t="array" ref="G99">Common_InputFunctions.Utility_DisplayArrayInTable(Fuel_SourceData.Fuel_Scope1EmissionFactorsStationaryGaseous_Data(), Table_Fuel_EFs_StationaryGaseous[[#Headers],[Fuel combusted]],0)</f>
        <v>0</v>
      </c>
      <c r="H99" s="154" cm="1">
        <f t="array" ref="H99">Common_InputFunctions.Utility_DisplayArrayInTable(Fuel_SourceData.Fuel_Scope1EmissionFactorsStationaryGaseous_Data(), Table_Fuel_EFs_StationaryGaseous[[#Headers],[Fuel combusted]],0)</f>
        <v>6.4</v>
      </c>
      <c r="I99" s="154" cm="1">
        <f t="array" ref="I99">Common_InputFunctions.Utility_DisplayArrayInTable(Fuel_SourceData.Fuel_Scope1EmissionFactorsStationaryGaseous_Data(), Table_Fuel_EFs_StationaryGaseous[[#Headers],[Fuel combusted]],0)</f>
        <v>0.03</v>
      </c>
      <c r="J99" s="154" cm="1">
        <f t="array" ref="J99">Common_InputFunctions.Utility_DisplayArrayInTable(Fuel_SourceData.Fuel_Scope1EmissionFactorsStationaryGaseous_Data(), Table_Fuel_EFs_StationaryGaseous[[#Headers],[Fuel combusted]],0)</f>
        <v>6.43</v>
      </c>
      <c r="K99" s="103"/>
      <c r="L99" s="103"/>
    </row>
    <row r="100" spans="1:13" ht="20.100000000000001" customHeight="1" x14ac:dyDescent="0.25">
      <c r="A100"/>
      <c r="D100" s="15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4" cm="1">
        <f t="array" ref="E100">Common_InputFunctions.Utility_DisplayArrayInTable(Fuel_SourceData.Fuel_Scope1EmissionFactorsStationaryGaseous_Data(), Table_Fuel_EFs_StationaryGaseous[[#Headers],[Fuel combusted]],0)</f>
        <v>3.6999999999999998E-2</v>
      </c>
      <c r="F100" s="154" t="str" cm="1">
        <f t="array" ref="F100">Common_InputFunctions.Utility_DisplayArrayInTable(Fuel_SourceData.Fuel_Scope1EmissionFactorsStationaryGaseous_Data(), Table_Fuel_EFs_StationaryGaseous[[#Headers],[Fuel combusted]],0)</f>
        <v>m3</v>
      </c>
      <c r="G100" s="154" cm="1">
        <f t="array" ref="G100">Common_InputFunctions.Utility_DisplayArrayInTable(Fuel_SourceData.Fuel_Scope1EmissionFactorsStationaryGaseous_Data(), Table_Fuel_EFs_StationaryGaseous[[#Headers],[Fuel combusted]],0)</f>
        <v>0</v>
      </c>
      <c r="H100" s="154" cm="1">
        <f t="array" ref="H100">Common_InputFunctions.Utility_DisplayArrayInTable(Fuel_SourceData.Fuel_Scope1EmissionFactorsStationaryGaseous_Data(), Table_Fuel_EFs_StationaryGaseous[[#Headers],[Fuel combusted]],0)</f>
        <v>6.4</v>
      </c>
      <c r="I100" s="154" cm="1">
        <f t="array" ref="I100">Common_InputFunctions.Utility_DisplayArrayInTable(Fuel_SourceData.Fuel_Scope1EmissionFactorsStationaryGaseous_Data(), Table_Fuel_EFs_StationaryGaseous[[#Headers],[Fuel combusted]],0)</f>
        <v>0.03</v>
      </c>
      <c r="J100" s="154" cm="1">
        <f t="array" ref="J100">Common_InputFunctions.Utility_DisplayArrayInTable(Fuel_SourceData.Fuel_Scope1EmissionFactorsStationaryGaseous_Data(), Table_Fuel_EFs_StationaryGaseous[[#Headers],[Fuel combusted]],0)</f>
        <v>6.43</v>
      </c>
      <c r="K100" s="103"/>
      <c r="L100" s="103"/>
    </row>
    <row r="101" spans="1:13" ht="20.100000000000001" customHeight="1" x14ac:dyDescent="0.25">
      <c r="A101"/>
      <c r="D101" s="154" t="str" cm="1">
        <f t="array" ref="D101">Common_InputFunctions.Utility_DisplayArrayInTable(Fuel_SourceData.Fuel_Scope1EmissionFactorsStationaryGaseous_Data(), Table_Fuel_EFs_StationaryGaseous[[#Headers],[Fuel combusted]],0)</f>
        <v>Biomethane</v>
      </c>
      <c r="E101" s="154" cm="1">
        <f t="array" ref="E101">Common_InputFunctions.Utility_DisplayArrayInTable(Fuel_SourceData.Fuel_Scope1EmissionFactorsStationaryGaseous_Data(), Table_Fuel_EFs_StationaryGaseous[[#Headers],[Fuel combusted]],0)</f>
        <v>3.9300000000000002E-2</v>
      </c>
      <c r="F101" s="154" t="str" cm="1">
        <f t="array" ref="F101">Common_InputFunctions.Utility_DisplayArrayInTable(Fuel_SourceData.Fuel_Scope1EmissionFactorsStationaryGaseous_Data(), Table_Fuel_EFs_StationaryGaseous[[#Headers],[Fuel combusted]],0)</f>
        <v>m3</v>
      </c>
      <c r="G101" s="154" cm="1">
        <f t="array" ref="G101">Common_InputFunctions.Utility_DisplayArrayInTable(Fuel_SourceData.Fuel_Scope1EmissionFactorsStationaryGaseous_Data(), Table_Fuel_EFs_StationaryGaseous[[#Headers],[Fuel combusted]],0)</f>
        <v>0</v>
      </c>
      <c r="H101" s="154" cm="1">
        <f t="array" ref="H101">Common_InputFunctions.Utility_DisplayArrayInTable(Fuel_SourceData.Fuel_Scope1EmissionFactorsStationaryGaseous_Data(), Table_Fuel_EFs_StationaryGaseous[[#Headers],[Fuel combusted]],0)</f>
        <v>0.1</v>
      </c>
      <c r="I101" s="154" cm="1">
        <f t="array" ref="I101">Common_InputFunctions.Utility_DisplayArrayInTable(Fuel_SourceData.Fuel_Scope1EmissionFactorsStationaryGaseous_Data(), Table_Fuel_EFs_StationaryGaseous[[#Headers],[Fuel combusted]],0)</f>
        <v>0.03</v>
      </c>
      <c r="J101" s="154" cm="1">
        <f t="array" ref="J101">Common_InputFunctions.Utility_DisplayArrayInTable(Fuel_SourceData.Fuel_Scope1EmissionFactorsStationaryGaseous_Data(), Table_Fuel_EFs_StationaryGaseous[[#Headers],[Fuel combusted]],0)</f>
        <v>0.13</v>
      </c>
      <c r="K101" s="103"/>
      <c r="L101" s="103"/>
    </row>
    <row r="102" spans="1:13" ht="20.100000000000001" customHeight="1" x14ac:dyDescent="0.25">
      <c r="A102"/>
      <c r="D102" s="154" t="str" cm="1">
        <f t="array" ref="D102">Common_InputFunctions.Utility_DisplayArrayInTable(Fuel_SourceData.Fuel_Scope1EmissionFactorsStationaryGaseous_Data(), Table_Fuel_EFs_StationaryGaseous[[#Headers],[Fuel combusted]],0)</f>
        <v>Hydrogen</v>
      </c>
      <c r="E102" s="154" cm="1">
        <f t="array" ref="E102">Common_InputFunctions.Utility_DisplayArrayInTable(Fuel_SourceData.Fuel_Scope1EmissionFactorsStationaryGaseous_Data(), Table_Fuel_EFs_StationaryGaseous[[#Headers],[Fuel combusted]],0)</f>
        <v>1.2200000000000001E-2</v>
      </c>
      <c r="F102" s="154" t="str" cm="1">
        <f t="array" ref="F102">Common_InputFunctions.Utility_DisplayArrayInTable(Fuel_SourceData.Fuel_Scope1EmissionFactorsStationaryGaseous_Data(), Table_Fuel_EFs_StationaryGaseous[[#Headers],[Fuel combusted]],0)</f>
        <v>m3</v>
      </c>
      <c r="G102" s="154" cm="1">
        <f t="array" ref="G102">Common_InputFunctions.Utility_DisplayArrayInTable(Fuel_SourceData.Fuel_Scope1EmissionFactorsStationaryGaseous_Data(), Table_Fuel_EFs_StationaryGaseous[[#Headers],[Fuel combusted]],0)</f>
        <v>0</v>
      </c>
      <c r="H102" s="154" cm="1">
        <f t="array" ref="H102">Common_InputFunctions.Utility_DisplayArrayInTable(Fuel_SourceData.Fuel_Scope1EmissionFactorsStationaryGaseous_Data(), Table_Fuel_EFs_StationaryGaseous[[#Headers],[Fuel combusted]],0)</f>
        <v>0</v>
      </c>
      <c r="I102" s="154" cm="1">
        <f t="array" ref="I102">Common_InputFunctions.Utility_DisplayArrayInTable(Fuel_SourceData.Fuel_Scope1EmissionFactorsStationaryGaseous_Data(), Table_Fuel_EFs_StationaryGaseous[[#Headers],[Fuel combusted]],0)</f>
        <v>0.5</v>
      </c>
      <c r="J102" s="154" cm="1">
        <f t="array" ref="J102">Common_InputFunctions.Utility_DisplayArrayInTable(Fuel_SourceData.Fuel_Scope1EmissionFactorsStationaryGaseous_Data(), Table_Fuel_EFs_StationaryGaseous[[#Headers],[Fuel combusted]],0)</f>
        <v>0.5</v>
      </c>
      <c r="K102" s="103"/>
      <c r="L102" s="103"/>
    </row>
    <row r="103" spans="1:13" ht="20.100000000000001" customHeight="1" x14ac:dyDescent="0.25">
      <c r="A103"/>
      <c r="D103" s="154" t="str" cm="1">
        <f t="array" ref="D103">Common_InputFunctions.Utility_DisplayArrayInTable(Fuel_SourceData.Fuel_Scope1EmissionFactorsStationaryGaseous_Data(), Table_Fuel_EFs_StationaryGaseous[[#Headers],[Fuel combusted]],0)</f>
        <v>Natural gas distributed in a pipeline - Gigajoules</v>
      </c>
      <c r="E103" s="154" cm="1">
        <f t="array" ref="E103">Common_InputFunctions.Utility_DisplayArrayInTable(Fuel_SourceData.Fuel_Scope1EmissionFactorsStationaryGaseous_Data(), Table_Fuel_EFs_StationaryGaseous[[#Headers],[Fuel combusted]],0)</f>
        <v>1</v>
      </c>
      <c r="F103" s="154" t="str" cm="1">
        <f t="array" ref="F103">Common_InputFunctions.Utility_DisplayArrayInTable(Fuel_SourceData.Fuel_Scope1EmissionFactorsStationaryGaseous_Data(), Table_Fuel_EFs_StationaryGaseous[[#Headers],[Fuel combusted]],0)</f>
        <v>GJ</v>
      </c>
      <c r="G103" s="154" cm="1">
        <f t="array" ref="G103">Common_InputFunctions.Utility_DisplayArrayInTable(Fuel_SourceData.Fuel_Scope1EmissionFactorsStationaryGaseous_Data(), Table_Fuel_EFs_StationaryGaseous[[#Headers],[Fuel combusted]],0)</f>
        <v>51.4</v>
      </c>
      <c r="H103" s="154" cm="1">
        <f t="array" ref="H103">Common_InputFunctions.Utility_DisplayArrayInTable(Fuel_SourceData.Fuel_Scope1EmissionFactorsStationaryGaseous_Data(), Table_Fuel_EFs_StationaryGaseous[[#Headers],[Fuel combusted]],0)</f>
        <v>0.1</v>
      </c>
      <c r="I103" s="154" cm="1">
        <f t="array" ref="I103">Common_InputFunctions.Utility_DisplayArrayInTable(Fuel_SourceData.Fuel_Scope1EmissionFactorsStationaryGaseous_Data(), Table_Fuel_EFs_StationaryGaseous[[#Headers],[Fuel combusted]],0)</f>
        <v>0.03</v>
      </c>
      <c r="J103" s="154" cm="1">
        <f t="array" ref="J103">Common_InputFunctions.Utility_DisplayArrayInTable(Fuel_SourceData.Fuel_Scope1EmissionFactorsStationaryGaseous_Data(), Table_Fuel_EFs_StationaryGaseous[[#Headers],[Fuel combusted]],0)</f>
        <v>51.53</v>
      </c>
      <c r="K103" s="103"/>
      <c r="L103" s="103"/>
    </row>
    <row r="104" spans="1:13" ht="20.100000000000001" customHeight="1" x14ac:dyDescent="0.25">
      <c r="A104"/>
      <c r="D104" s="154" t="str" cm="1">
        <f t="array" ref="D104">Common_InputFunctions.Utility_DisplayArrayInTable(Fuel_SourceData.Fuel_Scope1EmissionFactorsStationaryGaseous_Data(), Table_Fuel_EFs_StationaryGaseous[[#Headers],[Fuel combusted]],0)</f>
        <v>Town gas - Gigajoules</v>
      </c>
      <c r="E104" s="154" cm="1">
        <f t="array" ref="E104">Common_InputFunctions.Utility_DisplayArrayInTable(Fuel_SourceData.Fuel_Scope1EmissionFactorsStationaryGaseous_Data(), Table_Fuel_EFs_StationaryGaseous[[#Headers],[Fuel combusted]],0)</f>
        <v>1</v>
      </c>
      <c r="F104" s="154" t="str" cm="1">
        <f t="array" ref="F104">Common_InputFunctions.Utility_DisplayArrayInTable(Fuel_SourceData.Fuel_Scope1EmissionFactorsStationaryGaseous_Data(), Table_Fuel_EFs_StationaryGaseous[[#Headers],[Fuel combusted]],0)</f>
        <v>GJ</v>
      </c>
      <c r="G104" s="154" cm="1">
        <f t="array" ref="G104">Common_InputFunctions.Utility_DisplayArrayInTable(Fuel_SourceData.Fuel_Scope1EmissionFactorsStationaryGaseous_Data(), Table_Fuel_EFs_StationaryGaseous[[#Headers],[Fuel combusted]],0)</f>
        <v>60.2</v>
      </c>
      <c r="H104" s="154" cm="1">
        <f t="array" ref="H104">Common_InputFunctions.Utility_DisplayArrayInTable(Fuel_SourceData.Fuel_Scope1EmissionFactorsStationaryGaseous_Data(), Table_Fuel_EFs_StationaryGaseous[[#Headers],[Fuel combusted]],0)</f>
        <v>0.04</v>
      </c>
      <c r="I104" s="154" cm="1">
        <f t="array" ref="I104">Common_InputFunctions.Utility_DisplayArrayInTable(Fuel_SourceData.Fuel_Scope1EmissionFactorsStationaryGaseous_Data(), Table_Fuel_EFs_StationaryGaseous[[#Headers],[Fuel combusted]],0)</f>
        <v>0.03</v>
      </c>
      <c r="J104" s="154" cm="1">
        <f t="array" ref="J104">Common_InputFunctions.Utility_DisplayArrayInTable(Fuel_SourceData.Fuel_Scope1EmissionFactorsStationaryGaseous_Data(), Table_Fuel_EFs_StationaryGaseous[[#Headers],[Fuel combusted]],0)</f>
        <v>60.27</v>
      </c>
      <c r="K104" s="103"/>
      <c r="L104" s="103"/>
    </row>
    <row r="105" spans="1:13" ht="20.100000000000001" customHeight="1" x14ac:dyDescent="0.25">
      <c r="A105"/>
      <c r="D105" s="103"/>
      <c r="E105" s="103"/>
      <c r="F105" s="103"/>
      <c r="G105" s="103"/>
      <c r="H105" s="103"/>
      <c r="I105" s="103"/>
      <c r="J105" s="103"/>
      <c r="K105" s="103"/>
      <c r="L105" s="103"/>
      <c r="M105" s="103"/>
    </row>
    <row r="106" spans="1:13" ht="20.100000000000001" customHeight="1" x14ac:dyDescent="0.25">
      <c r="A106"/>
      <c r="D106" s="103"/>
      <c r="E106" s="103"/>
      <c r="F106" s="103"/>
      <c r="G106" s="103"/>
      <c r="H106" s="103"/>
      <c r="I106" s="103"/>
      <c r="J106" s="103"/>
      <c r="K106" s="103"/>
      <c r="L106" s="103"/>
      <c r="M106" s="103"/>
    </row>
    <row r="107" spans="1:13" ht="20.100000000000001" customHeight="1" x14ac:dyDescent="0.25">
      <c r="A107"/>
      <c r="D107" s="16" t="str" cm="1">
        <f t="array" ref="D107">Fuel_SourceData.Fuel_Scope3EmissionFactorsStationaryGaseous_Title()</f>
        <v>Fuel scope 3 emission factors - Stationary gaseous fuels</v>
      </c>
      <c r="E107" s="103"/>
      <c r="F107" s="103"/>
      <c r="G107" s="103"/>
      <c r="H107" s="103"/>
      <c r="I107" s="103"/>
      <c r="J107" s="103"/>
      <c r="K107" s="103"/>
      <c r="L107" s="103"/>
    </row>
    <row r="108" spans="1:13" ht="20.100000000000001" customHeight="1" x14ac:dyDescent="0.25">
      <c r="A108"/>
      <c r="D108" s="15" t="str" cm="1">
        <f t="array" ref="D108">Fuel_SourceData.Fuel_Scope3EmissionFactorsStationaryGaseous_Description()</f>
        <v>Indirect (Scope 3) emission factors for the consumption of natural gas.</v>
      </c>
      <c r="E108" s="103"/>
      <c r="F108" s="103"/>
      <c r="G108" s="103"/>
      <c r="H108" s="103"/>
      <c r="I108" s="103"/>
      <c r="J108" s="103"/>
      <c r="K108" s="103"/>
      <c r="L108" s="103"/>
    </row>
    <row r="109" spans="1:13" ht="20.100000000000001" customHeight="1" x14ac:dyDescent="0.25">
      <c r="A109"/>
      <c r="D109" s="18" t="str" cm="1">
        <f t="array" ref="D109">Fuel_SourceData.Fuel_Scope3EmissionFactorsStationaryGaseous_Source()</f>
        <v>Australian National Greenhouse Accounts Factors 2025 - Table 6</v>
      </c>
      <c r="E109" s="103"/>
      <c r="F109" s="103"/>
      <c r="G109" s="103"/>
      <c r="H109" s="103"/>
      <c r="I109" s="103"/>
      <c r="J109" s="103"/>
      <c r="K109" s="103"/>
      <c r="L109" s="103"/>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3"/>
      <c r="F110" s="103"/>
      <c r="G110" s="103"/>
      <c r="H110" s="103"/>
      <c r="I110" s="103"/>
      <c r="J110" s="103"/>
      <c r="K110" s="103"/>
      <c r="L110" s="103"/>
    </row>
    <row r="111" spans="1:13" ht="20.100000000000001" customHeight="1" x14ac:dyDescent="0.25">
      <c r="A111"/>
      <c r="D111" s="103"/>
      <c r="E111" s="103"/>
      <c r="F111" s="103"/>
      <c r="G111" s="103"/>
      <c r="H111" s="103"/>
      <c r="I111" s="103"/>
      <c r="J111" s="103"/>
      <c r="K111" s="103"/>
      <c r="L111" s="103"/>
    </row>
    <row r="112" spans="1:13" ht="20.100000000000001" customHeight="1" x14ac:dyDescent="0.25">
      <c r="A112"/>
      <c r="D112" s="153" t="s">
        <v>360</v>
      </c>
      <c r="E112" s="150" t="s">
        <v>293</v>
      </c>
      <c r="F112" s="150" t="s">
        <v>361</v>
      </c>
      <c r="G112" s="103"/>
      <c r="H112" s="63" t="s">
        <v>362</v>
      </c>
      <c r="I112" s="103"/>
      <c r="J112" s="103"/>
      <c r="K112" s="103"/>
      <c r="L112" s="103"/>
    </row>
    <row r="113" spans="1:13" ht="20.100000000000001" customHeight="1" x14ac:dyDescent="0.25">
      <c r="A113"/>
      <c r="D113" s="155" t="str" cm="1">
        <f t="array" ref="D113">Common_InputFunctions.Utility_DisplayArrayInTable(Fuel_SourceData.Fuel_Scope3EmissionFactorsStationaryGaseous_Data(), Table_Fuel_EFs_StationaryGaseous34[[#Headers],[State or territory]],0)</f>
        <v>New South Wales</v>
      </c>
      <c r="E113" s="155" cm="1">
        <f t="array" ref="E113">Common_InputFunctions.Utility_DisplayArrayInTable(Fuel_SourceData.Fuel_Scope3EmissionFactorsStationaryGaseous_Data(), Table_Fuel_EFs_StationaryGaseous34[[#Headers],[State or territory]],0)</f>
        <v>13.1</v>
      </c>
      <c r="F113" s="155" cm="1">
        <f t="array" ref="F113">Common_InputFunctions.Utility_DisplayArrayInTable(Fuel_SourceData.Fuel_Scope3EmissionFactorsStationaryGaseous_Data(), Table_Fuel_EFs_StationaryGaseous34[[#Headers],[State or territory]],0)</f>
        <v>14</v>
      </c>
      <c r="G113" s="156"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3"/>
      <c r="J113" s="103"/>
      <c r="K113" s="103"/>
      <c r="L113" s="103"/>
    </row>
    <row r="114" spans="1:13" ht="20.100000000000001" customHeight="1" x14ac:dyDescent="0.25">
      <c r="A114"/>
      <c r="D114" s="155" t="str" cm="1">
        <f t="array" ref="D114">Common_InputFunctions.Utility_DisplayArrayInTable(Fuel_SourceData.Fuel_Scope3EmissionFactorsStationaryGaseous_Data(), Table_Fuel_EFs_StationaryGaseous34[[#Headers],[State or territory]],0)</f>
        <v>ACT</v>
      </c>
      <c r="E114" s="155" cm="1">
        <f t="array" ref="E114">Common_InputFunctions.Utility_DisplayArrayInTable(Fuel_SourceData.Fuel_Scope3EmissionFactorsStationaryGaseous_Data(), Table_Fuel_EFs_StationaryGaseous34[[#Headers],[State or territory]],0)</f>
        <v>13.1</v>
      </c>
      <c r="F114" s="155" cm="1">
        <f t="array" ref="F114">Common_InputFunctions.Utility_DisplayArrayInTable(Fuel_SourceData.Fuel_Scope3EmissionFactorsStationaryGaseous_Data(), Table_Fuel_EFs_StationaryGaseous34[[#Headers],[State or territory]],0)</f>
        <v>14</v>
      </c>
      <c r="G114" s="156" t="str">
        <v/>
      </c>
      <c r="H114" s="15" t="str">
        <v>Gas reaches end users either from the metro distribution networks or direct from the high - pressure distribution pipelines.</v>
      </c>
      <c r="I114" s="103"/>
      <c r="J114" s="103"/>
      <c r="K114" s="103"/>
      <c r="L114" s="103"/>
    </row>
    <row r="115" spans="1:13" ht="20.100000000000001" customHeight="1" x14ac:dyDescent="0.25">
      <c r="A115"/>
      <c r="D115" s="155" t="str" cm="1">
        <f t="array" ref="D115">Common_InputFunctions.Utility_DisplayArrayInTable(Fuel_SourceData.Fuel_Scope3EmissionFactorsStationaryGaseous_Data(), Table_Fuel_EFs_StationaryGaseous34[[#Headers],[State or territory]],0)</f>
        <v>Victoria</v>
      </c>
      <c r="E115" s="155" cm="1">
        <f t="array" ref="E115">Common_InputFunctions.Utility_DisplayArrayInTable(Fuel_SourceData.Fuel_Scope3EmissionFactorsStationaryGaseous_Data(), Table_Fuel_EFs_StationaryGaseous34[[#Headers],[State or territory]],0)</f>
        <v>4</v>
      </c>
      <c r="F115" s="155" cm="1">
        <f t="array" ref="F115">Common_InputFunctions.Utility_DisplayArrayInTable(Fuel_SourceData.Fuel_Scope3EmissionFactorsStationaryGaseous_Data(), Table_Fuel_EFs_StationaryGaseous34[[#Headers],[State or territory]],0)</f>
        <v>4</v>
      </c>
      <c r="G115" s="156" t="str">
        <v/>
      </c>
      <c r="H115" s="15" t="str">
        <v>Households and commercial users tend to be served by the former, and electricity generators and large industrial plants from the latter.</v>
      </c>
      <c r="I115" s="103"/>
      <c r="J115" s="103"/>
      <c r="K115" s="103"/>
      <c r="L115" s="103"/>
    </row>
    <row r="116" spans="1:13" ht="20.100000000000001" customHeight="1" x14ac:dyDescent="0.25">
      <c r="A116"/>
      <c r="D116" s="155" t="str" cm="1">
        <f t="array" ref="D116">Common_InputFunctions.Utility_DisplayArrayInTable(Fuel_SourceData.Fuel_Scope3EmissionFactorsStationaryGaseous_Data(), Table_Fuel_EFs_StationaryGaseous34[[#Headers],[State or territory]],0)</f>
        <v>Queensland</v>
      </c>
      <c r="E116" s="155" cm="1">
        <f t="array" ref="E116">Common_InputFunctions.Utility_DisplayArrayInTable(Fuel_SourceData.Fuel_Scope3EmissionFactorsStationaryGaseous_Data(), Table_Fuel_EFs_StationaryGaseous34[[#Headers],[State or territory]],0)</f>
        <v>8.8000000000000007</v>
      </c>
      <c r="F116" s="155" cm="1">
        <f t="array" ref="F116">Common_InputFunctions.Utility_DisplayArrayInTable(Fuel_SourceData.Fuel_Scope3EmissionFactorsStationaryGaseous_Data(), Table_Fuel_EFs_StationaryGaseous34[[#Headers],[State or territory]],0)</f>
        <v>7.9</v>
      </c>
      <c r="G116" s="156" t="str">
        <v>-</v>
      </c>
      <c r="H116" s="15" t="str">
        <v>Metro is defined as located on or east of the dividing range in NSW, including Canberra and Queanbeyan, Melbourne, Brisbane, Adelaide or Perth.</v>
      </c>
      <c r="I116" s="103"/>
      <c r="J116" s="103"/>
      <c r="K116" s="103"/>
      <c r="L116" s="103"/>
    </row>
    <row r="117" spans="1:13" ht="20.100000000000001" customHeight="1" x14ac:dyDescent="0.25">
      <c r="A117"/>
      <c r="D117" s="155" t="str" cm="1">
        <f t="array" ref="D117">Common_InputFunctions.Utility_DisplayArrayInTable(Fuel_SourceData.Fuel_Scope3EmissionFactorsStationaryGaseous_Data(), Table_Fuel_EFs_StationaryGaseous34[[#Headers],[State or territory]],0)</f>
        <v>South Australia</v>
      </c>
      <c r="E117" s="155" cm="1">
        <f t="array" ref="E117">Common_InputFunctions.Utility_DisplayArrayInTable(Fuel_SourceData.Fuel_Scope3EmissionFactorsStationaryGaseous_Data(), Table_Fuel_EFs_StationaryGaseous34[[#Headers],[State or territory]],0)</f>
        <v>10.7</v>
      </c>
      <c r="F117" s="155" cm="1">
        <f t="array" ref="F117">Common_InputFunctions.Utility_DisplayArrayInTable(Fuel_SourceData.Fuel_Scope3EmissionFactorsStationaryGaseous_Data(), Table_Fuel_EFs_StationaryGaseous34[[#Headers],[State or territory]],0)</f>
        <v>10.6</v>
      </c>
      <c r="G117" s="156" t="str">
        <v/>
      </c>
      <c r="H117" s="15" t="str">
        <v>Otherwise, the non - metro factor should be used.</v>
      </c>
      <c r="I117" s="103"/>
      <c r="J117" s="103"/>
      <c r="K117" s="103"/>
      <c r="L117" s="103"/>
    </row>
    <row r="118" spans="1:13" ht="20.100000000000001" customHeight="1" x14ac:dyDescent="0.25">
      <c r="A118"/>
      <c r="D118" s="155" t="str" cm="1">
        <f t="array" ref="D118">Common_InputFunctions.Utility_DisplayArrayInTable(Fuel_SourceData.Fuel_Scope3EmissionFactorsStationaryGaseous_Data(), Table_Fuel_EFs_StationaryGaseous34[[#Headers],[State or territory]],0)</f>
        <v>Western Australia</v>
      </c>
      <c r="E118" s="155" cm="1">
        <f t="array" ref="E118">Common_InputFunctions.Utility_DisplayArrayInTable(Fuel_SourceData.Fuel_Scope3EmissionFactorsStationaryGaseous_Data(), Table_Fuel_EFs_StationaryGaseous34[[#Headers],[State or territory]],0)</f>
        <v>4.0999999999999996</v>
      </c>
      <c r="F118" s="155" cm="1">
        <f t="array" ref="F118">Common_InputFunctions.Utility_DisplayArrayInTable(Fuel_SourceData.Fuel_Scope3EmissionFactorsStationaryGaseous_Data(), Table_Fuel_EFs_StationaryGaseous34[[#Headers],[State or territory]],0)</f>
        <v>4</v>
      </c>
      <c r="G118" s="156" t="str">
        <v>-</v>
      </c>
      <c r="H118" s="15" t="str">
        <v>Factors are calculated for all natural gas distributed in a pipeline which may include coal seam methane.</v>
      </c>
      <c r="I118" s="103"/>
      <c r="J118" s="103"/>
      <c r="K118" s="103"/>
      <c r="L118" s="103"/>
    </row>
    <row r="119" spans="1:13" ht="20.100000000000001" customHeight="1" x14ac:dyDescent="0.25">
      <c r="A119"/>
      <c r="D119" s="155" t="str" cm="1">
        <f t="array" ref="D119">Common_InputFunctions.Utility_DisplayArrayInTable(Fuel_SourceData.Fuel_Scope3EmissionFactorsStationaryGaseous_Data(), Table_Fuel_EFs_StationaryGaseous34[[#Headers],[State or territory]],0)</f>
        <v>Tasmania</v>
      </c>
      <c r="E119" s="155" cm="1">
        <f t="array" ref="E119">Common_InputFunctions.Utility_DisplayArrayInTable(Fuel_SourceData.Fuel_Scope3EmissionFactorsStationaryGaseous_Data(), Table_Fuel_EFs_StationaryGaseous34[[#Headers],[State or territory]],0)</f>
        <v>4</v>
      </c>
      <c r="F119" s="155" cm="1">
        <f t="array" ref="F119">Common_InputFunctions.Utility_DisplayArrayInTable(Fuel_SourceData.Fuel_Scope3EmissionFactorsStationaryGaseous_Data(), Table_Fuel_EFs_StationaryGaseous34[[#Headers],[State or territory]],0)</f>
        <v>4</v>
      </c>
      <c r="G119" s="156" t="str">
        <v>-</v>
      </c>
      <c r="H119" s="15" t="str">
        <v>Table 6 is not applicable to ethane. See Table 7 Indirect (Scope 3) emissions from the consumption of ethane.</v>
      </c>
      <c r="I119" s="103"/>
      <c r="J119" s="103"/>
      <c r="K119" s="103"/>
      <c r="L119" s="103"/>
    </row>
    <row r="120" spans="1:13" ht="20.100000000000001" customHeight="1" x14ac:dyDescent="0.25">
      <c r="A120"/>
      <c r="D120" s="155" t="str" cm="1">
        <f t="array" ref="D120">Common_InputFunctions.Utility_DisplayArrayInTable(Fuel_SourceData.Fuel_Scope3EmissionFactorsStationaryGaseous_Data(), Table_Fuel_EFs_StationaryGaseous34[[#Headers],[State or territory]],0)</f>
        <v>Northern Territory</v>
      </c>
      <c r="E120" s="155" cm="1">
        <f t="array" ref="E120">Common_InputFunctions.Utility_DisplayArrayInTable(Fuel_SourceData.Fuel_Scope3EmissionFactorsStationaryGaseous_Data(), Table_Fuel_EFs_StationaryGaseous34[[#Headers],[State or territory]],0)</f>
        <v>4.0999999999999996</v>
      </c>
      <c r="F120" s="155" cm="1">
        <f t="array" ref="F120">Common_InputFunctions.Utility_DisplayArrayInTable(Fuel_SourceData.Fuel_Scope3EmissionFactorsStationaryGaseous_Data(), Table_Fuel_EFs_StationaryGaseous34[[#Headers],[State or territory]],0)</f>
        <v>4</v>
      </c>
      <c r="G120" s="156" t="str">
        <v>-</v>
      </c>
      <c r="H120" s="15" t="str">
        <v>C = Confidential. Scope 3 emission factors for Tasmania and the Northern Territory are not available due to confidentiality constraints that arise</v>
      </c>
      <c r="I120" s="103"/>
      <c r="J120" s="103"/>
      <c r="K120" s="103"/>
      <c r="L120" s="103"/>
    </row>
    <row r="121" spans="1:13" ht="20.100000000000001" customHeight="1" x14ac:dyDescent="0.25">
      <c r="A121"/>
      <c r="D121" s="21"/>
      <c r="E121" s="21"/>
      <c r="F121" s="21"/>
      <c r="G121" s="156" t="str">
        <v/>
      </c>
      <c r="H121" s="15" t="str">
        <v>from the use of a limited number of NGER data inputs. It is suggested that for Tasmania the use of the Victorian emission factors is appropriate,</v>
      </c>
      <c r="I121" s="103"/>
      <c r="J121" s="103"/>
      <c r="K121" s="103"/>
      <c r="L121" s="103"/>
    </row>
    <row r="122" spans="1:13" ht="20.100000000000001" customHeight="1" x14ac:dyDescent="0.25">
      <c r="A122"/>
      <c r="D122" s="103"/>
      <c r="F122" s="157"/>
      <c r="G122" s="156" t="str">
        <v/>
      </c>
      <c r="H122" s="15" t="str">
        <v>while for Northern Territory the use of the Western Australian emission factors is appropriate.</v>
      </c>
      <c r="I122" s="103"/>
      <c r="J122" s="103"/>
      <c r="K122" s="103"/>
      <c r="L122" s="103"/>
    </row>
    <row r="123" spans="1:13" ht="20.100000000000001" customHeight="1" x14ac:dyDescent="0.25">
      <c r="A123"/>
      <c r="D123" s="158"/>
      <c r="F123" s="157"/>
      <c r="G123" s="156" t="str">
        <v>-</v>
      </c>
      <c r="H123" s="15" t="str">
        <v>Scope 3 emission factors do not include fugitive emission leakage from low pressure natural gas distribution pipeline networks while those from high pressure</v>
      </c>
      <c r="I123" s="103"/>
      <c r="J123" s="103"/>
      <c r="K123" s="103"/>
      <c r="L123" s="103"/>
    </row>
    <row r="124" spans="1:13" ht="20.100000000000001" customHeight="1" x14ac:dyDescent="0.25">
      <c r="A124"/>
      <c r="D124" s="158"/>
      <c r="F124" s="157"/>
      <c r="G124" s="103" t="str">
        <v/>
      </c>
      <c r="H124" s="15" t="str">
        <v>gas networks are considered negligible.</v>
      </c>
      <c r="I124" s="103"/>
      <c r="J124" s="103"/>
      <c r="K124" s="103"/>
      <c r="L124" s="103"/>
    </row>
    <row r="125" spans="1:13" ht="20.100000000000001" customHeight="1" x14ac:dyDescent="0.25">
      <c r="A125"/>
      <c r="D125" s="158"/>
      <c r="F125" s="157"/>
      <c r="G125" s="103"/>
      <c r="H125" s="103"/>
      <c r="I125" s="103"/>
      <c r="J125" s="103"/>
      <c r="K125" s="103"/>
      <c r="L125" s="103"/>
    </row>
    <row r="126" spans="1:13" ht="20.100000000000001" customHeight="1" x14ac:dyDescent="0.25">
      <c r="A126"/>
      <c r="D126" s="103"/>
      <c r="E126" s="103"/>
      <c r="F126" s="103"/>
      <c r="G126" s="103"/>
      <c r="H126" s="103"/>
      <c r="I126" s="103"/>
      <c r="J126" s="103"/>
      <c r="K126" s="103"/>
      <c r="L126" s="103"/>
      <c r="M126" s="103"/>
    </row>
    <row r="127" spans="1:13" ht="20.100000000000001" customHeight="1" x14ac:dyDescent="0.25">
      <c r="A127"/>
      <c r="D127" s="103"/>
      <c r="E127" s="103"/>
      <c r="F127" s="103"/>
      <c r="G127" s="103"/>
      <c r="H127" s="103"/>
      <c r="I127" s="103"/>
      <c r="J127" s="103"/>
      <c r="K127" s="103"/>
      <c r="L127" s="103"/>
      <c r="M127" s="103"/>
    </row>
    <row r="128" spans="1:13" ht="20.100000000000001" customHeight="1" x14ac:dyDescent="0.25">
      <c r="A128"/>
      <c r="D128" s="103"/>
      <c r="E128" s="103"/>
      <c r="F128" s="103"/>
      <c r="G128" s="103"/>
      <c r="H128" s="103"/>
      <c r="I128" s="103"/>
      <c r="J128" s="103"/>
      <c r="K128" s="103"/>
      <c r="L128" s="103"/>
      <c r="M128" s="103"/>
    </row>
    <row r="129" spans="1:33" ht="20.100000000000001" customHeight="1" x14ac:dyDescent="0.25">
      <c r="A129"/>
      <c r="D129" s="159"/>
      <c r="E129" s="103"/>
      <c r="F129" s="103"/>
      <c r="G129" s="103"/>
      <c r="H129" s="103"/>
      <c r="I129" s="103"/>
      <c r="J129" s="103"/>
      <c r="K129" s="103"/>
      <c r="L129" s="103"/>
    </row>
    <row r="130" spans="1:33" ht="20.100000000000001" customHeight="1" x14ac:dyDescent="0.25">
      <c r="A130"/>
      <c r="D130" s="160" t="s">
        <v>363</v>
      </c>
      <c r="E130" s="160" t="s">
        <v>303</v>
      </c>
      <c r="F130" s="160" t="s">
        <v>364</v>
      </c>
      <c r="G130" s="160" t="s">
        <v>306</v>
      </c>
      <c r="H130" s="160" t="s">
        <v>308</v>
      </c>
      <c r="I130" s="160" t="s">
        <v>309</v>
      </c>
      <c r="J130" s="103"/>
      <c r="K130" s="103"/>
      <c r="L130" s="103"/>
    </row>
    <row r="131" spans="1:33" ht="20.100000000000001" customHeight="1" x14ac:dyDescent="0.25">
      <c r="A131"/>
      <c r="D131" s="161" t="str">
        <f>$D$143</f>
        <v>Petrol</v>
      </c>
      <c r="E131" s="161" t="str">
        <f>$D$143</f>
        <v>Petrol</v>
      </c>
      <c r="F131" s="161" t="str">
        <f>$D$150</f>
        <v>Avgas</v>
      </c>
      <c r="G131" s="161" t="str">
        <f>$D$143</f>
        <v>Petrol</v>
      </c>
      <c r="H131" s="161" t="str">
        <f>$D$144</f>
        <v>Diesel</v>
      </c>
      <c r="I131" s="161" t="str">
        <f>$D$143</f>
        <v>Petrol</v>
      </c>
      <c r="J131" s="103"/>
      <c r="K131" s="103"/>
      <c r="L131" s="103"/>
    </row>
    <row r="132" spans="1:33" ht="20.100000000000001" customHeight="1" x14ac:dyDescent="0.25">
      <c r="A132"/>
      <c r="D132" s="161" t="str">
        <f>$D$144</f>
        <v>Diesel</v>
      </c>
      <c r="E132" s="161" t="str">
        <f>$D$144</f>
        <v>Diesel</v>
      </c>
      <c r="F132" s="161" t="str">
        <f>$D$151</f>
        <v>Jet A1, Jet B</v>
      </c>
      <c r="G132" s="161" t="str">
        <f>$D$144</f>
        <v>Diesel</v>
      </c>
      <c r="H132" s="161"/>
      <c r="I132" s="161" t="str">
        <f>$D$144</f>
        <v>Diesel</v>
      </c>
      <c r="J132" s="103"/>
      <c r="K132" s="103"/>
      <c r="L132" s="103"/>
    </row>
    <row r="133" spans="1:33" ht="20.100000000000001" customHeight="1" x14ac:dyDescent="0.25">
      <c r="A133"/>
      <c r="D133" s="161" t="str">
        <f>$D$145</f>
        <v>Liquefied petroleum gas (LPG)</v>
      </c>
      <c r="E133" s="161" t="str">
        <f>$D$145</f>
        <v>Liquefied petroleum gas (LPG)</v>
      </c>
      <c r="F133" s="161" t="str">
        <f>$D$152</f>
        <v>Renewable aviation kerosene</v>
      </c>
      <c r="G133" s="161" t="str">
        <f>$D$145</f>
        <v>Liquefied petroleum gas (LPG)</v>
      </c>
      <c r="H133" s="161"/>
      <c r="I133" s="161" t="s">
        <v>310</v>
      </c>
      <c r="J133" s="103"/>
      <c r="K133" s="103"/>
      <c r="L133" s="103"/>
    </row>
    <row r="134" spans="1:33" ht="20.100000000000001" customHeight="1" x14ac:dyDescent="0.25">
      <c r="A134"/>
      <c r="D134" s="161" t="str">
        <f>$D$146</f>
        <v>Biodiesel</v>
      </c>
      <c r="E134" s="161" t="str">
        <f>$D$146</f>
        <v>Biodiesel</v>
      </c>
      <c r="F134" s="160"/>
      <c r="G134" s="161" t="str">
        <f>$D$160</f>
        <v>Fuel oil</v>
      </c>
      <c r="H134" s="161"/>
      <c r="I134" s="161"/>
      <c r="J134" s="103"/>
      <c r="K134" s="103"/>
      <c r="L134" s="103"/>
    </row>
    <row r="135" spans="1:33" ht="20.100000000000001" customHeight="1" x14ac:dyDescent="0.25">
      <c r="A135"/>
      <c r="D135" s="161" t="str">
        <f>$D$147</f>
        <v>Ethanol</v>
      </c>
      <c r="E135" s="161" t="str">
        <f>$D$147</f>
        <v>Ethanol</v>
      </c>
      <c r="F135" s="160"/>
      <c r="G135" s="161" t="str">
        <f>$D$147</f>
        <v>Ethanol</v>
      </c>
      <c r="H135" s="161"/>
      <c r="I135" s="161"/>
      <c r="J135" s="103"/>
      <c r="K135" s="103"/>
      <c r="L135" s="103"/>
    </row>
    <row r="136" spans="1:33" ht="20.100000000000001" customHeight="1" x14ac:dyDescent="0.25">
      <c r="A136"/>
      <c r="D136" s="161" t="str">
        <f>$D$148</f>
        <v>Other biofuels</v>
      </c>
      <c r="E136" s="161" t="str">
        <f>$D$148</f>
        <v>Other biofuels</v>
      </c>
      <c r="F136" s="160"/>
      <c r="G136" s="161" t="str">
        <f>$D$146</f>
        <v>Biodiesel</v>
      </c>
      <c r="H136" s="161"/>
      <c r="I136" s="161"/>
      <c r="J136" s="103"/>
      <c r="K136" s="103"/>
      <c r="L136" s="103"/>
    </row>
    <row r="137" spans="1:33" ht="20.100000000000001" customHeight="1" x14ac:dyDescent="0.25">
      <c r="A137"/>
      <c r="D137" s="161" t="str">
        <f>$D$149</f>
        <v>Renewable diesel</v>
      </c>
      <c r="E137" s="161" t="str">
        <f>$D$149</f>
        <v>Renewable diesel</v>
      </c>
      <c r="F137" s="160"/>
      <c r="G137" s="161" t="str">
        <f>$D$149</f>
        <v>Renewable diesel</v>
      </c>
      <c r="H137" s="161"/>
      <c r="I137" s="161"/>
      <c r="J137" s="103"/>
      <c r="K137" s="103"/>
      <c r="L137" s="103"/>
    </row>
    <row r="138" spans="1:33" ht="20.100000000000001" customHeight="1" x14ac:dyDescent="0.25">
      <c r="A138"/>
      <c r="D138" s="160"/>
      <c r="E138" s="162" t="str">
        <f>$D$161</f>
        <v>Natural gas (via pipeline) in GJ</v>
      </c>
      <c r="F138" s="162"/>
      <c r="G138" s="161" t="str">
        <f>$D$148</f>
        <v>Other biofuels</v>
      </c>
      <c r="H138" s="161"/>
      <c r="I138" s="161"/>
      <c r="J138" s="103"/>
      <c r="K138" s="103"/>
      <c r="L138" s="103"/>
    </row>
    <row r="139" spans="1:33" ht="20.100000000000001" customHeight="1" x14ac:dyDescent="0.25">
      <c r="A139"/>
      <c r="D139" s="162"/>
      <c r="E139" s="162" t="str">
        <f>$D$162</f>
        <v>Town gas in GJ</v>
      </c>
      <c r="F139" s="162"/>
      <c r="G139" s="162"/>
      <c r="H139" s="162"/>
      <c r="I139" s="162"/>
      <c r="J139" s="103"/>
      <c r="K139" s="103"/>
      <c r="L139" s="103"/>
    </row>
    <row r="140" spans="1:33" ht="20.100000000000001" customHeight="1" x14ac:dyDescent="0.25">
      <c r="A140"/>
      <c r="D140" s="103"/>
      <c r="E140" s="103"/>
      <c r="F140" s="103"/>
      <c r="G140" s="103"/>
      <c r="H140" s="103"/>
      <c r="I140" s="103"/>
      <c r="J140" s="103"/>
      <c r="K140" s="103"/>
      <c r="L140" s="103"/>
    </row>
    <row r="141" spans="1:33" ht="20.100000000000001" customHeight="1" x14ac:dyDescent="0.25">
      <c r="A141"/>
      <c r="D141" s="103"/>
      <c r="E141" s="103"/>
      <c r="F141" s="103"/>
      <c r="G141" s="103"/>
      <c r="H141" s="103"/>
      <c r="I141" s="103"/>
      <c r="J141" s="103"/>
      <c r="K141" s="103"/>
      <c r="L141" s="103"/>
    </row>
    <row r="142" spans="1:33" ht="20.100000000000001" customHeight="1" x14ac:dyDescent="0.25">
      <c r="A142"/>
      <c r="D142" s="10" t="s">
        <v>365</v>
      </c>
      <c r="E142" s="10" t="s">
        <v>163</v>
      </c>
      <c r="F142" s="10" t="s">
        <v>366</v>
      </c>
      <c r="G142" s="103"/>
      <c r="H142" s="103"/>
      <c r="I142" s="103"/>
      <c r="J142" s="103"/>
      <c r="K142" s="103"/>
      <c r="L142" s="103"/>
      <c r="M142" s="103"/>
      <c r="AG142" s="15"/>
    </row>
    <row r="143" spans="1:33" ht="20.100000000000001" customHeight="1" x14ac:dyDescent="0.25">
      <c r="A143"/>
      <c r="D143" s="161" t="s">
        <v>305</v>
      </c>
      <c r="E143" s="10" t="s">
        <v>367</v>
      </c>
      <c r="F143" s="10" t="s">
        <v>368</v>
      </c>
      <c r="G143" s="103"/>
      <c r="H143" s="103"/>
      <c r="I143" s="103"/>
      <c r="J143" s="103"/>
      <c r="K143" s="103"/>
      <c r="L143" s="103"/>
      <c r="M143" s="103"/>
      <c r="AG143" s="15"/>
    </row>
    <row r="144" spans="1:33" ht="20.100000000000001" customHeight="1" x14ac:dyDescent="0.25">
      <c r="A144"/>
      <c r="D144" s="161" t="s">
        <v>307</v>
      </c>
      <c r="E144" s="10" t="s">
        <v>367</v>
      </c>
      <c r="F144" s="10" t="s">
        <v>368</v>
      </c>
      <c r="G144" s="103"/>
      <c r="H144" s="103"/>
      <c r="I144" s="103"/>
      <c r="J144" s="103"/>
      <c r="K144" s="103"/>
      <c r="L144" s="103"/>
      <c r="M144" s="103"/>
      <c r="AG144" s="15"/>
    </row>
    <row r="145" spans="1:33" ht="20.100000000000001" customHeight="1" x14ac:dyDescent="0.25">
      <c r="A145"/>
      <c r="D145" s="161" t="s">
        <v>369</v>
      </c>
      <c r="E145" s="10" t="s">
        <v>367</v>
      </c>
      <c r="F145" s="10" t="s">
        <v>368</v>
      </c>
      <c r="G145" s="103"/>
      <c r="H145" s="103"/>
      <c r="I145" s="103"/>
      <c r="J145" s="103"/>
      <c r="K145" s="103"/>
      <c r="L145" s="103"/>
      <c r="M145" s="103"/>
      <c r="AG145" s="15"/>
    </row>
    <row r="146" spans="1:33" ht="20.100000000000001" customHeight="1" x14ac:dyDescent="0.25">
      <c r="A146"/>
      <c r="D146" s="161" t="s">
        <v>370</v>
      </c>
      <c r="E146" s="10" t="s">
        <v>367</v>
      </c>
      <c r="F146" s="10" t="s">
        <v>368</v>
      </c>
      <c r="G146" s="103"/>
      <c r="H146" s="103"/>
      <c r="I146" s="103"/>
      <c r="J146" s="103"/>
      <c r="K146" s="103"/>
      <c r="L146" s="103"/>
      <c r="M146" s="103"/>
      <c r="AG146" s="15"/>
    </row>
    <row r="147" spans="1:33" ht="20.100000000000001" customHeight="1" x14ac:dyDescent="0.25">
      <c r="A147"/>
      <c r="D147" s="161" t="s">
        <v>371</v>
      </c>
      <c r="E147" s="10" t="s">
        <v>367</v>
      </c>
      <c r="F147" s="10" t="s">
        <v>368</v>
      </c>
      <c r="G147" s="103"/>
      <c r="H147" s="103"/>
      <c r="I147" s="103"/>
      <c r="J147" s="103"/>
      <c r="K147" s="103"/>
      <c r="L147" s="103"/>
      <c r="M147" s="103"/>
      <c r="AG147" s="15"/>
    </row>
    <row r="148" spans="1:33" ht="20.100000000000001" customHeight="1" x14ac:dyDescent="0.25">
      <c r="A148"/>
      <c r="D148" s="161" t="s">
        <v>372</v>
      </c>
      <c r="E148" s="10" t="s">
        <v>367</v>
      </c>
      <c r="F148" s="10" t="s">
        <v>368</v>
      </c>
      <c r="G148" s="103"/>
      <c r="H148" s="103"/>
      <c r="I148" s="103"/>
      <c r="J148" s="103"/>
      <c r="K148" s="103"/>
      <c r="L148" s="103"/>
      <c r="M148" s="103"/>
      <c r="AG148" s="15"/>
    </row>
    <row r="149" spans="1:33" ht="20.100000000000001" customHeight="1" x14ac:dyDescent="0.25">
      <c r="A149"/>
      <c r="D149" s="161" t="s">
        <v>373</v>
      </c>
      <c r="E149" s="10" t="s">
        <v>367</v>
      </c>
      <c r="F149" s="10" t="s">
        <v>368</v>
      </c>
      <c r="G149" s="103"/>
      <c r="H149" s="103"/>
      <c r="I149" s="103"/>
      <c r="J149" s="103"/>
      <c r="K149" s="103"/>
      <c r="L149" s="103"/>
      <c r="M149" s="103"/>
      <c r="AG149" s="15"/>
    </row>
    <row r="150" spans="1:33" ht="20.100000000000001" customHeight="1" x14ac:dyDescent="0.25">
      <c r="A150"/>
      <c r="D150" s="161" t="s">
        <v>374</v>
      </c>
      <c r="E150" s="10" t="s">
        <v>367</v>
      </c>
      <c r="F150" s="10" t="s">
        <v>368</v>
      </c>
      <c r="G150" s="103"/>
      <c r="H150" s="103"/>
      <c r="I150" s="103"/>
      <c r="J150" s="103"/>
      <c r="K150" s="103"/>
      <c r="L150" s="103"/>
      <c r="M150" s="103"/>
      <c r="AG150" s="15"/>
    </row>
    <row r="151" spans="1:33" ht="20.100000000000001" customHeight="1" x14ac:dyDescent="0.25">
      <c r="A151"/>
      <c r="D151" s="161" t="s">
        <v>375</v>
      </c>
      <c r="E151" s="10" t="s">
        <v>367</v>
      </c>
      <c r="F151" s="10" t="s">
        <v>368</v>
      </c>
      <c r="G151" s="103"/>
      <c r="H151" s="103"/>
      <c r="I151" s="103"/>
      <c r="J151" s="103"/>
      <c r="K151" s="103"/>
      <c r="L151" s="103"/>
      <c r="M151" s="103"/>
      <c r="AG151" s="15"/>
    </row>
    <row r="152" spans="1:33" ht="20.100000000000001" customHeight="1" x14ac:dyDescent="0.25">
      <c r="A152"/>
      <c r="D152" s="163" t="s">
        <v>376</v>
      </c>
      <c r="E152" s="21" t="s">
        <v>367</v>
      </c>
      <c r="F152" s="10" t="s">
        <v>368</v>
      </c>
      <c r="G152" s="103"/>
      <c r="H152" s="103"/>
      <c r="I152" s="103"/>
      <c r="J152" s="103"/>
      <c r="K152" s="103"/>
      <c r="L152" s="103"/>
      <c r="M152" s="103"/>
      <c r="AG152" s="15"/>
    </row>
    <row r="153" spans="1:33" ht="20.100000000000001" customHeight="1" x14ac:dyDescent="0.25">
      <c r="A153"/>
      <c r="D153" s="163" t="s">
        <v>377</v>
      </c>
      <c r="E153" s="21" t="s">
        <v>367</v>
      </c>
      <c r="F153" s="10" t="s">
        <v>368</v>
      </c>
      <c r="G153" s="103"/>
      <c r="H153" s="103"/>
      <c r="I153" s="103"/>
      <c r="J153" s="103"/>
      <c r="K153" s="103"/>
      <c r="L153" s="103"/>
      <c r="M153" s="103"/>
      <c r="AG153" s="15"/>
    </row>
    <row r="154" spans="1:33" ht="20.100000000000001" customHeight="1" x14ac:dyDescent="0.25">
      <c r="A154"/>
      <c r="D154" s="163" t="s">
        <v>378</v>
      </c>
      <c r="E154" s="21" t="s">
        <v>367</v>
      </c>
      <c r="F154" s="10" t="s">
        <v>368</v>
      </c>
      <c r="G154" s="103"/>
      <c r="H154" s="103"/>
      <c r="I154" s="103"/>
      <c r="J154" s="103"/>
      <c r="K154" s="103"/>
      <c r="L154" s="103"/>
      <c r="M154" s="103"/>
      <c r="AG154" s="15"/>
    </row>
    <row r="155" spans="1:33" ht="20.100000000000001" customHeight="1" x14ac:dyDescent="0.25">
      <c r="A155"/>
      <c r="D155" s="163" t="s">
        <v>379</v>
      </c>
      <c r="E155" s="21" t="s">
        <v>367</v>
      </c>
      <c r="F155" s="10" t="s">
        <v>368</v>
      </c>
      <c r="G155" s="103"/>
      <c r="H155" s="103"/>
      <c r="I155" s="103"/>
      <c r="J155" s="103"/>
      <c r="K155" s="103"/>
      <c r="L155" s="103"/>
      <c r="M155" s="103"/>
      <c r="AG155" s="15"/>
    </row>
    <row r="156" spans="1:33" ht="20.100000000000001" customHeight="1" x14ac:dyDescent="0.25">
      <c r="A156"/>
      <c r="D156" s="163" t="s">
        <v>380</v>
      </c>
      <c r="E156" s="21" t="s">
        <v>367</v>
      </c>
      <c r="F156" s="10" t="s">
        <v>368</v>
      </c>
      <c r="G156" s="103"/>
      <c r="H156" s="103"/>
      <c r="I156" s="103"/>
      <c r="J156" s="103"/>
      <c r="K156" s="103"/>
      <c r="L156" s="103"/>
      <c r="M156" s="103"/>
      <c r="AG156" s="15"/>
    </row>
    <row r="157" spans="1:33" ht="20.100000000000001" customHeight="1" x14ac:dyDescent="0.25">
      <c r="A157"/>
      <c r="D157" s="163" t="s">
        <v>381</v>
      </c>
      <c r="E157" s="21" t="s">
        <v>367</v>
      </c>
      <c r="F157" s="10" t="s">
        <v>368</v>
      </c>
      <c r="G157" s="103"/>
      <c r="H157" s="103"/>
      <c r="I157" s="103"/>
      <c r="J157" s="103"/>
      <c r="K157" s="103"/>
      <c r="L157" s="103"/>
      <c r="M157" s="103"/>
      <c r="AG157" s="15"/>
    </row>
    <row r="158" spans="1:33" ht="20.100000000000001" customHeight="1" x14ac:dyDescent="0.25">
      <c r="A158"/>
      <c r="D158" s="163" t="s">
        <v>382</v>
      </c>
      <c r="E158" s="21" t="s">
        <v>367</v>
      </c>
      <c r="F158" s="10" t="s">
        <v>368</v>
      </c>
      <c r="G158" s="103"/>
      <c r="H158" s="103"/>
      <c r="I158" s="103"/>
      <c r="J158" s="103"/>
      <c r="K158" s="103"/>
      <c r="L158" s="103"/>
      <c r="M158" s="103"/>
      <c r="AG158" s="15"/>
    </row>
    <row r="159" spans="1:33" ht="20.100000000000001" customHeight="1" x14ac:dyDescent="0.25">
      <c r="A159"/>
      <c r="D159" s="163" t="s">
        <v>383</v>
      </c>
      <c r="E159" s="21" t="s">
        <v>367</v>
      </c>
      <c r="F159" s="10" t="s">
        <v>368</v>
      </c>
      <c r="G159" s="103"/>
      <c r="H159" s="103"/>
      <c r="I159" s="103"/>
      <c r="J159" s="103"/>
      <c r="K159" s="103"/>
      <c r="L159" s="103"/>
      <c r="M159" s="103"/>
      <c r="AG159" s="15"/>
    </row>
    <row r="160" spans="1:33" ht="20.100000000000001" customHeight="1" x14ac:dyDescent="0.25">
      <c r="A160"/>
      <c r="D160" s="163" t="s">
        <v>310</v>
      </c>
      <c r="E160" s="21" t="s">
        <v>367</v>
      </c>
      <c r="F160" s="10" t="s">
        <v>368</v>
      </c>
      <c r="G160" s="103"/>
      <c r="H160" s="103"/>
      <c r="I160" s="103"/>
      <c r="J160" s="103"/>
      <c r="K160" s="103"/>
      <c r="L160" s="103"/>
      <c r="M160" s="103"/>
      <c r="AG160" s="15"/>
    </row>
    <row r="161" spans="4:33" ht="20.100000000000001" customHeight="1" x14ac:dyDescent="0.25">
      <c r="D161" s="162" t="s">
        <v>384</v>
      </c>
      <c r="E161" s="103" t="s">
        <v>385</v>
      </c>
      <c r="F161" s="103" t="s">
        <v>385</v>
      </c>
      <c r="G161" s="103"/>
      <c r="H161" s="103"/>
      <c r="I161" s="103"/>
      <c r="J161" s="103"/>
      <c r="K161" s="103"/>
      <c r="L161" s="103"/>
      <c r="M161" s="103"/>
      <c r="AG161" s="15"/>
    </row>
    <row r="162" spans="4:33" ht="20.100000000000001" customHeight="1" x14ac:dyDescent="0.25">
      <c r="D162" s="103" t="s">
        <v>304</v>
      </c>
      <c r="E162" s="103" t="s">
        <v>385</v>
      </c>
      <c r="F162" s="103" t="s">
        <v>385</v>
      </c>
      <c r="G162" s="103"/>
      <c r="H162" s="103"/>
      <c r="I162" s="103"/>
      <c r="J162" s="103"/>
      <c r="K162" s="103"/>
      <c r="L162" s="103"/>
      <c r="M162" s="103"/>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85" zoomScaleNormal="85" workbookViewId="0">
      <selection activeCell="A28" sqref="A28"/>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s="29" t="s">
        <v>83</v>
      </c>
      <c r="D6" s="17" t="s">
        <v>14</v>
      </c>
      <c r="E6" s="17" t="s">
        <v>15</v>
      </c>
      <c r="F6" s="17" t="s">
        <v>16</v>
      </c>
    </row>
    <row r="7" spans="1:65" ht="20.100000000000001" customHeight="1" x14ac:dyDescent="0.25">
      <c r="A7" s="24" t="str">
        <f>HYPERLINK("#'Input - Planting'!A1", "Planting")</f>
        <v>Planting</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4" t="str">
        <f>HYPERLINK("#'Input - Fertiliser'!A1", "Fertiliser")</f>
        <v>Fertiliser</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4" t="str">
        <f>HYPERLINK("#'Input - Fuel'!A1", "Fuel")</f>
        <v>Fuel</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4" t="str">
        <f>HYPERLINK("#'Input - Site'!A1", "Site")</f>
        <v>Site</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32" t="s">
        <v>89</v>
      </c>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s="24" t="str">
        <f>HYPERLINK("#'5.1.1.1-2 Inorganic fert N2O'!A1", "5.1.1.1-2 Inorganic fert N2O")</f>
        <v>5.1.1.1-2 Inorganic fert N2O</v>
      </c>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24" t="str">
        <f>HYPERLINK("#'5.1.1.3-4 Inorganic fert CO2'!A1", "5.1.1.3-4 Inorganic fert CO2")</f>
        <v>5.1.1.3-4 Inorganic fert CO2</v>
      </c>
    </row>
    <row r="16" spans="1:65" ht="20.100000000000001" customHeight="1" x14ac:dyDescent="0.25">
      <c r="A16" s="24" t="str">
        <f>HYPERLINK("#'5.2.1.1-2 Organic Fert N2O'!A1", "5.2.1.1-2 Organic fert N2O")</f>
        <v>5.2.1.1-2 Organic fert N2O</v>
      </c>
    </row>
    <row r="17" spans="1:4" ht="20.100000000000001" customHeight="1" x14ac:dyDescent="0.25">
      <c r="A17" s="24" t="str">
        <f>HYPERLINK("#'5.3.1.1-2 Lime CO2'!A1", "5.3.1.1-2 Lime CO2")</f>
        <v>5.3.1.1-2 Lime CO2</v>
      </c>
    </row>
    <row r="18" spans="1:4" ht="20.100000000000001" customHeight="1" x14ac:dyDescent="0.25">
      <c r="A18" s="24" t="str">
        <f>HYPERLINK("#'5.4.1.1-4 Atmos deposition'!A1", "5.4.1.1-4 Atmos. deposition")</f>
        <v>5.4.1.1-4 Atmos. deposition</v>
      </c>
      <c r="D18" s="16" t="str" cm="1">
        <f t="array" ref="D18">Common_SourceData.Common_SourceData_WASA4Areas_Title()</f>
        <v>ABS Statistcal Areas Level 4 - Western Australia</v>
      </c>
    </row>
    <row r="19" spans="1:4" ht="20.100000000000001" customHeight="1" x14ac:dyDescent="0.25">
      <c r="A19" s="24" t="str">
        <f>HYPERLINK("#'5.5.1.1-2 Leaching and runoff'!A1", "5.5.1.1-2 Leaching &amp; runoff")</f>
        <v>5.5.1.1-2 Leaching &amp; runoff</v>
      </c>
      <c r="D19" s="18" t="str" cm="1">
        <f t="array" ref="D19">Common_SourceData.Common_SourceData_WASA4Areas_Source()</f>
        <v>Australian Bureau of Statistics (ABS) - Statistical Areas Level 2 - 2021 - Shapefile</v>
      </c>
    </row>
    <row r="20" spans="1:4" ht="20.100000000000001" customHeight="1" x14ac:dyDescent="0.25">
      <c r="A20" s="24" t="str">
        <f>HYPERLINK("#'8.1.1.1-2 Transport fuel'!A1", "8.1.1.1-2 Transport fuel")</f>
        <v>8.1.1.1-2 Transport fuel</v>
      </c>
      <c r="D20" s="17" t="s">
        <v>17</v>
      </c>
    </row>
    <row r="21" spans="1:4" ht="20.100000000000001" customHeight="1" x14ac:dyDescent="0.25">
      <c r="A21" s="24" t="str">
        <f>HYPERLINK("#'8.2.1.1-2 Stationary fuel'!A1", "8.2.1.1-2 Stationary fuel")</f>
        <v>8.2.1.1-2 Stationary fuel</v>
      </c>
      <c r="D21" s="17" t="str" cm="1">
        <f t="array" ref="D21">Common_InputFunctions.Utility_DisplayArrayInTable(Common_SourceData.Common_SourceData_WASA4Areas_Data(), Table_WASA4Areas[[#Headers],[SA 4 Name]], 0)</f>
        <v>Bunbury</v>
      </c>
    </row>
    <row r="22" spans="1:4" ht="20.100000000000001" customHeight="1" x14ac:dyDescent="0.25">
      <c r="A22"/>
      <c r="D22" s="17" t="str" cm="1">
        <f t="array" ref="D22">Common_InputFunctions.Utility_DisplayArrayInTable(Common_SourceData.Common_SourceData_WASA4Areas_Data(), Table_WASA4Areas[[#Headers],[SA 4 Name]], 0)</f>
        <v>Mandurah</v>
      </c>
    </row>
    <row r="23" spans="1:4" ht="20.100000000000001" customHeight="1" x14ac:dyDescent="0.25">
      <c r="A23"/>
      <c r="D23" s="17" t="str" cm="1">
        <f t="array" ref="D23">Common_InputFunctions.Utility_DisplayArrayInTable(Common_SourceData.Common_SourceData_WASA4Areas_Data(), Table_WASA4Areas[[#Headers],[SA 4 Name]], 0)</f>
        <v>Perth - Inner</v>
      </c>
    </row>
    <row r="24" spans="1:4" ht="20.100000000000001" customHeight="1" x14ac:dyDescent="0.25">
      <c r="A24" s="210" t="s">
        <v>116</v>
      </c>
      <c r="D24" s="17" t="str" cm="1">
        <f t="array" ref="D24">Common_InputFunctions.Utility_DisplayArrayInTable(Common_SourceData.Common_SourceData_WASA4Areas_Data(), Table_WASA4Areas[[#Headers],[SA 4 Name]], 0)</f>
        <v>Perth - North East</v>
      </c>
    </row>
    <row r="25" spans="1:4" ht="20.100000000000001" customHeight="1" x14ac:dyDescent="0.25">
      <c r="A25" s="24" t="str">
        <f>HYPERLINK("#'Constants - Fertiliser'!A1", "Constants - Fertiliser")</f>
        <v>Constants - Fertiliser</v>
      </c>
      <c r="D25" s="17" t="str" cm="1">
        <f t="array" ref="D25">Common_InputFunctions.Utility_DisplayArrayInTable(Common_SourceData.Common_SourceData_WASA4Areas_Data(), Table_WASA4Areas[[#Headers],[SA 4 Name]], 0)</f>
        <v>Perth - North West</v>
      </c>
    </row>
    <row r="26" spans="1:4" ht="20.100000000000001" customHeight="1" x14ac:dyDescent="0.25">
      <c r="A26" s="24" t="str">
        <f>HYPERLINK("#'Constants - Fuel'!A1", "Constants - Fuel")</f>
        <v>Constants - Fuel</v>
      </c>
      <c r="D26" s="17" t="str" cm="1">
        <f t="array" ref="D26">Common_InputFunctions.Utility_DisplayArrayInTable(Common_SourceData.Common_SourceData_WASA4Areas_Data(), Table_WASA4Areas[[#Headers],[SA 4 Name]], 0)</f>
        <v>Perth - South East</v>
      </c>
    </row>
    <row r="27" spans="1:4" ht="20.100000000000001" customHeight="1" x14ac:dyDescent="0.25">
      <c r="A27" s="116" t="str">
        <f>HYPERLINK("#'Constants - Common'!A1", "Constants - Common")</f>
        <v>Constants - Common</v>
      </c>
      <c r="D27" s="17" t="str" cm="1">
        <f t="array" ref="D27">Common_InputFunctions.Utility_DisplayArrayInTable(Common_SourceData.Common_SourceData_WASA4Areas_Data(), Table_WASA4Areas[[#Headers],[SA 4 Name]], 0)</f>
        <v>Perth - South West</v>
      </c>
    </row>
    <row r="28" spans="1:4" ht="20.100000000000001" customHeight="1" x14ac:dyDescent="0.25">
      <c r="A28" s="24" t="str">
        <f>HYPERLINK("#'Overview'!A1", "Overview")</f>
        <v>Overview</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6EE57-8046-48C8-94BB-BD4673F3058E}">
  <dimension ref="A1:AV160"/>
  <sheetViews>
    <sheetView showGridLines="0"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4" t="s">
        <v>386</v>
      </c>
      <c r="D1" s="165"/>
      <c r="E1" s="165"/>
      <c r="F1" s="165"/>
      <c r="G1" s="165"/>
      <c r="H1" s="165"/>
      <c r="I1" s="165"/>
      <c r="J1" s="165"/>
      <c r="K1" s="165"/>
      <c r="L1" s="165"/>
      <c r="M1" s="165"/>
      <c r="N1" s="165"/>
      <c r="O1" s="165"/>
      <c r="P1" s="165"/>
      <c r="Q1" s="165"/>
      <c r="R1" s="165"/>
      <c r="S1" s="165"/>
      <c r="T1" s="165"/>
      <c r="U1" s="165"/>
      <c r="V1" s="165"/>
      <c r="W1" s="165"/>
      <c r="X1" s="165"/>
      <c r="Y1" s="165"/>
      <c r="Z1" s="165"/>
      <c r="AA1" s="165"/>
      <c r="AB1" s="165"/>
      <c r="AC1" s="165"/>
      <c r="AD1" s="165"/>
      <c r="AE1" s="165"/>
      <c r="AF1" s="165"/>
      <c r="AG1" s="165"/>
      <c r="AH1" s="165"/>
      <c r="AI1" s="165"/>
      <c r="AJ1" s="165"/>
      <c r="AK1" s="165"/>
      <c r="AL1" s="165"/>
      <c r="AM1" s="165"/>
      <c r="AN1" s="165"/>
      <c r="AO1" s="165"/>
    </row>
    <row r="2" spans="1:42" ht="20.100000000000001" customHeight="1" x14ac:dyDescent="0.25">
      <c r="A2"/>
      <c r="C2" s="165"/>
      <c r="D2" s="165"/>
      <c r="E2" s="165"/>
      <c r="F2" s="165"/>
      <c r="G2" s="165"/>
      <c r="H2" s="165"/>
      <c r="I2" s="165"/>
      <c r="J2" s="165"/>
      <c r="K2" s="165"/>
      <c r="L2" s="165"/>
      <c r="M2" s="165"/>
      <c r="N2" s="165"/>
      <c r="O2" s="165"/>
      <c r="P2" s="165"/>
      <c r="Q2" s="165"/>
      <c r="R2" s="165"/>
      <c r="S2" s="165"/>
      <c r="T2" s="165"/>
      <c r="U2" s="165"/>
      <c r="V2" s="165"/>
      <c r="W2" s="165"/>
      <c r="X2" s="165"/>
      <c r="Y2" s="165"/>
      <c r="Z2" s="165"/>
      <c r="AA2" s="165"/>
      <c r="AB2" s="165"/>
      <c r="AC2" s="165"/>
      <c r="AD2" s="165"/>
      <c r="AE2" s="165"/>
      <c r="AF2" s="165"/>
      <c r="AG2" s="165"/>
      <c r="AH2" s="165"/>
      <c r="AI2" s="165"/>
      <c r="AJ2" s="165"/>
      <c r="AK2" s="165"/>
      <c r="AL2" s="165"/>
      <c r="AM2" s="165"/>
      <c r="AN2" s="165"/>
      <c r="AO2" s="165"/>
      <c r="AP2" s="166"/>
    </row>
    <row r="3" spans="1:42" ht="20.100000000000001" customHeight="1" x14ac:dyDescent="0.25">
      <c r="A3" s="24" t="str">
        <f>HYPERLINK("#'Home'!A1", "Home")</f>
        <v>Home</v>
      </c>
      <c r="C3" s="167"/>
      <c r="D3" s="167"/>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67"/>
      <c r="AH3" s="167"/>
      <c r="AI3" s="167"/>
      <c r="AJ3" s="167"/>
      <c r="AK3" s="167"/>
      <c r="AL3" s="167"/>
      <c r="AM3" s="167"/>
      <c r="AN3" s="167"/>
      <c r="AO3" s="167"/>
    </row>
    <row r="4" spans="1:42" ht="20.100000000000001" customHeight="1" x14ac:dyDescent="0.25">
      <c r="A4"/>
    </row>
    <row r="5" spans="1:42" ht="20.100000000000001" customHeight="1" x14ac:dyDescent="0.25">
      <c r="A5"/>
      <c r="D5" s="33" t="s">
        <v>387</v>
      </c>
      <c r="E5" s="34"/>
      <c r="F5" s="34"/>
      <c r="G5" s="34"/>
      <c r="H5" s="34"/>
      <c r="I5" s="34"/>
      <c r="J5" s="34"/>
      <c r="K5" s="34"/>
      <c r="L5" s="34"/>
      <c r="M5" s="34"/>
      <c r="N5" s="34"/>
      <c r="O5" s="35"/>
    </row>
    <row r="6" spans="1:42" ht="20.100000000000001" customHeight="1" x14ac:dyDescent="0.25">
      <c r="A6" s="29" t="s">
        <v>83</v>
      </c>
      <c r="D6" s="169" t="s">
        <v>388</v>
      </c>
      <c r="E6" s="40"/>
      <c r="F6" s="40"/>
      <c r="G6" s="40"/>
      <c r="H6" s="40"/>
      <c r="I6" s="40"/>
      <c r="J6" s="40"/>
      <c r="K6" s="40"/>
      <c r="L6" s="40"/>
      <c r="M6" s="40"/>
      <c r="N6" s="40"/>
      <c r="O6" s="41"/>
    </row>
    <row r="7" spans="1:42" ht="20.100000000000001" customHeight="1" x14ac:dyDescent="0.25">
      <c r="A7" s="24" t="str">
        <f>HYPERLINK("#'Input - Planting'!A1", "Planting")</f>
        <v>Planting</v>
      </c>
    </row>
    <row r="8" spans="1:42" ht="20.100000000000001" customHeight="1" x14ac:dyDescent="0.25">
      <c r="A8" s="24" t="str">
        <f>HYPERLINK("#'Input - Fertiliser'!A1", "Fertiliser")</f>
        <v>Fertiliser</v>
      </c>
    </row>
    <row r="9" spans="1:42" ht="20.100000000000001" customHeight="1" x14ac:dyDescent="0.25">
      <c r="A9" s="24" t="str">
        <f>HYPERLINK("#'Input - Fuel'!A1", "Fuel")</f>
        <v>Fuel</v>
      </c>
    </row>
    <row r="10" spans="1:42" ht="20.100000000000001" customHeight="1" x14ac:dyDescent="0.25">
      <c r="A10" s="24" t="str">
        <f>HYPERLINK("#'Input - Site'!A1", "Site")</f>
        <v>Site</v>
      </c>
    </row>
    <row r="11" spans="1:42" ht="20.100000000000001" customHeight="1" x14ac:dyDescent="0.25">
      <c r="A11"/>
    </row>
    <row r="12" spans="1:42" ht="20.100000000000001" customHeight="1" x14ac:dyDescent="0.25">
      <c r="A12"/>
    </row>
    <row r="13" spans="1:42" ht="20.100000000000001" customHeight="1" x14ac:dyDescent="0.25">
      <c r="A13" s="32" t="s">
        <v>89</v>
      </c>
    </row>
    <row r="14" spans="1:42" ht="20.100000000000001" customHeight="1" x14ac:dyDescent="0.25">
      <c r="A14" s="24" t="str">
        <f>HYPERLINK("#'5.1.1.1-2 Inorganic fert N2O'!A1", "5.1.1.1-2 Inorganic fert N2O")</f>
        <v>5.1.1.1-2 Inorganic fert N2O</v>
      </c>
    </row>
    <row r="15" spans="1:42" ht="20.100000000000001" customHeight="1" x14ac:dyDescent="0.25">
      <c r="A15" s="24" t="str">
        <f>HYPERLINK("#'5.1.1.3-4 Inorganic fert CO2'!A1", "5.1.1.3-4 Inorganic fert CO2")</f>
        <v>5.1.1.3-4 Inorganic fert CO2</v>
      </c>
    </row>
    <row r="16" spans="1:42" ht="20.100000000000001" customHeight="1" x14ac:dyDescent="0.25">
      <c r="A16" s="24" t="str">
        <f>HYPERLINK("#'5.2.1.1-2 Organic Fert N2O'!A1", "5.2.1.1-2 Organic fert N2O")</f>
        <v>5.2.1.1-2 Organic fert N2O</v>
      </c>
    </row>
    <row r="17" spans="1:1" ht="20.100000000000001" customHeight="1" x14ac:dyDescent="0.25">
      <c r="A17" s="24" t="str">
        <f>HYPERLINK("#'5.3.1.1-2 Lime CO2'!A1", "5.3.1.1-2 Lime CO2")</f>
        <v>5.3.1.1-2 Lime CO2</v>
      </c>
    </row>
    <row r="18" spans="1:1" ht="20.100000000000001" customHeight="1" x14ac:dyDescent="0.25">
      <c r="A18" s="24" t="str">
        <f>HYPERLINK("#'5.4.1.1-4 Atmos deposition'!A1", "5.4.1.1-4 Atmos. deposition")</f>
        <v>5.4.1.1-4 Atmos. deposition</v>
      </c>
    </row>
    <row r="19" spans="1:1" ht="20.100000000000001" customHeight="1" x14ac:dyDescent="0.25">
      <c r="A19" s="24" t="str">
        <f>HYPERLINK("#'5.5.1.1-2 Leaching and runoff'!A1", "5.5.1.1-2 Leaching &amp; runoff")</f>
        <v>5.5.1.1-2 Leaching &amp; runoff</v>
      </c>
    </row>
    <row r="20" spans="1:1" ht="20.100000000000001" customHeight="1" x14ac:dyDescent="0.25">
      <c r="A20" s="24" t="str">
        <f>HYPERLINK("#'8.1.1.1-2 Transport fuel'!A1", "8.1.1.1-2 Transport fuel")</f>
        <v>8.1.1.1-2 Transport fuel</v>
      </c>
    </row>
    <row r="21" spans="1:1" ht="20.100000000000001" customHeight="1" x14ac:dyDescent="0.25">
      <c r="A21" s="24" t="str">
        <f>HYPERLINK("#'8.2.1.1-2 Stationary fuel'!A1", "8.2.1.1-2 Stationary fuel")</f>
        <v>8.2.1.1-2 Stationary fuel</v>
      </c>
    </row>
    <row r="22" spans="1:1" ht="20.100000000000001" customHeight="1" x14ac:dyDescent="0.25">
      <c r="A22"/>
    </row>
    <row r="23" spans="1:1" ht="20.100000000000001" customHeight="1" x14ac:dyDescent="0.25">
      <c r="A23"/>
    </row>
    <row r="24" spans="1:1" ht="20.100000000000001" customHeight="1" x14ac:dyDescent="0.25">
      <c r="A24" s="210" t="s">
        <v>116</v>
      </c>
    </row>
    <row r="25" spans="1:1" ht="20.100000000000001" customHeight="1" x14ac:dyDescent="0.25">
      <c r="A25" s="24" t="str">
        <f>HYPERLINK("#'Constants - Fertiliser'!A1", "Constants - Fertiliser")</f>
        <v>Constants - Fertiliser</v>
      </c>
    </row>
    <row r="26" spans="1:1" ht="20.100000000000001" customHeight="1" x14ac:dyDescent="0.25">
      <c r="A26" s="24" t="str">
        <f>HYPERLINK("#'Constants - Fuel'!A1", "Constants - Fuel")</f>
        <v>Constants - Fuel</v>
      </c>
    </row>
    <row r="27" spans="1:1" ht="20.100000000000001" customHeight="1" x14ac:dyDescent="0.25">
      <c r="A27" s="24" t="str">
        <f>HYPERLINK("#'Constants - Common'!A1", "Constants - Common")</f>
        <v>Constants - Common</v>
      </c>
    </row>
    <row r="28" spans="1:1" ht="20.100000000000001" customHeight="1" x14ac:dyDescent="0.25">
      <c r="A28" s="116" t="str">
        <f>HYPERLINK("#'Overview'!A1", "Overview")</f>
        <v>Overview</v>
      </c>
    </row>
    <row r="29" spans="1:1" ht="20.100000000000001" customHeight="1" x14ac:dyDescent="0.25">
      <c r="A29"/>
    </row>
    <row r="30" spans="1:1" ht="20.100000000000001" customHeight="1" x14ac:dyDescent="0.25">
      <c r="A30"/>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389</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390</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3DA2-7017-45C4-A47C-8942BC9C07FB}">
  <sheetPr>
    <pageSetUpPr autoPageBreaks="0"/>
  </sheetPr>
  <dimension ref="A1:AA160"/>
  <sheetViews>
    <sheetView showGridLines="0" tabSelected="1" topLeftCell="A5" zoomScaleNormal="100" workbookViewId="0">
      <selection activeCell="A27" sqref="A27"/>
    </sheetView>
  </sheetViews>
  <sheetFormatPr defaultColWidth="8" defaultRowHeight="15.75" x14ac:dyDescent="0.25"/>
  <cols>
    <col min="1" max="1" width="26.875" style="26"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0" t="s">
        <v>391</v>
      </c>
    </row>
    <row r="2" spans="1:24" s="11" customFormat="1" ht="20.100000000000001" customHeight="1" x14ac:dyDescent="0.25">
      <c r="A2"/>
      <c r="C2" s="9"/>
      <c r="D2" s="9"/>
      <c r="E2" s="9"/>
      <c r="F2" s="9"/>
      <c r="G2" s="9"/>
      <c r="H2" s="9"/>
      <c r="I2" s="9"/>
      <c r="J2" s="9"/>
    </row>
    <row r="3" spans="1:24" ht="20.100000000000001" customHeight="1" x14ac:dyDescent="0.25">
      <c r="A3" s="24" t="str">
        <f>HYPERLINK("#'Home'!A1", "Home")</f>
        <v>Home</v>
      </c>
      <c r="C3" s="25"/>
      <c r="D3" s="25"/>
      <c r="E3" s="25"/>
      <c r="F3" s="25"/>
      <c r="G3" s="25"/>
      <c r="H3" s="25"/>
      <c r="I3" s="25"/>
      <c r="J3" s="25"/>
      <c r="K3" s="25"/>
      <c r="M3" s="13"/>
      <c r="N3" s="13"/>
      <c r="O3" s="13"/>
      <c r="P3" s="13"/>
      <c r="Q3" s="13"/>
      <c r="R3" s="13"/>
      <c r="S3" s="13"/>
      <c r="T3" s="13"/>
      <c r="U3" s="13"/>
      <c r="V3" s="13"/>
      <c r="W3" s="13"/>
      <c r="X3" s="13"/>
    </row>
    <row r="4" spans="1:24" ht="20.100000000000001" customHeight="1" x14ac:dyDescent="0.25">
      <c r="A4"/>
      <c r="C4" s="171"/>
      <c r="D4" s="171"/>
      <c r="E4" s="171"/>
      <c r="F4" s="171"/>
      <c r="G4" s="171"/>
      <c r="H4" s="171"/>
      <c r="I4" s="171"/>
      <c r="J4" s="171"/>
      <c r="K4" s="171"/>
    </row>
    <row r="5" spans="1:24" ht="20.100000000000001" customHeight="1" x14ac:dyDescent="0.25">
      <c r="A5"/>
      <c r="D5" s="16" t="s">
        <v>392</v>
      </c>
      <c r="N5" s="172"/>
    </row>
    <row r="6" spans="1:24" ht="20.100000000000001" customHeight="1" x14ac:dyDescent="0.25">
      <c r="A6" s="29" t="s">
        <v>83</v>
      </c>
      <c r="D6" s="173"/>
      <c r="N6" s="174"/>
    </row>
    <row r="7" spans="1:24" ht="20.100000000000001" customHeight="1" x14ac:dyDescent="0.25">
      <c r="A7" s="24" t="str">
        <f>HYPERLINK("#'Input - Planting'!A1", "Planting")</f>
        <v>Planting</v>
      </c>
      <c r="D7" s="15" t="s">
        <v>393</v>
      </c>
      <c r="E7" s="58" t="s">
        <v>394</v>
      </c>
      <c r="F7" s="28"/>
    </row>
    <row r="8" spans="1:24" ht="20.100000000000001" customHeight="1" x14ac:dyDescent="0.25">
      <c r="A8" s="24" t="str">
        <f>HYPERLINK("#'Input - Fertiliser'!A1", "Fertiliser")</f>
        <v>Fertiliser</v>
      </c>
      <c r="D8" s="5" t="s">
        <v>395</v>
      </c>
      <c r="E8" s="58" t="s">
        <v>396</v>
      </c>
    </row>
    <row r="9" spans="1:24" ht="20.100000000000001" customHeight="1" x14ac:dyDescent="0.25">
      <c r="A9" s="24" t="str">
        <f>HYPERLINK("#'Input - Fuel'!A1", "Fuel")</f>
        <v>Fuel</v>
      </c>
      <c r="N9" s="175"/>
    </row>
    <row r="10" spans="1:24" ht="20.100000000000001" customHeight="1" x14ac:dyDescent="0.25">
      <c r="A10" s="30" t="str">
        <f>HYPERLINK("#'Input - Site'!A1", "Site")</f>
        <v>Site</v>
      </c>
      <c r="D10" s="176" t="s">
        <v>397</v>
      </c>
      <c r="E10" s="177"/>
      <c r="F10" s="178"/>
      <c r="G10" s="179"/>
      <c r="N10" s="175"/>
    </row>
    <row r="11" spans="1:24" ht="20.100000000000001" customHeight="1" x14ac:dyDescent="0.25">
      <c r="A11"/>
      <c r="N11" s="180"/>
    </row>
    <row r="12" spans="1:24" ht="20.100000000000001" customHeight="1" x14ac:dyDescent="0.25">
      <c r="A12"/>
      <c r="D12" s="5" t="s">
        <v>7</v>
      </c>
      <c r="E12" s="6">
        <v>45292</v>
      </c>
      <c r="F12" s="28" t="s">
        <v>398</v>
      </c>
    </row>
    <row r="13" spans="1:24" ht="20.100000000000001" customHeight="1" x14ac:dyDescent="0.25">
      <c r="A13" s="32" t="s">
        <v>89</v>
      </c>
      <c r="D13" s="5" t="s">
        <v>8</v>
      </c>
      <c r="E13" s="7">
        <f>DATE(YEAR(E12)+1,MONTH(E12),DAY(E12))-1</f>
        <v>45657</v>
      </c>
      <c r="F13" s="28" t="s">
        <v>399</v>
      </c>
      <c r="N13" s="181"/>
      <c r="O13" s="181"/>
    </row>
    <row r="14" spans="1:24" ht="20.100000000000001" customHeight="1" x14ac:dyDescent="0.25">
      <c r="A14" s="24" t="str">
        <f>HYPERLINK("#'5.1.1.1-2 Inorganic fert N2O'!A1", "5.1.1.1-2 Inorganic fert N2O")</f>
        <v>5.1.1.1-2 Inorganic fert N2O</v>
      </c>
      <c r="N14" s="181"/>
      <c r="O14" s="181"/>
    </row>
    <row r="15" spans="1:24" ht="20.100000000000001" customHeight="1" x14ac:dyDescent="0.25">
      <c r="A15" s="24" t="str">
        <f>HYPERLINK("#'5.1.1.3-4 Inorganic fert CO2'!A1", "5.1.1.3-4 Inorganic fert CO2")</f>
        <v>5.1.1.3-4 Inorganic fert CO2</v>
      </c>
      <c r="N15" s="181"/>
      <c r="O15" s="181"/>
    </row>
    <row r="16" spans="1:24" ht="20.100000000000001" customHeight="1" x14ac:dyDescent="0.25">
      <c r="A16" s="24" t="str">
        <f>HYPERLINK("#'5.2.1.1-2 Organic Fert N2O'!A1", "5.2.1.1-2 Organic fert N2O")</f>
        <v>5.2.1.1-2 Organic fert N2O</v>
      </c>
      <c r="D16" s="16" t="s">
        <v>400</v>
      </c>
      <c r="N16" s="181"/>
      <c r="O16" s="181"/>
    </row>
    <row r="17" spans="1:25" ht="20.100000000000001" customHeight="1" x14ac:dyDescent="0.25">
      <c r="A17" s="24" t="str">
        <f>HYPERLINK("#'5.3.1.1-2 Lime CO2'!A1", "5.3.1.1-2 Lime CO2")</f>
        <v>5.3.1.1-2 Lime CO2</v>
      </c>
    </row>
    <row r="18" spans="1:25" ht="20.100000000000001" customHeight="1" x14ac:dyDescent="0.25">
      <c r="A18" s="24" t="str">
        <f>HYPERLINK("#'5.4.1.1-4 Atmos deposition'!A1", "5.4.1.1-4 Atmos. deposition")</f>
        <v>5.4.1.1-4 Atmos. deposition</v>
      </c>
      <c r="D18" s="182" t="s">
        <v>401</v>
      </c>
      <c r="E18" s="34"/>
      <c r="F18" s="34"/>
      <c r="G18" s="35"/>
    </row>
    <row r="19" spans="1:25" ht="20.100000000000001" customHeight="1" x14ac:dyDescent="0.25">
      <c r="A19" s="24" t="str">
        <f>HYPERLINK("#'5.5.1.1-2 Leaching and runoff'!A1", "5.5.1.1-2 Leaching &amp; runoff")</f>
        <v>5.5.1.1-2 Leaching &amp; runoff</v>
      </c>
      <c r="D19" s="39" t="s">
        <v>402</v>
      </c>
      <c r="E19" s="40"/>
      <c r="F19" s="40"/>
      <c r="G19" s="41"/>
      <c r="N19" s="172"/>
    </row>
    <row r="20" spans="1:25" ht="20.100000000000001" customHeight="1" x14ac:dyDescent="0.25">
      <c r="A20" s="24" t="str">
        <f>HYPERLINK("#'8.1.1.1-2 Transport fuel'!A1", "8.1.1.1-2 Transport fuel")</f>
        <v>8.1.1.1-2 Transport fuel</v>
      </c>
      <c r="D20" s="15"/>
      <c r="E20" s="183"/>
      <c r="F20" s="28"/>
      <c r="N20" s="174"/>
    </row>
    <row r="21" spans="1:25" ht="20.100000000000001" customHeight="1" x14ac:dyDescent="0.25">
      <c r="A21" s="24" t="str">
        <f>HYPERLINK("#'8.2.1.1-2 Stationary fuel'!A1", "8.2.1.1-2 Stationary fuel")</f>
        <v>8.2.1.1-2 Stationary fuel</v>
      </c>
      <c r="D21" s="15" t="s">
        <v>403</v>
      </c>
      <c r="E21" s="27" t="s">
        <v>404</v>
      </c>
      <c r="F21" s="28" t="s">
        <v>82</v>
      </c>
    </row>
    <row r="22" spans="1:25" ht="20.100000000000001" customHeight="1" x14ac:dyDescent="0.25">
      <c r="A22"/>
      <c r="D22" s="15" t="s">
        <v>405</v>
      </c>
      <c r="E22" s="27" t="s">
        <v>406</v>
      </c>
      <c r="F22" s="28" t="s">
        <v>82</v>
      </c>
      <c r="G22" s="15"/>
    </row>
    <row r="23" spans="1:25" ht="20.100000000000001" customHeight="1" x14ac:dyDescent="0.25">
      <c r="A23"/>
      <c r="D23" s="15" t="s">
        <v>407</v>
      </c>
      <c r="E23" s="27" t="s">
        <v>408</v>
      </c>
      <c r="F23" s="28" t="s">
        <v>82</v>
      </c>
    </row>
    <row r="24" spans="1:25" ht="20.100000000000001" customHeight="1" x14ac:dyDescent="0.25">
      <c r="A24" s="210" t="s">
        <v>116</v>
      </c>
      <c r="D24" s="15" t="s">
        <v>29</v>
      </c>
      <c r="E24" s="58">
        <v>307.7</v>
      </c>
      <c r="F24" s="28" t="s">
        <v>409</v>
      </c>
    </row>
    <row r="25" spans="1:25" ht="20.100000000000001" customHeight="1" x14ac:dyDescent="0.25">
      <c r="A25" s="24" t="str">
        <f>HYPERLINK("#'Constants - Fertiliser'!A1", "Constants - Fertiliser")</f>
        <v>Constants - Fertiliser</v>
      </c>
      <c r="D25" s="15" t="s">
        <v>410</v>
      </c>
      <c r="E25" s="58">
        <v>18</v>
      </c>
      <c r="F25" s="28" t="s">
        <v>411</v>
      </c>
      <c r="N25" s="174"/>
    </row>
    <row r="26" spans="1:25" ht="20.100000000000001" customHeight="1" x14ac:dyDescent="0.25">
      <c r="A26" s="24" t="str">
        <f>HYPERLINK("#'Constants - Fuel'!A1", "Constants - Fuel")</f>
        <v>Constants - Fuel</v>
      </c>
      <c r="D26" s="15" t="s">
        <v>412</v>
      </c>
      <c r="E26" s="58">
        <v>599</v>
      </c>
      <c r="F26" s="28" t="s">
        <v>413</v>
      </c>
    </row>
    <row r="27" spans="1:25" ht="20.100000000000001" customHeight="1" x14ac:dyDescent="0.25">
      <c r="A27" s="24" t="str">
        <f>HYPERLINK("#'Constants - Common'!A1", "Constants - Common")</f>
        <v>Constants - Common</v>
      </c>
      <c r="D27" s="5" t="s">
        <v>414</v>
      </c>
      <c r="E27" s="58">
        <v>1326</v>
      </c>
      <c r="F27" s="28" t="s">
        <v>413</v>
      </c>
    </row>
    <row r="28" spans="1:25" ht="20.100000000000001" customHeight="1" x14ac:dyDescent="0.25">
      <c r="A28" s="24" t="str">
        <f>HYPERLINK("#'Overview'!A1", "Overview")</f>
        <v>Overview</v>
      </c>
      <c r="D28" s="15" t="s">
        <v>415</v>
      </c>
      <c r="E28" s="58">
        <v>7</v>
      </c>
      <c r="F28" s="28" t="s">
        <v>416</v>
      </c>
    </row>
    <row r="29" spans="1:25" ht="20.100000000000001" customHeight="1" x14ac:dyDescent="0.25">
      <c r="A29"/>
      <c r="D29" s="5" t="s">
        <v>417</v>
      </c>
      <c r="E29" s="48">
        <f>E26/E27</f>
        <v>0.45173453996983409</v>
      </c>
      <c r="F29" s="28"/>
    </row>
    <row r="30" spans="1:25" ht="20.100000000000001" customHeight="1" x14ac:dyDescent="0.25">
      <c r="A30"/>
      <c r="D30" s="5" t="s">
        <v>57</v>
      </c>
      <c r="E30" s="48" t="str">
        <f>Common_InputFunctions.Utility_LookupItemFromMinMax(E26,Table_SourceData_RainfallZones[Min rainfall],Table_SourceData_RainfallZones[Max rainfall],Table_SourceData_RainfallZones[Rainfall Zone])</f>
        <v>Low rainfall</v>
      </c>
      <c r="G30" s="184"/>
      <c r="L30" s="185"/>
      <c r="M30" s="185"/>
      <c r="N30" s="185"/>
      <c r="O30" s="185"/>
      <c r="P30" s="185"/>
      <c r="Q30" s="185"/>
      <c r="R30" s="185"/>
      <c r="S30" s="185"/>
      <c r="T30" s="185"/>
      <c r="U30" s="185"/>
      <c r="V30" s="185"/>
      <c r="W30" s="185"/>
      <c r="X30" s="185"/>
      <c r="Y30" s="185"/>
    </row>
    <row r="31" spans="1:25" ht="20.100000000000001" customHeight="1" x14ac:dyDescent="0.25">
      <c r="A31"/>
      <c r="D31" s="15" t="s">
        <v>24</v>
      </c>
      <c r="E31" s="48"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3"/>
      <c r="L31" s="186"/>
      <c r="M31" s="186"/>
      <c r="N31" s="186"/>
      <c r="O31" s="186"/>
      <c r="P31" s="186"/>
      <c r="Q31" s="186"/>
      <c r="R31" s="186"/>
      <c r="S31" s="186"/>
      <c r="T31" s="186"/>
      <c r="U31" s="186"/>
      <c r="V31" s="186"/>
      <c r="W31" s="186"/>
      <c r="X31" s="186"/>
      <c r="Y31" s="186"/>
    </row>
    <row r="32" spans="1:25" ht="20.100000000000001" customHeight="1" x14ac:dyDescent="0.25">
      <c r="A32"/>
      <c r="D32" s="15" t="s">
        <v>418</v>
      </c>
      <c r="E32" s="48" t="str">
        <f>Common_InputFunctions.Utility_LookupValueInTable($E$31,Table_SourceData_WetDryZones[Climate zone],Table_SourceData_WetDryZones[Wet or Dry Zone])</f>
        <v>Dry climate zone</v>
      </c>
      <c r="F32" s="15"/>
      <c r="G32" s="183"/>
      <c r="L32" s="186"/>
      <c r="M32" s="186"/>
      <c r="N32" s="186"/>
      <c r="O32" s="186"/>
      <c r="P32" s="186"/>
      <c r="Q32" s="186"/>
      <c r="R32" s="186"/>
      <c r="S32" s="186"/>
      <c r="T32" s="186"/>
      <c r="U32" s="186"/>
      <c r="V32" s="186"/>
      <c r="W32" s="186"/>
      <c r="X32" s="186"/>
      <c r="Y32" s="186"/>
    </row>
    <row r="33" spans="1:25" ht="20.100000000000001" customHeight="1" x14ac:dyDescent="0.25">
      <c r="A33"/>
      <c r="D33" s="15" t="s">
        <v>61</v>
      </c>
      <c r="E33" s="48" t="str">
        <f>Common_InputFunctions.Utility_LookupItemFromMinMax(E25,Table_SourceData_TemperatureZones[Min MAT],Table_SourceData_TemperatureZones[Max MAT],Table_SourceData_TemperatureZones[Temperature Zone])</f>
        <v>Temperate</v>
      </c>
      <c r="G33" s="187"/>
      <c r="L33" s="186"/>
      <c r="M33" s="186"/>
      <c r="N33" s="186"/>
      <c r="O33" s="186"/>
      <c r="P33" s="186"/>
      <c r="Q33" s="186"/>
      <c r="R33" s="186"/>
      <c r="S33" s="186"/>
      <c r="T33" s="186"/>
      <c r="U33" s="186"/>
      <c r="V33" s="186"/>
      <c r="W33" s="186"/>
      <c r="X33" s="186"/>
      <c r="Y33" s="186"/>
    </row>
    <row r="34" spans="1:25" ht="20.100000000000001" customHeight="1" x14ac:dyDescent="0.25">
      <c r="A34"/>
      <c r="J34" s="188"/>
      <c r="K34" s="189"/>
      <c r="L34" s="186"/>
      <c r="M34" s="186"/>
      <c r="N34" s="186"/>
      <c r="O34" s="186"/>
      <c r="P34" s="186"/>
      <c r="Q34" s="186"/>
      <c r="R34" s="186"/>
      <c r="S34" s="186"/>
      <c r="T34" s="186"/>
      <c r="U34" s="186"/>
      <c r="V34" s="186"/>
      <c r="W34" s="186"/>
      <c r="X34" s="186"/>
      <c r="Y34" s="186"/>
    </row>
    <row r="35" spans="1:25" ht="20.100000000000001" customHeight="1" x14ac:dyDescent="0.25">
      <c r="A35"/>
      <c r="J35" s="188"/>
      <c r="K35" s="189"/>
      <c r="L35" s="186"/>
      <c r="M35" s="186"/>
      <c r="N35" s="186"/>
      <c r="O35" s="186"/>
      <c r="P35" s="186"/>
      <c r="Q35" s="186"/>
      <c r="R35" s="186"/>
      <c r="S35" s="186"/>
      <c r="T35" s="186"/>
      <c r="U35" s="186"/>
      <c r="V35" s="186"/>
      <c r="W35" s="186"/>
      <c r="X35" s="186"/>
      <c r="Y35" s="186"/>
    </row>
    <row r="36" spans="1:25" ht="20.100000000000001" customHeight="1" x14ac:dyDescent="0.25">
      <c r="A36"/>
      <c r="D36" s="190"/>
      <c r="E36" s="190"/>
      <c r="F36" s="191"/>
      <c r="G36" s="188"/>
      <c r="H36" s="188"/>
      <c r="I36" s="192"/>
      <c r="J36" s="188"/>
      <c r="K36" s="189"/>
      <c r="L36" s="186"/>
      <c r="M36" s="186"/>
      <c r="N36" s="186"/>
      <c r="O36" s="186"/>
      <c r="P36" s="186"/>
      <c r="Q36" s="186"/>
      <c r="R36" s="186"/>
      <c r="S36" s="186"/>
      <c r="T36" s="186"/>
      <c r="U36" s="186"/>
      <c r="V36" s="186"/>
      <c r="W36" s="186"/>
      <c r="X36" s="186"/>
      <c r="Y36" s="186"/>
    </row>
    <row r="37" spans="1:25" ht="20.100000000000001" customHeight="1" x14ac:dyDescent="0.25">
      <c r="A37"/>
      <c r="D37" s="190"/>
      <c r="E37" s="190"/>
      <c r="F37" s="191"/>
      <c r="G37" s="188"/>
      <c r="H37" s="188"/>
      <c r="I37" s="192"/>
      <c r="J37" s="188"/>
      <c r="K37" s="189"/>
      <c r="L37" s="186"/>
      <c r="M37" s="186"/>
      <c r="N37" s="186"/>
      <c r="O37" s="186"/>
      <c r="P37" s="186"/>
      <c r="Q37" s="186"/>
      <c r="R37" s="186"/>
      <c r="S37" s="186"/>
      <c r="T37" s="186"/>
      <c r="U37" s="186"/>
      <c r="V37" s="186"/>
      <c r="W37" s="186"/>
      <c r="X37" s="186"/>
      <c r="Y37" s="186"/>
    </row>
    <row r="38" spans="1:25" ht="20.100000000000001" customHeight="1" x14ac:dyDescent="0.25">
      <c r="A38"/>
      <c r="D38" s="190"/>
      <c r="E38" s="190"/>
      <c r="F38" s="191"/>
      <c r="G38" s="188"/>
      <c r="H38" s="188"/>
      <c r="I38" s="192"/>
      <c r="J38" s="188"/>
      <c r="K38" s="189"/>
      <c r="L38" s="186"/>
      <c r="M38" s="186"/>
      <c r="N38" s="186"/>
      <c r="O38" s="186"/>
      <c r="P38" s="186"/>
      <c r="Q38" s="186"/>
      <c r="R38" s="186"/>
      <c r="S38" s="186"/>
      <c r="T38" s="186"/>
      <c r="U38" s="186"/>
      <c r="V38" s="186"/>
      <c r="W38" s="186"/>
      <c r="X38" s="186"/>
      <c r="Y38" s="186"/>
    </row>
    <row r="39" spans="1:25" ht="20.100000000000001" customHeight="1" x14ac:dyDescent="0.25">
      <c r="A39"/>
      <c r="D39" s="190"/>
      <c r="E39" s="190"/>
      <c r="F39" s="191"/>
      <c r="G39" s="188"/>
      <c r="H39" s="188"/>
      <c r="I39" s="192"/>
      <c r="J39" s="188"/>
      <c r="K39" s="189"/>
      <c r="L39" s="186"/>
      <c r="M39" s="186"/>
      <c r="N39" s="186"/>
      <c r="O39" s="186"/>
      <c r="P39" s="186"/>
      <c r="Q39" s="186"/>
      <c r="R39" s="186"/>
      <c r="S39" s="186"/>
      <c r="T39" s="186"/>
      <c r="U39" s="186"/>
      <c r="V39" s="186"/>
      <c r="W39" s="186"/>
      <c r="X39" s="186"/>
      <c r="Y39" s="186"/>
    </row>
    <row r="40" spans="1:25" ht="20.100000000000001" customHeight="1" x14ac:dyDescent="0.25">
      <c r="A40"/>
      <c r="D40" s="193"/>
      <c r="E40" s="193"/>
      <c r="F40" s="193"/>
      <c r="G40" s="194"/>
      <c r="H40" s="195"/>
      <c r="I40" s="195"/>
      <c r="J40" s="195"/>
      <c r="K40" s="195"/>
      <c r="L40" s="196"/>
      <c r="M40" s="196"/>
      <c r="N40" s="196"/>
      <c r="O40" s="196"/>
      <c r="P40" s="196"/>
      <c r="Q40" s="196"/>
      <c r="R40" s="196"/>
      <c r="S40" s="196"/>
      <c r="T40" s="196"/>
      <c r="U40" s="196"/>
      <c r="V40" s="196"/>
      <c r="W40" s="196"/>
      <c r="X40" s="196"/>
      <c r="Y40" s="196"/>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7"/>
      <c r="E47" s="197"/>
      <c r="F47" s="197"/>
      <c r="G47" s="197"/>
      <c r="H47" s="197"/>
    </row>
    <row r="48" spans="1:25" ht="20.100000000000001" customHeight="1" x14ac:dyDescent="0.25">
      <c r="A48"/>
      <c r="D48" s="198"/>
      <c r="E48" s="198"/>
      <c r="F48" s="199"/>
      <c r="G48" s="199"/>
      <c r="H48" s="198"/>
    </row>
    <row r="49" spans="1:8" ht="20.100000000000001" customHeight="1" x14ac:dyDescent="0.25">
      <c r="A49"/>
      <c r="D49" s="198"/>
      <c r="E49" s="198"/>
      <c r="F49" s="199"/>
      <c r="G49" s="199"/>
      <c r="H49" s="198"/>
    </row>
    <row r="50" spans="1:8" ht="20.100000000000001" customHeight="1" x14ac:dyDescent="0.25">
      <c r="A50"/>
      <c r="D50" s="198"/>
      <c r="E50" s="198"/>
      <c r="F50" s="199"/>
      <c r="G50" s="199"/>
      <c r="H50" s="198"/>
    </row>
    <row r="51" spans="1:8" ht="20.100000000000001" customHeight="1" x14ac:dyDescent="0.25">
      <c r="A51"/>
      <c r="D51" s="200"/>
      <c r="E51" s="201"/>
      <c r="F51" s="201"/>
      <c r="G51" s="201"/>
      <c r="H51" s="202"/>
    </row>
    <row r="52" spans="1:8" ht="20.100000000000001" customHeight="1" x14ac:dyDescent="0.25">
      <c r="A52"/>
    </row>
    <row r="53" spans="1:8" ht="20.100000000000001" customHeight="1" x14ac:dyDescent="0.25">
      <c r="A53"/>
    </row>
    <row r="54" spans="1:8" ht="20.100000000000001" customHeight="1" x14ac:dyDescent="0.25">
      <c r="A54"/>
      <c r="G54" s="203"/>
    </row>
    <row r="55" spans="1:8" ht="20.100000000000001" customHeight="1" x14ac:dyDescent="0.25">
      <c r="A55"/>
      <c r="D55" s="16"/>
    </row>
    <row r="56" spans="1:8" ht="20.100000000000001" customHeight="1" x14ac:dyDescent="0.25">
      <c r="A56"/>
    </row>
    <row r="57" spans="1:8" ht="20.100000000000001" customHeight="1" x14ac:dyDescent="0.25">
      <c r="A57"/>
      <c r="D57" s="204"/>
      <c r="F57" s="205"/>
    </row>
    <row r="58" spans="1:8" ht="20.100000000000001" customHeight="1" x14ac:dyDescent="0.25">
      <c r="A58"/>
      <c r="D58" s="15"/>
      <c r="E58" s="206"/>
    </row>
    <row r="59" spans="1:8" ht="20.100000000000001" customHeight="1" x14ac:dyDescent="0.25">
      <c r="A59"/>
      <c r="D59" s="15"/>
      <c r="E59" s="206"/>
    </row>
    <row r="60" spans="1:8" ht="20.100000000000001" customHeight="1" x14ac:dyDescent="0.25">
      <c r="A60"/>
      <c r="D60" s="15"/>
      <c r="E60" s="207"/>
    </row>
    <row r="61" spans="1:8" ht="20.100000000000001" customHeight="1" x14ac:dyDescent="0.25">
      <c r="A61"/>
      <c r="D61" s="15"/>
    </row>
    <row r="62" spans="1:8" ht="20.100000000000001" customHeight="1" x14ac:dyDescent="0.25">
      <c r="A62"/>
    </row>
    <row r="63" spans="1:8" ht="20.100000000000001" customHeight="1" x14ac:dyDescent="0.25">
      <c r="A63"/>
      <c r="D63" s="204"/>
    </row>
    <row r="64" spans="1:8" ht="20.100000000000001" customHeight="1" x14ac:dyDescent="0.25">
      <c r="A64"/>
      <c r="D64" s="15"/>
      <c r="E64" s="206"/>
    </row>
    <row r="65" spans="1:9" ht="20.100000000000001" customHeight="1" x14ac:dyDescent="0.25">
      <c r="A65"/>
      <c r="D65" s="15"/>
      <c r="E65" s="206"/>
    </row>
    <row r="66" spans="1:9" ht="20.100000000000001" customHeight="1" x14ac:dyDescent="0.25">
      <c r="A66"/>
      <c r="D66" s="15"/>
      <c r="E66" s="207"/>
    </row>
    <row r="67" spans="1:9" ht="20.100000000000001" customHeight="1" x14ac:dyDescent="0.25">
      <c r="A67"/>
    </row>
    <row r="68" spans="1:9" ht="20.100000000000001" customHeight="1" x14ac:dyDescent="0.25">
      <c r="A68"/>
    </row>
    <row r="69" spans="1:9" ht="20.100000000000001" customHeight="1" x14ac:dyDescent="0.25">
      <c r="A69"/>
      <c r="D69" s="208"/>
      <c r="E69" s="208"/>
      <c r="F69" s="208"/>
      <c r="G69" s="208"/>
      <c r="H69" s="208"/>
      <c r="I69" s="208"/>
    </row>
    <row r="70" spans="1:9" ht="20.100000000000001" customHeight="1" x14ac:dyDescent="0.25">
      <c r="A70"/>
      <c r="D70" s="208"/>
      <c r="E70" s="208"/>
      <c r="F70" s="208"/>
      <c r="G70" s="208"/>
      <c r="H70" s="208"/>
      <c r="I70" s="208"/>
    </row>
    <row r="71" spans="1:9" ht="20.100000000000001" customHeight="1" x14ac:dyDescent="0.25">
      <c r="A71"/>
      <c r="D71" s="208"/>
      <c r="E71" s="208"/>
      <c r="F71" s="208"/>
      <c r="G71" s="208"/>
      <c r="H71" s="208"/>
      <c r="I71" s="208"/>
    </row>
    <row r="72" spans="1:9" ht="20.100000000000001" customHeight="1" x14ac:dyDescent="0.25">
      <c r="A72"/>
      <c r="D72" s="208"/>
      <c r="E72" s="208"/>
      <c r="F72" s="208"/>
      <c r="G72" s="208"/>
      <c r="H72" s="208"/>
      <c r="I72" s="20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09"/>
    </row>
    <row r="79" spans="1:9" ht="20.100000000000001" customHeight="1" x14ac:dyDescent="0.25">
      <c r="A79"/>
      <c r="D79" s="209"/>
    </row>
    <row r="80" spans="1:9" ht="20.100000000000001" customHeight="1" x14ac:dyDescent="0.25">
      <c r="A80"/>
      <c r="D80" s="209"/>
    </row>
    <row r="81" spans="1:4" ht="20.100000000000001" customHeight="1" x14ac:dyDescent="0.25">
      <c r="A81"/>
      <c r="D81" s="209"/>
    </row>
    <row r="82" spans="1:4" ht="20.100000000000001" customHeight="1" x14ac:dyDescent="0.25">
      <c r="A82"/>
      <c r="D82" s="20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9D6D4BD7-EFE1-496C-9AAF-5CEE0BEFB820}">
      <formula1>"YES - In leaching zone, NO - Not in leaching zone"</formula1>
    </dataValidation>
    <dataValidation type="list" allowBlank="1" showInputMessage="1" showErrorMessage="1" sqref="G36:G39" xr:uid="{290C0AA8-B5BD-4736-A1B5-7CC0F86DA1C2}">
      <formula1>$D$41:$D$43</formula1>
    </dataValidation>
    <dataValidation type="list" allowBlank="1" showInputMessage="1" showErrorMessage="1" sqref="E22" xr:uid="{4C403706-008D-4B67-9C67-5A1099725244}">
      <formula1>INDIRECT("Table_WASA4Areas[SA 4 Name]")</formula1>
    </dataValidation>
    <dataValidation type="list" allowBlank="1" showInputMessage="1" showErrorMessage="1" sqref="E21" xr:uid="{76F126CF-C14E-4959-94D5-D604596917F2}">
      <formula1>INDIRECT("Table_AustralianStates[Common Name]")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HIAbwB3AHMALABJAEYAKABuAD0AMAAsAFwAIgBcACIALABIAFMAVABBAEMASwAoAHMAdABhAHIAdABzAFQAZQB4AHQAIABcAHUAMAAwADIANgAgAFwAIgAgAHQAbwAgAFwAIgAgAFwAdQAwADAAMgA2ACAAZQBuAGQAcwBUAGUAeAB0ACAAXAB1ADAAMAAyADYAIAB0AGEAZwApACkALABcAG4AIAAgACAAIAAgACAAIAAgAHIAbwB3AHMAXABuACAAIAAgACAAKQBcAG4AKQA7AFwAbg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Props1.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3.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164</vt:i4>
      </vt:variant>
    </vt:vector>
  </HeadingPairs>
  <TitlesOfParts>
    <vt:vector size="181"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Overview</vt:lpstr>
      <vt:lpstr>Input - Site</vt:lpstr>
      <vt:lpstr>'5.4.1.1-4 Atmos deposition'!_Toc225350871</vt:lpstr>
      <vt:lpstr>'5.5.1.1-2 Leaching and runoff'!_Toc225350871</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Home!Table_MN_j_f</vt:lpstr>
      <vt:lpstr>'Input - Site'!Table_MN_j_f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Home!Table_MNSoil_j_f</vt:lpstr>
      <vt:lpstr>'Input - Site'!Table_MNSoil_j_f</vt:lpstr>
      <vt:lpstr>Overview!Table_MNSoil_j_f</vt:lpstr>
      <vt:lpstr>Table_MNSoil_j_f</vt:lpstr>
      <vt:lpstr>Table_MU_j_f</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Home!VEERG_5_1_1_1__1_InorganicFertiliserApplicationN2OEmissions_Result_Method1</vt:lpstr>
      <vt:lpstr>'Input - Site'!VEERG_5_1_1_1__1_InorganicFertiliserApplicationN2OEmissions_Result_Method1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Home!VEERG_5_1_1_1__1_InorganicFertiliserApplicationN2OEmissions_Result_Method2</vt:lpstr>
      <vt:lpstr>'Input - Site'!VEERG_5_1_1_1__1_InorganicFertiliserApplicationN2OEmissions_Result_Method2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Home!VEERG_5_1_1_3__1_InorganicFertiliserApplicationCO2Emissions_Result_Method1</vt:lpstr>
      <vt:lpstr>'Input - Site'!VEERG_5_1_1_3__1_InorganicFertiliserApplicationCO2Emissions_Result_Method1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Home!VEERG_5_2_1_1__2_MassOfNitrogenInOrganicFertiliser_Result_Method1</vt:lpstr>
      <vt:lpstr>'Input - Site'!VEERG_5_2_1_1__2_MassOfNitrogenInOrganicFertiliser_Result_Method1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Home!VEERG_5_3_1_1__1_LimeApplicationCO2Emissions_Result_Method1</vt:lpstr>
      <vt:lpstr>'Input - Site'!VEERG_5_3_1_1__1_LimeApplicationCO2Emissions_Result_Method1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Home!VEERG_5_5_1_1__1_FertiliserLeachingAndRunoffN2OEmissions_result_Method1</vt:lpstr>
      <vt:lpstr>'Input - Site'!VEERG_5_5_1_1__1_FertiliserLeachingAndRunoffN2OEmissions_result_Method1</vt:lpstr>
      <vt:lpstr>Overview!VEERG_5_5_1_1__1_FertiliserLeachingAndRunoffN2OEmissions_result_Method1</vt:lpstr>
      <vt:lpstr>VEERG_5_5_1_1__1_FertiliserLeachingAndRunoffN2OEmissions_result_Method1</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Home!X_Cell_Fertiliser_CropType</vt:lpstr>
      <vt:lpstr>'Input - Site'!X_Cell_Fertiliser_CropType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Home!X_Cell_Fertiliser_IrrigationMethod</vt:lpstr>
      <vt:lpstr>'Input - Site'!X_Cell_Fertiliser_IrrigationMethod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Home!X_Cell_Fertiliser_ProductionSystem</vt:lpstr>
      <vt:lpstr>'Input - Site'!X_Cell_Fertiliser_ProductionSystem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'Input - Site'!X_Cell_Site_StartDate</vt:lpstr>
      <vt:lpstr>X_Cell_Site_StartDate</vt:lpstr>
      <vt:lpstr>'Input - Site'!X_Cell_Site_State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2026-07-17T02:39:56Z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