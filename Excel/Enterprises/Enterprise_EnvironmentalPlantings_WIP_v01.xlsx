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2B937C6-2532-46F0-9AC5-B2937CAA5428}" xr6:coauthVersionLast="47" xr6:coauthVersionMax="47" xr10:uidLastSave="{00000000-0000-0000-0000-000000000000}"/>
  <bookViews>
    <workbookView xWindow="4680" yWindow="4680" windowWidth="28800" windowHeight="15345" firstSheet="12" activeTab="17" xr2:uid="{7E1466D3-CE15-41E6-A7E5-3351E07F3C93}"/>
  </bookViews>
  <sheets>
    <sheet name="Home" sheetId="20" r:id="rId1"/>
    <sheet name="Input - Planting" sheetId="4" r:id="rId2"/>
    <sheet name="Input - Fertiliser" sheetId="8" r:id="rId3"/>
    <sheet name="Input - Fuel" sheetId="16" r:id="rId4"/>
    <sheet name="5.1.1.1-2 Inorganic fert N2O" sheetId="9" r:id="rId5"/>
    <sheet name="5.1.1.3-4 Inorganic fert CO2" sheetId="10" r:id="rId6"/>
    <sheet name="5.2.1.1-2 Organic Fert N2O" sheetId="11" r:id="rId7"/>
    <sheet name="5.3.1.1-2 Lime CO2" sheetId="12" r:id="rId8"/>
    <sheet name="5.4.1.1-4 Atmos deposition" sheetId="13" r:id="rId9"/>
    <sheet name="5.5.1.1-2 Leaching and runoff" sheetId="14" r:id="rId10"/>
    <sheet name="8.1.1.1-2 Transport fuel" sheetId="17" r:id="rId11"/>
    <sheet name="8.2.1.1-2 Stationary fuel" sheetId="18" r:id="rId12"/>
    <sheet name="Constants - Fertiliser" sheetId="15" r:id="rId13"/>
    <sheet name="Constants - Fuel" sheetId="19" r:id="rId14"/>
    <sheet name="Constants - Common" sheetId="6" r:id="rId15"/>
    <sheet name="Input - Fert Prod System" sheetId="7" r:id="rId16"/>
    <sheet name="Overview" sheetId="21" r:id="rId17"/>
    <sheet name="Input - Site" sheetId="22"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7">'Input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22" l="1"/>
  <c r="A28" i="22"/>
  <c r="A27" i="22"/>
  <c r="A23" i="22"/>
  <c r="A22" i="22"/>
  <c r="A21" i="22"/>
  <c r="A20" i="22"/>
  <c r="A19" i="22"/>
  <c r="A18" i="22"/>
  <c r="A17" i="22"/>
  <c r="A16" i="22"/>
  <c r="A12" i="22"/>
  <c r="A11" i="22"/>
  <c r="A10" i="22"/>
  <c r="A9" i="22"/>
  <c r="A8" i="22"/>
  <c r="A4" i="22"/>
  <c r="A3" i="22"/>
  <c r="A29" i="21"/>
  <c r="A28" i="21"/>
  <c r="A27" i="21"/>
  <c r="A23" i="21"/>
  <c r="A22" i="21"/>
  <c r="A21" i="21"/>
  <c r="A20" i="21"/>
  <c r="A19" i="21"/>
  <c r="A18" i="21"/>
  <c r="A17" i="21"/>
  <c r="A16" i="21"/>
  <c r="A12" i="21"/>
  <c r="A11" i="21"/>
  <c r="A10" i="21"/>
  <c r="A9" i="21"/>
  <c r="A8" i="21"/>
  <c r="A4" i="21"/>
  <c r="A3" i="21"/>
  <c r="A29" i="7"/>
  <c r="A28" i="7"/>
  <c r="A27" i="7"/>
  <c r="A23" i="7"/>
  <c r="A22" i="7"/>
  <c r="A21" i="7"/>
  <c r="A20" i="7"/>
  <c r="A19" i="7"/>
  <c r="A18" i="7"/>
  <c r="A17" i="7"/>
  <c r="A16" i="7"/>
  <c r="A12" i="7"/>
  <c r="A11" i="7"/>
  <c r="A10" i="7"/>
  <c r="A9" i="7"/>
  <c r="A8" i="7"/>
  <c r="A4" i="7"/>
  <c r="A3" i="7"/>
  <c r="A29" i="6"/>
  <c r="A28" i="6"/>
  <c r="A27" i="6"/>
  <c r="A23" i="6"/>
  <c r="A22" i="6"/>
  <c r="A21" i="6"/>
  <c r="A20" i="6"/>
  <c r="A19" i="6"/>
  <c r="A18" i="6"/>
  <c r="A17" i="6"/>
  <c r="A16" i="6"/>
  <c r="A12" i="6"/>
  <c r="A11" i="6"/>
  <c r="A10" i="6"/>
  <c r="A9" i="6"/>
  <c r="A8" i="6"/>
  <c r="A4" i="6"/>
  <c r="A3" i="6"/>
  <c r="A29" i="19"/>
  <c r="A28" i="19"/>
  <c r="A27" i="19"/>
  <c r="A23" i="19"/>
  <c r="A22" i="19"/>
  <c r="A21" i="19"/>
  <c r="A20" i="19"/>
  <c r="A19" i="19"/>
  <c r="A18" i="19"/>
  <c r="A17" i="19"/>
  <c r="A16" i="19"/>
  <c r="A12" i="19"/>
  <c r="A11" i="19"/>
  <c r="A10" i="19"/>
  <c r="A9" i="19"/>
  <c r="A8" i="19"/>
  <c r="A4" i="19"/>
  <c r="A3" i="19"/>
  <c r="A29" i="15"/>
  <c r="A28" i="15"/>
  <c r="A27" i="15"/>
  <c r="A23" i="15"/>
  <c r="A22" i="15"/>
  <c r="A21" i="15"/>
  <c r="A20" i="15"/>
  <c r="A19" i="15"/>
  <c r="A18" i="15"/>
  <c r="A17" i="15"/>
  <c r="A16" i="15"/>
  <c r="A12" i="15"/>
  <c r="A11" i="15"/>
  <c r="A10" i="15"/>
  <c r="A9" i="15"/>
  <c r="A8" i="15"/>
  <c r="A4" i="15"/>
  <c r="A3" i="15"/>
  <c r="A29" i="18"/>
  <c r="A28" i="18"/>
  <c r="A27" i="18"/>
  <c r="A23" i="18"/>
  <c r="A22" i="18"/>
  <c r="A21" i="18"/>
  <c r="A20" i="18"/>
  <c r="A19" i="18"/>
  <c r="A18" i="18"/>
  <c r="A17" i="18"/>
  <c r="A16" i="18"/>
  <c r="A12" i="18"/>
  <c r="A11" i="18"/>
  <c r="A10" i="18"/>
  <c r="A9" i="18"/>
  <c r="A8" i="18"/>
  <c r="A4" i="18"/>
  <c r="A3" i="18"/>
  <c r="A29" i="17"/>
  <c r="A28" i="17"/>
  <c r="A27" i="17"/>
  <c r="A23" i="17"/>
  <c r="A22" i="17"/>
  <c r="A21" i="17"/>
  <c r="A20" i="17"/>
  <c r="A19" i="17"/>
  <c r="A18" i="17"/>
  <c r="A17" i="17"/>
  <c r="A16" i="17"/>
  <c r="A12" i="17"/>
  <c r="A11" i="17"/>
  <c r="A10" i="17"/>
  <c r="A9" i="17"/>
  <c r="A8" i="17"/>
  <c r="A4" i="17"/>
  <c r="A3" i="17"/>
  <c r="A29" i="14"/>
  <c r="A28" i="14"/>
  <c r="A27" i="14"/>
  <c r="A23" i="14"/>
  <c r="A22" i="14"/>
  <c r="A21" i="14"/>
  <c r="A20" i="14"/>
  <c r="A19" i="14"/>
  <c r="A18" i="14"/>
  <c r="A17" i="14"/>
  <c r="A16" i="14"/>
  <c r="A12" i="14"/>
  <c r="A11" i="14"/>
  <c r="A10" i="14"/>
  <c r="A9" i="14"/>
  <c r="A8" i="14"/>
  <c r="A4" i="14"/>
  <c r="A3" i="14"/>
  <c r="A29" i="13"/>
  <c r="A28" i="13"/>
  <c r="A27" i="13"/>
  <c r="A23" i="13"/>
  <c r="A22" i="13"/>
  <c r="A21" i="13"/>
  <c r="A20" i="13"/>
  <c r="A19" i="13"/>
  <c r="A18" i="13"/>
  <c r="A17" i="13"/>
  <c r="A16" i="13"/>
  <c r="A12" i="13"/>
  <c r="A11" i="13"/>
  <c r="A10" i="13"/>
  <c r="A9" i="13"/>
  <c r="A8" i="13"/>
  <c r="A4" i="13"/>
  <c r="A3" i="13"/>
  <c r="A29" i="12"/>
  <c r="A28" i="12"/>
  <c r="A27" i="12"/>
  <c r="A23" i="12"/>
  <c r="A22" i="12"/>
  <c r="A21" i="12"/>
  <c r="A20" i="12"/>
  <c r="A19" i="12"/>
  <c r="A18" i="12"/>
  <c r="A17" i="12"/>
  <c r="A16" i="12"/>
  <c r="A12" i="12"/>
  <c r="A11" i="12"/>
  <c r="A10" i="12"/>
  <c r="A9" i="12"/>
  <c r="A8" i="12"/>
  <c r="A4" i="12"/>
  <c r="A3" i="12"/>
  <c r="A29" i="11"/>
  <c r="A28" i="11"/>
  <c r="A27" i="11"/>
  <c r="A23" i="11"/>
  <c r="A22" i="11"/>
  <c r="A21" i="11"/>
  <c r="A20" i="11"/>
  <c r="A19" i="11"/>
  <c r="A18" i="11"/>
  <c r="A17" i="11"/>
  <c r="A16" i="11"/>
  <c r="A12" i="11"/>
  <c r="A11" i="11"/>
  <c r="A10" i="11"/>
  <c r="A9" i="11"/>
  <c r="A8" i="11"/>
  <c r="A4" i="11"/>
  <c r="A3" i="11"/>
  <c r="A29" i="10"/>
  <c r="A28" i="10"/>
  <c r="A27" i="10"/>
  <c r="A23" i="10"/>
  <c r="A22" i="10"/>
  <c r="A21" i="10"/>
  <c r="A20" i="10"/>
  <c r="A19" i="10"/>
  <c r="A18" i="10"/>
  <c r="A17" i="10"/>
  <c r="A16" i="10"/>
  <c r="A12" i="10"/>
  <c r="A11" i="10"/>
  <c r="A10" i="10"/>
  <c r="A9" i="10"/>
  <c r="A8" i="10"/>
  <c r="A4" i="10"/>
  <c r="A3" i="10"/>
  <c r="A29" i="9"/>
  <c r="A28" i="9"/>
  <c r="A27" i="9"/>
  <c r="A23" i="9"/>
  <c r="A22" i="9"/>
  <c r="A21" i="9"/>
  <c r="A20" i="9"/>
  <c r="A19" i="9"/>
  <c r="A18" i="9"/>
  <c r="A17" i="9"/>
  <c r="A16" i="9"/>
  <c r="A12" i="9"/>
  <c r="A11" i="9"/>
  <c r="A10" i="9"/>
  <c r="A9" i="9"/>
  <c r="A8" i="9"/>
  <c r="A4" i="9"/>
  <c r="A3" i="9"/>
  <c r="A29" i="16"/>
  <c r="A28" i="16"/>
  <c r="A27" i="16"/>
  <c r="A23" i="16"/>
  <c r="A22" i="16"/>
  <c r="A21" i="16"/>
  <c r="A20" i="16"/>
  <c r="A19" i="16"/>
  <c r="A18" i="16"/>
  <c r="A17" i="16"/>
  <c r="A16" i="16"/>
  <c r="A12" i="16"/>
  <c r="A11" i="16"/>
  <c r="A10" i="16"/>
  <c r="A9" i="16"/>
  <c r="A8" i="16"/>
  <c r="A4" i="16"/>
  <c r="A3" i="16"/>
  <c r="A29" i="8"/>
  <c r="A28" i="8"/>
  <c r="A27" i="8"/>
  <c r="A23" i="8"/>
  <c r="A22" i="8"/>
  <c r="A21" i="8"/>
  <c r="A20" i="8"/>
  <c r="A19" i="8"/>
  <c r="A18" i="8"/>
  <c r="A17" i="8"/>
  <c r="A16" i="8"/>
  <c r="A12" i="8"/>
  <c r="A11" i="8"/>
  <c r="A10" i="8"/>
  <c r="A9" i="8"/>
  <c r="A8" i="8"/>
  <c r="A4" i="8"/>
  <c r="A3" i="8"/>
  <c r="A29" i="4"/>
  <c r="A28" i="4"/>
  <c r="A27" i="4"/>
  <c r="A23" i="4"/>
  <c r="A22" i="4"/>
  <c r="A21" i="4"/>
  <c r="A20" i="4"/>
  <c r="A19" i="4"/>
  <c r="A18" i="4"/>
  <c r="A17" i="4"/>
  <c r="A16" i="4"/>
  <c r="A12" i="4"/>
  <c r="A11" i="4"/>
  <c r="A10" i="4"/>
  <c r="A9" i="4"/>
  <c r="A8" i="4"/>
  <c r="A4" i="4"/>
  <c r="A3" i="4"/>
  <c r="A29" i="20"/>
  <c r="A28" i="20"/>
  <c r="A27" i="20"/>
  <c r="A23" i="20"/>
  <c r="A22" i="20"/>
  <c r="A21" i="20"/>
  <c r="A20" i="20"/>
  <c r="A19" i="20"/>
  <c r="A18" i="20"/>
  <c r="A17" i="20"/>
  <c r="A16" i="20"/>
  <c r="A12" i="20"/>
  <c r="A11" i="20"/>
  <c r="A10" i="20"/>
  <c r="A9" i="20"/>
  <c r="A8" i="20"/>
  <c r="A4" i="20"/>
  <c r="A3" i="20"/>
  <c r="D32" i="18"/>
  <c r="D25" i="18"/>
  <c r="M39" i="17" a="1"/>
  <c r="M39" i="17" s="1"/>
  <c r="F39" i="17"/>
  <c r="D37" i="17"/>
  <c r="D34" i="17"/>
  <c r="D33" i="17"/>
  <c r="F27" i="17"/>
  <c r="M27" i="17" s="1" a="1"/>
  <c r="M27" i="17" s="1"/>
  <c r="D25" i="17"/>
  <c r="D75" i="14"/>
  <c r="D74" i="14"/>
  <c r="D73" i="14"/>
  <c r="D72" i="14"/>
  <c r="D71" i="14"/>
  <c r="D70" i="14"/>
  <c r="D69" i="14"/>
  <c r="D68" i="14"/>
  <c r="D134" i="13" a="1"/>
  <c r="D134" i="13" s="1"/>
  <c r="D102" i="13" a="1"/>
  <c r="D102" i="13" s="1"/>
  <c r="G25" i="12" a="1"/>
  <c r="G25" i="12" s="1"/>
  <c r="F25" i="12" a="1"/>
  <c r="F25" i="12" s="1"/>
  <c r="D25" i="12" a="1"/>
  <c r="D25" i="12" s="1"/>
  <c r="H20" i="11" a="1"/>
  <c r="H20" i="11" s="1"/>
  <c r="E20" i="11" a="1"/>
  <c r="E20" i="11" s="1"/>
  <c r="D20" i="11" a="1"/>
  <c r="D20" i="11" s="1"/>
  <c r="N82" i="9" a="1"/>
  <c r="N82" i="9" s="1"/>
  <c r="N77" i="9" a="1"/>
  <c r="N77" i="9" s="1"/>
  <c r="W54" i="9"/>
  <c r="W53" i="9"/>
  <c r="N50" i="9" a="1"/>
  <c r="N50" i="9" s="1"/>
  <c r="N45" i="9" a="1"/>
  <c r="N45" i="9" s="1"/>
  <c r="J21" i="16" a="1"/>
  <c r="J21" i="16" s="1"/>
  <c r="G21" i="16" a="1"/>
  <c r="G21" i="16" s="1"/>
  <c r="J20" i="16" a="1"/>
  <c r="J20" i="16" s="1"/>
  <c r="G20" i="16" a="1"/>
  <c r="G20" i="16" s="1"/>
  <c r="J19" i="16" a="1"/>
  <c r="J19" i="16" s="1"/>
  <c r="G19" i="16" a="1"/>
  <c r="G19" i="16" s="1"/>
  <c r="J18" i="16" a="1"/>
  <c r="J18" i="16" s="1"/>
  <c r="G18" i="16" a="1"/>
  <c r="G18" i="16" s="1"/>
  <c r="J17" i="16" a="1"/>
  <c r="J17" i="16" s="1"/>
  <c r="G17" i="16" a="1"/>
  <c r="G17" i="16" s="1"/>
  <c r="E29" i="22"/>
  <c r="E13" i="22"/>
  <c r="E139" i="19"/>
  <c r="F40" i="18" s="1"/>
  <c r="G138" i="19"/>
  <c r="F32" i="17" s="1"/>
  <c r="E138" i="19"/>
  <c r="F39" i="18" s="1"/>
  <c r="G137" i="19"/>
  <c r="F31" i="17" s="1"/>
  <c r="E137" i="19"/>
  <c r="F38" i="18" s="1"/>
  <c r="D137" i="19"/>
  <c r="F31" i="18" s="1"/>
  <c r="G136" i="19"/>
  <c r="F30" i="17" s="1"/>
  <c r="E136" i="19"/>
  <c r="F37" i="18" s="1"/>
  <c r="D136" i="19"/>
  <c r="F30" i="18" s="1"/>
  <c r="G135" i="19"/>
  <c r="F29" i="17" s="1"/>
  <c r="E135" i="19"/>
  <c r="F36" i="18" s="1"/>
  <c r="D135" i="19"/>
  <c r="F29" i="18" s="1"/>
  <c r="G134" i="19"/>
  <c r="F28" i="17" s="1"/>
  <c r="E134" i="19"/>
  <c r="F35" i="18" s="1"/>
  <c r="D134" i="19"/>
  <c r="F28" i="18" s="1"/>
  <c r="G133" i="19"/>
  <c r="F133" i="19"/>
  <c r="F36" i="17" s="1"/>
  <c r="E133" i="19"/>
  <c r="F34" i="18" s="1"/>
  <c r="D133" i="19"/>
  <c r="F27" i="18" s="1"/>
  <c r="I132" i="19"/>
  <c r="F38" i="17" s="1"/>
  <c r="G132" i="19"/>
  <c r="F26" i="17" s="1"/>
  <c r="F132" i="19"/>
  <c r="F35" i="17" s="1"/>
  <c r="E132" i="19"/>
  <c r="F33" i="18" s="1"/>
  <c r="D132" i="19"/>
  <c r="F26" i="18" s="1"/>
  <c r="I131" i="19"/>
  <c r="F37" i="17" s="1"/>
  <c r="H131" i="19"/>
  <c r="F33" i="17" s="1"/>
  <c r="G131" i="19"/>
  <c r="F25" i="17" s="1"/>
  <c r="F131" i="19"/>
  <c r="F34" i="17" s="1"/>
  <c r="E131" i="19"/>
  <c r="F32" i="18" s="1"/>
  <c r="D131" i="19"/>
  <c r="F25" i="18" s="1"/>
  <c r="F120" i="19" a="1"/>
  <c r="F120" i="19" s="1"/>
  <c r="E120" i="19" a="1"/>
  <c r="E120" i="19" s="1"/>
  <c r="D120" i="19" a="1"/>
  <c r="D120" i="19" s="1"/>
  <c r="F119" i="19" a="1"/>
  <c r="F119" i="19" s="1"/>
  <c r="E119" i="19" a="1"/>
  <c r="E119" i="19" s="1"/>
  <c r="D119" i="19" a="1"/>
  <c r="D119" i="19" s="1"/>
  <c r="F118" i="19" a="1"/>
  <c r="F118" i="19" s="1"/>
  <c r="E118" i="19" a="1"/>
  <c r="E118" i="19" s="1"/>
  <c r="D118" i="19" a="1"/>
  <c r="D118" i="19" s="1"/>
  <c r="F117" i="19" a="1"/>
  <c r="F117" i="19" s="1"/>
  <c r="E117" i="19" a="1"/>
  <c r="E117" i="19" s="1"/>
  <c r="D117" i="19" a="1"/>
  <c r="D117" i="19" s="1"/>
  <c r="F116" i="19" a="1"/>
  <c r="F116" i="19" s="1"/>
  <c r="E116" i="19" a="1"/>
  <c r="E116" i="19" s="1"/>
  <c r="D116" i="19" a="1"/>
  <c r="D116" i="19" s="1"/>
  <c r="F115" i="19" a="1"/>
  <c r="F115" i="19" s="1"/>
  <c r="E115" i="19" a="1"/>
  <c r="E115" i="19" s="1"/>
  <c r="D115" i="19" a="1"/>
  <c r="D115" i="19" s="1"/>
  <c r="F114" i="19" a="1"/>
  <c r="F114" i="19" s="1"/>
  <c r="E114" i="19" a="1"/>
  <c r="E114" i="19" s="1"/>
  <c r="D114" i="19" a="1"/>
  <c r="D114" i="19" s="1"/>
  <c r="G113" i="19" a="1"/>
  <c r="G113" i="19" s="1"/>
  <c r="F113" i="19" a="1"/>
  <c r="F113" i="19" s="1"/>
  <c r="E113" i="19" a="1"/>
  <c r="E113" i="19" s="1"/>
  <c r="D113" i="19" a="1"/>
  <c r="D113" i="19" s="1"/>
  <c r="D110" i="19" a="1"/>
  <c r="D110" i="19" s="1"/>
  <c r="D109" i="19" a="1"/>
  <c r="D109" i="19" s="1"/>
  <c r="D108" i="19" a="1"/>
  <c r="D108" i="19" s="1"/>
  <c r="D107" i="19" a="1"/>
  <c r="D107" i="19" s="1"/>
  <c r="J104" i="19" a="1"/>
  <c r="J104" i="19" s="1"/>
  <c r="I104" i="19" a="1"/>
  <c r="I104" i="19" s="1"/>
  <c r="H104" i="19" a="1"/>
  <c r="H104" i="19" s="1"/>
  <c r="G104" i="19" a="1"/>
  <c r="G104" i="19" s="1"/>
  <c r="F104" i="19" a="1"/>
  <c r="F104" i="19" s="1"/>
  <c r="E104" i="19" a="1"/>
  <c r="E104" i="19" s="1"/>
  <c r="D104" i="19" a="1"/>
  <c r="D104" i="19" s="1"/>
  <c r="E40" i="18" s="1"/>
  <c r="J103" i="19" a="1"/>
  <c r="J103" i="19" s="1"/>
  <c r="I103" i="19" a="1"/>
  <c r="I103" i="19" s="1"/>
  <c r="H103" i="19" a="1"/>
  <c r="H103" i="19" s="1"/>
  <c r="G103" i="19" a="1"/>
  <c r="G103" i="19" s="1"/>
  <c r="F103" i="19" a="1"/>
  <c r="F103" i="19" s="1"/>
  <c r="E103" i="19" a="1"/>
  <c r="E103" i="19" s="1"/>
  <c r="D103" i="19" a="1"/>
  <c r="D103" i="19" s="1"/>
  <c r="E39" i="18" s="1"/>
  <c r="J102" i="19" a="1"/>
  <c r="J102" i="19" s="1"/>
  <c r="I102" i="19" a="1"/>
  <c r="I102" i="19" s="1"/>
  <c r="H102" i="19" a="1"/>
  <c r="H102" i="19" s="1"/>
  <c r="G102" i="19" a="1"/>
  <c r="G102" i="19" s="1"/>
  <c r="F102" i="19" a="1"/>
  <c r="F102" i="19" s="1"/>
  <c r="E102" i="19" a="1"/>
  <c r="E102" i="19" s="1"/>
  <c r="D102" i="19" a="1"/>
  <c r="D102" i="19" s="1"/>
  <c r="J101" i="19" a="1"/>
  <c r="J101" i="19" s="1"/>
  <c r="I101" i="19" a="1"/>
  <c r="I101" i="19" s="1"/>
  <c r="H101" i="19" a="1"/>
  <c r="H101" i="19" s="1"/>
  <c r="G101" i="19" a="1"/>
  <c r="G101" i="19" s="1"/>
  <c r="F101" i="19" a="1"/>
  <c r="F101" i="19" s="1"/>
  <c r="E101" i="19" a="1"/>
  <c r="E101" i="19" s="1"/>
  <c r="D101" i="19" a="1"/>
  <c r="D101" i="19" s="1"/>
  <c r="J100" i="19" a="1"/>
  <c r="J100" i="19" s="1"/>
  <c r="I100" i="19" a="1"/>
  <c r="I100" i="19" s="1"/>
  <c r="H100" i="19" a="1"/>
  <c r="H100" i="19" s="1"/>
  <c r="G100" i="19" a="1"/>
  <c r="G100" i="19" s="1"/>
  <c r="F100" i="19" a="1"/>
  <c r="F100" i="19" s="1"/>
  <c r="E100" i="19" a="1"/>
  <c r="E100" i="19" s="1"/>
  <c r="D100" i="19" a="1"/>
  <c r="D100" i="19" s="1"/>
  <c r="J99" i="19" a="1"/>
  <c r="J99" i="19" s="1"/>
  <c r="I99" i="19" a="1"/>
  <c r="I99" i="19" s="1"/>
  <c r="H99" i="19" a="1"/>
  <c r="H99" i="19" s="1"/>
  <c r="G99" i="19" a="1"/>
  <c r="G99" i="19" s="1"/>
  <c r="F99" i="19" a="1"/>
  <c r="F99" i="19" s="1"/>
  <c r="E99" i="19" a="1"/>
  <c r="E99" i="19" s="1"/>
  <c r="D99" i="19" a="1"/>
  <c r="D99" i="19" s="1"/>
  <c r="J98" i="19" a="1"/>
  <c r="J98" i="19" s="1"/>
  <c r="I98" i="19" a="1"/>
  <c r="I98" i="19" s="1"/>
  <c r="H98" i="19" a="1"/>
  <c r="H98" i="19" s="1"/>
  <c r="G98" i="19" a="1"/>
  <c r="G98" i="19" s="1"/>
  <c r="F98" i="19" a="1"/>
  <c r="F98" i="19" s="1"/>
  <c r="E98" i="19" a="1"/>
  <c r="E98" i="19" s="1"/>
  <c r="D98" i="19" a="1"/>
  <c r="D98" i="19" s="1"/>
  <c r="J97" i="19" a="1"/>
  <c r="J97" i="19" s="1"/>
  <c r="I97" i="19" a="1"/>
  <c r="I97" i="19" s="1"/>
  <c r="H97" i="19" a="1"/>
  <c r="H97" i="19" s="1"/>
  <c r="G97" i="19" a="1"/>
  <c r="G97" i="19" s="1"/>
  <c r="F97" i="19" a="1"/>
  <c r="F97" i="19" s="1"/>
  <c r="E97" i="19" a="1"/>
  <c r="E97" i="19" s="1"/>
  <c r="D97" i="19" a="1"/>
  <c r="D97" i="19" s="1"/>
  <c r="J96" i="19" a="1"/>
  <c r="J96" i="19" s="1"/>
  <c r="I96" i="19" a="1"/>
  <c r="I96" i="19" s="1"/>
  <c r="H96" i="19" a="1"/>
  <c r="H96" i="19" s="1"/>
  <c r="G96" i="19" a="1"/>
  <c r="G96" i="19" s="1"/>
  <c r="F96" i="19" a="1"/>
  <c r="F96" i="19" s="1"/>
  <c r="E96" i="19" a="1"/>
  <c r="E96" i="19" s="1"/>
  <c r="D96" i="19" a="1"/>
  <c r="D96" i="19" s="1"/>
  <c r="J95" i="19" a="1"/>
  <c r="J95" i="19" s="1"/>
  <c r="I95" i="19" a="1"/>
  <c r="I95" i="19" s="1"/>
  <c r="H95" i="19" a="1"/>
  <c r="H95" i="19" s="1"/>
  <c r="G95" i="19" a="1"/>
  <c r="G95" i="19" s="1"/>
  <c r="F95" i="19" a="1"/>
  <c r="F95" i="19" s="1"/>
  <c r="E95" i="19" a="1"/>
  <c r="E95" i="19" s="1"/>
  <c r="D95" i="19" a="1"/>
  <c r="D95" i="19" s="1"/>
  <c r="J94" i="19" a="1"/>
  <c r="J94" i="19" s="1"/>
  <c r="I94" i="19" a="1"/>
  <c r="I94" i="19" s="1"/>
  <c r="H94" i="19" a="1"/>
  <c r="H94" i="19" s="1"/>
  <c r="G94" i="19" a="1"/>
  <c r="G94" i="19" s="1"/>
  <c r="F94" i="19" a="1"/>
  <c r="F94" i="19" s="1"/>
  <c r="E94" i="19" a="1"/>
  <c r="E94" i="19" s="1"/>
  <c r="D94" i="19" a="1"/>
  <c r="D94" i="19" s="1"/>
  <c r="J93" i="19" a="1"/>
  <c r="J93" i="19" s="1"/>
  <c r="I93" i="19" a="1"/>
  <c r="I93" i="19" s="1"/>
  <c r="H93" i="19" a="1"/>
  <c r="H93" i="19" s="1"/>
  <c r="G93" i="19" a="1"/>
  <c r="G93" i="19" s="1"/>
  <c r="F93" i="19" a="1"/>
  <c r="F93" i="19" s="1"/>
  <c r="E93" i="19" a="1"/>
  <c r="E93" i="19" s="1"/>
  <c r="D93" i="19" a="1"/>
  <c r="D93" i="19" s="1"/>
  <c r="J92" i="19" a="1"/>
  <c r="J92" i="19" s="1"/>
  <c r="I92" i="19" a="1"/>
  <c r="I92" i="19" s="1"/>
  <c r="H92" i="19" a="1"/>
  <c r="H92" i="19" s="1"/>
  <c r="G92" i="19" a="1"/>
  <c r="G92" i="19" s="1"/>
  <c r="F92" i="19" a="1"/>
  <c r="F92" i="19" s="1"/>
  <c r="E92" i="19" a="1"/>
  <c r="E92" i="19" s="1"/>
  <c r="D92" i="19" a="1"/>
  <c r="D92" i="19" s="1"/>
  <c r="J91" i="19" a="1"/>
  <c r="J91" i="19" s="1"/>
  <c r="I91" i="19" a="1"/>
  <c r="I91" i="19" s="1"/>
  <c r="H91" i="19" a="1"/>
  <c r="H91" i="19" s="1"/>
  <c r="G91" i="19" a="1"/>
  <c r="G91" i="19" s="1"/>
  <c r="F91" i="19" a="1"/>
  <c r="F91" i="19" s="1"/>
  <c r="E91" i="19" a="1"/>
  <c r="E91" i="19" s="1"/>
  <c r="D91" i="19" a="1"/>
  <c r="D91" i="19" s="1"/>
  <c r="J90" i="19" a="1"/>
  <c r="J90" i="19" s="1"/>
  <c r="I90" i="19" a="1"/>
  <c r="I90" i="19" s="1"/>
  <c r="H90" i="19" a="1"/>
  <c r="H90" i="19" s="1"/>
  <c r="G90" i="19" a="1"/>
  <c r="G90" i="19" s="1"/>
  <c r="F90" i="19" a="1"/>
  <c r="F90" i="19" s="1"/>
  <c r="E90" i="19" a="1"/>
  <c r="E90" i="19" s="1"/>
  <c r="D90" i="19" a="1"/>
  <c r="D90" i="19" s="1"/>
  <c r="J89" i="19" a="1"/>
  <c r="J89" i="19" s="1"/>
  <c r="I89" i="19" a="1"/>
  <c r="I89" i="19" s="1"/>
  <c r="H89" i="19" a="1"/>
  <c r="H89" i="19" s="1"/>
  <c r="G89" i="19" a="1"/>
  <c r="G89" i="19" s="1"/>
  <c r="F89" i="19" a="1"/>
  <c r="F89" i="19" s="1"/>
  <c r="E89" i="19" a="1"/>
  <c r="E89" i="19" s="1"/>
  <c r="D89" i="19" a="1"/>
  <c r="D89" i="19" s="1"/>
  <c r="J88" i="19" a="1"/>
  <c r="J88" i="19" s="1"/>
  <c r="I88" i="19" a="1"/>
  <c r="I88" i="19" s="1"/>
  <c r="H88" i="19" a="1"/>
  <c r="H88" i="19" s="1"/>
  <c r="G88" i="19" a="1"/>
  <c r="G88" i="19" s="1"/>
  <c r="F88" i="19" a="1"/>
  <c r="F88" i="19" s="1"/>
  <c r="E88" i="19" a="1"/>
  <c r="E88" i="19" s="1"/>
  <c r="D88" i="19" a="1"/>
  <c r="D88" i="19" s="1"/>
  <c r="J87" i="19" a="1"/>
  <c r="J87" i="19" s="1"/>
  <c r="I87" i="19" a="1"/>
  <c r="I87" i="19" s="1"/>
  <c r="H87" i="19" a="1"/>
  <c r="H87" i="19" s="1"/>
  <c r="G87" i="19" a="1"/>
  <c r="G87" i="19" s="1"/>
  <c r="F87" i="19" a="1"/>
  <c r="F87" i="19" s="1"/>
  <c r="E87" i="19" a="1"/>
  <c r="E87" i="19" s="1"/>
  <c r="D87" i="19" a="1"/>
  <c r="D87" i="19" s="1"/>
  <c r="D84" i="19" a="1"/>
  <c r="D84" i="19" s="1"/>
  <c r="D83" i="19" a="1"/>
  <c r="D83" i="19" s="1"/>
  <c r="D82" i="19" a="1"/>
  <c r="D82" i="19" s="1"/>
  <c r="D81" i="19" a="1"/>
  <c r="D81" i="19" s="1"/>
  <c r="K77" i="19" a="1"/>
  <c r="K77" i="19" s="1"/>
  <c r="J77" i="19" a="1"/>
  <c r="J77" i="19" s="1"/>
  <c r="I77" i="19" a="1"/>
  <c r="I77" i="19" s="1"/>
  <c r="H77" i="19" a="1"/>
  <c r="H77" i="19" s="1"/>
  <c r="G77" i="19" a="1"/>
  <c r="G77" i="19" s="1"/>
  <c r="F77" i="19" a="1"/>
  <c r="F77" i="19" s="1"/>
  <c r="E77" i="19" a="1"/>
  <c r="E77" i="19" s="1"/>
  <c r="D77" i="19" a="1"/>
  <c r="D77" i="19" s="1"/>
  <c r="E38" i="18" s="1"/>
  <c r="K76" i="19" a="1"/>
  <c r="K76" i="19" s="1"/>
  <c r="J76" i="19" a="1"/>
  <c r="J76" i="19" s="1"/>
  <c r="I76" i="19" a="1"/>
  <c r="I76" i="19" s="1"/>
  <c r="H76" i="19" a="1"/>
  <c r="H76" i="19" s="1"/>
  <c r="G76" i="19" a="1"/>
  <c r="G76" i="19" s="1"/>
  <c r="F76" i="19" a="1"/>
  <c r="F76" i="19" s="1"/>
  <c r="E76" i="19" a="1"/>
  <c r="E76" i="19" s="1"/>
  <c r="D76" i="19" a="1"/>
  <c r="D76" i="19" s="1"/>
  <c r="K75" i="19" a="1"/>
  <c r="K75" i="19" s="1"/>
  <c r="J75" i="19" a="1"/>
  <c r="J75" i="19" s="1"/>
  <c r="I75" i="19" a="1"/>
  <c r="I75" i="19" s="1"/>
  <c r="H75" i="19" a="1"/>
  <c r="H75" i="19" s="1"/>
  <c r="G75" i="19" a="1"/>
  <c r="G75" i="19" s="1"/>
  <c r="F75" i="19" a="1"/>
  <c r="F75" i="19" s="1"/>
  <c r="E75" i="19" a="1"/>
  <c r="E75" i="19" s="1"/>
  <c r="D75" i="19" a="1"/>
  <c r="D75" i="19" s="1"/>
  <c r="E30" i="18" s="1"/>
  <c r="K74" i="19" a="1"/>
  <c r="K74" i="19" s="1"/>
  <c r="J74" i="19" a="1"/>
  <c r="J74" i="19" s="1"/>
  <c r="I74" i="19" a="1"/>
  <c r="I74" i="19" s="1"/>
  <c r="H74" i="19" a="1"/>
  <c r="H74" i="19" s="1"/>
  <c r="G74" i="19" a="1"/>
  <c r="G74" i="19" s="1"/>
  <c r="F74" i="19" a="1"/>
  <c r="F74" i="19" s="1"/>
  <c r="E74" i="19" a="1"/>
  <c r="E74" i="19" s="1"/>
  <c r="D74" i="19" a="1"/>
  <c r="D74" i="19" s="1"/>
  <c r="E29" i="18" s="1"/>
  <c r="K73" i="19" a="1"/>
  <c r="K73" i="19" s="1"/>
  <c r="J73" i="19" a="1"/>
  <c r="J73" i="19" s="1"/>
  <c r="I73" i="19" a="1"/>
  <c r="I73" i="19" s="1"/>
  <c r="H73" i="19" a="1"/>
  <c r="H73" i="19" s="1"/>
  <c r="G73" i="19" a="1"/>
  <c r="G73" i="19" s="1"/>
  <c r="F73" i="19" a="1"/>
  <c r="F73" i="19" s="1"/>
  <c r="E73" i="19" a="1"/>
  <c r="E73" i="19" s="1"/>
  <c r="D73" i="19" a="1"/>
  <c r="D73" i="19" s="1"/>
  <c r="E35" i="18" s="1"/>
  <c r="K72" i="19" a="1"/>
  <c r="K72" i="19" s="1"/>
  <c r="J72" i="19" a="1"/>
  <c r="J72" i="19" s="1"/>
  <c r="I72" i="19" a="1"/>
  <c r="I72" i="19" s="1"/>
  <c r="H72" i="19" a="1"/>
  <c r="H72" i="19" s="1"/>
  <c r="G72" i="19" a="1"/>
  <c r="G72" i="19" s="1"/>
  <c r="F72" i="19" a="1"/>
  <c r="F72" i="19" s="1"/>
  <c r="E72" i="19" a="1"/>
  <c r="E72" i="19" s="1"/>
  <c r="D72" i="19" a="1"/>
  <c r="D72" i="19" s="1"/>
  <c r="K71" i="19" a="1"/>
  <c r="K71" i="19" s="1"/>
  <c r="J71" i="19" a="1"/>
  <c r="J71" i="19" s="1"/>
  <c r="I71" i="19" a="1"/>
  <c r="I71" i="19" s="1"/>
  <c r="H71" i="19" a="1"/>
  <c r="H71" i="19" s="1"/>
  <c r="G71" i="19" a="1"/>
  <c r="G71" i="19" s="1"/>
  <c r="F71" i="19" a="1"/>
  <c r="F71" i="19" s="1"/>
  <c r="E71" i="19" a="1"/>
  <c r="E71" i="19" s="1"/>
  <c r="D71" i="19" a="1"/>
  <c r="D71" i="19" s="1"/>
  <c r="K70" i="19" a="1"/>
  <c r="K70" i="19" s="1"/>
  <c r="J70" i="19" a="1"/>
  <c r="J70" i="19" s="1"/>
  <c r="I70" i="19" a="1"/>
  <c r="I70" i="19" s="1"/>
  <c r="H70" i="19" a="1"/>
  <c r="H70" i="19" s="1"/>
  <c r="G70" i="19" a="1"/>
  <c r="G70" i="19" s="1"/>
  <c r="F70" i="19" a="1"/>
  <c r="F70" i="19" s="1"/>
  <c r="E70" i="19" a="1"/>
  <c r="E70" i="19" s="1"/>
  <c r="D70" i="19" a="1"/>
  <c r="D70" i="19" s="1"/>
  <c r="K69" i="19" a="1"/>
  <c r="K69" i="19" s="1"/>
  <c r="J69" i="19" a="1"/>
  <c r="J69" i="19" s="1"/>
  <c r="I69" i="19" a="1"/>
  <c r="I69" i="19" s="1"/>
  <c r="H69" i="19" a="1"/>
  <c r="H69" i="19" s="1"/>
  <c r="G69" i="19" a="1"/>
  <c r="G69" i="19" s="1"/>
  <c r="F69" i="19" a="1"/>
  <c r="F69" i="19" s="1"/>
  <c r="E69" i="19" a="1"/>
  <c r="E69" i="19" s="1"/>
  <c r="D69" i="19" a="1"/>
  <c r="D69" i="19" s="1"/>
  <c r="K68" i="19" a="1"/>
  <c r="K68" i="19" s="1"/>
  <c r="J68" i="19" a="1"/>
  <c r="J68" i="19" s="1"/>
  <c r="I68" i="19" a="1"/>
  <c r="I68" i="19" s="1"/>
  <c r="H68" i="19" a="1"/>
  <c r="H68" i="19" s="1"/>
  <c r="G68" i="19" a="1"/>
  <c r="G68" i="19" s="1"/>
  <c r="F68" i="19" a="1"/>
  <c r="F68" i="19" s="1"/>
  <c r="E68" i="19" a="1"/>
  <c r="E68" i="19" s="1"/>
  <c r="D68" i="19" a="1"/>
  <c r="D68" i="19" s="1"/>
  <c r="K67" i="19" a="1"/>
  <c r="K67" i="19" s="1"/>
  <c r="J67" i="19" a="1"/>
  <c r="J67" i="19" s="1"/>
  <c r="I67" i="19" a="1"/>
  <c r="I67" i="19" s="1"/>
  <c r="H67" i="19" a="1"/>
  <c r="H67" i="19" s="1"/>
  <c r="G67" i="19" a="1"/>
  <c r="G67" i="19" s="1"/>
  <c r="F67" i="19" a="1"/>
  <c r="F67" i="19" s="1"/>
  <c r="E67" i="19" a="1"/>
  <c r="E67" i="19" s="1"/>
  <c r="D67" i="19" a="1"/>
  <c r="D67" i="19" s="1"/>
  <c r="E27" i="18" s="1"/>
  <c r="K66" i="19" a="1"/>
  <c r="K66" i="19" s="1"/>
  <c r="J66" i="19" a="1"/>
  <c r="J66" i="19" s="1"/>
  <c r="I66" i="19" a="1"/>
  <c r="I66" i="19" s="1"/>
  <c r="H66" i="19" a="1"/>
  <c r="H66" i="19" s="1"/>
  <c r="G66" i="19" a="1"/>
  <c r="G66" i="19" s="1"/>
  <c r="F66" i="19" a="1"/>
  <c r="F66" i="19" s="1"/>
  <c r="E66" i="19" a="1"/>
  <c r="E66" i="19" s="1"/>
  <c r="D66" i="19" a="1"/>
  <c r="D66" i="19" s="1"/>
  <c r="K65" i="19" a="1"/>
  <c r="K65" i="19" s="1"/>
  <c r="J65" i="19" a="1"/>
  <c r="J65" i="19" s="1"/>
  <c r="I65" i="19" a="1"/>
  <c r="I65" i="19" s="1"/>
  <c r="H65" i="19" a="1"/>
  <c r="H65" i="19" s="1"/>
  <c r="G65" i="19" a="1"/>
  <c r="G65" i="19" s="1"/>
  <c r="F65" i="19" a="1"/>
  <c r="F65" i="19" s="1"/>
  <c r="E65" i="19" a="1"/>
  <c r="E65" i="19" s="1"/>
  <c r="D65" i="19" a="1"/>
  <c r="D65" i="19" s="1"/>
  <c r="K64" i="19" a="1"/>
  <c r="K64" i="19" s="1"/>
  <c r="J64" i="19" a="1"/>
  <c r="J64" i="19" s="1"/>
  <c r="I64" i="19" a="1"/>
  <c r="I64" i="19" s="1"/>
  <c r="H64" i="19" a="1"/>
  <c r="H64" i="19" s="1"/>
  <c r="G64" i="19" a="1"/>
  <c r="G64" i="19" s="1"/>
  <c r="F64" i="19" a="1"/>
  <c r="F64" i="19" s="1"/>
  <c r="E64" i="19" a="1"/>
  <c r="E64" i="19" s="1"/>
  <c r="D64" i="19" a="1"/>
  <c r="D64" i="19" s="1"/>
  <c r="K63" i="19" a="1"/>
  <c r="K63" i="19" s="1"/>
  <c r="J63" i="19" a="1"/>
  <c r="J63" i="19" s="1"/>
  <c r="I63" i="19" a="1"/>
  <c r="I63" i="19" s="1"/>
  <c r="H63" i="19" a="1"/>
  <c r="H63" i="19" s="1"/>
  <c r="G63" i="19" a="1"/>
  <c r="G63" i="19" s="1"/>
  <c r="F63" i="19" a="1"/>
  <c r="F63" i="19" s="1"/>
  <c r="E63" i="19" a="1"/>
  <c r="E63" i="19" s="1"/>
  <c r="D63" i="19" a="1"/>
  <c r="D63" i="19" s="1"/>
  <c r="E33" i="18" s="1"/>
  <c r="K62" i="19" a="1"/>
  <c r="K62" i="19" s="1"/>
  <c r="J62" i="19" a="1"/>
  <c r="J62" i="19" s="1"/>
  <c r="I62" i="19" a="1"/>
  <c r="I62" i="19" s="1"/>
  <c r="H62" i="19" a="1"/>
  <c r="H62" i="19" s="1"/>
  <c r="G62" i="19" a="1"/>
  <c r="G62" i="19" s="1"/>
  <c r="F62" i="19" a="1"/>
  <c r="F62" i="19" s="1"/>
  <c r="E62" i="19" a="1"/>
  <c r="E62" i="19" s="1"/>
  <c r="D62" i="19" a="1"/>
  <c r="D62" i="19" s="1"/>
  <c r="K61" i="19" a="1"/>
  <c r="K61" i="19" s="1"/>
  <c r="J61" i="19" a="1"/>
  <c r="J61" i="19" s="1"/>
  <c r="I61" i="19" a="1"/>
  <c r="I61" i="19" s="1"/>
  <c r="H61" i="19" a="1"/>
  <c r="H61" i="19" s="1"/>
  <c r="G61" i="19" a="1"/>
  <c r="G61" i="19" s="1"/>
  <c r="F61" i="19" a="1"/>
  <c r="F61" i="19" s="1"/>
  <c r="E61" i="19" a="1"/>
  <c r="E61" i="19" s="1"/>
  <c r="D61" i="19" a="1"/>
  <c r="D61" i="19" s="1"/>
  <c r="K60" i="19" a="1"/>
  <c r="K60" i="19" s="1"/>
  <c r="J60" i="19" a="1"/>
  <c r="J60" i="19" s="1"/>
  <c r="I60" i="19" a="1"/>
  <c r="I60" i="19" s="1"/>
  <c r="H60" i="19" a="1"/>
  <c r="H60" i="19" s="1"/>
  <c r="G60" i="19" a="1"/>
  <c r="G60" i="19" s="1"/>
  <c r="F60" i="19" a="1"/>
  <c r="F60" i="19" s="1"/>
  <c r="E60" i="19" a="1"/>
  <c r="E60" i="19" s="1"/>
  <c r="D60" i="19" a="1"/>
  <c r="D60" i="19" s="1"/>
  <c r="K59" i="19" a="1"/>
  <c r="K59" i="19" s="1"/>
  <c r="J59" i="19" a="1"/>
  <c r="J59" i="19" s="1"/>
  <c r="I59" i="19" a="1"/>
  <c r="I59" i="19" s="1"/>
  <c r="H59" i="19" a="1"/>
  <c r="H59" i="19" s="1"/>
  <c r="G59" i="19" a="1"/>
  <c r="G59" i="19" s="1"/>
  <c r="F59" i="19" a="1"/>
  <c r="F59" i="19" s="1"/>
  <c r="E59" i="19" a="1"/>
  <c r="E59" i="19" s="1"/>
  <c r="D59" i="19" a="1"/>
  <c r="D59" i="19" s="1"/>
  <c r="K58" i="19" a="1"/>
  <c r="K58" i="19" s="1"/>
  <c r="J58" i="19" a="1"/>
  <c r="J58" i="19" s="1"/>
  <c r="I58" i="19" a="1"/>
  <c r="I58" i="19" s="1"/>
  <c r="H58" i="19" a="1"/>
  <c r="H58" i="19" s="1"/>
  <c r="G58" i="19" a="1"/>
  <c r="G58" i="19" s="1"/>
  <c r="F58" i="19" a="1"/>
  <c r="F58" i="19" s="1"/>
  <c r="E58" i="19" a="1"/>
  <c r="E58" i="19" s="1"/>
  <c r="D58" i="19" a="1"/>
  <c r="D58" i="19" s="1"/>
  <c r="E32" i="18" s="1"/>
  <c r="K57" i="19" a="1"/>
  <c r="K57" i="19" s="1"/>
  <c r="J57" i="19" a="1"/>
  <c r="J57" i="19" s="1"/>
  <c r="I57" i="19" a="1"/>
  <c r="I57" i="19" s="1"/>
  <c r="H57" i="19" a="1"/>
  <c r="H57" i="19" s="1"/>
  <c r="G57" i="19" a="1"/>
  <c r="G57" i="19" s="1"/>
  <c r="F57" i="19" a="1"/>
  <c r="F57" i="19" s="1"/>
  <c r="E57" i="19" a="1"/>
  <c r="E57" i="19" s="1"/>
  <c r="D57" i="19" a="1"/>
  <c r="D57" i="19" s="1"/>
  <c r="K56" i="19" a="1"/>
  <c r="K56" i="19" s="1"/>
  <c r="J56" i="19" a="1"/>
  <c r="J56" i="19" s="1"/>
  <c r="I56" i="19" a="1"/>
  <c r="I56" i="19" s="1"/>
  <c r="H56" i="19" a="1"/>
  <c r="H56" i="19" s="1"/>
  <c r="G56" i="19" a="1"/>
  <c r="G56" i="19" s="1"/>
  <c r="F56" i="19" a="1"/>
  <c r="F56" i="19" s="1"/>
  <c r="E56" i="19" a="1"/>
  <c r="E56" i="19" s="1"/>
  <c r="D56" i="19" a="1"/>
  <c r="D56" i="19" s="1"/>
  <c r="K55" i="19" a="1"/>
  <c r="K55" i="19" s="1"/>
  <c r="J55" i="19" a="1"/>
  <c r="J55" i="19" s="1"/>
  <c r="I55" i="19" a="1"/>
  <c r="I55" i="19" s="1"/>
  <c r="H55" i="19" a="1"/>
  <c r="H55" i="19" s="1"/>
  <c r="G55" i="19" a="1"/>
  <c r="G55" i="19" s="1"/>
  <c r="F55" i="19" a="1"/>
  <c r="F55" i="19" s="1"/>
  <c r="E55" i="19" a="1"/>
  <c r="E55" i="19" s="1"/>
  <c r="D55" i="19" a="1"/>
  <c r="D55" i="19" s="1"/>
  <c r="K54" i="19" a="1"/>
  <c r="K54" i="19" s="1"/>
  <c r="J54" i="19" a="1"/>
  <c r="J54" i="19" s="1"/>
  <c r="I54" i="19" a="1"/>
  <c r="I54" i="19" s="1"/>
  <c r="H54" i="19" a="1"/>
  <c r="H54" i="19" s="1"/>
  <c r="G54" i="19" a="1"/>
  <c r="G54" i="19" s="1"/>
  <c r="F54" i="19" a="1"/>
  <c r="F54" i="19" s="1"/>
  <c r="E54" i="19" a="1"/>
  <c r="E54" i="19" s="1"/>
  <c r="D54" i="19" a="1"/>
  <c r="D54" i="19" s="1"/>
  <c r="D52" i="19" a="1"/>
  <c r="D52" i="19" s="1"/>
  <c r="D51" i="19" a="1"/>
  <c r="D51" i="19" s="1"/>
  <c r="D50" i="19" a="1"/>
  <c r="D50" i="19" s="1"/>
  <c r="D49" i="19" a="1"/>
  <c r="D49" i="19" s="1"/>
  <c r="J43" i="19" a="1"/>
  <c r="J43" i="19" s="1"/>
  <c r="I43" i="19" a="1"/>
  <c r="I43" i="19" s="1"/>
  <c r="H43" i="19" a="1"/>
  <c r="H43" i="19" s="1"/>
  <c r="G43" i="19" a="1"/>
  <c r="G43" i="19" s="1"/>
  <c r="F43" i="19" a="1"/>
  <c r="F43" i="19" s="1"/>
  <c r="E43" i="19" a="1"/>
  <c r="E43" i="19" s="1"/>
  <c r="D43" i="19" a="1"/>
  <c r="D43" i="19" s="1"/>
  <c r="J42" i="19" a="1"/>
  <c r="J42" i="19" s="1"/>
  <c r="I42" i="19" a="1"/>
  <c r="I42" i="19" s="1"/>
  <c r="H42" i="19" a="1"/>
  <c r="H42" i="19" s="1"/>
  <c r="G42" i="19" a="1"/>
  <c r="G42" i="19" s="1"/>
  <c r="F42" i="19" a="1"/>
  <c r="F42" i="19" s="1"/>
  <c r="E42" i="19" a="1"/>
  <c r="E42" i="19" s="1"/>
  <c r="D42" i="19" a="1"/>
  <c r="D42" i="19" s="1"/>
  <c r="J41" i="19" a="1"/>
  <c r="J41" i="19" s="1"/>
  <c r="I41" i="19" a="1"/>
  <c r="I41" i="19" s="1"/>
  <c r="H41" i="19" a="1"/>
  <c r="H41" i="19" s="1"/>
  <c r="G41" i="19" a="1"/>
  <c r="G41" i="19" s="1"/>
  <c r="F41" i="19" a="1"/>
  <c r="F41" i="19" s="1"/>
  <c r="E41" i="19" a="1"/>
  <c r="E41" i="19" s="1"/>
  <c r="D41" i="19" a="1"/>
  <c r="D41" i="19" s="1"/>
  <c r="J40" i="19" a="1"/>
  <c r="J40" i="19" s="1"/>
  <c r="I40" i="19" a="1"/>
  <c r="I40" i="19" s="1"/>
  <c r="H40" i="19" a="1"/>
  <c r="H40" i="19" s="1"/>
  <c r="G40" i="19" a="1"/>
  <c r="G40" i="19" s="1"/>
  <c r="F40" i="19" a="1"/>
  <c r="F40" i="19" s="1"/>
  <c r="E40" i="19" a="1"/>
  <c r="E40" i="19" s="1"/>
  <c r="D40" i="19" a="1"/>
  <c r="D40" i="19" s="1"/>
  <c r="D38" i="19" a="1"/>
  <c r="D38" i="19" s="1"/>
  <c r="D37" i="19" a="1"/>
  <c r="D37" i="19" s="1"/>
  <c r="L34" i="19" a="1"/>
  <c r="L34" i="19" s="1"/>
  <c r="K34" i="19" a="1"/>
  <c r="K34" i="19" s="1"/>
  <c r="J34" i="19" a="1"/>
  <c r="J34" i="19" s="1"/>
  <c r="I34" i="19" a="1"/>
  <c r="I34" i="19" s="1"/>
  <c r="H34" i="19" a="1"/>
  <c r="H34" i="19" s="1"/>
  <c r="G34" i="19" a="1"/>
  <c r="G34" i="19" s="1"/>
  <c r="F34" i="19" a="1"/>
  <c r="F34" i="19" s="1"/>
  <c r="E34" i="19" a="1"/>
  <c r="E34" i="19" s="1"/>
  <c r="D34" i="19" a="1"/>
  <c r="D34" i="19" s="1"/>
  <c r="L33" i="19" a="1"/>
  <c r="L33" i="19" s="1"/>
  <c r="K33" i="19" a="1"/>
  <c r="K33" i="19" s="1"/>
  <c r="J33" i="19" a="1"/>
  <c r="J33" i="19" s="1"/>
  <c r="I33" i="19" a="1"/>
  <c r="I33" i="19" s="1"/>
  <c r="H33" i="19" a="1"/>
  <c r="H33" i="19" s="1"/>
  <c r="G33" i="19" a="1"/>
  <c r="G33" i="19" s="1"/>
  <c r="F33" i="19" a="1"/>
  <c r="F33" i="19" s="1"/>
  <c r="E33" i="19" a="1"/>
  <c r="E33" i="19" s="1"/>
  <c r="E39" i="17" s="1"/>
  <c r="D33" i="19" a="1"/>
  <c r="D33" i="19" s="1"/>
  <c r="L32" i="19" a="1"/>
  <c r="L32" i="19" s="1"/>
  <c r="K32" i="19" a="1"/>
  <c r="K32" i="19" s="1"/>
  <c r="J32" i="19" a="1"/>
  <c r="J32" i="19" s="1"/>
  <c r="I32" i="19" a="1"/>
  <c r="I32" i="19" s="1"/>
  <c r="H32" i="19" a="1"/>
  <c r="H32" i="19" s="1"/>
  <c r="G32" i="19" a="1"/>
  <c r="G32" i="19" s="1"/>
  <c r="F32" i="19" a="1"/>
  <c r="F32" i="19" s="1"/>
  <c r="E32" i="19" a="1"/>
  <c r="E32" i="19" s="1"/>
  <c r="D32" i="19" a="1"/>
  <c r="D32" i="19" s="1"/>
  <c r="L31" i="19" a="1"/>
  <c r="L31" i="19" s="1"/>
  <c r="K31" i="19" a="1"/>
  <c r="K31" i="19" s="1"/>
  <c r="J31" i="19" a="1"/>
  <c r="J31" i="19" s="1"/>
  <c r="I31" i="19" a="1"/>
  <c r="I31" i="19" s="1"/>
  <c r="H31" i="19" a="1"/>
  <c r="H31" i="19" s="1"/>
  <c r="G31" i="19" a="1"/>
  <c r="G31" i="19" s="1"/>
  <c r="F31" i="19" a="1"/>
  <c r="F31" i="19" s="1"/>
  <c r="E31" i="19" a="1"/>
  <c r="E31" i="19" s="1"/>
  <c r="D31" i="19" a="1"/>
  <c r="D31" i="19" s="1"/>
  <c r="L30" i="19" a="1"/>
  <c r="L30" i="19" s="1"/>
  <c r="K30" i="19" a="1"/>
  <c r="K30" i="19" s="1"/>
  <c r="J30" i="19" a="1"/>
  <c r="J30" i="19" s="1"/>
  <c r="I30" i="19" a="1"/>
  <c r="I30" i="19" s="1"/>
  <c r="H30" i="19" a="1"/>
  <c r="H30" i="19" s="1"/>
  <c r="G30" i="19" a="1"/>
  <c r="G30" i="19" s="1"/>
  <c r="F30" i="19" a="1"/>
  <c r="F30" i="19" s="1"/>
  <c r="E30" i="19" a="1"/>
  <c r="E30" i="19" s="1"/>
  <c r="E36" i="17" s="1"/>
  <c r="D30" i="19" a="1"/>
  <c r="D30" i="19" s="1"/>
  <c r="L29" i="19" a="1"/>
  <c r="L29" i="19" s="1"/>
  <c r="K29" i="19" a="1"/>
  <c r="K29" i="19" s="1"/>
  <c r="J29" i="19" a="1"/>
  <c r="J29" i="19" s="1"/>
  <c r="I29" i="19" a="1"/>
  <c r="I29" i="19" s="1"/>
  <c r="H29" i="19" a="1"/>
  <c r="H29" i="19" s="1"/>
  <c r="G29" i="19" a="1"/>
  <c r="G29" i="19" s="1"/>
  <c r="F29" i="19" a="1"/>
  <c r="F29" i="19" s="1"/>
  <c r="E29" i="19" a="1"/>
  <c r="E29" i="19" s="1"/>
  <c r="E35" i="17" s="1"/>
  <c r="D29" i="19" a="1"/>
  <c r="D29" i="19" s="1"/>
  <c r="L28" i="19" a="1"/>
  <c r="L28" i="19" s="1"/>
  <c r="K28" i="19" a="1"/>
  <c r="K28" i="19" s="1"/>
  <c r="J28" i="19" a="1"/>
  <c r="J28" i="19" s="1"/>
  <c r="I28" i="19" a="1"/>
  <c r="I28" i="19" s="1"/>
  <c r="H28" i="19" a="1"/>
  <c r="H28" i="19" s="1"/>
  <c r="G28" i="19" a="1"/>
  <c r="G28" i="19" s="1"/>
  <c r="F28" i="19" a="1"/>
  <c r="F28" i="19" s="1"/>
  <c r="E28" i="19" a="1"/>
  <c r="E28" i="19" s="1"/>
  <c r="E34" i="17" s="1"/>
  <c r="D28" i="19" a="1"/>
  <c r="D28" i="19" s="1"/>
  <c r="L27" i="19" a="1"/>
  <c r="L27" i="19" s="1"/>
  <c r="K27" i="19" a="1"/>
  <c r="K27" i="19" s="1"/>
  <c r="J27" i="19" a="1"/>
  <c r="J27" i="19" s="1"/>
  <c r="I27" i="19" a="1"/>
  <c r="I27" i="19" s="1"/>
  <c r="H27" i="19" a="1"/>
  <c r="H27" i="19" s="1"/>
  <c r="G27" i="19" a="1"/>
  <c r="G27" i="19" s="1"/>
  <c r="F27" i="19" a="1"/>
  <c r="F27" i="19" s="1"/>
  <c r="E27" i="19" a="1"/>
  <c r="E27" i="19" s="1"/>
  <c r="D27" i="19" a="1"/>
  <c r="D27" i="19" s="1"/>
  <c r="L26" i="19" a="1"/>
  <c r="L26" i="19" s="1"/>
  <c r="K26" i="19" a="1"/>
  <c r="K26" i="19" s="1"/>
  <c r="J26" i="19" a="1"/>
  <c r="J26" i="19" s="1"/>
  <c r="I26" i="19" a="1"/>
  <c r="I26" i="19" s="1"/>
  <c r="H26" i="19" a="1"/>
  <c r="H26" i="19" s="1"/>
  <c r="G26" i="19" a="1"/>
  <c r="G26" i="19" s="1"/>
  <c r="F26" i="19" a="1"/>
  <c r="F26" i="19" s="1"/>
  <c r="E26" i="19" a="1"/>
  <c r="E26" i="19" s="1"/>
  <c r="D26" i="19" a="1"/>
  <c r="D26" i="19" s="1"/>
  <c r="L25" i="19" a="1"/>
  <c r="L25" i="19" s="1"/>
  <c r="K25" i="19" a="1"/>
  <c r="K25" i="19" s="1"/>
  <c r="J25" i="19" a="1"/>
  <c r="J25" i="19" s="1"/>
  <c r="I25" i="19" a="1"/>
  <c r="I25" i="19" s="1"/>
  <c r="H25" i="19" a="1"/>
  <c r="H25" i="19" s="1"/>
  <c r="G25" i="19" a="1"/>
  <c r="G25" i="19" s="1"/>
  <c r="F25" i="19" a="1"/>
  <c r="F25" i="19" s="1"/>
  <c r="E25" i="19" a="1"/>
  <c r="E25" i="19" s="1"/>
  <c r="D25" i="19" a="1"/>
  <c r="D25" i="19" s="1"/>
  <c r="L24" i="19" a="1"/>
  <c r="L24" i="19" s="1"/>
  <c r="K24" i="19" a="1"/>
  <c r="K24" i="19" s="1"/>
  <c r="J24" i="19" a="1"/>
  <c r="J24" i="19" s="1"/>
  <c r="I24" i="19" a="1"/>
  <c r="I24" i="19" s="1"/>
  <c r="H24" i="19" a="1"/>
  <c r="H24" i="19" s="1"/>
  <c r="G24" i="19" a="1"/>
  <c r="G24" i="19" s="1"/>
  <c r="F24" i="19" a="1"/>
  <c r="F24" i="19" s="1"/>
  <c r="E24" i="19" a="1"/>
  <c r="E24" i="19" s="1"/>
  <c r="D24" i="19" a="1"/>
  <c r="D24" i="19" s="1"/>
  <c r="L23" i="19" a="1"/>
  <c r="L23" i="19" s="1"/>
  <c r="K23" i="19" a="1"/>
  <c r="K23" i="19" s="1"/>
  <c r="J23" i="19" a="1"/>
  <c r="J23" i="19" s="1"/>
  <c r="I23" i="19" a="1"/>
  <c r="I23" i="19" s="1"/>
  <c r="H23" i="19" a="1"/>
  <c r="H23" i="19" s="1"/>
  <c r="G23" i="19" a="1"/>
  <c r="G23" i="19" s="1"/>
  <c r="F23" i="19" a="1"/>
  <c r="F23" i="19" s="1"/>
  <c r="E23" i="19" a="1"/>
  <c r="E23" i="19" s="1"/>
  <c r="D23" i="19" a="1"/>
  <c r="D23" i="19" s="1"/>
  <c r="L22" i="19" a="1"/>
  <c r="L22" i="19" s="1"/>
  <c r="K22" i="19" a="1"/>
  <c r="K22" i="19" s="1"/>
  <c r="J22" i="19" a="1"/>
  <c r="J22" i="19" s="1"/>
  <c r="I22" i="19" a="1"/>
  <c r="I22" i="19" s="1"/>
  <c r="H22" i="19" a="1"/>
  <c r="H22" i="19" s="1"/>
  <c r="G22" i="19" a="1"/>
  <c r="G22" i="19" s="1"/>
  <c r="F22" i="19" a="1"/>
  <c r="F22" i="19" s="1"/>
  <c r="E22" i="19" a="1"/>
  <c r="E22" i="19" s="1"/>
  <c r="D22" i="19" a="1"/>
  <c r="D22" i="19" s="1"/>
  <c r="L21" i="19" a="1"/>
  <c r="L21" i="19" s="1"/>
  <c r="K21" i="19" a="1"/>
  <c r="K21" i="19" s="1"/>
  <c r="J21" i="19" a="1"/>
  <c r="J21" i="19" s="1"/>
  <c r="I21" i="19" a="1"/>
  <c r="I21" i="19" s="1"/>
  <c r="H21" i="19" a="1"/>
  <c r="H21" i="19" s="1"/>
  <c r="G21" i="19" a="1"/>
  <c r="G21" i="19" s="1"/>
  <c r="F21" i="19" a="1"/>
  <c r="F21" i="19" s="1"/>
  <c r="E21" i="19" a="1"/>
  <c r="E21" i="19" s="1"/>
  <c r="D21" i="19" a="1"/>
  <c r="D21" i="19" s="1"/>
  <c r="L20" i="19" a="1"/>
  <c r="L20" i="19" s="1"/>
  <c r="K20" i="19" a="1"/>
  <c r="K20" i="19" s="1"/>
  <c r="J20" i="19" a="1"/>
  <c r="J20" i="19" s="1"/>
  <c r="I20" i="19" a="1"/>
  <c r="I20" i="19" s="1"/>
  <c r="H20" i="19" a="1"/>
  <c r="H20" i="19" s="1"/>
  <c r="G20" i="19" a="1"/>
  <c r="G20" i="19" s="1"/>
  <c r="F20" i="19" a="1"/>
  <c r="F20" i="19" s="1"/>
  <c r="E20" i="19" a="1"/>
  <c r="E20" i="19" s="1"/>
  <c r="D20" i="19" a="1"/>
  <c r="D20" i="19" s="1"/>
  <c r="L19" i="19" a="1"/>
  <c r="L19" i="19" s="1"/>
  <c r="K19" i="19" a="1"/>
  <c r="K19" i="19" s="1"/>
  <c r="J19" i="19" a="1"/>
  <c r="J19" i="19" s="1"/>
  <c r="I19" i="19" a="1"/>
  <c r="I19" i="19" s="1"/>
  <c r="H19" i="19" a="1"/>
  <c r="H19" i="19" s="1"/>
  <c r="G19" i="19" a="1"/>
  <c r="G19" i="19" s="1"/>
  <c r="F19" i="19" a="1"/>
  <c r="F19" i="19" s="1"/>
  <c r="E19" i="19" a="1"/>
  <c r="E19" i="19" s="1"/>
  <c r="D19" i="19" a="1"/>
  <c r="D19" i="19" s="1"/>
  <c r="L18" i="19" a="1"/>
  <c r="L18" i="19" s="1"/>
  <c r="K18" i="19" a="1"/>
  <c r="K18" i="19" s="1"/>
  <c r="J18" i="19" a="1"/>
  <c r="J18" i="19" s="1"/>
  <c r="I18" i="19" a="1"/>
  <c r="I18" i="19" s="1"/>
  <c r="H18" i="19" a="1"/>
  <c r="H18" i="19" s="1"/>
  <c r="G18" i="19" a="1"/>
  <c r="G18" i="19" s="1"/>
  <c r="F18" i="19" a="1"/>
  <c r="F18" i="19" s="1"/>
  <c r="E18" i="19" a="1"/>
  <c r="E18" i="19" s="1"/>
  <c r="D18" i="19" a="1"/>
  <c r="D18" i="19" s="1"/>
  <c r="L17" i="19" a="1"/>
  <c r="L17" i="19" s="1"/>
  <c r="K17" i="19" a="1"/>
  <c r="K17" i="19" s="1"/>
  <c r="J17" i="19" a="1"/>
  <c r="J17" i="19" s="1"/>
  <c r="I17" i="19" a="1"/>
  <c r="I17" i="19" s="1"/>
  <c r="H17" i="19" a="1"/>
  <c r="H17" i="19" s="1"/>
  <c r="G17" i="19" a="1"/>
  <c r="G17" i="19" s="1"/>
  <c r="F17" i="19" a="1"/>
  <c r="F17" i="19" s="1"/>
  <c r="E17" i="19" a="1"/>
  <c r="E17" i="19" s="1"/>
  <c r="E32" i="17" s="1"/>
  <c r="D17" i="19" a="1"/>
  <c r="D17" i="19" s="1"/>
  <c r="L16" i="19" a="1"/>
  <c r="L16" i="19" s="1"/>
  <c r="K16" i="19" a="1"/>
  <c r="K16" i="19" s="1"/>
  <c r="J16" i="19" a="1"/>
  <c r="J16" i="19" s="1"/>
  <c r="I16" i="19" a="1"/>
  <c r="I16" i="19" s="1"/>
  <c r="H16" i="19" a="1"/>
  <c r="H16" i="19" s="1"/>
  <c r="G16" i="19" a="1"/>
  <c r="G16" i="19" s="1"/>
  <c r="F16" i="19" a="1"/>
  <c r="F16" i="19" s="1"/>
  <c r="E16" i="19" a="1"/>
  <c r="E16" i="19" s="1"/>
  <c r="E31" i="17" s="1"/>
  <c r="D16" i="19" a="1"/>
  <c r="D16" i="19" s="1"/>
  <c r="L15" i="19" a="1"/>
  <c r="L15" i="19" s="1"/>
  <c r="K15" i="19" a="1"/>
  <c r="K15" i="19" s="1"/>
  <c r="J15" i="19" a="1"/>
  <c r="J15" i="19" s="1"/>
  <c r="I15" i="19" a="1"/>
  <c r="I15" i="19" s="1"/>
  <c r="H15" i="19" a="1"/>
  <c r="H15" i="19" s="1"/>
  <c r="G15" i="19" a="1"/>
  <c r="G15" i="19" s="1"/>
  <c r="F15" i="19" a="1"/>
  <c r="F15" i="19" s="1"/>
  <c r="E15" i="19" a="1"/>
  <c r="E15" i="19" s="1"/>
  <c r="E30" i="17" s="1"/>
  <c r="D15" i="19" a="1"/>
  <c r="D15" i="19" s="1"/>
  <c r="L14" i="19" a="1"/>
  <c r="L14" i="19" s="1"/>
  <c r="K14" i="19" a="1"/>
  <c r="K14" i="19" s="1"/>
  <c r="J14" i="19" a="1"/>
  <c r="J14" i="19" s="1"/>
  <c r="I14" i="19" a="1"/>
  <c r="I14" i="19" s="1"/>
  <c r="H14" i="19" a="1"/>
  <c r="H14" i="19" s="1"/>
  <c r="G14" i="19" a="1"/>
  <c r="G14" i="19" s="1"/>
  <c r="F14" i="19" a="1"/>
  <c r="F14" i="19" s="1"/>
  <c r="E14" i="19" a="1"/>
  <c r="E14" i="19" s="1"/>
  <c r="E29" i="17" s="1"/>
  <c r="D14" i="19" a="1"/>
  <c r="D14" i="19" s="1"/>
  <c r="L13" i="19" a="1"/>
  <c r="L13" i="19" s="1"/>
  <c r="K13" i="19" a="1"/>
  <c r="K13" i="19" s="1"/>
  <c r="J13" i="19" a="1"/>
  <c r="J13" i="19" s="1"/>
  <c r="I13" i="19" a="1"/>
  <c r="I13" i="19" s="1"/>
  <c r="H13" i="19" a="1"/>
  <c r="H13" i="19" s="1"/>
  <c r="G13" i="19" a="1"/>
  <c r="G13" i="19" s="1"/>
  <c r="F13" i="19" a="1"/>
  <c r="F13" i="19" s="1"/>
  <c r="E13" i="19" a="1"/>
  <c r="E13" i="19" s="1"/>
  <c r="E28" i="17" s="1"/>
  <c r="D13" i="19" a="1"/>
  <c r="D13" i="19" s="1"/>
  <c r="L12" i="19" a="1"/>
  <c r="L12" i="19" s="1"/>
  <c r="K12" i="19" a="1"/>
  <c r="K12" i="19" s="1"/>
  <c r="J12" i="19" a="1"/>
  <c r="J12" i="19" s="1"/>
  <c r="I12" i="19" a="1"/>
  <c r="I12" i="19" s="1"/>
  <c r="H12" i="19" a="1"/>
  <c r="H12" i="19" s="1"/>
  <c r="G12" i="19" a="1"/>
  <c r="G12" i="19" s="1"/>
  <c r="F12" i="19" a="1"/>
  <c r="F12" i="19" s="1"/>
  <c r="E12" i="19" a="1"/>
  <c r="E12" i="19" s="1"/>
  <c r="E27" i="17" s="1"/>
  <c r="D12" i="19" a="1"/>
  <c r="D12" i="19" s="1"/>
  <c r="L11" i="19" a="1"/>
  <c r="L11" i="19" s="1"/>
  <c r="K11" i="19" a="1"/>
  <c r="K11" i="19" s="1"/>
  <c r="J11" i="19" a="1"/>
  <c r="J11" i="19" s="1"/>
  <c r="I11" i="19" a="1"/>
  <c r="I11" i="19" s="1"/>
  <c r="H11" i="19" a="1"/>
  <c r="H11" i="19" s="1"/>
  <c r="G11" i="19" a="1"/>
  <c r="G11" i="19" s="1"/>
  <c r="F11" i="19" a="1"/>
  <c r="F11" i="19" s="1"/>
  <c r="E11" i="19" a="1"/>
  <c r="E11" i="19" s="1"/>
  <c r="E33" i="17" s="1"/>
  <c r="D11" i="19" a="1"/>
  <c r="D11" i="19" s="1"/>
  <c r="L10" i="19" a="1"/>
  <c r="L10" i="19" s="1"/>
  <c r="K10" i="19" a="1"/>
  <c r="K10" i="19" s="1"/>
  <c r="J10" i="19" a="1"/>
  <c r="J10" i="19" s="1"/>
  <c r="I10" i="19" a="1"/>
  <c r="I10" i="19" s="1"/>
  <c r="H10" i="19" a="1"/>
  <c r="H10" i="19" s="1"/>
  <c r="G10" i="19" a="1"/>
  <c r="G10" i="19" s="1"/>
  <c r="F10" i="19" a="1"/>
  <c r="F10" i="19" s="1"/>
  <c r="E10" i="19" a="1"/>
  <c r="E10" i="19" s="1"/>
  <c r="D10" i="19" a="1"/>
  <c r="D10" i="19" s="1"/>
  <c r="D8" i="19" a="1"/>
  <c r="D8" i="19" s="1"/>
  <c r="D7" i="19" a="1"/>
  <c r="D7" i="19" s="1"/>
  <c r="D6" i="19" a="1"/>
  <c r="D6" i="19" s="1"/>
  <c r="D5" i="19" a="1"/>
  <c r="D5" i="19" s="1"/>
  <c r="D37" i="18"/>
  <c r="D36" i="18"/>
  <c r="D30" i="18"/>
  <c r="D29" i="18"/>
  <c r="P18" i="18"/>
  <c r="K39" i="18" s="1" a="1"/>
  <c r="K39" i="18" s="1"/>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L11" i="18" a="1"/>
  <c r="L11" i="18" s="1"/>
  <c r="E11" i="18" a="1"/>
  <c r="E11" i="18" s="1"/>
  <c r="K7" i="18" a="1"/>
  <c r="K7" i="18" s="1"/>
  <c r="K6" i="18" a="1"/>
  <c r="K6" i="18" s="1"/>
  <c r="D6" i="18" a="1"/>
  <c r="D6" i="18" s="1"/>
  <c r="K5" i="18" a="1"/>
  <c r="K5" i="18" s="1"/>
  <c r="D5" i="18" a="1"/>
  <c r="D5" i="18" s="1"/>
  <c r="D60" i="17"/>
  <c r="D39" i="17"/>
  <c r="D38" i="17"/>
  <c r="D36" i="17"/>
  <c r="D35" i="17"/>
  <c r="D54" i="17"/>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6" i="17" a="1"/>
  <c r="K6" i="17" s="1"/>
  <c r="D6" i="17" a="1"/>
  <c r="D6" i="17" s="1"/>
  <c r="K5" i="17" a="1"/>
  <c r="K5" i="17" s="1"/>
  <c r="D5" i="17" a="1"/>
  <c r="D5" i="17" s="1"/>
  <c r="H21" i="16"/>
  <c r="H20" i="16"/>
  <c r="H19" i="16"/>
  <c r="H18" i="16"/>
  <c r="H17" i="16"/>
  <c r="AE153" i="15" a="1"/>
  <c r="AE153" i="15" s="1"/>
  <c r="AD153" i="15" a="1"/>
  <c r="AD153" i="15" s="1"/>
  <c r="AC153" i="15" a="1"/>
  <c r="AC153" i="15" s="1"/>
  <c r="AB153" i="15" a="1"/>
  <c r="AB153" i="15" s="1"/>
  <c r="AA153" i="15" a="1"/>
  <c r="AA153" i="15" s="1"/>
  <c r="Z153" i="15" a="1"/>
  <c r="Z153" i="15" s="1"/>
  <c r="Y153" i="15" a="1"/>
  <c r="Y153" i="15" s="1"/>
  <c r="X153" i="15" a="1"/>
  <c r="X153" i="15" s="1"/>
  <c r="W153" i="15" a="1"/>
  <c r="W153" i="15" s="1"/>
  <c r="V153" i="15" a="1"/>
  <c r="V153" i="15" s="1"/>
  <c r="U153" i="15" a="1"/>
  <c r="U153" i="15" s="1"/>
  <c r="T153" i="15" a="1"/>
  <c r="T153" i="15" s="1"/>
  <c r="S153" i="15" a="1"/>
  <c r="S153" i="15" s="1"/>
  <c r="R153" i="15" a="1"/>
  <c r="R153" i="15" s="1"/>
  <c r="Q153" i="15" a="1"/>
  <c r="Q153" i="15" s="1"/>
  <c r="P153" i="15" a="1"/>
  <c r="P153" i="15" s="1"/>
  <c r="O153" i="15" a="1"/>
  <c r="O153" i="15" s="1"/>
  <c r="N153" i="15" a="1"/>
  <c r="N153" i="15" s="1"/>
  <c r="M153" i="15" a="1"/>
  <c r="M153" i="15" s="1"/>
  <c r="L153" i="15" a="1"/>
  <c r="L153" i="15" s="1"/>
  <c r="K153" i="15" a="1"/>
  <c r="K153" i="15" s="1"/>
  <c r="J153" i="15" a="1"/>
  <c r="J153" i="15" s="1"/>
  <c r="I153" i="15" a="1"/>
  <c r="I153" i="15" s="1"/>
  <c r="H153" i="15" a="1"/>
  <c r="H153" i="15" s="1"/>
  <c r="G153" i="15" a="1"/>
  <c r="G153" i="15" s="1"/>
  <c r="F153" i="15" a="1"/>
  <c r="F153" i="15" s="1"/>
  <c r="E153" i="15" a="1"/>
  <c r="E153" i="15" s="1"/>
  <c r="D153" i="15" a="1"/>
  <c r="D153" i="15" s="1"/>
  <c r="AE152" i="15" a="1"/>
  <c r="AE152" i="15" s="1"/>
  <c r="AD152" i="15" a="1"/>
  <c r="AD152" i="15" s="1"/>
  <c r="AC152" i="15" a="1"/>
  <c r="AC152" i="15" s="1"/>
  <c r="AB152" i="15" a="1"/>
  <c r="AB152" i="15" s="1"/>
  <c r="AA152" i="15" a="1"/>
  <c r="AA152" i="15" s="1"/>
  <c r="Z152" i="15" a="1"/>
  <c r="Z152" i="15" s="1"/>
  <c r="Y152" i="15" a="1"/>
  <c r="Y152" i="15" s="1"/>
  <c r="X152" i="15" a="1"/>
  <c r="X152" i="15" s="1"/>
  <c r="W152" i="15" a="1"/>
  <c r="W152" i="15" s="1"/>
  <c r="V152" i="15" a="1"/>
  <c r="V152" i="15" s="1"/>
  <c r="U152" i="15" a="1"/>
  <c r="U152" i="15" s="1"/>
  <c r="T152" i="15" a="1"/>
  <c r="T152" i="15" s="1"/>
  <c r="S152" i="15" a="1"/>
  <c r="S152" i="15" s="1"/>
  <c r="R152" i="15" a="1"/>
  <c r="R152" i="15" s="1"/>
  <c r="Q152" i="15" a="1"/>
  <c r="Q152" i="15" s="1"/>
  <c r="P152" i="15" a="1"/>
  <c r="P152" i="15" s="1"/>
  <c r="O152" i="15" a="1"/>
  <c r="O152" i="15" s="1"/>
  <c r="N152" i="15" a="1"/>
  <c r="N152" i="15" s="1"/>
  <c r="M152" i="15" a="1"/>
  <c r="M152" i="15" s="1"/>
  <c r="L152" i="15" a="1"/>
  <c r="L152" i="15" s="1"/>
  <c r="K152" i="15" a="1"/>
  <c r="K152" i="15" s="1"/>
  <c r="J152" i="15" a="1"/>
  <c r="J152" i="15" s="1"/>
  <c r="I152" i="15" a="1"/>
  <c r="I152" i="15" s="1"/>
  <c r="H152" i="15" a="1"/>
  <c r="H152" i="15" s="1"/>
  <c r="G152" i="15" a="1"/>
  <c r="G152" i="15" s="1"/>
  <c r="F152" i="15" a="1"/>
  <c r="F152" i="15" s="1"/>
  <c r="E152" i="15" a="1"/>
  <c r="E152" i="15" s="1"/>
  <c r="D152" i="15" a="1"/>
  <c r="D152" i="15" s="1"/>
  <c r="AE151" i="15" a="1"/>
  <c r="AE151" i="15" s="1"/>
  <c r="AD151" i="15" a="1"/>
  <c r="AD151" i="15" s="1"/>
  <c r="AC151" i="15" a="1"/>
  <c r="AC151" i="15" s="1"/>
  <c r="AB151" i="15" a="1"/>
  <c r="AB151" i="15" s="1"/>
  <c r="AA151" i="15" a="1"/>
  <c r="AA151" i="15" s="1"/>
  <c r="Z151" i="15" a="1"/>
  <c r="Z151" i="15" s="1"/>
  <c r="Y151" i="15" a="1"/>
  <c r="Y151" i="15" s="1"/>
  <c r="X151" i="15" a="1"/>
  <c r="X151" i="15" s="1"/>
  <c r="W151" i="15" a="1"/>
  <c r="W151" i="15" s="1"/>
  <c r="V151" i="15" a="1"/>
  <c r="V151" i="15" s="1"/>
  <c r="U151" i="15" a="1"/>
  <c r="U151" i="15" s="1"/>
  <c r="T151" i="15" a="1"/>
  <c r="T151" i="15" s="1"/>
  <c r="S151" i="15" a="1"/>
  <c r="S151" i="15" s="1"/>
  <c r="R151" i="15" a="1"/>
  <c r="R151" i="15" s="1"/>
  <c r="Q151" i="15" a="1"/>
  <c r="Q151" i="15" s="1"/>
  <c r="P151" i="15" a="1"/>
  <c r="P151" i="15" s="1"/>
  <c r="O151" i="15" a="1"/>
  <c r="O151" i="15" s="1"/>
  <c r="N151" i="15" a="1"/>
  <c r="N151" i="15" s="1"/>
  <c r="M151" i="15" a="1"/>
  <c r="M151" i="15" s="1"/>
  <c r="L151" i="15" a="1"/>
  <c r="L151" i="15" s="1"/>
  <c r="K151" i="15" a="1"/>
  <c r="K151" i="15" s="1"/>
  <c r="J151" i="15" a="1"/>
  <c r="J151" i="15" s="1"/>
  <c r="I151" i="15" a="1"/>
  <c r="I151" i="15" s="1"/>
  <c r="H151" i="15" a="1"/>
  <c r="H151" i="15" s="1"/>
  <c r="G151" i="15" a="1"/>
  <c r="G151" i="15" s="1"/>
  <c r="F151" i="15" a="1"/>
  <c r="F151" i="15" s="1"/>
  <c r="E151" i="15" a="1"/>
  <c r="E151" i="15" s="1"/>
  <c r="D151" i="15" a="1"/>
  <c r="D151" i="15" s="1"/>
  <c r="AE150" i="15" a="1"/>
  <c r="AE150" i="15" s="1"/>
  <c r="AD150" i="15" a="1"/>
  <c r="AD150" i="15" s="1"/>
  <c r="AC150" i="15" a="1"/>
  <c r="AC150" i="15" s="1"/>
  <c r="AB150" i="15" a="1"/>
  <c r="AB150" i="15" s="1"/>
  <c r="AA150" i="15" a="1"/>
  <c r="AA150" i="15" s="1"/>
  <c r="Z150" i="15" a="1"/>
  <c r="Z150" i="15" s="1"/>
  <c r="Y150" i="15" a="1"/>
  <c r="Y150" i="15" s="1"/>
  <c r="X150" i="15" a="1"/>
  <c r="X150" i="15" s="1"/>
  <c r="W150" i="15" a="1"/>
  <c r="W150" i="15" s="1"/>
  <c r="V150" i="15" a="1"/>
  <c r="V150" i="15" s="1"/>
  <c r="U150" i="15" a="1"/>
  <c r="U150" i="15" s="1"/>
  <c r="T150" i="15" a="1"/>
  <c r="T150" i="15" s="1"/>
  <c r="S150" i="15" a="1"/>
  <c r="S150" i="15" s="1"/>
  <c r="R150" i="15" a="1"/>
  <c r="R150" i="15" s="1"/>
  <c r="Q150" i="15" a="1"/>
  <c r="Q150" i="15" s="1"/>
  <c r="P150" i="15" a="1"/>
  <c r="P150" i="15" s="1"/>
  <c r="O150" i="15" a="1"/>
  <c r="O150" i="15" s="1"/>
  <c r="N150" i="15" a="1"/>
  <c r="N150" i="15" s="1"/>
  <c r="M150" i="15" a="1"/>
  <c r="M150" i="15" s="1"/>
  <c r="L150" i="15" a="1"/>
  <c r="L150" i="15" s="1"/>
  <c r="K150" i="15" a="1"/>
  <c r="K150" i="15" s="1"/>
  <c r="J150" i="15" a="1"/>
  <c r="J150" i="15" s="1"/>
  <c r="I150" i="15" a="1"/>
  <c r="I150" i="15" s="1"/>
  <c r="H150" i="15" a="1"/>
  <c r="H150" i="15" s="1"/>
  <c r="G150" i="15" a="1"/>
  <c r="G150" i="15" s="1"/>
  <c r="F150" i="15" a="1"/>
  <c r="F150" i="15" s="1"/>
  <c r="E150" i="15" a="1"/>
  <c r="E150" i="15" s="1"/>
  <c r="D150" i="15" a="1"/>
  <c r="D150" i="15" s="1"/>
  <c r="AE149" i="15" a="1"/>
  <c r="AE149" i="15" s="1"/>
  <c r="AD149" i="15" a="1"/>
  <c r="AD149" i="15" s="1"/>
  <c r="AC149" i="15" a="1"/>
  <c r="AC149" i="15" s="1"/>
  <c r="AB149" i="15" a="1"/>
  <c r="AB149" i="15" s="1"/>
  <c r="AA149" i="15" a="1"/>
  <c r="AA149" i="15" s="1"/>
  <c r="Z149" i="15" a="1"/>
  <c r="Z149" i="15" s="1"/>
  <c r="Y149" i="15" a="1"/>
  <c r="Y149" i="15" s="1"/>
  <c r="X149" i="15" a="1"/>
  <c r="X149" i="15" s="1"/>
  <c r="W149" i="15" a="1"/>
  <c r="W149" i="15" s="1"/>
  <c r="V149" i="15" a="1"/>
  <c r="V149" i="15" s="1"/>
  <c r="U149" i="15" a="1"/>
  <c r="U149" i="15" s="1"/>
  <c r="T149" i="15" a="1"/>
  <c r="T149" i="15" s="1"/>
  <c r="S149" i="15" a="1"/>
  <c r="S149" i="15" s="1"/>
  <c r="R149" i="15" a="1"/>
  <c r="R149" i="15" s="1"/>
  <c r="Q149" i="15" a="1"/>
  <c r="Q149" i="15" s="1"/>
  <c r="P149" i="15" a="1"/>
  <c r="P149" i="15" s="1"/>
  <c r="O149" i="15" a="1"/>
  <c r="O149" i="15" s="1"/>
  <c r="N149" i="15" a="1"/>
  <c r="N149" i="15" s="1"/>
  <c r="M149" i="15" a="1"/>
  <c r="M149" i="15" s="1"/>
  <c r="L149" i="15" a="1"/>
  <c r="L149" i="15" s="1"/>
  <c r="K149" i="15" a="1"/>
  <c r="K149" i="15" s="1"/>
  <c r="J149" i="15" a="1"/>
  <c r="J149" i="15" s="1"/>
  <c r="I149" i="15" a="1"/>
  <c r="I149" i="15" s="1"/>
  <c r="H149" i="15" a="1"/>
  <c r="H149" i="15" s="1"/>
  <c r="G149" i="15" a="1"/>
  <c r="G149" i="15" s="1"/>
  <c r="F149" i="15" a="1"/>
  <c r="F149" i="15" s="1"/>
  <c r="E149" i="15" a="1"/>
  <c r="E149" i="15" s="1"/>
  <c r="D149" i="15" a="1"/>
  <c r="D149" i="15" s="1"/>
  <c r="AE148" i="15" a="1"/>
  <c r="AE148" i="15" s="1"/>
  <c r="AD148" i="15" a="1"/>
  <c r="AD148" i="15" s="1"/>
  <c r="AC148" i="15" a="1"/>
  <c r="AC148" i="15" s="1"/>
  <c r="AB148" i="15" a="1"/>
  <c r="AB148" i="15" s="1"/>
  <c r="AA148" i="15" a="1"/>
  <c r="AA148" i="15" s="1"/>
  <c r="Z148" i="15" a="1"/>
  <c r="Z148" i="15" s="1"/>
  <c r="Y148" i="15" a="1"/>
  <c r="Y148" i="15" s="1"/>
  <c r="X148" i="15" a="1"/>
  <c r="X148" i="15" s="1"/>
  <c r="W148" i="15" a="1"/>
  <c r="W148" i="15" s="1"/>
  <c r="V148" i="15" a="1"/>
  <c r="V148" i="15" s="1"/>
  <c r="U148" i="15" a="1"/>
  <c r="U148" i="15" s="1"/>
  <c r="T148" i="15" a="1"/>
  <c r="T148" i="15" s="1"/>
  <c r="S148" i="15" a="1"/>
  <c r="S148" i="15" s="1"/>
  <c r="R148" i="15" a="1"/>
  <c r="R148" i="15" s="1"/>
  <c r="Q148" i="15" a="1"/>
  <c r="Q148" i="15" s="1"/>
  <c r="P148" i="15" a="1"/>
  <c r="P148" i="15" s="1"/>
  <c r="O148" i="15" a="1"/>
  <c r="O148" i="15" s="1"/>
  <c r="N148" i="15" a="1"/>
  <c r="N148" i="15" s="1"/>
  <c r="M148" i="15" a="1"/>
  <c r="M148" i="15" s="1"/>
  <c r="L148" i="15" a="1"/>
  <c r="L148" i="15" s="1"/>
  <c r="K148" i="15" a="1"/>
  <c r="K148" i="15" s="1"/>
  <c r="J148" i="15" a="1"/>
  <c r="J148" i="15" s="1"/>
  <c r="I148" i="15" a="1"/>
  <c r="I148" i="15" s="1"/>
  <c r="H148" i="15" a="1"/>
  <c r="H148" i="15" s="1"/>
  <c r="G148" i="15" a="1"/>
  <c r="G148" i="15" s="1"/>
  <c r="F148" i="15" a="1"/>
  <c r="F148" i="15" s="1"/>
  <c r="E148" i="15" a="1"/>
  <c r="E148" i="15" s="1"/>
  <c r="D148" i="15" a="1"/>
  <c r="D148" i="15" s="1"/>
  <c r="AE147" i="15" a="1"/>
  <c r="AE147" i="15" s="1"/>
  <c r="AD147" i="15" a="1"/>
  <c r="AD147" i="15" s="1"/>
  <c r="AC147" i="15" a="1"/>
  <c r="AC147" i="15" s="1"/>
  <c r="AB147" i="15" a="1"/>
  <c r="AB147" i="15" s="1"/>
  <c r="AA147" i="15" a="1"/>
  <c r="AA147" i="15" s="1"/>
  <c r="Z147" i="15" a="1"/>
  <c r="Z147" i="15" s="1"/>
  <c r="Y147" i="15" a="1"/>
  <c r="Y147" i="15" s="1"/>
  <c r="X147" i="15" a="1"/>
  <c r="X147" i="15" s="1"/>
  <c r="W147" i="15" a="1"/>
  <c r="W147" i="15" s="1"/>
  <c r="V147" i="15" a="1"/>
  <c r="V147" i="15" s="1"/>
  <c r="U147" i="15" a="1"/>
  <c r="U147" i="15" s="1"/>
  <c r="T147" i="15" a="1"/>
  <c r="T147" i="15" s="1"/>
  <c r="S147" i="15" a="1"/>
  <c r="S147" i="15" s="1"/>
  <c r="R147" i="15" a="1"/>
  <c r="R147" i="15" s="1"/>
  <c r="Q147" i="15" a="1"/>
  <c r="Q147" i="15" s="1"/>
  <c r="P147" i="15" a="1"/>
  <c r="P147" i="15" s="1"/>
  <c r="O147" i="15" a="1"/>
  <c r="O147" i="15" s="1"/>
  <c r="N147" i="15" a="1"/>
  <c r="N147" i="15" s="1"/>
  <c r="M147" i="15" a="1"/>
  <c r="M147" i="15" s="1"/>
  <c r="L147" i="15" a="1"/>
  <c r="L147" i="15" s="1"/>
  <c r="K147" i="15" a="1"/>
  <c r="K147" i="15" s="1"/>
  <c r="J147" i="15" a="1"/>
  <c r="J147" i="15" s="1"/>
  <c r="I147" i="15" a="1"/>
  <c r="I147" i="15" s="1"/>
  <c r="H147" i="15" a="1"/>
  <c r="H147" i="15" s="1"/>
  <c r="G147" i="15" a="1"/>
  <c r="G147" i="15" s="1"/>
  <c r="F147" i="15" a="1"/>
  <c r="F147" i="15" s="1"/>
  <c r="E147" i="15" a="1"/>
  <c r="E147" i="15" s="1"/>
  <c r="D147" i="15" a="1"/>
  <c r="D147" i="15" s="1"/>
  <c r="AE146" i="15" a="1"/>
  <c r="AE146" i="15" s="1"/>
  <c r="AD146" i="15" a="1"/>
  <c r="AD146" i="15" s="1"/>
  <c r="AC146" i="15" a="1"/>
  <c r="AC146" i="15" s="1"/>
  <c r="AB146" i="15" a="1"/>
  <c r="AB146" i="15" s="1"/>
  <c r="AA146" i="15" a="1"/>
  <c r="AA146" i="15" s="1"/>
  <c r="Z146" i="15" a="1"/>
  <c r="Z146" i="15" s="1"/>
  <c r="Y146" i="15" a="1"/>
  <c r="Y146" i="15" s="1"/>
  <c r="X146" i="15" a="1"/>
  <c r="X146" i="15" s="1"/>
  <c r="W146" i="15" a="1"/>
  <c r="W146" i="15" s="1"/>
  <c r="V146" i="15" a="1"/>
  <c r="V146" i="15" s="1"/>
  <c r="U146" i="15" a="1"/>
  <c r="U146" i="15" s="1"/>
  <c r="T146" i="15" a="1"/>
  <c r="T146" i="15" s="1"/>
  <c r="S146" i="15" a="1"/>
  <c r="S146" i="15" s="1"/>
  <c r="R146" i="15" a="1"/>
  <c r="R146" i="15" s="1"/>
  <c r="Q146" i="15" a="1"/>
  <c r="Q146" i="15" s="1"/>
  <c r="P146" i="15" a="1"/>
  <c r="P146" i="15" s="1"/>
  <c r="O146" i="15" a="1"/>
  <c r="O146" i="15" s="1"/>
  <c r="N146" i="15" a="1"/>
  <c r="N146" i="15" s="1"/>
  <c r="M146" i="15" a="1"/>
  <c r="M146" i="15" s="1"/>
  <c r="L146" i="15" a="1"/>
  <c r="L146" i="15" s="1"/>
  <c r="K146" i="15" a="1"/>
  <c r="K146" i="15" s="1"/>
  <c r="J146" i="15" a="1"/>
  <c r="J146" i="15" s="1"/>
  <c r="I146" i="15" a="1"/>
  <c r="I146" i="15" s="1"/>
  <c r="H146" i="15" a="1"/>
  <c r="H146" i="15" s="1"/>
  <c r="G146" i="15" a="1"/>
  <c r="G146" i="15" s="1"/>
  <c r="F146" i="15" a="1"/>
  <c r="F146" i="15" s="1"/>
  <c r="E146" i="15" a="1"/>
  <c r="E146" i="15" s="1"/>
  <c r="D146" i="15" a="1"/>
  <c r="D146" i="15" s="1"/>
  <c r="AE145" i="15" a="1"/>
  <c r="AE145" i="15" s="1"/>
  <c r="AD145" i="15" a="1"/>
  <c r="AD145" i="15" s="1"/>
  <c r="AC145" i="15" a="1"/>
  <c r="AC145" i="15" s="1"/>
  <c r="AB145" i="15" a="1"/>
  <c r="AB145" i="15" s="1"/>
  <c r="AA145" i="15" a="1"/>
  <c r="AA145" i="15" s="1"/>
  <c r="Z145" i="15" a="1"/>
  <c r="Z145" i="15" s="1"/>
  <c r="Y145" i="15" a="1"/>
  <c r="Y145" i="15" s="1"/>
  <c r="X145" i="15" a="1"/>
  <c r="X145" i="15" s="1"/>
  <c r="W145" i="15" a="1"/>
  <c r="W145" i="15" s="1"/>
  <c r="V145" i="15" a="1"/>
  <c r="V145" i="15" s="1"/>
  <c r="U145" i="15" a="1"/>
  <c r="U145" i="15" s="1"/>
  <c r="T145" i="15" a="1"/>
  <c r="T145" i="15" s="1"/>
  <c r="S145" i="15" a="1"/>
  <c r="S145" i="15" s="1"/>
  <c r="R145" i="15" a="1"/>
  <c r="R145" i="15" s="1"/>
  <c r="Q145" i="15" a="1"/>
  <c r="Q145" i="15" s="1"/>
  <c r="P145" i="15" a="1"/>
  <c r="P145" i="15" s="1"/>
  <c r="O145" i="15" a="1"/>
  <c r="O145" i="15" s="1"/>
  <c r="N145" i="15" a="1"/>
  <c r="N145" i="15" s="1"/>
  <c r="M145" i="15" a="1"/>
  <c r="M145" i="15" s="1"/>
  <c r="L145" i="15" a="1"/>
  <c r="L145" i="15" s="1"/>
  <c r="K145" i="15" a="1"/>
  <c r="K145" i="15" s="1"/>
  <c r="J145" i="15" a="1"/>
  <c r="J145" i="15" s="1"/>
  <c r="I145" i="15" a="1"/>
  <c r="I145" i="15" s="1"/>
  <c r="H145" i="15" a="1"/>
  <c r="H145" i="15" s="1"/>
  <c r="G145" i="15" a="1"/>
  <c r="G145" i="15" s="1"/>
  <c r="F145" i="15" a="1"/>
  <c r="F145" i="15" s="1"/>
  <c r="E145" i="15" a="1"/>
  <c r="E145" i="15" s="1"/>
  <c r="D145" i="15" a="1"/>
  <c r="D145" i="15" s="1"/>
  <c r="AE144" i="15" a="1"/>
  <c r="AE144" i="15" s="1"/>
  <c r="AD144" i="15" a="1"/>
  <c r="AD144" i="15" s="1"/>
  <c r="AC144" i="15" a="1"/>
  <c r="AC144" i="15" s="1"/>
  <c r="AB144" i="15" a="1"/>
  <c r="AB144" i="15" s="1"/>
  <c r="AA144" i="15" a="1"/>
  <c r="AA144" i="15" s="1"/>
  <c r="Z144" i="15" a="1"/>
  <c r="Z144" i="15" s="1"/>
  <c r="Y144" i="15" a="1"/>
  <c r="Y144" i="15" s="1"/>
  <c r="X144" i="15" a="1"/>
  <c r="X144" i="15" s="1"/>
  <c r="W144" i="15" a="1"/>
  <c r="W144" i="15" s="1"/>
  <c r="V144" i="15" a="1"/>
  <c r="V144" i="15" s="1"/>
  <c r="U144" i="15" a="1"/>
  <c r="U144" i="15" s="1"/>
  <c r="T144" i="15" a="1"/>
  <c r="T144" i="15" s="1"/>
  <c r="S144" i="15" a="1"/>
  <c r="S144" i="15" s="1"/>
  <c r="R144" i="15" a="1"/>
  <c r="R144" i="15" s="1"/>
  <c r="Q144" i="15" a="1"/>
  <c r="Q144" i="15" s="1"/>
  <c r="P144" i="15" a="1"/>
  <c r="P144" i="15" s="1"/>
  <c r="O144" i="15" a="1"/>
  <c r="O144" i="15" s="1"/>
  <c r="N144" i="15" a="1"/>
  <c r="N144" i="15" s="1"/>
  <c r="M144" i="15" a="1"/>
  <c r="M144" i="15" s="1"/>
  <c r="L144" i="15" a="1"/>
  <c r="L144" i="15" s="1"/>
  <c r="K144" i="15" a="1"/>
  <c r="K144" i="15" s="1"/>
  <c r="J144" i="15" a="1"/>
  <c r="J144" i="15" s="1"/>
  <c r="I144" i="15" a="1"/>
  <c r="I144" i="15" s="1"/>
  <c r="H144" i="15" a="1"/>
  <c r="H144" i="15" s="1"/>
  <c r="G144" i="15" a="1"/>
  <c r="G144" i="15" s="1"/>
  <c r="F144" i="15" a="1"/>
  <c r="F144" i="15" s="1"/>
  <c r="E144" i="15" a="1"/>
  <c r="E144" i="15" s="1"/>
  <c r="D144" i="15" a="1"/>
  <c r="D144" i="15" s="1"/>
  <c r="AE143" i="15" a="1"/>
  <c r="AE143" i="15" s="1"/>
  <c r="AD143" i="15" a="1"/>
  <c r="AD143" i="15" s="1"/>
  <c r="AC143" i="15" a="1"/>
  <c r="AC143" i="15" s="1"/>
  <c r="AB143" i="15" a="1"/>
  <c r="AB143" i="15" s="1"/>
  <c r="AA143" i="15" a="1"/>
  <c r="AA143" i="15" s="1"/>
  <c r="Z143" i="15" a="1"/>
  <c r="Z143" i="15" s="1"/>
  <c r="Y143" i="15" a="1"/>
  <c r="Y143" i="15" s="1"/>
  <c r="X143" i="15" a="1"/>
  <c r="X143" i="15" s="1"/>
  <c r="W143" i="15" a="1"/>
  <c r="W143" i="15" s="1"/>
  <c r="V143" i="15" a="1"/>
  <c r="V143" i="15" s="1"/>
  <c r="U143" i="15" a="1"/>
  <c r="U143" i="15" s="1"/>
  <c r="T143" i="15" a="1"/>
  <c r="T143" i="15" s="1"/>
  <c r="S143" i="15" a="1"/>
  <c r="S143" i="15" s="1"/>
  <c r="R143" i="15" a="1"/>
  <c r="R143" i="15" s="1"/>
  <c r="Q143" i="15" a="1"/>
  <c r="Q143" i="15" s="1"/>
  <c r="P143" i="15" a="1"/>
  <c r="P143" i="15" s="1"/>
  <c r="O143" i="15" a="1"/>
  <c r="O143" i="15" s="1"/>
  <c r="N143" i="15" a="1"/>
  <c r="N143" i="15" s="1"/>
  <c r="M143" i="15" a="1"/>
  <c r="M143" i="15" s="1"/>
  <c r="L143" i="15" a="1"/>
  <c r="L143" i="15" s="1"/>
  <c r="K143" i="15" a="1"/>
  <c r="K143" i="15" s="1"/>
  <c r="J143" i="15" a="1"/>
  <c r="J143" i="15" s="1"/>
  <c r="I143" i="15" a="1"/>
  <c r="I143" i="15" s="1"/>
  <c r="H143" i="15" a="1"/>
  <c r="H143" i="15" s="1"/>
  <c r="G143" i="15" a="1"/>
  <c r="G143" i="15" s="1"/>
  <c r="F143" i="15" a="1"/>
  <c r="F143" i="15" s="1"/>
  <c r="E143" i="15" a="1"/>
  <c r="E143" i="15" s="1"/>
  <c r="D143" i="15" a="1"/>
  <c r="D143" i="15" s="1"/>
  <c r="AE142" i="15" a="1"/>
  <c r="AE142" i="15" s="1"/>
  <c r="AD142" i="15" a="1"/>
  <c r="AD142" i="15" s="1"/>
  <c r="AC142" i="15" a="1"/>
  <c r="AC142" i="15" s="1"/>
  <c r="AB142" i="15" a="1"/>
  <c r="AB142" i="15" s="1"/>
  <c r="AA142" i="15" a="1"/>
  <c r="AA142" i="15" s="1"/>
  <c r="Z142" i="15" a="1"/>
  <c r="Z142" i="15" s="1"/>
  <c r="Y142" i="15" a="1"/>
  <c r="Y142" i="15" s="1"/>
  <c r="X142" i="15" a="1"/>
  <c r="X142" i="15" s="1"/>
  <c r="W142" i="15" a="1"/>
  <c r="W142" i="15" s="1"/>
  <c r="V142" i="15" a="1"/>
  <c r="V142" i="15" s="1"/>
  <c r="U142" i="15" a="1"/>
  <c r="U142" i="15" s="1"/>
  <c r="T142" i="15" a="1"/>
  <c r="T142" i="15" s="1"/>
  <c r="S142" i="15" a="1"/>
  <c r="S142" i="15" s="1"/>
  <c r="R142" i="15" a="1"/>
  <c r="R142" i="15" s="1"/>
  <c r="Q142" i="15" a="1"/>
  <c r="Q142" i="15" s="1"/>
  <c r="P142" i="15" a="1"/>
  <c r="P142" i="15" s="1"/>
  <c r="O142" i="15" a="1"/>
  <c r="O142" i="15" s="1"/>
  <c r="N142" i="15" a="1"/>
  <c r="N142" i="15" s="1"/>
  <c r="M142" i="15" a="1"/>
  <c r="M142" i="15" s="1"/>
  <c r="L142" i="15" a="1"/>
  <c r="L142" i="15" s="1"/>
  <c r="K142" i="15" a="1"/>
  <c r="K142" i="15" s="1"/>
  <c r="J142" i="15" a="1"/>
  <c r="J142" i="15" s="1"/>
  <c r="I142" i="15" a="1"/>
  <c r="I142" i="15" s="1"/>
  <c r="H142" i="15" a="1"/>
  <c r="H142" i="15" s="1"/>
  <c r="G142" i="15" a="1"/>
  <c r="G142" i="15" s="1"/>
  <c r="F142" i="15" a="1"/>
  <c r="F142" i="15" s="1"/>
  <c r="E142" i="15" a="1"/>
  <c r="E142" i="15" s="1"/>
  <c r="D142" i="15" a="1"/>
  <c r="D142" i="15" s="1"/>
  <c r="AE141" i="15" a="1"/>
  <c r="AE141" i="15" s="1"/>
  <c r="AD141" i="15" a="1"/>
  <c r="AD141" i="15" s="1"/>
  <c r="AC141" i="15" a="1"/>
  <c r="AC141" i="15" s="1"/>
  <c r="AB141" i="15" a="1"/>
  <c r="AB141" i="15" s="1"/>
  <c r="AA141" i="15" a="1"/>
  <c r="AA141" i="15" s="1"/>
  <c r="Z141" i="15" a="1"/>
  <c r="Z141" i="15" s="1"/>
  <c r="Y141" i="15" a="1"/>
  <c r="Y141" i="15" s="1"/>
  <c r="X141" i="15" a="1"/>
  <c r="X141" i="15" s="1"/>
  <c r="W141" i="15" a="1"/>
  <c r="W141" i="15" s="1"/>
  <c r="V141" i="15" a="1"/>
  <c r="V141" i="15" s="1"/>
  <c r="U141" i="15" a="1"/>
  <c r="U141" i="15" s="1"/>
  <c r="T141" i="15" a="1"/>
  <c r="T141" i="15" s="1"/>
  <c r="S141" i="15" a="1"/>
  <c r="S141" i="15" s="1"/>
  <c r="R141" i="15" a="1"/>
  <c r="R141" i="15" s="1"/>
  <c r="Q141" i="15" a="1"/>
  <c r="Q141" i="15" s="1"/>
  <c r="P141" i="15" a="1"/>
  <c r="P141" i="15" s="1"/>
  <c r="O141" i="15" a="1"/>
  <c r="O141" i="15" s="1"/>
  <c r="N141" i="15" a="1"/>
  <c r="N141" i="15" s="1"/>
  <c r="M141" i="15" a="1"/>
  <c r="M141" i="15" s="1"/>
  <c r="L141" i="15" a="1"/>
  <c r="L141" i="15" s="1"/>
  <c r="K141" i="15" a="1"/>
  <c r="K141" i="15" s="1"/>
  <c r="J141" i="15" a="1"/>
  <c r="J141" i="15" s="1"/>
  <c r="I141" i="15" a="1"/>
  <c r="I141" i="15" s="1"/>
  <c r="H141" i="15" a="1"/>
  <c r="H141" i="15" s="1"/>
  <c r="G141" i="15" a="1"/>
  <c r="G141" i="15" s="1"/>
  <c r="F141" i="15" a="1"/>
  <c r="F141" i="15" s="1"/>
  <c r="E141" i="15" a="1"/>
  <c r="E141" i="15" s="1"/>
  <c r="D141" i="15" a="1"/>
  <c r="D141" i="15" s="1"/>
  <c r="AE140" i="15" a="1"/>
  <c r="AE140" i="15" s="1"/>
  <c r="AD140" i="15" a="1"/>
  <c r="AD140" i="15" s="1"/>
  <c r="AC140" i="15" a="1"/>
  <c r="AC140" i="15" s="1"/>
  <c r="AB140" i="15" a="1"/>
  <c r="AB140" i="15" s="1"/>
  <c r="AA140" i="15" a="1"/>
  <c r="AA140" i="15" s="1"/>
  <c r="Z140" i="15" a="1"/>
  <c r="Z140" i="15" s="1"/>
  <c r="Y140" i="15" a="1"/>
  <c r="Y140" i="15" s="1"/>
  <c r="X140" i="15" a="1"/>
  <c r="X140" i="15" s="1"/>
  <c r="W140" i="15" a="1"/>
  <c r="W140" i="15" s="1"/>
  <c r="V140" i="15" a="1"/>
  <c r="V140" i="15" s="1"/>
  <c r="U140" i="15" a="1"/>
  <c r="U140" i="15" s="1"/>
  <c r="T140" i="15" a="1"/>
  <c r="T140" i="15" s="1"/>
  <c r="S140" i="15" a="1"/>
  <c r="S140" i="15" s="1"/>
  <c r="R140" i="15" a="1"/>
  <c r="R140" i="15" s="1"/>
  <c r="Q140" i="15" a="1"/>
  <c r="Q140" i="15" s="1"/>
  <c r="P140" i="15" a="1"/>
  <c r="P140" i="15" s="1"/>
  <c r="O140" i="15" a="1"/>
  <c r="O140" i="15" s="1"/>
  <c r="N140" i="15" a="1"/>
  <c r="N140" i="15" s="1"/>
  <c r="M140" i="15" a="1"/>
  <c r="M140" i="15" s="1"/>
  <c r="L140" i="15" a="1"/>
  <c r="L140" i="15" s="1"/>
  <c r="K140" i="15" a="1"/>
  <c r="K140" i="15" s="1"/>
  <c r="J140" i="15" a="1"/>
  <c r="J140" i="15" s="1"/>
  <c r="I140" i="15" a="1"/>
  <c r="I140" i="15" s="1"/>
  <c r="H140" i="15" a="1"/>
  <c r="H140" i="15" s="1"/>
  <c r="G140" i="15" a="1"/>
  <c r="G140" i="15" s="1"/>
  <c r="F140" i="15" a="1"/>
  <c r="F140" i="15" s="1"/>
  <c r="E140" i="15" a="1"/>
  <c r="E140" i="15" s="1"/>
  <c r="D140" i="15" a="1"/>
  <c r="D140" i="15" s="1"/>
  <c r="AE139" i="15" a="1"/>
  <c r="AE139" i="15" s="1"/>
  <c r="AD139" i="15" a="1"/>
  <c r="AD139" i="15" s="1"/>
  <c r="AC139" i="15" a="1"/>
  <c r="AC139" i="15" s="1"/>
  <c r="AB139" i="15" a="1"/>
  <c r="AB139" i="15" s="1"/>
  <c r="AA139" i="15" a="1"/>
  <c r="AA139" i="15" s="1"/>
  <c r="Z139" i="15" a="1"/>
  <c r="Z139" i="15" s="1"/>
  <c r="Y139" i="15" a="1"/>
  <c r="Y139" i="15" s="1"/>
  <c r="X139" i="15" a="1"/>
  <c r="X139" i="15" s="1"/>
  <c r="W139" i="15" a="1"/>
  <c r="W139" i="15" s="1"/>
  <c r="V139" i="15" a="1"/>
  <c r="V139" i="15" s="1"/>
  <c r="U139" i="15" a="1"/>
  <c r="U139" i="15" s="1"/>
  <c r="T139" i="15" a="1"/>
  <c r="T139" i="15" s="1"/>
  <c r="S139" i="15" a="1"/>
  <c r="S139" i="15" s="1"/>
  <c r="R139" i="15" a="1"/>
  <c r="R139" i="15" s="1"/>
  <c r="Q139" i="15" a="1"/>
  <c r="Q139" i="15" s="1"/>
  <c r="P139" i="15" a="1"/>
  <c r="P139" i="15" s="1"/>
  <c r="O139" i="15" a="1"/>
  <c r="O139" i="15" s="1"/>
  <c r="N139" i="15" a="1"/>
  <c r="N139" i="15" s="1"/>
  <c r="M139" i="15" a="1"/>
  <c r="M139" i="15" s="1"/>
  <c r="L139" i="15" a="1"/>
  <c r="L139" i="15" s="1"/>
  <c r="K139" i="15" a="1"/>
  <c r="K139" i="15" s="1"/>
  <c r="J139" i="15" a="1"/>
  <c r="J139" i="15" s="1"/>
  <c r="I139" i="15" a="1"/>
  <c r="I139" i="15" s="1"/>
  <c r="H139" i="15" a="1"/>
  <c r="H139" i="15" s="1"/>
  <c r="G139" i="15" a="1"/>
  <c r="G139" i="15" s="1"/>
  <c r="F139" i="15" a="1"/>
  <c r="F139" i="15" s="1"/>
  <c r="E139" i="15" a="1"/>
  <c r="E139" i="15" s="1"/>
  <c r="D139" i="15" a="1"/>
  <c r="D139" i="15" s="1"/>
  <c r="AE138" i="15" a="1"/>
  <c r="AE138" i="15" s="1"/>
  <c r="AD138" i="15" a="1"/>
  <c r="AD138" i="15" s="1"/>
  <c r="AC138" i="15" a="1"/>
  <c r="AC138" i="15" s="1"/>
  <c r="AB138" i="15" a="1"/>
  <c r="AB138" i="15" s="1"/>
  <c r="AA138" i="15" a="1"/>
  <c r="AA138" i="15" s="1"/>
  <c r="Z138" i="15" a="1"/>
  <c r="Z138" i="15" s="1"/>
  <c r="Y138" i="15" a="1"/>
  <c r="Y138" i="15" s="1"/>
  <c r="X138" i="15" a="1"/>
  <c r="X138" i="15" s="1"/>
  <c r="W138" i="15" a="1"/>
  <c r="W138" i="15" s="1"/>
  <c r="V138" i="15" a="1"/>
  <c r="V138" i="15" s="1"/>
  <c r="U138" i="15" a="1"/>
  <c r="U138" i="15" s="1"/>
  <c r="T138" i="15" a="1"/>
  <c r="T138" i="15" s="1"/>
  <c r="S138" i="15" a="1"/>
  <c r="S138" i="15" s="1"/>
  <c r="R138" i="15" a="1"/>
  <c r="R138" i="15" s="1"/>
  <c r="Q138" i="15" a="1"/>
  <c r="Q138" i="15" s="1"/>
  <c r="P138" i="15" a="1"/>
  <c r="P138" i="15" s="1"/>
  <c r="O138" i="15" a="1"/>
  <c r="O138" i="15" s="1"/>
  <c r="N138" i="15" a="1"/>
  <c r="N138" i="15" s="1"/>
  <c r="M138" i="15" a="1"/>
  <c r="M138" i="15" s="1"/>
  <c r="L138" i="15" a="1"/>
  <c r="L138" i="15" s="1"/>
  <c r="K138" i="15" a="1"/>
  <c r="K138" i="15" s="1"/>
  <c r="J138" i="15" a="1"/>
  <c r="J138" i="15" s="1"/>
  <c r="I138" i="15" a="1"/>
  <c r="I138" i="15" s="1"/>
  <c r="H138" i="15" a="1"/>
  <c r="H138" i="15" s="1"/>
  <c r="G138" i="15" a="1"/>
  <c r="G138" i="15" s="1"/>
  <c r="F138" i="15" a="1"/>
  <c r="F138" i="15" s="1"/>
  <c r="E138" i="15" a="1"/>
  <c r="E138" i="15" s="1"/>
  <c r="D138" i="15" a="1"/>
  <c r="D138" i="15" s="1"/>
  <c r="AE137" i="15" a="1"/>
  <c r="AE137" i="15" s="1"/>
  <c r="AD137" i="15" a="1"/>
  <c r="AD137" i="15" s="1"/>
  <c r="AC137" i="15" a="1"/>
  <c r="AC137" i="15" s="1"/>
  <c r="AB137" i="15" a="1"/>
  <c r="AB137" i="15" s="1"/>
  <c r="AA137" i="15" a="1"/>
  <c r="AA137" i="15" s="1"/>
  <c r="Z137" i="15" a="1"/>
  <c r="Z137" i="15" s="1"/>
  <c r="Y137" i="15" a="1"/>
  <c r="Y137" i="15" s="1"/>
  <c r="X137" i="15" a="1"/>
  <c r="X137" i="15" s="1"/>
  <c r="W137" i="15" a="1"/>
  <c r="W137" i="15" s="1"/>
  <c r="V137" i="15" a="1"/>
  <c r="V137" i="15" s="1"/>
  <c r="U137" i="15" a="1"/>
  <c r="U137" i="15" s="1"/>
  <c r="T137" i="15" a="1"/>
  <c r="T137" i="15" s="1"/>
  <c r="S137" i="15" a="1"/>
  <c r="S137" i="15" s="1"/>
  <c r="R137" i="15" a="1"/>
  <c r="R137" i="15" s="1"/>
  <c r="Q137" i="15" a="1"/>
  <c r="Q137" i="15" s="1"/>
  <c r="P137" i="15" a="1"/>
  <c r="P137" i="15" s="1"/>
  <c r="O137" i="15" a="1"/>
  <c r="O137" i="15" s="1"/>
  <c r="N137" i="15" a="1"/>
  <c r="N137" i="15" s="1"/>
  <c r="M137" i="15" a="1"/>
  <c r="M137" i="15" s="1"/>
  <c r="L137" i="15" a="1"/>
  <c r="L137" i="15" s="1"/>
  <c r="K137" i="15" a="1"/>
  <c r="K137" i="15" s="1"/>
  <c r="J137" i="15" a="1"/>
  <c r="J137" i="15" s="1"/>
  <c r="I137" i="15" a="1"/>
  <c r="I137" i="15" s="1"/>
  <c r="H137" i="15" a="1"/>
  <c r="H137" i="15" s="1"/>
  <c r="G137" i="15" a="1"/>
  <c r="G137" i="15" s="1"/>
  <c r="F137" i="15" a="1"/>
  <c r="F137" i="15" s="1"/>
  <c r="E137" i="15" a="1"/>
  <c r="E137" i="15" s="1"/>
  <c r="D137" i="15" a="1"/>
  <c r="D137" i="15" s="1"/>
  <c r="AE136" i="15" a="1"/>
  <c r="AE136" i="15" s="1"/>
  <c r="AD136" i="15" a="1"/>
  <c r="AD136" i="15" s="1"/>
  <c r="AC136" i="15" a="1"/>
  <c r="AC136" i="15" s="1"/>
  <c r="AB136" i="15" a="1"/>
  <c r="AB136" i="15" s="1"/>
  <c r="AA136" i="15" a="1"/>
  <c r="AA136" i="15" s="1"/>
  <c r="Z136" i="15" a="1"/>
  <c r="Z136" i="15" s="1"/>
  <c r="Y136" i="15" a="1"/>
  <c r="Y136" i="15" s="1"/>
  <c r="X136" i="15" a="1"/>
  <c r="X136" i="15" s="1"/>
  <c r="W136" i="15" a="1"/>
  <c r="W136" i="15" s="1"/>
  <c r="V136" i="15" a="1"/>
  <c r="V136" i="15" s="1"/>
  <c r="U136" i="15" a="1"/>
  <c r="U136" i="15" s="1"/>
  <c r="T136" i="15" a="1"/>
  <c r="T136" i="15" s="1"/>
  <c r="S136" i="15" a="1"/>
  <c r="S136" i="15" s="1"/>
  <c r="R136" i="15" a="1"/>
  <c r="R136" i="15" s="1"/>
  <c r="Q136" i="15" a="1"/>
  <c r="Q136" i="15" s="1"/>
  <c r="P136" i="15" a="1"/>
  <c r="P136" i="15" s="1"/>
  <c r="O136" i="15" a="1"/>
  <c r="O136" i="15" s="1"/>
  <c r="N136" i="15" a="1"/>
  <c r="N136" i="15" s="1"/>
  <c r="M136" i="15" a="1"/>
  <c r="M136" i="15" s="1"/>
  <c r="L136" i="15" a="1"/>
  <c r="L136" i="15" s="1"/>
  <c r="K136" i="15" a="1"/>
  <c r="K136" i="15" s="1"/>
  <c r="J136" i="15" a="1"/>
  <c r="J136" i="15" s="1"/>
  <c r="I136" i="15" a="1"/>
  <c r="I136" i="15" s="1"/>
  <c r="H136" i="15" a="1"/>
  <c r="H136" i="15" s="1"/>
  <c r="G136" i="15" a="1"/>
  <c r="G136" i="15" s="1"/>
  <c r="F136" i="15" a="1"/>
  <c r="F136" i="15" s="1"/>
  <c r="E136" i="15" a="1"/>
  <c r="E136" i="15" s="1"/>
  <c r="D136" i="15" a="1"/>
  <c r="D136" i="15" s="1"/>
  <c r="AE135" i="15" a="1"/>
  <c r="AE135" i="15" s="1"/>
  <c r="AD135" i="15" a="1"/>
  <c r="AD135" i="15" s="1"/>
  <c r="AC135" i="15" a="1"/>
  <c r="AC135" i="15" s="1"/>
  <c r="AB135" i="15" a="1"/>
  <c r="AB135" i="15" s="1"/>
  <c r="AA135" i="15" a="1"/>
  <c r="AA135" i="15" s="1"/>
  <c r="Z135" i="15" a="1"/>
  <c r="Z135" i="15" s="1"/>
  <c r="Y135" i="15" a="1"/>
  <c r="Y135" i="15" s="1"/>
  <c r="X135" i="15" a="1"/>
  <c r="X135" i="15" s="1"/>
  <c r="W135" i="15" a="1"/>
  <c r="W135" i="15" s="1"/>
  <c r="V135" i="15" a="1"/>
  <c r="V135" i="15" s="1"/>
  <c r="U135" i="15" a="1"/>
  <c r="U135" i="15" s="1"/>
  <c r="T135" i="15" a="1"/>
  <c r="T135" i="15" s="1"/>
  <c r="S135" i="15" a="1"/>
  <c r="S135" i="15" s="1"/>
  <c r="R135" i="15" a="1"/>
  <c r="R135" i="15" s="1"/>
  <c r="Q135" i="15" a="1"/>
  <c r="Q135" i="15" s="1"/>
  <c r="P135" i="15" a="1"/>
  <c r="P135" i="15" s="1"/>
  <c r="O135" i="15" a="1"/>
  <c r="O135" i="15" s="1"/>
  <c r="N135" i="15" a="1"/>
  <c r="N135" i="15" s="1"/>
  <c r="M135" i="15" a="1"/>
  <c r="M135" i="15" s="1"/>
  <c r="L135" i="15" a="1"/>
  <c r="L135" i="15" s="1"/>
  <c r="K135" i="15" a="1"/>
  <c r="K135" i="15" s="1"/>
  <c r="J135" i="15" a="1"/>
  <c r="J135" i="15" s="1"/>
  <c r="I135" i="15" a="1"/>
  <c r="I135" i="15" s="1"/>
  <c r="H135" i="15" a="1"/>
  <c r="H135" i="15" s="1"/>
  <c r="G135" i="15" a="1"/>
  <c r="G135" i="15" s="1"/>
  <c r="F135" i="15" a="1"/>
  <c r="F135" i="15" s="1"/>
  <c r="E135" i="15" a="1"/>
  <c r="E135" i="15" s="1"/>
  <c r="D135" i="15" a="1"/>
  <c r="D135" i="15" s="1"/>
  <c r="AE134" i="15" a="1"/>
  <c r="AE134" i="15" s="1"/>
  <c r="AD134" i="15" a="1"/>
  <c r="AD134" i="15" s="1"/>
  <c r="AC134" i="15" a="1"/>
  <c r="AC134" i="15" s="1"/>
  <c r="AB134" i="15" a="1"/>
  <c r="AB134" i="15" s="1"/>
  <c r="AA134" i="15" a="1"/>
  <c r="AA134" i="15" s="1"/>
  <c r="Z134" i="15" a="1"/>
  <c r="Z134" i="15" s="1"/>
  <c r="Y134" i="15" a="1"/>
  <c r="Y134" i="15" s="1"/>
  <c r="X134" i="15" a="1"/>
  <c r="X134" i="15" s="1"/>
  <c r="W134" i="15" a="1"/>
  <c r="W134" i="15" s="1"/>
  <c r="V134" i="15" a="1"/>
  <c r="V134" i="15" s="1"/>
  <c r="U134" i="15" a="1"/>
  <c r="U134" i="15" s="1"/>
  <c r="T134" i="15" a="1"/>
  <c r="T134" i="15" s="1"/>
  <c r="S134" i="15" a="1"/>
  <c r="S134" i="15" s="1"/>
  <c r="R134" i="15" a="1"/>
  <c r="R134" i="15" s="1"/>
  <c r="Q134" i="15" a="1"/>
  <c r="Q134" i="15" s="1"/>
  <c r="P134" i="15" a="1"/>
  <c r="P134" i="15" s="1"/>
  <c r="O134" i="15" a="1"/>
  <c r="O134" i="15" s="1"/>
  <c r="N134" i="15" a="1"/>
  <c r="N134" i="15" s="1"/>
  <c r="M134" i="15" a="1"/>
  <c r="M134" i="15" s="1"/>
  <c r="L134" i="15" a="1"/>
  <c r="L134" i="15" s="1"/>
  <c r="K134" i="15" a="1"/>
  <c r="K134" i="15" s="1"/>
  <c r="J134" i="15" a="1"/>
  <c r="J134" i="15" s="1"/>
  <c r="I134" i="15" a="1"/>
  <c r="I134" i="15" s="1"/>
  <c r="H134" i="15" a="1"/>
  <c r="H134" i="15" s="1"/>
  <c r="G134" i="15" a="1"/>
  <c r="G134" i="15" s="1"/>
  <c r="F134" i="15" a="1"/>
  <c r="F134" i="15" s="1"/>
  <c r="E134" i="15" a="1"/>
  <c r="E134" i="15" s="1"/>
  <c r="D134" i="15" a="1"/>
  <c r="D134" i="15" s="1"/>
  <c r="AE133" i="15" a="1"/>
  <c r="AE133" i="15" s="1"/>
  <c r="AD133" i="15" a="1"/>
  <c r="AD133" i="15" s="1"/>
  <c r="AC133" i="15" a="1"/>
  <c r="AC133" i="15" s="1"/>
  <c r="AB133" i="15" a="1"/>
  <c r="AB133" i="15" s="1"/>
  <c r="AA133" i="15" a="1"/>
  <c r="AA133" i="15" s="1"/>
  <c r="Z133" i="15" a="1"/>
  <c r="Z133" i="15" s="1"/>
  <c r="Y133" i="15" a="1"/>
  <c r="Y133" i="15" s="1"/>
  <c r="X133" i="15" a="1"/>
  <c r="X133" i="15" s="1"/>
  <c r="W133" i="15" a="1"/>
  <c r="W133" i="15" s="1"/>
  <c r="V133" i="15" a="1"/>
  <c r="V133" i="15" s="1"/>
  <c r="U133" i="15" a="1"/>
  <c r="U133" i="15" s="1"/>
  <c r="T133" i="15" a="1"/>
  <c r="T133" i="15" s="1"/>
  <c r="S133" i="15" a="1"/>
  <c r="S133" i="15" s="1"/>
  <c r="R133" i="15" a="1"/>
  <c r="R133" i="15" s="1"/>
  <c r="Q133" i="15" a="1"/>
  <c r="Q133" i="15" s="1"/>
  <c r="P133" i="15" a="1"/>
  <c r="P133" i="15" s="1"/>
  <c r="O133" i="15" a="1"/>
  <c r="O133" i="15" s="1"/>
  <c r="N133" i="15" a="1"/>
  <c r="N133" i="15" s="1"/>
  <c r="M133" i="15" a="1"/>
  <c r="M133" i="15" s="1"/>
  <c r="L133" i="15" a="1"/>
  <c r="L133" i="15" s="1"/>
  <c r="K133" i="15" a="1"/>
  <c r="K133" i="15" s="1"/>
  <c r="J133" i="15" a="1"/>
  <c r="J133" i="15" s="1"/>
  <c r="I133" i="15" a="1"/>
  <c r="I133" i="15" s="1"/>
  <c r="H133" i="15" a="1"/>
  <c r="H133" i="15" s="1"/>
  <c r="G133" i="15" a="1"/>
  <c r="G133" i="15" s="1"/>
  <c r="F133" i="15" a="1"/>
  <c r="F133" i="15" s="1"/>
  <c r="E133" i="15" a="1"/>
  <c r="E133" i="15" s="1"/>
  <c r="D133" i="15" a="1"/>
  <c r="D133" i="15" s="1"/>
  <c r="AE132" i="15" a="1"/>
  <c r="AE132" i="15" s="1"/>
  <c r="AD132" i="15" a="1"/>
  <c r="AD132" i="15" s="1"/>
  <c r="AC132" i="15" a="1"/>
  <c r="AC132" i="15" s="1"/>
  <c r="AB132" i="15" a="1"/>
  <c r="AB132" i="15" s="1"/>
  <c r="AA132" i="15" a="1"/>
  <c r="AA132" i="15" s="1"/>
  <c r="Z132" i="15" a="1"/>
  <c r="Z132" i="15" s="1"/>
  <c r="Y132" i="15" a="1"/>
  <c r="Y132" i="15" s="1"/>
  <c r="X132" i="15" a="1"/>
  <c r="X132" i="15" s="1"/>
  <c r="W132" i="15" a="1"/>
  <c r="W132" i="15" s="1"/>
  <c r="V132" i="15" a="1"/>
  <c r="V132" i="15" s="1"/>
  <c r="U132" i="15" a="1"/>
  <c r="U132" i="15" s="1"/>
  <c r="T132" i="15" a="1"/>
  <c r="T132" i="15" s="1"/>
  <c r="S132" i="15" a="1"/>
  <c r="S132" i="15" s="1"/>
  <c r="R132" i="15" a="1"/>
  <c r="R132" i="15" s="1"/>
  <c r="Q132" i="15" a="1"/>
  <c r="Q132" i="15" s="1"/>
  <c r="P132" i="15" a="1"/>
  <c r="P132" i="15" s="1"/>
  <c r="O132" i="15" a="1"/>
  <c r="O132" i="15" s="1"/>
  <c r="N132" i="15" a="1"/>
  <c r="N132" i="15" s="1"/>
  <c r="M132" i="15" a="1"/>
  <c r="M132" i="15" s="1"/>
  <c r="L132" i="15" a="1"/>
  <c r="L132" i="15" s="1"/>
  <c r="K132" i="15" a="1"/>
  <c r="K132" i="15" s="1"/>
  <c r="J132" i="15" a="1"/>
  <c r="J132" i="15" s="1"/>
  <c r="I132" i="15" a="1"/>
  <c r="I132" i="15" s="1"/>
  <c r="H132" i="15" a="1"/>
  <c r="H132" i="15" s="1"/>
  <c r="G132" i="15" a="1"/>
  <c r="G132" i="15" s="1"/>
  <c r="F132" i="15" a="1"/>
  <c r="F132" i="15" s="1"/>
  <c r="E132" i="15" a="1"/>
  <c r="E132" i="15" s="1"/>
  <c r="D132" i="15" a="1"/>
  <c r="D132" i="15" s="1"/>
  <c r="AE131" i="15" a="1"/>
  <c r="AE131" i="15" s="1"/>
  <c r="AD131" i="15" a="1"/>
  <c r="AD131" i="15" s="1"/>
  <c r="AC131" i="15" a="1"/>
  <c r="AC131" i="15" s="1"/>
  <c r="AB131" i="15" a="1"/>
  <c r="AB131" i="15" s="1"/>
  <c r="AA131" i="15" a="1"/>
  <c r="AA131" i="15" s="1"/>
  <c r="Z131" i="15" a="1"/>
  <c r="Z131" i="15" s="1"/>
  <c r="Y131" i="15" a="1"/>
  <c r="Y131" i="15" s="1"/>
  <c r="X131" i="15" a="1"/>
  <c r="X131" i="15" s="1"/>
  <c r="W131" i="15" a="1"/>
  <c r="W131" i="15" s="1"/>
  <c r="V131" i="15" a="1"/>
  <c r="V131" i="15" s="1"/>
  <c r="U131" i="15" a="1"/>
  <c r="U131" i="15" s="1"/>
  <c r="T131" i="15" a="1"/>
  <c r="T131" i="15" s="1"/>
  <c r="S131" i="15" a="1"/>
  <c r="S131" i="15" s="1"/>
  <c r="R131" i="15" a="1"/>
  <c r="R131" i="15" s="1"/>
  <c r="Q131" i="15" a="1"/>
  <c r="Q131" i="15" s="1"/>
  <c r="P131" i="15" a="1"/>
  <c r="P131" i="15" s="1"/>
  <c r="O131" i="15" a="1"/>
  <c r="O131" i="15" s="1"/>
  <c r="N131" i="15" a="1"/>
  <c r="N131" i="15" s="1"/>
  <c r="M131" i="15" a="1"/>
  <c r="M131" i="15" s="1"/>
  <c r="L131" i="15" a="1"/>
  <c r="L131" i="15" s="1"/>
  <c r="K131" i="15" a="1"/>
  <c r="K131" i="15" s="1"/>
  <c r="J131" i="15" a="1"/>
  <c r="J131" i="15" s="1"/>
  <c r="I131" i="15" a="1"/>
  <c r="I131" i="15" s="1"/>
  <c r="H131" i="15" a="1"/>
  <c r="H131" i="15" s="1"/>
  <c r="G131" i="15" a="1"/>
  <c r="G131" i="15" s="1"/>
  <c r="F131" i="15" a="1"/>
  <c r="F131" i="15" s="1"/>
  <c r="E131" i="15" a="1"/>
  <c r="E131" i="15" s="1"/>
  <c r="D131" i="15" a="1"/>
  <c r="D131" i="15" s="1"/>
  <c r="AE130" i="15" a="1"/>
  <c r="AE130" i="15" s="1"/>
  <c r="AD130" i="15" a="1"/>
  <c r="AD130" i="15" s="1"/>
  <c r="AC130" i="15" a="1"/>
  <c r="AC130" i="15" s="1"/>
  <c r="AB130" i="15" a="1"/>
  <c r="AB130" i="15" s="1"/>
  <c r="AA130" i="15" a="1"/>
  <c r="AA130" i="15" s="1"/>
  <c r="Z130" i="15" a="1"/>
  <c r="Z130" i="15" s="1"/>
  <c r="Y130" i="15" a="1"/>
  <c r="Y130" i="15" s="1"/>
  <c r="X130" i="15" a="1"/>
  <c r="X130" i="15" s="1"/>
  <c r="W130" i="15" a="1"/>
  <c r="W130" i="15" s="1"/>
  <c r="V130" i="15" a="1"/>
  <c r="V130" i="15" s="1"/>
  <c r="U130" i="15" a="1"/>
  <c r="U130" i="15" s="1"/>
  <c r="T130" i="15" a="1"/>
  <c r="T130" i="15" s="1"/>
  <c r="S130" i="15" a="1"/>
  <c r="S130" i="15" s="1"/>
  <c r="R130" i="15" a="1"/>
  <c r="R130" i="15" s="1"/>
  <c r="Q130" i="15" a="1"/>
  <c r="Q130" i="15" s="1"/>
  <c r="P130" i="15" a="1"/>
  <c r="P130" i="15" s="1"/>
  <c r="O130" i="15" a="1"/>
  <c r="O130" i="15" s="1"/>
  <c r="N130" i="15" a="1"/>
  <c r="N130" i="15" s="1"/>
  <c r="M130" i="15" a="1"/>
  <c r="M130" i="15" s="1"/>
  <c r="L130" i="15" a="1"/>
  <c r="L130" i="15" s="1"/>
  <c r="K130" i="15" a="1"/>
  <c r="K130" i="15" s="1"/>
  <c r="J130" i="15" a="1"/>
  <c r="J130" i="15" s="1"/>
  <c r="I130" i="15" a="1"/>
  <c r="I130" i="15" s="1"/>
  <c r="H130" i="15" a="1"/>
  <c r="H130" i="15" s="1"/>
  <c r="G130" i="15" a="1"/>
  <c r="G130" i="15" s="1"/>
  <c r="F130" i="15" a="1"/>
  <c r="F130" i="15" s="1"/>
  <c r="E130" i="15" a="1"/>
  <c r="E130" i="15" s="1"/>
  <c r="D130" i="15" a="1"/>
  <c r="D130" i="15" s="1"/>
  <c r="AE129" i="15" a="1"/>
  <c r="AE129" i="15" s="1"/>
  <c r="AD129" i="15" a="1"/>
  <c r="AD129" i="15" s="1"/>
  <c r="AC129" i="15" a="1"/>
  <c r="AC129" i="15" s="1"/>
  <c r="AB129" i="15" a="1"/>
  <c r="AB129" i="15" s="1"/>
  <c r="AA129" i="15" a="1"/>
  <c r="AA129" i="15" s="1"/>
  <c r="Z129" i="15" a="1"/>
  <c r="Z129" i="15" s="1"/>
  <c r="Y129" i="15" a="1"/>
  <c r="Y129" i="15" s="1"/>
  <c r="X129" i="15" a="1"/>
  <c r="X129" i="15" s="1"/>
  <c r="W129" i="15" a="1"/>
  <c r="W129" i="15" s="1"/>
  <c r="V129" i="15" a="1"/>
  <c r="V129" i="15" s="1"/>
  <c r="U129" i="15" a="1"/>
  <c r="U129" i="15" s="1"/>
  <c r="T129" i="15" a="1"/>
  <c r="T129" i="15" s="1"/>
  <c r="S129" i="15" a="1"/>
  <c r="S129" i="15" s="1"/>
  <c r="R129" i="15" a="1"/>
  <c r="R129" i="15" s="1"/>
  <c r="Q129" i="15" a="1"/>
  <c r="Q129" i="15" s="1"/>
  <c r="P129" i="15" a="1"/>
  <c r="P129" i="15" s="1"/>
  <c r="O129" i="15" a="1"/>
  <c r="O129" i="15" s="1"/>
  <c r="N129" i="15" a="1"/>
  <c r="N129" i="15" s="1"/>
  <c r="M129" i="15" a="1"/>
  <c r="M129" i="15" s="1"/>
  <c r="L129" i="15" a="1"/>
  <c r="L129" i="15" s="1"/>
  <c r="K129" i="15" a="1"/>
  <c r="K129" i="15" s="1"/>
  <c r="J129" i="15" a="1"/>
  <c r="J129" i="15" s="1"/>
  <c r="I129" i="15" a="1"/>
  <c r="I129" i="15" s="1"/>
  <c r="H129" i="15" a="1"/>
  <c r="H129" i="15" s="1"/>
  <c r="G129" i="15" a="1"/>
  <c r="G129" i="15" s="1"/>
  <c r="F129" i="15" a="1"/>
  <c r="F129" i="15" s="1"/>
  <c r="E129" i="15" a="1"/>
  <c r="E129" i="15" s="1"/>
  <c r="D129" i="15" a="1"/>
  <c r="D129" i="15" s="1"/>
  <c r="AE128" i="15" a="1"/>
  <c r="AE128" i="15" s="1"/>
  <c r="AD128" i="15" a="1"/>
  <c r="AD128" i="15" s="1"/>
  <c r="AC128" i="15" a="1"/>
  <c r="AC128" i="15" s="1"/>
  <c r="AB128" i="15" a="1"/>
  <c r="AB128" i="15" s="1"/>
  <c r="AA128" i="15" a="1"/>
  <c r="AA128" i="15" s="1"/>
  <c r="Z128" i="15" a="1"/>
  <c r="Z128" i="15" s="1"/>
  <c r="Y128" i="15" a="1"/>
  <c r="Y128" i="15" s="1"/>
  <c r="X128" i="15" a="1"/>
  <c r="X128" i="15" s="1"/>
  <c r="W128" i="15" a="1"/>
  <c r="W128" i="15" s="1"/>
  <c r="V128" i="15" a="1"/>
  <c r="V128" i="15" s="1"/>
  <c r="U128" i="15" a="1"/>
  <c r="U128" i="15" s="1"/>
  <c r="T128" i="15" a="1"/>
  <c r="T128" i="15" s="1"/>
  <c r="S128" i="15" a="1"/>
  <c r="S128" i="15" s="1"/>
  <c r="R128" i="15" a="1"/>
  <c r="R128" i="15" s="1"/>
  <c r="Q128" i="15" a="1"/>
  <c r="Q128" i="15" s="1"/>
  <c r="P128" i="15" a="1"/>
  <c r="P128" i="15" s="1"/>
  <c r="O128" i="15" a="1"/>
  <c r="O128" i="15" s="1"/>
  <c r="N128" i="15" a="1"/>
  <c r="N128" i="15" s="1"/>
  <c r="M128" i="15" a="1"/>
  <c r="M128" i="15" s="1"/>
  <c r="L128" i="15" a="1"/>
  <c r="L128" i="15" s="1"/>
  <c r="K128" i="15" a="1"/>
  <c r="K128" i="15" s="1"/>
  <c r="J128" i="15" a="1"/>
  <c r="J128" i="15" s="1"/>
  <c r="I128" i="15" a="1"/>
  <c r="I128" i="15" s="1"/>
  <c r="H128" i="15" a="1"/>
  <c r="H128" i="15" s="1"/>
  <c r="G128" i="15" a="1"/>
  <c r="G128" i="15" s="1"/>
  <c r="F128" i="15" a="1"/>
  <c r="F128" i="15" s="1"/>
  <c r="E128" i="15" a="1"/>
  <c r="E128" i="15" s="1"/>
  <c r="D128" i="15" a="1"/>
  <c r="D128" i="15" s="1"/>
  <c r="AE127" i="15" a="1"/>
  <c r="AE127" i="15" s="1"/>
  <c r="AD127" i="15" a="1"/>
  <c r="AD127" i="15" s="1"/>
  <c r="AC127" i="15" a="1"/>
  <c r="AC127" i="15" s="1"/>
  <c r="AB127" i="15" a="1"/>
  <c r="AB127" i="15" s="1"/>
  <c r="AA127" i="15" a="1"/>
  <c r="AA127" i="15" s="1"/>
  <c r="Z127" i="15" a="1"/>
  <c r="Z127" i="15" s="1"/>
  <c r="Y127" i="15" a="1"/>
  <c r="Y127" i="15" s="1"/>
  <c r="X127" i="15" a="1"/>
  <c r="X127" i="15" s="1"/>
  <c r="W127" i="15" a="1"/>
  <c r="W127" i="15" s="1"/>
  <c r="V127" i="15" a="1"/>
  <c r="V127" i="15" s="1"/>
  <c r="U127" i="15" a="1"/>
  <c r="U127" i="15" s="1"/>
  <c r="T127" i="15" a="1"/>
  <c r="T127" i="15" s="1"/>
  <c r="S127" i="15" a="1"/>
  <c r="S127" i="15" s="1"/>
  <c r="R127" i="15" a="1"/>
  <c r="R127" i="15" s="1"/>
  <c r="Q127" i="15" a="1"/>
  <c r="Q127" i="15" s="1"/>
  <c r="P127" i="15" a="1"/>
  <c r="P127" i="15" s="1"/>
  <c r="O127" i="15" a="1"/>
  <c r="O127" i="15" s="1"/>
  <c r="N127" i="15" a="1"/>
  <c r="N127" i="15" s="1"/>
  <c r="M127" i="15" a="1"/>
  <c r="M127" i="15" s="1"/>
  <c r="L127" i="15" a="1"/>
  <c r="L127" i="15" s="1"/>
  <c r="K127" i="15" a="1"/>
  <c r="K127" i="15" s="1"/>
  <c r="J127" i="15" a="1"/>
  <c r="J127" i="15" s="1"/>
  <c r="I127" i="15" a="1"/>
  <c r="I127" i="15" s="1"/>
  <c r="H127" i="15" a="1"/>
  <c r="H127" i="15" s="1"/>
  <c r="G127" i="15" a="1"/>
  <c r="G127" i="15" s="1"/>
  <c r="F127" i="15" a="1"/>
  <c r="F127" i="15" s="1"/>
  <c r="E127" i="15" a="1"/>
  <c r="E127" i="15" s="1"/>
  <c r="D127" i="15" a="1"/>
  <c r="D127" i="15" s="1"/>
  <c r="AE126" i="15" a="1"/>
  <c r="AE126" i="15" s="1"/>
  <c r="AD126" i="15" a="1"/>
  <c r="AD126" i="15" s="1"/>
  <c r="AC126" i="15" a="1"/>
  <c r="AC126" i="15" s="1"/>
  <c r="AB126" i="15" a="1"/>
  <c r="AB126" i="15" s="1"/>
  <c r="AA126" i="15" a="1"/>
  <c r="AA126" i="15" s="1"/>
  <c r="Z126" i="15" a="1"/>
  <c r="Z126" i="15" s="1"/>
  <c r="Y126" i="15" a="1"/>
  <c r="Y126" i="15" s="1"/>
  <c r="X126" i="15" a="1"/>
  <c r="X126" i="15" s="1"/>
  <c r="W126" i="15" a="1"/>
  <c r="W126" i="15" s="1"/>
  <c r="V126" i="15" a="1"/>
  <c r="V126" i="15" s="1"/>
  <c r="U126" i="15" a="1"/>
  <c r="U126" i="15" s="1"/>
  <c r="T126" i="15" a="1"/>
  <c r="T126" i="15" s="1"/>
  <c r="S126" i="15" a="1"/>
  <c r="S126" i="15" s="1"/>
  <c r="R126" i="15" a="1"/>
  <c r="R126" i="15" s="1"/>
  <c r="Q126" i="15" a="1"/>
  <c r="Q126" i="15" s="1"/>
  <c r="P126" i="15" a="1"/>
  <c r="P126" i="15" s="1"/>
  <c r="O126" i="15" a="1"/>
  <c r="O126" i="15" s="1"/>
  <c r="N126" i="15" a="1"/>
  <c r="N126" i="15" s="1"/>
  <c r="M126" i="15" a="1"/>
  <c r="M126" i="15" s="1"/>
  <c r="L126" i="15" a="1"/>
  <c r="L126" i="15" s="1"/>
  <c r="K126" i="15" a="1"/>
  <c r="K126" i="15" s="1"/>
  <c r="J126" i="15" a="1"/>
  <c r="J126" i="15" s="1"/>
  <c r="I126" i="15" a="1"/>
  <c r="I126" i="15" s="1"/>
  <c r="H126" i="15" a="1"/>
  <c r="H126" i="15" s="1"/>
  <c r="G126" i="15" a="1"/>
  <c r="G126" i="15" s="1"/>
  <c r="F126" i="15" a="1"/>
  <c r="F126" i="15" s="1"/>
  <c r="E126" i="15" a="1"/>
  <c r="E126" i="15" s="1"/>
  <c r="D126" i="15" a="1"/>
  <c r="D126" i="15" s="1"/>
  <c r="AE125" i="15" a="1"/>
  <c r="AE125" i="15" s="1"/>
  <c r="AD125" i="15" a="1"/>
  <c r="AD125" i="15" s="1"/>
  <c r="AC125" i="15" a="1"/>
  <c r="AC125" i="15" s="1"/>
  <c r="AB125" i="15" a="1"/>
  <c r="AB125" i="15" s="1"/>
  <c r="AA125" i="15" a="1"/>
  <c r="AA125" i="15" s="1"/>
  <c r="Z125" i="15" a="1"/>
  <c r="Z125" i="15" s="1"/>
  <c r="Y125" i="15" a="1"/>
  <c r="Y125" i="15" s="1"/>
  <c r="X125" i="15" a="1"/>
  <c r="X125" i="15" s="1"/>
  <c r="W125" i="15" a="1"/>
  <c r="W125" i="15" s="1"/>
  <c r="V125" i="15" a="1"/>
  <c r="V125" i="15" s="1"/>
  <c r="U125" i="15" a="1"/>
  <c r="U125" i="15" s="1"/>
  <c r="T125" i="15" a="1"/>
  <c r="T125" i="15" s="1"/>
  <c r="S125" i="15" a="1"/>
  <c r="S125" i="15" s="1"/>
  <c r="R125" i="15" a="1"/>
  <c r="R125" i="15" s="1"/>
  <c r="Q125" i="15" a="1"/>
  <c r="Q125" i="15" s="1"/>
  <c r="P125" i="15" a="1"/>
  <c r="P125" i="15" s="1"/>
  <c r="O125" i="15" a="1"/>
  <c r="O125" i="15" s="1"/>
  <c r="N125" i="15" a="1"/>
  <c r="N125" i="15" s="1"/>
  <c r="M125" i="15" a="1"/>
  <c r="M125" i="15" s="1"/>
  <c r="L125" i="15" a="1"/>
  <c r="L125" i="15" s="1"/>
  <c r="K125" i="15" a="1"/>
  <c r="K125" i="15" s="1"/>
  <c r="J125" i="15" a="1"/>
  <c r="J125" i="15" s="1"/>
  <c r="I125" i="15" a="1"/>
  <c r="I125" i="15" s="1"/>
  <c r="H125" i="15" a="1"/>
  <c r="H125" i="15" s="1"/>
  <c r="G125" i="15" a="1"/>
  <c r="G125" i="15" s="1"/>
  <c r="F125" i="15" a="1"/>
  <c r="F125" i="15" s="1"/>
  <c r="E125" i="15" a="1"/>
  <c r="E125" i="15" s="1"/>
  <c r="D125" i="15" a="1"/>
  <c r="D125" i="15" s="1"/>
  <c r="AE124" i="15" a="1"/>
  <c r="AE124" i="15" s="1"/>
  <c r="AD124" i="15" a="1"/>
  <c r="AD124" i="15" s="1"/>
  <c r="AC124" i="15" a="1"/>
  <c r="AC124" i="15" s="1"/>
  <c r="AB124" i="15" a="1"/>
  <c r="AB124" i="15" s="1"/>
  <c r="AA124" i="15" a="1"/>
  <c r="AA124" i="15" s="1"/>
  <c r="Z124" i="15" a="1"/>
  <c r="Z124" i="15" s="1"/>
  <c r="Y124" i="15" a="1"/>
  <c r="Y124" i="15" s="1"/>
  <c r="X124" i="15" a="1"/>
  <c r="X124" i="15" s="1"/>
  <c r="W124" i="15" a="1"/>
  <c r="W124" i="15" s="1"/>
  <c r="V124" i="15" a="1"/>
  <c r="V124" i="15" s="1"/>
  <c r="U124" i="15" a="1"/>
  <c r="U124" i="15" s="1"/>
  <c r="T124" i="15" a="1"/>
  <c r="T124" i="15" s="1"/>
  <c r="S124" i="15" a="1"/>
  <c r="S124" i="15" s="1"/>
  <c r="R124" i="15" a="1"/>
  <c r="R124" i="15" s="1"/>
  <c r="Q124" i="15" a="1"/>
  <c r="Q124" i="15" s="1"/>
  <c r="P124" i="15" a="1"/>
  <c r="P124" i="15" s="1"/>
  <c r="O124" i="15" a="1"/>
  <c r="O124" i="15" s="1"/>
  <c r="N124" i="15" a="1"/>
  <c r="N124" i="15" s="1"/>
  <c r="M124" i="15" a="1"/>
  <c r="M124" i="15" s="1"/>
  <c r="L124" i="15" a="1"/>
  <c r="L124" i="15" s="1"/>
  <c r="K124" i="15" a="1"/>
  <c r="K124" i="15" s="1"/>
  <c r="J124" i="15" a="1"/>
  <c r="J124" i="15" s="1"/>
  <c r="I124" i="15" a="1"/>
  <c r="I124" i="15" s="1"/>
  <c r="H124" i="15" a="1"/>
  <c r="H124" i="15" s="1"/>
  <c r="G124" i="15" a="1"/>
  <c r="G124" i="15" s="1"/>
  <c r="F124" i="15" a="1"/>
  <c r="F124" i="15" s="1"/>
  <c r="E124" i="15" a="1"/>
  <c r="E124" i="15" s="1"/>
  <c r="D124" i="15" a="1"/>
  <c r="D124" i="15" s="1"/>
  <c r="AE123" i="15" a="1"/>
  <c r="AE123" i="15" s="1"/>
  <c r="AD123" i="15" a="1"/>
  <c r="AD123" i="15" s="1"/>
  <c r="AC123" i="15" a="1"/>
  <c r="AC123" i="15" s="1"/>
  <c r="AB123" i="15" a="1"/>
  <c r="AB123" i="15" s="1"/>
  <c r="AA123" i="15" a="1"/>
  <c r="AA123" i="15" s="1"/>
  <c r="Z123" i="15" a="1"/>
  <c r="Z123" i="15" s="1"/>
  <c r="Y123" i="15" a="1"/>
  <c r="Y123" i="15" s="1"/>
  <c r="X123" i="15" a="1"/>
  <c r="X123" i="15" s="1"/>
  <c r="W123" i="15" a="1"/>
  <c r="W123" i="15" s="1"/>
  <c r="V123" i="15" a="1"/>
  <c r="V123" i="15" s="1"/>
  <c r="U123" i="15" a="1"/>
  <c r="U123" i="15" s="1"/>
  <c r="T123" i="15" a="1"/>
  <c r="T123" i="15" s="1"/>
  <c r="S123" i="15" a="1"/>
  <c r="S123" i="15" s="1"/>
  <c r="R123" i="15" a="1"/>
  <c r="R123" i="15" s="1"/>
  <c r="Q123" i="15" a="1"/>
  <c r="Q123" i="15" s="1"/>
  <c r="P123" i="15" a="1"/>
  <c r="P123" i="15" s="1"/>
  <c r="O123" i="15" a="1"/>
  <c r="O123" i="15" s="1"/>
  <c r="N123" i="15" a="1"/>
  <c r="N123" i="15" s="1"/>
  <c r="M123" i="15" a="1"/>
  <c r="M123" i="15" s="1"/>
  <c r="L123" i="15" a="1"/>
  <c r="L123" i="15" s="1"/>
  <c r="K123" i="15" a="1"/>
  <c r="K123" i="15" s="1"/>
  <c r="J123" i="15" a="1"/>
  <c r="J123" i="15" s="1"/>
  <c r="I123" i="15" a="1"/>
  <c r="I123" i="15" s="1"/>
  <c r="H123" i="15" a="1"/>
  <c r="H123" i="15" s="1"/>
  <c r="G123" i="15" a="1"/>
  <c r="G123" i="15" s="1"/>
  <c r="F123" i="15" a="1"/>
  <c r="F123" i="15" s="1"/>
  <c r="E123" i="15" a="1"/>
  <c r="E123" i="15" s="1"/>
  <c r="D123" i="15" a="1"/>
  <c r="D123" i="15" s="1"/>
  <c r="AE122" i="15" a="1"/>
  <c r="AE122" i="15" s="1"/>
  <c r="AD122" i="15" a="1"/>
  <c r="AD122" i="15" s="1"/>
  <c r="AC122" i="15" a="1"/>
  <c r="AC122" i="15" s="1"/>
  <c r="AB122" i="15" a="1"/>
  <c r="AB122" i="15" s="1"/>
  <c r="AA122" i="15" a="1"/>
  <c r="AA122" i="15" s="1"/>
  <c r="Z122" i="15" a="1"/>
  <c r="Z122" i="15" s="1"/>
  <c r="Y122" i="15" a="1"/>
  <c r="Y122" i="15" s="1"/>
  <c r="X122" i="15" a="1"/>
  <c r="X122" i="15" s="1"/>
  <c r="W122" i="15" a="1"/>
  <c r="W122" i="15" s="1"/>
  <c r="V122" i="15" a="1"/>
  <c r="V122" i="15" s="1"/>
  <c r="U122" i="15" a="1"/>
  <c r="U122" i="15" s="1"/>
  <c r="T122" i="15" a="1"/>
  <c r="T122" i="15" s="1"/>
  <c r="S122" i="15" a="1"/>
  <c r="S122" i="15" s="1"/>
  <c r="R122" i="15" a="1"/>
  <c r="R122" i="15" s="1"/>
  <c r="Q122" i="15" a="1"/>
  <c r="Q122" i="15" s="1"/>
  <c r="P122" i="15" a="1"/>
  <c r="P122" i="15" s="1"/>
  <c r="O122" i="15" a="1"/>
  <c r="O122" i="15" s="1"/>
  <c r="N122" i="15" a="1"/>
  <c r="N122" i="15" s="1"/>
  <c r="M122" i="15" a="1"/>
  <c r="M122" i="15" s="1"/>
  <c r="L122" i="15" a="1"/>
  <c r="L122" i="15" s="1"/>
  <c r="K122" i="15" a="1"/>
  <c r="K122" i="15" s="1"/>
  <c r="J122" i="15" a="1"/>
  <c r="J122" i="15" s="1"/>
  <c r="I122" i="15" a="1"/>
  <c r="I122" i="15" s="1"/>
  <c r="H122" i="15" a="1"/>
  <c r="H122" i="15" s="1"/>
  <c r="G122" i="15" a="1"/>
  <c r="G122" i="15" s="1"/>
  <c r="F122" i="15" a="1"/>
  <c r="F122" i="15" s="1"/>
  <c r="E122" i="15" a="1"/>
  <c r="E122" i="15" s="1"/>
  <c r="D122" i="15" a="1"/>
  <c r="D122" i="15" s="1"/>
  <c r="AE121" i="15" a="1"/>
  <c r="AE121" i="15" s="1"/>
  <c r="AD121" i="15" a="1"/>
  <c r="AD121" i="15" s="1"/>
  <c r="AC121" i="15" a="1"/>
  <c r="AC121" i="15" s="1"/>
  <c r="AB121" i="15" a="1"/>
  <c r="AB121" i="15" s="1"/>
  <c r="AA121" i="15" a="1"/>
  <c r="AA121" i="15" s="1"/>
  <c r="Z121" i="15" a="1"/>
  <c r="Z121" i="15" s="1"/>
  <c r="Y121" i="15" a="1"/>
  <c r="Y121" i="15" s="1"/>
  <c r="X121" i="15" a="1"/>
  <c r="X121" i="15" s="1"/>
  <c r="W121" i="15" a="1"/>
  <c r="W121" i="15" s="1"/>
  <c r="V121" i="15" a="1"/>
  <c r="V121" i="15" s="1"/>
  <c r="U121" i="15" a="1"/>
  <c r="U121" i="15" s="1"/>
  <c r="T121" i="15" a="1"/>
  <c r="T121" i="15" s="1"/>
  <c r="S121" i="15" a="1"/>
  <c r="S121" i="15" s="1"/>
  <c r="R121" i="15" a="1"/>
  <c r="R121" i="15" s="1"/>
  <c r="Q121" i="15" a="1"/>
  <c r="Q121" i="15" s="1"/>
  <c r="P121" i="15" a="1"/>
  <c r="P121" i="15" s="1"/>
  <c r="O121" i="15" a="1"/>
  <c r="O121" i="15" s="1"/>
  <c r="N121" i="15" a="1"/>
  <c r="N121" i="15" s="1"/>
  <c r="M121" i="15" a="1"/>
  <c r="M121" i="15" s="1"/>
  <c r="L121" i="15" a="1"/>
  <c r="L121" i="15" s="1"/>
  <c r="K121" i="15" a="1"/>
  <c r="K121" i="15" s="1"/>
  <c r="J121" i="15" a="1"/>
  <c r="J121" i="15" s="1"/>
  <c r="I121" i="15" a="1"/>
  <c r="I121" i="15" s="1"/>
  <c r="H121" i="15" a="1"/>
  <c r="H121" i="15" s="1"/>
  <c r="G121" i="15" a="1"/>
  <c r="G121" i="15" s="1"/>
  <c r="F121" i="15" a="1"/>
  <c r="F121" i="15" s="1"/>
  <c r="E121" i="15" a="1"/>
  <c r="E121" i="15" s="1"/>
  <c r="D121" i="15" a="1"/>
  <c r="D121" i="15" s="1"/>
  <c r="AE120" i="15" a="1"/>
  <c r="AE120" i="15" s="1"/>
  <c r="AD120" i="15" a="1"/>
  <c r="AD120" i="15" s="1"/>
  <c r="AC120" i="15" a="1"/>
  <c r="AC120" i="15" s="1"/>
  <c r="AB120" i="15" a="1"/>
  <c r="AB120" i="15" s="1"/>
  <c r="AA120" i="15" a="1"/>
  <c r="AA120" i="15" s="1"/>
  <c r="Z120" i="15" a="1"/>
  <c r="Z120" i="15" s="1"/>
  <c r="Y120" i="15" a="1"/>
  <c r="Y120" i="15" s="1"/>
  <c r="X120" i="15" a="1"/>
  <c r="X120" i="15" s="1"/>
  <c r="W120" i="15" a="1"/>
  <c r="W120" i="15" s="1"/>
  <c r="V120" i="15" a="1"/>
  <c r="V120" i="15" s="1"/>
  <c r="U120" i="15" a="1"/>
  <c r="U120" i="15" s="1"/>
  <c r="T120" i="15" a="1"/>
  <c r="T120" i="15" s="1"/>
  <c r="S120" i="15" a="1"/>
  <c r="S120" i="15" s="1"/>
  <c r="R120" i="15" a="1"/>
  <c r="R120" i="15" s="1"/>
  <c r="Q120" i="15" a="1"/>
  <c r="Q120" i="15" s="1"/>
  <c r="P120" i="15" a="1"/>
  <c r="P120" i="15" s="1"/>
  <c r="O120" i="15" a="1"/>
  <c r="O120" i="15" s="1"/>
  <c r="N120" i="15" a="1"/>
  <c r="N120" i="15" s="1"/>
  <c r="M120" i="15" a="1"/>
  <c r="M120" i="15" s="1"/>
  <c r="L120" i="15" a="1"/>
  <c r="L120" i="15" s="1"/>
  <c r="K120" i="15" a="1"/>
  <c r="K120" i="15" s="1"/>
  <c r="J120" i="15" a="1"/>
  <c r="J120" i="15" s="1"/>
  <c r="I120" i="15" a="1"/>
  <c r="I120" i="15" s="1"/>
  <c r="H120" i="15" a="1"/>
  <c r="H120" i="15" s="1"/>
  <c r="G120" i="15" a="1"/>
  <c r="G120" i="15" s="1"/>
  <c r="F120" i="15" a="1"/>
  <c r="F120" i="15" s="1"/>
  <c r="E120" i="15" a="1"/>
  <c r="E120" i="15" s="1"/>
  <c r="D120" i="15" a="1"/>
  <c r="D120" i="15" s="1"/>
  <c r="AE119" i="15" a="1"/>
  <c r="AE119" i="15" s="1"/>
  <c r="AD119" i="15" a="1"/>
  <c r="AD119" i="15" s="1"/>
  <c r="AC119" i="15" a="1"/>
  <c r="AC119" i="15" s="1"/>
  <c r="AB119" i="15" a="1"/>
  <c r="AB119" i="15" s="1"/>
  <c r="AA119" i="15" a="1"/>
  <c r="AA119" i="15" s="1"/>
  <c r="Z119" i="15" a="1"/>
  <c r="Z119" i="15" s="1"/>
  <c r="Y119" i="15" a="1"/>
  <c r="Y119" i="15" s="1"/>
  <c r="X119" i="15" a="1"/>
  <c r="X119" i="15" s="1"/>
  <c r="W119" i="15" a="1"/>
  <c r="W119" i="15" s="1"/>
  <c r="V119" i="15" a="1"/>
  <c r="V119" i="15" s="1"/>
  <c r="U119" i="15" a="1"/>
  <c r="U119" i="15" s="1"/>
  <c r="T119" i="15" a="1"/>
  <c r="T119" i="15" s="1"/>
  <c r="S119" i="15" a="1"/>
  <c r="S119" i="15" s="1"/>
  <c r="R119" i="15" a="1"/>
  <c r="R119" i="15" s="1"/>
  <c r="Q119" i="15" a="1"/>
  <c r="Q119" i="15" s="1"/>
  <c r="P119" i="15" a="1"/>
  <c r="P119" i="15" s="1"/>
  <c r="O119" i="15" a="1"/>
  <c r="O119" i="15" s="1"/>
  <c r="N119" i="15" a="1"/>
  <c r="N119" i="15" s="1"/>
  <c r="M119" i="15" a="1"/>
  <c r="M119" i="15" s="1"/>
  <c r="L119" i="15" a="1"/>
  <c r="L119" i="15" s="1"/>
  <c r="K119" i="15" a="1"/>
  <c r="K119" i="15" s="1"/>
  <c r="J119" i="15" a="1"/>
  <c r="J119" i="15" s="1"/>
  <c r="I119" i="15" a="1"/>
  <c r="I119" i="15" s="1"/>
  <c r="H119" i="15" a="1"/>
  <c r="H119" i="15" s="1"/>
  <c r="G119" i="15" a="1"/>
  <c r="G119" i="15" s="1"/>
  <c r="F119" i="15" a="1"/>
  <c r="F119" i="15" s="1"/>
  <c r="E119" i="15" a="1"/>
  <c r="E119" i="15" s="1"/>
  <c r="D119" i="15" a="1"/>
  <c r="D119" i="15" s="1"/>
  <c r="AE118" i="15" a="1"/>
  <c r="AE118" i="15" s="1"/>
  <c r="AD118" i="15" a="1"/>
  <c r="AD118" i="15" s="1"/>
  <c r="AC118" i="15" a="1"/>
  <c r="AC118" i="15" s="1"/>
  <c r="AB118" i="15" a="1"/>
  <c r="AB118" i="15" s="1"/>
  <c r="AA118" i="15" a="1"/>
  <c r="AA118" i="15" s="1"/>
  <c r="Z118" i="15" a="1"/>
  <c r="Z118" i="15" s="1"/>
  <c r="Y118" i="15" a="1"/>
  <c r="Y118" i="15" s="1"/>
  <c r="X118" i="15" a="1"/>
  <c r="X118" i="15" s="1"/>
  <c r="W118" i="15" a="1"/>
  <c r="W118" i="15" s="1"/>
  <c r="V118" i="15" a="1"/>
  <c r="V118" i="15" s="1"/>
  <c r="U118" i="15" a="1"/>
  <c r="U118" i="15" s="1"/>
  <c r="T118" i="15" a="1"/>
  <c r="T118" i="15" s="1"/>
  <c r="S118" i="15" a="1"/>
  <c r="S118" i="15" s="1"/>
  <c r="R118" i="15" a="1"/>
  <c r="R118" i="15" s="1"/>
  <c r="Q118" i="15" a="1"/>
  <c r="Q118" i="15" s="1"/>
  <c r="P118" i="15" a="1"/>
  <c r="P118" i="15" s="1"/>
  <c r="O118" i="15" a="1"/>
  <c r="O118" i="15" s="1"/>
  <c r="N118" i="15" a="1"/>
  <c r="N118" i="15" s="1"/>
  <c r="M118" i="15" a="1"/>
  <c r="M118" i="15" s="1"/>
  <c r="L118" i="15" a="1"/>
  <c r="L118" i="15" s="1"/>
  <c r="K118" i="15" a="1"/>
  <c r="K118" i="15" s="1"/>
  <c r="J118" i="15" a="1"/>
  <c r="J118" i="15" s="1"/>
  <c r="I118" i="15" a="1"/>
  <c r="I118" i="15" s="1"/>
  <c r="H118" i="15" a="1"/>
  <c r="H118" i="15" s="1"/>
  <c r="G118" i="15" a="1"/>
  <c r="G118" i="15" s="1"/>
  <c r="F118" i="15" a="1"/>
  <c r="F118" i="15" s="1"/>
  <c r="E118" i="15" a="1"/>
  <c r="E118" i="15" s="1"/>
  <c r="D118" i="15" a="1"/>
  <c r="D118" i="15" s="1"/>
  <c r="AE117" i="15" a="1"/>
  <c r="AE117" i="15" s="1"/>
  <c r="AD117" i="15" a="1"/>
  <c r="AD117" i="15" s="1"/>
  <c r="AC117" i="15" a="1"/>
  <c r="AC117" i="15" s="1"/>
  <c r="AB117" i="15" a="1"/>
  <c r="AB117" i="15" s="1"/>
  <c r="AA117" i="15" a="1"/>
  <c r="AA117" i="15" s="1"/>
  <c r="Z117" i="15" a="1"/>
  <c r="Z117" i="15" s="1"/>
  <c r="Y117" i="15" a="1"/>
  <c r="Y117" i="15" s="1"/>
  <c r="X117" i="15" a="1"/>
  <c r="X117" i="15" s="1"/>
  <c r="W117" i="15" a="1"/>
  <c r="W117" i="15" s="1"/>
  <c r="V117" i="15" a="1"/>
  <c r="V117" i="15" s="1"/>
  <c r="U117" i="15" a="1"/>
  <c r="U117" i="15" s="1"/>
  <c r="T117" i="15" a="1"/>
  <c r="T117" i="15" s="1"/>
  <c r="S117" i="15" a="1"/>
  <c r="S117" i="15" s="1"/>
  <c r="R117" i="15" a="1"/>
  <c r="R117" i="15" s="1"/>
  <c r="Q117" i="15" a="1"/>
  <c r="Q117" i="15" s="1"/>
  <c r="P117" i="15" a="1"/>
  <c r="P117" i="15" s="1"/>
  <c r="O117" i="15" a="1"/>
  <c r="O117" i="15" s="1"/>
  <c r="N117" i="15" a="1"/>
  <c r="N117" i="15" s="1"/>
  <c r="M117" i="15" a="1"/>
  <c r="M117" i="15" s="1"/>
  <c r="L117" i="15" a="1"/>
  <c r="L117" i="15" s="1"/>
  <c r="K117" i="15" a="1"/>
  <c r="K117" i="15" s="1"/>
  <c r="J117" i="15" a="1"/>
  <c r="J117" i="15" s="1"/>
  <c r="I117" i="15" a="1"/>
  <c r="I117" i="15" s="1"/>
  <c r="H117" i="15" a="1"/>
  <c r="H117" i="15" s="1"/>
  <c r="G117" i="15" a="1"/>
  <c r="G117" i="15" s="1"/>
  <c r="F117" i="15" a="1"/>
  <c r="F117" i="15" s="1"/>
  <c r="E117" i="15" a="1"/>
  <c r="E117" i="15" s="1"/>
  <c r="D117" i="15" a="1"/>
  <c r="D117" i="15" s="1"/>
  <c r="AE116" i="15" a="1"/>
  <c r="AE116" i="15" s="1"/>
  <c r="AD116" i="15" a="1"/>
  <c r="AD116" i="15" s="1"/>
  <c r="AC116" i="15" a="1"/>
  <c r="AC116" i="15" s="1"/>
  <c r="AB116" i="15" a="1"/>
  <c r="AB116" i="15" s="1"/>
  <c r="AA116" i="15" a="1"/>
  <c r="AA116" i="15" s="1"/>
  <c r="Z116" i="15" a="1"/>
  <c r="Z116" i="15" s="1"/>
  <c r="Y116" i="15" a="1"/>
  <c r="Y116" i="15" s="1"/>
  <c r="X116" i="15" a="1"/>
  <c r="X116" i="15" s="1"/>
  <c r="W116" i="15" a="1"/>
  <c r="W116" i="15" s="1"/>
  <c r="V116" i="15" a="1"/>
  <c r="V116" i="15" s="1"/>
  <c r="U116" i="15" a="1"/>
  <c r="U116" i="15" s="1"/>
  <c r="T116" i="15" a="1"/>
  <c r="T116" i="15" s="1"/>
  <c r="S116" i="15" a="1"/>
  <c r="S116" i="15" s="1"/>
  <c r="R116" i="15" a="1"/>
  <c r="R116" i="15" s="1"/>
  <c r="Q116" i="15" a="1"/>
  <c r="Q116" i="15" s="1"/>
  <c r="P116" i="15" a="1"/>
  <c r="P116" i="15" s="1"/>
  <c r="O116" i="15" a="1"/>
  <c r="O116" i="15" s="1"/>
  <c r="N116" i="15" a="1"/>
  <c r="N116" i="15" s="1"/>
  <c r="M116" i="15" a="1"/>
  <c r="M116" i="15" s="1"/>
  <c r="L116" i="15" a="1"/>
  <c r="L116" i="15" s="1"/>
  <c r="K116" i="15" a="1"/>
  <c r="K116" i="15" s="1"/>
  <c r="J116" i="15" a="1"/>
  <c r="J116" i="15" s="1"/>
  <c r="I116" i="15" a="1"/>
  <c r="I116" i="15" s="1"/>
  <c r="H116" i="15" a="1"/>
  <c r="H116" i="15" s="1"/>
  <c r="G116" i="15" a="1"/>
  <c r="G116" i="15" s="1"/>
  <c r="F116" i="15" a="1"/>
  <c r="F116" i="15" s="1"/>
  <c r="E116" i="15" a="1"/>
  <c r="E116" i="15" s="1"/>
  <c r="D116" i="15" a="1"/>
  <c r="D116" i="15" s="1"/>
  <c r="AE115" i="15" a="1"/>
  <c r="AE115" i="15" s="1"/>
  <c r="AD115" i="15" a="1"/>
  <c r="AD115" i="15" s="1"/>
  <c r="AC115" i="15" a="1"/>
  <c r="AC115" i="15" s="1"/>
  <c r="AB115" i="15" a="1"/>
  <c r="AB115" i="15" s="1"/>
  <c r="AA115" i="15" a="1"/>
  <c r="AA115" i="15" s="1"/>
  <c r="Z115" i="15" a="1"/>
  <c r="Z115" i="15" s="1"/>
  <c r="Y115" i="15" a="1"/>
  <c r="Y115" i="15" s="1"/>
  <c r="X115" i="15" a="1"/>
  <c r="X115" i="15" s="1"/>
  <c r="W115" i="15" a="1"/>
  <c r="W115" i="15" s="1"/>
  <c r="V115" i="15" a="1"/>
  <c r="V115" i="15" s="1"/>
  <c r="U115" i="15" a="1"/>
  <c r="U115" i="15" s="1"/>
  <c r="T115" i="15" a="1"/>
  <c r="T115" i="15" s="1"/>
  <c r="S115" i="15" a="1"/>
  <c r="S115" i="15" s="1"/>
  <c r="R115" i="15" a="1"/>
  <c r="R115" i="15" s="1"/>
  <c r="Q115" i="15" a="1"/>
  <c r="Q115" i="15" s="1"/>
  <c r="P115" i="15" a="1"/>
  <c r="P115" i="15" s="1"/>
  <c r="O115" i="15" a="1"/>
  <c r="O115" i="15" s="1"/>
  <c r="N115" i="15" a="1"/>
  <c r="N115" i="15" s="1"/>
  <c r="M115" i="15" a="1"/>
  <c r="M115" i="15" s="1"/>
  <c r="L115" i="15" a="1"/>
  <c r="L115" i="15" s="1"/>
  <c r="K115" i="15" a="1"/>
  <c r="K115" i="15" s="1"/>
  <c r="J115" i="15" a="1"/>
  <c r="J115" i="15" s="1"/>
  <c r="I115" i="15" a="1"/>
  <c r="I115" i="15" s="1"/>
  <c r="H115" i="15" a="1"/>
  <c r="H115" i="15" s="1"/>
  <c r="G115" i="15" a="1"/>
  <c r="G115" i="15" s="1"/>
  <c r="F115" i="15" a="1"/>
  <c r="F115" i="15" s="1"/>
  <c r="E115" i="15" a="1"/>
  <c r="E115" i="15" s="1"/>
  <c r="D115" i="15" a="1"/>
  <c r="D115" i="15" s="1"/>
  <c r="AE114" i="15" a="1"/>
  <c r="AE114" i="15" s="1"/>
  <c r="AD114" i="15" a="1"/>
  <c r="AD114" i="15" s="1"/>
  <c r="AC114" i="15" a="1"/>
  <c r="AC114" i="15" s="1"/>
  <c r="AB114" i="15" a="1"/>
  <c r="AB114" i="15" s="1"/>
  <c r="AA114" i="15" a="1"/>
  <c r="AA114" i="15" s="1"/>
  <c r="Z114" i="15" a="1"/>
  <c r="Z114" i="15" s="1"/>
  <c r="Y114" i="15" a="1"/>
  <c r="Y114" i="15" s="1"/>
  <c r="X114" i="15" a="1"/>
  <c r="X114" i="15" s="1"/>
  <c r="W114" i="15" a="1"/>
  <c r="W114" i="15" s="1"/>
  <c r="V114" i="15" a="1"/>
  <c r="V114" i="15" s="1"/>
  <c r="U114" i="15" a="1"/>
  <c r="U114" i="15" s="1"/>
  <c r="T114" i="15" a="1"/>
  <c r="T114" i="15" s="1"/>
  <c r="S114" i="15" a="1"/>
  <c r="S114" i="15" s="1"/>
  <c r="R114" i="15" a="1"/>
  <c r="R114" i="15" s="1"/>
  <c r="Q114" i="15" a="1"/>
  <c r="Q114" i="15" s="1"/>
  <c r="P114" i="15" a="1"/>
  <c r="P114" i="15" s="1"/>
  <c r="O114" i="15" a="1"/>
  <c r="O114" i="15" s="1"/>
  <c r="N114" i="15" a="1"/>
  <c r="N114" i="15" s="1"/>
  <c r="M114" i="15" a="1"/>
  <c r="M114" i="15" s="1"/>
  <c r="L114" i="15" a="1"/>
  <c r="L114" i="15" s="1"/>
  <c r="K114" i="15" a="1"/>
  <c r="K114" i="15" s="1"/>
  <c r="J114" i="15" a="1"/>
  <c r="J114" i="15" s="1"/>
  <c r="I114" i="15" a="1"/>
  <c r="I114" i="15" s="1"/>
  <c r="H114" i="15" a="1"/>
  <c r="H114" i="15" s="1"/>
  <c r="G114" i="15" a="1"/>
  <c r="G114" i="15" s="1"/>
  <c r="F114" i="15" a="1"/>
  <c r="F114" i="15" s="1"/>
  <c r="E114" i="15" a="1"/>
  <c r="E114" i="15" s="1"/>
  <c r="D114" i="15" a="1"/>
  <c r="D114" i="15" s="1"/>
  <c r="AE113" i="15" a="1"/>
  <c r="AE113" i="15" s="1"/>
  <c r="AD113" i="15" a="1"/>
  <c r="AD113" i="15" s="1"/>
  <c r="AC113" i="15" a="1"/>
  <c r="AC113" i="15" s="1"/>
  <c r="AB113" i="15" a="1"/>
  <c r="AB113" i="15" s="1"/>
  <c r="AA113" i="15" a="1"/>
  <c r="AA113" i="15" s="1"/>
  <c r="Z113" i="15" a="1"/>
  <c r="Z113" i="15" s="1"/>
  <c r="Y113" i="15" a="1"/>
  <c r="Y113" i="15" s="1"/>
  <c r="X113" i="15" a="1"/>
  <c r="X113" i="15" s="1"/>
  <c r="W113" i="15" a="1"/>
  <c r="W113" i="15" s="1"/>
  <c r="V113" i="15" a="1"/>
  <c r="V113" i="15" s="1"/>
  <c r="U113" i="15" a="1"/>
  <c r="U113" i="15" s="1"/>
  <c r="T113" i="15" a="1"/>
  <c r="T113" i="15" s="1"/>
  <c r="S113" i="15" a="1"/>
  <c r="S113" i="15" s="1"/>
  <c r="R113" i="15" a="1"/>
  <c r="R113" i="15" s="1"/>
  <c r="Q113" i="15" a="1"/>
  <c r="Q113" i="15" s="1"/>
  <c r="P113" i="15" a="1"/>
  <c r="P113" i="15" s="1"/>
  <c r="O113" i="15" a="1"/>
  <c r="O113" i="15" s="1"/>
  <c r="N113" i="15" a="1"/>
  <c r="N113" i="15" s="1"/>
  <c r="M113" i="15" a="1"/>
  <c r="M113" i="15" s="1"/>
  <c r="L113" i="15" a="1"/>
  <c r="L113" i="15" s="1"/>
  <c r="K113" i="15" a="1"/>
  <c r="K113" i="15" s="1"/>
  <c r="J113" i="15" a="1"/>
  <c r="J113" i="15" s="1"/>
  <c r="I113" i="15" a="1"/>
  <c r="I113" i="15" s="1"/>
  <c r="H113" i="15" a="1"/>
  <c r="H113" i="15" s="1"/>
  <c r="G113" i="15" a="1"/>
  <c r="G113" i="15" s="1"/>
  <c r="F113" i="15" a="1"/>
  <c r="F113" i="15" s="1"/>
  <c r="E113" i="15" a="1"/>
  <c r="E113" i="15" s="1"/>
  <c r="D113" i="15" a="1"/>
  <c r="D113" i="15" s="1"/>
  <c r="AE112" i="15" a="1"/>
  <c r="AE112" i="15" s="1"/>
  <c r="AD112" i="15" a="1"/>
  <c r="AD112" i="15" s="1"/>
  <c r="AC112" i="15" a="1"/>
  <c r="AC112" i="15" s="1"/>
  <c r="AB112" i="15" a="1"/>
  <c r="AB112" i="15" s="1"/>
  <c r="AA112" i="15" a="1"/>
  <c r="AA112" i="15" s="1"/>
  <c r="Z112" i="15" a="1"/>
  <c r="Z112" i="15" s="1"/>
  <c r="Y112" i="15" a="1"/>
  <c r="Y112" i="15" s="1"/>
  <c r="X112" i="15" a="1"/>
  <c r="X112" i="15" s="1"/>
  <c r="W112" i="15" a="1"/>
  <c r="W112" i="15" s="1"/>
  <c r="V112" i="15" a="1"/>
  <c r="V112" i="15" s="1"/>
  <c r="U112" i="15" a="1"/>
  <c r="U112" i="15" s="1"/>
  <c r="T112" i="15" a="1"/>
  <c r="T112" i="15" s="1"/>
  <c r="S112" i="15" a="1"/>
  <c r="S112" i="15" s="1"/>
  <c r="R112" i="15" a="1"/>
  <c r="R112" i="15" s="1"/>
  <c r="Q112" i="15" a="1"/>
  <c r="Q112" i="15" s="1"/>
  <c r="P112" i="15" a="1"/>
  <c r="P112" i="15" s="1"/>
  <c r="O112" i="15" a="1"/>
  <c r="O112" i="15" s="1"/>
  <c r="N112" i="15" a="1"/>
  <c r="N112" i="15" s="1"/>
  <c r="M112" i="15" a="1"/>
  <c r="M112" i="15" s="1"/>
  <c r="L112" i="15" a="1"/>
  <c r="L112" i="15" s="1"/>
  <c r="K112" i="15" a="1"/>
  <c r="K112" i="15" s="1"/>
  <c r="J112" i="15" a="1"/>
  <c r="J112" i="15" s="1"/>
  <c r="I112" i="15" a="1"/>
  <c r="I112" i="15" s="1"/>
  <c r="H112" i="15" a="1"/>
  <c r="H112" i="15" s="1"/>
  <c r="G112" i="15" a="1"/>
  <c r="G112" i="15" s="1"/>
  <c r="F112" i="15" a="1"/>
  <c r="F112" i="15" s="1"/>
  <c r="E112" i="15" a="1"/>
  <c r="E112" i="15" s="1"/>
  <c r="D112" i="15" a="1"/>
  <c r="D112" i="15" s="1"/>
  <c r="AE111" i="15" a="1"/>
  <c r="AE111" i="15" s="1"/>
  <c r="AD111" i="15" a="1"/>
  <c r="AD111" i="15" s="1"/>
  <c r="AC111" i="15" a="1"/>
  <c r="AC111" i="15" s="1"/>
  <c r="AB111" i="15" a="1"/>
  <c r="AB111" i="15" s="1"/>
  <c r="AA111" i="15" a="1"/>
  <c r="AA111" i="15" s="1"/>
  <c r="Z111" i="15" a="1"/>
  <c r="Z111" i="15" s="1"/>
  <c r="Y111" i="15" a="1"/>
  <c r="Y111" i="15" s="1"/>
  <c r="X111" i="15" a="1"/>
  <c r="X111" i="15" s="1"/>
  <c r="W111" i="15" a="1"/>
  <c r="W111" i="15" s="1"/>
  <c r="V111" i="15" a="1"/>
  <c r="V111" i="15" s="1"/>
  <c r="U111" i="15" a="1"/>
  <c r="U111" i="15" s="1"/>
  <c r="T111" i="15" a="1"/>
  <c r="T111" i="15" s="1"/>
  <c r="S111" i="15" a="1"/>
  <c r="S111" i="15" s="1"/>
  <c r="R111" i="15" a="1"/>
  <c r="R111" i="15" s="1"/>
  <c r="Q111" i="15" a="1"/>
  <c r="Q111" i="15" s="1"/>
  <c r="P111" i="15" a="1"/>
  <c r="P111" i="15" s="1"/>
  <c r="O111" i="15" a="1"/>
  <c r="O111" i="15" s="1"/>
  <c r="N111" i="15" a="1"/>
  <c r="N111" i="15" s="1"/>
  <c r="M111" i="15" a="1"/>
  <c r="M111" i="15" s="1"/>
  <c r="L111" i="15" a="1"/>
  <c r="L111" i="15" s="1"/>
  <c r="K111" i="15" a="1"/>
  <c r="K111" i="15" s="1"/>
  <c r="J111" i="15" a="1"/>
  <c r="J111" i="15" s="1"/>
  <c r="I111" i="15" a="1"/>
  <c r="I111" i="15" s="1"/>
  <c r="H111" i="15" a="1"/>
  <c r="H111" i="15" s="1"/>
  <c r="G111" i="15" a="1"/>
  <c r="G111" i="15" s="1"/>
  <c r="F111" i="15" a="1"/>
  <c r="F111" i="15" s="1"/>
  <c r="E111" i="15" a="1"/>
  <c r="E111" i="15" s="1"/>
  <c r="D111" i="15" a="1"/>
  <c r="D111" i="15" s="1"/>
  <c r="AE110" i="15" a="1"/>
  <c r="AE110" i="15" s="1"/>
  <c r="AD110" i="15" a="1"/>
  <c r="AD110" i="15" s="1"/>
  <c r="AC110" i="15" a="1"/>
  <c r="AC110" i="15" s="1"/>
  <c r="AB110" i="15" a="1"/>
  <c r="AB110" i="15" s="1"/>
  <c r="AA110" i="15" a="1"/>
  <c r="AA110" i="15" s="1"/>
  <c r="Z110" i="15" a="1"/>
  <c r="Z110" i="15" s="1"/>
  <c r="Y110" i="15" a="1"/>
  <c r="Y110" i="15" s="1"/>
  <c r="X110" i="15" a="1"/>
  <c r="X110" i="15" s="1"/>
  <c r="W110" i="15" a="1"/>
  <c r="W110" i="15" s="1"/>
  <c r="V110" i="15" a="1"/>
  <c r="V110" i="15" s="1"/>
  <c r="U110" i="15" a="1"/>
  <c r="U110" i="15" s="1"/>
  <c r="T110" i="15" a="1"/>
  <c r="T110" i="15" s="1"/>
  <c r="S110" i="15" a="1"/>
  <c r="S110" i="15" s="1"/>
  <c r="R110" i="15" a="1"/>
  <c r="R110" i="15" s="1"/>
  <c r="Q110" i="15" a="1"/>
  <c r="Q110" i="15" s="1"/>
  <c r="P110" i="15" a="1"/>
  <c r="P110" i="15" s="1"/>
  <c r="O110" i="15" a="1"/>
  <c r="O110" i="15" s="1"/>
  <c r="N110" i="15" a="1"/>
  <c r="N110" i="15" s="1"/>
  <c r="M110" i="15" a="1"/>
  <c r="M110" i="15" s="1"/>
  <c r="L110" i="15" a="1"/>
  <c r="L110" i="15" s="1"/>
  <c r="K110" i="15" a="1"/>
  <c r="K110" i="15" s="1"/>
  <c r="J110" i="15" a="1"/>
  <c r="J110" i="15" s="1"/>
  <c r="I110" i="15" a="1"/>
  <c r="I110" i="15" s="1"/>
  <c r="H110" i="15" a="1"/>
  <c r="H110" i="15" s="1"/>
  <c r="G110" i="15" a="1"/>
  <c r="G110" i="15" s="1"/>
  <c r="F110" i="15" a="1"/>
  <c r="F110" i="15" s="1"/>
  <c r="E110" i="15" a="1"/>
  <c r="E110" i="15" s="1"/>
  <c r="D110" i="15" a="1"/>
  <c r="D110" i="15" s="1"/>
  <c r="AE109" i="15" a="1"/>
  <c r="AE109" i="15" s="1"/>
  <c r="AD109" i="15" a="1"/>
  <c r="AD109" i="15" s="1"/>
  <c r="AC109" i="15" a="1"/>
  <c r="AC109" i="15" s="1"/>
  <c r="AB109" i="15" a="1"/>
  <c r="AB109" i="15" s="1"/>
  <c r="AA109" i="15" a="1"/>
  <c r="AA109" i="15" s="1"/>
  <c r="Z109" i="15" a="1"/>
  <c r="Z109" i="15" s="1"/>
  <c r="Y109" i="15" a="1"/>
  <c r="Y109" i="15" s="1"/>
  <c r="X109" i="15" a="1"/>
  <c r="X109" i="15" s="1"/>
  <c r="W109" i="15" a="1"/>
  <c r="W109" i="15" s="1"/>
  <c r="V109" i="15" a="1"/>
  <c r="V109" i="15" s="1"/>
  <c r="U109" i="15" a="1"/>
  <c r="U109" i="15" s="1"/>
  <c r="T109" i="15" a="1"/>
  <c r="T109" i="15" s="1"/>
  <c r="S109" i="15" a="1"/>
  <c r="S109" i="15" s="1"/>
  <c r="R109" i="15" a="1"/>
  <c r="R109" i="15" s="1"/>
  <c r="Q109" i="15" a="1"/>
  <c r="Q109" i="15" s="1"/>
  <c r="P109" i="15" a="1"/>
  <c r="P109" i="15" s="1"/>
  <c r="O109" i="15" a="1"/>
  <c r="O109" i="15" s="1"/>
  <c r="N109" i="15" a="1"/>
  <c r="N109" i="15" s="1"/>
  <c r="M109" i="15" a="1"/>
  <c r="M109" i="15" s="1"/>
  <c r="L109" i="15" a="1"/>
  <c r="L109" i="15" s="1"/>
  <c r="K109" i="15" a="1"/>
  <c r="K109" i="15" s="1"/>
  <c r="J109" i="15" a="1"/>
  <c r="J109" i="15" s="1"/>
  <c r="I109" i="15" a="1"/>
  <c r="I109" i="15" s="1"/>
  <c r="H109" i="15" a="1"/>
  <c r="H109" i="15" s="1"/>
  <c r="G109" i="15" a="1"/>
  <c r="G109" i="15" s="1"/>
  <c r="F109" i="15" a="1"/>
  <c r="F109" i="15" s="1"/>
  <c r="E109" i="15" a="1"/>
  <c r="E109" i="15" s="1"/>
  <c r="D109" i="15" a="1"/>
  <c r="D109" i="15" s="1"/>
  <c r="AE108" i="15" a="1"/>
  <c r="AE108" i="15" s="1"/>
  <c r="AD108" i="15" a="1"/>
  <c r="AD108" i="15" s="1"/>
  <c r="AC108" i="15" a="1"/>
  <c r="AC108" i="15" s="1"/>
  <c r="AB108" i="15" a="1"/>
  <c r="AB108" i="15" s="1"/>
  <c r="AA108" i="15" a="1"/>
  <c r="AA108" i="15" s="1"/>
  <c r="Z108" i="15" a="1"/>
  <c r="Z108" i="15" s="1"/>
  <c r="Y108" i="15" a="1"/>
  <c r="Y108" i="15" s="1"/>
  <c r="X108" i="15" a="1"/>
  <c r="X108" i="15" s="1"/>
  <c r="W108" i="15" a="1"/>
  <c r="W108" i="15" s="1"/>
  <c r="V108" i="15" a="1"/>
  <c r="V108" i="15" s="1"/>
  <c r="U108" i="15" a="1"/>
  <c r="U108" i="15" s="1"/>
  <c r="T108" i="15" a="1"/>
  <c r="T108" i="15" s="1"/>
  <c r="S108" i="15" a="1"/>
  <c r="S108" i="15" s="1"/>
  <c r="R108" i="15" a="1"/>
  <c r="R108" i="15" s="1"/>
  <c r="Q108" i="15" a="1"/>
  <c r="Q108" i="15" s="1"/>
  <c r="P108" i="15" a="1"/>
  <c r="P108" i="15" s="1"/>
  <c r="O108" i="15" a="1"/>
  <c r="O108" i="15" s="1"/>
  <c r="N108" i="15" a="1"/>
  <c r="N108" i="15" s="1"/>
  <c r="M108" i="15" a="1"/>
  <c r="M108" i="15" s="1"/>
  <c r="L108" i="15" a="1"/>
  <c r="L108" i="15" s="1"/>
  <c r="K108" i="15" a="1"/>
  <c r="K108" i="15" s="1"/>
  <c r="J108" i="15" a="1"/>
  <c r="J108" i="15" s="1"/>
  <c r="I108" i="15" a="1"/>
  <c r="I108" i="15" s="1"/>
  <c r="H108" i="15" a="1"/>
  <c r="H108" i="15" s="1"/>
  <c r="G108" i="15" a="1"/>
  <c r="G108" i="15" s="1"/>
  <c r="F108" i="15" a="1"/>
  <c r="F108" i="15" s="1"/>
  <c r="E108" i="15" a="1"/>
  <c r="E108" i="15" s="1"/>
  <c r="D108" i="15" a="1"/>
  <c r="D108" i="15" s="1"/>
  <c r="AE107" i="15" a="1"/>
  <c r="AE107" i="15" s="1"/>
  <c r="AD107" i="15" a="1"/>
  <c r="AD107" i="15" s="1"/>
  <c r="AC107" i="15" a="1"/>
  <c r="AC107" i="15" s="1"/>
  <c r="AB107" i="15" a="1"/>
  <c r="AB107" i="15" s="1"/>
  <c r="AA107" i="15" a="1"/>
  <c r="AA107" i="15" s="1"/>
  <c r="Z107" i="15" a="1"/>
  <c r="Z107" i="15" s="1"/>
  <c r="Y107" i="15" a="1"/>
  <c r="Y107" i="15" s="1"/>
  <c r="X107" i="15" a="1"/>
  <c r="X107" i="15" s="1"/>
  <c r="W107" i="15" a="1"/>
  <c r="W107" i="15" s="1"/>
  <c r="V107" i="15" a="1"/>
  <c r="V107" i="15" s="1"/>
  <c r="U107" i="15" a="1"/>
  <c r="U107" i="15" s="1"/>
  <c r="T107" i="15" a="1"/>
  <c r="T107" i="15" s="1"/>
  <c r="S107" i="15" a="1"/>
  <c r="S107" i="15" s="1"/>
  <c r="R107" i="15" a="1"/>
  <c r="R107" i="15" s="1"/>
  <c r="Q107" i="15" a="1"/>
  <c r="Q107" i="15" s="1"/>
  <c r="P107" i="15" a="1"/>
  <c r="P107" i="15" s="1"/>
  <c r="O107" i="15" a="1"/>
  <c r="O107" i="15" s="1"/>
  <c r="N107" i="15" a="1"/>
  <c r="N107" i="15" s="1"/>
  <c r="M107" i="15" a="1"/>
  <c r="M107" i="15" s="1"/>
  <c r="L107" i="15" a="1"/>
  <c r="L107" i="15" s="1"/>
  <c r="K107" i="15" a="1"/>
  <c r="K107" i="15" s="1"/>
  <c r="J107" i="15" a="1"/>
  <c r="J107" i="15" s="1"/>
  <c r="I107" i="15" a="1"/>
  <c r="I107" i="15" s="1"/>
  <c r="H107" i="15" a="1"/>
  <c r="H107" i="15" s="1"/>
  <c r="G107" i="15" a="1"/>
  <c r="G107" i="15" s="1"/>
  <c r="F107" i="15" a="1"/>
  <c r="F107" i="15" s="1"/>
  <c r="E107" i="15" a="1"/>
  <c r="E107" i="15" s="1"/>
  <c r="D107" i="15" a="1"/>
  <c r="D107" i="15" s="1"/>
  <c r="AE106" i="15" a="1"/>
  <c r="AE106" i="15" s="1"/>
  <c r="AD106" i="15" a="1"/>
  <c r="AD106" i="15" s="1"/>
  <c r="AC106" i="15" a="1"/>
  <c r="AC106" i="15" s="1"/>
  <c r="AB106" i="15" a="1"/>
  <c r="AB106" i="15" s="1"/>
  <c r="AA106" i="15" a="1"/>
  <c r="AA106" i="15" s="1"/>
  <c r="Z106" i="15" a="1"/>
  <c r="Z106" i="15" s="1"/>
  <c r="Y106" i="15" a="1"/>
  <c r="Y106" i="15" s="1"/>
  <c r="X106" i="15" a="1"/>
  <c r="X106" i="15" s="1"/>
  <c r="W106" i="15" a="1"/>
  <c r="W106" i="15" s="1"/>
  <c r="V106" i="15" a="1"/>
  <c r="V106" i="15" s="1"/>
  <c r="U106" i="15" a="1"/>
  <c r="U106" i="15" s="1"/>
  <c r="T106" i="15" a="1"/>
  <c r="T106" i="15" s="1"/>
  <c r="S106" i="15" a="1"/>
  <c r="S106" i="15" s="1"/>
  <c r="R106" i="15" a="1"/>
  <c r="R106" i="15" s="1"/>
  <c r="Q106" i="15" a="1"/>
  <c r="Q106" i="15" s="1"/>
  <c r="P106" i="15" a="1"/>
  <c r="P106" i="15" s="1"/>
  <c r="O106" i="15" a="1"/>
  <c r="O106" i="15" s="1"/>
  <c r="N106" i="15" a="1"/>
  <c r="N106" i="15" s="1"/>
  <c r="M106" i="15" a="1"/>
  <c r="M106" i="15" s="1"/>
  <c r="L106" i="15" a="1"/>
  <c r="L106" i="15" s="1"/>
  <c r="K106" i="15" a="1"/>
  <c r="K106" i="15" s="1"/>
  <c r="J106" i="15" a="1"/>
  <c r="J106" i="15" s="1"/>
  <c r="I106" i="15" a="1"/>
  <c r="I106" i="15" s="1"/>
  <c r="H106" i="15" a="1"/>
  <c r="H106" i="15" s="1"/>
  <c r="G106" i="15" a="1"/>
  <c r="G106" i="15" s="1"/>
  <c r="F106" i="15" a="1"/>
  <c r="F106" i="15" s="1"/>
  <c r="E106" i="15" a="1"/>
  <c r="E106" i="15" s="1"/>
  <c r="D106" i="15" a="1"/>
  <c r="D106" i="15" s="1"/>
  <c r="AE105" i="15" a="1"/>
  <c r="AE105" i="15" s="1"/>
  <c r="AD105" i="15" a="1"/>
  <c r="AD105" i="15" s="1"/>
  <c r="AC105" i="15" a="1"/>
  <c r="AC105" i="15" s="1"/>
  <c r="AB105" i="15" a="1"/>
  <c r="AB105" i="15" s="1"/>
  <c r="AA105" i="15" a="1"/>
  <c r="AA105" i="15" s="1"/>
  <c r="Z105" i="15" a="1"/>
  <c r="Z105" i="15" s="1"/>
  <c r="Y105" i="15" a="1"/>
  <c r="Y105" i="15" s="1"/>
  <c r="X105" i="15" a="1"/>
  <c r="X105" i="15" s="1"/>
  <c r="W105" i="15" a="1"/>
  <c r="W105" i="15" s="1"/>
  <c r="V105" i="15" a="1"/>
  <c r="V105" i="15" s="1"/>
  <c r="U105" i="15" a="1"/>
  <c r="U105" i="15" s="1"/>
  <c r="T105" i="15" a="1"/>
  <c r="T105" i="15" s="1"/>
  <c r="S105" i="15" a="1"/>
  <c r="S105" i="15" s="1"/>
  <c r="R105" i="15" a="1"/>
  <c r="R105" i="15" s="1"/>
  <c r="Q105" i="15" a="1"/>
  <c r="Q105" i="15" s="1"/>
  <c r="P105" i="15" a="1"/>
  <c r="P105" i="15" s="1"/>
  <c r="O105" i="15" a="1"/>
  <c r="O105" i="15" s="1"/>
  <c r="N105" i="15" a="1"/>
  <c r="N105" i="15" s="1"/>
  <c r="M105" i="15" a="1"/>
  <c r="M105" i="15" s="1"/>
  <c r="L105" i="15" a="1"/>
  <c r="L105" i="15" s="1"/>
  <c r="K105" i="15" a="1"/>
  <c r="K105" i="15" s="1"/>
  <c r="J105" i="15" a="1"/>
  <c r="J105" i="15" s="1"/>
  <c r="I105" i="15" a="1"/>
  <c r="I105" i="15" s="1"/>
  <c r="H105" i="15" a="1"/>
  <c r="H105" i="15" s="1"/>
  <c r="G105" i="15" a="1"/>
  <c r="G105" i="15" s="1"/>
  <c r="F105" i="15" a="1"/>
  <c r="F105" i="15" s="1"/>
  <c r="E105" i="15" a="1"/>
  <c r="E105" i="15" s="1"/>
  <c r="D105" i="15" a="1"/>
  <c r="D105" i="15" s="1"/>
  <c r="AE104" i="15" a="1"/>
  <c r="AE104" i="15" s="1"/>
  <c r="AD104" i="15" a="1"/>
  <c r="AD104" i="15" s="1"/>
  <c r="AC104" i="15" a="1"/>
  <c r="AC104" i="15" s="1"/>
  <c r="AB104" i="15" a="1"/>
  <c r="AB104" i="15" s="1"/>
  <c r="AA104" i="15" a="1"/>
  <c r="AA104" i="15" s="1"/>
  <c r="Z104" i="15" a="1"/>
  <c r="Z104" i="15" s="1"/>
  <c r="Y104" i="15" a="1"/>
  <c r="Y104" i="15" s="1"/>
  <c r="X104" i="15" a="1"/>
  <c r="X104" i="15" s="1"/>
  <c r="W104" i="15" a="1"/>
  <c r="W104" i="15" s="1"/>
  <c r="V104" i="15" a="1"/>
  <c r="V104" i="15" s="1"/>
  <c r="U104" i="15" a="1"/>
  <c r="U104" i="15" s="1"/>
  <c r="T104" i="15" a="1"/>
  <c r="T104" i="15" s="1"/>
  <c r="S104" i="15" a="1"/>
  <c r="S104" i="15" s="1"/>
  <c r="R104" i="15" a="1"/>
  <c r="R104" i="15" s="1"/>
  <c r="Q104" i="15" a="1"/>
  <c r="Q104" i="15" s="1"/>
  <c r="P104" i="15" a="1"/>
  <c r="P104" i="15" s="1"/>
  <c r="O104" i="15" a="1"/>
  <c r="O104" i="15" s="1"/>
  <c r="N104" i="15" a="1"/>
  <c r="N104" i="15" s="1"/>
  <c r="M104" i="15" a="1"/>
  <c r="M104" i="15" s="1"/>
  <c r="L104" i="15" a="1"/>
  <c r="L104" i="15" s="1"/>
  <c r="K104" i="15" a="1"/>
  <c r="K104" i="15" s="1"/>
  <c r="J104" i="15" a="1"/>
  <c r="J104" i="15" s="1"/>
  <c r="I104" i="15" a="1"/>
  <c r="I104" i="15" s="1"/>
  <c r="H104" i="15" a="1"/>
  <c r="H104" i="15" s="1"/>
  <c r="G104" i="15" a="1"/>
  <c r="G104" i="15" s="1"/>
  <c r="F104" i="15" a="1"/>
  <c r="F104" i="15" s="1"/>
  <c r="E104" i="15" a="1"/>
  <c r="E104" i="15" s="1"/>
  <c r="D104" i="15" a="1"/>
  <c r="D104" i="15" s="1"/>
  <c r="AE103" i="15" a="1"/>
  <c r="AE103" i="15" s="1"/>
  <c r="AD103" i="15" a="1"/>
  <c r="AD103" i="15" s="1"/>
  <c r="AC103" i="15" a="1"/>
  <c r="AC103" i="15" s="1"/>
  <c r="AB103" i="15" a="1"/>
  <c r="AB103" i="15" s="1"/>
  <c r="AA103" i="15" a="1"/>
  <c r="AA103" i="15" s="1"/>
  <c r="Z103" i="15" a="1"/>
  <c r="Z103" i="15" s="1"/>
  <c r="Y103" i="15" a="1"/>
  <c r="Y103" i="15" s="1"/>
  <c r="X103" i="15" a="1"/>
  <c r="X103" i="15" s="1"/>
  <c r="W103" i="15" a="1"/>
  <c r="W103" i="15" s="1"/>
  <c r="V103" i="15" a="1"/>
  <c r="V103" i="15" s="1"/>
  <c r="U103" i="15" a="1"/>
  <c r="U103" i="15" s="1"/>
  <c r="T103" i="15" a="1"/>
  <c r="T103" i="15" s="1"/>
  <c r="S103" i="15" a="1"/>
  <c r="S103" i="15" s="1"/>
  <c r="R103" i="15" a="1"/>
  <c r="R103" i="15" s="1"/>
  <c r="Q103" i="15" a="1"/>
  <c r="Q103" i="15" s="1"/>
  <c r="P103" i="15" a="1"/>
  <c r="P103" i="15" s="1"/>
  <c r="O103" i="15" a="1"/>
  <c r="O103" i="15" s="1"/>
  <c r="N103" i="15" a="1"/>
  <c r="N103" i="15" s="1"/>
  <c r="M103" i="15" a="1"/>
  <c r="M103" i="15" s="1"/>
  <c r="L103" i="15" a="1"/>
  <c r="L103" i="15" s="1"/>
  <c r="K103" i="15" a="1"/>
  <c r="K103" i="15" s="1"/>
  <c r="J103" i="15" a="1"/>
  <c r="J103" i="15" s="1"/>
  <c r="I103" i="15" a="1"/>
  <c r="I103" i="15" s="1"/>
  <c r="H103" i="15" a="1"/>
  <c r="H103" i="15" s="1"/>
  <c r="G103" i="15" a="1"/>
  <c r="G103" i="15" s="1"/>
  <c r="F103" i="15" a="1"/>
  <c r="F103" i="15" s="1"/>
  <c r="E103" i="15" a="1"/>
  <c r="E103" i="15" s="1"/>
  <c r="D103" i="15" a="1"/>
  <c r="D103" i="15" s="1"/>
  <c r="AE102" i="15" a="1"/>
  <c r="AE102" i="15" s="1"/>
  <c r="AD102" i="15" a="1"/>
  <c r="AD102" i="15" s="1"/>
  <c r="AC102" i="15" a="1"/>
  <c r="AC102" i="15" s="1"/>
  <c r="AB102" i="15" a="1"/>
  <c r="AB102" i="15" s="1"/>
  <c r="AA102" i="15" a="1"/>
  <c r="AA102" i="15" s="1"/>
  <c r="Z102" i="15" a="1"/>
  <c r="Z102" i="15" s="1"/>
  <c r="Y102" i="15" a="1"/>
  <c r="Y102" i="15" s="1"/>
  <c r="X102" i="15" a="1"/>
  <c r="X102" i="15" s="1"/>
  <c r="W102" i="15" a="1"/>
  <c r="W102" i="15" s="1"/>
  <c r="V102" i="15" a="1"/>
  <c r="V102" i="15" s="1"/>
  <c r="U102" i="15" a="1"/>
  <c r="U102" i="15" s="1"/>
  <c r="T102" i="15" a="1"/>
  <c r="T102" i="15" s="1"/>
  <c r="S102" i="15" a="1"/>
  <c r="S102" i="15" s="1"/>
  <c r="R102" i="15" a="1"/>
  <c r="R102" i="15" s="1"/>
  <c r="Q102" i="15" a="1"/>
  <c r="Q102" i="15" s="1"/>
  <c r="P102" i="15" a="1"/>
  <c r="P102" i="15" s="1"/>
  <c r="O102" i="15" a="1"/>
  <c r="O102" i="15" s="1"/>
  <c r="N102" i="15" a="1"/>
  <c r="N102" i="15" s="1"/>
  <c r="M102" i="15" a="1"/>
  <c r="M102" i="15" s="1"/>
  <c r="L102" i="15" a="1"/>
  <c r="L102" i="15" s="1"/>
  <c r="K102" i="15" a="1"/>
  <c r="K102" i="15" s="1"/>
  <c r="J102" i="15" a="1"/>
  <c r="J102" i="15" s="1"/>
  <c r="I102" i="15" a="1"/>
  <c r="I102" i="15" s="1"/>
  <c r="H102" i="15" a="1"/>
  <c r="H102" i="15" s="1"/>
  <c r="G102" i="15" a="1"/>
  <c r="G102" i="15" s="1"/>
  <c r="F102" i="15" a="1"/>
  <c r="F102" i="15" s="1"/>
  <c r="E102" i="15" a="1"/>
  <c r="E102" i="15" s="1"/>
  <c r="D102" i="15" a="1"/>
  <c r="D102" i="15" s="1"/>
  <c r="AE101" i="15" a="1"/>
  <c r="AE101" i="15" s="1"/>
  <c r="AD101" i="15" a="1"/>
  <c r="AD101" i="15" s="1"/>
  <c r="AC101" i="15" a="1"/>
  <c r="AC101" i="15" s="1"/>
  <c r="AB101" i="15" a="1"/>
  <c r="AB101" i="15" s="1"/>
  <c r="AA101" i="15" a="1"/>
  <c r="AA101" i="15" s="1"/>
  <c r="Z101" i="15" a="1"/>
  <c r="Z101" i="15" s="1"/>
  <c r="Y101" i="15" a="1"/>
  <c r="Y101" i="15" s="1"/>
  <c r="X101" i="15" a="1"/>
  <c r="X101" i="15" s="1"/>
  <c r="W101" i="15" a="1"/>
  <c r="W101" i="15" s="1"/>
  <c r="V101" i="15" a="1"/>
  <c r="V101" i="15" s="1"/>
  <c r="U101" i="15" a="1"/>
  <c r="U101" i="15" s="1"/>
  <c r="T101" i="15" a="1"/>
  <c r="T101" i="15" s="1"/>
  <c r="S101" i="15" a="1"/>
  <c r="S101" i="15" s="1"/>
  <c r="R101" i="15" a="1"/>
  <c r="R101" i="15" s="1"/>
  <c r="Q101" i="15" a="1"/>
  <c r="Q101" i="15" s="1"/>
  <c r="P101" i="15" a="1"/>
  <c r="P101" i="15" s="1"/>
  <c r="O101" i="15" a="1"/>
  <c r="O101" i="15" s="1"/>
  <c r="N101" i="15" a="1"/>
  <c r="N101" i="15" s="1"/>
  <c r="M101" i="15" a="1"/>
  <c r="M101" i="15" s="1"/>
  <c r="L101" i="15" a="1"/>
  <c r="L101" i="15" s="1"/>
  <c r="K101" i="15" a="1"/>
  <c r="K101" i="15" s="1"/>
  <c r="J101" i="15" a="1"/>
  <c r="J101" i="15" s="1"/>
  <c r="I101" i="15" a="1"/>
  <c r="I101" i="15" s="1"/>
  <c r="H101" i="15" a="1"/>
  <c r="H101" i="15" s="1"/>
  <c r="G101" i="15" a="1"/>
  <c r="G101" i="15" s="1"/>
  <c r="F101" i="15" a="1"/>
  <c r="F101" i="15" s="1"/>
  <c r="E101" i="15" a="1"/>
  <c r="E101" i="15" s="1"/>
  <c r="D101" i="15" a="1"/>
  <c r="D101" i="15" s="1"/>
  <c r="AE100" i="15" a="1"/>
  <c r="AE100" i="15" s="1"/>
  <c r="AD100" i="15" a="1"/>
  <c r="AD100" i="15" s="1"/>
  <c r="AC100" i="15" a="1"/>
  <c r="AC100" i="15" s="1"/>
  <c r="AB100" i="15" a="1"/>
  <c r="AB100" i="15" s="1"/>
  <c r="AA100" i="15" a="1"/>
  <c r="AA100" i="15" s="1"/>
  <c r="Z100" i="15" a="1"/>
  <c r="Z100" i="15" s="1"/>
  <c r="Y100" i="15" a="1"/>
  <c r="Y100" i="15" s="1"/>
  <c r="X100" i="15" a="1"/>
  <c r="X100" i="15" s="1"/>
  <c r="W100" i="15" a="1"/>
  <c r="W100" i="15" s="1"/>
  <c r="V100" i="15" a="1"/>
  <c r="V100" i="15" s="1"/>
  <c r="U100" i="15" a="1"/>
  <c r="U100" i="15" s="1"/>
  <c r="T100" i="15" a="1"/>
  <c r="T100" i="15" s="1"/>
  <c r="S100" i="15" a="1"/>
  <c r="S100" i="15" s="1"/>
  <c r="R100" i="15" a="1"/>
  <c r="R100" i="15" s="1"/>
  <c r="Q100" i="15" a="1"/>
  <c r="Q100" i="15" s="1"/>
  <c r="P100" i="15" a="1"/>
  <c r="P100" i="15" s="1"/>
  <c r="O100" i="15" a="1"/>
  <c r="O100" i="15" s="1"/>
  <c r="N100" i="15" a="1"/>
  <c r="N100" i="15" s="1"/>
  <c r="M100" i="15" a="1"/>
  <c r="M100" i="15" s="1"/>
  <c r="L100" i="15" a="1"/>
  <c r="L100" i="15" s="1"/>
  <c r="K100" i="15" a="1"/>
  <c r="K100" i="15" s="1"/>
  <c r="J100" i="15" a="1"/>
  <c r="J100" i="15" s="1"/>
  <c r="I100" i="15" a="1"/>
  <c r="I100" i="15" s="1"/>
  <c r="H100" i="15" a="1"/>
  <c r="H100" i="15" s="1"/>
  <c r="G100" i="15" a="1"/>
  <c r="G100" i="15" s="1"/>
  <c r="F100" i="15" a="1"/>
  <c r="F100" i="15" s="1"/>
  <c r="E100" i="15" a="1"/>
  <c r="E100" i="15" s="1"/>
  <c r="D100" i="15" a="1"/>
  <c r="D100" i="15" s="1"/>
  <c r="AE99" i="15" a="1"/>
  <c r="AE99" i="15" s="1"/>
  <c r="AD99" i="15" a="1"/>
  <c r="AD99" i="15" s="1"/>
  <c r="AC99" i="15" a="1"/>
  <c r="AC99" i="15" s="1"/>
  <c r="AB99" i="15" a="1"/>
  <c r="AB99" i="15" s="1"/>
  <c r="AA99" i="15" a="1"/>
  <c r="AA99" i="15" s="1"/>
  <c r="Z99" i="15" a="1"/>
  <c r="Z99" i="15" s="1"/>
  <c r="Y99" i="15" a="1"/>
  <c r="Y99" i="15" s="1"/>
  <c r="X99" i="15" a="1"/>
  <c r="X99" i="15" s="1"/>
  <c r="W99" i="15" a="1"/>
  <c r="W99" i="15" s="1"/>
  <c r="V99" i="15" a="1"/>
  <c r="V99" i="15" s="1"/>
  <c r="U99" i="15" a="1"/>
  <c r="U99" i="15" s="1"/>
  <c r="T99" i="15" a="1"/>
  <c r="T99" i="15" s="1"/>
  <c r="S99" i="15" a="1"/>
  <c r="S99" i="15" s="1"/>
  <c r="R99" i="15" a="1"/>
  <c r="R99" i="15" s="1"/>
  <c r="Q99" i="15" a="1"/>
  <c r="Q99" i="15" s="1"/>
  <c r="P99" i="15" a="1"/>
  <c r="P99" i="15" s="1"/>
  <c r="O99" i="15" a="1"/>
  <c r="O99" i="15" s="1"/>
  <c r="N99" i="15" a="1"/>
  <c r="N99" i="15" s="1"/>
  <c r="M99" i="15" a="1"/>
  <c r="M99" i="15" s="1"/>
  <c r="L99" i="15" a="1"/>
  <c r="L99" i="15" s="1"/>
  <c r="K99" i="15" a="1"/>
  <c r="K99" i="15" s="1"/>
  <c r="J99" i="15" a="1"/>
  <c r="J99" i="15" s="1"/>
  <c r="I99" i="15" a="1"/>
  <c r="I99" i="15" s="1"/>
  <c r="H99" i="15" a="1"/>
  <c r="H99" i="15" s="1"/>
  <c r="G99" i="15" a="1"/>
  <c r="G99" i="15" s="1"/>
  <c r="F99" i="15" a="1"/>
  <c r="F99" i="15" s="1"/>
  <c r="E99" i="15" a="1"/>
  <c r="E99" i="15" s="1"/>
  <c r="D99" i="15" a="1"/>
  <c r="D99" i="15" s="1"/>
  <c r="AE98" i="15" a="1"/>
  <c r="AE98" i="15" s="1"/>
  <c r="AD98" i="15" a="1"/>
  <c r="AD98" i="15" s="1"/>
  <c r="AC98" i="15" a="1"/>
  <c r="AC98" i="15" s="1"/>
  <c r="AB98" i="15" a="1"/>
  <c r="AB98" i="15" s="1"/>
  <c r="AA98" i="15" a="1"/>
  <c r="AA98" i="15" s="1"/>
  <c r="Z98" i="15" a="1"/>
  <c r="Z98" i="15" s="1"/>
  <c r="Y98" i="15" a="1"/>
  <c r="Y98" i="15" s="1"/>
  <c r="X98" i="15" a="1"/>
  <c r="X98" i="15" s="1"/>
  <c r="W98" i="15" a="1"/>
  <c r="W98" i="15" s="1"/>
  <c r="V98" i="15" a="1"/>
  <c r="V98" i="15" s="1"/>
  <c r="U98" i="15" a="1"/>
  <c r="U98" i="15" s="1"/>
  <c r="T98" i="15" a="1"/>
  <c r="T98" i="15" s="1"/>
  <c r="S98" i="15" a="1"/>
  <c r="S98" i="15" s="1"/>
  <c r="R98" i="15" a="1"/>
  <c r="R98" i="15" s="1"/>
  <c r="Q98" i="15" a="1"/>
  <c r="Q98" i="15" s="1"/>
  <c r="P98" i="15" a="1"/>
  <c r="P98" i="15" s="1"/>
  <c r="O98" i="15" a="1"/>
  <c r="O98" i="15" s="1"/>
  <c r="N98" i="15" a="1"/>
  <c r="N98" i="15" s="1"/>
  <c r="M98" i="15" a="1"/>
  <c r="M98" i="15" s="1"/>
  <c r="L98" i="15" a="1"/>
  <c r="L98" i="15" s="1"/>
  <c r="K98" i="15" a="1"/>
  <c r="K98" i="15" s="1"/>
  <c r="J98" i="15" a="1"/>
  <c r="J98" i="15" s="1"/>
  <c r="I98" i="15" a="1"/>
  <c r="I98" i="15" s="1"/>
  <c r="H98" i="15" a="1"/>
  <c r="H98" i="15" s="1"/>
  <c r="G98" i="15" a="1"/>
  <c r="G98" i="15" s="1"/>
  <c r="F98" i="15" a="1"/>
  <c r="F98" i="15" s="1"/>
  <c r="E98" i="15" a="1"/>
  <c r="E98" i="15" s="1"/>
  <c r="D98" i="15" a="1"/>
  <c r="D98" i="15" s="1"/>
  <c r="AE97" i="15" a="1"/>
  <c r="AE97" i="15" s="1"/>
  <c r="AD97" i="15" a="1"/>
  <c r="AD97" i="15" s="1"/>
  <c r="AC97" i="15" a="1"/>
  <c r="AC97" i="15" s="1"/>
  <c r="AB97" i="15" a="1"/>
  <c r="AB97" i="15" s="1"/>
  <c r="AA97" i="15" a="1"/>
  <c r="AA97" i="15" s="1"/>
  <c r="Z97" i="15" a="1"/>
  <c r="Z97" i="15" s="1"/>
  <c r="Y97" i="15" a="1"/>
  <c r="Y97" i="15" s="1"/>
  <c r="X97" i="15" a="1"/>
  <c r="X97" i="15" s="1"/>
  <c r="W97" i="15" a="1"/>
  <c r="W97" i="15" s="1"/>
  <c r="V97" i="15" a="1"/>
  <c r="V97" i="15" s="1"/>
  <c r="U97" i="15" a="1"/>
  <c r="U97" i="15" s="1"/>
  <c r="T97" i="15" a="1"/>
  <c r="T97" i="15" s="1"/>
  <c r="S97" i="15" a="1"/>
  <c r="S97" i="15" s="1"/>
  <c r="R97" i="15" a="1"/>
  <c r="R97" i="15" s="1"/>
  <c r="Q97" i="15" a="1"/>
  <c r="Q97" i="15" s="1"/>
  <c r="P97" i="15" a="1"/>
  <c r="P97" i="15" s="1"/>
  <c r="O97" i="15" a="1"/>
  <c r="O97" i="15" s="1"/>
  <c r="N97" i="15" a="1"/>
  <c r="N97" i="15" s="1"/>
  <c r="M97" i="15" a="1"/>
  <c r="M97" i="15" s="1"/>
  <c r="L97" i="15" a="1"/>
  <c r="L97" i="15" s="1"/>
  <c r="K97" i="15" a="1"/>
  <c r="K97" i="15" s="1"/>
  <c r="J97" i="15" a="1"/>
  <c r="J97" i="15" s="1"/>
  <c r="I97" i="15" a="1"/>
  <c r="I97" i="15" s="1"/>
  <c r="H97" i="15" a="1"/>
  <c r="H97" i="15" s="1"/>
  <c r="G97" i="15" a="1"/>
  <c r="G97" i="15" s="1"/>
  <c r="F97" i="15" a="1"/>
  <c r="F97" i="15" s="1"/>
  <c r="E97" i="15" a="1"/>
  <c r="E97" i="15" s="1"/>
  <c r="D97" i="15" a="1"/>
  <c r="D97" i="15" s="1"/>
  <c r="AE96" i="15" a="1"/>
  <c r="AE96" i="15" s="1"/>
  <c r="AD96" i="15" a="1"/>
  <c r="AD96" i="15" s="1"/>
  <c r="AC96" i="15" a="1"/>
  <c r="AC96" i="15" s="1"/>
  <c r="AB96" i="15" a="1"/>
  <c r="AB96" i="15" s="1"/>
  <c r="AA96" i="15" a="1"/>
  <c r="AA96" i="15" s="1"/>
  <c r="Z96" i="15" a="1"/>
  <c r="Z96" i="15" s="1"/>
  <c r="Y96" i="15" a="1"/>
  <c r="Y96" i="15" s="1"/>
  <c r="X96" i="15" a="1"/>
  <c r="X96" i="15" s="1"/>
  <c r="W96" i="15" a="1"/>
  <c r="W96" i="15" s="1"/>
  <c r="V96" i="15" a="1"/>
  <c r="V96" i="15" s="1"/>
  <c r="U96" i="15" a="1"/>
  <c r="U96" i="15" s="1"/>
  <c r="T96" i="15" a="1"/>
  <c r="T96" i="15" s="1"/>
  <c r="S96" i="15" a="1"/>
  <c r="S96" i="15" s="1"/>
  <c r="R96" i="15" a="1"/>
  <c r="R96" i="15" s="1"/>
  <c r="Q96" i="15" a="1"/>
  <c r="Q96" i="15" s="1"/>
  <c r="P96" i="15" a="1"/>
  <c r="P96" i="15" s="1"/>
  <c r="O96" i="15" a="1"/>
  <c r="O96" i="15" s="1"/>
  <c r="N96" i="15" a="1"/>
  <c r="N96" i="15" s="1"/>
  <c r="M96" i="15" a="1"/>
  <c r="M96" i="15" s="1"/>
  <c r="L96" i="15" a="1"/>
  <c r="L96" i="15" s="1"/>
  <c r="K96" i="15" a="1"/>
  <c r="K96" i="15" s="1"/>
  <c r="J96" i="15" a="1"/>
  <c r="J96" i="15" s="1"/>
  <c r="I96" i="15" a="1"/>
  <c r="I96" i="15" s="1"/>
  <c r="H96" i="15" a="1"/>
  <c r="H96" i="15" s="1"/>
  <c r="G96" i="15" a="1"/>
  <c r="G96" i="15" s="1"/>
  <c r="F96" i="15" a="1"/>
  <c r="F96" i="15" s="1"/>
  <c r="E96" i="15" a="1"/>
  <c r="E96" i="15" s="1"/>
  <c r="D96" i="15" a="1"/>
  <c r="D96" i="15" s="1"/>
  <c r="AE95" i="15" a="1"/>
  <c r="AE95" i="15" s="1"/>
  <c r="AD95" i="15" a="1"/>
  <c r="AD95" i="15" s="1"/>
  <c r="AC95" i="15" a="1"/>
  <c r="AC95" i="15" s="1"/>
  <c r="AB95" i="15" a="1"/>
  <c r="AB95" i="15" s="1"/>
  <c r="AA95" i="15" a="1"/>
  <c r="AA95" i="15" s="1"/>
  <c r="Z95" i="15" a="1"/>
  <c r="Z95" i="15" s="1"/>
  <c r="Y95" i="15" a="1"/>
  <c r="Y95" i="15" s="1"/>
  <c r="X95" i="15" a="1"/>
  <c r="X95" i="15" s="1"/>
  <c r="W95" i="15" a="1"/>
  <c r="W95" i="15" s="1"/>
  <c r="V95" i="15" a="1"/>
  <c r="V95" i="15" s="1"/>
  <c r="U95" i="15" a="1"/>
  <c r="U95" i="15" s="1"/>
  <c r="T95" i="15" a="1"/>
  <c r="T95" i="15" s="1"/>
  <c r="S95" i="15" a="1"/>
  <c r="S95" i="15" s="1"/>
  <c r="R95" i="15" a="1"/>
  <c r="R95" i="15" s="1"/>
  <c r="Q95" i="15" a="1"/>
  <c r="Q95" i="15" s="1"/>
  <c r="P95" i="15" a="1"/>
  <c r="P95" i="15" s="1"/>
  <c r="O95" i="15" a="1"/>
  <c r="O95" i="15" s="1"/>
  <c r="N95" i="15" a="1"/>
  <c r="N95" i="15" s="1"/>
  <c r="M95" i="15" a="1"/>
  <c r="M95" i="15" s="1"/>
  <c r="L95" i="15" a="1"/>
  <c r="L95" i="15" s="1"/>
  <c r="K95" i="15" a="1"/>
  <c r="K95" i="15" s="1"/>
  <c r="J95" i="15" a="1"/>
  <c r="J95" i="15" s="1"/>
  <c r="I95" i="15" a="1"/>
  <c r="I95" i="15" s="1"/>
  <c r="H95" i="15" a="1"/>
  <c r="H95" i="15" s="1"/>
  <c r="G95" i="15" a="1"/>
  <c r="G95" i="15" s="1"/>
  <c r="F95" i="15" a="1"/>
  <c r="F95" i="15" s="1"/>
  <c r="E95" i="15" a="1"/>
  <c r="E95" i="15" s="1"/>
  <c r="D95" i="15" a="1"/>
  <c r="D95" i="15" s="1"/>
  <c r="AE94" i="15" a="1"/>
  <c r="AE94" i="15" s="1"/>
  <c r="AD94" i="15" a="1"/>
  <c r="AD94" i="15" s="1"/>
  <c r="AC94" i="15" a="1"/>
  <c r="AC94" i="15" s="1"/>
  <c r="AB94" i="15" a="1"/>
  <c r="AB94" i="15" s="1"/>
  <c r="AA94" i="15" a="1"/>
  <c r="AA94" i="15" s="1"/>
  <c r="Z94" i="15" a="1"/>
  <c r="Z94" i="15" s="1"/>
  <c r="Y94" i="15" a="1"/>
  <c r="Y94" i="15" s="1"/>
  <c r="X94" i="15" a="1"/>
  <c r="X94" i="15" s="1"/>
  <c r="W94" i="15" a="1"/>
  <c r="W94" i="15" s="1"/>
  <c r="V94" i="15" a="1"/>
  <c r="V94" i="15" s="1"/>
  <c r="U94" i="15" a="1"/>
  <c r="U94" i="15" s="1"/>
  <c r="T94" i="15" a="1"/>
  <c r="T94" i="15" s="1"/>
  <c r="S94" i="15" a="1"/>
  <c r="S94" i="15" s="1"/>
  <c r="R94" i="15" a="1"/>
  <c r="R94" i="15" s="1"/>
  <c r="Q94" i="15" a="1"/>
  <c r="Q94" i="15" s="1"/>
  <c r="P94" i="15" a="1"/>
  <c r="P94" i="15" s="1"/>
  <c r="O94" i="15" a="1"/>
  <c r="O94" i="15" s="1"/>
  <c r="N94" i="15" a="1"/>
  <c r="N94" i="15" s="1"/>
  <c r="M94" i="15" a="1"/>
  <c r="M94" i="15" s="1"/>
  <c r="L94" i="15" a="1"/>
  <c r="L94" i="15" s="1"/>
  <c r="K94" i="15" a="1"/>
  <c r="K94" i="15" s="1"/>
  <c r="J94" i="15" a="1"/>
  <c r="J94" i="15" s="1"/>
  <c r="I94" i="15" a="1"/>
  <c r="I94" i="15" s="1"/>
  <c r="H94" i="15" a="1"/>
  <c r="H94" i="15" s="1"/>
  <c r="G94" i="15" a="1"/>
  <c r="G94" i="15" s="1"/>
  <c r="F94" i="15" a="1"/>
  <c r="F94" i="15" s="1"/>
  <c r="E94" i="15" a="1"/>
  <c r="E94" i="15" s="1"/>
  <c r="D94" i="15" a="1"/>
  <c r="D94" i="15" s="1"/>
  <c r="AE93" i="15" a="1"/>
  <c r="AE93" i="15" s="1"/>
  <c r="AD93" i="15" a="1"/>
  <c r="AD93" i="15" s="1"/>
  <c r="AC93" i="15" a="1"/>
  <c r="AC93" i="15" s="1"/>
  <c r="AB93" i="15" a="1"/>
  <c r="AB93" i="15" s="1"/>
  <c r="AA93" i="15" a="1"/>
  <c r="AA93" i="15" s="1"/>
  <c r="Z93" i="15" a="1"/>
  <c r="Z93" i="15" s="1"/>
  <c r="Y93" i="15" a="1"/>
  <c r="Y93" i="15" s="1"/>
  <c r="X93" i="15" a="1"/>
  <c r="X93" i="15" s="1"/>
  <c r="W93" i="15" a="1"/>
  <c r="W93" i="15" s="1"/>
  <c r="V93" i="15" a="1"/>
  <c r="V93" i="15" s="1"/>
  <c r="U93" i="15" a="1"/>
  <c r="U93" i="15" s="1"/>
  <c r="T93" i="15" a="1"/>
  <c r="T93" i="15" s="1"/>
  <c r="S93" i="15" a="1"/>
  <c r="S93" i="15" s="1"/>
  <c r="R93" i="15" a="1"/>
  <c r="R93" i="15" s="1"/>
  <c r="Q93" i="15" a="1"/>
  <c r="Q93" i="15" s="1"/>
  <c r="P93" i="15" a="1"/>
  <c r="P93" i="15" s="1"/>
  <c r="O93" i="15" a="1"/>
  <c r="O93" i="15" s="1"/>
  <c r="N93" i="15" a="1"/>
  <c r="N93" i="15" s="1"/>
  <c r="M93" i="15" a="1"/>
  <c r="M93" i="15" s="1"/>
  <c r="L93" i="15" a="1"/>
  <c r="L93" i="15" s="1"/>
  <c r="K93" i="15" a="1"/>
  <c r="K93" i="15" s="1"/>
  <c r="J93" i="15" a="1"/>
  <c r="J93" i="15" s="1"/>
  <c r="I93" i="15" a="1"/>
  <c r="I93" i="15" s="1"/>
  <c r="H93" i="15" a="1"/>
  <c r="H93" i="15" s="1"/>
  <c r="G93" i="15" a="1"/>
  <c r="G93" i="15" s="1"/>
  <c r="F93" i="15" a="1"/>
  <c r="F93" i="15" s="1"/>
  <c r="E93" i="15" a="1"/>
  <c r="E93" i="15" s="1"/>
  <c r="D93" i="15" a="1"/>
  <c r="D93" i="15" s="1"/>
  <c r="AE92" i="15" a="1"/>
  <c r="AE92" i="15" s="1"/>
  <c r="AD92" i="15" a="1"/>
  <c r="AD92" i="15" s="1"/>
  <c r="AC92" i="15" a="1"/>
  <c r="AC92" i="15" s="1"/>
  <c r="AB92" i="15" a="1"/>
  <c r="AB92" i="15" s="1"/>
  <c r="AA92" i="15" a="1"/>
  <c r="AA92" i="15" s="1"/>
  <c r="Z92" i="15" a="1"/>
  <c r="Z92" i="15" s="1"/>
  <c r="Y92" i="15" a="1"/>
  <c r="Y92" i="15" s="1"/>
  <c r="X92" i="15" a="1"/>
  <c r="X92" i="15" s="1"/>
  <c r="W92" i="15" a="1"/>
  <c r="W92" i="15" s="1"/>
  <c r="V92" i="15" a="1"/>
  <c r="V92" i="15" s="1"/>
  <c r="U92" i="15" a="1"/>
  <c r="U92" i="15" s="1"/>
  <c r="T92" i="15" a="1"/>
  <c r="T92" i="15" s="1"/>
  <c r="S92" i="15" a="1"/>
  <c r="S92" i="15" s="1"/>
  <c r="R92" i="15" a="1"/>
  <c r="R92" i="15" s="1"/>
  <c r="Q92" i="15" a="1"/>
  <c r="Q92" i="15" s="1"/>
  <c r="P92" i="15" a="1"/>
  <c r="P92" i="15" s="1"/>
  <c r="O92" i="15" a="1"/>
  <c r="O92" i="15" s="1"/>
  <c r="N92" i="15" a="1"/>
  <c r="N92" i="15" s="1"/>
  <c r="M92" i="15" a="1"/>
  <c r="M92" i="15" s="1"/>
  <c r="L92" i="15" a="1"/>
  <c r="L92" i="15" s="1"/>
  <c r="K92" i="15" a="1"/>
  <c r="K92" i="15" s="1"/>
  <c r="J92" i="15" a="1"/>
  <c r="J92" i="15" s="1"/>
  <c r="I92" i="15" a="1"/>
  <c r="I92" i="15" s="1"/>
  <c r="H92" i="15" a="1"/>
  <c r="H92" i="15" s="1"/>
  <c r="G92" i="15" a="1"/>
  <c r="G92" i="15" s="1"/>
  <c r="F92" i="15" a="1"/>
  <c r="F92" i="15" s="1"/>
  <c r="E92" i="15" a="1"/>
  <c r="E92" i="15" s="1"/>
  <c r="D92" i="15" a="1"/>
  <c r="D92" i="15" s="1"/>
  <c r="AE91" i="15" a="1"/>
  <c r="AE91" i="15" s="1"/>
  <c r="AD91" i="15" a="1"/>
  <c r="AD91" i="15" s="1"/>
  <c r="AC91" i="15" a="1"/>
  <c r="AC91" i="15" s="1"/>
  <c r="AB91" i="15" a="1"/>
  <c r="AB91" i="15" s="1"/>
  <c r="AA91" i="15" a="1"/>
  <c r="AA91" i="15" s="1"/>
  <c r="Z91" i="15" a="1"/>
  <c r="Z91" i="15" s="1"/>
  <c r="Y91" i="15" a="1"/>
  <c r="Y91" i="15" s="1"/>
  <c r="X91" i="15" a="1"/>
  <c r="X91" i="15" s="1"/>
  <c r="W91" i="15" a="1"/>
  <c r="W91" i="15" s="1"/>
  <c r="V91" i="15" a="1"/>
  <c r="V91" i="15" s="1"/>
  <c r="U91" i="15" a="1"/>
  <c r="U91" i="15" s="1"/>
  <c r="T91" i="15" a="1"/>
  <c r="T91" i="15" s="1"/>
  <c r="S91" i="15" a="1"/>
  <c r="S91" i="15" s="1"/>
  <c r="R91" i="15" a="1"/>
  <c r="R91" i="15" s="1"/>
  <c r="Q91" i="15" a="1"/>
  <c r="Q91" i="15" s="1"/>
  <c r="P91" i="15" a="1"/>
  <c r="P91" i="15" s="1"/>
  <c r="O91" i="15" a="1"/>
  <c r="O91" i="15" s="1"/>
  <c r="N91" i="15" a="1"/>
  <c r="N91" i="15" s="1"/>
  <c r="M91" i="15" a="1"/>
  <c r="M91" i="15" s="1"/>
  <c r="L91" i="15" a="1"/>
  <c r="L91" i="15" s="1"/>
  <c r="K91" i="15" a="1"/>
  <c r="K91" i="15" s="1"/>
  <c r="J91" i="15" a="1"/>
  <c r="J91" i="15" s="1"/>
  <c r="I91" i="15" a="1"/>
  <c r="I91" i="15" s="1"/>
  <c r="H91" i="15" a="1"/>
  <c r="H91" i="15" s="1"/>
  <c r="G91" i="15" a="1"/>
  <c r="G91" i="15" s="1"/>
  <c r="F91" i="15" a="1"/>
  <c r="F91" i="15" s="1"/>
  <c r="E91" i="15" a="1"/>
  <c r="E91" i="15" s="1"/>
  <c r="D91" i="15" a="1"/>
  <c r="D91" i="15" s="1"/>
  <c r="AE90" i="15" a="1"/>
  <c r="AE90" i="15" s="1"/>
  <c r="AD90" i="15" a="1"/>
  <c r="AD90" i="15" s="1"/>
  <c r="AC90" i="15" a="1"/>
  <c r="AC90" i="15" s="1"/>
  <c r="AB90" i="15" a="1"/>
  <c r="AB90" i="15" s="1"/>
  <c r="AA90" i="15" a="1"/>
  <c r="AA90" i="15" s="1"/>
  <c r="Z90" i="15" a="1"/>
  <c r="Z90" i="15" s="1"/>
  <c r="Y90" i="15" a="1"/>
  <c r="Y90" i="15" s="1"/>
  <c r="X90" i="15" a="1"/>
  <c r="X90" i="15" s="1"/>
  <c r="W90" i="15" a="1"/>
  <c r="W90" i="15" s="1"/>
  <c r="V90" i="15" a="1"/>
  <c r="V90" i="15" s="1"/>
  <c r="U90" i="15" a="1"/>
  <c r="U90" i="15" s="1"/>
  <c r="T90" i="15" a="1"/>
  <c r="T90" i="15" s="1"/>
  <c r="S90" i="15" a="1"/>
  <c r="S90" i="15" s="1"/>
  <c r="R90" i="15" a="1"/>
  <c r="R90" i="15" s="1"/>
  <c r="Q90" i="15" a="1"/>
  <c r="Q90" i="15" s="1"/>
  <c r="P90" i="15" a="1"/>
  <c r="P90" i="15" s="1"/>
  <c r="O90" i="15" a="1"/>
  <c r="O90" i="15" s="1"/>
  <c r="N90" i="15" a="1"/>
  <c r="N90" i="15" s="1"/>
  <c r="M90" i="15" a="1"/>
  <c r="M90" i="15" s="1"/>
  <c r="L90" i="15" a="1"/>
  <c r="L90" i="15" s="1"/>
  <c r="K90" i="15" a="1"/>
  <c r="K90" i="15" s="1"/>
  <c r="J90" i="15" a="1"/>
  <c r="J90" i="15" s="1"/>
  <c r="I90" i="15" a="1"/>
  <c r="I90" i="15" s="1"/>
  <c r="H90" i="15" a="1"/>
  <c r="H90" i="15" s="1"/>
  <c r="G90" i="15" a="1"/>
  <c r="G90" i="15" s="1"/>
  <c r="U16" i="8" s="1" a="1"/>
  <c r="U16" i="8" s="1"/>
  <c r="F90" i="15" a="1"/>
  <c r="F90" i="15" s="1"/>
  <c r="E90" i="15" a="1"/>
  <c r="E90" i="15" s="1"/>
  <c r="D90" i="15" a="1"/>
  <c r="D90" i="15" s="1"/>
  <c r="F83" i="15" a="1"/>
  <c r="F83" i="15" s="1"/>
  <c r="E83" i="15" a="1"/>
  <c r="E83" i="15" s="1"/>
  <c r="J91" i="14" s="1"/>
  <c r="D83" i="15" a="1"/>
  <c r="D83" i="15" s="1"/>
  <c r="D82" i="15" a="1"/>
  <c r="D82" i="15" s="1"/>
  <c r="D81" i="15" a="1"/>
  <c r="D81" i="15" s="1"/>
  <c r="F78" i="15" a="1"/>
  <c r="F78" i="15" s="1"/>
  <c r="E78" i="15" a="1"/>
  <c r="E78" i="15" s="1"/>
  <c r="I15" i="14" s="1"/>
  <c r="D78" i="15" a="1"/>
  <c r="D78" i="15" s="1"/>
  <c r="D77" i="15" a="1"/>
  <c r="D77" i="15" s="1"/>
  <c r="D76" i="15" a="1"/>
  <c r="D76" i="15" s="1"/>
  <c r="F73" i="15" a="1"/>
  <c r="F73" i="15" s="1"/>
  <c r="E73" i="15" a="1"/>
  <c r="E73" i="15" s="1"/>
  <c r="I97" i="13" s="1"/>
  <c r="D73" i="15" a="1"/>
  <c r="D73" i="15" s="1"/>
  <c r="D72" i="15" a="1"/>
  <c r="D72" i="15" s="1"/>
  <c r="D71" i="15" a="1"/>
  <c r="D71" i="15" s="1"/>
  <c r="F68" i="15" a="1"/>
  <c r="F68" i="15" s="1"/>
  <c r="E68" i="15" a="1"/>
  <c r="E68" i="15" s="1"/>
  <c r="D68" i="15" a="1"/>
  <c r="D68" i="15" s="1"/>
  <c r="F67" i="15" a="1"/>
  <c r="F67" i="15" s="1"/>
  <c r="I19" i="12" s="1"/>
  <c r="E67" i="15" a="1"/>
  <c r="E67" i="15" s="1"/>
  <c r="I18" i="12" s="1"/>
  <c r="D67" i="15" a="1"/>
  <c r="D67" i="15" s="1"/>
  <c r="F66" i="15" a="1"/>
  <c r="F66" i="15" s="1"/>
  <c r="I16" i="12" s="1"/>
  <c r="E66" i="15" a="1"/>
  <c r="E66" i="15" s="1"/>
  <c r="I15" i="12" s="1"/>
  <c r="D66" i="15" a="1"/>
  <c r="D66" i="15" s="1"/>
  <c r="D64" i="15" a="1"/>
  <c r="D64" i="15" s="1"/>
  <c r="D63" i="15" a="1"/>
  <c r="D63" i="15" s="1"/>
  <c r="F60" i="15" a="1"/>
  <c r="F60" i="15" s="1"/>
  <c r="E60" i="15" a="1"/>
  <c r="E60" i="15" s="1"/>
  <c r="I50" i="10" s="1"/>
  <c r="D60" i="15" a="1"/>
  <c r="D60" i="15" s="1"/>
  <c r="D59" i="15" a="1"/>
  <c r="D59" i="15" s="1"/>
  <c r="D58" i="15" a="1"/>
  <c r="D58" i="15" s="1"/>
  <c r="E55" i="15" a="1"/>
  <c r="E55" i="15" s="1"/>
  <c r="D55" i="15" a="1"/>
  <c r="D55" i="15" s="1"/>
  <c r="E54" i="15" a="1"/>
  <c r="E54" i="15" s="1"/>
  <c r="D54" i="15" a="1"/>
  <c r="D54" i="15" s="1"/>
  <c r="E53" i="15" a="1"/>
  <c r="E53" i="15" s="1"/>
  <c r="D53" i="15" a="1"/>
  <c r="D53" i="15" s="1"/>
  <c r="E52" i="15" a="1"/>
  <c r="E52" i="15" s="1"/>
  <c r="D52" i="15" a="1"/>
  <c r="D52" i="15" s="1"/>
  <c r="E51" i="15" a="1"/>
  <c r="E51" i="15" s="1"/>
  <c r="D51" i="15" a="1"/>
  <c r="D51" i="15" s="1"/>
  <c r="D49" i="15" a="1"/>
  <c r="D49" i="15" s="1"/>
  <c r="D48" i="15" a="1"/>
  <c r="D48" i="15" s="1"/>
  <c r="I38" i="15" a="1"/>
  <c r="I38" i="15" s="1"/>
  <c r="H38" i="15" a="1"/>
  <c r="H38" i="15" s="1"/>
  <c r="G38" i="15" a="1"/>
  <c r="G38" i="15" s="1"/>
  <c r="F38" i="15" a="1"/>
  <c r="F38" i="15" s="1"/>
  <c r="E38" i="15" a="1"/>
  <c r="E38" i="15" s="1"/>
  <c r="D38" i="15" a="1"/>
  <c r="D38" i="15" s="1"/>
  <c r="I37" i="15" a="1"/>
  <c r="I37" i="15" s="1"/>
  <c r="H37" i="15" a="1"/>
  <c r="H37" i="15" s="1"/>
  <c r="G37" i="15" a="1"/>
  <c r="G37" i="15" s="1"/>
  <c r="F37" i="15" a="1"/>
  <c r="F37" i="15" s="1"/>
  <c r="E37" i="15" a="1"/>
  <c r="E37" i="15" s="1"/>
  <c r="D37" i="15" a="1"/>
  <c r="D37" i="15" s="1"/>
  <c r="I36" i="15" a="1"/>
  <c r="I36" i="15" s="1"/>
  <c r="H36" i="15" a="1"/>
  <c r="H36" i="15" s="1"/>
  <c r="G36" i="15" a="1"/>
  <c r="G36" i="15" s="1"/>
  <c r="F36" i="15" a="1"/>
  <c r="F36" i="15" s="1"/>
  <c r="E36" i="15" a="1"/>
  <c r="E36" i="15" s="1"/>
  <c r="D36" i="15" a="1"/>
  <c r="D36" i="15" s="1"/>
  <c r="I35" i="15" a="1"/>
  <c r="I35" i="15" s="1"/>
  <c r="H35" i="15" a="1"/>
  <c r="H35" i="15" s="1"/>
  <c r="G35" i="15" a="1"/>
  <c r="G35" i="15" s="1"/>
  <c r="F35" i="15" a="1"/>
  <c r="F35" i="15" s="1"/>
  <c r="E35" i="15" a="1"/>
  <c r="E35" i="15" s="1"/>
  <c r="D35" i="15" a="1"/>
  <c r="D35" i="15" s="1"/>
  <c r="I34" i="15" a="1"/>
  <c r="I34" i="15" s="1"/>
  <c r="H34" i="15" a="1"/>
  <c r="H34" i="15" s="1"/>
  <c r="G34" i="15" a="1"/>
  <c r="G34" i="15" s="1"/>
  <c r="F34" i="15" a="1"/>
  <c r="F34" i="15" s="1"/>
  <c r="E34" i="15" a="1"/>
  <c r="E34" i="15" s="1"/>
  <c r="D34" i="15" a="1"/>
  <c r="D34" i="15" s="1"/>
  <c r="I33" i="15" a="1"/>
  <c r="I33" i="15" s="1"/>
  <c r="H33" i="15" a="1"/>
  <c r="H33" i="15" s="1"/>
  <c r="G33" i="15" a="1"/>
  <c r="G33" i="15" s="1"/>
  <c r="F33" i="15" a="1"/>
  <c r="F33" i="15" s="1"/>
  <c r="E33" i="15" a="1"/>
  <c r="E33" i="15" s="1"/>
  <c r="D33" i="15" a="1"/>
  <c r="D33" i="15" s="1"/>
  <c r="I32" i="15" a="1"/>
  <c r="I32" i="15" s="1"/>
  <c r="H32" i="15" a="1"/>
  <c r="H32" i="15" s="1"/>
  <c r="G32" i="15" a="1"/>
  <c r="G32" i="15" s="1"/>
  <c r="F32" i="15" a="1"/>
  <c r="F32" i="15" s="1"/>
  <c r="E32" i="15" a="1"/>
  <c r="E32" i="15" s="1"/>
  <c r="D32" i="15" a="1"/>
  <c r="D32" i="15" s="1"/>
  <c r="I31" i="15" a="1"/>
  <c r="I31" i="15" s="1"/>
  <c r="H31" i="15" a="1"/>
  <c r="H31" i="15" s="1"/>
  <c r="G31" i="15" a="1"/>
  <c r="G31" i="15" s="1"/>
  <c r="F31" i="15" a="1"/>
  <c r="F31" i="15" s="1"/>
  <c r="E31" i="15" a="1"/>
  <c r="E31" i="15" s="1"/>
  <c r="D31" i="15" a="1"/>
  <c r="D31" i="15" s="1"/>
  <c r="I30" i="15" a="1"/>
  <c r="I30" i="15" s="1"/>
  <c r="H30" i="15" a="1"/>
  <c r="H30" i="15" s="1"/>
  <c r="G30" i="15" a="1"/>
  <c r="G30" i="15" s="1"/>
  <c r="F30" i="15" a="1"/>
  <c r="F30" i="15" s="1"/>
  <c r="E30" i="15" a="1"/>
  <c r="E30" i="15" s="1"/>
  <c r="D30" i="15" a="1"/>
  <c r="D30" i="15" s="1"/>
  <c r="I29" i="15" a="1"/>
  <c r="I29" i="15" s="1"/>
  <c r="H29" i="15" a="1"/>
  <c r="H29" i="15" s="1"/>
  <c r="G29" i="15" a="1"/>
  <c r="G29" i="15" s="1"/>
  <c r="F29" i="15" a="1"/>
  <c r="F29" i="15" s="1"/>
  <c r="E29" i="15" a="1"/>
  <c r="E29" i="15" s="1"/>
  <c r="D29" i="15" a="1"/>
  <c r="D29" i="15" s="1"/>
  <c r="R28" i="15" a="1"/>
  <c r="R28" i="15" s="1"/>
  <c r="Q28" i="15" a="1"/>
  <c r="Q28" i="15" s="1"/>
  <c r="L28" i="15" a="1"/>
  <c r="L28" i="15" s="1"/>
  <c r="K28" i="15" a="1"/>
  <c r="K28" i="15" s="1"/>
  <c r="I28" i="15" a="1"/>
  <c r="I28" i="15" s="1"/>
  <c r="H28" i="15" a="1"/>
  <c r="H28" i="15" s="1"/>
  <c r="G28" i="15" a="1"/>
  <c r="G28" i="15" s="1"/>
  <c r="F28" i="15" a="1"/>
  <c r="F28" i="15" s="1"/>
  <c r="E28" i="15" a="1"/>
  <c r="E28" i="15" s="1"/>
  <c r="D28" i="15" a="1"/>
  <c r="D28" i="15" s="1"/>
  <c r="R27" i="15" a="1"/>
  <c r="R27" i="15" s="1"/>
  <c r="Q27" i="15" a="1"/>
  <c r="Q27" i="15" s="1"/>
  <c r="L27" i="15" a="1"/>
  <c r="L27" i="15" s="1"/>
  <c r="K27" i="15" a="1"/>
  <c r="K27" i="15" s="1"/>
  <c r="I27" i="15" a="1"/>
  <c r="I27" i="15" s="1"/>
  <c r="H27" i="15" a="1"/>
  <c r="H27" i="15" s="1"/>
  <c r="G27" i="15" a="1"/>
  <c r="G27" i="15" s="1"/>
  <c r="F27" i="15" a="1"/>
  <c r="F27" i="15" s="1"/>
  <c r="E27" i="15" a="1"/>
  <c r="E27" i="15" s="1"/>
  <c r="D27" i="15" a="1"/>
  <c r="D27" i="15" s="1"/>
  <c r="R26" i="15" a="1"/>
  <c r="R26" i="15" s="1"/>
  <c r="Q26" i="15" a="1"/>
  <c r="Q26" i="15" s="1"/>
  <c r="L26" i="15" a="1"/>
  <c r="L26" i="15" s="1"/>
  <c r="K26" i="15" a="1"/>
  <c r="K26" i="15" s="1"/>
  <c r="I26" i="15" a="1"/>
  <c r="I26" i="15" s="1"/>
  <c r="H26" i="15" a="1"/>
  <c r="H26" i="15" s="1"/>
  <c r="G26" i="15" a="1"/>
  <c r="G26" i="15" s="1"/>
  <c r="F26" i="15" a="1"/>
  <c r="F26" i="15" s="1"/>
  <c r="E26" i="15" a="1"/>
  <c r="E26" i="15" s="1"/>
  <c r="D26" i="15" a="1"/>
  <c r="D26" i="15" s="1"/>
  <c r="R25" i="15" a="1"/>
  <c r="R25" i="15" s="1"/>
  <c r="Q25" i="15" a="1"/>
  <c r="Q25" i="15" s="1"/>
  <c r="L25" i="15" a="1"/>
  <c r="L25" i="15" s="1"/>
  <c r="K25" i="15" a="1"/>
  <c r="K25" i="15" s="1"/>
  <c r="I25" i="15" a="1"/>
  <c r="I25" i="15" s="1"/>
  <c r="H25" i="15" a="1"/>
  <c r="H25" i="15" s="1"/>
  <c r="G25" i="15" a="1"/>
  <c r="G25" i="15" s="1"/>
  <c r="F25" i="15" a="1"/>
  <c r="F25" i="15" s="1"/>
  <c r="E25" i="15" a="1"/>
  <c r="E25" i="15" s="1"/>
  <c r="D25" i="15" a="1"/>
  <c r="D25" i="15" s="1"/>
  <c r="R24" i="15" a="1"/>
  <c r="R24" i="15" s="1"/>
  <c r="Q24" i="15" a="1"/>
  <c r="Q24" i="15" s="1"/>
  <c r="L24" i="15" a="1"/>
  <c r="L24" i="15" s="1"/>
  <c r="K24" i="15" a="1"/>
  <c r="K24" i="15" s="1"/>
  <c r="I24" i="15" a="1"/>
  <c r="I24" i="15" s="1"/>
  <c r="H24" i="15" a="1"/>
  <c r="H24" i="15" s="1"/>
  <c r="G24" i="15" a="1"/>
  <c r="G24" i="15" s="1"/>
  <c r="F24" i="15" a="1"/>
  <c r="F24" i="15" s="1"/>
  <c r="E24" i="15" a="1"/>
  <c r="E24" i="15" s="1"/>
  <c r="D24" i="15" a="1"/>
  <c r="D24" i="15" s="1"/>
  <c r="V23" i="15" a="1"/>
  <c r="V23" i="15" s="1"/>
  <c r="R23" i="15" a="1"/>
  <c r="R23" i="15" s="1"/>
  <c r="Q23" i="15" a="1"/>
  <c r="Q23" i="15" s="1"/>
  <c r="L23" i="15" a="1"/>
  <c r="L23" i="15" s="1"/>
  <c r="K23" i="15" a="1"/>
  <c r="K23" i="15" s="1"/>
  <c r="I23" i="15" a="1"/>
  <c r="I23" i="15" s="1"/>
  <c r="H23" i="15" a="1"/>
  <c r="H23" i="15" s="1"/>
  <c r="G23" i="15" a="1"/>
  <c r="G23" i="15" s="1"/>
  <c r="F23" i="15" a="1"/>
  <c r="F23" i="15" s="1"/>
  <c r="E23" i="15" a="1"/>
  <c r="E23" i="15" s="1"/>
  <c r="D23" i="15" a="1"/>
  <c r="D23" i="15" s="1"/>
  <c r="V22" i="15" a="1"/>
  <c r="V22" i="15" s="1"/>
  <c r="R22" i="15" a="1"/>
  <c r="R22" i="15" s="1"/>
  <c r="Q22" i="15" a="1"/>
  <c r="Q22" i="15" s="1"/>
  <c r="L22" i="15" a="1"/>
  <c r="L22" i="15" s="1"/>
  <c r="K22" i="15" a="1"/>
  <c r="K22" i="15" s="1"/>
  <c r="I22" i="15" a="1"/>
  <c r="I22" i="15" s="1"/>
  <c r="H22" i="15" a="1"/>
  <c r="H22" i="15" s="1"/>
  <c r="G22" i="15" a="1"/>
  <c r="G22" i="15" s="1"/>
  <c r="F22" i="15" a="1"/>
  <c r="F22" i="15" s="1"/>
  <c r="E22" i="15" a="1"/>
  <c r="E22" i="15" s="1"/>
  <c r="D22" i="15" a="1"/>
  <c r="D22" i="15" s="1"/>
  <c r="V21" i="15" a="1"/>
  <c r="V21" i="15" s="1"/>
  <c r="R21" i="15" a="1"/>
  <c r="R21" i="15" s="1"/>
  <c r="Q21" i="15" a="1"/>
  <c r="Q21" i="15" s="1"/>
  <c r="L21" i="15" a="1"/>
  <c r="L21" i="15" s="1"/>
  <c r="K21" i="15" a="1"/>
  <c r="K21" i="15" s="1"/>
  <c r="I21" i="15" a="1"/>
  <c r="I21" i="15" s="1"/>
  <c r="H21" i="15" a="1"/>
  <c r="H21" i="15" s="1"/>
  <c r="G21" i="15" a="1"/>
  <c r="G21" i="15" s="1"/>
  <c r="F21" i="15" a="1"/>
  <c r="F21" i="15" s="1"/>
  <c r="E21" i="15" a="1"/>
  <c r="E21" i="15" s="1"/>
  <c r="D21" i="15" a="1"/>
  <c r="D21" i="15" s="1"/>
  <c r="V20" i="15" a="1"/>
  <c r="V20" i="15" s="1"/>
  <c r="R20" i="15" a="1"/>
  <c r="R20" i="15" s="1"/>
  <c r="Q20" i="15" a="1"/>
  <c r="Q20" i="15" s="1"/>
  <c r="L20" i="15" a="1"/>
  <c r="L20" i="15" s="1"/>
  <c r="K20" i="15" a="1"/>
  <c r="K20" i="15" s="1"/>
  <c r="I20" i="15" a="1"/>
  <c r="I20" i="15" s="1"/>
  <c r="H20" i="15" a="1"/>
  <c r="H20" i="15" s="1"/>
  <c r="G20" i="15" a="1"/>
  <c r="G20" i="15" s="1"/>
  <c r="F20" i="15" a="1"/>
  <c r="F20" i="15" s="1"/>
  <c r="E20" i="15" a="1"/>
  <c r="E20" i="15" s="1"/>
  <c r="D20" i="15" a="1"/>
  <c r="D20" i="15" s="1"/>
  <c r="D19" i="10" s="1" a="1"/>
  <c r="V18" i="15" a="1"/>
  <c r="V18" i="15" s="1"/>
  <c r="Q18" i="15" a="1"/>
  <c r="Q18" i="15" s="1"/>
  <c r="K18" i="15" a="1"/>
  <c r="K18" i="15" s="1"/>
  <c r="V17" i="15" a="1"/>
  <c r="V17" i="15" s="1"/>
  <c r="Q17" i="15" a="1"/>
  <c r="Q17" i="15" s="1"/>
  <c r="K17" i="15" a="1"/>
  <c r="K17" i="15" s="1"/>
  <c r="D7" i="15" a="1"/>
  <c r="D7" i="15" s="1"/>
  <c r="D6" i="15" a="1"/>
  <c r="D6" i="15" s="1"/>
  <c r="D5" i="15" a="1"/>
  <c r="D5" i="15" s="1"/>
  <c r="F99" i="14" a="1"/>
  <c r="F99" i="14" s="1"/>
  <c r="D96" i="14" a="1"/>
  <c r="D96" i="14" s="1"/>
  <c r="H89" i="14" a="1"/>
  <c r="H89" i="14" s="1"/>
  <c r="D89" i="14" a="1"/>
  <c r="D89" i="14" s="1"/>
  <c r="E87" i="14" a="1"/>
  <c r="E87" i="14" s="1"/>
  <c r="F94" i="14" s="1"/>
  <c r="E86" i="14" a="1"/>
  <c r="E86" i="14" s="1"/>
  <c r="D82" i="14" a="1"/>
  <c r="D82" i="14" s="1"/>
  <c r="D81" i="14" a="1"/>
  <c r="D81" i="14" s="1"/>
  <c r="D67" i="14"/>
  <c r="D66" i="14"/>
  <c r="D65" i="14"/>
  <c r="I60" i="14"/>
  <c r="I59" i="14"/>
  <c r="I58" i="14"/>
  <c r="I55" i="14" a="1"/>
  <c r="I55" i="14" s="1"/>
  <c r="G55" i="14" a="1"/>
  <c r="G55" i="14" s="1"/>
  <c r="D55" i="14" a="1"/>
  <c r="D55" i="14" s="1"/>
  <c r="E53" i="14" a="1"/>
  <c r="E53" i="14" s="1"/>
  <c r="F77" i="14" s="1"/>
  <c r="E52" i="14" a="1"/>
  <c r="E52" i="14" s="1"/>
  <c r="D48" i="14" a="1"/>
  <c r="D48" i="14" s="1"/>
  <c r="D47" i="14" a="1"/>
  <c r="D47" i="14" s="1"/>
  <c r="I18" i="14"/>
  <c r="I17" i="14"/>
  <c r="I16" i="14"/>
  <c r="I13" i="14" a="1"/>
  <c r="I13" i="14" s="1"/>
  <c r="G13" i="14" a="1"/>
  <c r="G13" i="14" s="1"/>
  <c r="D13" i="14" a="1"/>
  <c r="D13" i="14" s="1"/>
  <c r="E11" i="14" a="1"/>
  <c r="E11" i="14" s="1"/>
  <c r="F43" i="14" s="1"/>
  <c r="E10" i="14" a="1"/>
  <c r="E10" i="14" s="1"/>
  <c r="D6" i="14" a="1"/>
  <c r="D6" i="14" s="1"/>
  <c r="D5" i="14" a="1"/>
  <c r="D5" i="14" s="1"/>
  <c r="F151" i="13" a="1"/>
  <c r="F151" i="13" s="1"/>
  <c r="D148" i="13" a="1"/>
  <c r="D148" i="13" s="1"/>
  <c r="I128" i="13"/>
  <c r="I125" i="13" s="1"/>
  <c r="I127" i="13"/>
  <c r="I124" i="13" a="1"/>
  <c r="I124" i="13" s="1"/>
  <c r="G124" i="13" a="1"/>
  <c r="G124" i="13" s="1"/>
  <c r="D124" i="13" a="1"/>
  <c r="D124" i="13" s="1"/>
  <c r="E122" i="13" a="1"/>
  <c r="E122" i="13" s="1"/>
  <c r="F146" i="13" s="1"/>
  <c r="E121" i="13" a="1"/>
  <c r="E121" i="13" s="1"/>
  <c r="D117" i="13" a="1"/>
  <c r="D117" i="13" s="1"/>
  <c r="D116" i="13" a="1"/>
  <c r="D116" i="13" s="1"/>
  <c r="I96" i="13" a="1"/>
  <c r="I96" i="13" s="1"/>
  <c r="G96" i="13" a="1"/>
  <c r="G96" i="13" s="1"/>
  <c r="D96" i="13" a="1"/>
  <c r="D96" i="13" s="1"/>
  <c r="E94" i="13" a="1"/>
  <c r="E94" i="13" s="1"/>
  <c r="G102" i="13" s="1"/>
  <c r="E93" i="13" a="1"/>
  <c r="E93" i="13" s="1"/>
  <c r="D89" i="13" a="1"/>
  <c r="D89" i="13" s="1"/>
  <c r="D88" i="13" a="1"/>
  <c r="D88" i="13" s="1"/>
  <c r="F84" i="13" a="1"/>
  <c r="F84" i="13" s="1"/>
  <c r="D81" i="13" a="1"/>
  <c r="D81" i="13" s="1"/>
  <c r="J53" i="13"/>
  <c r="J52" i="13"/>
  <c r="J49" i="13" a="1"/>
  <c r="J49" i="13" s="1"/>
  <c r="H49" i="13" a="1"/>
  <c r="H49" i="13" s="1"/>
  <c r="D49" i="13" a="1"/>
  <c r="D49" i="13" s="1"/>
  <c r="E47" i="13" a="1"/>
  <c r="E47" i="13" s="1"/>
  <c r="E46" i="13" a="1"/>
  <c r="E46" i="13" s="1"/>
  <c r="D42" i="13" a="1"/>
  <c r="D42" i="13" s="1"/>
  <c r="D41" i="13" a="1"/>
  <c r="D41" i="13" s="1"/>
  <c r="I14" i="13" a="1"/>
  <c r="I14" i="13" s="1"/>
  <c r="I13" i="13" a="1"/>
  <c r="I13" i="13" s="1"/>
  <c r="G13" i="13" a="1"/>
  <c r="G13" i="13" s="1"/>
  <c r="D13" i="13" a="1"/>
  <c r="D13" i="13" s="1"/>
  <c r="E11" i="13" a="1"/>
  <c r="E11" i="13" s="1"/>
  <c r="E10" i="13" a="1"/>
  <c r="E10" i="13" s="1"/>
  <c r="D6" i="13" a="1"/>
  <c r="D6" i="13" s="1"/>
  <c r="D5" i="13" a="1"/>
  <c r="D5" i="13" s="1"/>
  <c r="I17" i="12" a="1"/>
  <c r="I17" i="12" s="1"/>
  <c r="I14" i="12" a="1"/>
  <c r="I14" i="12" s="1"/>
  <c r="I13" i="12" a="1"/>
  <c r="I13" i="12" s="1"/>
  <c r="G13" i="12" a="1"/>
  <c r="G13" i="12" s="1"/>
  <c r="D13" i="12" a="1"/>
  <c r="D13" i="12" s="1"/>
  <c r="E11" i="12" a="1"/>
  <c r="E11" i="12" s="1"/>
  <c r="E10" i="12" a="1"/>
  <c r="E10" i="12" s="1"/>
  <c r="D6" i="12" a="1"/>
  <c r="D6" i="12" s="1"/>
  <c r="D5" i="12" a="1"/>
  <c r="D5" i="12" s="1"/>
  <c r="F55" i="11" a="1"/>
  <c r="F55" i="11" s="1"/>
  <c r="D52" i="11" a="1"/>
  <c r="D52" i="11" s="1"/>
  <c r="K47" i="11"/>
  <c r="I44" i="11" a="1"/>
  <c r="I44" i="11" s="1"/>
  <c r="D44" i="11" a="1"/>
  <c r="D44" i="11" s="1"/>
  <c r="E42" i="11" a="1"/>
  <c r="E42" i="11" s="1"/>
  <c r="F50" i="11" s="1"/>
  <c r="E41" i="11" a="1"/>
  <c r="E41" i="11" s="1"/>
  <c r="D37" i="11" a="1"/>
  <c r="D37" i="11" s="1"/>
  <c r="D36" i="11" a="1"/>
  <c r="D36" i="11" s="1"/>
  <c r="I30" i="11" a="1"/>
  <c r="I30" i="11" s="1"/>
  <c r="E112" i="13" s="1"/>
  <c r="I29" i="11" a="1"/>
  <c r="I29" i="11" s="1"/>
  <c r="E111" i="13" s="1"/>
  <c r="I28" i="11" a="1"/>
  <c r="I28" i="11" s="1"/>
  <c r="E73" i="14" s="1"/>
  <c r="I27" i="11" a="1"/>
  <c r="I27" i="11" s="1"/>
  <c r="E72" i="14" s="1"/>
  <c r="I26" i="11" a="1"/>
  <c r="I26" i="11" s="1"/>
  <c r="E71" i="14" s="1"/>
  <c r="I25" i="11" a="1"/>
  <c r="I25" i="11" s="1"/>
  <c r="E70" i="14" s="1"/>
  <c r="I24" i="11" a="1"/>
  <c r="I24" i="11" s="1"/>
  <c r="E69" i="14" s="1"/>
  <c r="I23" i="11" a="1"/>
  <c r="I23" i="11" s="1"/>
  <c r="E105" i="13" s="1"/>
  <c r="I15" i="11" a="1"/>
  <c r="I15" i="11" s="1"/>
  <c r="I14" i="11" a="1"/>
  <c r="I14" i="11" s="1"/>
  <c r="I13" i="11" a="1"/>
  <c r="I13" i="11" s="1"/>
  <c r="G13" i="11" a="1"/>
  <c r="G13" i="11" s="1"/>
  <c r="D13" i="11" a="1"/>
  <c r="D13" i="11" s="1"/>
  <c r="E11" i="11" a="1"/>
  <c r="E11" i="11" s="1"/>
  <c r="F32" i="11" s="1"/>
  <c r="E10" i="11" a="1"/>
  <c r="E10" i="11" s="1"/>
  <c r="D6" i="11" a="1"/>
  <c r="D6" i="11" s="1"/>
  <c r="D5" i="11" a="1"/>
  <c r="D5" i="11" s="1"/>
  <c r="I53" i="10" a="1"/>
  <c r="I53" i="10" s="1"/>
  <c r="I52" i="10"/>
  <c r="I49" i="10" a="1"/>
  <c r="I49" i="10" s="1"/>
  <c r="G49" i="10" a="1"/>
  <c r="G49" i="10" s="1"/>
  <c r="D49" i="10" a="1"/>
  <c r="D49" i="10" s="1"/>
  <c r="E47" i="10" a="1"/>
  <c r="E47" i="10" s="1"/>
  <c r="E46" i="10" a="1"/>
  <c r="E46" i="10" s="1"/>
  <c r="D42" i="10" a="1"/>
  <c r="D42" i="10" s="1"/>
  <c r="D41" i="10" a="1"/>
  <c r="D41" i="10" s="1"/>
  <c r="I14" i="10" a="1"/>
  <c r="I14" i="10" s="1"/>
  <c r="I13" i="10" a="1"/>
  <c r="I13" i="10" s="1"/>
  <c r="G13" i="10" a="1"/>
  <c r="G13" i="10" s="1"/>
  <c r="D13" i="10" a="1"/>
  <c r="D13" i="10" s="1"/>
  <c r="E11" i="10" a="1"/>
  <c r="E11" i="10" s="1"/>
  <c r="E10" i="10" a="1"/>
  <c r="E10" i="10" s="1"/>
  <c r="D6" i="10" a="1"/>
  <c r="D6" i="10" s="1"/>
  <c r="D5" i="10" a="1"/>
  <c r="D5" i="10" s="1"/>
  <c r="O93" i="9" a="1"/>
  <c r="O93" i="9" s="1"/>
  <c r="M90" i="9" a="1"/>
  <c r="M90" i="9" s="1"/>
  <c r="F85" i="9" a="1"/>
  <c r="F85" i="9" s="1"/>
  <c r="D82" i="9" a="1"/>
  <c r="D82" i="9" s="1"/>
  <c r="S73" i="9"/>
  <c r="S71" i="9"/>
  <c r="S70" i="9"/>
  <c r="S67" i="9" a="1"/>
  <c r="S67" i="9" s="1"/>
  <c r="Q67" i="9" a="1"/>
  <c r="Q67" i="9" s="1"/>
  <c r="M67" i="9" a="1"/>
  <c r="M67" i="9" s="1"/>
  <c r="N65" i="9" a="1"/>
  <c r="N65" i="9" s="1"/>
  <c r="N64" i="9" a="1"/>
  <c r="N64" i="9" s="1"/>
  <c r="M59" i="9" a="1"/>
  <c r="M59" i="9" s="1"/>
  <c r="M58" i="9" a="1"/>
  <c r="M58" i="9" s="1"/>
  <c r="V54" i="9" a="1"/>
  <c r="V54" i="9" s="1"/>
  <c r="T54" i="9"/>
  <c r="U54" i="9" s="1"/>
  <c r="S54" i="9" a="1"/>
  <c r="S54" i="9" s="1"/>
  <c r="R54" i="9" a="1"/>
  <c r="R54" i="9" s="1"/>
  <c r="Q54" i="9"/>
  <c r="I54" i="9"/>
  <c r="V53" i="9" a="1"/>
  <c r="V53" i="9" s="1"/>
  <c r="T53" i="9"/>
  <c r="U53" i="9" s="1"/>
  <c r="S53" i="9" a="1"/>
  <c r="S53" i="9" s="1"/>
  <c r="R53" i="9" a="1"/>
  <c r="R53" i="9" s="1"/>
  <c r="Q53" i="9"/>
  <c r="I53" i="9"/>
  <c r="I52" i="9"/>
  <c r="I49" i="9" a="1"/>
  <c r="I49" i="9" s="1"/>
  <c r="G49" i="9" a="1"/>
  <c r="G49" i="9" s="1"/>
  <c r="D49" i="9" a="1"/>
  <c r="D49" i="9" s="1"/>
  <c r="E47" i="9" a="1"/>
  <c r="E47" i="9" s="1"/>
  <c r="E46" i="9" a="1"/>
  <c r="E46" i="9" s="1"/>
  <c r="D41" i="9" a="1"/>
  <c r="D41" i="9" s="1"/>
  <c r="D40" i="9" a="1"/>
  <c r="D40" i="9" s="1"/>
  <c r="R35" i="9" a="1"/>
  <c r="R35" i="9" s="1"/>
  <c r="P35" i="9" a="1"/>
  <c r="P35" i="9" s="1"/>
  <c r="M35" i="9" a="1"/>
  <c r="M35" i="9" s="1"/>
  <c r="N33" i="9" a="1"/>
  <c r="N33" i="9" s="1"/>
  <c r="V43" i="9" s="1"/>
  <c r="N32" i="9" a="1"/>
  <c r="N32" i="9" s="1"/>
  <c r="V44" i="9" s="1"/>
  <c r="M28" i="9" a="1"/>
  <c r="M28" i="9" s="1"/>
  <c r="M27" i="9" a="1"/>
  <c r="M27" i="9" s="1"/>
  <c r="R23" i="9" a="1"/>
  <c r="R23" i="9" s="1"/>
  <c r="P23" i="9" a="1"/>
  <c r="P23" i="9" s="1"/>
  <c r="M23" i="9" a="1"/>
  <c r="M23" i="9" s="1"/>
  <c r="N21" i="9" a="1"/>
  <c r="N21" i="9" s="1"/>
  <c r="S43" i="9" s="1"/>
  <c r="N20" i="9" a="1"/>
  <c r="N20" i="9" s="1"/>
  <c r="S44" i="9" s="1"/>
  <c r="M17" i="9" a="1"/>
  <c r="M17" i="9" s="1"/>
  <c r="M16" i="9" a="1"/>
  <c r="M16" i="9" s="1"/>
  <c r="I14" i="9" a="1"/>
  <c r="I14" i="9" s="1"/>
  <c r="I13" i="9" a="1"/>
  <c r="I13" i="9" s="1"/>
  <c r="G13" i="9" a="1"/>
  <c r="G13" i="9" s="1"/>
  <c r="D13" i="9" a="1"/>
  <c r="D13" i="9" s="1"/>
  <c r="R12" i="9" a="1"/>
  <c r="R12" i="9" s="1"/>
  <c r="P12" i="9" a="1"/>
  <c r="P12" i="9" s="1"/>
  <c r="M12" i="9" a="1"/>
  <c r="M12" i="9" s="1"/>
  <c r="E11" i="9" a="1"/>
  <c r="E11" i="9" s="1"/>
  <c r="N10" i="9" a="1"/>
  <c r="N10" i="9" s="1"/>
  <c r="R43" i="9" s="1"/>
  <c r="E10" i="9" a="1"/>
  <c r="E10" i="9" s="1"/>
  <c r="N9" i="9" a="1"/>
  <c r="N9" i="9" s="1"/>
  <c r="R44" i="9" s="1"/>
  <c r="M6" i="9" a="1"/>
  <c r="M6" i="9" s="1"/>
  <c r="D6" i="9" a="1"/>
  <c r="D6" i="9" s="1"/>
  <c r="M5" i="9" a="1"/>
  <c r="M5" i="9" s="1"/>
  <c r="D5" i="9" a="1"/>
  <c r="D5" i="9" s="1"/>
  <c r="H44" i="8"/>
  <c r="I44" i="8" s="1"/>
  <c r="G44" i="8"/>
  <c r="H43" i="8"/>
  <c r="I43" i="8" s="1"/>
  <c r="G43" i="8"/>
  <c r="H42" i="8"/>
  <c r="I42" i="8" s="1"/>
  <c r="G42" i="8"/>
  <c r="K33" i="8"/>
  <c r="F33" i="8"/>
  <c r="G33" i="8" s="1"/>
  <c r="K32" i="8"/>
  <c r="F32" i="8"/>
  <c r="G32" i="8" s="1"/>
  <c r="K31" i="8"/>
  <c r="F31" i="8"/>
  <c r="G31" i="8" s="1"/>
  <c r="E25" i="12" s="1" a="1"/>
  <c r="E25" i="12" s="1"/>
  <c r="F22" i="8"/>
  <c r="G22" i="8" s="1"/>
  <c r="F21" i="8"/>
  <c r="G21" i="8" s="1"/>
  <c r="F20" i="8"/>
  <c r="G20" i="8" s="1"/>
  <c r="H16" i="8"/>
  <c r="H15" i="8"/>
  <c r="H14" i="8"/>
  <c r="H13" i="8"/>
  <c r="H12" i="8"/>
  <c r="P45" i="9" s="1" a="1"/>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2"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2"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2" s="1"/>
  <c r="E32" i="22"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149" i="13"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43" i="13" a="1"/>
  <c r="E38" i="11" a="1"/>
  <c r="E49" i="14" a="1"/>
  <c r="E7" i="12" a="1"/>
  <c r="E7" i="11" a="1"/>
  <c r="L7" i="17" a="1"/>
  <c r="E7" i="17" a="1"/>
  <c r="E42" i="9" a="1"/>
  <c r="E83" i="14"/>
  <c r="E118" i="13" a="1"/>
  <c r="L8" i="18" a="1"/>
  <c r="E43" i="10" a="1"/>
  <c r="E7" i="14" a="1"/>
  <c r="E7" i="9" a="1"/>
  <c r="E7" i="18" a="1"/>
  <c r="E7" i="10" a="1"/>
  <c r="N60" i="9" a="1"/>
  <c r="E90" i="13" a="1"/>
  <c r="E7" i="13" a="1"/>
  <c r="D19" i="10" l="1"/>
  <c r="F19" i="10" s="1" a="1"/>
  <c r="F19" i="10" s="1"/>
  <c r="F36" i="10" a="1"/>
  <c r="F36" i="10" s="1"/>
  <c r="F22" i="10" a="1"/>
  <c r="F22" i="10" s="1"/>
  <c r="F35" i="10" a="1"/>
  <c r="F35" i="10" s="1"/>
  <c r="F21" i="10" a="1"/>
  <c r="F21" i="10" s="1"/>
  <c r="F34" i="10" a="1"/>
  <c r="F34" i="10" s="1"/>
  <c r="F20" i="10" a="1"/>
  <c r="F20" i="10" s="1"/>
  <c r="F33" i="10" a="1"/>
  <c r="F33" i="10" s="1"/>
  <c r="F32" i="10" a="1"/>
  <c r="F32" i="10" s="1"/>
  <c r="F31" i="10" a="1"/>
  <c r="F31" i="10" s="1"/>
  <c r="F30" i="10" a="1"/>
  <c r="F30" i="10" s="1"/>
  <c r="F29" i="10" a="1"/>
  <c r="F29" i="10" s="1"/>
  <c r="F28" i="10" a="1"/>
  <c r="F28" i="10" s="1"/>
  <c r="F27" i="10" a="1"/>
  <c r="F27" i="10" s="1"/>
  <c r="F26" i="10" a="1"/>
  <c r="F26" i="10" s="1"/>
  <c r="F25" i="10" a="1"/>
  <c r="F25" i="10" s="1"/>
  <c r="F24" i="10" a="1"/>
  <c r="F24" i="10" s="1"/>
  <c r="F37" i="10" a="1"/>
  <c r="F37" i="10" s="1"/>
  <c r="F23" i="10" a="1"/>
  <c r="F23" i="10" s="1"/>
  <c r="M33" i="17" a="1"/>
  <c r="M33" i="17" s="1"/>
  <c r="I27" i="18"/>
  <c r="H27" i="18"/>
  <c r="G27" i="18"/>
  <c r="K27" i="18"/>
  <c r="J27" i="18"/>
  <c r="K29" i="18"/>
  <c r="J29" i="18"/>
  <c r="I29" i="18"/>
  <c r="H29" i="18"/>
  <c r="G29" i="18"/>
  <c r="M37" i="17" a="1"/>
  <c r="M37" i="17" s="1"/>
  <c r="L37" i="17" a="1"/>
  <c r="L37" i="17" s="1"/>
  <c r="M36" i="18" a="1"/>
  <c r="M36" i="18" s="1"/>
  <c r="L36" i="18" a="1"/>
  <c r="L36" i="18" s="1"/>
  <c r="M29" i="18" a="1"/>
  <c r="M29" i="18" s="1"/>
  <c r="L29" i="18" a="1"/>
  <c r="L29" i="18" s="1"/>
  <c r="J54" i="13"/>
  <c r="I55" i="9"/>
  <c r="S74" i="9"/>
  <c r="I129" i="13"/>
  <c r="J40" i="18"/>
  <c r="I40" i="18"/>
  <c r="H40" i="18"/>
  <c r="G40" i="18"/>
  <c r="M26" i="18" a="1"/>
  <c r="M26" i="18" s="1"/>
  <c r="M29" i="17" a="1"/>
  <c r="M29" i="17" s="1"/>
  <c r="I39" i="17" a="1"/>
  <c r="I39" i="17" s="1"/>
  <c r="M33" i="18" a="1"/>
  <c r="M33" i="18" s="1"/>
  <c r="M30" i="18" a="1"/>
  <c r="M30" i="18" s="1"/>
  <c r="L30" i="18" a="1"/>
  <c r="L30" i="18" s="1"/>
  <c r="M35" i="17" a="1"/>
  <c r="M35" i="17" s="1"/>
  <c r="L35" i="17" a="1"/>
  <c r="L35" i="17" s="1"/>
  <c r="M26" i="17" a="1"/>
  <c r="M26" i="17" s="1"/>
  <c r="M30" i="17" a="1"/>
  <c r="M30" i="17" s="1"/>
  <c r="M38" i="17" a="1"/>
  <c r="M38" i="17" s="1"/>
  <c r="L38" i="17" a="1"/>
  <c r="L38" i="17" s="1"/>
  <c r="M31" i="18" a="1"/>
  <c r="M31" i="18" s="1"/>
  <c r="L31" i="18" a="1"/>
  <c r="L31" i="18" s="1"/>
  <c r="K35" i="18"/>
  <c r="J35" i="18"/>
  <c r="I35" i="18"/>
  <c r="H35" i="18"/>
  <c r="G35" i="18"/>
  <c r="M27" i="18" a="1"/>
  <c r="M27" i="18" s="1"/>
  <c r="M38" i="18" a="1"/>
  <c r="M38" i="18" s="1"/>
  <c r="M37" i="18" a="1"/>
  <c r="M37" i="18" s="1"/>
  <c r="L37" i="18" a="1"/>
  <c r="L37" i="18" s="1"/>
  <c r="M34" i="18" a="1"/>
  <c r="M34" i="18" s="1"/>
  <c r="M31" i="17" a="1"/>
  <c r="M31" i="17" s="1"/>
  <c r="J39" i="18"/>
  <c r="I39" i="18"/>
  <c r="H39" i="18"/>
  <c r="G39" i="18"/>
  <c r="M36" i="17" a="1"/>
  <c r="M36" i="17" s="1"/>
  <c r="L36" i="17" a="1"/>
  <c r="L36" i="17" s="1"/>
  <c r="M32" i="17" a="1"/>
  <c r="M32" i="17" s="1"/>
  <c r="J33" i="18"/>
  <c r="I33" i="18"/>
  <c r="H33" i="18"/>
  <c r="G33" i="18"/>
  <c r="K33" i="18"/>
  <c r="G38" i="18"/>
  <c r="K38" i="18"/>
  <c r="J38" i="18"/>
  <c r="I38" i="18"/>
  <c r="H38" i="18"/>
  <c r="M32" i="18" a="1"/>
  <c r="M32" i="18" s="1"/>
  <c r="M28" i="18" a="1"/>
  <c r="M28" i="18" s="1"/>
  <c r="M40" i="18" a="1"/>
  <c r="M40" i="18" s="1"/>
  <c r="J30" i="18"/>
  <c r="I30" i="18"/>
  <c r="O30" i="18" s="1" a="1"/>
  <c r="O30" i="18" s="1"/>
  <c r="H30" i="18"/>
  <c r="N30" i="18" s="1" a="1"/>
  <c r="N30" i="18" s="1"/>
  <c r="G30" i="18"/>
  <c r="K30" i="18"/>
  <c r="M39" i="18" a="1"/>
  <c r="M39" i="18" s="1"/>
  <c r="M25" i="18" a="1"/>
  <c r="M25" i="18" s="1"/>
  <c r="L25" i="18" a="1"/>
  <c r="L25" i="18" s="1"/>
  <c r="M34" i="17" a="1"/>
  <c r="M34" i="17" s="1"/>
  <c r="L34" i="17" a="1"/>
  <c r="L34" i="17" s="1"/>
  <c r="M35" i="18" a="1"/>
  <c r="M35" i="18" s="1"/>
  <c r="K32" i="18"/>
  <c r="J32" i="18"/>
  <c r="I32" i="18"/>
  <c r="H32" i="18"/>
  <c r="G32" i="18"/>
  <c r="L25" i="17" a="1"/>
  <c r="L25" i="17" s="1"/>
  <c r="M25" i="17" a="1"/>
  <c r="M25" i="17" s="1"/>
  <c r="M28" i="17" a="1"/>
  <c r="M28" i="17" s="1"/>
  <c r="T12" i="8" a="1"/>
  <c r="T12" i="8" s="1"/>
  <c r="Q13" i="8" a="1"/>
  <c r="Q13" i="8" s="1"/>
  <c r="N14" i="8" a="1"/>
  <c r="N14" i="8" s="1"/>
  <c r="K15" i="8" a="1"/>
  <c r="K15" i="8" s="1"/>
  <c r="F16" i="8"/>
  <c r="D59" i="13" a="1"/>
  <c r="D59" i="13" s="1"/>
  <c r="D23" i="14" a="1"/>
  <c r="D23" i="14" s="1"/>
  <c r="E74" i="14"/>
  <c r="I27" i="17" a="1"/>
  <c r="I27" i="17" s="1"/>
  <c r="J30" i="17" a="1"/>
  <c r="J30" i="17" s="1"/>
  <c r="J33" i="17" a="1"/>
  <c r="J33" i="17" s="1"/>
  <c r="J36" i="17" a="1"/>
  <c r="J36" i="17" s="1"/>
  <c r="E38" i="17"/>
  <c r="J38" i="17" s="1" a="1"/>
  <c r="J38" i="17" s="1"/>
  <c r="J39" i="17" a="1"/>
  <c r="J39" i="17" s="1"/>
  <c r="E26" i="18"/>
  <c r="U12" i="8" a="1"/>
  <c r="U12" i="8" s="1"/>
  <c r="R13" i="8" a="1"/>
  <c r="R13" i="8" s="1"/>
  <c r="O14" i="8" a="1"/>
  <c r="O14" i="8" s="1"/>
  <c r="L15" i="8" a="1"/>
  <c r="L15" i="8" s="1"/>
  <c r="G16" i="8"/>
  <c r="W16" i="8"/>
  <c r="I51" i="10"/>
  <c r="G82" i="13"/>
  <c r="E26" i="17"/>
  <c r="J27" i="17" a="1"/>
  <c r="J27" i="17" s="1"/>
  <c r="K30" i="17" a="1"/>
  <c r="K30" i="17" s="1"/>
  <c r="G32" i="17" a="1"/>
  <c r="G32" i="17" s="1"/>
  <c r="K33" i="17" a="1"/>
  <c r="K33" i="17" s="1"/>
  <c r="K36" i="17" a="1"/>
  <c r="K36" i="17" s="1"/>
  <c r="K39" i="17" a="1"/>
  <c r="K39" i="17" s="1"/>
  <c r="F12" i="8"/>
  <c r="S13" i="8" a="1"/>
  <c r="S13" i="8" s="1"/>
  <c r="P14" i="8" a="1"/>
  <c r="P14" i="8" s="1"/>
  <c r="M15" i="8" a="1"/>
  <c r="M15" i="8" s="1"/>
  <c r="J16" i="8" a="1"/>
  <c r="J16" i="8" s="1"/>
  <c r="X16" i="8"/>
  <c r="D19" i="9" a="1"/>
  <c r="D58" i="10" a="1"/>
  <c r="D58" i="10" s="1"/>
  <c r="D19" i="13" a="1"/>
  <c r="E68" i="14"/>
  <c r="E75" i="14"/>
  <c r="K27" i="17" a="1"/>
  <c r="K27" i="17" s="1"/>
  <c r="G29" i="17" a="1"/>
  <c r="G29" i="17" s="1"/>
  <c r="H32" i="17" a="1"/>
  <c r="H32" i="17" s="1"/>
  <c r="G35" i="17" a="1"/>
  <c r="G35" i="17" s="1"/>
  <c r="G38" i="17" a="1"/>
  <c r="G38" i="17" s="1"/>
  <c r="E37" i="18"/>
  <c r="G12" i="8"/>
  <c r="W12" i="8"/>
  <c r="T13" i="8" a="1"/>
  <c r="T13" i="8" s="1"/>
  <c r="Q14" i="8" a="1"/>
  <c r="Q14" i="8" s="1"/>
  <c r="N15" i="8" a="1"/>
  <c r="N15" i="8" s="1"/>
  <c r="K16" i="8" a="1"/>
  <c r="K16" i="8" s="1"/>
  <c r="P20" i="8"/>
  <c r="D60" i="9" a="1"/>
  <c r="D60" i="9" s="1"/>
  <c r="G26" i="17" a="1"/>
  <c r="G26" i="17" s="1"/>
  <c r="H29" i="17" a="1"/>
  <c r="H29" i="17" s="1"/>
  <c r="I32" i="17" a="1"/>
  <c r="I32" i="17" s="1"/>
  <c r="H35" i="17" a="1"/>
  <c r="H35" i="17" s="1"/>
  <c r="H38" i="17" a="1"/>
  <c r="H38" i="17" s="1"/>
  <c r="E31" i="18"/>
  <c r="E34" i="18"/>
  <c r="J12" i="8" a="1"/>
  <c r="J12" i="8" s="1"/>
  <c r="X12" i="8"/>
  <c r="U13" i="8" a="1"/>
  <c r="U13" i="8" s="1"/>
  <c r="R14" i="8" a="1"/>
  <c r="R14" i="8" s="1"/>
  <c r="O15" i="8" a="1"/>
  <c r="O15" i="8" s="1"/>
  <c r="L16" i="8" a="1"/>
  <c r="L16" i="8" s="1"/>
  <c r="P21" i="8"/>
  <c r="E106" i="13"/>
  <c r="G97" i="14"/>
  <c r="H26" i="17" a="1"/>
  <c r="H26" i="17" s="1"/>
  <c r="I29" i="17" a="1"/>
  <c r="I29" i="17" s="1"/>
  <c r="J32" i="17" a="1"/>
  <c r="J32" i="17" s="1"/>
  <c r="I35" i="17" a="1"/>
  <c r="I35" i="17" s="1"/>
  <c r="I38" i="17" a="1"/>
  <c r="I38" i="17" s="1"/>
  <c r="E28" i="18"/>
  <c r="K12" i="8" a="1"/>
  <c r="K12" i="8" s="1"/>
  <c r="F13" i="8"/>
  <c r="S14" i="8" a="1"/>
  <c r="S14" i="8" s="1"/>
  <c r="P15" i="8" a="1"/>
  <c r="P15" i="8" s="1"/>
  <c r="M16" i="8" a="1"/>
  <c r="M16" i="8" s="1"/>
  <c r="P22" i="8"/>
  <c r="E107" i="13"/>
  <c r="I26" i="17" a="1"/>
  <c r="I26" i="17" s="1"/>
  <c r="J29" i="17" a="1"/>
  <c r="J29" i="17" s="1"/>
  <c r="K32" i="17" a="1"/>
  <c r="K32" i="17" s="1"/>
  <c r="J35" i="17" a="1"/>
  <c r="J35" i="17" s="1"/>
  <c r="P35" i="17" s="1" a="1"/>
  <c r="P35" i="17" s="1"/>
  <c r="E37" i="17"/>
  <c r="H37" i="17" s="1" a="1"/>
  <c r="H37" i="17" s="1"/>
  <c r="E25" i="18"/>
  <c r="L12" i="8" a="1"/>
  <c r="L12" i="8" s="1"/>
  <c r="G13" i="8"/>
  <c r="W13" i="8"/>
  <c r="T14" i="8" a="1"/>
  <c r="T14" i="8" s="1"/>
  <c r="Q15" i="8" a="1"/>
  <c r="Q15" i="8" s="1"/>
  <c r="N16" i="8" a="1"/>
  <c r="N16" i="8" s="1"/>
  <c r="E108" i="13"/>
  <c r="E25" i="17"/>
  <c r="J26" i="17" a="1"/>
  <c r="J26" i="17" s="1"/>
  <c r="K29" i="17" a="1"/>
  <c r="K29" i="17" s="1"/>
  <c r="G31" i="17" a="1"/>
  <c r="G31" i="17" s="1"/>
  <c r="K35" i="17" a="1"/>
  <c r="K35" i="17" s="1"/>
  <c r="K38" i="17" a="1"/>
  <c r="K38" i="17" s="1"/>
  <c r="F106" i="13" a="1"/>
  <c r="F106" i="13" s="1"/>
  <c r="E138" i="13" s="1"/>
  <c r="J50" i="13"/>
  <c r="M12" i="8" a="1"/>
  <c r="M12" i="8" s="1"/>
  <c r="J13" i="8" a="1"/>
  <c r="J13" i="8" s="1"/>
  <c r="X13" i="8"/>
  <c r="U14" i="8" a="1"/>
  <c r="U14" i="8" s="1"/>
  <c r="R15" i="8" a="1"/>
  <c r="R15" i="8" s="1"/>
  <c r="O16" i="8" a="1"/>
  <c r="O16" i="8" s="1"/>
  <c r="G83" i="9"/>
  <c r="G53" i="11"/>
  <c r="E109" i="13"/>
  <c r="F109" i="13" s="1" a="1"/>
  <c r="F109" i="13" s="1"/>
  <c r="E141" i="13" s="1"/>
  <c r="K26" i="17" a="1"/>
  <c r="K26" i="17" s="1"/>
  <c r="G28" i="17" a="1"/>
  <c r="G28" i="17" s="1"/>
  <c r="H31" i="17" a="1"/>
  <c r="H31" i="17" s="1"/>
  <c r="G34" i="17" a="1"/>
  <c r="G34" i="17" s="1"/>
  <c r="G37" i="17" a="1"/>
  <c r="G37" i="17" s="1"/>
  <c r="E36" i="18"/>
  <c r="N12" i="8" a="1"/>
  <c r="N12" i="8" s="1"/>
  <c r="K13" i="8" a="1"/>
  <c r="K13" i="8" s="1"/>
  <c r="F14" i="8"/>
  <c r="S15" i="8" a="1"/>
  <c r="S15" i="8" s="1"/>
  <c r="P16" i="8" a="1"/>
  <c r="P16" i="8" s="1"/>
  <c r="P91" i="9"/>
  <c r="E110" i="13"/>
  <c r="G25" i="17" a="1"/>
  <c r="G25" i="17" s="1"/>
  <c r="H28" i="17" a="1"/>
  <c r="H28" i="17" s="1"/>
  <c r="I31" i="17" a="1"/>
  <c r="I31" i="17" s="1"/>
  <c r="H34" i="17" a="1"/>
  <c r="H34" i="17" s="1"/>
  <c r="O12" i="8" a="1"/>
  <c r="O12" i="8" s="1"/>
  <c r="L13" i="8" a="1"/>
  <c r="L13" i="8" s="1"/>
  <c r="G14" i="8"/>
  <c r="W14" i="8"/>
  <c r="T15" i="8" a="1"/>
  <c r="T15" i="8" s="1"/>
  <c r="Q16" i="8" a="1"/>
  <c r="Q16" i="8" s="1"/>
  <c r="H25" i="17" a="1"/>
  <c r="H25" i="17" s="1"/>
  <c r="I28" i="17" a="1"/>
  <c r="I28" i="17" s="1"/>
  <c r="J31" i="17" a="1"/>
  <c r="J31" i="17" s="1"/>
  <c r="I34" i="17" a="1"/>
  <c r="I34" i="17" s="1"/>
  <c r="I37" i="17" a="1"/>
  <c r="I37" i="17" s="1"/>
  <c r="I56" i="14"/>
  <c r="P12" i="8" a="1"/>
  <c r="P12" i="8" s="1"/>
  <c r="M13" i="8" a="1"/>
  <c r="M13" i="8" s="1"/>
  <c r="J14" i="8" a="1"/>
  <c r="J14" i="8" s="1"/>
  <c r="X14" i="8"/>
  <c r="U15" i="8" a="1"/>
  <c r="U15" i="8" s="1"/>
  <c r="R16" i="8" a="1"/>
  <c r="R16" i="8" s="1"/>
  <c r="I19" i="16"/>
  <c r="I25" i="17" a="1"/>
  <c r="I25" i="17" s="1"/>
  <c r="J28" i="17" a="1"/>
  <c r="J28" i="17" s="1"/>
  <c r="K31" i="17" a="1"/>
  <c r="K31" i="17" s="1"/>
  <c r="J34" i="17" a="1"/>
  <c r="J34" i="17" s="1"/>
  <c r="J37" i="17" a="1"/>
  <c r="J37" i="17" s="1"/>
  <c r="I14" i="14"/>
  <c r="Q12" i="8" a="1"/>
  <c r="Q12" i="8" s="1"/>
  <c r="N13" i="8" a="1"/>
  <c r="N13" i="8" s="1"/>
  <c r="K14" i="8" a="1"/>
  <c r="K14" i="8" s="1"/>
  <c r="F15" i="8"/>
  <c r="S16" i="8" a="1"/>
  <c r="S16" i="8" s="1"/>
  <c r="J25" i="17" a="1"/>
  <c r="J25" i="17" s="1"/>
  <c r="K28" i="17" a="1"/>
  <c r="K28" i="17" s="1"/>
  <c r="G30" i="17" a="1"/>
  <c r="G30" i="17" s="1"/>
  <c r="G33" i="17" a="1"/>
  <c r="G33" i="17" s="1"/>
  <c r="K34" i="17" a="1"/>
  <c r="K34" i="17" s="1"/>
  <c r="G36" i="17" a="1"/>
  <c r="G36" i="17" s="1"/>
  <c r="N36" i="17" s="1" a="1"/>
  <c r="N36" i="17" s="1"/>
  <c r="K37" i="17" a="1"/>
  <c r="K37" i="17" s="1"/>
  <c r="G39" i="17" a="1"/>
  <c r="G39" i="17" s="1"/>
  <c r="R12" i="8" a="1"/>
  <c r="R12" i="8" s="1"/>
  <c r="O13" i="8" a="1"/>
  <c r="O13" i="8" s="1"/>
  <c r="L14" i="8" a="1"/>
  <c r="L14" i="8" s="1"/>
  <c r="G15" i="8"/>
  <c r="I15" i="8" s="1"/>
  <c r="W15" i="8"/>
  <c r="T16" i="8" a="1"/>
  <c r="T16" i="8" s="1"/>
  <c r="K25" i="17" a="1"/>
  <c r="K25" i="17" s="1"/>
  <c r="G27" i="17" a="1"/>
  <c r="G27" i="17" s="1"/>
  <c r="H30" i="17" a="1"/>
  <c r="H30" i="17" s="1"/>
  <c r="H33" i="17" a="1"/>
  <c r="H33" i="17" s="1"/>
  <c r="H36" i="17" a="1"/>
  <c r="H36" i="17" s="1"/>
  <c r="H39" i="17" a="1"/>
  <c r="H39" i="17" s="1"/>
  <c r="S12" i="8" a="1"/>
  <c r="S12" i="8" s="1"/>
  <c r="P13" i="8" a="1"/>
  <c r="P13" i="8" s="1"/>
  <c r="M14" i="8" a="1"/>
  <c r="M14" i="8" s="1"/>
  <c r="J15" i="8" a="1"/>
  <c r="J15" i="8" s="1"/>
  <c r="X15" i="8"/>
  <c r="H27" i="17" a="1"/>
  <c r="H27" i="17" s="1"/>
  <c r="I30" i="17" a="1"/>
  <c r="I30" i="17" s="1"/>
  <c r="I33" i="17" a="1"/>
  <c r="I33" i="17" s="1"/>
  <c r="I36" i="17" a="1"/>
  <c r="I36" i="17" s="1"/>
  <c r="O36" i="17" s="1" a="1"/>
  <c r="O36" i="17" s="1"/>
  <c r="K40" i="18" a="1"/>
  <c r="K40" i="18" s="1"/>
  <c r="I50" i="9"/>
  <c r="P45" i="9"/>
  <c r="P50" i="9" a="1"/>
  <c r="P50" i="9" s="1"/>
  <c r="F20" i="11" a="1"/>
  <c r="F20" i="11" s="1"/>
  <c r="G20" i="11" a="1"/>
  <c r="K48" i="11"/>
  <c r="K45" i="11" s="1"/>
  <c r="F58" i="18"/>
  <c r="F52" i="18"/>
  <c r="E7" i="18"/>
  <c r="L8" i="18"/>
  <c r="Q29" i="18" a="1"/>
  <c r="Q29" i="18" s="1"/>
  <c r="P30" i="18" a="1"/>
  <c r="P30" i="18" s="1"/>
  <c r="O29" i="18" a="1"/>
  <c r="O29" i="18" s="1"/>
  <c r="N29" i="18" a="1"/>
  <c r="N29" i="18" s="1"/>
  <c r="P29" i="18" a="1"/>
  <c r="P29" i="18" s="1"/>
  <c r="D27" i="18"/>
  <c r="L27" i="18" s="1" a="1"/>
  <c r="L27" i="18" s="1"/>
  <c r="D34" i="18"/>
  <c r="L34" i="18" s="1" a="1"/>
  <c r="L34" i="18" s="1"/>
  <c r="F50" i="18"/>
  <c r="D39" i="18"/>
  <c r="L39" i="18" s="1" a="1"/>
  <c r="L39" i="18" s="1"/>
  <c r="D42" i="18"/>
  <c r="F51" i="18"/>
  <c r="F43" i="18"/>
  <c r="D28" i="18"/>
  <c r="L28" i="18" s="1" a="1"/>
  <c r="L28" i="18" s="1"/>
  <c r="D35" i="18"/>
  <c r="L35" i="18" s="1" a="1"/>
  <c r="L35" i="18" s="1"/>
  <c r="F44" i="18"/>
  <c r="Q30" i="18" a="1"/>
  <c r="Q30" i="18" s="1"/>
  <c r="F55" i="18"/>
  <c r="D26" i="18"/>
  <c r="D33" i="18"/>
  <c r="L33" i="18" s="1" a="1"/>
  <c r="L33" i="18" s="1"/>
  <c r="F45" i="18"/>
  <c r="D40" i="18"/>
  <c r="L40" i="18" s="1" a="1"/>
  <c r="L40" i="18" s="1"/>
  <c r="F56" i="18"/>
  <c r="D31" i="18"/>
  <c r="D38" i="18"/>
  <c r="L38" i="18" s="1" a="1"/>
  <c r="L38" i="18" s="1"/>
  <c r="F46" i="18"/>
  <c r="D48" i="18"/>
  <c r="F57" i="18"/>
  <c r="F49" i="18"/>
  <c r="E7" i="17"/>
  <c r="L7" i="17"/>
  <c r="F70" i="17"/>
  <c r="F61" i="17"/>
  <c r="F51" i="17"/>
  <c r="F69" i="17"/>
  <c r="F50" i="17"/>
  <c r="F58" i="17"/>
  <c r="F68" i="17"/>
  <c r="F49" i="17"/>
  <c r="F57" i="17"/>
  <c r="F67" i="17"/>
  <c r="F56" i="17"/>
  <c r="F46" i="17"/>
  <c r="F64" i="17"/>
  <c r="F55" i="17"/>
  <c r="F45" i="17"/>
  <c r="F63" i="17"/>
  <c r="F44" i="17"/>
  <c r="F62" i="17"/>
  <c r="F52" i="17"/>
  <c r="F43" i="17"/>
  <c r="Q36" i="17" a="1"/>
  <c r="Q36" i="17" s="1"/>
  <c r="P36" i="17" a="1"/>
  <c r="P36" i="17" s="1"/>
  <c r="D30" i="17"/>
  <c r="L30" i="17" s="1" a="1"/>
  <c r="L30" i="17" s="1"/>
  <c r="Q38" i="17" a="1"/>
  <c r="Q38" i="17" s="1"/>
  <c r="D29" i="17"/>
  <c r="L29" i="17" s="1" a="1"/>
  <c r="L29" i="17" s="1"/>
  <c r="D28" i="17"/>
  <c r="L28" i="17" s="1" a="1"/>
  <c r="L28" i="17" s="1"/>
  <c r="N38" i="17" a="1"/>
  <c r="N38" i="17" s="1"/>
  <c r="D48" i="17"/>
  <c r="D32" i="17"/>
  <c r="L32" i="17" s="1" a="1"/>
  <c r="L32" i="17" s="1"/>
  <c r="D27" i="17"/>
  <c r="L27" i="17" s="1" a="1"/>
  <c r="L27" i="17" s="1"/>
  <c r="O37" i="17" a="1"/>
  <c r="O37" i="17" s="1"/>
  <c r="D31" i="17"/>
  <c r="L31" i="17" s="1" a="1"/>
  <c r="L31" i="17" s="1"/>
  <c r="O38" i="17" a="1"/>
  <c r="O38" i="17" s="1"/>
  <c r="D26" i="17"/>
  <c r="L26" i="17" s="1" a="1"/>
  <c r="L26" i="17" s="1"/>
  <c r="D42" i="17"/>
  <c r="I20" i="16"/>
  <c r="L33" i="17" s="1" a="1"/>
  <c r="L33" i="17" s="1"/>
  <c r="F110" i="13" a="1"/>
  <c r="F110" i="13" s="1"/>
  <c r="E142" i="13" s="1"/>
  <c r="I21" i="16"/>
  <c r="L39" i="17" s="1" a="1"/>
  <c r="L39" i="17" s="1"/>
  <c r="I18" i="16"/>
  <c r="L32" i="18" s="1" a="1"/>
  <c r="L32" i="18" s="1"/>
  <c r="I17" i="16"/>
  <c r="I57" i="14"/>
  <c r="F105" i="13" a="1"/>
  <c r="F105" i="13" s="1"/>
  <c r="E137" i="13" s="1"/>
  <c r="F107" i="13" a="1"/>
  <c r="F107" i="13" s="1"/>
  <c r="E139" i="13" s="1"/>
  <c r="E49" i="14"/>
  <c r="E7" i="14"/>
  <c r="F108" i="13" a="1"/>
  <c r="F108" i="13" s="1"/>
  <c r="E140" i="13" s="1"/>
  <c r="F111" i="13" a="1"/>
  <c r="F111" i="13" s="1"/>
  <c r="E143" i="13" s="1"/>
  <c r="F112" i="13" a="1"/>
  <c r="F112" i="13" s="1"/>
  <c r="E144" i="13" s="1"/>
  <c r="E43" i="13"/>
  <c r="E118" i="13"/>
  <c r="E7" i="13"/>
  <c r="E90" i="13"/>
  <c r="F79" i="13"/>
  <c r="G59" i="13"/>
  <c r="E7" i="12"/>
  <c r="E38" i="11"/>
  <c r="E7" i="11"/>
  <c r="J42" i="8"/>
  <c r="H49" i="6"/>
  <c r="I13" i="8"/>
  <c r="S68" i="9" a="1"/>
  <c r="S68" i="9" s="1"/>
  <c r="E7" i="10"/>
  <c r="E43" i="10"/>
  <c r="F78" i="10"/>
  <c r="F58" i="10"/>
  <c r="E7" i="9"/>
  <c r="E42" i="9"/>
  <c r="N60" i="9"/>
  <c r="F80" i="9"/>
  <c r="F60" i="9"/>
  <c r="O88" i="9"/>
  <c r="J44" i="8"/>
  <c r="D29" i="8"/>
  <c r="H54" i="6"/>
  <c r="I16" i="8"/>
  <c r="H51" i="6"/>
  <c r="J43" i="8"/>
  <c r="I12" i="8"/>
  <c r="I14" i="8"/>
  <c r="H50" i="6"/>
  <c r="J92" i="14" s="1"/>
  <c r="H48" i="6"/>
  <c r="I20" i="12" s="1"/>
  <c r="H52" i="6"/>
  <c r="H53" i="6"/>
  <c r="H28" i="12" l="1" a="1"/>
  <c r="H28" i="12" s="1"/>
  <c r="H27" i="12" a="1"/>
  <c r="H27" i="12" s="1"/>
  <c r="H26" i="12" a="1"/>
  <c r="H26" i="12" s="1"/>
  <c r="H29" i="12" a="1"/>
  <c r="H29" i="12" s="1"/>
  <c r="H25" i="12" a="1"/>
  <c r="H25" i="12" s="1"/>
  <c r="P33" i="17" a="1"/>
  <c r="P33" i="17" s="1"/>
  <c r="E51" i="17" s="1"/>
  <c r="Q33" i="17" a="1"/>
  <c r="Q33" i="17" s="1"/>
  <c r="E52" i="17" s="1"/>
  <c r="O33" i="17" a="1"/>
  <c r="O33" i="17" s="1"/>
  <c r="E50" i="17" s="1"/>
  <c r="N33" i="17" a="1"/>
  <c r="N33" i="17" s="1"/>
  <c r="E49" i="17" s="1"/>
  <c r="K25" i="18"/>
  <c r="J25" i="18"/>
  <c r="I25" i="18"/>
  <c r="H25" i="18"/>
  <c r="G25" i="18"/>
  <c r="D19" i="13"/>
  <c r="F19" i="13" s="1" a="1"/>
  <c r="F19" i="13" s="1"/>
  <c r="G19" i="13" s="1" a="1"/>
  <c r="G19" i="13" s="1"/>
  <c r="F31" i="13" a="1"/>
  <c r="F31" i="13" s="1"/>
  <c r="G31" i="13" s="1" a="1"/>
  <c r="G31" i="13" s="1"/>
  <c r="F24" i="13" a="1"/>
  <c r="F24" i="13" s="1"/>
  <c r="G24" i="13" s="1" a="1"/>
  <c r="G24" i="13" s="1"/>
  <c r="F37" i="13" a="1"/>
  <c r="F37" i="13" s="1"/>
  <c r="G37" i="13" s="1" a="1"/>
  <c r="G37" i="13" s="1"/>
  <c r="F30" i="13" a="1"/>
  <c r="F30" i="13" s="1"/>
  <c r="G30" i="13" s="1" a="1"/>
  <c r="G30" i="13" s="1"/>
  <c r="F23" i="13" a="1"/>
  <c r="F23" i="13" s="1"/>
  <c r="G23" i="13" s="1" a="1"/>
  <c r="G23" i="13" s="1"/>
  <c r="F36" i="13" a="1"/>
  <c r="F36" i="13" s="1"/>
  <c r="G36" i="13" s="1" a="1"/>
  <c r="G36" i="13" s="1"/>
  <c r="F29" i="13" a="1"/>
  <c r="F29" i="13" s="1"/>
  <c r="G29" i="13" s="1" a="1"/>
  <c r="G29" i="13" s="1"/>
  <c r="F22" i="13" a="1"/>
  <c r="F22" i="13" s="1"/>
  <c r="G22" i="13" s="1" a="1"/>
  <c r="G22" i="13" s="1"/>
  <c r="F35" i="13" a="1"/>
  <c r="F35" i="13" s="1"/>
  <c r="G35" i="13" s="1" a="1"/>
  <c r="G35" i="13" s="1"/>
  <c r="F28" i="13" a="1"/>
  <c r="F28" i="13" s="1"/>
  <c r="G28" i="13" s="1" a="1"/>
  <c r="G28" i="13" s="1"/>
  <c r="F21" i="13" a="1"/>
  <c r="F21" i="13" s="1"/>
  <c r="G21" i="13" s="1" a="1"/>
  <c r="G21" i="13" s="1"/>
  <c r="F34" i="13" a="1"/>
  <c r="F34" i="13" s="1"/>
  <c r="G34" i="13" s="1" a="1"/>
  <c r="G34" i="13" s="1"/>
  <c r="F27" i="13" a="1"/>
  <c r="F27" i="13" s="1"/>
  <c r="G27" i="13" s="1" a="1"/>
  <c r="G27" i="13" s="1"/>
  <c r="F20" i="13" a="1"/>
  <c r="F20" i="13" s="1"/>
  <c r="G20" i="13" s="1" a="1"/>
  <c r="G20" i="13" s="1"/>
  <c r="F33" i="13" a="1"/>
  <c r="F33" i="13" s="1"/>
  <c r="G33" i="13" s="1" a="1"/>
  <c r="G33" i="13" s="1"/>
  <c r="F26" i="13" a="1"/>
  <c r="F26" i="13" s="1"/>
  <c r="G26" i="13" s="1" a="1"/>
  <c r="G26" i="13" s="1"/>
  <c r="F32" i="13" a="1"/>
  <c r="F32" i="13" s="1"/>
  <c r="G32" i="13" s="1" a="1"/>
  <c r="G32" i="13" s="1"/>
  <c r="F25" i="13" a="1"/>
  <c r="F25" i="13" s="1"/>
  <c r="G25" i="13" s="1" a="1"/>
  <c r="G25" i="13" s="1"/>
  <c r="K28" i="18"/>
  <c r="J28" i="18"/>
  <c r="I28" i="18"/>
  <c r="H28" i="18"/>
  <c r="G28" i="18"/>
  <c r="K31" i="18"/>
  <c r="J31" i="18"/>
  <c r="I31" i="18"/>
  <c r="H31" i="18"/>
  <c r="G31" i="18"/>
  <c r="D19" i="9"/>
  <c r="F19" i="9" s="1" a="1"/>
  <c r="F19" i="9" s="1"/>
  <c r="F29" i="9" a="1"/>
  <c r="F29" i="9" s="1"/>
  <c r="F28" i="9" a="1"/>
  <c r="F28" i="9" s="1"/>
  <c r="F27" i="9" a="1"/>
  <c r="F27" i="9" s="1"/>
  <c r="F26" i="9" a="1"/>
  <c r="F26" i="9" s="1"/>
  <c r="F25" i="9" a="1"/>
  <c r="F25" i="9" s="1"/>
  <c r="F24" i="9" a="1"/>
  <c r="F24" i="9" s="1"/>
  <c r="F37" i="9" a="1"/>
  <c r="F37" i="9" s="1"/>
  <c r="F23" i="9" a="1"/>
  <c r="F23" i="9" s="1"/>
  <c r="F36" i="9" a="1"/>
  <c r="F36" i="9" s="1"/>
  <c r="F22" i="9" a="1"/>
  <c r="F22" i="9" s="1"/>
  <c r="F35" i="9" a="1"/>
  <c r="F35" i="9" s="1"/>
  <c r="F21" i="9" a="1"/>
  <c r="F21" i="9" s="1"/>
  <c r="F34" i="9" a="1"/>
  <c r="F34" i="9" s="1"/>
  <c r="F20" i="9" a="1"/>
  <c r="F20" i="9" s="1"/>
  <c r="F33" i="9" a="1"/>
  <c r="F33" i="9" s="1"/>
  <c r="F32" i="9" a="1"/>
  <c r="F32" i="9" s="1"/>
  <c r="F31" i="9" a="1"/>
  <c r="F31" i="9" s="1"/>
  <c r="F30" i="9" a="1"/>
  <c r="F30" i="9" s="1"/>
  <c r="V12" i="8"/>
  <c r="O45" i="9" s="1" a="1"/>
  <c r="V16" i="8"/>
  <c r="J51" i="13"/>
  <c r="K37" i="18"/>
  <c r="J37" i="18"/>
  <c r="I37" i="18"/>
  <c r="H37" i="18"/>
  <c r="G37" i="18"/>
  <c r="I51" i="9"/>
  <c r="Q33" i="18" a="1"/>
  <c r="Q33" i="18" s="1"/>
  <c r="K46" i="11"/>
  <c r="I126" i="13"/>
  <c r="F138" i="13" s="1" a="1"/>
  <c r="F138" i="13" s="1"/>
  <c r="S69" i="9"/>
  <c r="L26" i="18" a="1"/>
  <c r="L26" i="18" s="1"/>
  <c r="O26" i="18" s="1" a="1"/>
  <c r="O26" i="18" s="1"/>
  <c r="K34" i="18"/>
  <c r="J34" i="18"/>
  <c r="I34" i="18"/>
  <c r="H34" i="18"/>
  <c r="G34" i="18"/>
  <c r="P34" i="18" s="1" a="1"/>
  <c r="P34" i="18" s="1"/>
  <c r="V15" i="8"/>
  <c r="V14" i="8"/>
  <c r="K26" i="18"/>
  <c r="Q26" i="18" s="1" a="1"/>
  <c r="Q26" i="18" s="1"/>
  <c r="J26" i="18"/>
  <c r="I26" i="18"/>
  <c r="H26" i="18"/>
  <c r="G26" i="18"/>
  <c r="K36" i="18"/>
  <c r="J36" i="18"/>
  <c r="I36" i="18"/>
  <c r="H36" i="18"/>
  <c r="G36" i="18"/>
  <c r="V13" i="8"/>
  <c r="Q31" i="18" a="1"/>
  <c r="Q31" i="18" s="1"/>
  <c r="O50" i="9" a="1"/>
  <c r="E37" i="9" a="1"/>
  <c r="E37" i="9" s="1"/>
  <c r="E30" i="9" a="1"/>
  <c r="E30" i="9" s="1"/>
  <c r="E23" i="9" a="1"/>
  <c r="E23" i="9" s="1"/>
  <c r="G23" i="9" s="1" a="1"/>
  <c r="G23" i="9" s="1"/>
  <c r="E19" i="9" a="1"/>
  <c r="E19" i="9" s="1"/>
  <c r="E33" i="10" a="1"/>
  <c r="E33" i="10" s="1"/>
  <c r="E26" i="10" a="1"/>
  <c r="E26" i="10" s="1"/>
  <c r="E19" i="10" a="1"/>
  <c r="E19" i="10" s="1"/>
  <c r="E36" i="9" a="1"/>
  <c r="E36" i="9" s="1"/>
  <c r="G36" i="9" s="1" a="1"/>
  <c r="G36" i="9" s="1"/>
  <c r="E77" i="9" s="1" a="1"/>
  <c r="E77" i="9" s="1"/>
  <c r="E29" i="9" a="1"/>
  <c r="E29" i="9" s="1"/>
  <c r="G29" i="9" s="1" a="1"/>
  <c r="G29" i="9" s="1"/>
  <c r="E22" i="9" a="1"/>
  <c r="E22" i="9" s="1"/>
  <c r="G22" i="9" s="1" a="1"/>
  <c r="G22" i="9" s="1"/>
  <c r="E63" i="9" s="1" a="1"/>
  <c r="E63" i="9" s="1"/>
  <c r="E26" i="9" a="1"/>
  <c r="E26" i="9" s="1"/>
  <c r="E32" i="10" a="1"/>
  <c r="E32" i="10" s="1"/>
  <c r="G32" i="10" s="1" a="1"/>
  <c r="G32" i="10" s="1"/>
  <c r="E71" i="10" s="1" a="1"/>
  <c r="E71" i="10" s="1"/>
  <c r="E25" i="10" a="1"/>
  <c r="E25" i="10" s="1"/>
  <c r="G25" i="10" s="1" a="1"/>
  <c r="G25" i="10" s="1"/>
  <c r="E64" i="10" s="1" a="1"/>
  <c r="E64" i="10" s="1"/>
  <c r="E23" i="10" a="1"/>
  <c r="E23" i="10" s="1"/>
  <c r="G23" i="10" s="1" a="1"/>
  <c r="G23" i="10" s="1"/>
  <c r="E62" i="10" s="1" a="1"/>
  <c r="E62" i="10" s="1"/>
  <c r="E35" i="9" a="1"/>
  <c r="E35" i="9" s="1"/>
  <c r="G35" i="9" s="1" a="1"/>
  <c r="G35" i="9" s="1"/>
  <c r="E28" i="9" a="1"/>
  <c r="E28" i="9" s="1"/>
  <c r="E21" i="9" a="1"/>
  <c r="E21" i="9" s="1"/>
  <c r="G21" i="9" s="1" a="1"/>
  <c r="G21" i="9" s="1"/>
  <c r="E62" i="9" s="1" a="1"/>
  <c r="E62" i="9" s="1"/>
  <c r="E30" i="10" a="1"/>
  <c r="E30" i="10" s="1"/>
  <c r="E29" i="10" a="1"/>
  <c r="E29" i="10" s="1"/>
  <c r="E31" i="10" a="1"/>
  <c r="E31" i="10" s="1"/>
  <c r="E24" i="10" a="1"/>
  <c r="E24" i="10" s="1"/>
  <c r="E34" i="9" a="1"/>
  <c r="E34" i="9" s="1"/>
  <c r="G34" i="9" s="1" a="1"/>
  <c r="G34" i="9" s="1"/>
  <c r="E27" i="9" a="1"/>
  <c r="E27" i="9" s="1"/>
  <c r="G27" i="9" s="1" a="1"/>
  <c r="G27" i="9" s="1"/>
  <c r="E68" i="9" s="1" a="1"/>
  <c r="E68" i="9" s="1"/>
  <c r="E20" i="9" a="1"/>
  <c r="E20" i="9" s="1"/>
  <c r="G20" i="9" s="1" a="1"/>
  <c r="G20" i="9" s="1"/>
  <c r="E61" i="9" s="1" a="1"/>
  <c r="E61" i="9" s="1"/>
  <c r="E37" i="10" a="1"/>
  <c r="E37" i="10" s="1"/>
  <c r="E32" i="9" a="1"/>
  <c r="E32" i="9" s="1"/>
  <c r="E25" i="9" a="1"/>
  <c r="E25" i="9" s="1"/>
  <c r="G25" i="9" s="1" a="1"/>
  <c r="G25" i="9" s="1"/>
  <c r="E35" i="10" a="1"/>
  <c r="E35" i="10" s="1"/>
  <c r="G35" i="10" s="1" a="1"/>
  <c r="G35" i="10" s="1"/>
  <c r="E74" i="10" s="1" a="1"/>
  <c r="E74" i="10" s="1"/>
  <c r="E28" i="10" a="1"/>
  <c r="E28" i="10" s="1"/>
  <c r="G28" i="10" s="1" a="1"/>
  <c r="G28" i="10" s="1"/>
  <c r="E67" i="10" s="1" a="1"/>
  <c r="E67" i="10" s="1"/>
  <c r="E21" i="10" a="1"/>
  <c r="E21" i="10" s="1"/>
  <c r="G21" i="10" s="1" a="1"/>
  <c r="G21" i="10" s="1"/>
  <c r="E60" i="10" s="1" a="1"/>
  <c r="E60" i="10" s="1"/>
  <c r="E22" i="10" a="1"/>
  <c r="E22" i="10" s="1"/>
  <c r="E31" i="9" a="1"/>
  <c r="E31" i="9" s="1"/>
  <c r="G31" i="9" s="1" a="1"/>
  <c r="G31" i="9" s="1"/>
  <c r="E24" i="9" a="1"/>
  <c r="E24" i="9" s="1"/>
  <c r="G24" i="9" s="1" a="1"/>
  <c r="G24" i="9" s="1"/>
  <c r="E33" i="9" a="1"/>
  <c r="E33" i="9" s="1"/>
  <c r="G33" i="9" s="1" a="1"/>
  <c r="G33" i="9" s="1"/>
  <c r="E74" i="9" s="1" a="1"/>
  <c r="E74" i="9" s="1"/>
  <c r="E36" i="10" a="1"/>
  <c r="E36" i="10" s="1"/>
  <c r="G36" i="10" s="1" a="1"/>
  <c r="G36" i="10" s="1"/>
  <c r="E75" i="10" s="1" a="1"/>
  <c r="E75" i="10" s="1"/>
  <c r="E34" i="10" a="1"/>
  <c r="E34" i="10" s="1"/>
  <c r="G34" i="10" s="1" a="1"/>
  <c r="G34" i="10" s="1"/>
  <c r="E73" i="10" s="1" a="1"/>
  <c r="E73" i="10" s="1"/>
  <c r="E27" i="10" a="1"/>
  <c r="E27" i="10" s="1"/>
  <c r="G27" i="10" s="1" a="1"/>
  <c r="G27" i="10" s="1"/>
  <c r="E66" i="10" s="1" a="1"/>
  <c r="E66" i="10" s="1"/>
  <c r="E20" i="10" a="1"/>
  <c r="E20" i="10" s="1"/>
  <c r="G20" i="10" s="1" a="1"/>
  <c r="G20" i="10" s="1"/>
  <c r="E59" i="10" s="1" a="1"/>
  <c r="E59" i="10" s="1"/>
  <c r="G20" i="11"/>
  <c r="I20" i="11" s="1" a="1"/>
  <c r="I20" i="11" s="1"/>
  <c r="I22" i="11" a="1"/>
  <c r="I22" i="11" s="1"/>
  <c r="I21" i="11" a="1"/>
  <c r="I21" i="11" s="1"/>
  <c r="O37" i="18" a="1"/>
  <c r="O37" i="18" s="1"/>
  <c r="Q27" i="18" a="1"/>
  <c r="Q27" i="18" s="1"/>
  <c r="P38" i="17" a="1"/>
  <c r="P38" i="17" s="1"/>
  <c r="O35" i="17" a="1"/>
  <c r="O35" i="17" s="1"/>
  <c r="N35" i="17" a="1"/>
  <c r="N35" i="17" s="1"/>
  <c r="P34" i="17" a="1"/>
  <c r="P34" i="17" s="1"/>
  <c r="E57" i="17" s="1"/>
  <c r="Q35" i="17" a="1"/>
  <c r="Q35" i="17" s="1"/>
  <c r="Q30" i="17" a="1"/>
  <c r="Q30" i="17" s="1"/>
  <c r="F143" i="13" a="1"/>
  <c r="F143" i="13" s="1"/>
  <c r="F139" i="13" a="1"/>
  <c r="F139" i="13" s="1"/>
  <c r="F141" i="13" a="1"/>
  <c r="F141" i="13" s="1"/>
  <c r="Q40" i="18" a="1"/>
  <c r="Q40" i="18" s="1"/>
  <c r="F144" i="13" a="1"/>
  <c r="F144" i="13" s="1"/>
  <c r="F142" i="13" a="1"/>
  <c r="F142" i="13" s="1"/>
  <c r="F137" i="13" a="1"/>
  <c r="F137" i="13" s="1"/>
  <c r="P35" i="18" a="1"/>
  <c r="P35" i="18" s="1"/>
  <c r="O35" i="18" a="1"/>
  <c r="O35" i="18" s="1"/>
  <c r="N35" i="18" a="1"/>
  <c r="N35" i="18" s="1"/>
  <c r="Q35" i="18" a="1"/>
  <c r="Q35" i="18" s="1"/>
  <c r="O36" i="18" a="1"/>
  <c r="O36" i="18" s="1"/>
  <c r="N36" i="18" a="1"/>
  <c r="N36" i="18" s="1"/>
  <c r="P36" i="18" a="1"/>
  <c r="P36" i="18" s="1"/>
  <c r="P39" i="18" a="1"/>
  <c r="P39" i="18" s="1"/>
  <c r="O39" i="18" a="1"/>
  <c r="O39" i="18" s="1"/>
  <c r="N39" i="18" a="1"/>
  <c r="N39" i="18" s="1"/>
  <c r="P38" i="18" a="1"/>
  <c r="P38" i="18" s="1"/>
  <c r="O38" i="18" a="1"/>
  <c r="O38" i="18" s="1"/>
  <c r="N38" i="18" a="1"/>
  <c r="N38" i="18" s="1"/>
  <c r="P32" i="18" a="1"/>
  <c r="P32" i="18" s="1"/>
  <c r="O32" i="18" a="1"/>
  <c r="O32" i="18" s="1"/>
  <c r="N32" i="18" a="1"/>
  <c r="N32" i="18" s="1"/>
  <c r="N26" i="18" a="1"/>
  <c r="N26" i="18" s="1"/>
  <c r="P31" i="18" a="1"/>
  <c r="P31" i="18" s="1"/>
  <c r="O31" i="18" a="1"/>
  <c r="O31" i="18" s="1"/>
  <c r="N31" i="18" a="1"/>
  <c r="N31" i="18" s="1"/>
  <c r="Q39" i="18" a="1"/>
  <c r="Q39" i="18" s="1"/>
  <c r="Q36" i="18" a="1"/>
  <c r="Q36" i="18" s="1"/>
  <c r="N34" i="18" a="1"/>
  <c r="N34" i="18" s="1"/>
  <c r="O34" i="18" a="1"/>
  <c r="O34" i="18" s="1"/>
  <c r="P33" i="18" a="1"/>
  <c r="P33" i="18" s="1"/>
  <c r="O33" i="18" a="1"/>
  <c r="O33" i="18" s="1"/>
  <c r="N33" i="18" a="1"/>
  <c r="N33" i="18" s="1"/>
  <c r="Q38" i="18" a="1"/>
  <c r="Q38" i="18" s="1"/>
  <c r="Q34" i="18" a="1"/>
  <c r="Q34" i="18" s="1"/>
  <c r="Q25" i="18" a="1"/>
  <c r="Q25" i="18" s="1"/>
  <c r="P25" i="18" a="1"/>
  <c r="P25" i="18" s="1"/>
  <c r="O25" i="18" a="1"/>
  <c r="O25" i="18" s="1"/>
  <c r="N25" i="18" a="1"/>
  <c r="N25" i="18" s="1"/>
  <c r="P28" i="18" a="1"/>
  <c r="P28" i="18" s="1"/>
  <c r="O28" i="18" a="1"/>
  <c r="O28" i="18" s="1"/>
  <c r="N28" i="18" a="1"/>
  <c r="N28" i="18" s="1"/>
  <c r="Q32" i="18" a="1"/>
  <c r="Q32" i="18" s="1"/>
  <c r="N27" i="18" a="1"/>
  <c r="N27" i="18" s="1"/>
  <c r="P27" i="18" a="1"/>
  <c r="P27" i="18" s="1"/>
  <c r="O27" i="18" a="1"/>
  <c r="O27" i="18" s="1"/>
  <c r="F68" i="14" a="1"/>
  <c r="F68" i="14" s="1"/>
  <c r="P40" i="18" a="1"/>
  <c r="P40" i="18" s="1"/>
  <c r="O40" i="18" a="1"/>
  <c r="O40" i="18" s="1"/>
  <c r="N40" i="18" a="1"/>
  <c r="N40" i="18" s="1"/>
  <c r="P29" i="17" a="1"/>
  <c r="P29" i="17" s="1"/>
  <c r="O29" i="17" a="1"/>
  <c r="O29" i="17" s="1"/>
  <c r="N29" i="17" a="1"/>
  <c r="N29" i="17" s="1"/>
  <c r="O32" i="17" a="1"/>
  <c r="O32" i="17" s="1"/>
  <c r="N32" i="17" a="1"/>
  <c r="N32" i="17" s="1"/>
  <c r="P32" i="17" a="1"/>
  <c r="P32" i="17" s="1"/>
  <c r="P31" i="17" a="1"/>
  <c r="P31" i="17" s="1"/>
  <c r="O31" i="17" a="1"/>
  <c r="O31" i="17" s="1"/>
  <c r="N31" i="17" a="1"/>
  <c r="N31" i="17" s="1"/>
  <c r="Q34" i="17" a="1"/>
  <c r="Q34" i="17" s="1"/>
  <c r="P28" i="17" a="1"/>
  <c r="P28" i="17" s="1"/>
  <c r="O28" i="17" a="1"/>
  <c r="O28" i="17" s="1"/>
  <c r="N28" i="17" a="1"/>
  <c r="N28" i="17" s="1"/>
  <c r="Q28" i="17" a="1"/>
  <c r="Q28" i="17" s="1"/>
  <c r="P30" i="17" a="1"/>
  <c r="P30" i="17" s="1"/>
  <c r="O30" i="17" a="1"/>
  <c r="O30" i="17" s="1"/>
  <c r="N30" i="17" a="1"/>
  <c r="N30" i="17" s="1"/>
  <c r="N27" i="17" a="1"/>
  <c r="N27" i="17" s="1"/>
  <c r="Q27" i="17" a="1"/>
  <c r="Q27" i="17" s="1"/>
  <c r="P27" i="17" a="1"/>
  <c r="P27" i="17" s="1"/>
  <c r="O27" i="17" a="1"/>
  <c r="O27" i="17" s="1"/>
  <c r="Q29" i="17" a="1"/>
  <c r="Q29" i="17" s="1"/>
  <c r="Q26" i="17" a="1"/>
  <c r="Q26" i="17" s="1"/>
  <c r="P26" i="17" a="1"/>
  <c r="P26" i="17" s="1"/>
  <c r="O26" i="17" a="1"/>
  <c r="O26" i="17" s="1"/>
  <c r="N26" i="17" a="1"/>
  <c r="N26" i="17" s="1"/>
  <c r="F69" i="14" a="1"/>
  <c r="F69" i="14" s="1"/>
  <c r="Q32" i="17" a="1"/>
  <c r="Q32" i="17" s="1"/>
  <c r="Q25" i="17" a="1"/>
  <c r="Q25" i="17" s="1"/>
  <c r="P25" i="17" a="1"/>
  <c r="P25" i="17" s="1"/>
  <c r="O25" i="17" a="1"/>
  <c r="O25" i="17" s="1"/>
  <c r="N25" i="17" a="1"/>
  <c r="N25" i="17" s="1"/>
  <c r="Q31" i="17" a="1"/>
  <c r="Q31" i="17" s="1"/>
  <c r="P37" i="17" a="1"/>
  <c r="P37" i="17" s="1"/>
  <c r="Q37" i="17" a="1"/>
  <c r="Q37" i="17" s="1"/>
  <c r="N37" i="17" a="1"/>
  <c r="N37" i="17" s="1"/>
  <c r="N34" i="17" a="1"/>
  <c r="N34" i="17" s="1"/>
  <c r="Q39" i="17" a="1"/>
  <c r="Q39" i="17" s="1"/>
  <c r="P39" i="17" a="1"/>
  <c r="P39" i="17" s="1"/>
  <c r="O39" i="17" a="1"/>
  <c r="O39" i="17" s="1"/>
  <c r="E62" i="17" s="1"/>
  <c r="N39" i="17" a="1"/>
  <c r="N39" i="17" s="1"/>
  <c r="O34" i="17" a="1"/>
  <c r="O34" i="17" s="1"/>
  <c r="E56" i="17" s="1"/>
  <c r="G22" i="10" a="1"/>
  <c r="G22" i="10" s="1"/>
  <c r="E61" i="10" s="1" a="1"/>
  <c r="E61" i="10" s="1"/>
  <c r="F75" i="14" a="1"/>
  <c r="F75" i="14" s="1"/>
  <c r="F73" i="14" a="1"/>
  <c r="F73" i="14" s="1"/>
  <c r="F70" i="14" a="1"/>
  <c r="F70" i="14" s="1"/>
  <c r="F74" i="14" a="1"/>
  <c r="F74" i="14" s="1"/>
  <c r="F72" i="14" a="1"/>
  <c r="F72" i="14" s="1"/>
  <c r="F71" i="14" a="1"/>
  <c r="F71" i="14" s="1"/>
  <c r="G28" i="9" a="1"/>
  <c r="G28" i="9" s="1"/>
  <c r="G24" i="10" a="1"/>
  <c r="G24" i="10" s="1"/>
  <c r="E63" i="10" s="1" a="1"/>
  <c r="E63" i="10" s="1"/>
  <c r="E31" i="12"/>
  <c r="O85" i="9" a="1"/>
  <c r="O85" i="9" s="1"/>
  <c r="P85" i="9" s="1" a="1"/>
  <c r="P85" i="9" s="1"/>
  <c r="O86" i="9" a="1"/>
  <c r="O86" i="9" s="1"/>
  <c r="P86" i="9" s="1" a="1"/>
  <c r="P86" i="9" s="1"/>
  <c r="G32" i="9" a="1"/>
  <c r="G32" i="9" s="1"/>
  <c r="G30" i="10" a="1"/>
  <c r="G30" i="10" s="1"/>
  <c r="E69" i="10" s="1" a="1"/>
  <c r="E69" i="10" s="1"/>
  <c r="G26" i="9" a="1"/>
  <c r="G26" i="9" s="1"/>
  <c r="G31" i="10" a="1"/>
  <c r="G31" i="10" s="1"/>
  <c r="E70" i="10" s="1" a="1"/>
  <c r="E70" i="10" s="1"/>
  <c r="G37" i="10" a="1"/>
  <c r="G37" i="10" s="1"/>
  <c r="E76" i="10" s="1" a="1"/>
  <c r="E76" i="10" s="1"/>
  <c r="G26" i="10" a="1"/>
  <c r="G26" i="10" s="1"/>
  <c r="E65" i="10" s="1" a="1"/>
  <c r="E65" i="10" s="1"/>
  <c r="E64" i="9" a="1"/>
  <c r="E64" i="9" s="1"/>
  <c r="G33" i="10" a="1"/>
  <c r="G33" i="10" s="1"/>
  <c r="E72" i="10" s="1" a="1"/>
  <c r="E72" i="10" s="1"/>
  <c r="G29" i="10" a="1"/>
  <c r="G29" i="10" s="1"/>
  <c r="E68" i="10" s="1" a="1"/>
  <c r="E68" i="10" s="1"/>
  <c r="E76" i="9" a="1"/>
  <c r="E76" i="9" s="1"/>
  <c r="E70" i="9" a="1"/>
  <c r="E70" i="9" s="1"/>
  <c r="E65" i="9" a="1"/>
  <c r="E65" i="9" s="1"/>
  <c r="G30" i="9" a="1"/>
  <c r="G30" i="9" s="1"/>
  <c r="C16" i="4"/>
  <c r="C12" i="4"/>
  <c r="Q37" i="18" l="1" a="1"/>
  <c r="Q37" i="18" s="1"/>
  <c r="O45" i="9"/>
  <c r="W47" i="9"/>
  <c r="T48" i="9"/>
  <c r="U48" i="9" s="1"/>
  <c r="W46" i="9"/>
  <c r="S48" i="9" a="1"/>
  <c r="S48" i="9" s="1"/>
  <c r="R48" i="9" a="1"/>
  <c r="R48" i="9" s="1"/>
  <c r="V47" i="9" a="1"/>
  <c r="V47" i="9" s="1"/>
  <c r="T47" i="9"/>
  <c r="U47" i="9" s="1"/>
  <c r="S47" i="9" a="1"/>
  <c r="S47" i="9" s="1"/>
  <c r="R47" i="9" a="1"/>
  <c r="R47" i="9" s="1"/>
  <c r="S49" i="9" a="1"/>
  <c r="S49" i="9" s="1"/>
  <c r="V46" i="9" a="1"/>
  <c r="V46" i="9" s="1"/>
  <c r="T49" i="9"/>
  <c r="R49" i="9" a="1"/>
  <c r="R49" i="9" s="1"/>
  <c r="T46" i="9"/>
  <c r="U46" i="9" s="1"/>
  <c r="S46" i="9" a="1"/>
  <c r="S46" i="9" s="1"/>
  <c r="R46" i="9" a="1"/>
  <c r="R46" i="9" s="1"/>
  <c r="Q49" i="9"/>
  <c r="Q48" i="9"/>
  <c r="W48" i="9"/>
  <c r="O80" i="9" s="1" a="1"/>
  <c r="O80" i="9" s="1"/>
  <c r="P80" i="9" s="1" a="1"/>
  <c r="P80" i="9" s="1"/>
  <c r="Q46" i="9"/>
  <c r="W49" i="9"/>
  <c r="O81" i="9" s="1" a="1"/>
  <c r="O81" i="9" s="1"/>
  <c r="P81" i="9" s="1" a="1"/>
  <c r="P81" i="9" s="1"/>
  <c r="Q47" i="9"/>
  <c r="P26" i="18" a="1"/>
  <c r="P26" i="18" s="1"/>
  <c r="Q28" i="18" a="1"/>
  <c r="Q28" i="18" s="1"/>
  <c r="F140" i="13" a="1"/>
  <c r="F140" i="13" s="1"/>
  <c r="G37" i="9" a="1"/>
  <c r="G37" i="9" s="1"/>
  <c r="E78" i="9" s="1" a="1"/>
  <c r="E78" i="9" s="1"/>
  <c r="N37" i="18" a="1"/>
  <c r="N37" i="18" s="1"/>
  <c r="E49" i="18" s="1"/>
  <c r="P37" i="18" a="1"/>
  <c r="P37" i="18" s="1"/>
  <c r="O50" i="9"/>
  <c r="T51" i="9"/>
  <c r="U51" i="9" s="1"/>
  <c r="S51" i="9" a="1"/>
  <c r="S51" i="9" s="1"/>
  <c r="Q52" i="9"/>
  <c r="Q51" i="9"/>
  <c r="R51" i="9" a="1"/>
  <c r="R51" i="9" s="1"/>
  <c r="T52" i="9"/>
  <c r="R52" i="9" a="1"/>
  <c r="R52" i="9" s="1"/>
  <c r="S52" i="9" a="1"/>
  <c r="S52" i="9" s="1"/>
  <c r="W51" i="9"/>
  <c r="O83" i="9" s="1" a="1"/>
  <c r="O83" i="9" s="1"/>
  <c r="W52" i="9"/>
  <c r="O84" i="9" s="1" a="1"/>
  <c r="O84" i="9" s="1"/>
  <c r="P84" i="9" s="1" a="1"/>
  <c r="P84" i="9" s="1"/>
  <c r="E66" i="14"/>
  <c r="F66" i="14" s="1" a="1"/>
  <c r="F66" i="14" s="1"/>
  <c r="E103" i="13"/>
  <c r="F103" i="13" s="1" a="1"/>
  <c r="F103" i="13" s="1"/>
  <c r="E135" i="13" s="1"/>
  <c r="F135" i="13" s="1" a="1"/>
  <c r="F135" i="13" s="1"/>
  <c r="E29" i="14"/>
  <c r="F29" i="14" s="1" a="1"/>
  <c r="F29" i="14" s="1"/>
  <c r="E25" i="13"/>
  <c r="H25" i="13" s="1" a="1"/>
  <c r="H25" i="13" s="1"/>
  <c r="E65" i="13" s="1"/>
  <c r="F65" i="13" s="1" a="1"/>
  <c r="F65" i="13" s="1"/>
  <c r="E67" i="14"/>
  <c r="F67" i="14" s="1" a="1"/>
  <c r="F67" i="14" s="1"/>
  <c r="E104" i="13"/>
  <c r="F104" i="13" s="1" a="1"/>
  <c r="F104" i="13" s="1"/>
  <c r="E136" i="13" s="1"/>
  <c r="F136" i="13" s="1" a="1"/>
  <c r="F136" i="13" s="1"/>
  <c r="E102" i="13"/>
  <c r="F102" i="13" s="1" a="1"/>
  <c r="F102" i="13" s="1"/>
  <c r="E134" i="13" s="1"/>
  <c r="F134" i="13" s="1" a="1"/>
  <c r="F134" i="13" s="1"/>
  <c r="E146" i="13" s="1"/>
  <c r="G148" i="13" s="1"/>
  <c r="E151" i="13" s="1" a="1"/>
  <c r="E151" i="13" s="1"/>
  <c r="E65" i="14"/>
  <c r="F65" i="14" s="1" a="1"/>
  <c r="F65" i="14" s="1"/>
  <c r="E77" i="14" s="1"/>
  <c r="J90" i="14" s="1"/>
  <c r="E32" i="11"/>
  <c r="K44" i="11" s="1"/>
  <c r="E50" i="11" s="1" a="1"/>
  <c r="E50" i="11" s="1"/>
  <c r="G52" i="11" s="1"/>
  <c r="E55" i="11" s="1" a="1"/>
  <c r="E55" i="11" s="1"/>
  <c r="E20" i="13"/>
  <c r="H20" i="13" s="1" a="1"/>
  <c r="H20" i="13" s="1"/>
  <c r="E60" i="13" s="1"/>
  <c r="F60" i="13" s="1" a="1"/>
  <c r="F60" i="13" s="1"/>
  <c r="E24" i="14"/>
  <c r="F24" i="14" s="1" a="1"/>
  <c r="F24" i="14" s="1"/>
  <c r="E26" i="14"/>
  <c r="F26" i="14" s="1" a="1"/>
  <c r="F26" i="14" s="1"/>
  <c r="E22" i="13"/>
  <c r="H22" i="13" s="1" a="1"/>
  <c r="H22" i="13" s="1"/>
  <c r="E62" i="13" s="1"/>
  <c r="F62" i="13" s="1" a="1"/>
  <c r="F62" i="13" s="1"/>
  <c r="E66" i="9" a="1"/>
  <c r="E66" i="9" s="1"/>
  <c r="E31" i="14"/>
  <c r="F31" i="14" s="1" a="1"/>
  <c r="F31" i="14" s="1"/>
  <c r="E27" i="13"/>
  <c r="H27" i="13" s="1" a="1"/>
  <c r="H27" i="13" s="1"/>
  <c r="E67" i="13" s="1"/>
  <c r="F67" i="13" s="1" a="1"/>
  <c r="F67" i="13" s="1"/>
  <c r="E33" i="14"/>
  <c r="F33" i="14" s="1" a="1"/>
  <c r="F33" i="14" s="1"/>
  <c r="E29" i="13"/>
  <c r="H29" i="13" s="1" a="1"/>
  <c r="H29" i="13" s="1"/>
  <c r="E69" i="13" s="1"/>
  <c r="F69" i="13" s="1" a="1"/>
  <c r="F69" i="13" s="1"/>
  <c r="E36" i="13"/>
  <c r="H36" i="13" s="1" a="1"/>
  <c r="H36" i="13" s="1"/>
  <c r="E76" i="13" s="1"/>
  <c r="F76" i="13" s="1" a="1"/>
  <c r="F76" i="13" s="1"/>
  <c r="E40" i="14"/>
  <c r="F40" i="14" s="1" a="1"/>
  <c r="F40" i="14" s="1"/>
  <c r="E33" i="13"/>
  <c r="H33" i="13" s="1" a="1"/>
  <c r="H33" i="13" s="1"/>
  <c r="E73" i="13" s="1"/>
  <c r="F73" i="13" s="1" a="1"/>
  <c r="F73" i="13" s="1"/>
  <c r="E37" i="14"/>
  <c r="F37" i="14" s="1" a="1"/>
  <c r="F37" i="14" s="1"/>
  <c r="E28" i="14"/>
  <c r="F28" i="14" s="1" a="1"/>
  <c r="F28" i="14" s="1"/>
  <c r="E24" i="13"/>
  <c r="H24" i="13" s="1" a="1"/>
  <c r="H24" i="13" s="1"/>
  <c r="E64" i="13" s="1"/>
  <c r="F64" i="13" s="1" a="1"/>
  <c r="F64" i="13" s="1"/>
  <c r="E69" i="9" a="1"/>
  <c r="E69" i="9" s="1"/>
  <c r="E32" i="14"/>
  <c r="F32" i="14" s="1" a="1"/>
  <c r="F32" i="14" s="1"/>
  <c r="E28" i="13"/>
  <c r="H28" i="13" s="1" a="1"/>
  <c r="H28" i="13" s="1"/>
  <c r="E68" i="13" s="1"/>
  <c r="F68" i="13" s="1" a="1"/>
  <c r="F68" i="13" s="1"/>
  <c r="E35" i="14"/>
  <c r="F35" i="14" s="1" a="1"/>
  <c r="F35" i="14" s="1"/>
  <c r="E31" i="13"/>
  <c r="H31" i="13" s="1" a="1"/>
  <c r="H31" i="13" s="1"/>
  <c r="E71" i="13" s="1"/>
  <c r="F71" i="13" s="1" a="1"/>
  <c r="F71" i="13" s="1"/>
  <c r="E67" i="9" a="1"/>
  <c r="E67" i="9" s="1"/>
  <c r="E30" i="14"/>
  <c r="F30" i="14" s="1" a="1"/>
  <c r="F30" i="14" s="1"/>
  <c r="E26" i="13"/>
  <c r="H26" i="13" s="1" a="1"/>
  <c r="H26" i="13" s="1"/>
  <c r="E66" i="13" s="1"/>
  <c r="F66" i="13" s="1" a="1"/>
  <c r="F66" i="13" s="1"/>
  <c r="E21" i="13"/>
  <c r="H21" i="13" s="1" a="1"/>
  <c r="H21" i="13" s="1"/>
  <c r="E61" i="13" s="1"/>
  <c r="F61" i="13" s="1" a="1"/>
  <c r="F61" i="13" s="1"/>
  <c r="E25" i="14"/>
  <c r="F25" i="14" s="1" a="1"/>
  <c r="F25" i="14" s="1"/>
  <c r="E23" i="13"/>
  <c r="H23" i="13" s="1" a="1"/>
  <c r="H23" i="13" s="1"/>
  <c r="E63" i="13" s="1"/>
  <c r="F63" i="13" s="1" a="1"/>
  <c r="F63" i="13" s="1"/>
  <c r="E27" i="14"/>
  <c r="F27" i="14" s="1" a="1"/>
  <c r="F27" i="14" s="1"/>
  <c r="E75" i="9" a="1"/>
  <c r="E75" i="9" s="1"/>
  <c r="E34" i="13"/>
  <c r="H34" i="13" s="1" a="1"/>
  <c r="H34" i="13" s="1"/>
  <c r="E74" i="13" s="1"/>
  <c r="F74" i="13" s="1" a="1"/>
  <c r="F74" i="13" s="1"/>
  <c r="E38" i="14"/>
  <c r="F38" i="14" s="1" a="1"/>
  <c r="F38" i="14" s="1"/>
  <c r="E72" i="9" a="1"/>
  <c r="E72" i="9" s="1"/>
  <c r="E73" i="9" a="1"/>
  <c r="E73" i="9" s="1"/>
  <c r="E32" i="13"/>
  <c r="H32" i="13" s="1" a="1"/>
  <c r="H32" i="13" s="1"/>
  <c r="E72" i="13" s="1"/>
  <c r="F72" i="13" s="1" a="1"/>
  <c r="F72" i="13" s="1"/>
  <c r="E36" i="14"/>
  <c r="F36" i="14" s="1" a="1"/>
  <c r="F36" i="14" s="1"/>
  <c r="E71" i="9" a="1"/>
  <c r="E71" i="9" s="1"/>
  <c r="E30" i="13"/>
  <c r="H30" i="13" s="1" a="1"/>
  <c r="H30" i="13" s="1"/>
  <c r="E70" i="13" s="1"/>
  <c r="F70" i="13" s="1" a="1"/>
  <c r="F70" i="13" s="1"/>
  <c r="E34" i="14"/>
  <c r="F34" i="14" s="1" a="1"/>
  <c r="F34" i="14" s="1"/>
  <c r="E35" i="13"/>
  <c r="H35" i="13" s="1" a="1"/>
  <c r="H35" i="13" s="1"/>
  <c r="E75" i="13" s="1"/>
  <c r="F75" i="13" s="1" a="1"/>
  <c r="F75" i="13" s="1"/>
  <c r="E39" i="14"/>
  <c r="F39" i="14" s="1" a="1"/>
  <c r="F39" i="14" s="1"/>
  <c r="E37" i="13"/>
  <c r="H37" i="13" s="1" a="1"/>
  <c r="H37" i="13" s="1"/>
  <c r="E77" i="13" s="1"/>
  <c r="F77" i="13" s="1" a="1"/>
  <c r="F77" i="13" s="1"/>
  <c r="E41" i="14"/>
  <c r="F41" i="14" s="1" a="1"/>
  <c r="F41" i="14" s="1"/>
  <c r="E46" i="18"/>
  <c r="E58" i="17"/>
  <c r="E55" i="17"/>
  <c r="E44" i="18"/>
  <c r="E46" i="17"/>
  <c r="E43" i="18"/>
  <c r="E45" i="18"/>
  <c r="E61" i="17"/>
  <c r="E50" i="18"/>
  <c r="E52" i="18"/>
  <c r="E51" i="18"/>
  <c r="E64" i="17"/>
  <c r="E63" i="17"/>
  <c r="E43" i="17"/>
  <c r="E44" i="17"/>
  <c r="E68" i="17" s="1"/>
  <c r="E45" i="17"/>
  <c r="G19" i="10" a="1"/>
  <c r="G19" i="10" s="1"/>
  <c r="E58" i="10" s="1" a="1"/>
  <c r="E58" i="10" s="1"/>
  <c r="E78" i="10" s="1"/>
  <c r="G19" i="9" a="1"/>
  <c r="G19" i="9" s="1"/>
  <c r="V51" i="9" l="1" a="1"/>
  <c r="V51" i="9" s="1"/>
  <c r="V49" i="9" a="1"/>
  <c r="V49" i="9" s="1"/>
  <c r="U49" i="9"/>
  <c r="P83" i="9" a="1"/>
  <c r="P83" i="9" s="1"/>
  <c r="V48" i="9" a="1"/>
  <c r="V48" i="9" s="1"/>
  <c r="O79" i="9" a="1"/>
  <c r="O79" i="9" s="1"/>
  <c r="P79" i="9" s="1" a="1"/>
  <c r="P79" i="9" s="1"/>
  <c r="O78" i="9" a="1"/>
  <c r="O78" i="9" s="1"/>
  <c r="P78" i="9" s="1" a="1"/>
  <c r="P78" i="9" s="1"/>
  <c r="S45" i="9" a="1"/>
  <c r="S45" i="9" s="1"/>
  <c r="V45" i="9" a="1"/>
  <c r="V45" i="9" s="1"/>
  <c r="T45" i="9"/>
  <c r="U45" i="9" s="1"/>
  <c r="R45" i="9" a="1"/>
  <c r="R45" i="9" s="1"/>
  <c r="W45" i="9"/>
  <c r="O77" i="9" s="1" a="1"/>
  <c r="O77" i="9" s="1"/>
  <c r="Q45" i="9"/>
  <c r="U52" i="9"/>
  <c r="V52" i="9" a="1"/>
  <c r="V52" i="9" s="1"/>
  <c r="W50" i="9"/>
  <c r="O82" i="9" s="1" a="1"/>
  <c r="O82" i="9" s="1"/>
  <c r="S50" i="9" a="1"/>
  <c r="S50" i="9" s="1"/>
  <c r="R50" i="9" a="1"/>
  <c r="R50" i="9" s="1"/>
  <c r="Q50" i="9"/>
  <c r="T50" i="9"/>
  <c r="E60" i="9" a="1"/>
  <c r="E60" i="9" s="1"/>
  <c r="E80" i="9" s="1"/>
  <c r="G82" i="9" s="1"/>
  <c r="E85" i="9" s="1" a="1"/>
  <c r="E85" i="9" s="1"/>
  <c r="E19" i="13"/>
  <c r="H19" i="13" s="1" a="1"/>
  <c r="H19" i="13" s="1"/>
  <c r="E59" i="13" s="1"/>
  <c r="F59" i="13" s="1" a="1"/>
  <c r="F59" i="13" s="1"/>
  <c r="E79" i="13" s="1"/>
  <c r="G81" i="13" s="1"/>
  <c r="E84" i="13" s="1" a="1"/>
  <c r="E84" i="13" s="1"/>
  <c r="E23" i="14"/>
  <c r="F23" i="14" s="1" a="1"/>
  <c r="F23" i="14" s="1"/>
  <c r="E43" i="14" s="1"/>
  <c r="J89" i="14" s="1"/>
  <c r="E94" i="14" s="1" a="1"/>
  <c r="E94" i="14" s="1"/>
  <c r="G96" i="14" s="1"/>
  <c r="E99" i="14" s="1" a="1"/>
  <c r="E99" i="14" s="1"/>
  <c r="E58" i="18"/>
  <c r="E56" i="18"/>
  <c r="E67" i="17"/>
  <c r="E70" i="17"/>
  <c r="E57" i="18"/>
  <c r="E55" i="18"/>
  <c r="E69" i="17"/>
  <c r="P77" i="9" l="1" a="1"/>
  <c r="P77" i="9" s="1"/>
  <c r="U50" i="9"/>
  <c r="V50" i="9" a="1"/>
  <c r="V50" i="9" s="1"/>
  <c r="P82" i="9" a="1"/>
  <c r="P82" i="9" s="1"/>
  <c r="N88" i="9" l="1"/>
  <c r="P90" i="9" s="1"/>
  <c r="N93" i="9" s="1" a="1"/>
  <c r="N93"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<sst xmlns="http://schemas.openxmlformats.org/spreadsheetml/2006/main" count="767" uniqueCount="420">
  <si>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</si>
  <si>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</si>
  <si>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</si>
  <si>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</si>
  <si>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</si>
  <si>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</si>
  <si>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</si>
  <si>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</si>
  <si>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</si>
  <si>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</si>
  <si>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</si>
  <si>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</si>
  <si>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</si>
  <si>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</si>
  <si>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</si>
  <si>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</si>
  <si>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</si>
  <si>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</si>
  <si>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</si>
  <si>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</si>
  <si>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</si>
  <si>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</si>
  <si>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</si>
  <si>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</si>
  <si>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</si>
  <si>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</si>
  <si>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</si>
  <si>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</si>
  <si>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</si>
  <si>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</si>
  <si>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</si>
  <si>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</si>
  <si>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</si>
  <si>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</si>
  <si>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</si>
  <si>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</si>
  <si>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</si>
  <si>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</si>
  <si>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</si>
  <si>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</si>
  <si>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</si>
  <si>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</si>
  <si>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</si>
  <si>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</si>
  <si>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</si>
  <si>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</si>
  <si>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</si>
  <si>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</si>
  <si>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</si>
  <si>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</si>
  <si>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</si>
  <si>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</si>
  <si>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</si>
  <si>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</si>
  <si>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</si>
  <si>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</si>
  <si>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</si>
  <si>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</si>
  <si>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</si>
  <si>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</si>
  <si>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</si>
  <si>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</si>
  <si>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</si>
  <si>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</si>
  <si>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</si>
  <si>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</si>
  <si>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</si>
  <si>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</si>
  <si>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</si>
  <si>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</si>
  <si>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</si>
  <si>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</si>
  <si>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</si>
  <si>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</si>
  <si>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</si>
  <si>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</si>
  <si>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</si>
  <si>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</si>
  <si>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</si>
  <si>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</si>
  <si>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</si>
  <si>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</si>
  <si>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</si>
  <si>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</si>
  <si>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</si>
  <si>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</si>
  <si>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</si>
  <si>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</si>
  <si>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</si>
  <si>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</si>
  <si>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</si>
  <si>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</si>
  <si>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</si>
  <si>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</si>
  <si>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</si>
  <si>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</si>
  <si>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</si>
  <si>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</si>
  <si>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</si>
  <si>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</si>
  <si>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</si>
  <si>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</si>
  <si>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</si>
  <si>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</si>
  <si>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</si>
  <si>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</si>
  <si>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</si>
  <si>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</si>
  <si>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</si>
  <si>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</si>
  <si>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</si>
  <si>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</si>
  <si>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</si>
  <si>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</si>
  <si>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</si>
  <si>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</si>
  <si>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CALCULATIONS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</si>
  <si>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</si>
  <si>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</si>
  <si>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</si>
  <si>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</si>
  <si>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</si>
  <si>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</si>
  <si>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</si>
  <si>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</si>
  <si>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</si>
  <si>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</si>
  <si>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</si>
  <si>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</si>
  <si>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</si>
  <si>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</si>
  <si>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</si>
  <si>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</si>
  <si>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APPENDICES</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</si>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</sst>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7"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9"/>
      <color rgb="FF404040"/>
      <name val="Times New Roman"/>
      <family val="1"/>
    </font>
    <font>
      <b/>
      <sz val="12"/>
      <color rgb="FFCC6600"/>
      <name val="Times New Roman"/>
      <family val="1"/>
    </font>
    <font>
      <b/>
      <sz val="11"/>
      <color rgb="FF533001"/>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rgb="FFFFCC6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4" fillId="5"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8" fillId="6" borderId="2">
      <alignment horizontal="left" vertical="center"/>
    </xf>
    <xf numFmtId="0" fontId="21" fillId="7" borderId="6">
      <alignment horizontal="left" vertical="center" indent="1"/>
    </xf>
    <xf numFmtId="0" fontId="23" fillId="8" borderId="0">
      <alignment horizontal="left" vertical="center" indent="1"/>
    </xf>
    <xf numFmtId="0" fontId="24"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3" fillId="2" borderId="0">
      <alignment horizontal="left" vertical="center"/>
    </xf>
    <xf numFmtId="0" fontId="34" fillId="10" borderId="1">
      <alignment horizontal="center" vertical="center"/>
    </xf>
    <xf numFmtId="0" fontId="35" fillId="11" borderId="1">
      <alignment horizontal="center" vertical="center"/>
    </xf>
    <xf numFmtId="0" fontId="36" fillId="2" borderId="1">
      <alignment horizontal="left" vertical="center"/>
    </xf>
    <xf numFmtId="0" fontId="23" fillId="12" borderId="0">
      <alignment horizontal="left" vertical="center" indent="1"/>
    </xf>
    <xf numFmtId="0" fontId="37" fillId="2" borderId="0">
      <alignment horizontal="left" vertical="center"/>
    </xf>
    <xf numFmtId="0" fontId="38" fillId="2" borderId="0">
      <alignment horizontal="left" vertical="center"/>
    </xf>
    <xf numFmtId="0" fontId="39" fillId="13" borderId="0">
      <alignment horizontal="center" vertical="center"/>
    </xf>
    <xf numFmtId="0" fontId="6" fillId="2" borderId="1">
      <alignment horizontal="left" vertical="center"/>
    </xf>
    <xf numFmtId="0" fontId="39" fillId="13" borderId="0">
      <alignment horizontal="left" vertical="center" indent="1"/>
      <protection locked="0"/>
    </xf>
    <xf numFmtId="4" fontId="6" fillId="2" borderId="1">
      <alignment horizontal="center" vertical="center"/>
    </xf>
    <xf numFmtId="0" fontId="23" fillId="15" borderId="0">
      <alignment horizontal="left" vertical="center" indent="1"/>
    </xf>
    <xf numFmtId="0" fontId="49" fillId="2" borderId="0" applyNumberFormat="0">
      <alignment horizontal="center" vertical="center"/>
    </xf>
    <xf numFmtId="0" fontId="51" fillId="2" borderId="0">
      <alignment horizontal="left" vertical="center"/>
    </xf>
    <xf numFmtId="0" fontId="23" fillId="16" borderId="0">
      <alignment horizontal="left" vertical="center" indent="1"/>
    </xf>
    <xf numFmtId="0" fontId="58" fillId="2" borderId="0">
      <alignment vertical="center"/>
    </xf>
    <xf numFmtId="169" fontId="61" fillId="2" borderId="29">
      <alignment horizontal="center" vertical="center"/>
    </xf>
    <xf numFmtId="0" fontId="65" fillId="0" borderId="0" applyNumberFormat="0" applyFill="0" applyBorder="0" applyAlignment="0" applyProtection="0"/>
    <xf numFmtId="3" fontId="5" fillId="0" borderId="1">
      <alignment horizontal="center" vertical="center"/>
    </xf>
  </cellStyleXfs>
  <cellXfs count="212">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4" fillId="5" borderId="1" xfId="15">
      <alignment horizontal="center" vertical="center"/>
    </xf>
    <xf numFmtId="0" fontId="15" fillId="2" borderId="0" xfId="16">
      <alignment horizontal="left" vertical="center" indent="1"/>
    </xf>
    <xf numFmtId="0" fontId="5" fillId="0" borderId="1" xfId="17">
      <alignment horizontal="center" vertical="center"/>
    </xf>
    <xf numFmtId="0" fontId="5" fillId="0" borderId="0" xfId="18">
      <alignment horizontal="left" vertical="center" indent="1"/>
    </xf>
    <xf numFmtId="0" fontId="18" fillId="6" borderId="3" xfId="19" applyBorder="1">
      <alignment horizontal="left" vertical="center"/>
    </xf>
    <xf numFmtId="0" fontId="18" fillId="6" borderId="4" xfId="19" applyBorder="1">
      <alignment horizontal="left" vertical="center"/>
    </xf>
    <xf numFmtId="0" fontId="18" fillId="6" borderId="5" xfId="19" applyBorder="1">
      <alignment horizontal="left" vertical="center"/>
    </xf>
    <xf numFmtId="0" fontId="19" fillId="2" borderId="0" xfId="6" applyFont="1" applyFill="1" applyAlignment="1">
      <alignment horizontal="center" vertical="center"/>
    </xf>
    <xf numFmtId="0" fontId="19" fillId="2" borderId="0" xfId="6" applyFont="1" applyFill="1"/>
    <xf numFmtId="0" fontId="20" fillId="2" borderId="0" xfId="6" applyFont="1" applyFill="1"/>
    <xf numFmtId="0" fontId="22" fillId="7" borderId="6" xfId="20" applyFont="1">
      <alignment horizontal="left" vertical="center" indent="1"/>
    </xf>
    <xf numFmtId="0" fontId="18" fillId="6" borderId="7" xfId="19" applyBorder="1">
      <alignment horizontal="left" vertical="center"/>
    </xf>
    <xf numFmtId="0" fontId="18" fillId="6" borderId="8" xfId="19" applyBorder="1">
      <alignment horizontal="left" vertical="center"/>
    </xf>
    <xf numFmtId="0" fontId="18" fillId="6" borderId="9" xfId="19" applyBorder="1">
      <alignment horizontal="left" vertical="center"/>
    </xf>
    <xf numFmtId="0" fontId="18" fillId="6" borderId="10" xfId="19" applyBorder="1">
      <alignment horizontal="left" vertical="center"/>
    </xf>
    <xf numFmtId="0" fontId="23" fillId="8" borderId="0" xfId="21">
      <alignment horizontal="left" vertical="center" indent="1"/>
    </xf>
    <xf numFmtId="0" fontId="24"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5" borderId="1" xfId="15"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7" borderId="6" xfId="20" applyFont="1">
      <alignment horizontal="left" vertical="center" indent="1"/>
    </xf>
    <xf numFmtId="0" fontId="4" fillId="7" borderId="1" xfId="15" applyFill="1" applyAlignment="1">
      <alignment horizontal="center" vertical="center" wrapText="1"/>
    </xf>
    <xf numFmtId="4" fontId="0" fillId="0" borderId="1" xfId="23" applyFont="1" applyAlignment="1">
      <alignment horizontal="center" vertical="center" wrapText="1"/>
    </xf>
    <xf numFmtId="0" fontId="25" fillId="2" borderId="0" xfId="25" applyFont="1" applyFill="1" applyAlignment="1">
      <alignment horizontal="left" vertical="center" wrapText="1"/>
    </xf>
    <xf numFmtId="2" fontId="19" fillId="2" borderId="0" xfId="26" applyNumberFormat="1" applyFont="1" applyFill="1" applyBorder="1" applyAlignment="1" applyProtection="1">
      <alignment horizontal="center" wrapText="1"/>
      <protection locked="0"/>
    </xf>
    <xf numFmtId="1" fontId="19" fillId="2" borderId="0" xfId="26" applyNumberFormat="1" applyFont="1" applyFill="1" applyBorder="1" applyAlignment="1" applyProtection="1">
      <alignment horizontal="center" wrapText="1"/>
      <protection locked="0"/>
    </xf>
    <xf numFmtId="0" fontId="19" fillId="2" borderId="0" xfId="6" applyFont="1" applyFill="1" applyAlignment="1">
      <alignment horizontal="left" wrapText="1"/>
    </xf>
    <xf numFmtId="0" fontId="20" fillId="2" borderId="0" xfId="6" applyFont="1" applyFill="1" applyAlignment="1">
      <alignment wrapText="1"/>
    </xf>
    <xf numFmtId="0" fontId="11" fillId="2" borderId="0" xfId="8" applyAlignment="1">
      <alignment horizontal="left" vertical="center" wrapText="1"/>
    </xf>
    <xf numFmtId="0" fontId="24"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5" borderId="1" xfId="15" applyFont="1" applyAlignment="1">
      <alignment horizontal="center" vertical="center" wrapText="1"/>
    </xf>
    <xf numFmtId="9" fontId="0" fillId="0" borderId="0" xfId="28" applyFont="1" applyFill="1" applyBorder="1" applyAlignment="1">
      <alignment horizontal="center" vertical="center" wrapText="1"/>
    </xf>
    <xf numFmtId="0" fontId="27" fillId="5" borderId="1" xfId="15" applyFont="1">
      <alignment horizontal="center" vertical="center"/>
    </xf>
    <xf numFmtId="9" fontId="5" fillId="0" borderId="1" xfId="29">
      <alignment horizontal="center" vertical="center"/>
    </xf>
    <xf numFmtId="0" fontId="28" fillId="2" borderId="0" xfId="8" applyFont="1">
      <alignment horizontal="left" vertical="center"/>
    </xf>
    <xf numFmtId="9" fontId="0" fillId="0" borderId="11" xfId="28" applyFont="1" applyFill="1" applyBorder="1" applyAlignment="1">
      <alignment horizontal="center" vertical="center" wrapText="1"/>
    </xf>
    <xf numFmtId="0" fontId="29" fillId="7" borderId="6" xfId="20" applyFont="1">
      <alignment horizontal="left" vertical="center" indent="1"/>
    </xf>
    <xf numFmtId="0" fontId="18" fillId="6" borderId="12" xfId="19" applyBorder="1">
      <alignment horizontal="left" vertical="center"/>
    </xf>
    <xf numFmtId="0" fontId="18" fillId="6" borderId="0" xfId="19" applyBorder="1">
      <alignment horizontal="left" vertical="center"/>
    </xf>
    <xf numFmtId="0" fontId="18" fillId="6" borderId="13" xfId="19"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9" fontId="9" fillId="2" borderId="0" xfId="6" applyNumberFormat="1" applyFill="1"/>
    <xf numFmtId="0" fontId="9" fillId="0" borderId="0" xfId="6" applyAlignment="1">
      <alignment wrapText="1"/>
    </xf>
    <xf numFmtId="0" fontId="33" fillId="2" borderId="0" xfId="32">
      <alignment horizontal="left" vertical="center"/>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4" fillId="10" borderId="1" xfId="33">
      <alignment horizontal="center" vertical="center"/>
    </xf>
    <xf numFmtId="0" fontId="35" fillId="11" borderId="1" xfId="34">
      <alignment horizontal="center" vertical="center"/>
    </xf>
    <xf numFmtId="0" fontId="36" fillId="2" borderId="14" xfId="35" applyBorder="1">
      <alignment horizontal="left" vertical="center"/>
    </xf>
    <xf numFmtId="0" fontId="6" fillId="2" borderId="16" xfId="24" applyBorder="1">
      <alignment horizontal="center" vertical="center"/>
    </xf>
    <xf numFmtId="0" fontId="36" fillId="2" borderId="1" xfId="35">
      <alignment horizontal="left" vertical="center"/>
    </xf>
    <xf numFmtId="0" fontId="23" fillId="12" borderId="0" xfId="36">
      <alignment horizontal="left" vertical="center" indent="1"/>
    </xf>
    <xf numFmtId="0" fontId="6" fillId="2" borderId="16" xfId="24" applyBorder="1" applyAlignment="1">
      <alignment horizontal="left" vertical="center"/>
    </xf>
    <xf numFmtId="0" fontId="37" fillId="2" borderId="0" xfId="37">
      <alignment horizontal="left" vertical="center"/>
    </xf>
    <xf numFmtId="0" fontId="38" fillId="2" borderId="0" xfId="38">
      <alignment horizontal="left" vertical="center"/>
    </xf>
    <xf numFmtId="0" fontId="39" fillId="13" borderId="0" xfId="39">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6" applyAlignment="1">
      <alignment horizontal="center" vertical="center"/>
    </xf>
    <xf numFmtId="0" fontId="42" fillId="2" borderId="17" xfId="8" applyFont="1" applyBorder="1">
      <alignment horizontal="left" vertical="center"/>
    </xf>
    <xf numFmtId="0" fontId="44" fillId="2" borderId="17" xfId="8" applyFont="1" applyBorder="1">
      <alignment horizontal="left" vertical="center"/>
    </xf>
    <xf numFmtId="0" fontId="45"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0">
      <alignment horizontal="left" vertical="center"/>
    </xf>
    <xf numFmtId="0" fontId="39" fillId="13" borderId="0" xfId="41">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47" fillId="2" borderId="0" xfId="6" applyFont="1" applyFill="1"/>
    <xf numFmtId="0" fontId="28" fillId="2" borderId="17" xfId="8" applyFont="1" applyBorder="1">
      <alignment horizontal="left" vertical="center"/>
    </xf>
    <xf numFmtId="0" fontId="15" fillId="2" borderId="17" xfId="16"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24" applyNumberFormat="1">
      <alignment horizontal="center" vertical="center"/>
    </xf>
    <xf numFmtId="4" fontId="6" fillId="2" borderId="1" xfId="42">
      <alignment horizontal="center" vertical="center"/>
    </xf>
    <xf numFmtId="0" fontId="45" fillId="2" borderId="17" xfId="16" applyFont="1" applyBorder="1">
      <alignment horizontal="left" vertical="center" indent="1"/>
    </xf>
    <xf numFmtId="0" fontId="39" fillId="13" borderId="0" xfId="39" applyAlignment="1">
      <alignment horizontal="center" vertical="center" wrapText="1"/>
    </xf>
    <xf numFmtId="0" fontId="11" fillId="2" borderId="19" xfId="8" applyBorder="1">
      <alignment horizontal="left" vertical="center"/>
    </xf>
    <xf numFmtId="0" fontId="39" fillId="13" borderId="0" xfId="41" applyAlignment="1">
      <alignment horizontal="center" vertical="center"/>
      <protection locked="0"/>
    </xf>
    <xf numFmtId="0" fontId="9" fillId="0" borderId="0" xfId="6" applyAlignment="1">
      <alignment vertical="center"/>
    </xf>
    <xf numFmtId="0" fontId="23"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5" borderId="20" xfId="15"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49" fillId="2" borderId="0" xfId="44" applyAlignment="1">
      <alignment horizontal="left" vertical="center"/>
    </xf>
    <xf numFmtId="166" fontId="50" fillId="2" borderId="1" xfId="24" applyNumberFormat="1" applyFont="1">
      <alignment horizontal="center" vertical="center"/>
    </xf>
    <xf numFmtId="0" fontId="51" fillId="2" borderId="0" xfId="45">
      <alignment horizontal="left" vertical="center"/>
    </xf>
    <xf numFmtId="4" fontId="6" fillId="2" borderId="20" xfId="42" applyBorder="1">
      <alignment horizontal="center" vertical="center"/>
    </xf>
    <xf numFmtId="166" fontId="50" fillId="2" borderId="20" xfId="24" applyNumberFormat="1" applyFont="1" applyBorder="1">
      <alignment horizontal="center" vertical="center"/>
    </xf>
    <xf numFmtId="0" fontId="4" fillId="2" borderId="17" xfId="1" applyBorder="1">
      <alignment horizontal="left" vertical="center"/>
    </xf>
    <xf numFmtId="0" fontId="49" fillId="2" borderId="17" xfId="44"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0" fillId="2" borderId="23" xfId="24" applyNumberFormat="1" applyFont="1" applyBorder="1">
      <alignment horizontal="center" vertical="center"/>
    </xf>
    <xf numFmtId="166" fontId="50" fillId="2" borderId="21" xfId="24" applyNumberFormat="1" applyFont="1" applyBorder="1">
      <alignment horizontal="center" vertical="center"/>
    </xf>
    <xf numFmtId="0" fontId="6" fillId="2" borderId="23" xfId="24" applyBorder="1">
      <alignment horizontal="center" vertical="center"/>
    </xf>
    <xf numFmtId="0" fontId="50" fillId="2" borderId="23" xfId="24" applyFont="1" applyBorder="1">
      <alignment horizontal="center" vertical="center"/>
    </xf>
    <xf numFmtId="0" fontId="4" fillId="2" borderId="19" xfId="1" applyBorder="1">
      <alignment horizontal="left" vertical="center"/>
    </xf>
    <xf numFmtId="167" fontId="47" fillId="2" borderId="19" xfId="6" applyNumberFormat="1" applyFont="1" applyFill="1" applyBorder="1"/>
    <xf numFmtId="0" fontId="15" fillId="2" borderId="19" xfId="16" applyBorder="1">
      <alignment horizontal="left" vertical="center" indent="1"/>
    </xf>
    <xf numFmtId="168" fontId="47" fillId="2" borderId="0" xfId="6" applyNumberFormat="1" applyFont="1" applyFill="1" applyAlignment="1">
      <alignment vertical="center"/>
    </xf>
    <xf numFmtId="167" fontId="47" fillId="2" borderId="19" xfId="6" applyNumberFormat="1" applyFont="1" applyFill="1" applyBorder="1" applyAlignment="1">
      <alignment vertical="center"/>
    </xf>
    <xf numFmtId="0" fontId="47" fillId="2" borderId="0" xfId="6" applyFont="1" applyFill="1" applyAlignment="1">
      <alignment vertical="center"/>
    </xf>
    <xf numFmtId="167" fontId="52" fillId="2" borderId="19" xfId="6" applyNumberFormat="1" applyFont="1" applyFill="1" applyBorder="1" applyAlignment="1">
      <alignment vertical="center"/>
    </xf>
    <xf numFmtId="168" fontId="50" fillId="2" borderId="1" xfId="42" applyNumberFormat="1" applyFont="1">
      <alignment horizontal="center" vertical="center"/>
    </xf>
    <xf numFmtId="168" fontId="50" fillId="2" borderId="20" xfId="42" applyNumberFormat="1" applyFont="1" applyBorder="1">
      <alignment horizontal="center" vertical="center"/>
    </xf>
    <xf numFmtId="168" fontId="50" fillId="2" borderId="23" xfId="42" applyNumberFormat="1" applyFont="1" applyBorder="1">
      <alignment horizontal="center" vertical="center"/>
    </xf>
    <xf numFmtId="0" fontId="53" fillId="0" borderId="0" xfId="6" applyFont="1" applyAlignment="1">
      <alignment vertical="center" wrapText="1"/>
    </xf>
    <xf numFmtId="0" fontId="54" fillId="0" borderId="0" xfId="6" applyFont="1" applyAlignment="1">
      <alignment horizontal="left" vertical="center"/>
    </xf>
    <xf numFmtId="0" fontId="54" fillId="0" borderId="0" xfId="8" applyFont="1" applyFill="1">
      <alignment horizontal="left" vertical="center"/>
    </xf>
    <xf numFmtId="0" fontId="53" fillId="0" borderId="0" xfId="6" applyFont="1" applyAlignment="1">
      <alignment vertical="center"/>
    </xf>
    <xf numFmtId="0" fontId="53"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3" fillId="2" borderId="0" xfId="6" applyFont="1" applyFill="1" applyAlignment="1">
      <alignment horizontal="left" vertical="center"/>
    </xf>
    <xf numFmtId="0" fontId="28" fillId="2" borderId="0" xfId="8" applyFont="1" applyAlignment="1">
      <alignment horizontal="right" vertical="center"/>
    </xf>
    <xf numFmtId="0" fontId="55" fillId="2" borderId="0" xfId="6" applyFont="1" applyFill="1"/>
    <xf numFmtId="0" fontId="53" fillId="0" borderId="0" xfId="6" applyFont="1"/>
    <xf numFmtId="0" fontId="53" fillId="0" borderId="0" xfId="1" applyFont="1" applyFill="1">
      <alignment horizontal="left" vertical="center"/>
    </xf>
    <xf numFmtId="0" fontId="53" fillId="2" borderId="0" xfId="6" applyFont="1" applyFill="1"/>
    <xf numFmtId="0" fontId="53" fillId="2" borderId="0" xfId="1" applyFont="1">
      <alignment horizontal="left" vertical="center"/>
    </xf>
    <xf numFmtId="0" fontId="23" fillId="16" borderId="0" xfId="46">
      <alignment horizontal="left" vertical="center" indent="1"/>
    </xf>
    <xf numFmtId="0" fontId="56" fillId="7" borderId="0" xfId="13" applyFont="1" applyFill="1"/>
    <xf numFmtId="0" fontId="11" fillId="7" borderId="0" xfId="8" applyFill="1">
      <alignment horizontal="left" vertical="center"/>
    </xf>
    <xf numFmtId="0" fontId="9" fillId="7" borderId="0" xfId="6" applyFill="1"/>
    <xf numFmtId="0" fontId="10" fillId="16" borderId="0" xfId="14" applyFill="1">
      <alignment vertical="center"/>
    </xf>
    <xf numFmtId="0" fontId="57" fillId="6" borderId="7" xfId="19"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8" fillId="2" borderId="0" xfId="47">
      <alignment vertical="center"/>
    </xf>
    <xf numFmtId="0" fontId="13" fillId="0" borderId="0" xfId="10" applyFill="1">
      <alignment vertical="center"/>
    </xf>
    <xf numFmtId="0" fontId="11" fillId="0" borderId="0" xfId="8" applyFill="1">
      <alignment horizontal="left" vertical="center"/>
    </xf>
    <xf numFmtId="0" fontId="18" fillId="6" borderId="25" xfId="19" applyBorder="1">
      <alignment horizontal="left" vertical="center"/>
    </xf>
    <xf numFmtId="0" fontId="18" fillId="6" borderId="26" xfId="19" applyBorder="1">
      <alignment horizontal="left" vertical="center"/>
    </xf>
    <xf numFmtId="0" fontId="18" fillId="6" borderId="27" xfId="19" applyBorder="1">
      <alignment horizontal="left" vertical="center"/>
    </xf>
    <xf numFmtId="0" fontId="18" fillId="6" borderId="28" xfId="19" applyBorder="1">
      <alignment horizontal="left" vertical="center"/>
    </xf>
    <xf numFmtId="0" fontId="59" fillId="0" borderId="0" xfId="16" applyFont="1" applyFill="1" applyAlignment="1">
      <alignment horizontal="left" vertical="center"/>
    </xf>
    <xf numFmtId="0" fontId="5" fillId="0" borderId="0" xfId="1" applyFont="1" applyFill="1">
      <alignment horizontal="left" vertical="center"/>
    </xf>
    <xf numFmtId="0" fontId="57" fillId="6" borderId="3" xfId="19"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5" fillId="0" borderId="0" xfId="6" applyFont="1" applyAlignment="1" applyProtection="1">
      <alignment horizontal="center" vertical="center"/>
      <protection locked="0"/>
    </xf>
    <xf numFmtId="4" fontId="60" fillId="0" borderId="0" xfId="23" applyFont="1" applyBorder="1">
      <alignment horizontal="center" vertical="center"/>
    </xf>
    <xf numFmtId="169" fontId="61" fillId="2" borderId="0" xfId="48" applyBorder="1">
      <alignment horizontal="center" vertical="center"/>
    </xf>
    <xf numFmtId="4" fontId="60" fillId="2" borderId="0" xfId="23" applyFont="1" applyFill="1" applyBorder="1">
      <alignment horizontal="center" vertical="center"/>
    </xf>
    <xf numFmtId="0" fontId="60" fillId="2" borderId="0" xfId="16" applyFont="1" applyAlignment="1">
      <alignment horizontal="center" vertical="center"/>
    </xf>
    <xf numFmtId="0" fontId="60" fillId="2" borderId="0" xfId="8" applyFont="1" applyAlignment="1">
      <alignment horizontal="center" vertical="center"/>
    </xf>
    <xf numFmtId="165" fontId="60" fillId="2" borderId="0" xfId="8" applyNumberFormat="1" applyFont="1" applyAlignment="1">
      <alignment horizontal="center" vertical="center"/>
    </xf>
    <xf numFmtId="9" fontId="60"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0" fillId="2" borderId="0" xfId="6" applyFont="1" applyFill="1"/>
    <xf numFmtId="0" fontId="60" fillId="0" borderId="0" xfId="6" applyFont="1"/>
    <xf numFmtId="0" fontId="62" fillId="2" borderId="0" xfId="1" applyFont="1" applyAlignment="1">
      <alignment horizontal="center" vertical="center"/>
    </xf>
    <xf numFmtId="0" fontId="63" fillId="2" borderId="0" xfId="1" applyFont="1" applyAlignment="1">
      <alignment horizontal="center" vertical="center"/>
    </xf>
    <xf numFmtId="165" fontId="63" fillId="2" borderId="0" xfId="1" applyNumberFormat="1" applyFont="1" applyAlignment="1">
      <alignment horizontal="center" vertical="center"/>
    </xf>
    <xf numFmtId="0" fontId="63" fillId="2" borderId="0" xfId="6" applyFont="1" applyFill="1" applyAlignment="1">
      <alignment horizontal="center" vertical="center"/>
    </xf>
    <xf numFmtId="0" fontId="64" fillId="2" borderId="0" xfId="6" applyFont="1" applyFill="1" applyAlignment="1">
      <alignment horizontal="center" vertical="center"/>
    </xf>
    <xf numFmtId="0" fontId="64" fillId="2" borderId="0" xfId="6" applyFont="1" applyFill="1" applyAlignment="1">
      <alignment horizontal="left" vertical="center"/>
    </xf>
    <xf numFmtId="14" fontId="4" fillId="2" borderId="0" xfId="1" applyNumberFormat="1">
      <alignment horizontal="left" vertical="center"/>
    </xf>
    <xf numFmtId="0" fontId="18" fillId="6" borderId="2" xfId="19">
      <alignment horizontal="left" vertical="center"/>
    </xf>
    <xf numFmtId="0" fontId="65" fillId="2" borderId="0" xfId="49" applyFill="1" applyBorder="1"/>
    <xf numFmtId="165" fontId="5" fillId="2" borderId="0" xfId="50"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6" fillId="2" borderId="0" xfId="6" applyFont="1" applyFill="1"/>
    <xf numFmtId="0" fontId="5" fillId="7" borderId="0" xfId="1" applyFont="1" applyFill="1" applyAlignment="1">
      <alignment horizontal="left" vertical="center" indent="1"/>
    </xf>
  </cellXfs>
  <cellStyles count="51">
    <cellStyle name="Alert" xfId="30" xr:uid="{206DE5C3-6E80-4C38-987A-57BF1DE46875}"/>
    <cellStyle name="Arguments" xfId="40" xr:uid="{4AC03FBC-69DF-433B-AFAC-28C4E6CE90BC}"/>
    <cellStyle name="Arguments hyperlink" xfId="35" xr:uid="{5CC58DE0-4591-4DA5-BA70-B2CD1A7A015C}"/>
    <cellStyle name="Block heading" xfId="9" xr:uid="{6065A2C3-09F5-4515-87ED-A07ECE03B60A}"/>
    <cellStyle name="Block subheading" xfId="22" xr:uid="{DD344717-CEFB-4670-B9A2-3D4598C779A8}"/>
    <cellStyle name="Code" xfId="32" xr:uid="{5D71AAC7-1AEC-4A96-9F57-7188C341D767}"/>
    <cellStyle name="Comma 2" xfId="26" xr:uid="{32F76E7D-81A3-46B3-9944-8750B49F6F11}"/>
    <cellStyle name="Content bold" xfId="1" xr:uid="{90EECC7A-90CF-4913-9525-0D57B2C3C25A}"/>
    <cellStyle name="Content hidden" xfId="45" xr:uid="{272C6131-5418-4461-B5A6-9B52038FDBA1}"/>
    <cellStyle name="Content normal" xfId="8" xr:uid="{7064D260-35DF-4E40-B005-5927849D5F2D}"/>
    <cellStyle name="Equation column header" xfId="39" xr:uid="{64DA53F7-2D7D-41F0-B724-C5A3EECA9EDD}"/>
    <cellStyle name="Equation source" xfId="10" xr:uid="{A6980CD5-F033-4A4E-A310-20CA2DBA147C}"/>
    <cellStyle name="Equation table header" xfId="41" xr:uid="{D66BF11E-7C3B-4EE1-A7E8-4AE0D6EC5339}"/>
    <cellStyle name="Hyperlink" xfId="49" builtinId="8"/>
    <cellStyle name="Information tip" xfId="19" xr:uid="{172A8F23-1D88-44F0-AAD3-B51B0F477BF4}"/>
    <cellStyle name="Information variation" xfId="11" xr:uid="{3DFDDBB8-017E-4A9E-BD36-920C2DA5EB07}"/>
    <cellStyle name="Input block subheading" xfId="47" xr:uid="{5C26A334-739D-4C5C-8AC3-AEAD2AE1D3E5}"/>
    <cellStyle name="Input date" xfId="2" xr:uid="{2CBAF3EB-BBB3-44B0-B98B-27C0B711C4C8}"/>
    <cellStyle name="Input number 2 decimal places" xfId="23" xr:uid="{4C142FE2-9C94-4405-AAD3-E184100CB120}"/>
    <cellStyle name="Input number 2 decimal places calculated" xfId="42" xr:uid="{9D3C09D3-36F8-4FE6-AA3E-0731E36C19C1}"/>
    <cellStyle name="Input number general" xfId="17" xr:uid="{5BE3B412-3B93-4B64-B1B7-2E9058C5394D}"/>
    <cellStyle name="Input number general calculated" xfId="24" xr:uid="{C004B2D9-3E2F-49D2-994F-4023947AD131}"/>
    <cellStyle name="Input number no decimals" xfId="50" xr:uid="{BBA356EF-E6EC-40ED-A679-50B2FDD5E92E}"/>
    <cellStyle name="Input number no decimals calculated" xfId="3" xr:uid="{3E2DE6DD-181A-4A3F-B39E-0927DF0A1DA2}"/>
    <cellStyle name="Input page heading" xfId="13" xr:uid="{5897FCB6-3C44-4D3B-9E7D-BE25D29C3AAF}"/>
    <cellStyle name="Input page section heading" xfId="14" xr:uid="{D1A5AE07-5000-46BC-B18A-759585A433B5}"/>
    <cellStyle name="Input percent" xfId="29" xr:uid="{788080C8-9317-4A78-9CB6-6D3D8BF5094F}"/>
    <cellStyle name="Input select" xfId="15" xr:uid="{14BA529A-AE88-4D85-AEEE-650D1A434A99}"/>
    <cellStyle name="Input table column header" xfId="31" xr:uid="{8807CA01-1DC7-44CD-8C16-10E32D94C35A}"/>
    <cellStyle name="Input text" xfId="27" xr:uid="{5A4AE08D-1481-4E78-9EC0-7B130950595C}"/>
    <cellStyle name="Input text calculated" xfId="44" xr:uid="{74DD5D00-467D-415E-8C39-0518EC0B7AF9}"/>
    <cellStyle name="Menu link default" xfId="18" xr:uid="{EFCD66AB-2DD6-4E6D-B011-532E19E3BC0E}"/>
    <cellStyle name="Menu link selected" xfId="43" xr:uid="{833A1656-EB19-49F7-ACD7-70FEFE705E65}"/>
    <cellStyle name="Menu link selected equations" xfId="36" xr:uid="{1032E061-8418-45D7-902B-5AAFE000BA63}"/>
    <cellStyle name="Menu link selected input" xfId="21" xr:uid="{8E368D77-87AB-4DCD-9479-4C7650ED9465}"/>
    <cellStyle name="Menu link selected results" xfId="46" xr:uid="{46F7A08E-189B-4B81-BDAD-63B50C65F059}"/>
    <cellStyle name="Menu section title" xfId="20" xr:uid="{586EDD15-2BFC-4910-9314-CF5D564638A9}"/>
    <cellStyle name="Normal" xfId="0" builtinId="0"/>
    <cellStyle name="Normal 2" xfId="6" xr:uid="{EE6542E1-CDF9-4701-B44A-AABE5F401092}"/>
    <cellStyle name="Normal 5" xfId="25" xr:uid="{E19BA737-27F8-4CEF-BF0C-A7C42F28783E}"/>
    <cellStyle name="Number display decimal total" xfId="48" xr:uid="{5E32C27C-8396-448F-A560-51E7F902B954}"/>
    <cellStyle name="Page heading" xfId="4" xr:uid="{5606267B-8272-44F0-B060-3CC8D7791322}"/>
    <cellStyle name="Page section heading" xfId="7" xr:uid="{0C5541E1-B1FC-4A0E-9019-EAF0F6D84C6B}"/>
    <cellStyle name="Page source" xfId="5" xr:uid="{BDB1E337-77B0-445D-A39B-72CE8D02F2A9}"/>
    <cellStyle name="Percent 2" xfId="28" xr:uid="{626F91FB-FAE8-4CBB-B34E-ADABE3A65531}"/>
    <cellStyle name="Table description" xfId="38" xr:uid="{F906AFB1-4D7B-4F25-89B8-4D6E43A46069}"/>
    <cellStyle name="Table name" xfId="37" xr:uid="{E479213F-10F0-412D-9373-34157A2F2AE6}"/>
    <cellStyle name="Unit" xfId="16" xr:uid="{BA184FF8-7F02-4739-9A4C-A77C08860CAC}"/>
    <cellStyle name="Unit no indent" xfId="12" xr:uid="{1E2A3F46-D52F-45EA-B250-19AA59D3DC20}"/>
    <cellStyle name="Variable type input" xfId="33" xr:uid="{4D5EDFEE-6E0F-4392-97FF-7AAFDD2CD62D}"/>
    <cellStyle name="Variable type other" xfId="34" xr:uid="{14484FCD-D435-4AE4-A7FE-CD8D32A7DD06}"/>
  </cellStyles>
  <dxfs count="2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A94340C4-F674-4A43-ADE5-72F1543A779D}">
      <tableStyleElement type="wholeTable" dxfId="277"/>
      <tableStyleElement type="headerRow" dxfId="276"/>
      <tableStyleElement type="totalRow" dxfId="275"/>
      <tableStyleElement type="firstColumn" dxfId="274"/>
      <tableStyleElement type="firstRowStripe" dxfId="273"/>
      <tableStyleElement type="secondRowStripe" dxfId="272"/>
    </tableStyle>
    <tableStyle name="Equation table" pivot="0" count="6" xr9:uid="{F81B4736-567E-441A-AD84-F5C27A32236A}">
      <tableStyleElement type="wholeTable" dxfId="271"/>
      <tableStyleElement type="headerRow" dxfId="270"/>
      <tableStyleElement type="totalRow" dxfId="269"/>
      <tableStyleElement type="firstColumn" dxfId="268"/>
      <tableStyleElement type="firstRowStripe" dxfId="267"/>
      <tableStyleElement type="secondRowStripe" dxfId="2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17/06/relationships/rdRichValue" Target="richData/rdrichvalue.xml" /><Relationship Id="rId3" Type="http://schemas.openxmlformats.org/officeDocument/2006/relationships/worksheet" Target="worksheets/sheet3.xml" /><Relationship Id="rId21" Type="http://schemas.openxmlformats.org/officeDocument/2006/relationships/connections" Target="connection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22/10/relationships/richValueRel" Target="richData/richValueRel.xml" /><Relationship Id="rId33" Type="http://schemas.openxmlformats.org/officeDocument/2006/relationships/customXml" Target="../customXml/item4.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theme" Target="theme/theme1.xml" /><Relationship Id="rId29"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eetMetadata" Target="metadata.xml" /><Relationship Id="rId32" Type="http://schemas.openxmlformats.org/officeDocument/2006/relationships/customXml" Target="../customXml/item3.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aredStrings" Target="sharedStrings.xml" /><Relationship Id="rId28" Type="http://schemas.microsoft.com/office/2017/06/relationships/rdRichValueTypes" Target="richData/rdRichValueTypes.xml" /><Relationship Id="rId10" Type="http://schemas.openxmlformats.org/officeDocument/2006/relationships/worksheet" Target="worksheets/sheet10.xml" /><Relationship Id="rId31"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tyles" Target="styles.xml" /><Relationship Id="rId27" Type="http://schemas.microsoft.com/office/2017/06/relationships/rdRichValueStructure" Target="richData/rdrichvaluestructure.xml" /><Relationship Id="rId30" Type="http://schemas.openxmlformats.org/officeDocument/2006/relationships/customXml" Target="../customXml/item1.xml" /><Relationship Id="rId8" Type="http://schemas.openxmlformats.org/officeDocument/2006/relationships/worksheet" Target="worksheets/sheet8.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372A8C-EBDE-4E82-A15F-4737445DFFA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D372A8C-EBDE-4E82-A15F-4737445DFFA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3E5A5B-E232-4C4F-A507-9BAF1D6B511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13E5A5B-E232-4C4F-A507-9BAF1D6B511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D4C63DF-4642-46BC-8AD1-000D85DC9B8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D4C63DF-4642-46BC-8AD1-000D85DC9B8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BB05835-E4E6-4564-8117-2B352A01A9F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BB05835-E4E6-4564-8117-2B352A01A9F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2979EA3-5347-4977-B799-04D6AFA7875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92979EA3-5347-4977-B799-04D6AFA7875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77290AA-FDD5-41D1-AC7C-8F0FF1117CC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77290AA-FDD5-41D1-AC7C-8F0FF1117CC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87969BA-8F4B-4031-87A5-1580EA47D901}"/>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87969BA-8F4B-4031-87A5-1580EA47D901}"/>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7BE276-1EAF-4615-8456-090E0E38C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F7BE276-1EAF-4615-8456-090E0E38C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9FE1ED-BD16-48FF-B194-76E520DE640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C9FE1ED-BD16-48FF-B194-76E520DE640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E2DDEF-D09B-4B6E-AE2B-A4F81A01E3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3E2DDEF-D09B-4B6E-AE2B-A4F81A01E3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38BF02-0BD3-48D4-8A85-6B24F80F9E9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138BF02-0BD3-48D4-8A85-6B24F80F9E9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AD5273-28F3-443F-837A-93D1F5E3B309}"/>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AD5273-28F3-443F-837A-93D1F5E3B309}"/>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F550DB4-25DD-40D1-813E-F553AE5BED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F550DB4-25DD-40D1-813E-F553AE5BED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033CBD-E838-4C23-A71B-BB9CAE07D40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2033CBD-E838-4C23-A71B-BB9CAE07D40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996451-6698-4A29-8736-C0EAFEF4326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1C996451-6698-4A29-8736-C0EAFEF4326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9C922E2-7D59-4697-A83B-430094EE4FC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9C922E2-7D59-4697-A83B-430094EE4FC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AC66E8-5685-4F29-9C78-3E908970A16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2AC66E8-5685-4F29-9C78-3E908970A16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1767913-ACC5-4090-AE16-930205746BC2}"/>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1767913-ACC5-4090-AE16-930205746BC2}"/>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C202FFB-9DE5-4990-A1BB-FD5B6A74F45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C202FFB-9DE5-4990-A1BB-FD5B6A74F45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C1BB99C-2F59-401A-B52D-0F2CCE13951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C1BB99C-2F59-401A-B52D-0F2CCE13951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9FA65F-6582-49F5-9700-B184933E5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B9FA65F-6582-49F5-9700-B184933E5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5E11421-E046-48FE-9F6B-196575F32E6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5E11421-E046-48FE-9F6B-196575F32E6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CC8A46-63DF-4D5F-B035-0461AF4D87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0CC8A46-63DF-4D5F-B035-0461AF4D87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F7CB93-2D73-4F0F-8530-702872B1D3C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AF7CB93-2D73-4F0F-8530-702872B1D3C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F533837-9F34-4F69-AA06-B33B30A4D54F}"/>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DEFB97BA-BE92-4657-82CF-AD54B090DD3E}"/>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E73113DF-D0A1-4B31-B6EA-9D3B6D9410BA}"/>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A2EA3030-145A-4E4B-8E54-FEEC8A21B663}"/>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BB213444-7504-41DF-9245-69C573574FB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C33C1A2-3AD6-486A-B01C-1B09DB55BAB9}"/>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442053AE-91CC-4DA9-8B37-B3984FE3CCC9}"/>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55B45F4D-6AFE-4913-8BAB-8193228022F7}"/>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CA11B16-E526-4610-AF58-86593ACF85C5}"/>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DF015F5A-9108-457A-9C87-D1DA371BCBBC}"/>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CD09309A-F2E3-499B-8189-083C5AB1954A}"/>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C541B5E4-26A9-4A69-8AC4-FC0926ABDA6B}"/>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56ED2FB8-7D4D-42E2-9C71-058A413EE02E}"/>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BB34A1AB-A74A-46F7-9C6B-052C96A7FB59}"/>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20DCCD14-350C-4DAA-A748-8E246A647F8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CF890F22-C75E-4ADE-9E4F-E3288C42E5A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9473E678-6F2D-4B5E-B929-A1812DDBD1D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32E9B0E-4B67-4EBC-9B9B-1CE95745901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920DA402-AB6C-4552-B4AA-6D3A34EAA623}"/>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B423828B-C4AE-4E9C-B0D5-61C0A3240039}"/>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83B157D6-6A34-4F2B-9233-28497011DAA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81EE29CE-3405-426E-A534-7F5D7B52EF10}"/>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2706089-3A92-49D0-A953-641BDA82E3E5}"/>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6FA9EA52-2B33-49B3-A122-C8BB3A2FC8FC}"/>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FAE2CC2C-9027-4EBF-957A-BD35CC98D2AA}"/>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3F32D060-3CD7-49DC-B31C-1C332871289E}"/>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293AFBBC-FFF5-4C27-987B-0260D04BBABB}"/>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FFDB7EC-8FA4-411E-A721-A51EAAF1E67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B54D4F-8C35-4A62-8A5B-413916EE2D16}"/>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3E123907-DD06-4FEC-89FB-5DB6569F3A90}"/>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46FCBC5B-66FB-4ED3-B114-2ED3B77B0854}"/>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1826785-7EA5-4D37-9D37-020F8C68C639}"/>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8D65DF76-3400-41F9-977A-3BAD0ED38160}"/>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E5E769D6-B229-4476-83F0-AB05BC9F8CC5}"/>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044E4B6F-DEEA-4EE4-A6CA-3CF9AE5502B5}"/>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14DAE7D-B567-446C-81B6-D2E1C353868F}"/>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B8A72EA1-1622-4C20-818A-1E8D8E7A3409}"/>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39BC5E9-4CC1-4347-B934-C8CC73C337F7}" name="Table_Input_InorganicFertiliser_Brands" displayName="Table_Input_InorganicFertiliser_Brands" ref="D11:X16" headerRowDxfId="265" dataDxfId="264" totalsRowDxfId="26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EB8BFAAD-BB0F-4286-AB70-603742B6CF16}" name="Product (select)" dataDxfId="262" totalsRowDxfId="261" dataCellStyle="Input select"/>
    <tableColumn id="23" xr3:uid="{7D94E7DD-B7AB-4B1F-817A-4CED3567DF52}" name="Amount applied per hectare" totalsRowFunction="custom" dataDxfId="260" totalsRowDxfId="259">
      <totalsRowFormula>SUM(Table_Input_InorganicFertiliser_Brands[[#Headers],[#Data],[Amount applied per hectare]])</totalsRowFormula>
    </tableColumn>
    <tableColumn id="12" xr3:uid="{68CDE7DB-44B4-4067-A994-7290B71B7DFD}" name="Application unit" dataDxfId="258" totalsRowDxfId="257" dataCellStyle="Input number 2 decimal places"/>
    <tableColumn id="9" xr3:uid="{DA36B193-4763-4FAF-ACB1-EA94FC5F15FA}" name="Density" dataDxfId="256" totalsRowDxfId="255" dataCellStyle="Input number 2 decimal places"/>
    <tableColumn id="6" xr3:uid="{EE88238F-947E-4A33-A029-38411CA2B618}" name="Application area (ha)" dataDxfId="254" totalsRowDxfId="253">
      <calculatedColumnFormula>X_Cell_Fertiliser_AreaUnderCropping</calculatedColumnFormula>
    </tableColumn>
    <tableColumn id="1" xr3:uid="{8221A07A-C7F0-438C-A4EF-5D330621B534}" name="Total applied (kg)" dataDxfId="252" totalsRowDxfId="25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3115B8F-CAC5-4042-95CC-F3F2C2F93C9B}" name="Ingredient 1" dataDxfId="250" totalsRowDxfId="249" dataCellStyle="Input number general calculated"/>
    <tableColumn id="4" xr3:uid="{4F62C054-F292-4C00-BF42-45127D92A4BE}" name="Ingredient 1 percent" dataDxfId="248" totalsRowDxfId="247" dataCellStyle="Input number general calculated"/>
    <tableColumn id="7" xr3:uid="{5BC0067C-5D4D-4CB6-B55F-6AD7A3773A24}" name="Ingredient 2" dataDxfId="246" dataCellStyle="Input number general calculated"/>
    <tableColumn id="8" xr3:uid="{8360D0E7-4303-4C02-9929-B8A19095FD2E}" name="Ingredient 2 percent" dataDxfId="245" totalsRowDxfId="244" dataCellStyle="Input number general calculated"/>
    <tableColumn id="10" xr3:uid="{A285D2AB-28EB-4C17-B127-18DC31AB5CAF}" name="Ingredient 3" dataDxfId="243" totalsRowDxfId="242" dataCellStyle="Input number general calculated"/>
    <tableColumn id="11" xr3:uid="{8D61BFDF-75A7-4FF8-B759-3AA13B45AE69}" name="Ingredient 3 percent" dataDxfId="241" totalsRowDxfId="240" dataCellStyle="Input number general calculated"/>
    <tableColumn id="13" xr3:uid="{85AE3AD7-4A0A-45DD-9BDE-BF2E5367F682}" name="Ingredient 4" dataDxfId="239" totalsRowDxfId="238" dataCellStyle="Input number general calculated"/>
    <tableColumn id="14" xr3:uid="{EEE69475-43D3-4C9D-9A6F-B5A21176F55F}" name="Ingredient 4 percent" dataDxfId="237" dataCellStyle="Input number general calculated"/>
    <tableColumn id="16" xr3:uid="{93141E68-5ADA-4D77-ACD8-1B3237A416CC}" name="Ingredient 5" dataDxfId="236" dataCellStyle="Input number general calculated"/>
    <tableColumn id="17" xr3:uid="{C2E5C64C-CC45-4CE6-8034-2854048DECA9}" name="Ingredient 5 percent" dataDxfId="235" dataCellStyle="Input number general calculated"/>
    <tableColumn id="19" xr3:uid="{EBD576C4-9736-4DD0-BA19-98C8FB3AC33B}" name="Ingredient 6" dataDxfId="234" dataCellStyle="Input number general calculated"/>
    <tableColumn id="20" xr3:uid="{F3A2D054-A10F-40D0-8C8C-CEF63103A485}" name="Ingredient 6 percent" dataDxfId="233" dataCellStyle="Input number general calculated"/>
    <tableColumn id="5" xr3:uid="{53155D45-8837-4375-8C74-E6CD7DB40538}" name="N application rate (kg/ha)" dataDxfId="232" totalsRowDxfId="231" dataCellStyle="Input number general calculated"/>
    <tableColumn id="15" xr3:uid="{195F321C-60A7-4BEF-A44E-7C389DDC6DE3}" name="Urea source" dataDxfId="230" totalsRowDxfId="229" dataCellStyle="Input number general calculated"/>
    <tableColumn id="18" xr3:uid="{F696E89F-7819-4590-BD5D-A2B1FF4DF9FE}" name="Ammonia source" dataDxfId="228" totalsRowDxfId="22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A26F1FF-B952-4EEF-AB0B-75327DAF73E6}" name="Table_Input_InorganicFertiliser_Custom" displayName="Table_Input_InorganicFertiliser_Custom" ref="D19:R22" totalsRowShown="0" headerRowDxfId="226" dataDxfId="22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9F614C0-2F47-4B09-A5BF-717759573928}" name="Custom blend name" dataCellStyle="Input text"/>
    <tableColumn id="2" xr3:uid="{0F65A958-FFAF-44DE-93E7-22ADBF7F41E5}" name="Amount applied (kg / ha)" dataDxfId="224"/>
    <tableColumn id="3" xr3:uid="{AA3C9361-E38F-429F-B82A-40655FDB7998}" name="Application area (ha)" dataDxfId="223" dataCellStyle="Input number 2 decimal places">
      <calculatedColumnFormula>X_Cell_Fertiliser_AreaUnderCropping</calculatedColumnFormula>
    </tableColumn>
    <tableColumn id="4" xr3:uid="{791EEFA0-72E9-49AC-B81C-E2A847A5EA89}" name="Total applied (kg)" dataDxfId="222" dataCellStyle="Input number general calculated">
      <calculatedColumnFormula>Table_Input_InorganicFertiliser_Custom[[#This Row],[Amount applied (kg / ha)]]*Table_Input_InorganicFertiliser_Custom[[#This Row],[Application area (ha)]]</calculatedColumnFormula>
    </tableColumn>
    <tableColumn id="5" xr3:uid="{D555E80C-73D0-48F7-9C31-721EEE177DC4}" name="Ingredient 1 (select)" dataDxfId="221" dataCellStyle="Input select"/>
    <tableColumn id="6" xr3:uid="{C50AC1A7-01E9-4041-BAE9-E996DBF12902}" name="Ingredient 1 percent" dataDxfId="220"/>
    <tableColumn id="8" xr3:uid="{5358C4E3-7244-4797-B035-CCD9ABBFBC10}" name="Ingredient 2" dataDxfId="219" dataCellStyle="Input select"/>
    <tableColumn id="9" xr3:uid="{A197D8FB-5152-45CF-AEA1-F9229505A65B}" name="Ingredient 2 percent" dataDxfId="218"/>
    <tableColumn id="11" xr3:uid="{1CB94CEC-B199-4BE7-86DF-E8FA50ABD7EF}" name="Ingredient 3" dataDxfId="217" dataCellStyle="Input select"/>
    <tableColumn id="12" xr3:uid="{876A83B1-C222-4696-A934-E2FA49EB9B75}" name="Ingredient 3 percent" dataDxfId="216"/>
    <tableColumn id="14" xr3:uid="{B09D1AEA-77CE-4500-9056-74ACDBBF8ADC}" name="Ingredient 4" dataDxfId="215" dataCellStyle="Input select"/>
    <tableColumn id="15" xr3:uid="{556EDCC8-63E7-49E2-BEA0-CB1EE4934106}" name="Ingredient 4 percent" dataCellStyle="Input percent"/>
    <tableColumn id="7" xr3:uid="{DE3BA392-9BE7-4C56-899D-DACBADDAD07C}" name="N application rate (kg/ha)" dataDxfId="214" dataCellStyle="Input number general calculated"/>
    <tableColumn id="10" xr3:uid="{A366C86A-6328-450C-B737-61FD898BB4F3}" name="Urea source (Select)" dataCellStyle="Input select"/>
    <tableColumn id="13" xr3:uid="{A04004AF-7B8F-4491-B6B6-2237E3D1DD73}"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E642CB5-AD13-494D-9215-FED1641B461D}" name="Table_Input_Lime" displayName="Table_Input_Lime" ref="D30:K33" totalsRowShown="0" headerRowDxfId="213" dataDxfId="21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56B4329-8E15-4FD5-A071-116A941F8253}" name="Product" dataDxfId="211"/>
    <tableColumn id="2" xr3:uid="{42AE6EB0-26AE-4333-A57F-AAD88AD5087A}" name="Amount applied (t/hectare)" dataDxfId="210"/>
    <tableColumn id="4" xr3:uid="{DC41B782-8B37-497B-831B-480325D3E866}" name="Application area (ha)" dataDxfId="209" dataCellStyle="Input number 2 decimal places">
      <calculatedColumnFormula>X_Cell_Fertiliser_AreaUnderCropping</calculatedColumnFormula>
    </tableColumn>
    <tableColumn id="3" xr3:uid="{1C2F0832-45FB-48D0-9379-D564024D9254}" name="Total amount applied (t)" dataDxfId="208" dataCellStyle="Input number general calculated">
      <calculatedColumnFormula>IFERROR(Table_Input_Lime[[#This Row],[Amount applied (t/hectare)]]*Table_Input_Lime[[#This Row],[Application area (ha)]], 0)</calculatedColumnFormula>
    </tableColumn>
    <tableColumn id="6" xr3:uid="{859A7ED9-7257-4C1D-8D88-06A4BA786857}" name="Percent Lime CaCO3" dataDxfId="207"/>
    <tableColumn id="8" xr3:uid="{ADB489AF-DF82-4711-AAF4-84AF0BA6E873}" name="Percent Dolomite CaMg(CO3)2" dataDxfId="206"/>
    <tableColumn id="7" xr3:uid="{7AEB3EA5-C2AC-4BFA-94D6-75EA5D2D2621}" name="Percent Gypsum" dataDxfId="205"/>
    <tableColumn id="10" xr3:uid="{BED020AB-773E-4FD5-BBEF-C9CE137D68D6}" name="Total" dataDxfId="204">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4177EA5-82A6-48E0-8059-B1D9B7CE6459}" name="Table_Input_OrganicFertiliser" displayName="Table_Input_OrganicFertiliser" ref="D41:J44" totalsRowShown="0" headerRowDxfId="203" dataDxfId="20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D832546-895C-4641-AF03-610B0A00BB90}" name="Organic fertiliser type (select)" dataDxfId="201" dataCellStyle="Input select"/>
    <tableColumn id="5" xr3:uid="{EFC90C70-7A65-47BD-A17F-B068C79B1D0E}" name="Percentage of N in fertiliser" dataDxfId="200"/>
    <tableColumn id="2" xr3:uid="{CF3FCE3A-F8A0-475A-9015-870D63BAE203}" name="Amount applied (kg/hectare)" dataDxfId="199"/>
    <tableColumn id="11" xr3:uid="{2E6FED02-FF3D-4412-9CB7-73EBA6C36751}" name="Amount N applied (kg/hectare)" dataDxfId="198" dataCellStyle="Input number general calculated">
      <calculatedColumnFormula>Table_Input_OrganicFertiliser[[#This Row],[Amount applied (kg/hectare)]]*Table_Input_OrganicFertiliser[[#This Row],[Percentage of N in fertiliser]]</calculatedColumnFormula>
    </tableColumn>
    <tableColumn id="4" xr3:uid="{9FB90CFD-4E42-4DA9-8108-B971CFB5BEAA}" name="Application area (ha)" dataDxfId="197" dataCellStyle="Input number 2 decimal places">
      <calculatedColumnFormula>X_Cell_Fertiliser_AreaUnderCropping</calculatedColumnFormula>
    </tableColumn>
    <tableColumn id="7" xr3:uid="{C58913FD-E620-49E4-8ECD-6801602BD76F}" name="Total organic fertliser applied" dataDxfId="196" dataCellStyle="Input number general calculated">
      <calculatedColumnFormula>Table_Input_OrganicFertiliser[[#This Row],[Amount applied (kg/hectare)]]*Table_Input_OrganicFertiliser[[#This Row],[Application area (ha)]]</calculatedColumnFormula>
    </tableColumn>
    <tableColumn id="3" xr3:uid="{F8972204-CDA7-4E2C-912A-C03DE9E955E6}" name="Total nitrogen applied (kg)" dataDxfId="19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51288E1-9A2D-4602-998B-87050539A54B}" name="Table_Input_Fuel" displayName="Table_Input_Fuel" ref="D16:J21" totalsRowDxfId="19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D946A294-2032-4654-8054-D174C7077F9F}" name="Fuel use (select)" totalsRowFunction="average" totalsRowDxfId="193" dataCellStyle="Input select" totalsRowCellStyle="Input select"/>
    <tableColumn id="3" xr3:uid="{9A31A3EF-9060-443D-BF17-EE11C569C1AE}" name="Fuel type (select)" totalsRowDxfId="192" dataCellStyle="Input select" totalsRowCellStyle="Input select"/>
    <tableColumn id="4" xr3:uid="{131443D0-5C92-41D7-8283-9BF62A1931C0}" name="Amount purchased" totalsRowDxfId="191" totalsRowCellStyle="Content bold"/>
    <tableColumn id="6" xr3:uid="{917D7701-D786-43EF-88F0-D48B93B2B04A}" name="Amount unit" totalsRowDxfId="190" dataCellStyle="Input number general calculated"/>
    <tableColumn id="5" xr3:uid="{573F95ED-7372-4A86-9222-AF19C649A8A1}" name="Percent consumed" totalsRowDxfId="189" totalsRowCellStyle="Input percent">
      <calculatedColumnFormula>1</calculatedColumnFormula>
    </tableColumn>
    <tableColumn id="1" xr3:uid="{7ADBF40F-A8ED-46FD-B619-5F7356A9F7F1}" name="Amount consumed" totalsRowFunction="custom" totalsRowDxfId="18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CA73845-B413-4B15-B4DA-B760C58D77E8}" name="Amount consumed unit" totalsRowDxfId="18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AD98E98-3C5A-4BEA-8A08-9C6D4FDC816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186ACBF1-53AF-45DA-81F7-61A7D7A16F0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930E9C1-963F-4351-A495-BCF88CBD50A0}" name="FNinorganic f">
      <calculatedColumnFormula array="1">Common_InputFunctions.Utility_DisplayArrayInTable(Fertiliser_SourceData.Fertiliser_ChemicalCompoundElements_Data(),Table_Fertiliser_ChemicalCompounds[[#Headers],[Fertiliser type f]], 0)</calculatedColumnFormula>
    </tableColumn>
    <tableColumn id="3" xr3:uid="{5121B20E-AAA2-475C-941C-88CB6DCED054}" name="FU f">
      <calculatedColumnFormula array="1">Common_InputFunctions.Utility_DisplayArrayInTable(Fertiliser_SourceData.Fertiliser_ChemicalCompoundElements_Data(),Table_Fertiliser_ChemicalCompounds[[#Headers],[Fertiliser type f]], 0)</calculatedColumnFormula>
    </tableColumn>
    <tableColumn id="4" xr3:uid="{ACD5F986-B746-44A5-9A50-5C0FBB6504BA}" name="Basis">
      <calculatedColumnFormula array="1">Common_InputFunctions.Utility_DisplayArrayInTable(Fertiliser_SourceData.Fertiliser_ChemicalCompoundElements_Data(),Table_Fertiliser_ChemicalCompounds[[#Headers],[Fertiliser type f]], 0)</calculatedColumnFormula>
    </tableColumn>
    <tableColumn id="5" xr3:uid="{C9770F2F-C184-41E9-AFE5-82214E8F3F0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3A138A14-79D4-44CD-9EE9-F78E150BABB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F731FF-8576-48D0-B1C5-16496F9D78BD}"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4037D6-FDC7-4485-9F92-88B248B0F1F8}" name="Include or Exclude" dataDxfId="186" totalsRowDxfId="185">
      <calculatedColumnFormula array="1">Common_InputFunctions.Utility_DisplayArrayInTable(Fertiliser_SourceData.Fertiliser_Products_Data1(),FertiliserProducts[[#Headers],[Include or Exclude]], -1)</calculatedColumnFormula>
    </tableColumn>
    <tableColumn id="2" xr3:uid="{D22CA4AC-CF07-4175-B8F9-55D9AECCD90C}" name="Notes" dataDxfId="184" totalsRowDxfId="183">
      <calculatedColumnFormula array="1">Common_InputFunctions.Utility_DisplayArrayInTable(Fertiliser_SourceData.Fertiliser_Products_Data1(),FertiliserProducts[[#Headers],[Include or Exclude]], 0)</calculatedColumnFormula>
    </tableColumn>
    <tableColumn id="3" xr3:uid="{6B850E4E-436F-4652-B114-5B9E33D8343D}" name="Company" dataDxfId="182" totalsRowDxfId="181">
      <calculatedColumnFormula array="1">Common_InputFunctions.Utility_DisplayArrayInTable(Fertiliser_SourceData.Fertiliser_Products_Data1(),FertiliserProducts[[#Headers],[Include or Exclude]], 0)</calculatedColumnFormula>
    </tableColumn>
    <tableColumn id="4" xr3:uid="{99E1FBED-45A7-47A9-B292-3633E50FDE2C}" name="Product name" dataDxfId="180" totalsRowDxfId="179">
      <calculatedColumnFormula array="1">Common_InputFunctions.Utility_DisplayArrayInTable(Fertiliser_SourceData.Fertiliser_Products_Data1(),FertiliserProducts[[#Headers],[Include or Exclude]], 0)</calculatedColumnFormula>
    </tableColumn>
    <tableColumn id="5" xr3:uid="{F85FEBE4-CCCD-4D0B-AD16-730518618BB5}" name="Unit" dataDxfId="178" totalsRowDxfId="177">
      <calculatedColumnFormula array="1">Common_InputFunctions.Utility_DisplayArrayInTable(Fertiliser_SourceData.Fertiliser_Products_Data1(),FertiliserProducts[[#Headers],[Include or Exclude]], 0,4)</calculatedColumnFormula>
    </tableColumn>
    <tableColumn id="6" xr3:uid="{D6F902B0-28B7-4207-83FA-AF181B470E65}" name="Density / gravity" dataDxfId="176" totalsRowDxfId="175">
      <calculatedColumnFormula array="1">Common_InputFunctions.Utility_DisplayArrayInTable(Fertiliser_SourceData.Fertiliser_Products_Data1(),FertiliserProducts[[#Headers],[Include or Exclude]], 0,4)</calculatedColumnFormula>
    </tableColumn>
    <tableColumn id="7" xr3:uid="{44C654C8-734B-4F9C-A854-5DDE68E883B2}" name="Urea source" dataDxfId="174" totalsRowDxfId="173">
      <calculatedColumnFormula array="1">Common_InputFunctions.Utility_DisplayArrayInTable(Fertiliser_SourceData.Fertiliser_Products_Data1(),FertiliserProducts[[#Headers],[Include or Exclude]], 0,4)</calculatedColumnFormula>
    </tableColumn>
    <tableColumn id="8" xr3:uid="{8F20641E-328A-4DFA-A681-40C4157AECAC}" name="Ammonia source" dataDxfId="172" totalsRowDxfId="171">
      <calculatedColumnFormula array="1">Common_InputFunctions.Utility_DisplayArrayInTable(Fertiliser_SourceData.Fertiliser_Products_Data1(),FertiliserProducts[[#Headers],[Include or Exclude]], 0,4)</calculatedColumnFormula>
    </tableColumn>
    <tableColumn id="9" xr3:uid="{838D4646-0BBA-487F-9F67-94A247BDB761}" name="Ingredient 1" dataDxfId="170" totalsRowDxfId="169">
      <calculatedColumnFormula array="1">Common_InputFunctions.Utility_DisplayArrayInTable(Fertiliser_SourceData.Fertiliser_Products_Data1(),FertiliserProducts[[#Headers],[Include or Exclude]], 0,4)</calculatedColumnFormula>
    </tableColumn>
    <tableColumn id="10" xr3:uid="{3556F49C-4DC8-4092-9A45-AD776321AE10}" name="Ingredient 1 percent" dataDxfId="168" totalsRowDxfId="167">
      <calculatedColumnFormula array="1">Common_InputFunctions.Utility_DisplayArrayInTable(Fertiliser_SourceData.Fertiliser_Products_Data1(),FertiliserProducts[[#Headers],[Include or Exclude]], 0,4)</calculatedColumnFormula>
    </tableColumn>
    <tableColumn id="11" xr3:uid="{84C55A75-E0CB-46EB-A3F9-82DBE875536F}" name="Ingredient 2" dataDxfId="166" totalsRowDxfId="165">
      <calculatedColumnFormula array="1">Common_InputFunctions.Utility_DisplayArrayInTable(Fertiliser_SourceData.Fertiliser_Products_Data1(),FertiliserProducts[[#Headers],[Include or Exclude]], 0,4)</calculatedColumnFormula>
    </tableColumn>
    <tableColumn id="12" xr3:uid="{2BE8A831-9784-48BF-B122-A262A5D01A43}" name="Ingredient 2 percent" dataDxfId="164" totalsRowDxfId="163">
      <calculatedColumnFormula array="1">Common_InputFunctions.Utility_DisplayArrayInTable(Fertiliser_SourceData.Fertiliser_Products_Data1(),FertiliserProducts[[#Headers],[Include or Exclude]], 0,4)</calculatedColumnFormula>
    </tableColumn>
    <tableColumn id="13" xr3:uid="{30886D2F-3F25-4C48-A5AB-302B8BA0DE05}" name="Ingredient 3" dataDxfId="162" totalsRowDxfId="161">
      <calculatedColumnFormula array="1">Common_InputFunctions.Utility_DisplayArrayInTable(Fertiliser_SourceData.Fertiliser_Products_Data1(),FertiliserProducts[[#Headers],[Include or Exclude]], 0,4)</calculatedColumnFormula>
    </tableColumn>
    <tableColumn id="14" xr3:uid="{815ECA6D-D193-4598-8E33-3A291CBE3C0F}" name="Ingredient 3 percent" dataDxfId="160" totalsRowDxfId="159">
      <calculatedColumnFormula array="1">Common_InputFunctions.Utility_DisplayArrayInTable(Fertiliser_SourceData.Fertiliser_Products_Data1(),FertiliserProducts[[#Headers],[Include or Exclude]], 0,4)</calculatedColumnFormula>
    </tableColumn>
    <tableColumn id="15" xr3:uid="{93204B7B-A4E6-424B-ABC9-C0CC89192B45}" name="Ingredient 4" dataDxfId="158" totalsRowDxfId="157">
      <calculatedColumnFormula array="1">Common_InputFunctions.Utility_DisplayArrayInTable(Fertiliser_SourceData.Fertiliser_Products_Data1(),FertiliserProducts[[#Headers],[Include or Exclude]], 0,4)</calculatedColumnFormula>
    </tableColumn>
    <tableColumn id="16" xr3:uid="{F6C71760-DDE1-40B7-925D-7927C06210F3}" name="Ingredient 4 percent" dataDxfId="156" totalsRowDxfId="155">
      <calculatedColumnFormula array="1">Common_InputFunctions.Utility_DisplayArrayInTable(Fertiliser_SourceData.Fertiliser_Products_Data1(),FertiliserProducts[[#Headers],[Include or Exclude]], 0,4)</calculatedColumnFormula>
    </tableColumn>
    <tableColumn id="17" xr3:uid="{EB1C2896-2C54-43F0-8205-19CEECE4F6CE}" name="Ingredient 5" dataDxfId="154" totalsRowDxfId="153">
      <calculatedColumnFormula array="1">Common_InputFunctions.Utility_DisplayArrayInTable(Fertiliser_SourceData.Fertiliser_Products_Data1(),FertiliserProducts[[#Headers],[Include or Exclude]], 0,4)</calculatedColumnFormula>
    </tableColumn>
    <tableColumn id="18" xr3:uid="{53050441-20CB-4FEB-B2A9-E6A7672F9EC4}" name="Ingredient 5 percent" dataDxfId="152" totalsRowDxfId="151">
      <calculatedColumnFormula array="1">Common_InputFunctions.Utility_DisplayArrayInTable(Fertiliser_SourceData.Fertiliser_Products_Data1(),FertiliserProducts[[#Headers],[Include or Exclude]], 0,4)</calculatedColumnFormula>
    </tableColumn>
    <tableColumn id="19" xr3:uid="{80F2F10D-DF6F-48B9-82E5-229E04D2BC5F}" name="Ingredient 6" dataDxfId="150" totalsRowDxfId="149">
      <calculatedColumnFormula array="1">Common_InputFunctions.Utility_DisplayArrayInTable(Fertiliser_SourceData.Fertiliser_Products_Data1(),FertiliserProducts[[#Headers],[Include or Exclude]], 0,4)</calculatedColumnFormula>
    </tableColumn>
    <tableColumn id="37" xr3:uid="{86A71A5E-FC09-482A-B4DC-0976BDC9099E}" name="Ingredient 6 percent" dataDxfId="148" totalsRowDxfId="147">
      <calculatedColumnFormula array="1">Common_InputFunctions.Utility_DisplayArrayInTable(Fertiliser_SourceData.Fertiliser_Products_Data1(),FertiliserProducts[[#Headers],[Include or Exclude]], 0,4)</calculatedColumnFormula>
    </tableColumn>
    <tableColumn id="20" xr3:uid="{04C43550-5583-45A1-BA4E-08FBAFB466B1}" name="Ingredient 7" dataDxfId="146">
      <calculatedColumnFormula array="1">Common_InputFunctions.Utility_DisplayArrayInTable(Fertiliser_SourceData.Fertiliser_Products_Data1(),FertiliserProducts[[#Headers],[Include or Exclude]], 0,4)</calculatedColumnFormula>
    </tableColumn>
    <tableColumn id="24" xr3:uid="{03FB5452-070D-49ED-AAD8-51C032A3DB3E}" name="Ingredient 7 percent" dataDxfId="145">
      <calculatedColumnFormula array="1">Common_InputFunctions.Utility_DisplayArrayInTable(Fertiliser_SourceData.Fertiliser_Products_Data1(),FertiliserProducts[[#Headers],[Include or Exclude]], 0,4)</calculatedColumnFormula>
    </tableColumn>
    <tableColumn id="23" xr3:uid="{C14D3115-585F-4AB6-8B4D-F506F2E88E5B}" name="Ingredient 8" dataDxfId="144">
      <calculatedColumnFormula array="1">Common_InputFunctions.Utility_DisplayArrayInTable(Fertiliser_SourceData.Fertiliser_Products_Data1(),FertiliserProducts[[#Headers],[Include or Exclude]], 0,4)</calculatedColumnFormula>
    </tableColumn>
    <tableColumn id="26" xr3:uid="{0A3BF590-3DFE-4195-9792-497C7C2969C1}" name="Ingredient 8 percent" dataDxfId="143">
      <calculatedColumnFormula array="1">Common_InputFunctions.Utility_DisplayArrayInTable(Fertiliser_SourceData.Fertiliser_Products_Data1(),FertiliserProducts[[#Headers],[Include or Exclude]], 0,4)</calculatedColumnFormula>
    </tableColumn>
    <tableColumn id="25" xr3:uid="{809D905E-1C58-4D1C-89A6-46C269B4DA59}" name="Ingredient 9" dataDxfId="142">
      <calculatedColumnFormula array="1">Common_InputFunctions.Utility_DisplayArrayInTable(Fertiliser_SourceData.Fertiliser_Products_Data1(),FertiliserProducts[[#Headers],[Include or Exclude]], 0,4)</calculatedColumnFormula>
    </tableColumn>
    <tableColumn id="30" xr3:uid="{1FA93CCD-8C28-492E-AEAE-FCA90B32B21F}" name="Ingredient 9 percent" dataDxfId="141">
      <calculatedColumnFormula array="1">Common_InputFunctions.Utility_DisplayArrayInTable(Fertiliser_SourceData.Fertiliser_Products_Data1(),FertiliserProducts[[#Headers],[Include or Exclude]], 0,4)</calculatedColumnFormula>
    </tableColumn>
    <tableColumn id="29" xr3:uid="{9572C71B-30FD-4D55-A9D4-230FCFDE4D79}" name="Imngredient 10" dataDxfId="140">
      <calculatedColumnFormula array="1">Common_InputFunctions.Utility_DisplayArrayInTable(Fertiliser_SourceData.Fertiliser_Products_Data1(),FertiliserProducts[[#Headers],[Include or Exclude]], 0,4)</calculatedColumnFormula>
    </tableColumn>
    <tableColumn id="28" xr3:uid="{FE4ED264-C00B-4A70-8DC0-913A19E0694F}" name="Ingredient 10 percent" dataDxfId="13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115153A-F718-4DE3-AD07-7FFCF1DB16C7}"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54812A4-096F-45E6-B410-D37621BBBC49}" name="Fertiliser type f">
      <calculatedColumnFormula array="1">Common_InputFunctions.Utility_DisplayArrayInTable(Fertiliser_SourceData.Fertiliser_FracGASF_Data(), Table_SourceData_Fertiliser_FracGASF[[#Headers],[Fertiliser type f]], 0)</calculatedColumnFormula>
    </tableColumn>
    <tableColumn id="2" xr3:uid="{8AC57285-C24E-44FC-8712-88D1889F9949}"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FEEDD-C6AC-4394-9439-F92DD9E01828}" name="Table_SourceData_Fertiliser_CropProdSystems" displayName="Table_SourceData_Fertiliser_CropProdSystems" ref="D41:D43" totalsRowShown="0">
  <autoFilter ref="D41:D43" xr:uid="{24F3A11E-40F5-4BB9-BFF4-A71FA2ADA0EF}">
    <filterColumn colId="0" hiddenButton="1"/>
  </autoFilter>
  <tableColumns count="1">
    <tableColumn id="1" xr3:uid="{7F3C1B0F-8A1F-43F9-9B4F-A96D53722C06}"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6973E09-FB4E-4762-B445-31E62AF9811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0B62B58C-99BB-4FE9-96EE-BFF886E0C501}"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4270D8A-FCEC-4CA3-B303-53418361C67D}" name="Table_SourceData_Fertiliser_CropTypes" displayName="Table_SourceData_Fertiliser_CropTypes" ref="F41:F45" totalsRowShown="0">
  <autoFilter ref="F41:F45" xr:uid="{CB5044B5-FA3C-4AA2-B1AB-72F7E61D072F}">
    <filterColumn colId="0" hiddenButton="1"/>
  </autoFilter>
  <tableColumns count="1">
    <tableColumn id="1" xr3:uid="{B4EB72FA-1C20-4BA3-8604-6B97FE5B7281}"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3D1207A-E246-4CB3-A830-CCEC346E842C}" name="Table_SourceData_OrganicFertiliserTypes" displayName="Table_SourceData_OrganicFertiliserTypes" ref="J41:J46" totalsRowShown="0">
  <autoFilter ref="J41:J46" xr:uid="{B44627B1-537E-4ABC-92C3-57282CEE5B40}">
    <filterColumn colId="0" hiddenButton="1"/>
  </autoFilter>
  <tableColumns count="1">
    <tableColumn id="1" xr3:uid="{F7E0FC23-1101-4950-BD19-5C4140056744}"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FFD3E3F-8AB9-49A4-AA78-6BA91B0E7AF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8205A016-6AB3-4B12-97F1-D2E9B68A111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FB16CAC-599B-4E84-A476-C8C130885966}"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9E1581F-1FA7-4176-9A36-F3F44B51842A}"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BD22AE6-6027-4702-82B0-9459669AD47E}" name="Table2" displayName="Table2" ref="K19:L28" totalsRowShown="0" dataDxfId="135" dataCellStyle="Content normal">
  <autoFilter ref="K19:L28" xr:uid="{27B93029-EB1F-4C4A-A946-CD673A8A6C46}">
    <filterColumn colId="0" hiddenButton="1"/>
    <filterColumn colId="1" hiddenButton="1"/>
  </autoFilter>
  <tableColumns count="2">
    <tableColumn id="1" xr3:uid="{56C8C8E9-110C-4509-AECE-026F93FBAF56}"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1FA67B9F-BFC0-4103-B77E-84550A1F2FCD}"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7BF3EA8-1418-4AAC-A29E-274488851C92}" name="Table28" displayName="Table28" ref="Q19:R28" totalsRowShown="0" dataDxfId="132" dataCellStyle="Content normal">
  <autoFilter ref="Q19:R28" xr:uid="{791CEA59-796C-47AB-86BC-41E8F699030C}">
    <filterColumn colId="0" hiddenButton="1"/>
    <filterColumn colId="1" hiddenButton="1"/>
  </autoFilter>
  <tableColumns count="2">
    <tableColumn id="1" xr3:uid="{1D6F393C-8508-4648-8F00-71A4679CA599}"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AC08615D-2107-45CF-A6CA-61C8B8EB8AE8}"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6021E4B-028F-4841-968B-E44E0EA33A4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08A626-CA36-4E16-8BF9-2AD486D2073C}"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2228049-E1A5-47E3-A15C-E39EB9538A4F}"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85E3AF3-BC81-4264-A4F8-6CE20C1164D0}"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D46C2B96-4FEB-440B-8F73-4A80EAFE0CCA}"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6B01EF7C-9645-48BD-B71C-AEEDD179A713}"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6F9D6ED3-61C5-43AE-8151-7A1A0C71CE12}"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2A8F01B4-51EA-471C-A7A7-23981A6DFE62}"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AD5D9FE6-D9E7-4052-B0EA-2D5F13087E37}"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89BF3886-C801-4F5D-B5F8-295153E8FB19}"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DBBECF3E-BFE7-4282-B14D-62DD34E4D01F}"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D9192EA-1B47-4C34-8E94-4FE8E4040702}"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3665CD3-74ED-4835-A0F8-15D0F974DDAD}" name="Transport type" dataDxfId="117">
      <calculatedColumnFormula array="1">Common_InputFunctions.Utility_DisplayArrayInTable(Fuel_SourceData.Fuel_Scope1Scope3EmissionFactorsTransport_Data(), Table_Fuel_EFs_Transport[[#Headers],[Transport type]], 0)</calculatedColumnFormula>
    </tableColumn>
    <tableColumn id="2" xr3:uid="{A8E0E357-5958-4F72-AFE1-29782D4A301D}" name="Fuel combusted" dataDxfId="116">
      <calculatedColumnFormula array="1">Common_InputFunctions.Utility_DisplayArrayInTable(Fuel_SourceData.Fuel_Scope1Scope3EmissionFactorsTransport_Data(), Table_Fuel_EFs_Transport[[#Headers],[Transport type]], 0)</calculatedColumnFormula>
    </tableColumn>
    <tableColumn id="3" xr3:uid="{29D0D3CB-6AFD-445A-8897-DF566A5D9351}"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99CA1A22-F802-4A92-BD35-E76014E42148}" name="Fuel unit" dataDxfId="114">
      <calculatedColumnFormula array="1">Common_InputFunctions.Utility_DisplayArrayInTable(Fuel_SourceData.Fuel_Scope1Scope3EmissionFactorsTransport_Data(), Table_Fuel_EFs_Transport[[#Headers],[Transport type]], 0)</calculatedColumnFormula>
    </tableColumn>
    <tableColumn id="8" xr3:uid="{27CEBB19-28FC-41DF-9D6E-A32E56F0B01E}"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4B81B6CB-6E9E-4E19-A333-9CDA74FC42DD}"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0A7E3641-C9D7-4C8F-8DC5-BB3BB15B7B1E}"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7A257579-8E5F-4073-B559-29DE91A28A91}"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AD1C36AF-7EA3-401B-A003-79478F05F02D}"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242380E-01CD-467F-BE77-AAA2D2FD7CC6}"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ECB11E3A-87DD-4BE8-8C26-7CBFB6DFD967}" name="Generators" dataDxfId="106"/>
    <tableColumn id="2" xr3:uid="{495857B0-E766-48D5-845D-C02C3E17FD69}" name="Power standalone machinery or heating" dataDxfId="105"/>
    <tableColumn id="3" xr3:uid="{3398E0B3-622D-4052-8C01-6786FCE38525}" name="Aviation" dataDxfId="104"/>
    <tableColumn id="5" xr3:uid="{75EC01CE-83E1-4D65-8650-645488056DF3}" name="Cars and light commercial vehicles" dataDxfId="103"/>
    <tableColumn id="7" xr3:uid="{52979A80-983D-4382-9CAD-DB96DEB9E090}" name="Off-road Agriculture and forestry equipment" dataDxfId="102" dataCellStyle="Content bold"/>
    <tableColumn id="8" xr3:uid="{BB9ADEF4-B7D0-437A-8692-388421F9E23E}"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89E3CD1-9328-4695-A456-07BCF3896AB7}"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93F8526-78B0-4924-9BEB-73F406F35168}"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B6FF3F74-2B0A-466A-ADB7-786209E04C74}"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AEC28DFD-6F72-4C5E-91D7-BE8521DD6CD4}"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59182459-EE2D-4D0F-ADE7-831D47DE14D4}"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F44EC0CB-DA7E-4D5E-802A-5BD44E655DA2}"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2FD523B7-903C-41D1-BF89-A04F98865006}"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785FA68C-8473-4C73-892F-C9A07885E893}"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ED436AB-ABD4-4171-80C6-2DFE1F110B83}"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51C5347B-D92D-427B-A227-476FE1DF0C31}"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3E5D168E-562A-4F41-835E-57BC1F36F69F}"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99133E31-C966-4258-B3D2-94DA6F7A5867}"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49A8CF8-75B7-4993-9E18-8875CCB0960E}"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E3A1040-846F-4F43-BB28-4FFD24430569}" name="Fuel type"/>
    <tableColumn id="2" xr3:uid="{9D0B0E15-DA14-4848-9EED-EAB53B49DE41}" name="Unit"/>
    <tableColumn id="3" xr3:uid="{537EA8FC-6B7E-41F0-BE6D-03C3CC4907C1}"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CB70D83-D855-48DD-9746-63C9327620D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A43017-9BC8-4EE5-9621-638B6D8BC97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91A1F99-B61C-4A46-B8E7-1B6B79EFF71A}"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D638DA53-FB13-4FD9-A584-F5AC715AFF0F}"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EBD9820-70E8-4B02-8282-5BDAA5634475}"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10D12D7-C50D-4C85-B54C-7076AE38A014}"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12BD21F-BB22-477D-9975-B7F192B15E14}"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3E21AC4C-812B-4B89-A42F-A1212C9A720E}"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56203-63AF-4C50-AFB1-C5288D431664}">
  <dimension ref="A1:A160"/>
  <sheetViews>
    <sheetView workbookViewId="0" zoomScale="100" zoomScaleNormal="100">
      <selection activeCell="A29" sqref="A29"/>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5" t="str">
        <f>HYPERLINK("#'Home'!A1", "Home")</f>
        <v>Home</v>
      </c>
    </row>
    <row r="4" spans="1:1" ht="15.75" x14ac:dyDescent="0.25">
      <c r="A4" s="28" t="str">
        <f>HYPERLINK("#'Overview'!A1", "Overview")</f>
        <v>Overview</v>
      </c>
    </row>
    <row r="5" spans="1:1" ht="15.75" x14ac:dyDescent="0.25">
      <c r="A5"/>
    </row>
    <row r="6" spans="1:1" ht="15.75" x14ac:dyDescent="0.25">
      <c r="A6"/>
    </row>
    <row r="7" spans="1:1" x14ac:dyDescent="0.25">
      <c r="A7" s="35" t="s">
        <v>91</v>
      </c>
    </row>
    <row r="8" spans="1:1" ht="15.75" x14ac:dyDescent="0.25">
      <c r="A8" s="28" t="str">
        <f>HYPERLINK("#'Input - Planting'!A1", "Planting")</f>
        <v>Planting</v>
      </c>
    </row>
    <row r="9" spans="1:1" ht="15.75" x14ac:dyDescent="0.25">
      <c r="A9" s="28" t="str">
        <f>HYPERLINK("#'Input - Fertiliser'!A1", "Fertiliser")</f>
        <v>Fertiliser</v>
      </c>
    </row>
    <row r="10" spans="1:1" ht="15.75" x14ac:dyDescent="0.25">
      <c r="A10" s="28" t="str">
        <f>HYPERLINK("#'Input - Fuel'!A1", "Fuel")</f>
        <v>Fuel</v>
      </c>
    </row>
    <row r="11" spans="1:1" ht="15.75" x14ac:dyDescent="0.25">
      <c r="A11" s="28" t="str">
        <f>HYPERLINK("#'Input - Fert Prod System'!A1", "Fert Prod System")</f>
        <v>Fert Prod System</v>
      </c>
    </row>
    <row r="12" spans="1:1" ht="15.75" x14ac:dyDescent="0.25">
      <c r="A12" s="28" t="str">
        <f>HYPERLINK("#'Input - Site'!A1", "Site")</f>
        <v>Site</v>
      </c>
    </row>
    <row r="13" spans="1:1" ht="15.75" x14ac:dyDescent="0.25">
      <c r="A13"/>
    </row>
    <row r="14" spans="1:1" ht="15.75" x14ac:dyDescent="0.25">
      <c r="A14"/>
    </row>
    <row r="15" spans="1:1" x14ac:dyDescent="0.25">
      <c r="A15" s="48" t="s">
        <v>116</v>
      </c>
    </row>
    <row r="16" spans="1:1" ht="15.75" x14ac:dyDescent="0.25">
      <c r="A16" s="28" t="str">
        <f>HYPERLINK("#'5.1.1.1-2 Inorganic fert N2O'!A1", "5.1.1.1-2 Inorganic fert N2O")</f>
        <v>5.1.1.1-2 Inorganic fert N2O</v>
      </c>
    </row>
    <row r="17" spans="1:1" ht="15.75" x14ac:dyDescent="0.25">
      <c r="A17" s="28" t="str">
        <f>HYPERLINK("#'5.1.1.3-4 Inorganic fert CO2'!A1", "5.1.1.3-4 Inorganic fert CO2")</f>
        <v>5.1.1.3-4 Inorganic fert CO2</v>
      </c>
    </row>
    <row r="18" spans="1:1" ht="15.75" x14ac:dyDescent="0.25">
      <c r="A18" s="28" t="str">
        <f>HYPERLINK("#'5.2.1.1-2 Organic Fert N2O'!A1", "5.2.1.1-2 Organic fert N2O")</f>
        <v>5.2.1.1-2 Organic fert N2O</v>
      </c>
    </row>
    <row r="19" spans="1:1" ht="15.75" x14ac:dyDescent="0.25">
      <c r="A19" s="28" t="str">
        <f>HYPERLINK("#'5.3.1.1-2 Lime CO2'!A1", "5.3.1.1-2 Lime CO2")</f>
        <v>5.3.1.1-2 Lime CO2</v>
      </c>
    </row>
    <row r="20" spans="1:1" ht="15.75" x14ac:dyDescent="0.25">
      <c r="A20" s="28" t="str">
        <f>HYPERLINK("#'5.4.1.1-4 Atmos deposition'!A1", "5.4.1.1-4 Atmos. deposition")</f>
        <v>5.4.1.1-4 Atmos. deposition</v>
      </c>
    </row>
    <row r="21" spans="1:1" ht="15.75" x14ac:dyDescent="0.25">
      <c r="A21" s="28" t="str">
        <f>HYPERLINK("#'5.5.1.1-2 Leaching and runoff'!A1", "5.5.1.1-2 Leaching &amp; runoff")</f>
        <v>5.5.1.1-2 Leaching &amp; runoff</v>
      </c>
    </row>
    <row r="22" spans="1:1" ht="15.75" x14ac:dyDescent="0.25">
      <c r="A22" s="28" t="str">
        <f>HYPERLINK("#'8.1.1.1-2 Transport fuel'!A1", "8.1.1.1-2 Transport fuel")</f>
        <v>8.1.1.1-2 Transport fuel</v>
      </c>
    </row>
    <row r="23" spans="1:1" ht="15.75" x14ac:dyDescent="0.25">
      <c r="A23" s="28" t="str">
        <f>HYPERLINK("#'8.2.1.1-2 Stationary fuel'!A1", "8.2.1.1-2 Stationary fuel")</f>
        <v>8.2.1.1-2 Stationary fuel</v>
      </c>
    </row>
    <row r="24" spans="1:1" ht="15.75" x14ac:dyDescent="0.25">
      <c r="A24"/>
    </row>
    <row r="25" spans="1:1" ht="15.75" x14ac:dyDescent="0.25">
      <c r="A25"/>
    </row>
    <row r="26" spans="1:1" x14ac:dyDescent="0.25">
      <c r="A26" s="66" t="s">
        <v>133</v>
      </c>
    </row>
    <row r="27" spans="1:1" ht="15.75" x14ac:dyDescent="0.25">
      <c r="A27" s="28" t="str">
        <f>HYPERLINK("#'Constants - Fertiliser'!A1", "Constants - Fertiliser")</f>
        <v>Constants - Fertiliser</v>
      </c>
    </row>
    <row r="28" spans="1:1" ht="15.75" x14ac:dyDescent="0.25">
      <c r="A28" s="28" t="str">
        <f>HYPERLINK("#'Constants - Fuel'!A1", "Constants - Fuel")</f>
        <v>Constants - Fuel</v>
      </c>
    </row>
    <row r="29" spans="1:1" ht="15.75" x14ac:dyDescent="0.25">
      <c r="A29" s="28" t="str">
        <f>HYPERLINK("#'Constants - Common'!A1", "Constants - Common")</f>
        <v>Constants - Common</v>
      </c>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workbookViewId="0" zoomScale="100" zoomScaleNormal="100">
      <selection activeCell="A29" sqref="A29"/>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8" t="str">
        <f>HYPERLINK("#'Home'!A1", "Home")</f>
        <v>Home</v>
      </c>
      <c r="B3" s="1" t="s">
        <v>3</v>
      </c>
      <c r="C3">
        <v>-33.8688</v>
      </c>
    </row>
    <row r="4" spans="1:4" x14ac:dyDescent="0.25">
      <c r="A4" s="28"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5" t="s">
        <v>91</v>
      </c>
    </row>
    <row r="8" spans="1:4" x14ac:dyDescent="0.25">
      <c r="A8" s="40" t="str">
        <f>HYPERLINK("#'Input - Planting'!A1", "Planting")</f>
        <v>Planting</v>
      </c>
      <c r="B8" s="1" t="s">
        <v>6</v>
      </c>
      <c r="C8">
        <v>100</v>
      </c>
    </row>
    <row r="9" spans="1:4" x14ac:dyDescent="0.25">
      <c r="A9" s="28" t="str">
        <f>HYPERLINK("#'Input - Fertiliser'!A1", "Fertiliser")</f>
        <v>Fertiliser</v>
      </c>
    </row>
    <row r="10" spans="1:4" x14ac:dyDescent="0.25">
      <c r="A10" s="28" t="str">
        <f>HYPERLINK("#'Input - Fuel'!A1", "Fuel")</f>
        <v>Fuel</v>
      </c>
    </row>
    <row r="11" spans="1:4" x14ac:dyDescent="0.25">
      <c r="A11" s="28" t="str">
        <f>HYPERLINK("#'Input - Fert Prod System'!A1", "Fert Prod System")</f>
        <v>Fert Prod System</v>
      </c>
      <c r="B11" s="5" t="s">
        <v>7</v>
      </c>
      <c r="C11" s="6">
        <v>45292</v>
      </c>
    </row>
    <row r="12" spans="1:4" x14ac:dyDescent="0.25">
      <c r="A12" s="28" t="str">
        <f>HYPERLINK("#'Input - Site'!A1", "Site")</f>
        <v>Site</v>
      </c>
      <c r="B12" s="5" t="s">
        <v>8</v>
      </c>
      <c r="C12" s="7">
        <f>DATE(YEAR(C11)+1,MONTH(C11),DAY(C11))-1</f>
        <v>45657</v>
      </c>
    </row>
    <row r="14" spans="1:4" ht="22.5" x14ac:dyDescent="0.3">
      <c r="B14" s="4" t="s">
        <v>1</v>
      </c>
    </row>
    <row r="15" spans="1:4" x14ac:dyDescent="0.25">
      <c r="A15" s="48" t="s">
        <v>116</v>
      </c>
      <c r="B15" s="1" t="s">
        <v>9</v>
      </c>
      <c r="C15">
        <v>123</v>
      </c>
      <c r="D15" s="2" t="s">
        <v>10</v>
      </c>
    </row>
    <row r="16" spans="1:4" x14ac:dyDescent="0.25">
      <c r="A16" s="28" t="str">
        <f>HYPERLINK("#'5.1.1.1-2 Inorganic fert N2O'!A1", "5.1.1.1-2 Inorganic fert N2O")</f>
        <v>5.1.1.1-2 Inorganic fert N2O</v>
      </c>
      <c r="B16" s="1" t="s">
        <v>11</v>
      </c>
      <c r="C16">
        <f>C8*X_Result_Planting_CarbonCapturedPerHectare</f>
        <v>12300</v>
      </c>
      <c r="D16" s="2" t="s">
        <v>2</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17847-64CF-44E0-96F7-0BE997B8F72B}">
  <dimension ref="A1:Y366"/>
  <sheetViews>
    <sheetView showGridLines="0"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88</v>
      </c>
    </row>
    <row r="2" spans="1:25" s="9" customFormat="1" ht="20.100000000000001" customHeight="1" x14ac:dyDescent="0.25">
      <c r="A2"/>
    </row>
    <row r="3" spans="1:25" ht="20.100000000000001" customHeight="1" x14ac:dyDescent="0.25">
      <c r="A3" s="28" t="str">
        <f>HYPERLINK("#'Home'!A1", "Home")</f>
        <v>Home</v>
      </c>
      <c r="C3" s="24"/>
      <c r="D3" s="24"/>
      <c r="E3" s="24"/>
      <c r="F3" s="24"/>
      <c r="G3" s="24"/>
      <c r="H3" s="24"/>
      <c r="I3" s="24"/>
      <c r="J3" s="24"/>
      <c r="K3" s="24"/>
      <c r="L3" s="24"/>
      <c r="M3" s="24"/>
      <c r="N3" s="24"/>
      <c r="O3" s="24"/>
      <c r="P3" s="24"/>
      <c r="Q3" s="24"/>
      <c r="R3" s="24"/>
      <c r="S3" s="24"/>
      <c r="T3" s="24"/>
      <c r="U3" s="24"/>
      <c r="V3" s="24"/>
      <c r="W3" s="24"/>
      <c r="X3" s="24"/>
      <c r="Y3" s="24"/>
    </row>
    <row r="4" spans="1:25" ht="20.100000000000001" customHeight="1" x14ac:dyDescent="0.25">
      <c r="A4" s="28" t="str">
        <f>HYPERLINK("#'Overview'!A1", "Overview")</f>
        <v>Overview</v>
      </c>
    </row>
    <row r="5" spans="1:25" ht="20.100000000000001" customHeight="1" x14ac:dyDescent="0.25">
      <c r="A5"/>
      <c r="D5" s="16" t="s">
        <v>89</v>
      </c>
      <c r="E5" s="14"/>
      <c r="F5" s="14"/>
      <c r="G5" s="14"/>
      <c r="H5" s="14"/>
      <c r="I5" s="14"/>
      <c r="J5" s="14"/>
      <c r="K5" s="14"/>
      <c r="L5" s="14"/>
      <c r="M5" s="14"/>
    </row>
    <row r="6" spans="1:25" ht="20.100000000000001" customHeight="1" x14ac:dyDescent="0.25">
      <c r="A6"/>
      <c r="D6" s="21"/>
      <c r="E6" s="21"/>
      <c r="F6" s="21"/>
      <c r="G6" s="21"/>
      <c r="H6" s="21"/>
      <c r="I6" s="21"/>
      <c r="J6" s="21"/>
      <c r="K6" s="21"/>
      <c r="L6" s="21"/>
      <c r="M6" s="21"/>
    </row>
    <row r="7" spans="1:25" ht="20.100000000000001" customHeight="1" x14ac:dyDescent="0.25">
      <c r="A7" s="35" t="s">
        <v>91</v>
      </c>
      <c r="D7" s="29" t="s">
        <v>90</v>
      </c>
      <c r="E7" s="30"/>
      <c r="F7" s="30"/>
      <c r="G7" s="30"/>
      <c r="H7" s="31"/>
      <c r="I7" s="32"/>
      <c r="J7" s="33"/>
      <c r="K7" s="34"/>
      <c r="L7" s="34"/>
      <c r="M7" s="34"/>
    </row>
    <row r="8" spans="1:25" ht="20.100000000000001" customHeight="1" x14ac:dyDescent="0.25">
      <c r="A8" s="28" t="str">
        <f>HYPERLINK("#'Input - Planting'!A1", "Planting")</f>
        <v>Planting</v>
      </c>
      <c r="D8" s="36" t="s">
        <v>92</v>
      </c>
      <c r="E8" s="37"/>
      <c r="F8" s="37"/>
      <c r="G8" s="38"/>
      <c r="H8" s="39"/>
      <c r="I8" s="21"/>
      <c r="J8" s="21"/>
      <c r="K8" s="21"/>
      <c r="L8" s="21"/>
      <c r="M8" s="21"/>
    </row>
    <row r="9" spans="1:25" ht="20.100000000000001" customHeight="1" x14ac:dyDescent="0.25">
      <c r="A9" s="40" t="str">
        <f>HYPERLINK("#'Input - Fertiliser'!A1", "Fertiliser")</f>
        <v>Fertiliser</v>
      </c>
      <c r="D9" s="21"/>
      <c r="E9" s="21"/>
      <c r="F9" s="21"/>
      <c r="G9" s="21"/>
      <c r="H9" s="21"/>
      <c r="I9" s="21"/>
      <c r="J9" s="21"/>
      <c r="K9" s="21"/>
      <c r="L9" s="21"/>
      <c r="M9" s="21"/>
    </row>
    <row r="10" spans="1:25" ht="20.100000000000001" customHeight="1" x14ac:dyDescent="0.25">
      <c r="A10" s="28" t="str">
        <f>HYPERLINK("#'Input - Fuel'!A1", "Fuel")</f>
        <v>Fuel</v>
      </c>
      <c r="D10" s="41" t="s">
        <v>93</v>
      </c>
      <c r="E10" s="21"/>
      <c r="F10" s="21"/>
      <c r="G10" s="21"/>
      <c r="H10" s="21"/>
      <c r="I10" s="21"/>
      <c r="J10" s="21"/>
      <c r="K10" s="21"/>
      <c r="L10" s="21"/>
      <c r="M10" s="21"/>
    </row>
    <row r="11" spans="1:25" ht="20.100000000000001" customHeight="1" x14ac:dyDescent="0.25">
      <c r="A11" s="28" t="str">
        <f>HYPERLINK("#'Input - Fert Prod System'!A1", "Fert Prod System")</f>
        <v>Fert Prod System</v>
      </c>
      <c r="D11" s="42" t="s">
        <v>94</v>
      </c>
      <c r="E11" s="43" t="s">
        <v>95</v>
      </c>
      <c r="F11" s="43" t="s">
        <v>96</v>
      </c>
      <c r="G11" s="43" t="s">
        <v>97</v>
      </c>
      <c r="H11" s="43" t="s">
        <v>98</v>
      </c>
      <c r="I11" s="43" t="s">
        <v>99</v>
      </c>
      <c r="J11" s="42" t="s">
        <v>100</v>
      </c>
      <c r="K11" s="42" t="s">
        <v>101</v>
      </c>
      <c r="L11" s="42" t="s">
        <v>102</v>
      </c>
      <c r="M11" s="42" t="s">
        <v>103</v>
      </c>
      <c r="N11" s="42" t="s">
        <v>104</v>
      </c>
      <c r="O11" s="42" t="s">
        <v>105</v>
      </c>
      <c r="P11" s="42" t="s">
        <v>106</v>
      </c>
      <c r="Q11" s="42" t="s">
        <v>107</v>
      </c>
      <c r="R11" s="42" t="s">
        <v>108</v>
      </c>
      <c r="S11" s="42" t="s">
        <v>109</v>
      </c>
      <c r="T11" s="42" t="s">
        <v>110</v>
      </c>
      <c r="U11" s="42" t="s">
        <v>111</v>
      </c>
      <c r="V11" s="42" t="s">
        <v>112</v>
      </c>
      <c r="W11" s="42" t="s">
        <v>113</v>
      </c>
      <c r="X11" s="42" t="s">
        <v>114</v>
      </c>
    </row>
    <row r="12" spans="1:25" ht="20.100000000000001" customHeight="1" x14ac:dyDescent="0.25">
      <c r="A12" s="28" t="str">
        <f>HYPERLINK("#'Input - Site'!A1", "Site")</f>
        <v>Site</v>
      </c>
      <c r="D12" s="44" t="s">
        <v>115</v>
      </c>
      <c r="E12" s="45">
        <v>100</v>
      </c>
      <c r="F12" s="46" t="str">
        <f>_xlfn.XLOOKUP(Table_Input_InorganicFertiliser_Brands[[#This Row],[Product (select)]],FertiliserProducts[Product name],FertiliserProducts[Unit])</f>
        <v>L</v>
      </c>
      <c r="G12" s="46">
        <f>_xlfn.XLOOKUP(Table_Input_InorganicFertiliser_Brands[[#This Row],[Product (select)]],FertiliserProducts[Product name],FertiliserProducts[Density / gravity])</f>
        <v>1.26</v>
      </c>
      <c r="H12" s="45">
        <f>X_Cell_Fertiliser_AreaUnderCropping</f>
        <v>100</v>
      </c>
      <c r="I12" s="47">
        <f>(Table_Input_InorganicFertiliser_Brands[[#This Row],[Amount applied per hectare]]*Table_Input_InorganicFertiliser_Brands[[#This Row],[Density]])*Table_Input_InorganicFertiliser_Brands[[#This Row],[Application area (ha)]]</f>
        <v>12600</v>
      </c>
      <c r="J12" s="47"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47"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47"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47"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47"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47"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47"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47"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47"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47"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47"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47"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6" t="str">
        <f>_xlfn.XLOOKUP(Table_Input_InorganicFertiliser_Brands[[#This Row],[Product (select)]],FertiliserProducts[Product name],FertiliserProducts[Urea source])</f>
        <v/>
      </c>
      <c r="X12" s="46" t="str">
        <f>_xlfn.XLOOKUP(Table_Input_InorganicFertiliser_Brands[[#This Row],[Product (select)]],FertiliserProducts[Product name],FertiliserProducts[Ammonia source])</f>
        <v/>
      </c>
    </row>
    <row r="13" spans="1:25" ht="20.100000000000001" customHeight="1" x14ac:dyDescent="0.25">
      <c r="A13"/>
      <c r="D13" s="49" t="s">
        <v>117</v>
      </c>
      <c r="E13" s="50">
        <v>100</v>
      </c>
      <c r="F13" s="46" t="str">
        <f>_xlfn.XLOOKUP(Table_Input_InorganicFertiliser_Brands[[#This Row],[Product (select)]],FertiliserProducts[Product name],FertiliserProducts[Unit])</f>
        <v>L</v>
      </c>
      <c r="G13" s="46">
        <f>_xlfn.XLOOKUP(Table_Input_InorganicFertiliser_Brands[[#This Row],[Product (select)]],FertiliserProducts[Product name],FertiliserProducts[Density / gravity])</f>
        <v>1.2849999999999999</v>
      </c>
      <c r="H13" s="50">
        <f>X_Cell_Fertiliser_AreaUnderCropping</f>
        <v>100</v>
      </c>
      <c r="I13" s="47">
        <f>(Table_Input_InorganicFertiliser_Brands[[#This Row],[Amount applied per hectare]]*Table_Input_InorganicFertiliser_Brands[[#This Row],[Density]])*Table_Input_InorganicFertiliser_Brands[[#This Row],[Application area (ha)]]</f>
        <v>12850</v>
      </c>
      <c r="J13" s="47"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47"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47"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47"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47"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47"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47"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47"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47"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47"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47"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47"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47" t="str">
        <f>_xlfn.XLOOKUP(Table_Input_InorganicFertiliser_Brands[[#This Row],[Product (select)]],FertiliserProducts[Product name],FertiliserProducts[Urea source])</f>
        <v/>
      </c>
      <c r="X13" s="47" t="str">
        <f>_xlfn.XLOOKUP(Table_Input_InorganicFertiliser_Brands[[#This Row],[Product (select)]],FertiliserProducts[Product name],FertiliserProducts[Ammonia source])</f>
        <v/>
      </c>
    </row>
    <row r="14" spans="1:25" ht="20.100000000000001" customHeight="1" x14ac:dyDescent="0.25">
      <c r="A14"/>
      <c r="D14" s="49" t="s">
        <v>117</v>
      </c>
      <c r="E14" s="50">
        <v>100</v>
      </c>
      <c r="F14" s="46" t="str">
        <f>_xlfn.XLOOKUP(Table_Input_InorganicFertiliser_Brands[[#This Row],[Product (select)]],FertiliserProducts[Product name],FertiliserProducts[Unit])</f>
        <v>L</v>
      </c>
      <c r="G14" s="46">
        <f>_xlfn.XLOOKUP(Table_Input_InorganicFertiliser_Brands[[#This Row],[Product (select)]],FertiliserProducts[Product name],FertiliserProducts[Density / gravity])</f>
        <v>1.2849999999999999</v>
      </c>
      <c r="H14" s="50">
        <f>X_Cell_Fertiliser_AreaUnderCropping</f>
        <v>100</v>
      </c>
      <c r="I14" s="47">
        <f>(Table_Input_InorganicFertiliser_Brands[[#This Row],[Amount applied per hectare]]*Table_Input_InorganicFertiliser_Brands[[#This Row],[Density]])*Table_Input_InorganicFertiliser_Brands[[#This Row],[Application area (ha)]]</f>
        <v>12850</v>
      </c>
      <c r="J14" s="47"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47"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47"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47"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47"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47"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47"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47"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47"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47"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47"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47"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47" t="str">
        <f>_xlfn.XLOOKUP(Table_Input_InorganicFertiliser_Brands[[#This Row],[Product (select)]],FertiliserProducts[Product name],FertiliserProducts[Urea source])</f>
        <v/>
      </c>
      <c r="X14" s="47" t="str">
        <f>_xlfn.XLOOKUP(Table_Input_InorganicFertiliser_Brands[[#This Row],[Product (select)]],FertiliserProducts[Product name],FertiliserProducts[Ammonia source])</f>
        <v/>
      </c>
    </row>
    <row r="15" spans="1:25" ht="20.100000000000001" customHeight="1" x14ac:dyDescent="0.25">
      <c r="A15" s="48" t="s">
        <v>116</v>
      </c>
      <c r="D15" s="49" t="s">
        <v>118</v>
      </c>
      <c r="E15" s="50">
        <v>100</v>
      </c>
      <c r="F15" s="46" t="str">
        <f>_xlfn.XLOOKUP(Table_Input_InorganicFertiliser_Brands[[#This Row],[Product (select)]],FertiliserProducts[Product name],FertiliserProducts[Unit])</f>
        <v>L</v>
      </c>
      <c r="G15" s="46">
        <f>_xlfn.XLOOKUP(Table_Input_InorganicFertiliser_Brands[[#This Row],[Product (select)]],FertiliserProducts[Product name],FertiliserProducts[Density / gravity])</f>
        <v>1.26</v>
      </c>
      <c r="H15" s="50">
        <f>X_Cell_Fertiliser_AreaUnderCropping</f>
        <v>100</v>
      </c>
      <c r="I15" s="47">
        <f>(Table_Input_InorganicFertiliser_Brands[[#This Row],[Amount applied per hectare]]*Table_Input_InorganicFertiliser_Brands[[#This Row],[Density]])*Table_Input_InorganicFertiliser_Brands[[#This Row],[Application area (ha)]]</f>
        <v>12600</v>
      </c>
      <c r="J15" s="47"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47"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47"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47"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47"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47"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47"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47"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47"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47"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47"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47"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47" t="str">
        <f>_xlfn.XLOOKUP(Table_Input_InorganicFertiliser_Brands[[#This Row],[Product (select)]],FertiliserProducts[Product name],FertiliserProducts[Urea source])</f>
        <v/>
      </c>
      <c r="X15" s="47" t="str">
        <f>_xlfn.XLOOKUP(Table_Input_InorganicFertiliser_Brands[[#This Row],[Product (select)]],FertiliserProducts[Product name],FertiliserProducts[Ammonia source])</f>
        <v/>
      </c>
    </row>
    <row r="16" spans="1:25" ht="20.100000000000001" customHeight="1" x14ac:dyDescent="0.25">
      <c r="A16" s="28" t="str">
        <f>HYPERLINK("#'5.1.1.1-2 Inorganic fert N2O'!A1", "5.1.1.1-2 Inorganic fert N2O")</f>
        <v>5.1.1.1-2 Inorganic fert N2O</v>
      </c>
      <c r="D16" s="49" t="s">
        <v>119</v>
      </c>
      <c r="E16" s="50">
        <v>100</v>
      </c>
      <c r="F16" s="46" t="str">
        <f>_xlfn.XLOOKUP(Table_Input_InorganicFertiliser_Brands[[#This Row],[Product (select)]],FertiliserProducts[Product name],FertiliserProducts[Unit])</f>
        <v>L</v>
      </c>
      <c r="G16" s="46">
        <f>_xlfn.XLOOKUP(Table_Input_InorganicFertiliser_Brands[[#This Row],[Product (select)]],FertiliserProducts[Product name],FertiliserProducts[Density / gravity])</f>
        <v>1.5</v>
      </c>
      <c r="H16" s="50">
        <f>X_Cell_Fertiliser_AreaUnderCropping</f>
        <v>100</v>
      </c>
      <c r="I16" s="47">
        <f>(Table_Input_InorganicFertiliser_Brands[[#This Row],[Amount applied per hectare]]*Table_Input_InorganicFertiliser_Brands[[#This Row],[Density]])*Table_Input_InorganicFertiliser_Brands[[#This Row],[Application area (ha)]]</f>
        <v>15000</v>
      </c>
      <c r="J16" s="47"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47"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47"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47"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47"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47"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47"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47"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47"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47"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47"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47"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47" t="str">
        <f>_xlfn.XLOOKUP(Table_Input_InorganicFertiliser_Brands[[#This Row],[Product (select)]],FertiliserProducts[Product name],FertiliserProducts[Urea source])</f>
        <v/>
      </c>
      <c r="X16" s="47" t="str">
        <f>_xlfn.XLOOKUP(Table_Input_InorganicFertiliser_Brands[[#This Row],[Product (select)]],FertiliserProducts[Product name],FertiliserProducts[Ammonia source])</f>
        <v/>
      </c>
    </row>
    <row r="17" spans="1:24" ht="36" customHeight="1" x14ac:dyDescent="0.25">
      <c r="A17" s="28" t="str">
        <f>HYPERLINK("#'5.1.1.3-4 Inorganic fert CO2'!A1", "5.1.1.3-4 Inorganic fert CO2")</f>
        <v>5.1.1.3-4 Inorganic fert CO2</v>
      </c>
      <c r="D17" s="51"/>
      <c r="E17" s="52"/>
      <c r="F17" s="53"/>
      <c r="G17" s="53"/>
      <c r="H17" s="53"/>
      <c r="I17" s="53"/>
      <c r="J17" s="54"/>
      <c r="K17" s="54"/>
      <c r="L17" s="55"/>
      <c r="M17" s="55"/>
      <c r="N17" s="56"/>
      <c r="O17" s="56"/>
      <c r="P17" s="56"/>
      <c r="Q17" s="56"/>
      <c r="R17" s="56"/>
      <c r="S17" s="56"/>
      <c r="T17" s="56"/>
      <c r="U17" s="56"/>
      <c r="V17" s="56"/>
      <c r="W17" s="56"/>
      <c r="X17" s="56"/>
    </row>
    <row r="18" spans="1:24" ht="36" customHeight="1" x14ac:dyDescent="0.25">
      <c r="A18" s="28" t="str">
        <f>HYPERLINK("#'5.2.1.1-2 Organic Fert N2O'!A1", "5.2.1.1-2 Organic fert N2O")</f>
        <v>5.2.1.1-2 Organic fert N2O</v>
      </c>
      <c r="D18" s="57" t="s">
        <v>120</v>
      </c>
      <c r="E18" s="58"/>
      <c r="F18" s="58"/>
      <c r="G18" s="58"/>
      <c r="H18" s="58"/>
      <c r="I18" s="58"/>
      <c r="J18" s="58"/>
      <c r="K18" s="58"/>
      <c r="L18" s="58"/>
      <c r="M18" s="58"/>
      <c r="N18" s="56"/>
      <c r="O18" s="56"/>
      <c r="P18" s="56"/>
      <c r="Q18" s="56"/>
      <c r="R18" s="56"/>
      <c r="S18" s="56"/>
      <c r="T18" s="56"/>
      <c r="V18" s="56"/>
      <c r="W18" s="56"/>
      <c r="X18" s="56"/>
    </row>
    <row r="19" spans="1:24" ht="36" customHeight="1" x14ac:dyDescent="0.25">
      <c r="A19" s="28" t="str">
        <f>HYPERLINK("#'5.3.1.1-2 Lime CO2'!A1", "5.3.1.1-2 Lime CO2")</f>
        <v>5.3.1.1-2 Lime CO2</v>
      </c>
      <c r="D19" s="43" t="s">
        <v>121</v>
      </c>
      <c r="E19" s="43" t="s">
        <v>122</v>
      </c>
      <c r="F19" s="43" t="s">
        <v>98</v>
      </c>
      <c r="G19" s="43" t="s">
        <v>99</v>
      </c>
      <c r="H19" s="43" t="s">
        <v>123</v>
      </c>
      <c r="I19" s="43" t="s">
        <v>101</v>
      </c>
      <c r="J19" s="43" t="s">
        <v>102</v>
      </c>
      <c r="K19" s="43" t="s">
        <v>103</v>
      </c>
      <c r="L19" s="43" t="s">
        <v>104</v>
      </c>
      <c r="M19" s="43" t="s">
        <v>105</v>
      </c>
      <c r="N19" s="43" t="s">
        <v>106</v>
      </c>
      <c r="O19" s="43" t="s">
        <v>107</v>
      </c>
      <c r="P19" s="43" t="s">
        <v>112</v>
      </c>
      <c r="Q19" s="42" t="s">
        <v>124</v>
      </c>
      <c r="R19" s="42" t="s">
        <v>125</v>
      </c>
      <c r="S19" s="56"/>
      <c r="T19" s="56"/>
      <c r="V19" s="56"/>
      <c r="W19" s="56"/>
      <c r="X19" s="56"/>
    </row>
    <row r="20" spans="1:24" ht="36" customHeight="1" x14ac:dyDescent="0.25">
      <c r="A20" s="28" t="str">
        <f>HYPERLINK("#'5.4.1.1-4 Atmos deposition'!A1", "5.4.1.1-4 Atmos. deposition")</f>
        <v>5.4.1.1-4 Atmos. deposition</v>
      </c>
      <c r="D20" s="59" t="s">
        <v>126</v>
      </c>
      <c r="E20" s="43">
        <v>100</v>
      </c>
      <c r="F20" s="45">
        <f>X_Cell_Fertiliser_AreaUnderCropping</f>
        <v>100</v>
      </c>
      <c r="G20" s="47">
        <f>Table_Input_InorganicFertiliser_Custom[[#This Row],[Amount applied (kg / ha)]]*Table_Input_InorganicFertiliser_Custom[[#This Row],[Application area (ha)]]</f>
        <v>10000</v>
      </c>
      <c r="H20" s="60" t="s">
        <v>127</v>
      </c>
      <c r="I20" s="61">
        <v>0.5</v>
      </c>
      <c r="J20" s="60" t="s">
        <v>128</v>
      </c>
      <c r="K20" s="61">
        <v>0.2</v>
      </c>
      <c r="L20" s="60" t="s">
        <v>129</v>
      </c>
      <c r="M20" s="61">
        <v>0.2</v>
      </c>
      <c r="N20" s="62" t="s">
        <v>130</v>
      </c>
      <c r="O20" s="63">
        <v>0.1</v>
      </c>
      <c r="P20"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5"/>
      <c r="R20" s="25"/>
      <c r="T20" s="64"/>
    </row>
    <row r="21" spans="1:24" ht="36" customHeight="1" x14ac:dyDescent="0.25">
      <c r="A21" s="28" t="str">
        <f>HYPERLINK("#'5.5.1.1-2 Leaching and runoff'!A1", "5.5.1.1-2 Leaching &amp; runoff")</f>
        <v>5.5.1.1-2 Leaching &amp; runoff</v>
      </c>
      <c r="D21" s="59" t="s">
        <v>131</v>
      </c>
      <c r="E21" s="43">
        <v>100</v>
      </c>
      <c r="F21" s="45">
        <f>X_Cell_Fertiliser_AreaUnderCropping</f>
        <v>100</v>
      </c>
      <c r="G21" s="47">
        <f>Table_Input_InorganicFertiliser_Custom[[#This Row],[Amount applied (kg / ha)]]*Table_Input_InorganicFertiliser_Custom[[#This Row],[Application area (ha)]]</f>
        <v>10000</v>
      </c>
      <c r="H21" s="60" t="s">
        <v>132</v>
      </c>
      <c r="I21" s="65">
        <v>1</v>
      </c>
      <c r="J21" s="60"/>
      <c r="K21" s="65"/>
      <c r="L21" s="60"/>
      <c r="M21" s="65"/>
      <c r="N21" s="62"/>
      <c r="O21" s="63"/>
      <c r="P21"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5"/>
      <c r="R21" s="25"/>
      <c r="W21" s="64"/>
    </row>
    <row r="22" spans="1:24" ht="36" customHeight="1" x14ac:dyDescent="0.25">
      <c r="A22" s="28" t="str">
        <f>HYPERLINK("#'8.1.1.1-2 Transport fuel'!A1", "8.1.1.1-2 Transport fuel")</f>
        <v>8.1.1.1-2 Transport fuel</v>
      </c>
      <c r="D22" s="59" t="s">
        <v>134</v>
      </c>
      <c r="E22" s="43">
        <v>100</v>
      </c>
      <c r="F22" s="45">
        <f>X_Cell_Fertiliser_AreaUnderCropping</f>
        <v>100</v>
      </c>
      <c r="G22" s="47">
        <f>Table_Input_InorganicFertiliser_Custom[[#This Row],[Amount applied (kg / ha)]]*Table_Input_InorganicFertiliser_Custom[[#This Row],[Application area (ha)]]</f>
        <v>10000</v>
      </c>
      <c r="H22" s="60" t="s">
        <v>135</v>
      </c>
      <c r="I22" s="65">
        <v>0.5</v>
      </c>
      <c r="J22" s="60"/>
      <c r="K22" s="65"/>
      <c r="L22" s="60"/>
      <c r="M22" s="65"/>
      <c r="N22" s="62"/>
      <c r="O22" s="63"/>
      <c r="P22"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5"/>
      <c r="R22" s="25"/>
    </row>
    <row r="23" spans="1:24" ht="36" customHeight="1" x14ac:dyDescent="0.25">
      <c r="A23" s="28" t="str">
        <f>HYPERLINK("#'8.2.1.1-2 Stationary fuel'!A1", "8.2.1.1-2 Stationary fuel")</f>
        <v>8.2.1.1-2 Stationary fuel</v>
      </c>
      <c r="V23" s="64"/>
    </row>
    <row r="24" spans="1:24" ht="36" customHeight="1" x14ac:dyDescent="0.25">
      <c r="A24"/>
      <c r="D24" s="16" t="s">
        <v>136</v>
      </c>
      <c r="E24" s="14"/>
      <c r="F24" s="14"/>
      <c r="G24" s="14"/>
      <c r="H24" s="14"/>
      <c r="I24" s="14"/>
      <c r="J24" s="14"/>
      <c r="K24" s="21"/>
      <c r="L24" s="21"/>
      <c r="M24" s="21"/>
    </row>
    <row r="25" spans="1:24" ht="36" customHeight="1" x14ac:dyDescent="0.25">
      <c r="A25"/>
      <c r="D25" s="21"/>
      <c r="E25" s="21"/>
      <c r="F25" s="21"/>
      <c r="G25" s="21"/>
      <c r="H25" s="21"/>
      <c r="I25" s="21"/>
      <c r="J25" s="21"/>
      <c r="K25" s="21"/>
      <c r="L25" s="21"/>
      <c r="M25" s="14"/>
    </row>
    <row r="26" spans="1:24" ht="36" customHeight="1" x14ac:dyDescent="0.25">
      <c r="A26" s="66" t="s">
        <v>133</v>
      </c>
      <c r="D26" s="29" t="s">
        <v>137</v>
      </c>
      <c r="E26" s="30"/>
      <c r="F26" s="31"/>
      <c r="G26" s="29"/>
      <c r="H26" s="31"/>
      <c r="I26" s="14"/>
      <c r="J26" s="14"/>
      <c r="K26" s="21"/>
      <c r="L26" s="21"/>
      <c r="M26" s="21"/>
    </row>
    <row r="27" spans="1:24" ht="20.100000000000001" customHeight="1" x14ac:dyDescent="0.25">
      <c r="A27" s="28" t="str">
        <f>HYPERLINK("#'Constants - Fertiliser'!A1", "Constants - Fertiliser")</f>
        <v>Constants - Fertiliser</v>
      </c>
      <c r="D27" s="67" t="s">
        <v>138</v>
      </c>
      <c r="E27" s="68"/>
      <c r="F27" s="69"/>
      <c r="G27" s="67"/>
      <c r="H27" s="69"/>
      <c r="I27" s="21"/>
      <c r="J27" s="21"/>
      <c r="K27" s="21"/>
      <c r="L27" s="21"/>
      <c r="M27" s="14"/>
    </row>
    <row r="28" spans="1:24" ht="20.100000000000001" customHeight="1" x14ac:dyDescent="0.25">
      <c r="A28" s="28" t="str">
        <f>HYPERLINK("#'Constants - Fuel'!A1", "Constants - Fuel")</f>
        <v>Constants - Fuel</v>
      </c>
      <c r="D28" s="36" t="s">
        <v>92</v>
      </c>
      <c r="E28" s="37"/>
      <c r="F28" s="37"/>
      <c r="G28" s="37"/>
      <c r="H28" s="38"/>
      <c r="I28" s="21"/>
      <c r="J28" s="21"/>
      <c r="K28" s="21"/>
      <c r="L28" s="21"/>
      <c r="M28" s="14"/>
    </row>
    <row r="29" spans="1:24" ht="20.100000000000001" customHeight="1" x14ac:dyDescent="0.25">
      <c r="A29" s="28" t="str">
        <f>HYPERLINK("#'Constants - Common'!A1", "Constants - Common")</f>
        <v>Constants - Common</v>
      </c>
      <c r="D29" s="70" t="str">
        <f>IF(MAX(Table_Input_Lime[Total]) &gt; 1, "There can not be more than 100% ingredients in a product. Check the table below.", "")</f>
        <v/>
      </c>
    </row>
    <row r="30" spans="1:24" ht="20.100000000000001" customHeight="1" x14ac:dyDescent="0.25">
      <c r="A30"/>
      <c r="D30" s="71" t="s">
        <v>139</v>
      </c>
      <c r="E30" s="71" t="s">
        <v>140</v>
      </c>
      <c r="F30" s="71" t="s">
        <v>98</v>
      </c>
      <c r="G30" s="71" t="s">
        <v>141</v>
      </c>
      <c r="H30" s="71" t="s">
        <v>142</v>
      </c>
      <c r="I30" s="71" t="s">
        <v>143</v>
      </c>
      <c r="J30" s="71" t="s">
        <v>144</v>
      </c>
      <c r="K30" s="71" t="s">
        <v>145</v>
      </c>
    </row>
    <row r="31" spans="1:24" ht="20.100000000000001" customHeight="1" x14ac:dyDescent="0.25">
      <c r="A31"/>
      <c r="D31" s="72" t="s">
        <v>146</v>
      </c>
      <c r="E31" s="45">
        <v>1</v>
      </c>
      <c r="F31" s="45">
        <f>X_Cell_Fertiliser_AreaUnderCropping</f>
        <v>100</v>
      </c>
      <c r="G31" s="47">
        <f>IFERROR(Table_Input_Lime[[#This Row],[Amount applied (t/hectare)]]*Table_Input_Lime[[#This Row],[Application area (ha)]], 0)</f>
        <v>100</v>
      </c>
      <c r="H31" s="73">
        <v>0.8</v>
      </c>
      <c r="I31" s="73">
        <v>0.1</v>
      </c>
      <c r="J31" s="73">
        <v>0.1</v>
      </c>
      <c r="K31" s="74">
        <f>SUM(Table_Input_Lime[[#This Row],[Percent Lime CaCO3]:[Percent Gypsum]])</f>
        <v>1</v>
      </c>
    </row>
    <row r="32" spans="1:24" ht="30" customHeight="1" x14ac:dyDescent="0.25">
      <c r="A32"/>
      <c r="D32" s="72" t="s">
        <v>147</v>
      </c>
      <c r="E32" s="45">
        <v>1</v>
      </c>
      <c r="F32" s="45">
        <f>X_Cell_Fertiliser_AreaUnderCropping</f>
        <v>100</v>
      </c>
      <c r="G32" s="47">
        <f>IFERROR(Table_Input_Lime[[#This Row],[Amount applied (t/hectare)]]*Table_Input_Lime[[#This Row],[Application area (ha)]], 0)</f>
        <v>100</v>
      </c>
      <c r="H32" s="73">
        <v>1</v>
      </c>
      <c r="I32" s="73"/>
      <c r="J32" s="73"/>
      <c r="K32" s="74">
        <f>SUM(Table_Input_Lime[[#This Row],[Percent Lime CaCO3]:[Percent Gypsum]])</f>
        <v>1</v>
      </c>
      <c r="L32" s="14"/>
    </row>
    <row r="33" spans="1:25" ht="36" customHeight="1" x14ac:dyDescent="0.25">
      <c r="A33"/>
      <c r="D33" s="72" t="s">
        <v>148</v>
      </c>
      <c r="E33" s="45">
        <v>1</v>
      </c>
      <c r="F33" s="45">
        <f>X_Cell_Fertiliser_AreaUnderCropping</f>
        <v>100</v>
      </c>
      <c r="G33" s="47">
        <f>IFERROR(Table_Input_Lime[[#This Row],[Amount applied (t/hectare)]]*Table_Input_Lime[[#This Row],[Application area (ha)]], 0)</f>
        <v>100</v>
      </c>
      <c r="H33" s="73">
        <v>0</v>
      </c>
      <c r="I33" s="73"/>
      <c r="J33" s="73">
        <v>1</v>
      </c>
      <c r="K33" s="74">
        <f>SUM(Table_Input_Lime[[#This Row],[Percent Lime CaCO3]:[Percent Gypsum]])</f>
        <v>1</v>
      </c>
      <c r="L33" s="14"/>
      <c r="M33" s="14"/>
    </row>
    <row r="34" spans="1:25" ht="36" customHeight="1" x14ac:dyDescent="0.25">
      <c r="A34"/>
      <c r="D34" s="21"/>
      <c r="E34" s="21"/>
      <c r="F34" s="21"/>
      <c r="G34" s="21"/>
      <c r="H34" s="21"/>
      <c r="I34" s="21"/>
      <c r="J34" s="21"/>
      <c r="L34" s="21"/>
      <c r="M34" s="14"/>
    </row>
    <row r="35" spans="1:25" ht="36" customHeight="1" x14ac:dyDescent="0.25">
      <c r="A35"/>
      <c r="D35" s="21"/>
      <c r="E35" s="21"/>
      <c r="F35" s="21"/>
      <c r="G35" s="21"/>
      <c r="H35" s="21"/>
      <c r="I35" s="21"/>
      <c r="J35" s="75"/>
      <c r="K35" s="14"/>
      <c r="L35" s="21"/>
      <c r="M35" s="21"/>
    </row>
    <row r="36" spans="1:25" ht="36" customHeight="1" x14ac:dyDescent="0.25">
      <c r="A36"/>
      <c r="D36" s="16" t="s">
        <v>149</v>
      </c>
      <c r="E36" s="14"/>
      <c r="F36" s="14"/>
      <c r="G36" s="14"/>
      <c r="H36" s="21"/>
      <c r="I36" s="21"/>
      <c r="J36" s="21"/>
      <c r="K36" s="21"/>
      <c r="L36" s="21"/>
      <c r="M36" s="21"/>
      <c r="S36" s="56"/>
    </row>
    <row r="37" spans="1:25" ht="20.100000000000001" customHeight="1" x14ac:dyDescent="0.25">
      <c r="A37"/>
      <c r="D37" s="21"/>
      <c r="E37" s="21"/>
      <c r="F37" s="21"/>
      <c r="G37" s="21"/>
      <c r="H37" s="21"/>
      <c r="I37" s="21"/>
      <c r="J37" s="21"/>
      <c r="K37" s="21"/>
      <c r="L37" s="21"/>
      <c r="M37" s="21"/>
      <c r="Q37" s="56"/>
      <c r="R37" s="56"/>
      <c r="S37" s="56"/>
    </row>
    <row r="38" spans="1:25" ht="20.100000000000001" customHeight="1" x14ac:dyDescent="0.25">
      <c r="A38"/>
      <c r="C38" s="56"/>
      <c r="D38" s="29" t="s">
        <v>137</v>
      </c>
      <c r="E38" s="30"/>
      <c r="F38" s="30"/>
      <c r="G38" s="30"/>
      <c r="H38" s="31"/>
      <c r="I38" s="21"/>
      <c r="J38" s="21"/>
      <c r="K38" s="21"/>
      <c r="L38" s="21"/>
      <c r="M38" s="21"/>
      <c r="O38" s="56"/>
      <c r="P38" s="56"/>
      <c r="Q38" s="56"/>
      <c r="R38" s="56"/>
    </row>
    <row r="39" spans="1:25" ht="20.100000000000001" customHeight="1" x14ac:dyDescent="0.25">
      <c r="A39"/>
      <c r="C39" s="56"/>
      <c r="D39" s="36" t="s">
        <v>92</v>
      </c>
      <c r="E39" s="37"/>
      <c r="F39" s="37"/>
      <c r="G39" s="37"/>
      <c r="H39" s="38"/>
      <c r="I39" s="21"/>
      <c r="J39" s="21"/>
      <c r="K39" s="21"/>
      <c r="L39" s="58"/>
      <c r="M39" s="56"/>
      <c r="N39" s="56"/>
      <c r="O39" s="56"/>
      <c r="P39" s="56"/>
    </row>
    <row r="40" spans="1:25" s="76" customFormat="1" ht="20.100000000000001" customHeight="1" x14ac:dyDescent="0.25">
      <c r="A40"/>
      <c r="C40" s="15"/>
      <c r="D40" s="21"/>
      <c r="E40" s="21"/>
      <c r="F40" s="21"/>
      <c r="G40" s="21"/>
      <c r="H40" s="21"/>
      <c r="I40" s="21"/>
      <c r="J40" s="21"/>
      <c r="K40" s="21"/>
      <c r="L40" s="58"/>
      <c r="M40" s="56"/>
      <c r="N40" s="56"/>
      <c r="O40" s="15"/>
      <c r="P40" s="15"/>
      <c r="Q40" s="15"/>
      <c r="R40" s="15"/>
      <c r="S40" s="15"/>
      <c r="T40" s="15"/>
      <c r="U40" s="15"/>
      <c r="V40" s="15"/>
      <c r="W40" s="15"/>
      <c r="X40" s="15"/>
      <c r="Y40" s="15"/>
    </row>
    <row r="41" spans="1:25" s="76" customFormat="1" ht="20.100000000000001" customHeight="1" x14ac:dyDescent="0.25">
      <c r="A41"/>
      <c r="C41" s="15"/>
      <c r="D41" s="71" t="s">
        <v>150</v>
      </c>
      <c r="E41" s="71" t="s">
        <v>151</v>
      </c>
      <c r="F41" s="71" t="s">
        <v>152</v>
      </c>
      <c r="G41" s="71" t="s">
        <v>153</v>
      </c>
      <c r="H41" s="71" t="s">
        <v>98</v>
      </c>
      <c r="I41" s="71" t="s">
        <v>154</v>
      </c>
      <c r="J41" s="71" t="s">
        <v>155</v>
      </c>
      <c r="K41" s="58"/>
      <c r="L41" s="15"/>
      <c r="M41" s="15"/>
      <c r="N41" s="15"/>
      <c r="O41" s="15"/>
      <c r="P41" s="15"/>
      <c r="Q41" s="15"/>
      <c r="R41" s="15"/>
      <c r="S41" s="15"/>
      <c r="T41" s="15"/>
      <c r="U41" s="15"/>
      <c r="V41" s="15"/>
      <c r="W41" s="15"/>
      <c r="X41" s="15"/>
      <c r="Y41" s="15"/>
    </row>
    <row r="42" spans="1:25" ht="30" customHeight="1" x14ac:dyDescent="0.25">
      <c r="A42"/>
      <c r="D42" s="44" t="s">
        <v>156</v>
      </c>
      <c r="E42" s="73">
        <v>0.3</v>
      </c>
      <c r="F42" s="45">
        <v>10</v>
      </c>
      <c r="G42" s="47">
        <f>Table_Input_OrganicFertiliser[[#This Row],[Amount applied (kg/hectare)]]*Table_Input_OrganicFertiliser[[#This Row],[Percentage of N in fertiliser]]</f>
        <v>3</v>
      </c>
      <c r="H42" s="45">
        <f>X_Cell_Fertiliser_AreaUnderCropping</f>
        <v>100</v>
      </c>
      <c r="I42" s="47">
        <f>Table_Input_OrganicFertiliser[[#This Row],[Amount applied (kg/hectare)]]*Table_Input_OrganicFertiliser[[#This Row],[Application area (ha)]]</f>
        <v>1000</v>
      </c>
      <c r="J42" s="47">
        <f>IFERROR(Table_Input_OrganicFertiliser[[#This Row],[Amount N applied (kg/hectare)]]*Table_Input_OrganicFertiliser[[#This Row],[Application area (ha)]], 0)</f>
        <v>300</v>
      </c>
      <c r="K42" s="58"/>
    </row>
    <row r="43" spans="1:25" ht="36" customHeight="1" x14ac:dyDescent="0.25">
      <c r="A43"/>
      <c r="D43" s="44" t="s">
        <v>157</v>
      </c>
      <c r="E43" s="73">
        <v>0.25</v>
      </c>
      <c r="F43" s="45">
        <v>10</v>
      </c>
      <c r="G43" s="47">
        <f>Table_Input_OrganicFertiliser[[#This Row],[Amount applied (kg/hectare)]]*Table_Input_OrganicFertiliser[[#This Row],[Percentage of N in fertiliser]]</f>
        <v>2.5</v>
      </c>
      <c r="H43" s="45">
        <f>X_Cell_Fertiliser_AreaUnderCropping</f>
        <v>100</v>
      </c>
      <c r="I43" s="47">
        <f>Table_Input_OrganicFertiliser[[#This Row],[Amount applied (kg/hectare)]]*Table_Input_OrganicFertiliser[[#This Row],[Application area (ha)]]</f>
        <v>1000</v>
      </c>
      <c r="J43" s="47">
        <f>IFERROR(Table_Input_OrganicFertiliser[[#This Row],[Amount N applied (kg/hectare)]]*Table_Input_OrganicFertiliser[[#This Row],[Application area (ha)]], 0)</f>
        <v>250</v>
      </c>
    </row>
    <row r="44" spans="1:25" ht="36" customHeight="1" x14ac:dyDescent="0.25">
      <c r="A44"/>
      <c r="D44" s="44" t="s">
        <v>158</v>
      </c>
      <c r="E44" s="73">
        <v>0.16</v>
      </c>
      <c r="F44" s="45">
        <v>10</v>
      </c>
      <c r="G44" s="47">
        <f>Table_Input_OrganicFertiliser[[#This Row],[Amount applied (kg/hectare)]]*Table_Input_OrganicFertiliser[[#This Row],[Percentage of N in fertiliser]]</f>
        <v>1.6</v>
      </c>
      <c r="H44" s="45">
        <f>X_Cell_Fertiliser_AreaUnderCropping</f>
        <v>100</v>
      </c>
      <c r="I44" s="47">
        <f>Table_Input_OrganicFertiliser[[#This Row],[Amount applied (kg/hectare)]]*Table_Input_OrganicFertiliser[[#This Row],[Application area (ha)]]</f>
        <v>1000</v>
      </c>
      <c r="J44" s="47">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70"/>
    </row>
  </sheetData>
  <conditionalFormatting sqref="F46 I63:I66 L186 K188 L190:L191 K192:K193 L194:L195 K196:K197 L200:L201 K202:K203 L204:L205 K206:K207 L211:L216 K213">
    <cfRule type="cellIs" dxfId="43" priority="18" operator="lessThan">
      <formula>0</formula>
    </cfRule>
  </conditionalFormatting>
  <conditionalFormatting sqref="F155:F156">
    <cfRule type="cellIs" dxfId="42" priority="14" operator="lessThan">
      <formula>0</formula>
    </cfRule>
  </conditionalFormatting>
  <conditionalFormatting sqref="F167:F168">
    <cfRule type="cellIs" dxfId="41" priority="13"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65:F266">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F299:F300">
    <cfRule type="cellIs" dxfId="35" priority="21" operator="lessThan">
      <formula>0</formula>
    </cfRule>
  </conditionalFormatting>
  <conditionalFormatting sqref="H41 F131:F132">
    <cfRule type="cellIs" dxfId="34"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33" priority="20" operator="lessThan">
      <formula>0</formula>
    </cfRule>
  </conditionalFormatting>
  <conditionalFormatting sqref="I30:I35 F143:F144">
    <cfRule type="cellIs" dxfId="32" priority="15" operator="lessThan">
      <formula>0</formula>
    </cfRule>
  </conditionalFormatting>
  <conditionalFormatting sqref="I70 M107 I129:J129">
    <cfRule type="cellIs" dxfId="31" priority="19"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7" operator="lessThan">
      <formula>0</formula>
    </cfRule>
  </conditionalFormatting>
  <conditionalFormatting sqref="L119:L122">
    <cfRule type="cellIs" dxfId="26" priority="7" operator="lessThan">
      <formula>0</formula>
    </cfRule>
  </conditionalFormatting>
  <conditionalFormatting sqref="L125">
    <cfRule type="cellIs" dxfId="25" priority="12" operator="lessThan">
      <formula>0</formula>
    </cfRule>
  </conditionalFormatting>
  <conditionalFormatting sqref="L131:L134">
    <cfRule type="cellIs" dxfId="24" priority="6" operator="lessThan">
      <formula>0</formula>
    </cfRule>
  </conditionalFormatting>
  <conditionalFormatting sqref="L137">
    <cfRule type="cellIs" dxfId="23" priority="11" operator="lessThan">
      <formula>0</formula>
    </cfRule>
  </conditionalFormatting>
  <conditionalFormatting sqref="L143:L146">
    <cfRule type="cellIs" dxfId="22" priority="5" operator="lessThan">
      <formula>0</formula>
    </cfRule>
  </conditionalFormatting>
  <conditionalFormatting sqref="L149">
    <cfRule type="cellIs" dxfId="21" priority="10" operator="lessThan">
      <formula>0</formula>
    </cfRule>
  </conditionalFormatting>
  <conditionalFormatting sqref="L155:L158">
    <cfRule type="cellIs" dxfId="20" priority="4" operator="lessThan">
      <formula>0</formula>
    </cfRule>
  </conditionalFormatting>
  <conditionalFormatting sqref="L161">
    <cfRule type="cellIs" dxfId="19" priority="9" operator="lessThan">
      <formula>0</formula>
    </cfRule>
  </conditionalFormatting>
  <conditionalFormatting sqref="L165:L166">
    <cfRule type="cellIs" dxfId="18" priority="8" operator="lessThan">
      <formula>0</formula>
    </cfRule>
  </conditionalFormatting>
  <conditionalFormatting sqref="L218 L220:L223 L225 J233:J235 J238:J240">
    <cfRule type="cellIs" dxfId="17" priority="27" operator="lessThan">
      <formula>0</formula>
    </cfRule>
  </conditionalFormatting>
  <dataValidations count="9">
    <dataValidation type="list" allowBlank="1" showInputMessage="1" showErrorMessage="1" sqref="Q20:R22" xr:uid="{2F155DDD-E67A-47B1-9B9A-59DB999B6AC9}">
      <formula1>INDIRECT("Table_SourceData_Fertiliser_UreaAmmoniaSources[Source]")</formula1>
    </dataValidation>
    <dataValidation type="list" allowBlank="1" showInputMessage="1" showErrorMessage="1" sqref="D12:D16" xr:uid="{61642B73-2D95-402B-8339-EFA8D744B307}">
      <formula1>INDIRECT("FertiliserProducts[Product Name]")</formula1>
    </dataValidation>
    <dataValidation type="list" allowBlank="1" showInputMessage="1" showErrorMessage="1" sqref="D42:D44" xr:uid="{218F6982-4897-46B9-81DE-EAE62A698F97}">
      <formula1>INDIRECT("Table_SourceData_OrganicFertiliserTypes[Organic fertiliser type]")</formula1>
    </dataValidation>
    <dataValidation type="list" allowBlank="1" showInputMessage="1" showErrorMessage="1" sqref="H20:H22 J20:J22 L20:L22 N20:N22" xr:uid="{3AE47C97-83F7-4185-810E-95E6EC567BBD}">
      <formula1>INDIRECT("Table_Fertiliser_ChemicalCompounds[Fertiliser type f]")</formula1>
    </dataValidation>
    <dataValidation type="list" allowBlank="1" showInputMessage="1" showErrorMessage="1" sqref="E69" xr:uid="{59002D45-DFC4-47F0-9243-D10B73E9B999}">
      <formula1>INDIRECT("Table_SourceData_Swine_CropProdSystems[Production system]")</formula1>
    </dataValidation>
    <dataValidation type="list" allowBlank="1" showInputMessage="1" showErrorMessage="1" sqref="E70" xr:uid="{48ACCC84-6687-47C6-9B99-538F384E6ACC}">
      <formula1>INDIRECT("Table_SourceData_Swine_IrrigationMethods[Irrigation method]")</formula1>
    </dataValidation>
    <dataValidation type="list" allowBlank="1" showInputMessage="1" showErrorMessage="1" sqref="E254 E259 E264 E298 E293 E288 E166 E154 E130 E142" xr:uid="{E3CD572D-972F-4413-B0B2-01AE3E139847}">
      <formula1>"Yes, No"</formula1>
    </dataValidation>
    <dataValidation type="list" allowBlank="1" showInputMessage="1" showErrorMessage="1" sqref="E230" xr:uid="{AEC7A4AA-E2AA-4186-9656-D0CFF0A00BDE}">
      <formula1>INDIRECT("Table_SourceData_Dairy_ProductionSystemTemplates[Area]")</formula1>
    </dataValidation>
    <dataValidation type="list" allowBlank="1" showInputMessage="1" showErrorMessage="1" sqref="D282" xr:uid="{9E3497A1-6C6E-43FE-8F9B-F0C201C79DA2}">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E6A0C-C7BB-44E6-B3D6-CF8A02E233B5}">
  <dimension ref="A1:K346"/>
  <sheetViews>
    <sheetView showGridLines="0" topLeftCell="A2"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288</v>
      </c>
    </row>
    <row r="2" spans="1:11" s="9" customFormat="1" ht="20.100000000000001" customHeight="1" x14ac:dyDescent="0.25">
      <c r="A2"/>
    </row>
    <row r="3" spans="1:11" ht="20.100000000000001" customHeight="1" x14ac:dyDescent="0.25">
      <c r="A3" s="28" t="str">
        <f>HYPERLINK("#'Home'!A1", "Home")</f>
        <v>Home</v>
      </c>
      <c r="C3" s="24"/>
      <c r="D3" s="24"/>
      <c r="E3" s="24"/>
      <c r="F3" s="24"/>
      <c r="G3" s="24"/>
      <c r="H3" s="24"/>
      <c r="I3" s="24"/>
      <c r="J3" s="24"/>
      <c r="K3" s="24"/>
    </row>
    <row r="4" spans="1:11" ht="20.100000000000001" customHeight="1" x14ac:dyDescent="0.25">
      <c r="A4" s="28" t="str">
        <f>HYPERLINK("#'Overview'!A1", "Overview")</f>
        <v>Overview</v>
      </c>
    </row>
    <row r="5" spans="1:11" ht="20.100000000000001" customHeight="1" x14ac:dyDescent="0.25">
      <c r="A5"/>
      <c r="D5" s="16" t="s">
        <v>289</v>
      </c>
      <c r="E5" s="14"/>
      <c r="F5" s="14"/>
      <c r="G5" s="14"/>
      <c r="H5" s="14"/>
    </row>
    <row r="6" spans="1:11" ht="20.100000000000001" customHeight="1" x14ac:dyDescent="0.25">
      <c r="A6"/>
      <c r="D6" s="21"/>
      <c r="E6" s="21"/>
      <c r="F6" s="21"/>
      <c r="G6" s="21"/>
      <c r="H6" s="21"/>
      <c r="I6" s="21"/>
      <c r="J6" s="21"/>
    </row>
    <row r="7" spans="1:11" ht="20.100000000000001" customHeight="1" x14ac:dyDescent="0.25">
      <c r="A7" s="35" t="s">
        <v>91</v>
      </c>
      <c r="D7" s="15" t="s">
        <v>290</v>
      </c>
    </row>
    <row r="8" spans="1:11" ht="20.100000000000001" customHeight="1" x14ac:dyDescent="0.25">
      <c r="A8" s="28" t="str">
        <f>HYPERLINK("#'Input - Planting'!A1", "Planting")</f>
        <v>Planting</v>
      </c>
      <c r="D8" s="15" t="s">
        <v>291</v>
      </c>
    </row>
    <row r="9" spans="1:11" ht="20.100000000000001" customHeight="1" x14ac:dyDescent="0.25">
      <c r="A9" s="28" t="str">
        <f>HYPERLINK("#'Input - Fertiliser'!A1", "Fertiliser")</f>
        <v>Fertiliser</v>
      </c>
      <c r="D9" s="15" t="s">
        <v>292</v>
      </c>
    </row>
    <row r="10" spans="1:11" ht="20.100000000000001" customHeight="1" x14ac:dyDescent="0.25">
      <c r="A10" s="40" t="str">
        <f>HYPERLINK("#'Input - Fuel'!A1", "Fuel")</f>
        <v>Fuel</v>
      </c>
    </row>
    <row r="11" spans="1:11" ht="20.100000000000001" customHeight="1" x14ac:dyDescent="0.25">
      <c r="A11" s="28" t="str">
        <f>HYPERLINK("#'Input - Fert Prod System'!A1", "Fert Prod System")</f>
        <v>Fert Prod System</v>
      </c>
      <c r="D11" s="15" t="s">
        <v>293</v>
      </c>
      <c r="E11" s="25" t="s">
        <v>294</v>
      </c>
      <c r="F11" s="26" t="s">
        <v>82</v>
      </c>
    </row>
    <row r="12" spans="1:11" ht="20.100000000000001" customHeight="1" x14ac:dyDescent="0.25">
      <c r="A12" s="28" t="str">
        <f>HYPERLINK("#'Input - Site'!A1", "Site")</f>
        <v>Site</v>
      </c>
    </row>
    <row r="13" spans="1:11" ht="20.100000000000001" customHeight="1" x14ac:dyDescent="0.25">
      <c r="A13"/>
      <c r="D13" s="29" t="s">
        <v>295</v>
      </c>
      <c r="E13" s="30"/>
      <c r="F13" s="30"/>
      <c r="G13" s="30"/>
      <c r="H13" s="31"/>
    </row>
    <row r="14" spans="1:11" ht="20.100000000000001" customHeight="1" x14ac:dyDescent="0.25">
      <c r="A14"/>
      <c r="D14" s="36" t="s">
        <v>296</v>
      </c>
      <c r="E14" s="37"/>
      <c r="F14" s="37"/>
      <c r="G14" s="37"/>
      <c r="H14" s="38"/>
    </row>
    <row r="15" spans="1:11" ht="20.100000000000001" customHeight="1" x14ac:dyDescent="0.25">
      <c r="A15" s="48" t="s">
        <v>116</v>
      </c>
      <c r="D15" s="21"/>
      <c r="E15" s="21"/>
      <c r="F15" s="21"/>
      <c r="G15" s="21"/>
      <c r="H15" s="21"/>
      <c r="I15" s="21"/>
      <c r="J15" s="21"/>
    </row>
    <row r="16" spans="1:11" ht="20.100000000000001" customHeight="1" x14ac:dyDescent="0.25">
      <c r="A16" s="28" t="str">
        <f>HYPERLINK("#'5.1.1.1-2 Inorganic fert N2O'!A1", "5.1.1.1-2 Inorganic fert N2O")</f>
        <v>5.1.1.1-2 Inorganic fert N2O</v>
      </c>
      <c r="D16" s="91" t="s">
        <v>297</v>
      </c>
      <c r="E16" s="91" t="s">
        <v>298</v>
      </c>
      <c r="F16" s="91" t="s">
        <v>299</v>
      </c>
      <c r="G16" s="91" t="s">
        <v>300</v>
      </c>
      <c r="H16" s="91" t="s">
        <v>301</v>
      </c>
      <c r="I16" s="91" t="s">
        <v>302</v>
      </c>
      <c r="J16" s="91" t="s">
        <v>303</v>
      </c>
    </row>
    <row r="17" spans="1:10" ht="20.100000000000001" customHeight="1" x14ac:dyDescent="0.25">
      <c r="A17" s="28" t="str">
        <f>HYPERLINK("#'5.1.1.3-4 Inorganic fert CO2'!A1", "5.1.1.3-4 Inorganic fert CO2")</f>
        <v>5.1.1.3-4 Inorganic fert CO2</v>
      </c>
      <c r="D17" s="25" t="s">
        <v>304</v>
      </c>
      <c r="E17" s="25" t="s">
        <v>305</v>
      </c>
      <c r="F17" s="120">
        <v>100</v>
      </c>
      <c r="G17" s="46" t="str" cm="1">
        <f t="array" ref="G17">Common_InputFunctions.Utility_LookupValueInTable(Table_Input_Fuel[[#This Row],[Fuel type (select)]],Table_FuelTypes_Units[Fuel type], Table_FuelTypes_Units[Input Unit])</f>
        <v>GJ</v>
      </c>
      <c r="H17" s="121">
        <f>1</f>
        <v>1</v>
      </c>
      <c r="I17" s="46">
        <f>Table_Input_Fuel[[#This Row],[Amount purchased]]*Table_Input_Fuel[[#This Row],[Percent consumed]]*IF(Table_Input_Fuel[[#This Row],[Amount unit]]="L", 10^-3, 1)</f>
        <v>100</v>
      </c>
      <c r="J17" s="46" t="str" cm="1">
        <f t="array" ref="J17">Common_InputFunctions.Utility_LookupValueInTable(Table_Input_Fuel[[#This Row],[Fuel type (select)]],Table_FuelTypes_Units[Fuel type], Table_FuelTypes_Units[Unit])</f>
        <v>GJ</v>
      </c>
    </row>
    <row r="18" spans="1:10" ht="20.100000000000001" customHeight="1" x14ac:dyDescent="0.25">
      <c r="A18" s="28" t="str">
        <f>HYPERLINK("#'5.2.1.1-2 Organic Fert N2O'!A1", "5.2.1.1-2 Organic fert N2O")</f>
        <v>5.2.1.1-2 Organic fert N2O</v>
      </c>
      <c r="D18" s="25" t="s">
        <v>304</v>
      </c>
      <c r="E18" s="25" t="s">
        <v>306</v>
      </c>
      <c r="F18" s="120">
        <v>10000</v>
      </c>
      <c r="G18" s="46" t="str" cm="1">
        <f t="array" ref="G18">Common_InputFunctions.Utility_LookupValueInTable(Table_Input_Fuel[[#This Row],[Fuel type (select)]],Table_FuelTypes_Units[Fuel type], Table_FuelTypes_Units[Input Unit])</f>
        <v>L</v>
      </c>
      <c r="H18" s="122">
        <f>1</f>
        <v>1</v>
      </c>
      <c r="I18" s="46">
        <f>Table_Input_Fuel[[#This Row],[Amount purchased]]*Table_Input_Fuel[[#This Row],[Percent consumed]]*IF(Table_Input_Fuel[[#This Row],[Amount unit]]="L", 10^-3, 1)</f>
        <v>10</v>
      </c>
      <c r="J18" s="46" t="str" cm="1">
        <f t="array" ref="J18">Common_InputFunctions.Utility_LookupValueInTable(Table_Input_Fuel[[#This Row],[Fuel type (select)]],Table_FuelTypes_Units[Fuel type], Table_FuelTypes_Units[Unit])</f>
        <v>kL</v>
      </c>
    </row>
    <row r="19" spans="1:10" ht="20.100000000000001" customHeight="1" x14ac:dyDescent="0.25">
      <c r="A19" s="28" t="str">
        <f>HYPERLINK("#'5.3.1.1-2 Lime CO2'!A1", "5.3.1.1-2 Lime CO2")</f>
        <v>5.3.1.1-2 Lime CO2</v>
      </c>
      <c r="D19" s="25" t="s">
        <v>307</v>
      </c>
      <c r="E19" s="25" t="s">
        <v>308</v>
      </c>
      <c r="F19" s="120">
        <v>10000</v>
      </c>
      <c r="G19" s="46" t="str" cm="1">
        <f t="array" ref="G19">Common_InputFunctions.Utility_LookupValueInTable(Table_Input_Fuel[[#This Row],[Fuel type (select)]],Table_FuelTypes_Units[Fuel type], Table_FuelTypes_Units[Input Unit])</f>
        <v>L</v>
      </c>
      <c r="H19" s="122">
        <f>1</f>
        <v>1</v>
      </c>
      <c r="I19" s="46">
        <f>Table_Input_Fuel[[#This Row],[Amount purchased]]*Table_Input_Fuel[[#This Row],[Percent consumed]]*IF(Table_Input_Fuel[[#This Row],[Amount unit]]="L", 10^-3, 1)</f>
        <v>10</v>
      </c>
      <c r="J19" s="46" t="str" cm="1">
        <f t="array" ref="J19">Common_InputFunctions.Utility_LookupValueInTable(Table_Input_Fuel[[#This Row],[Fuel type (select)]],Table_FuelTypes_Units[Fuel type], Table_FuelTypes_Units[Unit])</f>
        <v>kL</v>
      </c>
    </row>
    <row r="20" spans="1:10" ht="20.100000000000001" customHeight="1" x14ac:dyDescent="0.25">
      <c r="A20" s="28" t="str">
        <f>HYPERLINK("#'5.4.1.1-4 Atmos deposition'!A1", "5.4.1.1-4 Atmos. deposition")</f>
        <v>5.4.1.1-4 Atmos. deposition</v>
      </c>
      <c r="D20" s="25" t="s">
        <v>309</v>
      </c>
      <c r="E20" s="25" t="s">
        <v>308</v>
      </c>
      <c r="F20" s="120">
        <v>10000</v>
      </c>
      <c r="G20" s="46" t="str" cm="1">
        <f t="array" ref="G20">Common_InputFunctions.Utility_LookupValueInTable(Table_Input_Fuel[[#This Row],[Fuel type (select)]],Table_FuelTypes_Units[Fuel type], Table_FuelTypes_Units[Input Unit])</f>
        <v>L</v>
      </c>
      <c r="H20" s="122">
        <f>1</f>
        <v>1</v>
      </c>
      <c r="I20" s="46">
        <f>Table_Input_Fuel[[#This Row],[Amount purchased]]*Table_Input_Fuel[[#This Row],[Percent consumed]]*IF(Table_Input_Fuel[[#This Row],[Amount unit]]="L", 10^-3, 1)</f>
        <v>10</v>
      </c>
      <c r="J20" s="46" t="str" cm="1">
        <f t="array" ref="J20">Common_InputFunctions.Utility_LookupValueInTable(Table_Input_Fuel[[#This Row],[Fuel type (select)]],Table_FuelTypes_Units[Fuel type], Table_FuelTypes_Units[Unit])</f>
        <v>kL</v>
      </c>
    </row>
    <row r="21" spans="1:10" ht="20.100000000000001" customHeight="1" x14ac:dyDescent="0.25">
      <c r="A21" s="28" t="str">
        <f>HYPERLINK("#'5.5.1.1-2 Leaching and runoff'!A1", "5.5.1.1-2 Leaching &amp; runoff")</f>
        <v>5.5.1.1-2 Leaching &amp; runoff</v>
      </c>
      <c r="D21" s="123" t="s">
        <v>310</v>
      </c>
      <c r="E21" s="123" t="s">
        <v>311</v>
      </c>
      <c r="F21" s="120">
        <v>10000</v>
      </c>
      <c r="G21" s="124" t="str" cm="1">
        <f t="array" ref="G21">Common_InputFunctions.Utility_LookupValueInTable(Table_Input_Fuel[[#This Row],[Fuel type (select)]],Table_FuelTypes_Units[Fuel type], Table_FuelTypes_Units[Input Unit])</f>
        <v>L</v>
      </c>
      <c r="H21" s="125">
        <f>1</f>
        <v>1</v>
      </c>
      <c r="I21" s="124">
        <f>Table_Input_Fuel[[#This Row],[Amount purchased]]*Table_Input_Fuel[[#This Row],[Percent consumed]]*IF(Table_Input_Fuel[[#This Row],[Amount unit]]="L", 10^-3, 1)</f>
        <v>10</v>
      </c>
      <c r="J21" s="46" t="str" cm="1">
        <f t="array" ref="J21">Common_InputFunctions.Utility_LookupValueInTable(Table_Input_Fuel[[#This Row],[Fuel type (select)]],Table_FuelTypes_Units[Fuel type], Table_FuelTypes_Units[Unit])</f>
        <v>kL</v>
      </c>
    </row>
    <row r="22" spans="1:10" ht="20.100000000000001" customHeight="1" x14ac:dyDescent="0.25">
      <c r="A22" s="28" t="str">
        <f>HYPERLINK("#'8.1.1.1-2 Transport fuel'!A1", "8.1.1.1-2 Transport fuel")</f>
        <v>8.1.1.1-2 Transport fuel</v>
      </c>
    </row>
    <row r="23" spans="1:10" ht="20.100000000000001" customHeight="1" x14ac:dyDescent="0.25">
      <c r="A23" s="28" t="str">
        <f>HYPERLINK("#'8.2.1.1-2 Stationary fuel'!A1", "8.2.1.1-2 Stationary fuel")</f>
        <v>8.2.1.1-2 Stationary fuel</v>
      </c>
    </row>
    <row r="24" spans="1:10" ht="20.100000000000001" customHeight="1" x14ac:dyDescent="0.25">
      <c r="A24"/>
    </row>
    <row r="25" spans="1:10" ht="20.100000000000001" customHeight="1" x14ac:dyDescent="0.25">
      <c r="A25"/>
    </row>
    <row r="26" spans="1:10" ht="20.100000000000001" customHeight="1" x14ac:dyDescent="0.25">
      <c r="A26" s="66" t="s">
        <v>133</v>
      </c>
    </row>
    <row r="27" spans="1:10" ht="20.100000000000001" customHeight="1" x14ac:dyDescent="0.25">
      <c r="A27" s="28" t="str">
        <f>HYPERLINK("#'Constants - Fertiliser'!A1", "Constants - Fertiliser")</f>
        <v>Constants - Fertiliser</v>
      </c>
    </row>
    <row r="28" spans="1:10" ht="20.100000000000001" customHeight="1" x14ac:dyDescent="0.25">
      <c r="A28" s="28" t="str">
        <f>HYPERLINK("#'Constants - Fuel'!A1", "Constants - Fuel")</f>
        <v>Constants - Fuel</v>
      </c>
    </row>
    <row r="29" spans="1:10" ht="20.100000000000001" customHeight="1" x14ac:dyDescent="0.25">
      <c r="A29" s="28" t="str">
        <f>HYPERLINK("#'Constants - Common'!A1", "Constants - Common")</f>
        <v>Constants - Common</v>
      </c>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6"/>
      <c r="K38" s="56"/>
    </row>
    <row r="39" spans="1:11" ht="20.100000000000001" customHeight="1" x14ac:dyDescent="0.25">
      <c r="A39"/>
      <c r="C39" s="56"/>
      <c r="K39" s="56"/>
    </row>
    <row r="40" spans="1:11" s="76" customFormat="1" ht="20.100000000000001" customHeight="1" x14ac:dyDescent="0.25">
      <c r="A40"/>
      <c r="C40" s="15"/>
      <c r="D40" s="15"/>
      <c r="E40" s="15"/>
      <c r="F40" s="15"/>
      <c r="G40" s="15"/>
      <c r="H40" s="15"/>
      <c r="I40" s="15"/>
      <c r="J40" s="15"/>
      <c r="K40" s="15"/>
    </row>
    <row r="41" spans="1:11" s="76"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0"/>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FFDD88F3-1867-4EEB-B497-EA694CBC35C7}">
      <formula1>_xlfn.TRIMRANGE(INDIRECT("Table_FuelTypesPerUse["&amp;D17&amp;"]"))</formula1>
    </dataValidation>
    <dataValidation type="list" allowBlank="1" showInputMessage="1" showErrorMessage="1" sqref="D17:D21" xr:uid="{D79AF7B3-1B27-4607-8B3D-B7E47211414A}">
      <formula1>INDIRECT("Table_FuelTypesPerUse[#Headers]")</formula1>
    </dataValidation>
    <dataValidation type="list" allowBlank="1" showInputMessage="1" showErrorMessage="1" sqref="E11" xr:uid="{F1860F53-EF45-4FC3-A328-F9BD25998759}">
      <formula1>"Metro, Non-metro"</formula1>
    </dataValidation>
    <dataValidation type="list" allowBlank="1" showInputMessage="1" showErrorMessage="1" sqref="D29:D30" xr:uid="{5B0B4059-8EED-4ECE-988A-4A5D615BDA2D}">
      <formula1>INDIRECT("Table_SourceData_OrganicFertiliserTypes[Organic fertiliser type]")</formula1>
    </dataValidation>
    <dataValidation type="list" allowBlank="1" showInputMessage="1" showErrorMessage="1" sqref="E49" xr:uid="{F230A147-F003-4609-A38A-15BBC000288F}">
      <formula1>INDIRECT("Table_SourceData_Swine_CropProdSystems[Production system]")</formula1>
    </dataValidation>
    <dataValidation type="list" allowBlank="1" showInputMessage="1" showErrorMessage="1" sqref="E50" xr:uid="{483F632A-2A95-4934-BE33-1B866452C368}">
      <formula1>INDIRECT("Table_SourceData_Swine_IrrigationMethods[Irrigation method]")</formula1>
    </dataValidation>
    <dataValidation type="list" allowBlank="1" showInputMessage="1" showErrorMessage="1" sqref="E234 E239 E244 E278 E273 E268 E146 E134 E110 E122" xr:uid="{E5583DC6-5C1C-4247-B2FA-47C9D6EB5236}">
      <formula1>"Yes, No"</formula1>
    </dataValidation>
    <dataValidation type="list" allowBlank="1" showInputMessage="1" showErrorMessage="1" sqref="E210" xr:uid="{DFEEB4F7-9330-4DA2-9D9B-2E236F0DE696}">
      <formula1>INDIRECT("Table_SourceData_Dairy_ProductionSystemTemplates[Area]")</formula1>
    </dataValidation>
    <dataValidation type="list" allowBlank="1" showInputMessage="1" showErrorMessage="1" sqref="D262" xr:uid="{9962764B-2445-4991-9FDE-5D0D8D58F35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C7C77-014C-4B60-8ECD-96BF685FDEE9}">
  <dimension ref="A1:X342"/>
  <sheetViews>
    <sheetView showGridLines="0" topLeftCell="B46"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159</v>
      </c>
      <c r="K1" s="10"/>
    </row>
    <row r="2" spans="1:24" s="9" customFormat="1" ht="20.100000000000001" customHeight="1" x14ac:dyDescent="0.25">
      <c r="A2"/>
      <c r="K2" s="10"/>
    </row>
    <row r="3" spans="1:24" ht="20.100000000000001" customHeight="1" x14ac:dyDescent="0.25">
      <c r="A3" s="28" t="str">
        <f>HYPERLINK("#'Home'!A1", "Home")</f>
        <v>Home</v>
      </c>
      <c r="C3" s="12"/>
      <c r="D3" s="12" t="s">
        <v>160</v>
      </c>
      <c r="E3" s="12"/>
      <c r="F3" s="12"/>
      <c r="G3" s="12"/>
      <c r="H3" s="12"/>
      <c r="I3" s="12"/>
      <c r="J3" s="12"/>
      <c r="L3" s="12"/>
      <c r="M3" s="12" t="s">
        <v>161</v>
      </c>
      <c r="N3" s="12"/>
      <c r="O3" s="12"/>
      <c r="P3" s="12"/>
      <c r="Q3" s="12"/>
      <c r="R3" s="12"/>
      <c r="S3" s="12"/>
      <c r="T3" s="12"/>
      <c r="U3" s="12"/>
      <c r="V3" s="12"/>
      <c r="W3" s="12"/>
      <c r="X3" s="12"/>
    </row>
    <row r="4" spans="1:24" ht="20.100000000000001" customHeight="1" x14ac:dyDescent="0.25">
      <c r="A4" s="28"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5" t="s">
        <v>91</v>
      </c>
      <c r="D7" s="77" t="s">
        <v>162</v>
      </c>
      <c r="E7" s="77" t="str" cm="1">
        <f t="array" aca="1" ref="E7" ca="1">Common_InputFunctions.Utility_DisplayFunctionName(G19)</f>
        <v>=Fertiliser_Equations_InorganicN2O.VEERG_5_1_1_1__2_MassOfNitrogenInInorganicFertiliser</v>
      </c>
    </row>
    <row r="8" spans="1:24" ht="20.100000000000001" customHeight="1" x14ac:dyDescent="0.25">
      <c r="A8" s="28" t="str">
        <f>HYPERLINK("#'Input - Planting'!A1", "Planting")</f>
        <v>Planting</v>
      </c>
    </row>
    <row r="9" spans="1:24" ht="20.100000000000001" customHeight="1" x14ac:dyDescent="0.25">
      <c r="A9" s="28" t="str">
        <f>HYPERLINK("#'Input - Fertiliser'!A1", "Fertiliser")</f>
        <v>Fertiliser</v>
      </c>
      <c r="M9" s="64" t="s">
        <v>163</v>
      </c>
      <c r="N9" s="15" t="str" cm="1">
        <f t="array" ref="N9">Fertiliser_Equations_InorganicN2O.VEERG_5_1_1_2__1_EmissionFactorIrrigatedMaize_Variable()</f>
        <v>EF_fjIrrigatedMaizeN2O</v>
      </c>
    </row>
    <row r="10" spans="1:24" ht="20.100000000000001" customHeight="1" x14ac:dyDescent="0.25">
      <c r="A10" s="28" t="str">
        <f>HYPERLINK("#'Input - Fuel'!A1", "Fuel")</f>
        <v>Fuel</v>
      </c>
      <c r="D10" s="64" t="s">
        <v>163</v>
      </c>
      <c r="E10" s="15" t="str" cm="1">
        <f t="array" ref="E10">Fertiliser_Equations_InorganicN2O.VEERG_5_1_1_1__2_MassOfNitrogenInInorganicFertiliser_Variable()</f>
        <v>MN_jf</v>
      </c>
      <c r="M10" s="64" t="s">
        <v>164</v>
      </c>
      <c r="N10" s="20" t="str" cm="1">
        <f t="array" ref="N10">Fertiliser_Equations_InorganicN2O.VEERG_5_1_1_2__1_EmissionFactorIrrigatedMaize_Unit()</f>
        <v>kg N2O-N/kg N applied</v>
      </c>
    </row>
    <row r="11" spans="1:24" ht="20.100000000000001" customHeight="1" x14ac:dyDescent="0.25">
      <c r="A11" s="28" t="str">
        <f>HYPERLINK("#'Input - Fert Prod System'!A1", "Fert Prod System")</f>
        <v>Fert Prod System</v>
      </c>
      <c r="D11" s="64" t="s">
        <v>164</v>
      </c>
      <c r="E11" s="20" t="str" cm="1">
        <f t="array" ref="E11">Fertiliser_Equations_InorganicN2O.VEERG_5_1_1_1__2_MassOfNitrogenInInorganicFertiliser_Unit()</f>
        <v>kg N</v>
      </c>
    </row>
    <row r="12" spans="1:24" ht="20.100000000000001" customHeight="1" x14ac:dyDescent="0.25">
      <c r="A12" s="28" t="str">
        <f>HYPERLINK("#'Input - Site'!A1", "Site")</f>
        <v>Site</v>
      </c>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165</v>
      </c>
      <c r="S13" s="84"/>
    </row>
    <row r="14" spans="1:24" ht="20.100000000000001" customHeight="1" x14ac:dyDescent="0.25">
      <c r="A14"/>
      <c r="D14" s="78" t="str">
        <v>FN_inorganicf</v>
      </c>
      <c r="E14" s="79" t="str">
        <v xml:space="preserve">fraction of nitrogen in inorganic fertiliser type f </v>
      </c>
      <c r="F14" s="87"/>
      <c r="G14" s="78" t="str">
        <v>kg N/kg</v>
      </c>
      <c r="H14" s="82" t="str">
        <v>Constant</v>
      </c>
      <c r="I14" s="85" t="str" cm="1">
        <f t="array" aca="1" ref="I14" ca="1">HYPERLINK(Common_InputFunctions.Utility_SourceHyperlink($D$16), $D$16)</f>
        <v>Table_MN_j_f</v>
      </c>
    </row>
    <row r="15" spans="1:24" ht="20.100000000000001" customHeight="1" x14ac:dyDescent="0.25">
      <c r="A15" s="48" t="s">
        <v>116</v>
      </c>
    </row>
    <row r="16" spans="1:24" ht="20.100000000000001" customHeight="1" x14ac:dyDescent="0.25">
      <c r="A16" s="86" t="str">
        <f>HYPERLINK("#'5.1.1.1-2 Inorganic fert N2O'!A1", "5.1.1.1-2 Inorganic fert N2O")</f>
        <v>5.1.1.1-2 Inorganic fert N2O</v>
      </c>
      <c r="D16" s="88" t="s">
        <v>166</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8" t="str">
        <f>HYPERLINK("#'5.1.1.3-4 Inorganic fert CO2'!A1", "5.1.1.3-4 Inorganic fert CO2")</f>
        <v>5.1.1.3-4 Inorganic fert CO2</v>
      </c>
      <c r="D17" s="89" t="s">
        <v>167</v>
      </c>
      <c r="M17" s="18" t="str" cm="1">
        <f t="array" ref="M17">Fertiliser_Equations_InorganicN2O.VEERG_5_1_1_2__2_EmissionFactorNonIrrigatedGrainsHighRainfall_Source()</f>
        <v>VEERG 2026: 5.1.1.2, Equation (2)</v>
      </c>
    </row>
    <row r="18" spans="1:19" ht="20.100000000000001" customHeight="1" x14ac:dyDescent="0.25">
      <c r="A18" s="28" t="str">
        <f>HYPERLINK("#'5.2.1.1-2 Organic Fert N2O'!A1", "5.2.1.1-2 Organic fert N2O")</f>
        <v>5.2.1.1-2 Organic fert N2O</v>
      </c>
      <c r="D18" s="90" t="s">
        <v>168</v>
      </c>
      <c r="E18" s="91" t="s">
        <v>169</v>
      </c>
      <c r="F18" s="90" t="s">
        <v>170</v>
      </c>
      <c r="G18" s="90" t="s">
        <v>171</v>
      </c>
    </row>
    <row r="19" spans="1:19"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f],Table_Fertiliser_ChemicalCompounds[FNinorganic f])</f>
        <v>0.1</v>
      </c>
      <c r="G19" s="46" cm="1">
        <f t="array" ref="G19">Fertiliser_Equations_InorganicN2O.VEERG_5_1_1_1__2_MassOfNitrogenInInorganicFertiliser(E19,F19)</f>
        <v>0</v>
      </c>
    </row>
    <row r="20" spans="1:19"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f],Table_Fertiliser_ChemicalCompounds[FNinorganic f])</f>
        <v>0.18</v>
      </c>
      <c r="G20" s="46" cm="1">
        <f t="array" ref="G20">Fertiliser_Equations_InorganicN2O.VEERG_5_1_1_1__2_MassOfNitrogenInInorganicFertiliser(E20,F20)</f>
        <v>0</v>
      </c>
      <c r="M20" s="64" t="s">
        <v>163</v>
      </c>
      <c r="N20" s="15" t="str" cm="1">
        <f t="array" ref="N20">Fertiliser_Equations_InorganicN2O.VEERG_5_1_1_2__2_EmissionFactorNonIrrigatedGrainsHighRainfall_Variable()</f>
        <v>EF_fjNonIrrigatedGrainsN2O</v>
      </c>
    </row>
    <row r="21" spans="1:19"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f],Table_Fertiliser_ChemicalCompounds[FNinorganic f])</f>
        <v>0.46</v>
      </c>
      <c r="G21" s="46" cm="1">
        <f t="array" ref="G21">Fertiliser_Equations_InorganicN2O.VEERG_5_1_1_1__2_MassOfNitrogenInInorganicFertiliser(E21,F21)</f>
        <v>4600</v>
      </c>
      <c r="M21" s="64" t="s">
        <v>164</v>
      </c>
      <c r="N21" s="20" t="str" cm="1">
        <f t="array" ref="N21">Fertiliser_Equations_InorganicN2O.VEERG_5_1_1_2__2_EmissionFactorNonIrrigatedGrainsHighRainfall_Unit()</f>
        <v>kg N2O-N/kg N applied</v>
      </c>
    </row>
    <row r="22" spans="1:19"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f],Table_Fertiliser_ChemicalCompounds[FNinorganic f])</f>
        <v>0.21</v>
      </c>
      <c r="G22" s="46" cm="1">
        <f t="array" ref="G22">Fertiliser_Equations_InorganicN2O.VEERG_5_1_1_1__2_MassOfNitrogenInInorganicFertiliser(E22,F22)</f>
        <v>0</v>
      </c>
    </row>
    <row r="23" spans="1:19"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f],Table_Fertiliser_ChemicalCompounds[FNinorganic f])</f>
        <v>0.32</v>
      </c>
      <c r="G23" s="46"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7"/>
    </row>
    <row r="24" spans="1:19"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f],Table_Fertiliser_ChemicalCompounds[FNinorganic f])</f>
        <v>0.33700000000000002</v>
      </c>
      <c r="G24" s="46" cm="1">
        <f t="array" ref="G24">Fertiliser_Equations_InorganicN2O.VEERG_5_1_1_1__2_MassOfNitrogenInInorganicFertiliser(E24,F24)</f>
        <v>0</v>
      </c>
      <c r="I24" s="26"/>
      <c r="M24" s="78" t="str">
        <v>f</v>
      </c>
      <c r="N24" s="79" t="str">
        <v>Inorganic fertiliser type</v>
      </c>
      <c r="O24" s="80"/>
      <c r="P24" s="78" t="str">
        <v/>
      </c>
      <c r="Q24" s="82" t="str">
        <v>Constant</v>
      </c>
      <c r="R24" s="79" t="s">
        <v>165</v>
      </c>
      <c r="S24" s="87"/>
    </row>
    <row r="25" spans="1:19"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f],Table_Fertiliser_ChemicalCompounds[FNinorganic f])</f>
        <v>0.27</v>
      </c>
      <c r="G25" s="46" cm="1">
        <f t="array" ref="G25">Fertiliser_Equations_InorganicN2O.VEERG_5_1_1_1__2_MassOfNitrogenInInorganicFertiliser(E25,F25)</f>
        <v>0</v>
      </c>
      <c r="I25" s="26"/>
    </row>
    <row r="26" spans="1:19"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f],Table_Fertiliser_ChemicalCompounds[FNinorganic f])</f>
        <v>1</v>
      </c>
      <c r="G26" s="46" cm="1">
        <f t="array" ref="G26">Fertiliser_Equations_InorganicN2O.VEERG_5_1_1_1__2_MassOfNitrogenInInorganicFertiliser(E26,F26)</f>
        <v>0</v>
      </c>
      <c r="I26" s="26"/>
    </row>
    <row r="27" spans="1:19"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6" cm="1">
        <f t="array" ref="F27">Common_InputFunctions.Utility_LookupValueInTableNumber(D27,Table_Fertiliser_ChemicalCompounds[Fertiliser type f],Table_Fertiliser_ChemicalCompounds[FNinorganic f])</f>
        <v>1</v>
      </c>
      <c r="G27" s="46" cm="1">
        <f t="array" ref="G27">Fertiliser_Equations_InorganicN2O.VEERG_5_1_1_1__2_MassOfNitrogenInInorganicFertiliser(E27,F27)</f>
        <v>1980</v>
      </c>
      <c r="I27" s="26"/>
      <c r="M27" s="16" t="str" cm="1">
        <f t="array" ref="M27">Fertiliser_Equations_InorganicN2O.VEERG_5_1_1_2__3_EmissionFactorCotton_Title()</f>
        <v>Emission factor for nitrous oxide for cotton</v>
      </c>
    </row>
    <row r="28" spans="1:19"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6" cm="1">
        <f t="array" ref="F28">Common_InputFunctions.Utility_LookupValueInTableNumber(D28,Table_Fertiliser_ChemicalCompounds[Fertiliser type f],Table_Fertiliser_ChemicalCompounds[FNinorganic f])</f>
        <v>1</v>
      </c>
      <c r="G28" s="46" cm="1">
        <f t="array" ref="G28">Fertiliser_Equations_InorganicN2O.VEERG_5_1_1_1__2_MassOfNitrogenInInorganicFertiliser(E28,F28)</f>
        <v>1537.2</v>
      </c>
      <c r="I28" s="26"/>
      <c r="M28" s="18" t="str" cm="1">
        <f t="array" ref="M28">Fertiliser_Equations_InorganicN2O.VEERG_5_1_1_2__3_EmissionFactorCotton_Source()</f>
        <v>VEERG 2026: 5.1.1.2, Equation (3)</v>
      </c>
    </row>
    <row r="29" spans="1:19"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6" cm="1">
        <f t="array" ref="F29">Common_InputFunctions.Utility_LookupValueInTableNumber(D29,Table_Fertiliser_ChemicalCompounds[Fertiliser type f],Table_Fertiliser_ChemicalCompounds[FNinorganic f])</f>
        <v>0</v>
      </c>
      <c r="G29" s="46" cm="1">
        <f t="array" ref="G29">Fertiliser_Equations_InorganicN2O.VEERG_5_1_1_1__2_MassOfNitrogenInInorganicFertiliser(E29,F29)</f>
        <v>0</v>
      </c>
      <c r="I29" s="26"/>
    </row>
    <row r="30" spans="1:19"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6" cm="1">
        <f t="array" ref="F30">Common_InputFunctions.Utility_LookupValueInTableNumber(D30,Table_Fertiliser_ChemicalCompounds[Fertiliser type f],Table_Fertiliser_ChemicalCompounds[FNinorganic f])</f>
        <v>0</v>
      </c>
      <c r="G30" s="46" cm="1">
        <f t="array" ref="G30">Fertiliser_Equations_InorganicN2O.VEERG_5_1_1_1__2_MassOfNitrogenInInorganicFertiliser(E30,F30)</f>
        <v>0</v>
      </c>
      <c r="I30" s="26"/>
    </row>
    <row r="31" spans="1:19"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f],Table_Fertiliser_ChemicalCompounds[FNinorganic f])</f>
        <v>0</v>
      </c>
      <c r="G31" s="46" cm="1">
        <f t="array" ref="G31">Fertiliser_Equations_InorganicN2O.VEERG_5_1_1_1__2_MassOfNitrogenInInorganicFertiliser(E31,F31)</f>
        <v>0</v>
      </c>
      <c r="I31" s="26"/>
    </row>
    <row r="32" spans="1:19"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f],Table_Fertiliser_ChemicalCompounds[FNinorganic f])</f>
        <v>0</v>
      </c>
      <c r="G32" s="46" cm="1">
        <f t="array" ref="G32">Fertiliser_Equations_InorganicN2O.VEERG_5_1_1_1__2_MassOfNitrogenInInorganicFertiliser(E32,F32)</f>
        <v>0</v>
      </c>
      <c r="I32" s="26"/>
      <c r="M32" s="64" t="s">
        <v>163</v>
      </c>
      <c r="N32" s="15" t="str" cm="1">
        <f t="array" ref="N32">Fertiliser_Equations_InorganicN2O.VEERG_5_1_1_2__3_EmissionFactorCotton_Variable()</f>
        <v>EF_fjCottonN2O</v>
      </c>
    </row>
    <row r="33" spans="1:23"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f],Table_Fertiliser_ChemicalCompounds[FNinorganic f])</f>
        <v>0</v>
      </c>
      <c r="G33" s="46" cm="1">
        <f t="array" ref="G33">Fertiliser_Equations_InorganicN2O.VEERG_5_1_1_1__2_MassOfNitrogenInInorganicFertiliser(E33,F33)</f>
        <v>0</v>
      </c>
      <c r="I33" s="26"/>
      <c r="M33" s="64" t="s">
        <v>164</v>
      </c>
      <c r="N33" s="20" t="str" cm="1">
        <f t="array" ref="N33">Fertiliser_Equations_InorganicN2O.VEERG_5_1_1_2__3_EmissionFactorCotton_Unit()</f>
        <v>kg N2O-N/kg N applied</v>
      </c>
    </row>
    <row r="34" spans="1:23"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f],Table_Fertiliser_ChemicalCompounds[FNinorganic f])</f>
        <v>0</v>
      </c>
      <c r="G34" s="46" cm="1">
        <f t="array" ref="G34">Fertiliser_Equations_InorganicN2O.VEERG_5_1_1_1__2_MassOfNitrogenInInorganicFertiliser(E34,F34)</f>
        <v>0</v>
      </c>
      <c r="I34" s="26"/>
    </row>
    <row r="35" spans="1:23"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f],Table_Fertiliser_ChemicalCompounds[FNinorganic f])</f>
        <v>0</v>
      </c>
      <c r="G35" s="46" cm="1">
        <f t="array" ref="G35">Fertiliser_Equations_InorganicN2O.VEERG_5_1_1_1__2_MassOfNitrogenInInorganicFertiliser(E35,F35)</f>
        <v>0</v>
      </c>
      <c r="I35" s="26"/>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7"/>
    </row>
    <row r="36" spans="1:23"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f],Table_Fertiliser_ChemicalCompounds[FNinorganic f])</f>
        <v>0.82350000000000001</v>
      </c>
      <c r="G36" s="46" cm="1">
        <f t="array" ref="G36">Fertiliser_Equations_InorganicN2O.VEERG_5_1_1_1__2_MassOfNitrogenInInorganicFertiliser(E36,F36)</f>
        <v>4117.5</v>
      </c>
      <c r="I36" s="26"/>
      <c r="M36" s="78" t="str">
        <v>f</v>
      </c>
      <c r="N36" s="79" t="str">
        <v>Inorganic fertiliser type</v>
      </c>
      <c r="O36" s="80"/>
      <c r="P36" s="79" t="str">
        <v/>
      </c>
      <c r="Q36" s="82" t="str">
        <v>Constant</v>
      </c>
      <c r="R36" s="79" t="s">
        <v>165</v>
      </c>
      <c r="S36" s="87"/>
    </row>
    <row r="37" spans="1:23"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f],Table_Fertiliser_ChemicalCompounds[FNinorganic f])</f>
        <v>0.155</v>
      </c>
      <c r="G37" s="46" cm="1">
        <f t="array" ref="G37">Fertiliser_Equations_InorganicN2O.VEERG_5_1_1_1__2_MassOfNitrogenInInorganicFertiliser(E37,F37)</f>
        <v>775</v>
      </c>
      <c r="H37" s="64"/>
      <c r="I37" s="26"/>
    </row>
    <row r="38" spans="1:23" ht="20.100000000000001" customHeight="1" x14ac:dyDescent="0.25">
      <c r="A38"/>
      <c r="N38" s="70"/>
      <c r="O38" s="70"/>
      <c r="P38" s="70"/>
    </row>
    <row r="39" spans="1:23" ht="20.100000000000001" customHeight="1" x14ac:dyDescent="0.25">
      <c r="A39"/>
      <c r="C39" s="92"/>
      <c r="D39" s="92"/>
      <c r="E39" s="92"/>
      <c r="F39" s="92"/>
      <c r="G39" s="92"/>
      <c r="H39" s="92"/>
      <c r="I39" s="92"/>
      <c r="J39" s="92"/>
      <c r="M39" s="70" t="s">
        <v>172</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8" t="s">
        <v>173</v>
      </c>
      <c r="T41" s="93" t="s">
        <v>174</v>
      </c>
    </row>
    <row r="42" spans="1:23" ht="20.100000000000001" customHeight="1" x14ac:dyDescent="0.25">
      <c r="A42"/>
      <c r="D42" s="77" t="s">
        <v>162</v>
      </c>
      <c r="E42" s="77" t="str" cm="1">
        <f t="array" aca="1" ref="E42" ca="1">Common_InputFunctions.Utility_DisplayFunctionName($E$60)</f>
        <v>=Fertiliser_Equations_InorganicN2O.VEERG_5_1_1_1__1_InorganicFertiliserApplicationN2OEmissions</v>
      </c>
      <c r="F42" s="26"/>
      <c r="M42" s="89" t="s">
        <v>175</v>
      </c>
    </row>
    <row r="43" spans="1:23" ht="20.100000000000001" customHeight="1" x14ac:dyDescent="0.25">
      <c r="A43"/>
      <c r="F43" s="26"/>
      <c r="O43" s="94" t="s">
        <v>176</v>
      </c>
      <c r="P43" s="94" t="s">
        <v>87</v>
      </c>
      <c r="Q43" s="94" t="s">
        <v>177</v>
      </c>
      <c r="R43" s="94" t="str">
        <f>$N$10</f>
        <v>kg N2O-N/kg N applied</v>
      </c>
      <c r="S43" s="94" t="str">
        <f>$N$21</f>
        <v>kg N2O-N/kg N applied</v>
      </c>
      <c r="T43" s="94" t="s">
        <v>176</v>
      </c>
      <c r="U43" s="94" t="s">
        <v>177</v>
      </c>
      <c r="V43" s="94" t="str">
        <f>$N$33</f>
        <v>kg N2O-N/kg N applied</v>
      </c>
      <c r="W43" s="94" t="s">
        <v>178</v>
      </c>
    </row>
    <row r="44" spans="1:23" ht="20.100000000000001" customHeight="1" x14ac:dyDescent="0.25">
      <c r="A44"/>
      <c r="F44" s="26"/>
      <c r="M44" s="90" t="s">
        <v>179</v>
      </c>
      <c r="N44" s="91" t="s">
        <v>179</v>
      </c>
      <c r="O44" s="91" t="s">
        <v>180</v>
      </c>
      <c r="P44" s="91" t="s">
        <v>181</v>
      </c>
      <c r="Q44" s="90" t="s">
        <v>182</v>
      </c>
      <c r="R44" s="90" t="str">
        <f>N9</f>
        <v>EF_fjIrrigatedMaizeN2O</v>
      </c>
      <c r="S44" s="90" t="str">
        <f>N20</f>
        <v>EF_fjNonIrrigatedGrainsN2O</v>
      </c>
      <c r="T44" s="90" t="s">
        <v>183</v>
      </c>
      <c r="U44" s="90" t="s">
        <v>184</v>
      </c>
      <c r="V44" s="90" t="str">
        <f>N32</f>
        <v>EF_fjCottonN2O</v>
      </c>
      <c r="W44" s="90" t="s">
        <v>185</v>
      </c>
    </row>
    <row r="45" spans="1:23" ht="20.100000000000001" customHeight="1" x14ac:dyDescent="0.25">
      <c r="A45"/>
      <c r="F45" s="26"/>
      <c r="M45" s="46" t="s">
        <v>186</v>
      </c>
      <c r="N45" s="46" t="str" cm="1">
        <f t="array" ref="N45:N49">Table_Input_InorganicFertiliser_Brands[Product (select)]</f>
        <v>Aqua Finish</v>
      </c>
      <c r="O45" s="46" cm="1">
        <f t="array" ref="O45:O49">Table_Input_InorganicFertiliser_Brands[N application rate (kg/ha)]</f>
        <v>3.2759999999999998</v>
      </c>
      <c r="P45" s="46" cm="1">
        <f t="array" ref="P45:P49">Table_Input_InorganicFertiliser_Brands[Application area (ha)]</f>
        <v>100</v>
      </c>
      <c r="Q45" s="46">
        <f>O45*P45</f>
        <v>327.59999999999997</v>
      </c>
      <c r="R45" s="46" cm="1">
        <f t="array" ref="R45">IF(O45&gt;0, Fertiliser_Equations_InorganicN2O.VEERG_5_1_1_2__1_EmissionFactorIrrigatedMaize(O45), 0)</f>
        <v>-1.2741640000000002E-3</v>
      </c>
      <c r="S45" s="46" cm="1">
        <f t="array" ref="S45">IF(O45&gt;0, Fertiliser_Equations_InorganicN2O.VEERG_5_1_1_2__2_EmissionFactorNonIrrigatedGrainsHighRainfall(O45), 0)</f>
        <v>1.0267E-3</v>
      </c>
      <c r="T45" s="46">
        <f>IF(O45&gt;0, MIN(300, O45), 0)</f>
        <v>3.2759999999999998</v>
      </c>
      <c r="U45" s="46">
        <f>P45*T45</f>
        <v>327.59999999999997</v>
      </c>
      <c r="V45" s="46" cm="1">
        <f t="array" ref="V45">IF(O45&gt;0, Fertiliser_Equations_InorganicN2O.VEERG_5_1_1_2__3_EmissionFactorCotton(T45), 0)</f>
        <v>2.902753508679765E-5</v>
      </c>
      <c r="W45" s="4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4" t="s">
        <v>163</v>
      </c>
      <c r="E46" s="15" t="str" cm="1">
        <f t="array" ref="E46">Fertiliser_Equations_InorganicN2O.VEERG_5_1_1_1__1_InorganicFertiliserApplicationN2OEmissions_Variable()</f>
        <v>E_N2O</v>
      </c>
      <c r="F46" s="26"/>
      <c r="M46" s="46" t="s">
        <v>186</v>
      </c>
      <c r="N46" s="46" t="str">
        <v>CalPhos</v>
      </c>
      <c r="O46" s="46">
        <v>0</v>
      </c>
      <c r="P46" s="46">
        <v>100</v>
      </c>
      <c r="Q46" s="46">
        <f>O46*P46</f>
        <v>0</v>
      </c>
      <c r="R46" s="46" cm="1">
        <f t="array" ref="R46">IF(O46&gt;0, Fertiliser_Equations_InorganicN2O.VEERG_5_1_1_2__1_EmissionFactorIrrigatedMaize(O46), 0)</f>
        <v>0</v>
      </c>
      <c r="S46" s="46" cm="1">
        <f t="array" ref="S46">IF(O46&gt;0, Fertiliser_Equations_InorganicN2O.VEERG_5_1_1_2__2_EmissionFactorNonIrrigatedGrainsHighRainfall(O46), 0)</f>
        <v>0</v>
      </c>
      <c r="T46" s="46">
        <f t="shared" ref="T46:T54" si="0">IF(O46&gt;0, MIN(300, O46), 0)</f>
        <v>0</v>
      </c>
      <c r="U46" s="46">
        <f t="shared" ref="U46:U54" si="1">P46*T46</f>
        <v>0</v>
      </c>
      <c r="V46" s="46" cm="1">
        <f t="array" ref="V46">IF(O46&gt;0, Fertiliser_Equations_InorganicN2O.VEERG_5_1_1_2__3_EmissionFactorCotton(T46), 0)</f>
        <v>0</v>
      </c>
      <c r="W46" s="4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4" t="s">
        <v>164</v>
      </c>
      <c r="E47" s="20" t="str" cm="1">
        <f t="array" ref="E47">Fertiliser_Equations_InorganicN2O.VEERG_5_1_1_1__1_InorganicFertiliserApplicationN2OEmissions_Unit()</f>
        <v>t N2O</v>
      </c>
      <c r="F47" s="26"/>
      <c r="M47" s="46" t="s">
        <v>186</v>
      </c>
      <c r="N47" s="46" t="str">
        <v>CalPhos</v>
      </c>
      <c r="O47" s="46">
        <v>0</v>
      </c>
      <c r="P47" s="46">
        <v>100</v>
      </c>
      <c r="Q47" s="46">
        <f t="shared" ref="Q47:Q54" si="2">O47*P47</f>
        <v>0</v>
      </c>
      <c r="R47" s="46" cm="1">
        <f t="array" ref="R47">IF(O47&gt;0, Fertiliser_Equations_InorganicN2O.VEERG_5_1_1_2__1_EmissionFactorIrrigatedMaize(O47), 0)</f>
        <v>0</v>
      </c>
      <c r="S47" s="46" cm="1">
        <f t="array" ref="S47">IF(O47&gt;0, Fertiliser_Equations_InorganicN2O.VEERG_5_1_1_2__2_EmissionFactorNonIrrigatedGrainsHighRainfall(O47), 0)</f>
        <v>0</v>
      </c>
      <c r="T47" s="46">
        <f t="shared" si="0"/>
        <v>0</v>
      </c>
      <c r="U47" s="46">
        <f t="shared" si="1"/>
        <v>0</v>
      </c>
      <c r="V47" s="46" cm="1">
        <f t="array" ref="V47">IF(O47&gt;0, Fertiliser_Equations_InorganicN2O.VEERG_5_1_1_2__3_EmissionFactorCotton(T47), 0)</f>
        <v>0</v>
      </c>
      <c r="W47" s="4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6"/>
      <c r="M48" s="46" t="s">
        <v>186</v>
      </c>
      <c r="N48" s="46" t="str">
        <v>Aqua Grow</v>
      </c>
      <c r="O48" s="46">
        <v>12.096</v>
      </c>
      <c r="P48" s="46">
        <v>100</v>
      </c>
      <c r="Q48" s="46">
        <f t="shared" si="2"/>
        <v>1209.5999999999999</v>
      </c>
      <c r="R48" s="46" cm="1">
        <f t="array" ref="R48">IF(O48&gt;0, Fertiliser_Equations_InorganicN2O.VEERG_5_1_1_2__1_EmissionFactorIrrigatedMaize(O48), 0)</f>
        <v>-7.3614399999999999E-4</v>
      </c>
      <c r="S48" s="46" cm="1">
        <f t="array" ref="S48">IF(O48&gt;0, Fertiliser_Equations_InorganicN2O.VEERG_5_1_1_2__2_EmissionFactorNonIrrigatedGrainsHighRainfall(O48), 0)</f>
        <v>1.6881999999999999E-3</v>
      </c>
      <c r="T48" s="46">
        <f t="shared" si="0"/>
        <v>12.096</v>
      </c>
      <c r="U48" s="46">
        <f t="shared" si="1"/>
        <v>1209.5999999999999</v>
      </c>
      <c r="V48" s="46" cm="1">
        <f t="array" ref="V48">IF(O48&gt;0, Fertiliser_Equations_InorganicN2O.VEERG_5_1_1_2__3_EmissionFactorCotton(T48), 0)</f>
        <v>2.903266653082426E-5</v>
      </c>
      <c r="W48" s="4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6" t="s">
        <v>186</v>
      </c>
      <c r="N49" s="46" t="str">
        <v>Aqua NitroCal</v>
      </c>
      <c r="O49" s="46">
        <v>19.8</v>
      </c>
      <c r="P49" s="46">
        <v>100</v>
      </c>
      <c r="Q49" s="46">
        <f t="shared" si="2"/>
        <v>1980</v>
      </c>
      <c r="R49" s="46" cm="1">
        <f t="array" ref="R49">IF(O49&gt;0, Fertiliser_Equations_InorganicN2O.VEERG_5_1_1_2__1_EmissionFactorIrrigatedMaize(O49), 0)</f>
        <v>-2.6619999999999991E-4</v>
      </c>
      <c r="S49" s="46" cm="1">
        <f t="array" ref="S49">IF(O49&gt;0, Fertiliser_Equations_InorganicN2O.VEERG_5_1_1_2__2_EmissionFactorNonIrrigatedGrainsHighRainfall(O49), 0)</f>
        <v>2.2660000000000002E-3</v>
      </c>
      <c r="T49" s="46">
        <f t="shared" si="0"/>
        <v>19.8</v>
      </c>
      <c r="U49" s="46">
        <f t="shared" si="1"/>
        <v>1980</v>
      </c>
      <c r="V49" s="46" cm="1">
        <f t="array" ref="V49">IF(O49&gt;0, Fertiliser_Equations_InorganicN2O.VEERG_5_1_1_2__3_EmissionFactorCotton(T49), 0)</f>
        <v>2.9038198888180622E-5</v>
      </c>
      <c r="W49" s="4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6" t="s">
        <v>187</v>
      </c>
      <c r="N50" s="46" t="str" cm="1">
        <f t="array" ref="N50:N52">Table_Input_InorganicFertiliser_Custom[Custom blend name]</f>
        <v>My first custom blend</v>
      </c>
      <c r="O50" s="46" cm="1">
        <f t="array" ref="O50:O52">Table_Input_InorganicFertiliser_Custom[N application rate (kg/ha)]</f>
        <v>7.75</v>
      </c>
      <c r="P50" s="46" cm="1">
        <f t="array" ref="P50:P52">Table_Input_InorganicFertiliser_Custom[Application area (ha)]</f>
        <v>100</v>
      </c>
      <c r="Q50" s="46">
        <f t="shared" si="2"/>
        <v>775</v>
      </c>
      <c r="R50" s="46" cm="1">
        <f t="array" ref="R50">IF(O50&gt;0, Fertiliser_Equations_InorganicN2O.VEERG_5_1_1_2__1_EmissionFactorIrrigatedMaize(O50), 0)</f>
        <v>-1.00125E-3</v>
      </c>
      <c r="S50" s="46" cm="1">
        <f t="array" ref="S50">IF(O50&gt;0, Fertiliser_Equations_InorganicN2O.VEERG_5_1_1_2__2_EmissionFactorNonIrrigatedGrainsHighRainfall(O50), 0)</f>
        <v>1.36225E-3</v>
      </c>
      <c r="T50" s="46">
        <f t="shared" si="0"/>
        <v>7.75</v>
      </c>
      <c r="U50" s="46">
        <f t="shared" si="1"/>
        <v>775</v>
      </c>
      <c r="V50" s="46" cm="1">
        <f t="array" ref="V50">IF(O50&gt;0, Fertiliser_Equations_InorganicN2O.VEERG_5_1_1_2__3_EmissionFactorCotton(T50), 0)</f>
        <v>2.9029995329592254E-5</v>
      </c>
      <c r="W50" s="4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6" t="s">
        <v>187</v>
      </c>
      <c r="N51" s="46" t="str">
        <v>My second custom blend</v>
      </c>
      <c r="O51" s="46">
        <v>46</v>
      </c>
      <c r="P51" s="46">
        <v>100</v>
      </c>
      <c r="Q51" s="46">
        <f t="shared" si="2"/>
        <v>4600</v>
      </c>
      <c r="R51" s="46" cm="1">
        <f t="array" ref="R51">IF(O51&gt;0, Fertiliser_Equations_InorganicN2O.VEERG_5_1_1_2__1_EmissionFactorIrrigatedMaize(O51), 0)</f>
        <v>1.3320000000000001E-3</v>
      </c>
      <c r="S51" s="46" cm="1">
        <f t="array" ref="S51">IF(O51&gt;0, Fertiliser_Equations_InorganicN2O.VEERG_5_1_1_2__2_EmissionFactorNonIrrigatedGrainsHighRainfall(O51), 0)</f>
        <v>4.2309999999999995E-3</v>
      </c>
      <c r="T51" s="46">
        <f t="shared" si="0"/>
        <v>46</v>
      </c>
      <c r="U51" s="46">
        <f t="shared" si="1"/>
        <v>4600</v>
      </c>
      <c r="V51" s="46" cm="1">
        <f t="array" ref="V51">IF(O51&gt;0, Fertiliser_Equations_InorganicN2O.VEERG_5_1_1_2__3_EmissionFactorCotton(T51), 0)</f>
        <v>2.9068248573243379E-5</v>
      </c>
      <c r="W51" s="4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6" t="s">
        <v>187</v>
      </c>
      <c r="N52" s="46" t="str">
        <v>My third custom blend</v>
      </c>
      <c r="O52" s="46">
        <v>41.174999999999997</v>
      </c>
      <c r="P52" s="46">
        <v>100</v>
      </c>
      <c r="Q52" s="46">
        <f t="shared" si="2"/>
        <v>4117.5</v>
      </c>
      <c r="R52" s="46" cm="1">
        <f t="array" ref="R52">IF(O52&gt;0, Fertiliser_Equations_InorganicN2O.VEERG_5_1_1_2__1_EmissionFactorIrrigatedMaize(O52), 0)</f>
        <v>1.0376749999999998E-3</v>
      </c>
      <c r="S52" s="46" cm="1">
        <f t="array" ref="S52">IF(O52&gt;0, Fertiliser_Equations_InorganicN2O.VEERG_5_1_1_2__2_EmissionFactorNonIrrigatedGrainsHighRainfall(O52), 0)</f>
        <v>3.8691250000000002E-3</v>
      </c>
      <c r="T52" s="46">
        <f t="shared" si="0"/>
        <v>41.174999999999997</v>
      </c>
      <c r="U52" s="46">
        <f t="shared" si="1"/>
        <v>4117.5</v>
      </c>
      <c r="V52" s="46" cm="1">
        <f t="array" ref="V52">IF(O52&gt;0, Fertiliser_Equations_InorganicN2O.VEERG_5_1_1_2__3_EmissionFactorCotton(T52), 0)</f>
        <v>2.9061000580963132E-5</v>
      </c>
      <c r="W52" s="4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6" t="s">
        <v>187</v>
      </c>
      <c r="N53" s="46"/>
      <c r="O53" s="46"/>
      <c r="P53" s="46"/>
      <c r="Q53" s="46">
        <f t="shared" si="2"/>
        <v>0</v>
      </c>
      <c r="R53" s="46" cm="1">
        <f t="array" ref="R53">IF(O53&gt;0, Fertiliser_Equations_InorganicN2O.VEERG_5_1_1_2__1_EmissionFactorIrrigatedMaize(O53), 0)</f>
        <v>0</v>
      </c>
      <c r="S53" s="46" cm="1">
        <f t="array" ref="S53">IF(O53&gt;0, Fertiliser_Equations_InorganicN2O.VEERG_5_1_1_2__2_EmissionFactorNonIrrigatedGrainsHighRainfall(O53), 0)</f>
        <v>0</v>
      </c>
      <c r="T53" s="46">
        <f t="shared" si="0"/>
        <v>0</v>
      </c>
      <c r="U53" s="46">
        <f t="shared" si="1"/>
        <v>0</v>
      </c>
      <c r="V53" s="46" cm="1">
        <f t="array" ref="V53">IF(O53&gt;0, Fertiliser_Equations_InorganicN2O.VEERG_5_1_1_2__3_EmissionFactorCotton(T53), 0)</f>
        <v>0</v>
      </c>
      <c r="W53" s="4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6" t="s">
        <v>187</v>
      </c>
      <c r="N54" s="46"/>
      <c r="O54" s="46"/>
      <c r="P54" s="46"/>
      <c r="Q54" s="46">
        <f t="shared" si="2"/>
        <v>0</v>
      </c>
      <c r="R54" s="46" cm="1">
        <f t="array" ref="R54">IF(O54&gt;0, Fertiliser_Equations_InorganicN2O.VEERG_5_1_1_2__1_EmissionFactorIrrigatedMaize(O54), 0)</f>
        <v>0</v>
      </c>
      <c r="S54" s="46" cm="1">
        <f t="array" ref="S54">IF(O54&gt;0, Fertiliser_Equations_InorganicN2O.VEERG_5_1_1_2__2_EmissionFactorNonIrrigatedGrainsHighRainfall(O54), 0)</f>
        <v>0</v>
      </c>
      <c r="T54" s="46">
        <f t="shared" si="0"/>
        <v>0</v>
      </c>
      <c r="U54" s="46">
        <f t="shared" si="1"/>
        <v>0</v>
      </c>
      <c r="V54" s="46" cm="1">
        <f t="array" ref="V54">IF(O54&gt;0, Fertiliser_Equations_InorganicN2O.VEERG_5_1_1_2__3_EmissionFactorCotton(T54), 0)</f>
        <v>0</v>
      </c>
      <c r="W54" s="4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6"/>
    </row>
    <row r="57" spans="1:24" ht="20.100000000000001" customHeight="1" x14ac:dyDescent="0.25">
      <c r="A57"/>
      <c r="D57" s="88" t="s">
        <v>188</v>
      </c>
      <c r="F57" s="26"/>
      <c r="L57" s="92"/>
      <c r="M57" s="92"/>
      <c r="N57" s="92"/>
      <c r="O57" s="92"/>
      <c r="P57" s="92"/>
      <c r="Q57" s="92"/>
      <c r="R57" s="92"/>
      <c r="S57" s="92"/>
      <c r="T57" s="92"/>
      <c r="U57" s="92"/>
      <c r="V57" s="92"/>
      <c r="W57" s="92"/>
      <c r="X57" s="92"/>
    </row>
    <row r="58" spans="1:24" ht="20.100000000000001" customHeight="1" x14ac:dyDescent="0.25">
      <c r="A58"/>
      <c r="D58" s="89" t="s">
        <v>189</v>
      </c>
      <c r="F58" s="26"/>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90" t="s">
        <v>168</v>
      </c>
      <c r="E59" s="90" t="s">
        <v>190</v>
      </c>
      <c r="M59" s="18" t="str" cm="1">
        <f t="array" ref="M59">Fertiliser_Equations_InorganicN2O.VEERG_5_1_1_1__1_InorganicFertiliserApplicationN2OEmissions_Source()</f>
        <v>VEERG 2026: 5.1.1.1, Equation (1)</v>
      </c>
    </row>
    <row r="60" spans="1:24" ht="20.100000000000001" customHeight="1" x14ac:dyDescent="0.25">
      <c r="A60"/>
      <c r="D60" s="46" t="str" cm="1">
        <f t="array" ref="D60:D78">Table_Fertiliser_ChemicalCompounds[Fertiliser type f]</f>
        <v>Monoammonium phosphate (MAP)</v>
      </c>
      <c r="E60" s="46" cm="1">
        <f t="array" ref="E60">Fertiliser_Equations_InorganicN2O.VEERG_5_1_1_1__1_InorganicFertiliserApplicationN2OEmissions(G19,$I$50,$I$51)</f>
        <v>0</v>
      </c>
      <c r="F60" s="26" t="str">
        <f>E47</f>
        <v>t N2O</v>
      </c>
      <c r="M60" s="77" t="s">
        <v>162</v>
      </c>
      <c r="N60" s="77" t="str" cm="1">
        <f t="array" aca="1" ref="N60" ca="1">Common_InputFunctions.Utility_DisplayFunctionName($E$60)</f>
        <v>=Fertiliser_Equations_InorganicN2O.VEERG_5_1_1_1__1_InorganicFertiliserApplicationN2OEmissions</v>
      </c>
    </row>
    <row r="61" spans="1:24" ht="20.100000000000001" customHeight="1" x14ac:dyDescent="0.25">
      <c r="A61"/>
      <c r="D61" s="46" t="str">
        <v>Diammonium phosphate (DAP)</v>
      </c>
      <c r="E61" s="46" cm="1">
        <f t="array" ref="E61">Fertiliser_Equations_InorganicN2O.VEERG_5_1_1_1__1_InorganicFertiliserApplicationN2OEmissions(G20,$I$50,$I$51)</f>
        <v>0</v>
      </c>
    </row>
    <row r="62" spans="1:24" ht="20.100000000000001" customHeight="1" x14ac:dyDescent="0.25">
      <c r="A62"/>
      <c r="D62" s="46" t="str">
        <v>Urea</v>
      </c>
      <c r="E62" s="46" cm="1">
        <f t="array" ref="E62">Fertiliser_Equations_InorganicN2O.VEERG_5_1_1_1__1_InorganicFertiliserApplicationN2OEmissions(G21,$I$50,$I$51)</f>
        <v>5.0599999999999999E-2</v>
      </c>
    </row>
    <row r="63" spans="1:24" ht="20.100000000000001" customHeight="1" x14ac:dyDescent="0.25">
      <c r="A63"/>
      <c r="D63" s="46" t="str">
        <v>Sulphate of ammonia (SOA)</v>
      </c>
      <c r="E63" s="46" cm="1">
        <f t="array" ref="E63">Fertiliser_Equations_InorganicN2O.VEERG_5_1_1_1__1_InorganicFertiliserApplicationN2OEmissions(G22,$I$50,$I$51)</f>
        <v>0</v>
      </c>
    </row>
    <row r="64" spans="1:24" ht="20.100000000000001" customHeight="1" x14ac:dyDescent="0.25">
      <c r="A64"/>
      <c r="D64" s="46" t="str">
        <v>Urea-ammonium nitrate (UAN)</v>
      </c>
      <c r="E64" s="46" cm="1">
        <f t="array" ref="E64">Fertiliser_Equations_InorganicN2O.VEERG_5_1_1_1__1_InorganicFertiliserApplicationN2OEmissions(G23,$I$50,$I$51)</f>
        <v>0</v>
      </c>
      <c r="M64" s="64" t="s">
        <v>163</v>
      </c>
      <c r="N64" s="15" t="str" cm="1">
        <f t="array" ref="N64">Fertiliser_Equations_InorganicN2O.VEERG_5_1_1_1__1_InorganicFertiliserApplicationN2OEmissions_Variable()</f>
        <v>E_N2O</v>
      </c>
    </row>
    <row r="65" spans="1:19" ht="20.100000000000001" customHeight="1" x14ac:dyDescent="0.25">
      <c r="A65"/>
      <c r="D65" s="46" t="str">
        <v>Ammonium nitrate (AN)</v>
      </c>
      <c r="E65" s="46" cm="1">
        <f t="array" ref="E65">Fertiliser_Equations_InorganicN2O.VEERG_5_1_1_1__1_InorganicFertiliserApplicationN2OEmissions(G24,$I$50,$I$51)</f>
        <v>0</v>
      </c>
      <c r="M65" s="64" t="s">
        <v>164</v>
      </c>
      <c r="N65" s="20" t="str" cm="1">
        <f t="array" ref="N65">Fertiliser_Equations_InorganicN2O.VEERG_5_1_1_1__1_InorganicFertiliserApplicationN2OEmissions_Unit()</f>
        <v>t N2O</v>
      </c>
    </row>
    <row r="66" spans="1:19" ht="20.100000000000001" customHeight="1" x14ac:dyDescent="0.25">
      <c r="A66"/>
      <c r="D66" s="46" t="str">
        <v>Calcium ammonium nitrate (CAN)</v>
      </c>
      <c r="E66" s="46" cm="1">
        <f t="array" ref="E66">Fertiliser_Equations_InorganicN2O.VEERG_5_1_1_1__1_InorganicFertiliserApplicationN2OEmissions(G25,$I$50,$I$51)</f>
        <v>0</v>
      </c>
    </row>
    <row r="67" spans="1:19" ht="20.100000000000001" customHeight="1" x14ac:dyDescent="0.25">
      <c r="A67"/>
      <c r="D67" s="46" t="str">
        <v>Nitrogen - Ammoniacal</v>
      </c>
      <c r="E67" s="46"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7"/>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6" t="str">
        <v>Nitrogen - Nitrate</v>
      </c>
      <c r="E68" s="46" cm="1">
        <f t="array" ref="E68">Fertiliser_Equations_InorganicN2O.VEERG_5_1_1_1__1_InorganicFertiliserApplicationN2OEmissions(G27,$I$50,$I$51)</f>
        <v>2.1779999999999997E-2</v>
      </c>
      <c r="M68" s="78" t="str">
        <v>EF_jN2O</v>
      </c>
      <c r="N68" s="79" t="str">
        <v>emission factor for nitrous oxide for inorganic fertilisers</v>
      </c>
      <c r="O68" s="80"/>
      <c r="P68" s="87"/>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6" t="str">
        <v>Nitrogen - Generic</v>
      </c>
      <c r="E69" s="46"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7"/>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6" t="str">
        <v>Phosphorus - Generic</v>
      </c>
      <c r="E70" s="46" cm="1">
        <f t="array" ref="E70">Fertiliser_Equations_InorganicN2O.VEERG_5_1_1_1__1_InorganicFertiliserApplicationN2OEmissions(G29,$I$50,$I$51)</f>
        <v>0</v>
      </c>
      <c r="M70" s="78" t="str">
        <v>j</v>
      </c>
      <c r="N70" s="79" t="str">
        <v>Production system</v>
      </c>
      <c r="O70" s="80"/>
      <c r="P70" s="87"/>
      <c r="Q70" s="78" t="str">
        <v/>
      </c>
      <c r="R70" s="81" t="str">
        <v>Input</v>
      </c>
      <c r="S70" s="78" t="str">
        <f>X_Cell_Fertiliser_ProductionSystem</f>
        <v>Crop</v>
      </c>
    </row>
    <row r="71" spans="1:19" ht="20.100000000000001" customHeight="1" x14ac:dyDescent="0.25">
      <c r="A71"/>
      <c r="D71" s="46" t="str">
        <v>Potassium - Generic</v>
      </c>
      <c r="E71" s="46" cm="1">
        <f t="array" ref="E71">Fertiliser_Equations_InorganicN2O.VEERG_5_1_1_1__1_InorganicFertiliserApplicationN2OEmissions(G30,$I$50,$I$51)</f>
        <v>0</v>
      </c>
      <c r="M71" s="78" t="str">
        <v>c</v>
      </c>
      <c r="N71" s="79" t="str">
        <v>Crop type</v>
      </c>
      <c r="O71" s="80"/>
      <c r="P71" s="87"/>
      <c r="Q71" s="78" t="str">
        <v/>
      </c>
      <c r="R71" s="81" t="str">
        <v>Input</v>
      </c>
      <c r="S71" s="78" t="str">
        <f>X_Cell_Fertiliser_CropType</f>
        <v>Grains</v>
      </c>
    </row>
    <row r="72" spans="1:19" ht="20.100000000000001" customHeight="1" x14ac:dyDescent="0.25">
      <c r="A72"/>
      <c r="D72" s="46" t="str">
        <v>Sulfur - Generic</v>
      </c>
      <c r="E72" s="46" cm="1">
        <f t="array" ref="E72">Fertiliser_Equations_InorganicN2O.VEERG_5_1_1_1__1_InorganicFertiliserApplicationN2OEmissions(G31,$I$50,$I$51)</f>
        <v>0</v>
      </c>
      <c r="M72" s="78" t="str">
        <v>f</v>
      </c>
      <c r="N72" s="79" t="str">
        <v>Inorganic fertiliser type</v>
      </c>
      <c r="O72" s="80"/>
      <c r="P72" s="87"/>
      <c r="Q72" s="78" t="str">
        <v/>
      </c>
      <c r="R72" s="82" t="str">
        <v>Constant</v>
      </c>
      <c r="S72" s="78" t="s">
        <v>191</v>
      </c>
    </row>
    <row r="73" spans="1:19" ht="20.100000000000001" customHeight="1" x14ac:dyDescent="0.25">
      <c r="A73"/>
      <c r="D73" s="46" t="str">
        <v>Zinc - Generic</v>
      </c>
      <c r="E73" s="46" cm="1">
        <f t="array" ref="E73">Fertiliser_Equations_InorganicN2O.VEERG_5_1_1_1__1_InorganicFertiliserApplicationN2OEmissions(G32,$I$50,$I$51)</f>
        <v>0</v>
      </c>
      <c r="M73" s="78" t="str">
        <v>ir</v>
      </c>
      <c r="N73" s="79" t="str">
        <v>irrigation method</v>
      </c>
      <c r="O73" s="80"/>
      <c r="P73" s="87"/>
      <c r="Q73" s="78" t="str">
        <v/>
      </c>
      <c r="R73" s="81" t="str">
        <v>Input</v>
      </c>
      <c r="S73" s="78" t="str">
        <f>X_Cell_Fertiliser_IrrigationMethod</f>
        <v>Sprinkler irrigation</v>
      </c>
    </row>
    <row r="74" spans="1:19" ht="20.100000000000001" customHeight="1" x14ac:dyDescent="0.25">
      <c r="A74"/>
      <c r="D74" s="46" t="str">
        <v>Muriate of potash (MOP)</v>
      </c>
      <c r="E74" s="46"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6" t="str">
        <v>Double superphosphate</v>
      </c>
      <c r="E75" s="46" cm="1">
        <f t="array" ref="E75">Fertiliser_Equations_InorganicN2O.VEERG_5_1_1_1__1_InorganicFertiliserApplicationN2OEmissions(G34,$I$50,$I$51)</f>
        <v>0</v>
      </c>
    </row>
    <row r="76" spans="1:19" ht="20.100000000000001" customHeight="1" x14ac:dyDescent="0.25">
      <c r="A76"/>
      <c r="D76" s="46" t="str">
        <v>Single superphosphate (SSP)</v>
      </c>
      <c r="E76" s="46" cm="1">
        <f t="array" ref="E76">Fertiliser_Equations_InorganicN2O.VEERG_5_1_1_1__1_InorganicFertiliserApplicationN2OEmissions(G35,$I$50,$I$51)</f>
        <v>0</v>
      </c>
      <c r="M76" s="90" t="s">
        <v>179</v>
      </c>
      <c r="N76" s="90" t="s">
        <v>179</v>
      </c>
      <c r="O76" s="90" t="s">
        <v>192</v>
      </c>
      <c r="P76" s="90" t="s">
        <v>190</v>
      </c>
    </row>
    <row r="77" spans="1:19" ht="20.100000000000001" customHeight="1" x14ac:dyDescent="0.25">
      <c r="A77"/>
      <c r="D77" s="46" t="str">
        <v>Ammonia</v>
      </c>
      <c r="E77" s="46" cm="1">
        <f t="array" ref="E77">Fertiliser_Equations_InorganicN2O.VEERG_5_1_1_1__1_InorganicFertiliserApplicationN2OEmissions(G36,$I$50,$I$51)</f>
        <v>4.5292500000000006E-2</v>
      </c>
      <c r="M77" s="46" t="s">
        <v>186</v>
      </c>
      <c r="N77" s="46" t="str" cm="1">
        <f t="array" ref="N77:N81">Table_Input_InorganicFertiliser_Brands[Product (select)]</f>
        <v>Aqua Finish</v>
      </c>
      <c r="O77" s="46" cm="1">
        <f t="array" ref="O77">_xlfn.XLOOKUP(N77,$N$45:$N$54,_xlfn.XLOOKUP($S$68,$R$44:$W$44,$R$45:$W$54), "")</f>
        <v>7.0000000000000001E-3</v>
      </c>
      <c r="P77" s="46" cm="1">
        <f t="array" ref="P77">Fertiliser_Equations_InorganicN2O.VEERG_5_1_1_1__1_InorganicFertiliserApplicationN2OEmissions(Q45,O77,$S$69)</f>
        <v>3.6035999999999993E-3</v>
      </c>
    </row>
    <row r="78" spans="1:19" ht="20.100000000000001" customHeight="1" x14ac:dyDescent="0.25">
      <c r="A78"/>
      <c r="D78" s="46" t="str">
        <v>Calcium nitrate</v>
      </c>
      <c r="E78" s="46" cm="1">
        <f t="array" ref="E78">Fertiliser_Equations_InorganicN2O.VEERG_5_1_1_1__1_InorganicFertiliserApplicationN2OEmissions(G37,$I$50,$I$51)</f>
        <v>8.5250000000000013E-3</v>
      </c>
      <c r="M78" s="46" t="s">
        <v>186</v>
      </c>
      <c r="N78" s="46" t="str">
        <v>CalPhos</v>
      </c>
      <c r="O78" s="46" cm="1">
        <f t="array" ref="O78">_xlfn.XLOOKUP(N78,$N$45:$N$54,_xlfn.XLOOKUP($S$68,$R$44:$W$44,$R$45:$W$54), FALSE)</f>
        <v>0</v>
      </c>
      <c r="P78" s="46" cm="1">
        <f t="array" ref="P78">Fertiliser_Equations_InorganicN2O.VEERG_5_1_1_1__1_InorganicFertiliserApplicationN2OEmissions(Q46,O78,$S$69)</f>
        <v>0</v>
      </c>
    </row>
    <row r="79" spans="1:19" ht="20.100000000000001" customHeight="1" x14ac:dyDescent="0.25">
      <c r="A79"/>
      <c r="M79" s="46" t="s">
        <v>186</v>
      </c>
      <c r="N79" s="46" t="str">
        <v>CalPhos</v>
      </c>
      <c r="O79" s="46" cm="1">
        <f t="array" ref="O79">_xlfn.XLOOKUP(N79,$N$45:$N$54,_xlfn.XLOOKUP($S$68,$R$44:$W$44,$R$45:$W$54))</f>
        <v>0</v>
      </c>
      <c r="P79" s="46" cm="1">
        <f t="array" ref="P79">Fertiliser_Equations_InorganicN2O.VEERG_5_1_1_1__1_InorganicFertiliserApplicationN2OEmissions(Q47,O79,$S$69)</f>
        <v>0</v>
      </c>
    </row>
    <row r="80" spans="1:19" ht="20.100000000000001" customHeight="1" x14ac:dyDescent="0.25">
      <c r="A80"/>
      <c r="D80" s="95" t="s">
        <v>193</v>
      </c>
      <c r="E80" s="96">
        <f>SUM(E60:E78)</f>
        <v>0.1431067</v>
      </c>
      <c r="F80" s="97" t="str">
        <f>$E$47</f>
        <v>t N2O</v>
      </c>
      <c r="M80" s="46" t="s">
        <v>186</v>
      </c>
      <c r="N80" s="46" t="str">
        <v>Aqua Grow</v>
      </c>
      <c r="O80" s="46" cm="1">
        <f t="array" ref="O80">_xlfn.XLOOKUP(N80,$N$45:$N$54,_xlfn.XLOOKUP($S$68,$R$44:$W$44,$R$45:$W$54))</f>
        <v>7.0000000000000001E-3</v>
      </c>
      <c r="P80" s="46" cm="1">
        <f t="array" ref="P80">Fertiliser_Equations_InorganicN2O.VEERG_5_1_1_1__1_InorganicFertiliserApplicationN2OEmissions(Q48,O80,$S$69)</f>
        <v>1.3305600000000001E-2</v>
      </c>
    </row>
    <row r="81" spans="1:16" ht="20.100000000000001" customHeight="1" x14ac:dyDescent="0.25">
      <c r="A81"/>
      <c r="M81" s="46" t="s">
        <v>186</v>
      </c>
      <c r="N81" s="46" t="str">
        <v>Aqua NitroCal</v>
      </c>
      <c r="O81" s="46" cm="1">
        <f t="array" ref="O81">_xlfn.XLOOKUP(N81,$N$45:$N$54,_xlfn.XLOOKUP($S$68,$R$44:$W$44,$R$45:$W$54))</f>
        <v>7.0000000000000001E-3</v>
      </c>
      <c r="P81" s="46"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8"/>
      <c r="G82" s="46">
        <f>VEERG_5_1_1_1__1_InorganicFertiliserApplicationN2OEmissions_Result_Method1</f>
        <v>0.1431067</v>
      </c>
      <c r="M82" s="46" t="s">
        <v>187</v>
      </c>
      <c r="N82" s="46" t="str" cm="1">
        <f t="array" ref="N82:N84">Table_Input_InorganicFertiliser_Custom[Custom blend name]</f>
        <v>My first custom blend</v>
      </c>
      <c r="O82" s="46" cm="1">
        <f t="array" ref="O82">_xlfn.XLOOKUP(N82,$N$45:$N$54,_xlfn.XLOOKUP($S$68,$R$44:$W$44,$R$45:$W$54))</f>
        <v>7.0000000000000001E-3</v>
      </c>
      <c r="P82" s="46"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8"/>
      <c r="G83" s="46">
        <f>Common_InputFunctions.Utility_LookupValueInTableNumber("N2O",Table_GWPData[Gas],Table_GWPData[CO2-e factor])</f>
        <v>265</v>
      </c>
      <c r="M83" s="46" t="s">
        <v>187</v>
      </c>
      <c r="N83" s="46" t="str">
        <v>My second custom blend</v>
      </c>
      <c r="O83" s="46" cm="1">
        <f t="array" ref="O83">_xlfn.XLOOKUP(N83,$N$45:$N$54,_xlfn.XLOOKUP($S$68,$R$44:$W$44,$R$45:$W$54))</f>
        <v>7.0000000000000001E-3</v>
      </c>
      <c r="P83" s="46" cm="1">
        <f t="array" ref="P83">Fertiliser_Equations_InorganicN2O.VEERG_5_1_1_1__1_InorganicFertiliserApplicationN2OEmissions(Q51,O83,$S$69)</f>
        <v>5.0599999999999999E-2</v>
      </c>
    </row>
    <row r="84" spans="1:16" ht="20.100000000000001" customHeight="1" x14ac:dyDescent="0.25">
      <c r="A84"/>
      <c r="M84" s="46" t="s">
        <v>187</v>
      </c>
      <c r="N84" s="46" t="str">
        <v>My third custom blend</v>
      </c>
      <c r="O84" s="46" cm="1">
        <f t="array" ref="O84">_xlfn.XLOOKUP(N84,$N$45:$N$54,_xlfn.XLOOKUP($S$68,$R$44:$W$44,$R$45:$W$54))</f>
        <v>7.0000000000000001E-3</v>
      </c>
      <c r="P84" s="46" cm="1">
        <f t="array" ref="P84">Fertiliser_Equations_InorganicN2O.VEERG_5_1_1_1__1_InorganicFertiliserApplicationN2OEmissions(Q52,O84,$S$69)</f>
        <v>4.5292500000000006E-2</v>
      </c>
    </row>
    <row r="85" spans="1:16" ht="20.100000000000001" customHeight="1" x14ac:dyDescent="0.25">
      <c r="A85"/>
      <c r="D85" s="92" t="s">
        <v>194</v>
      </c>
      <c r="E85" s="92" cm="1">
        <f t="array" ref="E85">Common_Equations.Common_ConvertN2OToCO2e(G82,G83)</f>
        <v>37.923275500000003</v>
      </c>
      <c r="F85" s="99" t="str" cm="1">
        <f t="array" ref="F85">Common_Equations.Common_ConvertN2OToCO2e_Unit()</f>
        <v>t CO2e</v>
      </c>
      <c r="M85" s="46" t="s">
        <v>187</v>
      </c>
      <c r="N85" s="46"/>
      <c r="O85" s="46" cm="1">
        <f t="array" ref="O85">_xlfn.XLOOKUP(N85,$N$45:$N$54,_xlfn.XLOOKUP($S$68,$R$44:$W$44,$R$45:$W$54))</f>
        <v>0</v>
      </c>
      <c r="P85" s="46" cm="1">
        <f t="array" ref="P85">Fertiliser_Equations_InorganicN2O.VEERG_5_1_1_1__1_InorganicFertiliserApplicationN2OEmissions(Q53,O85,$S$69)</f>
        <v>0</v>
      </c>
    </row>
    <row r="86" spans="1:16" ht="20.100000000000001" customHeight="1" x14ac:dyDescent="0.25">
      <c r="A86"/>
      <c r="M86" s="46" t="s">
        <v>187</v>
      </c>
      <c r="N86" s="46"/>
      <c r="O86" s="46" cm="1">
        <f t="array" ref="O86">_xlfn.XLOOKUP(N86,$N$45:$N$54,_xlfn.XLOOKUP($S$68,$R$44:$W$44,$R$45:$W$54))</f>
        <v>0</v>
      </c>
      <c r="P86" s="46"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5" t="s">
        <v>193</v>
      </c>
      <c r="N88" s="96">
        <f>SUM(P77:P86)</f>
        <v>0.1431067</v>
      </c>
      <c r="O88" s="97"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8"/>
      <c r="P90" s="46">
        <f>VEERG_5_1_1_1__1_InorganicFertiliserApplicationN2OEmissions_Result_Method2</f>
        <v>0.1431067</v>
      </c>
    </row>
    <row r="91" spans="1:16" ht="20.100000000000001" customHeight="1" x14ac:dyDescent="0.25">
      <c r="A91"/>
      <c r="M91" s="78" t="str">
        <v>GWPN2O</v>
      </c>
      <c r="N91" s="79" t="str">
        <v>Global warming potential for nitrous oxide (t CO2-e / t N2O)</v>
      </c>
      <c r="O91" s="98"/>
      <c r="P91" s="46">
        <f>Common_InputFunctions.Utility_LookupValueInTableNumber("N2O",Table_GWPData[Gas],Table_GWPData[CO2-e factor])</f>
        <v>265</v>
      </c>
    </row>
    <row r="92" spans="1:16" ht="20.100000000000001" customHeight="1" x14ac:dyDescent="0.25">
      <c r="A92"/>
    </row>
    <row r="93" spans="1:16" ht="20.100000000000001" customHeight="1" x14ac:dyDescent="0.25">
      <c r="A93"/>
      <c r="M93" s="92" t="s">
        <v>194</v>
      </c>
      <c r="N93" s="92" cm="1">
        <f t="array" ref="N93">Common_Equations.Common_ConvertN2OToCO2e(P90,P91)</f>
        <v>37.923275500000003</v>
      </c>
      <c r="O93" s="99"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D7CC96EF-C609-49DA-9C21-819198891A04}"/>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0933F-06E7-4399-95C0-210DB297F905}">
  <dimension ref="A1:U165"/>
  <sheetViews>
    <sheetView showGridLines="0" topLeftCell="A51"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195</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5" t="s">
        <v>91</v>
      </c>
      <c r="D7" s="77" t="s">
        <v>162</v>
      </c>
      <c r="E7" s="77" t="str" cm="1">
        <f t="array" aca="1" ref="E7" ca="1">Common_InputFunctions.Utility_DisplayFunctionName(G19)</f>
        <v>=Fertiliser_Equations_InorganicCO2.VEERG_5_1_1_3__2_MassOfUreaInInorganicFertiliser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Fertiliser_Equations_InorganicCO2.VEERG_5_1_1_3__2_MassOfUreaInInorganicFertiliser_Variable()</f>
        <v>MU_jf</v>
      </c>
    </row>
    <row r="11" spans="1:21" ht="20.100000000000001" customHeight="1" x14ac:dyDescent="0.25">
      <c r="A11" s="28" t="str">
        <f>HYPERLINK("#'Input - Fert Prod System'!A1", "Fert Prod System")</f>
        <v>Fert Prod System</v>
      </c>
      <c r="D11" s="64" t="s">
        <v>164</v>
      </c>
      <c r="E11" s="20" t="str" cm="1">
        <f t="array" ref="E11">Fertiliser_Equations_InorganicCO2.VEERG_5_1_1_3__2_MassOfUreaInInorganicFertiliser_Unit()</f>
        <v>kg urea</v>
      </c>
    </row>
    <row r="12" spans="1:21" ht="20.100000000000001" customHeight="1" x14ac:dyDescent="0.25">
      <c r="A12" s="28" t="str">
        <f>HYPERLINK("#'Input - Site'!A1", "Site")</f>
        <v>Site</v>
      </c>
    </row>
    <row r="13" spans="1:21" ht="20.100000000000001" customHeight="1" x14ac:dyDescent="0.25">
      <c r="A13"/>
      <c r="D13" s="78" t="str" cm="1">
        <f t="array" ref="D13:E14">_xlfn.CHOOSECOLS(Fertiliser_Equations_InorganicCO2.VEERG_5_1_1_3__2_MassOfUreaInInorganicFertiliser_Arguments(), 1, 2)</f>
        <v>TM_jf</v>
      </c>
      <c r="E13" s="79" t="str">
        <v>total mass of inorganic fertiliser type f applied to production system j</v>
      </c>
      <c r="F13" s="87"/>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c r="D14" s="78" t="str">
        <v>FU_f</v>
      </c>
      <c r="E14" s="79" t="str">
        <v>fraction of urea in fertiliser type f</v>
      </c>
      <c r="F14" s="87"/>
      <c r="G14" s="78" t="str">
        <v>kg urea/kg</v>
      </c>
      <c r="H14" s="82" t="str">
        <v>Lookup</v>
      </c>
      <c r="I14" s="85" t="str" cm="1">
        <f t="array" aca="1" ref="I14" ca="1">HYPERLINK(Common_InputFunctions.Utility_SourceHyperlink($D$16), $D$16)</f>
        <v>Table_MU_j_f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196</v>
      </c>
    </row>
    <row r="17" spans="1:7" ht="20.100000000000001" customHeight="1" x14ac:dyDescent="0.25">
      <c r="A17" s="86" t="str">
        <f>HYPERLINK("#'5.1.1.3-4 Inorganic fert CO2'!A1", "5.1.1.3-4 Inorganic fert CO2")</f>
        <v>5.1.1.3-4 Inorganic fert CO2</v>
      </c>
      <c r="D17" s="89" t="s">
        <v>197</v>
      </c>
    </row>
    <row r="18" spans="1:7" ht="20.100000000000001" customHeight="1" x14ac:dyDescent="0.25">
      <c r="A18" s="28" t="str">
        <f>HYPERLINK("#'5.2.1.1-2 Organic Fert N2O'!A1", "5.2.1.1-2 Organic fert N2O")</f>
        <v>5.2.1.1-2 Organic fert N2O</v>
      </c>
      <c r="D18" s="90" t="s">
        <v>168</v>
      </c>
      <c r="E18" s="91" t="s">
        <v>169</v>
      </c>
      <c r="F18" s="90" t="s">
        <v>198</v>
      </c>
      <c r="G18" s="90" t="s">
        <v>199</v>
      </c>
    </row>
    <row r="19" spans="1:7"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f],Table_Fertiliser_ChemicalCompounds[FU f])</f>
        <v>0</v>
      </c>
      <c r="G19" s="46" cm="1">
        <f t="array" ref="G19">Fertiliser_Equations_InorganicCO2.VEERG_5_1_1_3__2_MassOfUreaInInorganicFertiliser(E19,F19)</f>
        <v>0</v>
      </c>
    </row>
    <row r="20" spans="1:7"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f],Table_Fertiliser_ChemicalCompounds[FU f])</f>
        <v>0</v>
      </c>
      <c r="G20" s="46" cm="1">
        <f t="array" ref="G20">Fertiliser_Equations_InorganicCO2.VEERG_5_1_1_3__2_MassOfUreaInInorganicFertiliser(E20,F20)</f>
        <v>0</v>
      </c>
    </row>
    <row r="21" spans="1:7"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f],Table_Fertiliser_ChemicalCompounds[FU f])</f>
        <v>1</v>
      </c>
      <c r="G21" s="46" cm="1">
        <f t="array" ref="G21">Fertiliser_Equations_InorganicCO2.VEERG_5_1_1_3__2_MassOfUreaInInorganicFertiliser(E21,F21)</f>
        <v>10000</v>
      </c>
    </row>
    <row r="22" spans="1:7"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f],Table_Fertiliser_ChemicalCompounds[FU f])</f>
        <v>0</v>
      </c>
      <c r="G22" s="46" cm="1">
        <f t="array" ref="G22">Fertiliser_Equations_InorganicCO2.VEERG_5_1_1_3__2_MassOfUreaInInorganicFertiliser(E22,F22)</f>
        <v>0</v>
      </c>
    </row>
    <row r="23" spans="1:7"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f],Table_Fertiliser_ChemicalCompounds[FU f])</f>
        <v>0.35</v>
      </c>
      <c r="G23" s="46" cm="1">
        <f t="array" ref="G23">Fertiliser_Equations_InorganicCO2.VEERG_5_1_1_3__2_MassOfUreaInInorganicFertiliser(E23,F23)</f>
        <v>0</v>
      </c>
    </row>
    <row r="24" spans="1:7"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f],Table_Fertiliser_ChemicalCompounds[FU f])</f>
        <v>0</v>
      </c>
      <c r="G24" s="46" cm="1">
        <f t="array" ref="G24">Fertiliser_Equations_InorganicCO2.VEERG_5_1_1_3__2_MassOfUreaInInorganicFertiliser(E24,F24)</f>
        <v>0</v>
      </c>
    </row>
    <row r="25" spans="1:7"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f],Table_Fertiliser_ChemicalCompounds[FU f])</f>
        <v>0</v>
      </c>
      <c r="G25" s="46" cm="1">
        <f t="array" ref="G25">Fertiliser_Equations_InorganicCO2.VEERG_5_1_1_3__2_MassOfUreaInInorganicFertiliser(E25,F25)</f>
        <v>0</v>
      </c>
    </row>
    <row r="26" spans="1:7"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f],Table_Fertiliser_ChemicalCompounds[FU f])</f>
        <v>0</v>
      </c>
      <c r="G26" s="46" cm="1">
        <f t="array" ref="G26">Fertiliser_Equations_InorganicCO2.VEERG_5_1_1_3__2_MassOfUreaInInorganicFertiliser(E26,F26)</f>
        <v>0</v>
      </c>
    </row>
    <row r="27" spans="1:7"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6" cm="1">
        <f t="array" ref="F27">Common_InputFunctions.Utility_LookupValueInTableNumber(D27,Table_Fertiliser_ChemicalCompounds[Fertiliser type f],Table_Fertiliser_ChemicalCompounds[FU f])</f>
        <v>0</v>
      </c>
      <c r="G27" s="46" cm="1">
        <f t="array" ref="G27">Fertiliser_Equations_InorganicCO2.VEERG_5_1_1_3__2_MassOfUreaInInorganicFertiliser(E27,F27)</f>
        <v>0</v>
      </c>
    </row>
    <row r="28" spans="1:7"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6" cm="1">
        <f t="array" ref="F28">Common_InputFunctions.Utility_LookupValueInTableNumber(D28,Table_Fertiliser_ChemicalCompounds[Fertiliser type f],Table_Fertiliser_ChemicalCompounds[FU f])</f>
        <v>0</v>
      </c>
      <c r="G28" s="46" cm="1">
        <f t="array" ref="G28">Fertiliser_Equations_InorganicCO2.VEERG_5_1_1_3__2_MassOfUreaInInorganicFertiliser(E28,F28)</f>
        <v>0</v>
      </c>
    </row>
    <row r="29" spans="1:7"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6" cm="1">
        <f t="array" ref="F29">Common_InputFunctions.Utility_LookupValueInTableNumber(D29,Table_Fertiliser_ChemicalCompounds[Fertiliser type f],Table_Fertiliser_ChemicalCompounds[FU f])</f>
        <v>0</v>
      </c>
      <c r="G29" s="46" cm="1">
        <f t="array" ref="G29">Fertiliser_Equations_InorganicCO2.VEERG_5_1_1_3__2_MassOfUreaInInorganicFertiliser(E29,F29)</f>
        <v>0</v>
      </c>
    </row>
    <row r="30" spans="1:7"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6" cm="1">
        <f t="array" ref="F30">Common_InputFunctions.Utility_LookupValueInTableNumber(D30,Table_Fertiliser_ChemicalCompounds[Fertiliser type f],Table_Fertiliser_ChemicalCompounds[FU f])</f>
        <v>0</v>
      </c>
      <c r="G30" s="46" cm="1">
        <f t="array" ref="G30">Fertiliser_Equations_InorganicCO2.VEERG_5_1_1_3__2_MassOfUreaInInorganicFertiliser(E30,F30)</f>
        <v>0</v>
      </c>
    </row>
    <row r="31" spans="1:7"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f],Table_Fertiliser_ChemicalCompounds[FU f])</f>
        <v>0</v>
      </c>
      <c r="G31" s="46" cm="1">
        <f t="array" ref="G31">Fertiliser_Equations_InorganicCO2.VEERG_5_1_1_3__2_MassOfUreaInInorganicFertiliser(E31,F31)</f>
        <v>0</v>
      </c>
    </row>
    <row r="32" spans="1:7"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f],Table_Fertiliser_ChemicalCompounds[FU f])</f>
        <v>0</v>
      </c>
      <c r="G32" s="46" cm="1">
        <f t="array" ref="G32">Fertiliser_Equations_InorganicCO2.VEERG_5_1_1_3__2_MassOfUreaInInorganicFertiliser(E32,F32)</f>
        <v>0</v>
      </c>
    </row>
    <row r="33" spans="1:12"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f],Table_Fertiliser_ChemicalCompounds[FU f])</f>
        <v>0</v>
      </c>
      <c r="G33" s="46" cm="1">
        <f t="array" ref="G33">Fertiliser_Equations_InorganicCO2.VEERG_5_1_1_3__2_MassOfUreaInInorganicFertiliser(E33,F33)</f>
        <v>0</v>
      </c>
    </row>
    <row r="34" spans="1:12"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f],Table_Fertiliser_ChemicalCompounds[FU f])</f>
        <v>0</v>
      </c>
      <c r="G34" s="46" cm="1">
        <f t="array" ref="G34">Fertiliser_Equations_InorganicCO2.VEERG_5_1_1_3__2_MassOfUreaInInorganicFertiliser(E34,F34)</f>
        <v>0</v>
      </c>
    </row>
    <row r="35" spans="1:12"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f],Table_Fertiliser_ChemicalCompounds[FU f])</f>
        <v>0</v>
      </c>
      <c r="G35" s="46" cm="1">
        <f t="array" ref="G35">Fertiliser_Equations_InorganicCO2.VEERG_5_1_1_3__2_MassOfUreaInInorganicFertiliser(E35,F35)</f>
        <v>0</v>
      </c>
    </row>
    <row r="36" spans="1:12"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f],Table_Fertiliser_ChemicalCompounds[FU f])</f>
        <v>0</v>
      </c>
      <c r="G36" s="46" cm="1">
        <f t="array" ref="G36">Fertiliser_Equations_InorganicCO2.VEERG_5_1_1_3__2_MassOfUreaInInorganicFertiliser(E36,F36)</f>
        <v>0</v>
      </c>
    </row>
    <row r="37" spans="1:12"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f],Table_Fertiliser_ChemicalCompounds[FU f])</f>
        <v>0</v>
      </c>
      <c r="G37" s="46"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2"/>
      <c r="D40" s="92"/>
      <c r="E40" s="92"/>
      <c r="F40" s="92"/>
      <c r="G40" s="92"/>
      <c r="H40" s="92"/>
      <c r="I40" s="92"/>
      <c r="J40" s="92"/>
      <c r="K40" s="92"/>
      <c r="L40" s="92"/>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7" t="s">
        <v>162</v>
      </c>
      <c r="E43" s="77"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Fertiliser_Equations_InorganicCO2.VEERG_5_1_1_3__1_InorganicFertiliserApplicationCO2Emissions_Variable()</f>
        <v>E_CO2</v>
      </c>
    </row>
    <row r="47" spans="1:12" ht="20.100000000000001" customHeight="1" x14ac:dyDescent="0.25">
      <c r="A47"/>
      <c r="D47" s="64" t="s">
        <v>164</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7"/>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7"/>
      <c r="G50" s="78" t="str">
        <v>kg C/kg urea</v>
      </c>
      <c r="H50" s="82" t="str">
        <v>Constant</v>
      </c>
      <c r="I50" s="78">
        <f>Fertiliser_EFUreaCO2_Data</f>
        <v>0.2</v>
      </c>
    </row>
    <row r="51" spans="1:9" ht="20.100000000000001" customHeight="1" x14ac:dyDescent="0.25">
      <c r="A51"/>
      <c r="D51" s="78" t="str">
        <v>C_CO2</v>
      </c>
      <c r="E51" s="79" t="str">
        <v>factor to convert elemental mass of carbon to molecular mass of carbon dioxide</v>
      </c>
      <c r="F51" s="87"/>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7"/>
      <c r="G52" s="78" t="str">
        <v/>
      </c>
      <c r="H52" s="81" t="str">
        <v>Input</v>
      </c>
      <c r="I52" s="78" t="str">
        <f>X_Cell_Fertiliser_ProductionSystem</f>
        <v>Crop</v>
      </c>
    </row>
    <row r="53" spans="1:9" ht="20.100000000000001" customHeight="1" x14ac:dyDescent="0.25">
      <c r="A53"/>
      <c r="D53" s="78" t="str">
        <v>f</v>
      </c>
      <c r="E53" s="79" t="str">
        <v>Inorganic fertiliser type</v>
      </c>
      <c r="F53" s="87"/>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8" t="s">
        <v>200</v>
      </c>
    </row>
    <row r="56" spans="1:9" ht="20.100000000000001" customHeight="1" x14ac:dyDescent="0.25">
      <c r="A56"/>
      <c r="D56" s="89" t="s">
        <v>201</v>
      </c>
    </row>
    <row r="57" spans="1:9" ht="20.100000000000001" customHeight="1" x14ac:dyDescent="0.25">
      <c r="A57"/>
      <c r="D57" s="90" t="s">
        <v>168</v>
      </c>
      <c r="E57" s="90" t="s">
        <v>190</v>
      </c>
    </row>
    <row r="58" spans="1:9" ht="20.100000000000001" customHeight="1" x14ac:dyDescent="0.25">
      <c r="A58"/>
      <c r="D58" s="46" t="str" cm="1">
        <f t="array" ref="D58:D76">Table_Fertiliser_ChemicalCompounds[Fertiliser type f]</f>
        <v>Monoammonium phosphate (MAP)</v>
      </c>
      <c r="E58" s="46" cm="1">
        <f t="array" ref="E58">Fertiliser_Equations_InorganicCO2.VEERG_5_1_1_3__1_InorganicFertiliserApplicationCO2Emissions(G19,$I$50,$I$51)</f>
        <v>0</v>
      </c>
      <c r="F58" s="26" t="str">
        <f>$E$47</f>
        <v>t CO2</v>
      </c>
    </row>
    <row r="59" spans="1:9" ht="20.100000000000001" customHeight="1" x14ac:dyDescent="0.25">
      <c r="A59"/>
      <c r="D59" s="46" t="str">
        <v>Diammonium phosphate (DAP)</v>
      </c>
      <c r="E59" s="46" cm="1">
        <f t="array" ref="E59">Fertiliser_Equations_InorganicCO2.VEERG_5_1_1_3__1_InorganicFertiliserApplicationCO2Emissions(G20,$I$50,$I$51)</f>
        <v>0</v>
      </c>
    </row>
    <row r="60" spans="1:9" ht="20.100000000000001" customHeight="1" x14ac:dyDescent="0.25">
      <c r="A60"/>
      <c r="D60" s="46" t="str">
        <v>Urea</v>
      </c>
      <c r="E60" s="46" cm="1">
        <f t="array" ref="E60">Fertiliser_Equations_InorganicCO2.VEERG_5_1_1_3__1_InorganicFertiliserApplicationCO2Emissions(G21,$I$50,$I$51)</f>
        <v>7.333333333333333</v>
      </c>
    </row>
    <row r="61" spans="1:9" ht="20.100000000000001" customHeight="1" x14ac:dyDescent="0.25">
      <c r="A61"/>
      <c r="D61" s="46" t="str">
        <v>Sulphate of ammonia (SOA)</v>
      </c>
      <c r="E61" s="46" cm="1">
        <f t="array" ref="E61">Fertiliser_Equations_InorganicCO2.VEERG_5_1_1_3__1_InorganicFertiliserApplicationCO2Emissions(G22,$I$50,$I$51)</f>
        <v>0</v>
      </c>
    </row>
    <row r="62" spans="1:9" ht="20.100000000000001" customHeight="1" x14ac:dyDescent="0.25">
      <c r="A62"/>
      <c r="D62" s="46" t="str">
        <v>Urea-ammonium nitrate (UAN)</v>
      </c>
      <c r="E62" s="46" cm="1">
        <f t="array" ref="E62">Fertiliser_Equations_InorganicCO2.VEERG_5_1_1_3__1_InorganicFertiliserApplicationCO2Emissions(G23,$I$50,$I$51)</f>
        <v>0</v>
      </c>
    </row>
    <row r="63" spans="1:9" ht="20.100000000000001" customHeight="1" x14ac:dyDescent="0.25">
      <c r="A63"/>
      <c r="D63" s="46" t="str">
        <v>Ammonium nitrate (AN)</v>
      </c>
      <c r="E63" s="46" cm="1">
        <f t="array" ref="E63">Fertiliser_Equations_InorganicCO2.VEERG_5_1_1_3__1_InorganicFertiliserApplicationCO2Emissions(G24,$I$50,$I$51)</f>
        <v>0</v>
      </c>
    </row>
    <row r="64" spans="1:9" ht="20.100000000000001" customHeight="1" x14ac:dyDescent="0.25">
      <c r="A64"/>
      <c r="D64" s="46" t="str">
        <v>Calcium ammonium nitrate (CAN)</v>
      </c>
      <c r="E64" s="46" cm="1">
        <f t="array" ref="E64">Fertiliser_Equations_InorganicCO2.VEERG_5_1_1_3__1_InorganicFertiliserApplicationCO2Emissions(G25,$I$50,$I$51)</f>
        <v>0</v>
      </c>
    </row>
    <row r="65" spans="1:6" ht="20.100000000000001" customHeight="1" x14ac:dyDescent="0.25">
      <c r="A65"/>
      <c r="D65" s="46" t="str">
        <v>Nitrogen - Ammoniacal</v>
      </c>
      <c r="E65" s="46" cm="1">
        <f t="array" ref="E65">Fertiliser_Equations_InorganicCO2.VEERG_5_1_1_3__1_InorganicFertiliserApplicationCO2Emissions(G26,$I$50,$I$51)</f>
        <v>0</v>
      </c>
    </row>
    <row r="66" spans="1:6" ht="20.100000000000001" customHeight="1" x14ac:dyDescent="0.25">
      <c r="A66"/>
      <c r="D66" s="46" t="str">
        <v>Nitrogen - Nitrate</v>
      </c>
      <c r="E66" s="46" cm="1">
        <f t="array" ref="E66">Fertiliser_Equations_InorganicCO2.VEERG_5_1_1_3__1_InorganicFertiliserApplicationCO2Emissions(G27,$I$50,$I$51)</f>
        <v>0</v>
      </c>
    </row>
    <row r="67" spans="1:6" ht="20.100000000000001" customHeight="1" x14ac:dyDescent="0.25">
      <c r="A67"/>
      <c r="D67" s="46" t="str">
        <v>Nitrogen - Generic</v>
      </c>
      <c r="E67" s="46" cm="1">
        <f t="array" ref="E67">Fertiliser_Equations_InorganicCO2.VEERG_5_1_1_3__1_InorganicFertiliserApplicationCO2Emissions(G28,$I$50,$I$51)</f>
        <v>0</v>
      </c>
    </row>
    <row r="68" spans="1:6" ht="20.100000000000001" customHeight="1" x14ac:dyDescent="0.25">
      <c r="A68"/>
      <c r="D68" s="46" t="str">
        <v>Phosphorus - Generic</v>
      </c>
      <c r="E68" s="46" cm="1">
        <f t="array" ref="E68">Fertiliser_Equations_InorganicCO2.VEERG_5_1_1_3__1_InorganicFertiliserApplicationCO2Emissions(G29,$I$50,$I$51)</f>
        <v>0</v>
      </c>
    </row>
    <row r="69" spans="1:6" ht="20.100000000000001" customHeight="1" x14ac:dyDescent="0.25">
      <c r="A69"/>
      <c r="D69" s="46" t="str">
        <v>Potassium - Generic</v>
      </c>
      <c r="E69" s="46" cm="1">
        <f t="array" ref="E69">Fertiliser_Equations_InorganicCO2.VEERG_5_1_1_3__1_InorganicFertiliserApplicationCO2Emissions(G30,$I$50,$I$51)</f>
        <v>0</v>
      </c>
    </row>
    <row r="70" spans="1:6" ht="20.100000000000001" customHeight="1" x14ac:dyDescent="0.25">
      <c r="A70"/>
      <c r="D70" s="46" t="str">
        <v>Sulfur - Generic</v>
      </c>
      <c r="E70" s="46" cm="1">
        <f t="array" ref="E70">Fertiliser_Equations_InorganicCO2.VEERG_5_1_1_3__1_InorganicFertiliserApplicationCO2Emissions(G31,$I$50,$I$51)</f>
        <v>0</v>
      </c>
    </row>
    <row r="71" spans="1:6" ht="20.100000000000001" customHeight="1" x14ac:dyDescent="0.25">
      <c r="A71"/>
      <c r="D71" s="46" t="str">
        <v>Zinc - Generic</v>
      </c>
      <c r="E71" s="46" cm="1">
        <f t="array" ref="E71">Fertiliser_Equations_InorganicCO2.VEERG_5_1_1_3__1_InorganicFertiliserApplicationCO2Emissions(G32,$I$50,$I$51)</f>
        <v>0</v>
      </c>
    </row>
    <row r="72" spans="1:6" ht="20.100000000000001" customHeight="1" x14ac:dyDescent="0.25">
      <c r="A72"/>
      <c r="D72" s="46" t="str">
        <v>Muriate of potash (MOP)</v>
      </c>
      <c r="E72" s="46" cm="1">
        <f t="array" ref="E72">Fertiliser_Equations_InorganicCO2.VEERG_5_1_1_3__1_InorganicFertiliserApplicationCO2Emissions(G33,$I$50,$I$51)</f>
        <v>0</v>
      </c>
    </row>
    <row r="73" spans="1:6" ht="20.100000000000001" customHeight="1" x14ac:dyDescent="0.25">
      <c r="A73"/>
      <c r="D73" s="46" t="str">
        <v>Double superphosphate</v>
      </c>
      <c r="E73" s="46" cm="1">
        <f t="array" ref="E73">Fertiliser_Equations_InorganicCO2.VEERG_5_1_1_3__1_InorganicFertiliserApplicationCO2Emissions(G34,$I$50,$I$51)</f>
        <v>0</v>
      </c>
    </row>
    <row r="74" spans="1:6" ht="20.100000000000001" customHeight="1" x14ac:dyDescent="0.25">
      <c r="A74"/>
      <c r="D74" s="46" t="str">
        <v>Single superphosphate (SSP)</v>
      </c>
      <c r="E74" s="46" cm="1">
        <f t="array" ref="E74">Fertiliser_Equations_InorganicCO2.VEERG_5_1_1_3__1_InorganicFertiliserApplicationCO2Emissions(G35,$I$50,$I$51)</f>
        <v>0</v>
      </c>
    </row>
    <row r="75" spans="1:6" ht="20.100000000000001" customHeight="1" x14ac:dyDescent="0.25">
      <c r="A75"/>
      <c r="D75" s="46" t="str">
        <v>Ammonia</v>
      </c>
      <c r="E75" s="46" cm="1">
        <f t="array" ref="E75">Fertiliser_Equations_InorganicCO2.VEERG_5_1_1_3__1_InorganicFertiliserApplicationCO2Emissions(G36,$I$50,$I$51)</f>
        <v>0</v>
      </c>
    </row>
    <row r="76" spans="1:6" ht="20.100000000000001" customHeight="1" x14ac:dyDescent="0.25">
      <c r="A76"/>
      <c r="D76" s="46" t="str">
        <v>Calcium nitrate</v>
      </c>
      <c r="E76" s="46"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5" t="s">
        <v>202</v>
      </c>
      <c r="E78" s="96">
        <f>SUM(E58:E76)</f>
        <v>7.333333333333333</v>
      </c>
      <c r="F78" s="97"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2A23A-8406-442B-AC9C-49C9C46201CB}">
  <dimension ref="A1:U165"/>
  <sheetViews>
    <sheetView showGridLines="0" topLeftCell="A5"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203</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5" t="s">
        <v>91</v>
      </c>
      <c r="D7" s="77" t="s">
        <v>162</v>
      </c>
      <c r="E7" s="77" t="str" cm="1">
        <f t="array" aca="1" ref="E7" ca="1">Common_InputFunctions.Utility_DisplayFunctionName($I$20)</f>
        <v>=Fertiliser_Equations_OrganicN2O.VEERG_5_2_1_1__2_MassOfNitrogenInOrganicFertiliser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Fertiliser_Equations_OrganicN2O.VEERG_5_2_1_1__2_MassOfNitrogenInOrganicFertiliser_Variable()</f>
        <v>MNSoil_jf</v>
      </c>
    </row>
    <row r="11" spans="1:21" ht="20.100000000000001" customHeight="1" x14ac:dyDescent="0.25">
      <c r="A11" s="28" t="str">
        <f>HYPERLINK("#'Input - Fert Prod System'!A1", "Fert Prod System")</f>
        <v>Fert Prod System</v>
      </c>
      <c r="D11" s="64" t="s">
        <v>164</v>
      </c>
      <c r="E11" s="20" t="str" cm="1">
        <f t="array" ref="E11">Fertiliser_Equations_OrganicN2O.VEERG_5_2_1_1__2_MassOfNitrogenInOrganicFertiliser_Unit()</f>
        <v>kg N</v>
      </c>
    </row>
    <row r="12" spans="1:21" ht="20.100000000000001" customHeight="1" x14ac:dyDescent="0.25">
      <c r="A12" s="28" t="str">
        <f>HYPERLINK("#'Input - Site'!A1", "Site")</f>
        <v>Site</v>
      </c>
    </row>
    <row r="13" spans="1:21" ht="20.100000000000001" customHeight="1" x14ac:dyDescent="0.25">
      <c r="A13"/>
      <c r="D13" s="78" t="str" cm="1">
        <f t="array" ref="D13:E15">_xlfn.CHOOSECOLS(Fertiliser_Equations_OrganicN2O.VEERG_5_2_1_1__2_MassOfNitrogenInOrganicFertiliser_Arguments(), 1, 2)</f>
        <v>M_organicjf</v>
      </c>
      <c r="E13" s="79" t="str">
        <v>mass of organic fertiliser type f applied to production system j</v>
      </c>
      <c r="F13" s="87"/>
      <c r="G13" s="100"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c r="D14" s="78" t="str">
        <v>FN_organicf</v>
      </c>
      <c r="E14" s="79" t="str">
        <v>nitrogen fraction of organic fertiliser type f</v>
      </c>
      <c r="F14" s="87"/>
      <c r="G14" s="100" t="str">
        <v>kg N/kg</v>
      </c>
      <c r="H14" s="81" t="str">
        <v>Input</v>
      </c>
      <c r="I14" s="85" t="str" cm="1">
        <f t="array" aca="1" ref="I14" ca="1">HYPERLINK(Common_InputFunctions.Utility_SourceHyperlink($D$17), $D$17)</f>
        <v>Table_MNSoil_j_f</v>
      </c>
    </row>
    <row r="15" spans="1:21" ht="20.100000000000001" customHeight="1" x14ac:dyDescent="0.25">
      <c r="A15" s="48" t="s">
        <v>116</v>
      </c>
      <c r="D15" s="78" t="str">
        <v>f</v>
      </c>
      <c r="E15" s="79" t="str">
        <v>Organic fertiliser type</v>
      </c>
      <c r="F15" s="87"/>
      <c r="G15" s="100" t="str">
        <v/>
      </c>
      <c r="H15" s="81" t="str">
        <v>Input</v>
      </c>
      <c r="I15" s="85" t="str" cm="1">
        <f t="array" aca="1" ref="I15" ca="1">HYPERLINK(Common_InputFunctions.Utility_SourceHyperlink($D$17), $D$17)</f>
        <v>Table_MNSoil_j_f</v>
      </c>
    </row>
    <row r="16" spans="1:21" ht="20.100000000000001" customHeight="1" x14ac:dyDescent="0.25">
      <c r="A16" s="28" t="str">
        <f>HYPERLINK("#'5.1.1.1-2 Inorganic fert N2O'!A1", "5.1.1.1-2 Inorganic fert N2O")</f>
        <v>5.1.1.1-2 Inorganic fert N2O</v>
      </c>
    </row>
    <row r="17" spans="1:10" ht="20.100000000000001" customHeight="1" x14ac:dyDescent="0.25">
      <c r="A17" s="28" t="str">
        <f>HYPERLINK("#'5.1.1.3-4 Inorganic fert CO2'!A1", "5.1.1.3-4 Inorganic fert CO2")</f>
        <v>5.1.1.3-4 Inorganic fert CO2</v>
      </c>
      <c r="D17" s="88" t="s">
        <v>204</v>
      </c>
    </row>
    <row r="18" spans="1:10" ht="20.100000000000001" customHeight="1" x14ac:dyDescent="0.25">
      <c r="A18" s="86" t="str">
        <f>HYPERLINK("#'5.2.1.1-2 Organic Fert N2O'!A1", "5.2.1.1-2 Organic fert N2O")</f>
        <v>5.2.1.1-2 Organic fert N2O</v>
      </c>
      <c r="D18" s="89" t="s">
        <v>205</v>
      </c>
    </row>
    <row r="19" spans="1:10" ht="20.100000000000001" customHeight="1" x14ac:dyDescent="0.25">
      <c r="A19" s="28" t="str">
        <f>HYPERLINK("#'5.3.1.1-2 Lime CO2'!A1", "5.3.1.1-2 Lime CO2")</f>
        <v>5.3.1.1-2 Lime CO2</v>
      </c>
      <c r="D19" s="91" t="s">
        <v>206</v>
      </c>
      <c r="E19" s="91" t="s">
        <v>207</v>
      </c>
      <c r="F19" s="91" t="s">
        <v>98</v>
      </c>
      <c r="G19" s="101" t="s">
        <v>208</v>
      </c>
      <c r="H19" s="91" t="s">
        <v>209</v>
      </c>
      <c r="I19" s="101" t="s">
        <v>210</v>
      </c>
    </row>
    <row r="20" spans="1:10" ht="20.100000000000001" customHeight="1" x14ac:dyDescent="0.25">
      <c r="A20" s="28" t="str">
        <f>HYPERLINK("#'5.4.1.1-4 Atmos deposition'!A1", "5.4.1.1-4 Atmos. deposition")</f>
        <v>5.4.1.1-4 Atmos. deposition</v>
      </c>
      <c r="D20" s="46" t="str" cm="1">
        <f t="array" ref="D20:D22">Table_Input_OrganicFertiliser[Organic fertiliser type (select)]</f>
        <v>Manure - Other</v>
      </c>
      <c r="E20" s="102" cm="1">
        <f t="array" ref="E20:E22">Table_Input_OrganicFertiliser[Amount applied (kg/hectare)]</f>
        <v>10</v>
      </c>
      <c r="F20" s="102" cm="1">
        <f t="array" ref="F20:F22">Table_Input_OrganicFertiliser[Application area (ha)]</f>
        <v>100</v>
      </c>
      <c r="G20" s="46" cm="1">
        <f t="array" ref="G20:G22">Table_Input_OrganicFertiliser[Amount applied (kg/hectare)]*Table_Input_OrganicFertiliser[Application area (ha)]</f>
        <v>1000</v>
      </c>
      <c r="H20" s="103" cm="1">
        <f t="array" ref="H20:H22">Table_Input_OrganicFertiliser[Percentage of N in fertiliser]</f>
        <v>0.3</v>
      </c>
      <c r="I20" s="46" cm="1">
        <f t="array" ref="I20">Fertiliser_Equations_OrganicN2O.VEERG_5_2_1_1__2_MassOfNitrogenInOrganicFertiliser(G20,H20)</f>
        <v>300</v>
      </c>
    </row>
    <row r="21" spans="1:10" ht="20.100000000000001" customHeight="1" x14ac:dyDescent="0.25">
      <c r="A21" s="28" t="str">
        <f>HYPERLINK("#'5.5.1.1-2 Leaching and runoff'!A1", "5.5.1.1-2 Leaching &amp; runoff")</f>
        <v>5.5.1.1-2 Leaching &amp; runoff</v>
      </c>
      <c r="D21" s="46" t="str">
        <v>Manure - Poultry</v>
      </c>
      <c r="E21" s="46">
        <v>10</v>
      </c>
      <c r="F21" s="46">
        <v>100</v>
      </c>
      <c r="G21" s="46">
        <v>1000</v>
      </c>
      <c r="H21" s="46">
        <v>0.25</v>
      </c>
      <c r="I21" s="46" cm="1">
        <f t="array" ref="I21">Fertiliser_Equations_Organic.VEERG_5_2_1_1__2_MassOfNitrogenInOrganicFertiliser(G21,H21)</f>
        <v>250</v>
      </c>
    </row>
    <row r="22" spans="1:10" ht="20.100000000000001" customHeight="1" x14ac:dyDescent="0.25">
      <c r="A22" s="28" t="str">
        <f>HYPERLINK("#'8.1.1.1-2 Transport fuel'!A1", "8.1.1.1-2 Transport fuel")</f>
        <v>8.1.1.1-2 Transport fuel</v>
      </c>
      <c r="D22" s="46" t="str">
        <v>Other organic fertiliser</v>
      </c>
      <c r="E22" s="46">
        <v>10</v>
      </c>
      <c r="F22" s="46">
        <v>100</v>
      </c>
      <c r="G22" s="46">
        <v>1000</v>
      </c>
      <c r="H22" s="46">
        <v>0.16</v>
      </c>
      <c r="I22" s="46" cm="1">
        <f t="array" ref="I22">Fertiliser_Equations_Organic.VEERG_5_2_1_1__2_MassOfNitrogenInOrganicFertiliser(G22,H22)</f>
        <v>160</v>
      </c>
    </row>
    <row r="23" spans="1:10" ht="20.100000000000001" customHeight="1" x14ac:dyDescent="0.25">
      <c r="A23" s="28" t="str">
        <f>HYPERLINK("#'8.2.1.1-2 Stationary fuel'!A1", "8.2.1.1-2 Stationary fuel")</f>
        <v>8.2.1.1-2 Stationary fuel</v>
      </c>
      <c r="D23" s="46"/>
      <c r="E23" s="46"/>
      <c r="F23" s="46"/>
      <c r="G23" s="46"/>
      <c r="H23" s="46"/>
      <c r="I23" s="46" cm="1">
        <f t="array" ref="I23">Fertiliser_Equations_Organic.VEERG_5_2_1_1__2_MassOfNitrogenInOrganicFertiliser(G23,H23)</f>
        <v>0</v>
      </c>
    </row>
    <row r="24" spans="1:10" ht="20.100000000000001" customHeight="1" x14ac:dyDescent="0.25">
      <c r="A24"/>
      <c r="D24" s="46"/>
      <c r="E24" s="46"/>
      <c r="F24" s="46"/>
      <c r="G24" s="46"/>
      <c r="H24" s="46"/>
      <c r="I24" s="46" cm="1">
        <f t="array" ref="I24">Fertiliser_Equations_Organic.VEERG_5_2_1_1__2_MassOfNitrogenInOrganicFertiliser(G24,H24)</f>
        <v>0</v>
      </c>
    </row>
    <row r="25" spans="1:10" ht="20.100000000000001" customHeight="1" x14ac:dyDescent="0.25">
      <c r="A25"/>
      <c r="D25" s="46"/>
      <c r="E25" s="46"/>
      <c r="F25" s="46"/>
      <c r="G25" s="46"/>
      <c r="H25" s="46"/>
      <c r="I25" s="46" cm="1">
        <f t="array" ref="I25">Fertiliser_Equations_Organic.VEERG_5_2_1_1__2_MassOfNitrogenInOrganicFertiliser(G25,H25)</f>
        <v>0</v>
      </c>
    </row>
    <row r="26" spans="1:10" ht="20.100000000000001" customHeight="1" x14ac:dyDescent="0.25">
      <c r="A26" s="66" t="s">
        <v>133</v>
      </c>
      <c r="D26" s="46"/>
      <c r="E26" s="46"/>
      <c r="F26" s="46"/>
      <c r="G26" s="46"/>
      <c r="H26" s="46"/>
      <c r="I26" s="46" cm="1">
        <f t="array" ref="I26">Fertiliser_Equations_Organic.VEERG_5_2_1_1__2_MassOfNitrogenInOrganicFertiliser(G26,H26)</f>
        <v>0</v>
      </c>
    </row>
    <row r="27" spans="1:10" ht="20.100000000000001" customHeight="1" x14ac:dyDescent="0.25">
      <c r="A27" s="28" t="str">
        <f>HYPERLINK("#'Constants - Fertiliser'!A1", "Constants - Fertiliser")</f>
        <v>Constants - Fertiliser</v>
      </c>
      <c r="D27" s="46"/>
      <c r="E27" s="46"/>
      <c r="F27" s="46"/>
      <c r="G27" s="46"/>
      <c r="H27" s="46"/>
      <c r="I27" s="46" cm="1">
        <f t="array" ref="I27">Fertiliser_Equations_Organic.VEERG_5_2_1_1__2_MassOfNitrogenInOrganicFertiliser(G27,H27)</f>
        <v>0</v>
      </c>
    </row>
    <row r="28" spans="1:10" ht="20.100000000000001" customHeight="1" x14ac:dyDescent="0.25">
      <c r="A28" s="28" t="str">
        <f>HYPERLINK("#'Constants - Fuel'!A1", "Constants - Fuel")</f>
        <v>Constants - Fuel</v>
      </c>
      <c r="D28" s="46"/>
      <c r="E28" s="46"/>
      <c r="F28" s="46"/>
      <c r="G28" s="46"/>
      <c r="H28" s="46"/>
      <c r="I28" s="46" cm="1">
        <f t="array" ref="I28">Fertiliser_Equations_Organic.VEERG_5_2_1_1__2_MassOfNitrogenInOrganicFertiliser(G28,H28)</f>
        <v>0</v>
      </c>
    </row>
    <row r="29" spans="1:10" ht="20.100000000000001" customHeight="1" x14ac:dyDescent="0.25">
      <c r="A29" s="28" t="str">
        <f>HYPERLINK("#'Constants - Common'!A1", "Constants - Common")</f>
        <v>Constants - Common</v>
      </c>
      <c r="D29" s="46"/>
      <c r="E29" s="46"/>
      <c r="F29" s="46"/>
      <c r="G29" s="46"/>
      <c r="H29" s="46"/>
      <c r="I29" s="46" cm="1">
        <f t="array" ref="I29">Fertiliser_Equations_Organic.VEERG_5_2_1_1__2_MassOfNitrogenInOrganicFertiliser(G29,H29)</f>
        <v>0</v>
      </c>
    </row>
    <row r="30" spans="1:10" ht="20.100000000000001" customHeight="1" x14ac:dyDescent="0.25">
      <c r="A30"/>
      <c r="D30" s="46"/>
      <c r="E30" s="46"/>
      <c r="F30" s="46"/>
      <c r="G30" s="46"/>
      <c r="H30" s="46"/>
      <c r="I30" s="46" cm="1">
        <f t="array" ref="I30">Fertiliser_Equations_Organic.VEERG_5_2_1_1__2_MassOfNitrogenInOrganicFertiliser(G30,H30)</f>
        <v>0</v>
      </c>
    </row>
    <row r="31" spans="1:10" ht="20.100000000000001" customHeight="1" x14ac:dyDescent="0.25">
      <c r="A31"/>
      <c r="D31" s="104"/>
      <c r="E31" s="104"/>
      <c r="F31" s="104"/>
      <c r="G31" s="104"/>
      <c r="H31" s="104"/>
      <c r="I31" s="104"/>
      <c r="J31" s="104"/>
    </row>
    <row r="32" spans="1:10" ht="20.100000000000001" customHeight="1" x14ac:dyDescent="0.25">
      <c r="A32"/>
      <c r="D32" s="105" t="s">
        <v>211</v>
      </c>
      <c r="E32" s="105">
        <f>SUM(I20:I30)</f>
        <v>710</v>
      </c>
      <c r="F32" s="106" t="str">
        <f>$E$11</f>
        <v>kg N</v>
      </c>
      <c r="G32" s="104"/>
      <c r="H32" s="104"/>
      <c r="I32" s="104"/>
      <c r="J32" s="104"/>
    </row>
    <row r="33" spans="1:12" ht="20.100000000000001" customHeight="1" x14ac:dyDescent="0.25">
      <c r="A33"/>
    </row>
    <row r="34" spans="1:12" ht="20.100000000000001" customHeight="1" x14ac:dyDescent="0.25">
      <c r="A34"/>
    </row>
    <row r="35" spans="1:12" ht="20.100000000000001" customHeight="1" x14ac:dyDescent="0.25">
      <c r="A35"/>
      <c r="C35" s="107"/>
      <c r="D35" s="107"/>
      <c r="E35" s="107"/>
      <c r="F35" s="107"/>
      <c r="G35" s="107"/>
      <c r="H35" s="107"/>
      <c r="I35" s="107"/>
      <c r="J35" s="107"/>
      <c r="K35" s="107"/>
      <c r="L35" s="107"/>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7" t="s">
        <v>162</v>
      </c>
      <c r="E38" s="77"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4" t="s">
        <v>163</v>
      </c>
      <c r="E41" s="15" t="str" cm="1">
        <f t="array" ref="E41">Fertiliser_Equations_OrganicN2O.VEERG_5_2_1_1__1_OrganicFertiliserApplicationN2OEmissions_Variable()</f>
        <v>E_N2O</v>
      </c>
    </row>
    <row r="42" spans="1:12" ht="20.100000000000001" customHeight="1" x14ac:dyDescent="0.25">
      <c r="A42"/>
      <c r="D42" s="64" t="s">
        <v>164</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0"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0" t="str" cm="1">
        <f t="array" ref="I44:J48">_xlfn.CHOOSECOLS(Fertiliser_Equations_OrganicN2O.VEERG_5_2_1_1__1_OrganicFertiliserApplicationN2OEmissions_Arguments(), 3,4)</f>
        <v>kg N</v>
      </c>
      <c r="J44" s="82" t="str">
        <v>Calculated from 5.2.1.1 (2)</v>
      </c>
      <c r="K44" s="100">
        <f>$E$32</f>
        <v>710</v>
      </c>
    </row>
    <row r="45" spans="1:12" ht="20.100000000000001" customHeight="1" x14ac:dyDescent="0.25">
      <c r="A45"/>
      <c r="D45" s="100" t="str">
        <v>EF_N2Oi</v>
      </c>
      <c r="E45" s="108" t="str">
        <v>emission factor for direct nitrous oxide emissions from organic fertiliser applied to soils and aquatic systems in climate zone i</v>
      </c>
      <c r="F45" s="109"/>
      <c r="G45" s="109"/>
      <c r="H45" s="110"/>
      <c r="I45" s="100" t="str">
        <v>kg N2O-N/kg N</v>
      </c>
      <c r="J45" s="82" t="str">
        <v>Lookup</v>
      </c>
      <c r="K45" s="10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0" t="str">
        <v>C_N2O</v>
      </c>
      <c r="E46" s="108" t="str">
        <v>factor to convert elemental mass of nitrous oxide to molecular mass</v>
      </c>
      <c r="F46" s="109"/>
      <c r="G46" s="109"/>
      <c r="H46" s="110"/>
      <c r="I46" s="100"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100" t="str">
        <v>j</v>
      </c>
      <c r="E47" s="108" t="str">
        <v>Production system</v>
      </c>
      <c r="F47" s="109"/>
      <c r="G47" s="109"/>
      <c r="H47" s="110"/>
      <c r="I47" s="100" t="str">
        <v/>
      </c>
      <c r="J47" s="81" t="str">
        <v>Input</v>
      </c>
      <c r="K47" s="100" t="str">
        <f>X_Cell_Fertiliser_ProductionSystem</f>
        <v>Crop</v>
      </c>
    </row>
    <row r="48" spans="1:12" ht="20.100000000000001" customHeight="1" x14ac:dyDescent="0.25">
      <c r="A48"/>
      <c r="D48" s="100" t="str">
        <v>i</v>
      </c>
      <c r="E48" s="108" t="str">
        <v>Wet or dry climate zone</v>
      </c>
      <c r="F48" s="109"/>
      <c r="G48" s="109"/>
      <c r="H48" s="110"/>
      <c r="I48" s="100" t="str">
        <v/>
      </c>
      <c r="J48" s="81" t="str">
        <v>Input</v>
      </c>
      <c r="K48" s="100" t="str">
        <f>X_Cell_Site_WetOrDryClimateZone</f>
        <v>Dry climate zone</v>
      </c>
    </row>
    <row r="49" spans="1:7" ht="20.100000000000001" customHeight="1" x14ac:dyDescent="0.25">
      <c r="A49"/>
    </row>
    <row r="50" spans="1:7" ht="20.100000000000001" customHeight="1" x14ac:dyDescent="0.25">
      <c r="A50"/>
      <c r="D50" s="95" t="s">
        <v>193</v>
      </c>
      <c r="E50" s="96" cm="1">
        <f t="array" ref="E50">Fertiliser_Equations_OrganicN2O.VEERG_5_2_1_1__1_OrganicFertiliserApplicationN2OEmissions(K44,K45,K46)</f>
        <v>5.5785714285714293E-3</v>
      </c>
      <c r="F50" s="97"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8"/>
      <c r="G52" s="46">
        <f>VEERG_5_2_1_1__2_MassOfNitrogenInOrganicFertiliser_Result_Method1</f>
        <v>5.5785714285714293E-3</v>
      </c>
    </row>
    <row r="53" spans="1:7" ht="20.100000000000001" customHeight="1" x14ac:dyDescent="0.25">
      <c r="A53"/>
      <c r="D53" s="78" t="str">
        <v>GWPN2O</v>
      </c>
      <c r="E53" s="79" t="str">
        <v>Global warming potential for nitrous oxide (t CO2-e / t N2O)</v>
      </c>
      <c r="F53" s="98"/>
      <c r="G53" s="46">
        <f>Common_InputFunctions.Utility_LookupValueInTableNumber("N2O",Table_GWPData[Gas],Table_GWPData[CO2-e factor])</f>
        <v>265</v>
      </c>
    </row>
    <row r="54" spans="1:7" ht="20.100000000000001" customHeight="1" x14ac:dyDescent="0.25">
      <c r="A54"/>
    </row>
    <row r="55" spans="1:7" ht="20.100000000000001" customHeight="1" x14ac:dyDescent="0.25">
      <c r="A55"/>
      <c r="D55" s="92" t="s">
        <v>194</v>
      </c>
      <c r="E55" s="92" cm="1">
        <f t="array" ref="E55">Common_Equations.Common_ConvertN2OToCO2e(G52,G53)</f>
        <v>1.4783214285714288</v>
      </c>
      <c r="F55" s="99"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B53FA-1BF2-4296-BF68-E13C807C1BD3}">
  <dimension ref="A1:U165"/>
  <sheetViews>
    <sheetView showGridLines="0" topLeftCell="A9"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5" t="s">
        <v>91</v>
      </c>
      <c r="D7" s="77" t="s">
        <v>162</v>
      </c>
      <c r="E7" s="77" t="str" cm="1">
        <f t="array" aca="1" ref="E7" ca="1">Common_InputFunctions.Utility_DisplayFunctionName(H25)</f>
        <v>=Fertiliser_Equations_Lime.VEERG_5_3_1_1__1_LimeApplicationCO2Emissions</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Fertiliser_Equations_Lime.VEERG_5_3_1_1__1_LimeApplicationCO2Emissions_Variable()</f>
        <v>E_lime</v>
      </c>
    </row>
    <row r="11" spans="1:21" ht="20.100000000000001" customHeight="1" x14ac:dyDescent="0.25">
      <c r="A11" s="28" t="str">
        <f>HYPERLINK("#'Input - Fert Prod System'!A1", "Fert Prod System")</f>
        <v>Fert Prod System</v>
      </c>
      <c r="D11" s="64" t="s">
        <v>164</v>
      </c>
      <c r="E11" s="20" t="str" cm="1">
        <f t="array" ref="E11">Fertiliser_Equations_Lime.VEERG_5_3_1_1__1_LimeApplicationCO2Emissions_Unit()</f>
        <v>t CO2</v>
      </c>
    </row>
    <row r="12" spans="1:21" ht="20.100000000000001" customHeight="1" x14ac:dyDescent="0.25">
      <c r="A12" s="28" t="str">
        <f>HYPERLINK("#'Input - Site'!A1", "Site")</f>
        <v>Site</v>
      </c>
    </row>
    <row r="13" spans="1:21" ht="20.100000000000001" customHeight="1" x14ac:dyDescent="0.25">
      <c r="A13"/>
      <c r="D13" s="100" t="str" cm="1">
        <f t="array" ref="D13:E20">_xlfn.CHOOSECOLS(Fertiliser_Equations_Lime.VEERG_5_3_1_1__1_LimeApplicationCO2Emissions_Arguments(), 1, 2)</f>
        <v>M_lime</v>
      </c>
      <c r="E13" s="108" t="str">
        <v>total mass of lime applied to production system</v>
      </c>
      <c r="F13" s="110"/>
      <c r="G13" s="100"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c r="D14" s="100" t="str">
        <v>FracLime</v>
      </c>
      <c r="E14" s="108" t="str">
        <v>fraction of lime as limestone (CaCO3)</v>
      </c>
      <c r="F14" s="110"/>
      <c r="G14" s="100" t="str">
        <v>fraction</v>
      </c>
      <c r="H14" s="81" t="str">
        <v>Input</v>
      </c>
      <c r="I14" s="85" t="str" cm="1">
        <f t="array" aca="1" ref="I14" ca="1">HYPERLINK(Common_InputFunctions.Utility_SourceHyperlink($D$22), $D$22)</f>
        <v>Table_E_lime</v>
      </c>
    </row>
    <row r="15" spans="1:21" ht="20.100000000000001" customHeight="1" x14ac:dyDescent="0.25">
      <c r="A15" s="48" t="s">
        <v>116</v>
      </c>
      <c r="D15" s="100" t="str">
        <v>P_lime</v>
      </c>
      <c r="E15" s="108" t="str">
        <v>fractional purity of limestone</v>
      </c>
      <c r="F15" s="110"/>
      <c r="G15" s="100" t="str">
        <v>fraction</v>
      </c>
      <c r="H15" s="82" t="str">
        <v>Constant</v>
      </c>
      <c r="I15" s="100">
        <f>'Constants - Fertiliser'!$E$66</f>
        <v>0.9</v>
      </c>
    </row>
    <row r="16" spans="1:21" ht="20.100000000000001" customHeight="1" x14ac:dyDescent="0.25">
      <c r="A16" s="28" t="str">
        <f>HYPERLINK("#'5.1.1.1-2 Inorganic fert N2O'!A1", "5.1.1.1-2 Inorganic fert N2O")</f>
        <v>5.1.1.1-2 Inorganic fert N2O</v>
      </c>
      <c r="D16" s="100" t="str">
        <v>EF_lime</v>
      </c>
      <c r="E16" s="108" t="str">
        <v>emission factor for limestone fraction of lime</v>
      </c>
      <c r="F16" s="110"/>
      <c r="G16" s="100" t="str">
        <v>kg C/kg</v>
      </c>
      <c r="H16" s="82" t="str">
        <v>Constant</v>
      </c>
      <c r="I16" s="100">
        <f>'Constants - Fertiliser'!$F$66</f>
        <v>0.12</v>
      </c>
    </row>
    <row r="17" spans="1:9" ht="20.100000000000001" customHeight="1" x14ac:dyDescent="0.25">
      <c r="A17" s="28" t="str">
        <f>HYPERLINK("#'5.1.1.3-4 Inorganic fert CO2'!A1", "5.1.1.3-4 Inorganic fert CO2")</f>
        <v>5.1.1.3-4 Inorganic fert CO2</v>
      </c>
      <c r="D17" s="100" t="str">
        <v>FracDol</v>
      </c>
      <c r="E17" s="108" t="str">
        <v>fraction of lime as dolomite</v>
      </c>
      <c r="F17" s="110"/>
      <c r="G17" s="100" t="str">
        <v>fraction</v>
      </c>
      <c r="H17" s="81" t="str">
        <v>Input</v>
      </c>
      <c r="I17" s="85" t="str" cm="1">
        <f t="array" aca="1" ref="I17" ca="1">HYPERLINK(Common_InputFunctions.Utility_SourceHyperlink($D$22), $D$22)</f>
        <v>Table_E_lime</v>
      </c>
    </row>
    <row r="18" spans="1:9" ht="20.100000000000001" customHeight="1" x14ac:dyDescent="0.25">
      <c r="A18" s="28" t="str">
        <f>HYPERLINK("#'5.2.1.1-2 Organic Fert N2O'!A1", "5.2.1.1-2 Organic fert N2O")</f>
        <v>5.2.1.1-2 Organic fert N2O</v>
      </c>
      <c r="D18" s="100" t="str">
        <v>P_dol</v>
      </c>
      <c r="E18" s="108" t="str">
        <v>fractional purity of dolomite</v>
      </c>
      <c r="F18" s="110"/>
      <c r="G18" s="100" t="str">
        <v>fraction</v>
      </c>
      <c r="H18" s="82" t="str">
        <v>Constant</v>
      </c>
      <c r="I18" s="100">
        <f>'Constants - Fertiliser'!$E$67</f>
        <v>0.95</v>
      </c>
    </row>
    <row r="19" spans="1:9" ht="20.100000000000001" customHeight="1" x14ac:dyDescent="0.25">
      <c r="A19" s="86" t="str">
        <f>HYPERLINK("#'5.3.1.1-2 Lime CO2'!A1", "5.3.1.1-2 Lime CO2")</f>
        <v>5.3.1.1-2 Lime CO2</v>
      </c>
      <c r="D19" s="100" t="str">
        <v>EF_dol</v>
      </c>
      <c r="E19" s="108" t="str">
        <v>emission factor for dolomite fraction of lime</v>
      </c>
      <c r="F19" s="110"/>
      <c r="G19" s="100" t="str">
        <v>kg C/kg</v>
      </c>
      <c r="H19" s="82" t="str">
        <v>Constant</v>
      </c>
      <c r="I19" s="100">
        <f>'Constants - Fertiliser'!$F$67</f>
        <v>0.13</v>
      </c>
    </row>
    <row r="20" spans="1:9" ht="20.100000000000001" customHeight="1" x14ac:dyDescent="0.25">
      <c r="A20" s="28" t="str">
        <f>HYPERLINK("#'5.4.1.1-4 Atmos deposition'!A1", "5.4.1.1-4 Atmos. deposition")</f>
        <v>5.4.1.1-4 Atmos. deposition</v>
      </c>
      <c r="D20" s="100" t="str">
        <v>C_CO2</v>
      </c>
      <c r="E20" s="108" t="str">
        <v>factor to convert elemental mass of carbon dioxide to molecular mass</v>
      </c>
      <c r="F20" s="110"/>
      <c r="G20" s="100"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8" t="str">
        <f>HYPERLINK("#'5.5.1.1-2 Leaching and runoff'!A1", "5.5.1.1-2 Leaching &amp; runoff")</f>
        <v>5.5.1.1-2 Leaching &amp; runoff</v>
      </c>
    </row>
    <row r="22" spans="1:9" ht="20.100000000000001" customHeight="1" x14ac:dyDescent="0.25">
      <c r="A22" s="28" t="str">
        <f>HYPERLINK("#'8.1.1.1-2 Transport fuel'!A1", "8.1.1.1-2 Transport fuel")</f>
        <v>8.1.1.1-2 Transport fuel</v>
      </c>
      <c r="D22" s="88" t="s">
        <v>213</v>
      </c>
    </row>
    <row r="23" spans="1:9" ht="20.100000000000001" customHeight="1" x14ac:dyDescent="0.25">
      <c r="A23" s="28" t="str">
        <f>HYPERLINK("#'8.2.1.1-2 Stationary fuel'!A1", "8.2.1.1-2 Stationary fuel")</f>
        <v>8.2.1.1-2 Stationary fuel</v>
      </c>
      <c r="D23" s="89" t="s">
        <v>214</v>
      </c>
    </row>
    <row r="24" spans="1:9" ht="20.100000000000001" customHeight="1" x14ac:dyDescent="0.25">
      <c r="A24"/>
      <c r="D24" s="91" t="s">
        <v>215</v>
      </c>
      <c r="E24" s="91" t="s">
        <v>216</v>
      </c>
      <c r="F24" s="91" t="s">
        <v>217</v>
      </c>
      <c r="G24" s="91" t="s">
        <v>218</v>
      </c>
      <c r="H24" s="90" t="s">
        <v>219</v>
      </c>
    </row>
    <row r="25" spans="1:9" ht="20.100000000000001" customHeight="1" x14ac:dyDescent="0.25">
      <c r="A25"/>
      <c r="D25" s="46" t="str" cm="1">
        <f t="array" ref="D25:D27">Table_Input_Lime[Product]</f>
        <v>Lime product 1</v>
      </c>
      <c r="E25" s="111" cm="1">
        <f t="array" ref="E25:E27">Table_Input_Lime[Total amount applied (t)]*10^3</f>
        <v>100000</v>
      </c>
      <c r="F25" s="112" cm="1">
        <f t="array" ref="F25:F27">Table_Input_Lime[Percent Lime CaCO3]</f>
        <v>0.8</v>
      </c>
      <c r="G25" s="112" cm="1">
        <f t="array" ref="G25:G27">Table_Input_Lime[Percent Dolomite CaMg(CO3)2]</f>
        <v>0.1</v>
      </c>
      <c r="H25" s="46" cm="1">
        <f t="array" ref="H25">Fertiliser_Equations_Lime.VEERG_5_3_1_1__1_LimeApplicationCO2Emissions(E25,F25,$I$15,$I$16,G25,$I$18,$I$19,$I$20)</f>
        <v>36.208333333333329</v>
      </c>
    </row>
    <row r="26" spans="1:9" ht="20.100000000000001" customHeight="1" x14ac:dyDescent="0.25">
      <c r="A26" s="66" t="s">
        <v>133</v>
      </c>
      <c r="D26" s="46" t="str">
        <v>Lime product 2</v>
      </c>
      <c r="E26" s="46">
        <v>100000</v>
      </c>
      <c r="F26" s="46">
        <v>1</v>
      </c>
      <c r="G26" s="46">
        <v>0</v>
      </c>
      <c r="H26" s="46" cm="1">
        <f t="array" ref="H26">Fertiliser_Equations_Lime.VEERG_5_3_1_1__1_LimeApplicationCO2Emissions(E26,F26,$I$15,$I$16,G26,$I$18,$I$19,$I$20)</f>
        <v>39.6</v>
      </c>
    </row>
    <row r="27" spans="1:9" ht="20.100000000000001" customHeight="1" x14ac:dyDescent="0.25">
      <c r="A27" s="28" t="str">
        <f>HYPERLINK("#'Constants - Fertiliser'!A1", "Constants - Fertiliser")</f>
        <v>Constants - Fertiliser</v>
      </c>
      <c r="D27" s="46" t="str">
        <v>Lime product 3</v>
      </c>
      <c r="E27" s="46">
        <v>100000</v>
      </c>
      <c r="F27" s="46">
        <v>0</v>
      </c>
      <c r="G27" s="46">
        <v>0</v>
      </c>
      <c r="H27" s="46" cm="1">
        <f t="array" ref="H27">Fertiliser_Equations_Lime.VEERG_5_3_1_1__1_LimeApplicationCO2Emissions(E27,F27,$I$15,$I$16,G27,$I$18,$I$19,$I$20)</f>
        <v>0</v>
      </c>
    </row>
    <row r="28" spans="1:9" ht="20.100000000000001" customHeight="1" x14ac:dyDescent="0.25">
      <c r="A28" s="28" t="str">
        <f>HYPERLINK("#'Constants - Fuel'!A1", "Constants - Fuel")</f>
        <v>Constants - Fuel</v>
      </c>
      <c r="D28" s="46"/>
      <c r="E28" s="46"/>
      <c r="F28" s="46"/>
      <c r="G28" s="46"/>
      <c r="H28" s="46" cm="1">
        <f t="array" ref="H28">Fertiliser_Equations_Lime.VEERG_5_3_1_1__1_LimeApplicationCO2Emissions(E28,F28,$I$15,$I$16,G28,$I$18,$I$19,$I$20)</f>
        <v>0</v>
      </c>
    </row>
    <row r="29" spans="1:9" ht="20.100000000000001" customHeight="1" x14ac:dyDescent="0.25">
      <c r="A29" s="28" t="str">
        <f>HYPERLINK("#'Constants - Common'!A1", "Constants - Common")</f>
        <v>Constants - Common</v>
      </c>
      <c r="D29" s="46"/>
      <c r="E29" s="46"/>
      <c r="F29" s="46"/>
      <c r="G29" s="46"/>
      <c r="H29" s="46"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5" t="s">
        <v>220</v>
      </c>
      <c r="E31" s="96">
        <f>SUM(H25:H29)</f>
        <v>75.808333333333337</v>
      </c>
      <c r="F31" s="113" t="s">
        <v>221</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7F63E-F6F2-416F-823B-EBFBB52C743D}">
  <dimension ref="A1:U165"/>
  <sheetViews>
    <sheetView showGridLines="0" topLeftCell="A107"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5" t="s">
        <v>91</v>
      </c>
      <c r="D7" s="77" t="s">
        <v>162</v>
      </c>
      <c r="E7" s="77" t="str" cm="1">
        <f t="array" aca="1" ref="E7" ca="1">Common_InputFunctions.Utility_DisplayFunctionName(H19)</f>
        <v>=Fertiliser_Equations_AtmosphericDeposition.VEERG_5_4_1_1__2_MassOfNitrogenVolatilisedFromInorganicFertiliser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Fertiliser_Equations_AtmosphericDeposition.VEERG_5_4_1_1__2_MassOfNitrogenVolatilisedFromInorganicFertiliser_Variable()</f>
        <v>M_volinorganicjf</v>
      </c>
    </row>
    <row r="11" spans="1:21" ht="20.100000000000001" customHeight="1" x14ac:dyDescent="0.25">
      <c r="A11" s="28" t="str">
        <f>HYPERLINK("#'Input - Fert Prod System'!A1", "Fert Prod System")</f>
        <v>Fert Prod System</v>
      </c>
      <c r="D11" s="64" t="s">
        <v>164</v>
      </c>
      <c r="E11" s="20" t="str" cm="1">
        <f t="array" ref="E11">Fertiliser_Equations_AtmosphericDeposition.VEERG_5_4_1_1__2_MassOfNitrogenVolatilisedFromInorganicFertiliser_Unit()</f>
        <v>kg N</v>
      </c>
    </row>
    <row r="12" spans="1:21" ht="20.100000000000001" customHeight="1" x14ac:dyDescent="0.25">
      <c r="A12" s="28" t="str">
        <f>HYPERLINK("#'Input - Site'!A1", "Site")</f>
        <v>Site</v>
      </c>
    </row>
    <row r="13" spans="1:21" ht="20.100000000000001" customHeight="1" x14ac:dyDescent="0.25">
      <c r="A13"/>
      <c r="D13" s="100" t="str" cm="1">
        <f t="array" ref="D13:E14">_xlfn.CHOOSECOLS(Fertiliser_Equations_AtmosphericDeposition.VEERG_5_4_1_1__2_MassOfNitrogenVolatilisedFromInorganicFertiliser_Arguments(), 1, 2)</f>
        <v>MN_jf</v>
      </c>
      <c r="E13" s="108" t="str">
        <v>mass of nitrogen in inorganic fertiliser applied</v>
      </c>
      <c r="F13" s="110"/>
      <c r="G13" s="100"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c r="D14" s="100" t="str">
        <v>FracGASF_f</v>
      </c>
      <c r="E14" s="108" t="str">
        <v>fraction of inorganic fertiliser that volatilises</v>
      </c>
      <c r="F14" s="110"/>
      <c r="G14" s="100" t="str">
        <v>(kg NH3-N + NOx-N)/kg N</v>
      </c>
      <c r="H14" s="82" t="str">
        <v>Constant</v>
      </c>
      <c r="I14" s="85" t="str" cm="1">
        <f t="array" aca="1" ref="I14" ca="1">HYPERLINK(Common_InputFunctions.Utility_SourceHyperlink($D$16),$D$16)</f>
        <v>Table_M_vol_inorganic_j_f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223</v>
      </c>
    </row>
    <row r="17" spans="1:8" ht="20.100000000000001" customHeight="1" x14ac:dyDescent="0.25">
      <c r="A17" s="28" t="str">
        <f>HYPERLINK("#'5.1.1.3-4 Inorganic fert CO2'!A1", "5.1.1.3-4 Inorganic fert CO2")</f>
        <v>5.1.1.3-4 Inorganic fert CO2</v>
      </c>
      <c r="D17" s="89" t="s">
        <v>224</v>
      </c>
    </row>
    <row r="18" spans="1:8" ht="20.100000000000001" customHeight="1" x14ac:dyDescent="0.25">
      <c r="A18" s="28" t="str">
        <f>HYPERLINK("#'5.2.1.1-2 Organic Fert N2O'!A1", "5.2.1.1-2 Organic fert N2O")</f>
        <v>5.2.1.1-2 Organic fert N2O</v>
      </c>
      <c r="D18" s="90" t="s">
        <v>225</v>
      </c>
      <c r="E18" s="90" t="s">
        <v>226</v>
      </c>
      <c r="F18" s="90" t="s">
        <v>227</v>
      </c>
      <c r="G18" s="114" t="s">
        <v>228</v>
      </c>
      <c r="H18" s="114" t="s">
        <v>229</v>
      </c>
    </row>
    <row r="19" spans="1:8" ht="20.100000000000001" customHeight="1" x14ac:dyDescent="0.25">
      <c r="A19" s="28" t="str">
        <f>HYPERLINK("#'5.3.1.1-2 Lime CO2'!A1", "5.3.1.1-2 Lime CO2")</f>
        <v>5.3.1.1-2 Lime CO2</v>
      </c>
      <c r="D19" s="46" t="str" cm="1">
        <f t="array" ref="D19:D37">Table_Fertiliser_ChemicalCompounds[Fertiliser type f]</f>
        <v>Monoammonium phosphate (MAP)</v>
      </c>
      <c r="E19" s="46">
        <f>INDEX(Table_MN_j_f,2,4)</f>
        <v>0</v>
      </c>
      <c r="F19" s="46" t="str" cm="1">
        <f t="array" ref="F19">Common_InputFunctions.Utility_LookupValueInTable(D19, Table_Fertiliser_ChemicalCompounds[Fertiliser type f],Table_Fertiliser_ChemicalCompounds[Basis])</f>
        <v>Ammonium-based fertilisers</v>
      </c>
      <c r="G19" s="46" cm="1">
        <f t="array" ref="G19">Common_InputFunctions.Utility_LookupValueInTableNumber(F19, Table_SourceData_Fertiliser_FracGASF[Fertiliser type f],Table_SourceData_Fertiliser_FracGASF[FracGASF f])</f>
        <v>0.08</v>
      </c>
      <c r="H19" s="46" cm="1">
        <f t="array" ref="H19">Fertiliser_Equations_AtmosphericDeposition.VEERG_5_4_1_1__2_MassOfNitrogenVolatilisedFromInorganicFertiliser(E19,G19)</f>
        <v>0</v>
      </c>
    </row>
    <row r="20" spans="1:8" ht="20.100000000000001" customHeight="1" x14ac:dyDescent="0.25">
      <c r="A20" s="86" t="str">
        <f>HYPERLINK("#'5.4.1.1-4 Atmos deposition'!A1", "5.4.1.1-4 Atmos. deposition")</f>
        <v>5.4.1.1-4 Atmos. deposition</v>
      </c>
      <c r="D20" s="46" t="str">
        <v>Diammonium phosphate (DAP)</v>
      </c>
      <c r="E20" s="46">
        <f>INDEX(Table_MN_j_f,3,4)</f>
        <v>0</v>
      </c>
      <c r="F20" s="46" t="str" cm="1">
        <f t="array" ref="F20">Common_InputFunctions.Utility_LookupValueInTable(D20, Table_Fertiliser_ChemicalCompounds[Fertiliser type f],Table_Fertiliser_ChemicalCompounds[Basis])</f>
        <v>Ammonium-based fertilisers</v>
      </c>
      <c r="G20" s="46" cm="1">
        <f t="array" ref="G20">Common_InputFunctions.Utility_LookupValueInTableNumber(F20, Table_SourceData_Fertiliser_FracGASF[Fertiliser type f],Table_SourceData_Fertiliser_FracGASF[FracGASF f])</f>
        <v>0.08</v>
      </c>
      <c r="H20" s="46" cm="1">
        <f t="array" ref="H20">Fertiliser_Equations_AtmosphericDeposition.VEERG_5_4_1_1__2_MassOfNitrogenVolatilisedFromInorganicFertiliser(E20,G20)</f>
        <v>0</v>
      </c>
    </row>
    <row r="21" spans="1:8" ht="20.100000000000001" customHeight="1" x14ac:dyDescent="0.25">
      <c r="A21" s="28" t="str">
        <f>HYPERLINK("#'5.5.1.1-2 Leaching and runoff'!A1", "5.5.1.1-2 Leaching &amp; runoff")</f>
        <v>5.5.1.1-2 Leaching &amp; runoff</v>
      </c>
      <c r="D21" s="46" t="str">
        <v>Urea</v>
      </c>
      <c r="E21" s="46">
        <f>INDEX(Table_MN_j_f,4,4)</f>
        <v>4600</v>
      </c>
      <c r="F21" s="46" t="str" cm="1">
        <f t="array" ref="F21">Common_InputFunctions.Utility_LookupValueInTable(D21, Table_Fertiliser_ChemicalCompounds[Fertiliser type f],Table_Fertiliser_ChemicalCompounds[Basis])</f>
        <v>Urea-based fertilisers</v>
      </c>
      <c r="G21" s="46" cm="1">
        <f t="array" ref="G21">Common_InputFunctions.Utility_LookupValueInTableNumber(F21, Table_SourceData_Fertiliser_FracGASF[Fertiliser type f],Table_SourceData_Fertiliser_FracGASF[FracGASF f])</f>
        <v>0.15</v>
      </c>
      <c r="H21" s="46" cm="1">
        <f t="array" ref="H21">Fertiliser_Equations_AtmosphericDeposition.VEERG_5_4_1_1__2_MassOfNitrogenVolatilisedFromInorganicFertiliser(E21,G21)</f>
        <v>690</v>
      </c>
    </row>
    <row r="22" spans="1:8" ht="20.100000000000001" customHeight="1" x14ac:dyDescent="0.25">
      <c r="A22" s="28" t="str">
        <f>HYPERLINK("#'8.1.1.1-2 Transport fuel'!A1", "8.1.1.1-2 Transport fuel")</f>
        <v>8.1.1.1-2 Transport fuel</v>
      </c>
      <c r="D22" s="46" t="str">
        <v>Sulphate of ammonia (SOA)</v>
      </c>
      <c r="E22" s="46">
        <f>INDEX(Table_MN_j_f,5,4)</f>
        <v>0</v>
      </c>
      <c r="F22" s="46" t="str" cm="1">
        <f t="array" ref="F22">Common_InputFunctions.Utility_LookupValueInTable(D22, Table_Fertiliser_ChemicalCompounds[Fertiliser type f],Table_Fertiliser_ChemicalCompounds[Basis])</f>
        <v>Ammonium-based fertilisers</v>
      </c>
      <c r="G22" s="46" cm="1">
        <f t="array" ref="G22">Common_InputFunctions.Utility_LookupValueInTableNumber(F22, Table_SourceData_Fertiliser_FracGASF[Fertiliser type f],Table_SourceData_Fertiliser_FracGASF[FracGASF f])</f>
        <v>0.08</v>
      </c>
      <c r="H22" s="46" cm="1">
        <f t="array" ref="H22">Fertiliser_Equations_AtmosphericDeposition.VEERG_5_4_1_1__2_MassOfNitrogenVolatilisedFromInorganicFertiliser(E22,G22)</f>
        <v>0</v>
      </c>
    </row>
    <row r="23" spans="1:8" ht="20.100000000000001" customHeight="1" x14ac:dyDescent="0.25">
      <c r="A23" s="28" t="str">
        <f>HYPERLINK("#'8.2.1.1-2 Stationary fuel'!A1", "8.2.1.1-2 Stationary fuel")</f>
        <v>8.2.1.1-2 Stationary fuel</v>
      </c>
      <c r="D23" s="46" t="str">
        <v>Urea-ammonium nitrate (UAN)</v>
      </c>
      <c r="E23" s="46">
        <f>INDEX(Table_MN_j_f,6,4)</f>
        <v>0</v>
      </c>
      <c r="F23" s="46" t="str" cm="1">
        <f t="array" ref="F23">Common_InputFunctions.Utility_LookupValueInTable(D23, Table_Fertiliser_ChemicalCompounds[Fertiliser type f],Table_Fertiliser_ChemicalCompounds[Basis])</f>
        <v>Urea-based fertilisers</v>
      </c>
      <c r="G23" s="46" cm="1">
        <f t="array" ref="G23">Common_InputFunctions.Utility_LookupValueInTableNumber(F23, Table_SourceData_Fertiliser_FracGASF[Fertiliser type f],Table_SourceData_Fertiliser_FracGASF[FracGASF f])</f>
        <v>0.15</v>
      </c>
      <c r="H23" s="46" cm="1">
        <f t="array" ref="H23">Fertiliser_Equations_AtmosphericDeposition.VEERG_5_4_1_1__2_MassOfNitrogenVolatilisedFromInorganicFertiliser(E23,G23)</f>
        <v>0</v>
      </c>
    </row>
    <row r="24" spans="1:8" ht="20.100000000000001" customHeight="1" x14ac:dyDescent="0.25">
      <c r="A24"/>
      <c r="D24" s="46" t="str">
        <v>Ammonium nitrate (AN)</v>
      </c>
      <c r="E24" s="46">
        <f>INDEX(Table_MN_j_f,7,4)</f>
        <v>0</v>
      </c>
      <c r="F24" s="46" t="str" cm="1">
        <f t="array" ref="F24">Common_InputFunctions.Utility_LookupValueInTable(D24, Table_Fertiliser_ChemicalCompounds[Fertiliser type f],Table_Fertiliser_ChemicalCompounds[Basis])</f>
        <v>Ammonium-nitrate based fertilisers</v>
      </c>
      <c r="G24" s="46" cm="1">
        <f t="array" ref="G24">Common_InputFunctions.Utility_LookupValueInTableNumber(F24, Table_SourceData_Fertiliser_FracGASF[Fertiliser type f],Table_SourceData_Fertiliser_FracGASF[FracGASF f])</f>
        <v>0.05</v>
      </c>
      <c r="H24" s="46" cm="1">
        <f t="array" ref="H24">Fertiliser_Equations_AtmosphericDeposition.VEERG_5_4_1_1__2_MassOfNitrogenVolatilisedFromInorganicFertiliser(E24,G24)</f>
        <v>0</v>
      </c>
    </row>
    <row r="25" spans="1:8" ht="20.100000000000001" customHeight="1" x14ac:dyDescent="0.25">
      <c r="A25"/>
      <c r="D25" s="46" t="str">
        <v>Calcium ammonium nitrate (CAN)</v>
      </c>
      <c r="E25" s="46">
        <f>INDEX(Table_MN_j_f,8,4)</f>
        <v>0</v>
      </c>
      <c r="F25" s="46" t="str" cm="1">
        <f t="array" ref="F25">Common_InputFunctions.Utility_LookupValueInTable(D25, Table_Fertiliser_ChemicalCompounds[Fertiliser type f],Table_Fertiliser_ChemicalCompounds[Basis])</f>
        <v>Ammonium-nitrate based fertilisers</v>
      </c>
      <c r="G25" s="46" cm="1">
        <f t="array" ref="G25">Common_InputFunctions.Utility_LookupValueInTableNumber(F25, Table_SourceData_Fertiliser_FracGASF[Fertiliser type f],Table_SourceData_Fertiliser_FracGASF[FracGASF f])</f>
        <v>0.05</v>
      </c>
      <c r="H25" s="46" cm="1">
        <f t="array" ref="H25">Fertiliser_Equations_AtmosphericDeposition.VEERG_5_4_1_1__2_MassOfNitrogenVolatilisedFromInorganicFertiliser(E25,G25)</f>
        <v>0</v>
      </c>
    </row>
    <row r="26" spans="1:8" ht="20.100000000000001" customHeight="1" x14ac:dyDescent="0.25">
      <c r="A26" s="66" t="s">
        <v>133</v>
      </c>
      <c r="D26" s="46" t="str">
        <v>Nitrogen - Ammoniacal</v>
      </c>
      <c r="E26" s="46">
        <f>INDEX(Table_MN_j_f,9,4)</f>
        <v>0</v>
      </c>
      <c r="F26" s="46" t="str" cm="1">
        <f t="array" ref="F26">Common_InputFunctions.Utility_LookupValueInTable(D26, Table_Fertiliser_ChemicalCompounds[Fertiliser type f],Table_Fertiliser_ChemicalCompounds[Basis])</f>
        <v>Ammonium-based fertilisers</v>
      </c>
      <c r="G26" s="46" cm="1">
        <f t="array" ref="G26">Common_InputFunctions.Utility_LookupValueInTableNumber(F26, Table_SourceData_Fertiliser_FracGASF[Fertiliser type f],Table_SourceData_Fertiliser_FracGASF[FracGASF f])</f>
        <v>0.08</v>
      </c>
      <c r="H26" s="46" cm="1">
        <f t="array" ref="H26">Fertiliser_Equations_AtmosphericDeposition.VEERG_5_4_1_1__2_MassOfNitrogenVolatilisedFromInorganicFertiliser(E26,G26)</f>
        <v>0</v>
      </c>
    </row>
    <row r="27" spans="1:8" ht="20.100000000000001" customHeight="1" x14ac:dyDescent="0.25">
      <c r="A27" s="28" t="str">
        <f>HYPERLINK("#'Constants - Fertiliser'!A1", "Constants - Fertiliser")</f>
        <v>Constants - Fertiliser</v>
      </c>
      <c r="D27" s="46" t="str">
        <v>Nitrogen - Nitrate</v>
      </c>
      <c r="E27" s="46">
        <f>INDEX(Table_MN_j_f,10,4)</f>
        <v>1980</v>
      </c>
      <c r="F27" s="46" t="str" cm="1">
        <f t="array" ref="F27">Common_InputFunctions.Utility_LookupValueInTable(D27, Table_Fertiliser_ChemicalCompounds[Fertiliser type f],Table_Fertiliser_ChemicalCompounds[Basis])</f>
        <v>Nitrate-based fertilisers</v>
      </c>
      <c r="G27" s="46" cm="1">
        <f t="array" ref="G27">Common_InputFunctions.Utility_LookupValueInTableNumber(F27, Table_SourceData_Fertiliser_FracGASF[Fertiliser type f],Table_SourceData_Fertiliser_FracGASF[FracGASF f])</f>
        <v>0.01</v>
      </c>
      <c r="H27" s="46" cm="1">
        <f t="array" ref="H27">Fertiliser_Equations_AtmosphericDeposition.VEERG_5_4_1_1__2_MassOfNitrogenVolatilisedFromInorganicFertiliser(E27,G27)</f>
        <v>19.8</v>
      </c>
    </row>
    <row r="28" spans="1:8" ht="20.100000000000001" customHeight="1" x14ac:dyDescent="0.25">
      <c r="A28" s="28" t="str">
        <f>HYPERLINK("#'Constants - Fuel'!A1", "Constants - Fuel")</f>
        <v>Constants - Fuel</v>
      </c>
      <c r="D28" s="46" t="str">
        <v>Nitrogen - Generic</v>
      </c>
      <c r="E28" s="46">
        <f>INDEX(Table_MN_j_f,11,4)</f>
        <v>1537.2</v>
      </c>
      <c r="F28" s="46" t="str" cm="1">
        <f t="array" ref="F28">Common_InputFunctions.Utility_LookupValueInTable(D28, Table_Fertiliser_ChemicalCompounds[Fertiliser type f],Table_Fertiliser_ChemicalCompounds[Basis])</f>
        <v>Urea-based fertilisers</v>
      </c>
      <c r="G28" s="46" cm="1">
        <f t="array" ref="G28">Common_InputFunctions.Utility_LookupValueInTableNumber(F28, Table_SourceData_Fertiliser_FracGASF[Fertiliser type f],Table_SourceData_Fertiliser_FracGASF[FracGASF f])</f>
        <v>0.15</v>
      </c>
      <c r="H28" s="46" cm="1">
        <f t="array" ref="H28">Fertiliser_Equations_AtmosphericDeposition.VEERG_5_4_1_1__2_MassOfNitrogenVolatilisedFromInorganicFertiliser(E28,G28)</f>
        <v>230.57999999999998</v>
      </c>
    </row>
    <row r="29" spans="1:8" ht="20.100000000000001" customHeight="1" x14ac:dyDescent="0.25">
      <c r="A29" s="28" t="str">
        <f>HYPERLINK("#'Constants - Common'!A1", "Constants - Common")</f>
        <v>Constants - Common</v>
      </c>
      <c r="D29" s="46" t="str">
        <v>Phosphorus - Generic</v>
      </c>
      <c r="E29" s="46">
        <f>INDEX(Table_MN_j_f,12,4)</f>
        <v>0</v>
      </c>
      <c r="F29" s="46" t="str" cm="1">
        <f t="array" ref="F29">Common_InputFunctions.Utility_LookupValueInTable(D29, Table_Fertiliser_ChemicalCompounds[Fertiliser type f],Table_Fertiliser_ChemicalCompounds[Basis])</f>
        <v>Other fertilisers</v>
      </c>
      <c r="G29" s="46" cm="1">
        <f t="array" ref="G29">Common_InputFunctions.Utility_LookupValueInTableNumber(F29, Table_SourceData_Fertiliser_FracGASF[Fertiliser type f],Table_SourceData_Fertiliser_FracGASF[FracGASF f])</f>
        <v>0.11</v>
      </c>
      <c r="H29" s="46" cm="1">
        <f t="array" ref="H29">Fertiliser_Equations_AtmosphericDeposition.VEERG_5_4_1_1__2_MassOfNitrogenVolatilisedFromInorganicFertiliser(E29,G29)</f>
        <v>0</v>
      </c>
    </row>
    <row r="30" spans="1:8" ht="20.100000000000001" customHeight="1" x14ac:dyDescent="0.25">
      <c r="A30"/>
      <c r="D30" s="46" t="str">
        <v>Potassium - Generic</v>
      </c>
      <c r="E30" s="46">
        <f>INDEX(Table_MN_j_f,13,4)</f>
        <v>0</v>
      </c>
      <c r="F30" s="46" t="str" cm="1">
        <f t="array" ref="F30">Common_InputFunctions.Utility_LookupValueInTable(D30, Table_Fertiliser_ChemicalCompounds[Fertiliser type f],Table_Fertiliser_ChemicalCompounds[Basis])</f>
        <v>Other fertilisers</v>
      </c>
      <c r="G30" s="46" cm="1">
        <f t="array" ref="G30">Common_InputFunctions.Utility_LookupValueInTableNumber(F30, Table_SourceData_Fertiliser_FracGASF[Fertiliser type f],Table_SourceData_Fertiliser_FracGASF[FracGASF f])</f>
        <v>0.11</v>
      </c>
      <c r="H30" s="46" cm="1">
        <f t="array" ref="H30">Fertiliser_Equations_AtmosphericDeposition.VEERG_5_4_1_1__2_MassOfNitrogenVolatilisedFromInorganicFertiliser(E30,G30)</f>
        <v>0</v>
      </c>
    </row>
    <row r="31" spans="1:8" ht="20.100000000000001" customHeight="1" x14ac:dyDescent="0.25">
      <c r="A31"/>
      <c r="D31" s="46" t="str">
        <v>Sulfur - Generic</v>
      </c>
      <c r="E31" s="46">
        <f>INDEX(Table_MN_j_f,14,4)</f>
        <v>0</v>
      </c>
      <c r="F31" s="46" t="str" cm="1">
        <f t="array" ref="F31">Common_InputFunctions.Utility_LookupValueInTable(D31, Table_Fertiliser_ChemicalCompounds[Fertiliser type f],Table_Fertiliser_ChemicalCompounds[Basis])</f>
        <v>Other fertilisers</v>
      </c>
      <c r="G31" s="46" cm="1">
        <f t="array" ref="G31">Common_InputFunctions.Utility_LookupValueInTableNumber(F31, Table_SourceData_Fertiliser_FracGASF[Fertiliser type f],Table_SourceData_Fertiliser_FracGASF[FracGASF f])</f>
        <v>0.11</v>
      </c>
      <c r="H31" s="46" cm="1">
        <f t="array" ref="H31">Fertiliser_Equations_AtmosphericDeposition.VEERG_5_4_1_1__2_MassOfNitrogenVolatilisedFromInorganicFertiliser(E31,G31)</f>
        <v>0</v>
      </c>
    </row>
    <row r="32" spans="1:8" ht="20.100000000000001" customHeight="1" x14ac:dyDescent="0.25">
      <c r="A32"/>
      <c r="D32" s="46" t="str">
        <v>Zinc - Generic</v>
      </c>
      <c r="E32" s="46">
        <f>INDEX(Table_MN_j_f,15,4)</f>
        <v>0</v>
      </c>
      <c r="F32" s="46" t="str" cm="1">
        <f t="array" ref="F32">Common_InputFunctions.Utility_LookupValueInTable(D32, Table_Fertiliser_ChemicalCompounds[Fertiliser type f],Table_Fertiliser_ChemicalCompounds[Basis])</f>
        <v>Other fertilisers</v>
      </c>
      <c r="G32" s="46" cm="1">
        <f t="array" ref="G32">Common_InputFunctions.Utility_LookupValueInTableNumber(F32, Table_SourceData_Fertiliser_FracGASF[Fertiliser type f],Table_SourceData_Fertiliser_FracGASF[FracGASF f])</f>
        <v>0.11</v>
      </c>
      <c r="H32" s="46" cm="1">
        <f t="array" ref="H32">Fertiliser_Equations_AtmosphericDeposition.VEERG_5_4_1_1__2_MassOfNitrogenVolatilisedFromInorganicFertiliser(E32,G32)</f>
        <v>0</v>
      </c>
    </row>
    <row r="33" spans="1:12" ht="20.100000000000001" customHeight="1" x14ac:dyDescent="0.25">
      <c r="A33"/>
      <c r="D33" s="46" t="str">
        <v>Muriate of potash (MOP)</v>
      </c>
      <c r="E33" s="46">
        <f>INDEX(Table_MN_j_f,16,4)</f>
        <v>0</v>
      </c>
      <c r="F33" s="46" t="str" cm="1">
        <f t="array" ref="F33">Common_InputFunctions.Utility_LookupValueInTable(D33, Table_Fertiliser_ChemicalCompounds[Fertiliser type f],Table_Fertiliser_ChemicalCompounds[Basis])</f>
        <v>Other fertilisers</v>
      </c>
      <c r="G33" s="46" cm="1">
        <f t="array" ref="G33">Common_InputFunctions.Utility_LookupValueInTableNumber(F33, Table_SourceData_Fertiliser_FracGASF[Fertiliser type f],Table_SourceData_Fertiliser_FracGASF[FracGASF f])</f>
        <v>0.11</v>
      </c>
      <c r="H33" s="46" cm="1">
        <f t="array" ref="H33">Fertiliser_Equations_AtmosphericDeposition.VEERG_5_4_1_1__2_MassOfNitrogenVolatilisedFromInorganicFertiliser(E33,G33)</f>
        <v>0</v>
      </c>
    </row>
    <row r="34" spans="1:12" ht="20.100000000000001" customHeight="1" x14ac:dyDescent="0.25">
      <c r="A34"/>
      <c r="D34" s="46" t="str">
        <v>Double superphosphate</v>
      </c>
      <c r="E34" s="46">
        <f>INDEX(Table_MN_j_f,17,4)</f>
        <v>0</v>
      </c>
      <c r="F34" s="46" t="str" cm="1">
        <f t="array" ref="F34">Common_InputFunctions.Utility_LookupValueInTable(D34, Table_Fertiliser_ChemicalCompounds[Fertiliser type f],Table_Fertiliser_ChemicalCompounds[Basis])</f>
        <v>Other fertilisers</v>
      </c>
      <c r="G34" s="46" cm="1">
        <f t="array" ref="G34">Common_InputFunctions.Utility_LookupValueInTableNumber(F34, Table_SourceData_Fertiliser_FracGASF[Fertiliser type f],Table_SourceData_Fertiliser_FracGASF[FracGASF f])</f>
        <v>0.11</v>
      </c>
      <c r="H34" s="46" cm="1">
        <f t="array" ref="H34">Fertiliser_Equations_AtmosphericDeposition.VEERG_5_4_1_1__2_MassOfNitrogenVolatilisedFromInorganicFertiliser(E34,G34)</f>
        <v>0</v>
      </c>
    </row>
    <row r="35" spans="1:12" ht="20.100000000000001" customHeight="1" x14ac:dyDescent="0.25">
      <c r="A35"/>
      <c r="D35" s="46" t="str">
        <v>Single superphosphate (SSP)</v>
      </c>
      <c r="E35" s="46">
        <f>INDEX(Table_MN_j_f,18,4)</f>
        <v>0</v>
      </c>
      <c r="F35" s="46" t="str" cm="1">
        <f t="array" ref="F35">Common_InputFunctions.Utility_LookupValueInTable(D35, Table_Fertiliser_ChemicalCompounds[Fertiliser type f],Table_Fertiliser_ChemicalCompounds[Basis])</f>
        <v>Other fertilisers</v>
      </c>
      <c r="G35" s="46" cm="1">
        <f t="array" ref="G35">Common_InputFunctions.Utility_LookupValueInTableNumber(F35, Table_SourceData_Fertiliser_FracGASF[Fertiliser type f],Table_SourceData_Fertiliser_FracGASF[FracGASF f])</f>
        <v>0.11</v>
      </c>
      <c r="H35" s="46" cm="1">
        <f t="array" ref="H35">Fertiliser_Equations_AtmosphericDeposition.VEERG_5_4_1_1__2_MassOfNitrogenVolatilisedFromInorganicFertiliser(E35,G35)</f>
        <v>0</v>
      </c>
    </row>
    <row r="36" spans="1:12" ht="20.100000000000001" customHeight="1" x14ac:dyDescent="0.25">
      <c r="A36"/>
      <c r="D36" s="46" t="str">
        <v>Ammonia</v>
      </c>
      <c r="E36" s="46">
        <f>INDEX(Table_MN_j_f,19,4)</f>
        <v>4117.5</v>
      </c>
      <c r="F36" s="46" t="str" cm="1">
        <f t="array" ref="F36">Common_InputFunctions.Utility_LookupValueInTable(D36, Table_Fertiliser_ChemicalCompounds[Fertiliser type f],Table_Fertiliser_ChemicalCompounds[Basis])</f>
        <v>Ammonium-based fertilisers</v>
      </c>
      <c r="G36" s="46" cm="1">
        <f t="array" ref="G36">Common_InputFunctions.Utility_LookupValueInTableNumber(F36, Table_SourceData_Fertiliser_FracGASF[Fertiliser type f],Table_SourceData_Fertiliser_FracGASF[FracGASF f])</f>
        <v>0.08</v>
      </c>
      <c r="H36" s="46" cm="1">
        <f t="array" ref="H36">Fertiliser_Equations_AtmosphericDeposition.VEERG_5_4_1_1__2_MassOfNitrogenVolatilisedFromInorganicFertiliser(E36,G36)</f>
        <v>329.40000000000003</v>
      </c>
    </row>
    <row r="37" spans="1:12" ht="20.100000000000001" customHeight="1" x14ac:dyDescent="0.25">
      <c r="A37"/>
      <c r="D37" s="46" t="str">
        <v>Calcium nitrate</v>
      </c>
      <c r="E37" s="46">
        <f>INDEX(Table_MN_j_f,20,4)</f>
        <v>775</v>
      </c>
      <c r="F37" s="46" t="str" cm="1">
        <f t="array" ref="F37">Common_InputFunctions.Utility_LookupValueInTable(D37, Table_Fertiliser_ChemicalCompounds[Fertiliser type f],Table_Fertiliser_ChemicalCompounds[Basis])</f>
        <v>Nitrate-based fertilisers</v>
      </c>
      <c r="G37" s="46" cm="1">
        <f t="array" ref="G37">Common_InputFunctions.Utility_LookupValueInTableNumber(F37, Table_SourceData_Fertiliser_FracGASF[Fertiliser type f],Table_SourceData_Fertiliser_FracGASF[FracGASF f])</f>
        <v>0.01</v>
      </c>
      <c r="H37" s="46"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7"/>
      <c r="D40" s="107"/>
      <c r="E40" s="107"/>
      <c r="F40" s="107"/>
      <c r="G40" s="107"/>
      <c r="H40" s="107"/>
      <c r="I40" s="107"/>
      <c r="J40" s="107"/>
      <c r="K40" s="107"/>
      <c r="L40" s="107"/>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7" t="s">
        <v>162</v>
      </c>
      <c r="E43" s="7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Fertiliser_Equations_AtmosphericDeposition.VEERG_5_4_1_1__1_InorganicFertiliserAtmosphericDepositionN2OEmissions_Variable()</f>
        <v>E_adinorganic</v>
      </c>
    </row>
    <row r="47" spans="1:12" ht="20.100000000000001" customHeight="1" x14ac:dyDescent="0.25">
      <c r="A47"/>
      <c r="D47" s="64" t="s">
        <v>164</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0"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0"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100" t="str">
        <v>EF_N2Oj</v>
      </c>
      <c r="E50" s="108" t="str">
        <v>emission factor for atmospheric deposition</v>
      </c>
      <c r="F50" s="109"/>
      <c r="G50" s="110"/>
      <c r="H50" s="100" t="str">
        <v>kg N2O-N/kg N</v>
      </c>
      <c r="I50" s="82" t="str">
        <v>Constant</v>
      </c>
      <c r="J50" s="10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0" t="str">
        <v>C_N2O</v>
      </c>
      <c r="E51" s="108" t="str">
        <v>factor to convert elemental mass of nitrous oxide to molecular mass</v>
      </c>
      <c r="F51" s="109"/>
      <c r="G51" s="110"/>
      <c r="H51" s="100"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100" t="str">
        <v>j</v>
      </c>
      <c r="E52" s="108" t="str">
        <v>Production system</v>
      </c>
      <c r="F52" s="109"/>
      <c r="G52" s="110"/>
      <c r="H52" s="100" t="str">
        <v/>
      </c>
      <c r="I52" s="81" t="str">
        <v>Input</v>
      </c>
      <c r="J52" s="100" t="str">
        <f>X_Cell_Fertiliser_ProductionSystem</f>
        <v>Crop</v>
      </c>
    </row>
    <row r="53" spans="1:10" ht="20.100000000000001" customHeight="1" x14ac:dyDescent="0.25">
      <c r="A53"/>
      <c r="D53" s="100" t="str">
        <v>ir</v>
      </c>
      <c r="E53" s="108" t="str">
        <v>irrigation method</v>
      </c>
      <c r="F53" s="109"/>
      <c r="G53" s="110"/>
      <c r="H53" s="100" t="str">
        <v/>
      </c>
      <c r="I53" s="81" t="str">
        <v>Input</v>
      </c>
      <c r="J53" s="100" t="str">
        <f>X_Cell_Fertiliser_IrrigationMethod</f>
        <v>Sprinkler irrigation</v>
      </c>
    </row>
    <row r="54" spans="1:10" ht="20.100000000000001" customHeight="1" x14ac:dyDescent="0.25">
      <c r="A54"/>
      <c r="D54" s="100" t="str">
        <v>r</v>
      </c>
      <c r="E54" s="108" t="str">
        <v>rainfall region</v>
      </c>
      <c r="F54" s="109"/>
      <c r="G54" s="110"/>
      <c r="H54" s="100" t="str">
        <v/>
      </c>
      <c r="I54" s="81" t="str">
        <v>Input</v>
      </c>
      <c r="J54" s="100" t="str">
        <f>X_Cell_Site_RainfallZone</f>
        <v>Low rainfall</v>
      </c>
    </row>
    <row r="55" spans="1:10" ht="20.100000000000001" customHeight="1" x14ac:dyDescent="0.25">
      <c r="A55"/>
    </row>
    <row r="56" spans="1:10" ht="20.100000000000001" customHeight="1" x14ac:dyDescent="0.25">
      <c r="A56"/>
      <c r="D56" s="88" t="s">
        <v>230</v>
      </c>
    </row>
    <row r="57" spans="1:10" ht="20.100000000000001" customHeight="1" x14ac:dyDescent="0.25">
      <c r="A57"/>
      <c r="D57" s="89" t="s">
        <v>231</v>
      </c>
    </row>
    <row r="58" spans="1:10" ht="20.100000000000001" customHeight="1" x14ac:dyDescent="0.25">
      <c r="A58"/>
      <c r="D58" s="90" t="s">
        <v>225</v>
      </c>
      <c r="E58" s="114" t="s">
        <v>229</v>
      </c>
      <c r="F58" s="114" t="s">
        <v>232</v>
      </c>
    </row>
    <row r="59" spans="1:10" ht="20.100000000000001" customHeight="1" x14ac:dyDescent="0.25">
      <c r="A59"/>
      <c r="D59" s="46" t="str" cm="1">
        <f t="array" ref="D59:D77">Table_Fertiliser_ChemicalCompounds[Fertiliser type f]</f>
        <v>Monoammonium phosphate (MAP)</v>
      </c>
      <c r="E59" s="46">
        <f t="shared" ref="E59:E77" si="0">H19</f>
        <v>0</v>
      </c>
      <c r="F59" s="46" cm="1">
        <f t="array" ref="F59">Fertiliser_Equations_AtmosphericDeposition.VEERG_5_4_1_1__1_InorganicFertiliserAtmosphericDepositionN2OEmissions(E59,$J$50,$J$51)</f>
        <v>0</v>
      </c>
      <c r="G59" s="26" t="str">
        <f>E47</f>
        <v>t N2O</v>
      </c>
    </row>
    <row r="60" spans="1:10" ht="20.100000000000001" customHeight="1" x14ac:dyDescent="0.25">
      <c r="A60"/>
      <c r="D60" s="46" t="str">
        <v>Diammonium phosphate (DAP)</v>
      </c>
      <c r="E60" s="46">
        <f t="shared" si="0"/>
        <v>0</v>
      </c>
      <c r="F60" s="46" cm="1">
        <f t="array" ref="F60">Fertiliser_Equations_AtmosphericDeposition.VEERG_5_4_1_1__1_InorganicFertiliserAtmosphericDepositionN2OEmissions(E60,$J$50,$J$51)</f>
        <v>0</v>
      </c>
    </row>
    <row r="61" spans="1:10" ht="20.100000000000001" customHeight="1" x14ac:dyDescent="0.25">
      <c r="A61"/>
      <c r="D61" s="46" t="str">
        <v>Urea</v>
      </c>
      <c r="E61" s="46">
        <f t="shared" si="0"/>
        <v>690</v>
      </c>
      <c r="F61" s="46" cm="1">
        <f t="array" ref="F61">Fertiliser_Equations_AtmosphericDeposition.VEERG_5_4_1_1__1_InorganicFertiliserAtmosphericDepositionN2OEmissions(E61,$J$50,$J$51)</f>
        <v>7.5900000000000004E-3</v>
      </c>
    </row>
    <row r="62" spans="1:10" ht="20.100000000000001" customHeight="1" x14ac:dyDescent="0.25">
      <c r="A62"/>
      <c r="D62" s="46" t="str">
        <v>Sulphate of ammonia (SOA)</v>
      </c>
      <c r="E62" s="46">
        <f t="shared" si="0"/>
        <v>0</v>
      </c>
      <c r="F62" s="46" cm="1">
        <f t="array" ref="F62">Fertiliser_Equations_AtmosphericDeposition.VEERG_5_4_1_1__1_InorganicFertiliserAtmosphericDepositionN2OEmissions(E62,$J$50,$J$51)</f>
        <v>0</v>
      </c>
    </row>
    <row r="63" spans="1:10" ht="20.100000000000001" customHeight="1" x14ac:dyDescent="0.25">
      <c r="A63"/>
      <c r="D63" s="46" t="str">
        <v>Urea-ammonium nitrate (UAN)</v>
      </c>
      <c r="E63" s="46">
        <f t="shared" si="0"/>
        <v>0</v>
      </c>
      <c r="F63" s="46" cm="1">
        <f t="array" ref="F63">Fertiliser_Equations_AtmosphericDeposition.VEERG_5_4_1_1__1_InorganicFertiliserAtmosphericDepositionN2OEmissions(E63,$J$50,$J$51)</f>
        <v>0</v>
      </c>
    </row>
    <row r="64" spans="1:10" ht="20.100000000000001" customHeight="1" x14ac:dyDescent="0.25">
      <c r="A64"/>
      <c r="D64" s="46" t="str">
        <v>Ammonium nitrate (AN)</v>
      </c>
      <c r="E64" s="46">
        <f t="shared" si="0"/>
        <v>0</v>
      </c>
      <c r="F64" s="46" cm="1">
        <f t="array" ref="F64">Fertiliser_Equations_AtmosphericDeposition.VEERG_5_4_1_1__1_InorganicFertiliserAtmosphericDepositionN2OEmissions(E64,$J$50,$J$51)</f>
        <v>0</v>
      </c>
    </row>
    <row r="65" spans="1:6" ht="20.100000000000001" customHeight="1" x14ac:dyDescent="0.25">
      <c r="A65"/>
      <c r="D65" s="46" t="str">
        <v>Calcium ammonium nitrate (CAN)</v>
      </c>
      <c r="E65" s="46">
        <f t="shared" si="0"/>
        <v>0</v>
      </c>
      <c r="F65" s="46" cm="1">
        <f t="array" ref="F65">Fertiliser_Equations_AtmosphericDeposition.VEERG_5_4_1_1__1_InorganicFertiliserAtmosphericDepositionN2OEmissions(E65,$J$50,$J$51)</f>
        <v>0</v>
      </c>
    </row>
    <row r="66" spans="1:6" ht="20.100000000000001" customHeight="1" x14ac:dyDescent="0.25">
      <c r="A66"/>
      <c r="D66" s="46" t="str">
        <v>Nitrogen - Ammoniacal</v>
      </c>
      <c r="E66" s="46">
        <f t="shared" si="0"/>
        <v>0</v>
      </c>
      <c r="F66" s="46" cm="1">
        <f t="array" ref="F66">Fertiliser_Equations_AtmosphericDeposition.VEERG_5_4_1_1__1_InorganicFertiliserAtmosphericDepositionN2OEmissions(E66,$J$50,$J$51)</f>
        <v>0</v>
      </c>
    </row>
    <row r="67" spans="1:6" ht="20.100000000000001" customHeight="1" x14ac:dyDescent="0.25">
      <c r="A67"/>
      <c r="D67" s="46" t="str">
        <v>Nitrogen - Nitrate</v>
      </c>
      <c r="E67" s="46">
        <f t="shared" si="0"/>
        <v>19.8</v>
      </c>
      <c r="F67" s="46" cm="1">
        <f t="array" ref="F67">Fertiliser_Equations_AtmosphericDeposition.VEERG_5_4_1_1__1_InorganicFertiliserAtmosphericDepositionN2OEmissions(E67,$J$50,$J$51)</f>
        <v>2.1780000000000001E-4</v>
      </c>
    </row>
    <row r="68" spans="1:6" ht="20.100000000000001" customHeight="1" x14ac:dyDescent="0.25">
      <c r="A68"/>
      <c r="D68" s="46" t="str">
        <v>Nitrogen - Generic</v>
      </c>
      <c r="E68" s="46">
        <f t="shared" si="0"/>
        <v>230.57999999999998</v>
      </c>
      <c r="F68" s="46" cm="1">
        <f t="array" ref="F68">Fertiliser_Equations_AtmosphericDeposition.VEERG_5_4_1_1__1_InorganicFertiliserAtmosphericDepositionN2OEmissions(E68,$J$50,$J$51)</f>
        <v>2.53638E-3</v>
      </c>
    </row>
    <row r="69" spans="1:6" ht="20.100000000000001" customHeight="1" x14ac:dyDescent="0.25">
      <c r="A69"/>
      <c r="D69" s="46" t="str">
        <v>Phosphorus - Generic</v>
      </c>
      <c r="E69" s="46">
        <f t="shared" si="0"/>
        <v>0</v>
      </c>
      <c r="F69" s="46" cm="1">
        <f t="array" ref="F69">Fertiliser_Equations_AtmosphericDeposition.VEERG_5_4_1_1__1_InorganicFertiliserAtmosphericDepositionN2OEmissions(E69,$J$50,$J$51)</f>
        <v>0</v>
      </c>
    </row>
    <row r="70" spans="1:6" ht="20.100000000000001" customHeight="1" x14ac:dyDescent="0.25">
      <c r="A70"/>
      <c r="D70" s="46" t="str">
        <v>Potassium - Generic</v>
      </c>
      <c r="E70" s="46">
        <f t="shared" si="0"/>
        <v>0</v>
      </c>
      <c r="F70" s="46" cm="1">
        <f t="array" ref="F70">Fertiliser_Equations_AtmosphericDeposition.VEERG_5_4_1_1__1_InorganicFertiliserAtmosphericDepositionN2OEmissions(E70,$J$50,$J$51)</f>
        <v>0</v>
      </c>
    </row>
    <row r="71" spans="1:6" ht="20.100000000000001" customHeight="1" x14ac:dyDescent="0.25">
      <c r="A71"/>
      <c r="D71" s="46" t="str">
        <v>Sulfur - Generic</v>
      </c>
      <c r="E71" s="46">
        <f t="shared" si="0"/>
        <v>0</v>
      </c>
      <c r="F71" s="46" cm="1">
        <f t="array" ref="F71">Fertiliser_Equations_AtmosphericDeposition.VEERG_5_4_1_1__1_InorganicFertiliserAtmosphericDepositionN2OEmissions(E71,$J$50,$J$51)</f>
        <v>0</v>
      </c>
    </row>
    <row r="72" spans="1:6" ht="20.100000000000001" customHeight="1" x14ac:dyDescent="0.25">
      <c r="A72"/>
      <c r="D72" s="46" t="str">
        <v>Zinc - Generic</v>
      </c>
      <c r="E72" s="46">
        <f t="shared" si="0"/>
        <v>0</v>
      </c>
      <c r="F72" s="46" cm="1">
        <f t="array" ref="F72">Fertiliser_Equations_AtmosphericDeposition.VEERG_5_4_1_1__1_InorganicFertiliserAtmosphericDepositionN2OEmissions(E72,$J$50,$J$51)</f>
        <v>0</v>
      </c>
    </row>
    <row r="73" spans="1:6" ht="20.100000000000001" customHeight="1" x14ac:dyDescent="0.25">
      <c r="A73"/>
      <c r="D73" s="46" t="str">
        <v>Muriate of potash (MOP)</v>
      </c>
      <c r="E73" s="46">
        <f t="shared" si="0"/>
        <v>0</v>
      </c>
      <c r="F73" s="46" cm="1">
        <f t="array" ref="F73">Fertiliser_Equations_AtmosphericDeposition.VEERG_5_4_1_1__1_InorganicFertiliserAtmosphericDepositionN2OEmissions(E73,$J$50,$J$51)</f>
        <v>0</v>
      </c>
    </row>
    <row r="74" spans="1:6" ht="20.100000000000001" customHeight="1" x14ac:dyDescent="0.25">
      <c r="A74"/>
      <c r="D74" s="46" t="str">
        <v>Double superphosphate</v>
      </c>
      <c r="E74" s="46">
        <f t="shared" si="0"/>
        <v>0</v>
      </c>
      <c r="F74" s="46" cm="1">
        <f t="array" ref="F74">Fertiliser_Equations_AtmosphericDeposition.VEERG_5_4_1_1__1_InorganicFertiliserAtmosphericDepositionN2OEmissions(E74,$J$50,$J$51)</f>
        <v>0</v>
      </c>
    </row>
    <row r="75" spans="1:6" ht="20.100000000000001" customHeight="1" x14ac:dyDescent="0.25">
      <c r="A75"/>
      <c r="D75" s="46" t="str">
        <v>Single superphosphate (SSP)</v>
      </c>
      <c r="E75" s="46">
        <f t="shared" si="0"/>
        <v>0</v>
      </c>
      <c r="F75" s="46" cm="1">
        <f t="array" ref="F75">Fertiliser_Equations_AtmosphericDeposition.VEERG_5_4_1_1__1_InorganicFertiliserAtmosphericDepositionN2OEmissions(E75,$J$50,$J$51)</f>
        <v>0</v>
      </c>
    </row>
    <row r="76" spans="1:6" ht="20.100000000000001" customHeight="1" x14ac:dyDescent="0.25">
      <c r="A76"/>
      <c r="D76" s="46" t="str">
        <v>Ammonia</v>
      </c>
      <c r="E76" s="46">
        <f t="shared" si="0"/>
        <v>329.40000000000003</v>
      </c>
      <c r="F76" s="46" cm="1">
        <f t="array" ref="F76">Fertiliser_Equations_AtmosphericDeposition.VEERG_5_4_1_1__1_InorganicFertiliserAtmosphericDepositionN2OEmissions(E76,$J$50,$J$51)</f>
        <v>3.6234000000000001E-3</v>
      </c>
    </row>
    <row r="77" spans="1:6" ht="20.100000000000001" customHeight="1" x14ac:dyDescent="0.25">
      <c r="A77"/>
      <c r="D77" s="46" t="str">
        <v>Calcium nitrate</v>
      </c>
      <c r="E77" s="46">
        <f t="shared" si="0"/>
        <v>7.75</v>
      </c>
      <c r="F77" s="46"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5" t="s">
        <v>233</v>
      </c>
      <c r="E79" s="96">
        <f>SUM(F59:F77)</f>
        <v>1.4052830000000001E-2</v>
      </c>
      <c r="F79" s="97"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8"/>
      <c r="G81" s="46">
        <f>VEERG_5_4_1_1__1_InorganicFertiliserAtmosphericDepositionN2OEmissions_Result_Method1</f>
        <v>1.4052830000000001E-2</v>
      </c>
    </row>
    <row r="82" spans="1:12" ht="20.100000000000001" customHeight="1" x14ac:dyDescent="0.25">
      <c r="A82"/>
      <c r="D82" s="78" t="str">
        <v>GWPN2O</v>
      </c>
      <c r="E82" s="79" t="str">
        <v>Global warming potential for nitrous oxide (t CO2-e / t N2O)</v>
      </c>
      <c r="F82" s="98"/>
      <c r="G82" s="46">
        <f>Common_InputFunctions.Utility_LookupValueInTableNumber("N2O",Table_GWPData[Gas],Table_GWPData[CO2-e factor])</f>
        <v>265</v>
      </c>
    </row>
    <row r="83" spans="1:12" ht="20.100000000000001" customHeight="1" x14ac:dyDescent="0.25">
      <c r="A83"/>
    </row>
    <row r="84" spans="1:12" ht="20.100000000000001" customHeight="1" x14ac:dyDescent="0.25">
      <c r="A84"/>
      <c r="D84" s="92" t="s">
        <v>194</v>
      </c>
      <c r="E84" s="92" cm="1">
        <f t="array" ref="E84">Common_Equations.Common_ConvertN2OToCO2e(G81,G82)</f>
        <v>3.7239999500000001</v>
      </c>
      <c r="F84" s="99"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7"/>
      <c r="D87" s="107"/>
      <c r="E87" s="107"/>
      <c r="F87" s="107"/>
      <c r="G87" s="107"/>
      <c r="H87" s="107"/>
      <c r="I87" s="107"/>
      <c r="J87" s="107"/>
      <c r="K87" s="107"/>
      <c r="L87" s="107"/>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7" t="s">
        <v>162</v>
      </c>
      <c r="E90" s="77"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4" t="s">
        <v>163</v>
      </c>
      <c r="E93" s="15" t="str" cm="1">
        <f t="array" ref="E93">Fertiliser_Equations_AtmosphericDeposition.VEERG_5_4_1_3__2_MassOfNitrogenVolatilisedFromOrganicFertiliser_Variable()</f>
        <v>M_volorganicjf</v>
      </c>
    </row>
    <row r="94" spans="1:12" ht="20.100000000000001" customHeight="1" x14ac:dyDescent="0.25">
      <c r="A94"/>
      <c r="D94" s="64" t="s">
        <v>164</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0" t="str" cm="1">
        <f t="array" ref="D96:E97">_xlfn.CHOOSECOLS(Fertiliser_Equations_AtmosphericDeposition.VEERG_5_4_1_3__2_MassOfNitrogenVolatilisedFromOrganicFertiliser_Arguments(), 1, 2)</f>
        <v>MNSoil_jf</v>
      </c>
      <c r="E96" s="100" t="str">
        <v>mass of nitrogen in organic fertiliser type f applied to production system j</v>
      </c>
      <c r="F96" s="100"/>
      <c r="G96" s="100"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100" t="str">
        <v>FracGASM_soil</v>
      </c>
      <c r="E97" s="100" t="str">
        <v>fraction of organic fertiliser N that volatilises</v>
      </c>
      <c r="F97" s="100"/>
      <c r="G97" s="100" t="str">
        <v>(kg NH3-N + NOx-N)/kg N</v>
      </c>
      <c r="H97" s="82" t="str">
        <v>Constant</v>
      </c>
      <c r="I97" s="100">
        <f>Fertiliser_FracGASMSoil_Data</f>
        <v>0.21</v>
      </c>
    </row>
    <row r="98" spans="1:9" ht="20.100000000000001" customHeight="1" x14ac:dyDescent="0.25">
      <c r="A98"/>
    </row>
    <row r="99" spans="1:9" ht="20.100000000000001" customHeight="1" x14ac:dyDescent="0.25">
      <c r="A99"/>
      <c r="D99" s="88" t="s">
        <v>234</v>
      </c>
    </row>
    <row r="100" spans="1:9" ht="20.100000000000001" customHeight="1" x14ac:dyDescent="0.25">
      <c r="A100"/>
      <c r="D100" s="89" t="s">
        <v>235</v>
      </c>
    </row>
    <row r="101" spans="1:9" ht="20.100000000000001" customHeight="1" x14ac:dyDescent="0.25">
      <c r="A101"/>
      <c r="D101" s="91" t="s">
        <v>206</v>
      </c>
      <c r="E101" s="101" t="s">
        <v>210</v>
      </c>
      <c r="F101" s="101" t="s">
        <v>236</v>
      </c>
    </row>
    <row r="102" spans="1:9" ht="20.100000000000001" customHeight="1" x14ac:dyDescent="0.25">
      <c r="A102"/>
      <c r="D102" s="46" t="str" cm="1">
        <f t="array" ref="D102:D104">Table_Input_OrganicFertiliser[Organic fertiliser type (select)]</f>
        <v>Manure - Other</v>
      </c>
      <c r="E102" s="46">
        <f>INDEX(Table_MNSoil_j_f,2,6)</f>
        <v>300</v>
      </c>
      <c r="F102" s="46" cm="1">
        <f t="array" ref="F102">Fertiliser_Equations_AtmosphericDeposition.VEERG_5_4_1_3__2_MassOfNitrogenVolatilisedFromOrganicFertiliser(E102,$I$97)</f>
        <v>63</v>
      </c>
      <c r="G102" s="26" t="str">
        <f>$E$94</f>
        <v>kg N</v>
      </c>
    </row>
    <row r="103" spans="1:9" ht="20.100000000000001" customHeight="1" x14ac:dyDescent="0.25">
      <c r="A103"/>
      <c r="D103" s="46" t="str">
        <v>Manure - Poultry</v>
      </c>
      <c r="E103" s="46">
        <f>INDEX(Table_MNSoil_j_f,3,6)</f>
        <v>250</v>
      </c>
      <c r="F103" s="46" cm="1">
        <f t="array" ref="F103">Fertiliser_Equations_AtmosphericDeposition.VEERG_5_4_1_3__2_MassOfNitrogenVolatilisedFromOrganicFertiliser(E103,$I$97)</f>
        <v>52.5</v>
      </c>
    </row>
    <row r="104" spans="1:9" ht="20.100000000000001" customHeight="1" x14ac:dyDescent="0.25">
      <c r="A104"/>
      <c r="D104" s="46" t="str">
        <v>Other organic fertiliser</v>
      </c>
      <c r="E104" s="46">
        <f>INDEX(Table_MNSoil_j_f,4,6)</f>
        <v>160</v>
      </c>
      <c r="F104" s="46" cm="1">
        <f t="array" ref="F104">Fertiliser_Equations_AtmosphericDeposition.VEERG_5_4_1_3__2_MassOfNitrogenVolatilisedFromOrganicFertiliser(E104,$I$97)</f>
        <v>33.6</v>
      </c>
    </row>
    <row r="105" spans="1:9" ht="20.100000000000001" customHeight="1" x14ac:dyDescent="0.25">
      <c r="A105"/>
      <c r="D105" s="46"/>
      <c r="E105" s="46">
        <f>'5.2.1.1-2 Organic Fert N2O'!I23</f>
        <v>0</v>
      </c>
      <c r="F105" s="46" cm="1">
        <f t="array" ref="F105">Fertiliser_Equations_AtmosphericDeposition.VEERG_5_4_1_3__2_MassOfNitrogenVolatilisedFromOrganicFertiliser(E105,$I$97)</f>
        <v>0</v>
      </c>
    </row>
    <row r="106" spans="1:9" ht="20.100000000000001" customHeight="1" x14ac:dyDescent="0.25">
      <c r="A106"/>
      <c r="D106" s="46"/>
      <c r="E106" s="46">
        <f>'5.2.1.1-2 Organic Fert N2O'!I24</f>
        <v>0</v>
      </c>
      <c r="F106" s="46" cm="1">
        <f t="array" ref="F106">Fertiliser_Equations_AtmosphericDeposition.VEERG_5_4_1_3__2_MassOfNitrogenVolatilisedFromOrganicFertiliser(E106,$I$97)</f>
        <v>0</v>
      </c>
    </row>
    <row r="107" spans="1:9" ht="20.100000000000001" customHeight="1" x14ac:dyDescent="0.25">
      <c r="A107"/>
      <c r="D107" s="46"/>
      <c r="E107" s="46">
        <f>'5.2.1.1-2 Organic Fert N2O'!I25</f>
        <v>0</v>
      </c>
      <c r="F107" s="46" cm="1">
        <f t="array" ref="F107">Fertiliser_Equations_AtmosphericDeposition.VEERG_5_4_1_3__2_MassOfNitrogenVolatilisedFromOrganicFertiliser(E107,$I$97)</f>
        <v>0</v>
      </c>
    </row>
    <row r="108" spans="1:9" ht="20.100000000000001" customHeight="1" x14ac:dyDescent="0.25">
      <c r="A108"/>
      <c r="D108" s="46"/>
      <c r="E108" s="46">
        <f>'5.2.1.1-2 Organic Fert N2O'!I26</f>
        <v>0</v>
      </c>
      <c r="F108" s="46" cm="1">
        <f t="array" ref="F108">Fertiliser_Equations_AtmosphericDeposition.VEERG_5_4_1_3__2_MassOfNitrogenVolatilisedFromOrganicFertiliser(E108,$I$97)</f>
        <v>0</v>
      </c>
    </row>
    <row r="109" spans="1:9" ht="20.100000000000001" customHeight="1" x14ac:dyDescent="0.25">
      <c r="A109"/>
      <c r="D109" s="46"/>
      <c r="E109" s="46">
        <f>'5.2.1.1-2 Organic Fert N2O'!I27</f>
        <v>0</v>
      </c>
      <c r="F109" s="46" cm="1">
        <f t="array" ref="F109">Fertiliser_Equations_AtmosphericDeposition.VEERG_5_4_1_3__2_MassOfNitrogenVolatilisedFromOrganicFertiliser(E109,$I$97)</f>
        <v>0</v>
      </c>
    </row>
    <row r="110" spans="1:9" ht="20.100000000000001" customHeight="1" x14ac:dyDescent="0.25">
      <c r="A110"/>
      <c r="D110" s="46"/>
      <c r="E110" s="46">
        <f>'5.2.1.1-2 Organic Fert N2O'!I28</f>
        <v>0</v>
      </c>
      <c r="F110" s="46" cm="1">
        <f t="array" ref="F110">Fertiliser_Equations_AtmosphericDeposition.VEERG_5_4_1_3__2_MassOfNitrogenVolatilisedFromOrganicFertiliser(E110,$I$97)</f>
        <v>0</v>
      </c>
    </row>
    <row r="111" spans="1:9" ht="20.100000000000001" customHeight="1" x14ac:dyDescent="0.25">
      <c r="A111"/>
      <c r="D111" s="46"/>
      <c r="E111" s="46">
        <f>'5.2.1.1-2 Organic Fert N2O'!I29</f>
        <v>0</v>
      </c>
      <c r="F111" s="46" cm="1">
        <f t="array" ref="F111">Fertiliser_Equations_AtmosphericDeposition.VEERG_5_4_1_3__2_MassOfNitrogenVolatilisedFromOrganicFertiliser(E111,$I$97)</f>
        <v>0</v>
      </c>
    </row>
    <row r="112" spans="1:9" ht="20.100000000000001" customHeight="1" x14ac:dyDescent="0.25">
      <c r="A112"/>
      <c r="D112" s="46"/>
      <c r="E112" s="46">
        <f>'5.2.1.1-2 Organic Fert N2O'!I30</f>
        <v>0</v>
      </c>
      <c r="F112" s="46"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7"/>
      <c r="D115" s="107"/>
      <c r="E115" s="107"/>
      <c r="F115" s="107"/>
      <c r="G115" s="107"/>
      <c r="H115" s="107"/>
      <c r="I115" s="107"/>
      <c r="J115" s="107"/>
      <c r="K115" s="107"/>
      <c r="L115" s="107"/>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7" t="s">
        <v>162</v>
      </c>
      <c r="E118" s="77"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4" t="s">
        <v>163</v>
      </c>
      <c r="E121" s="15" t="str" cm="1">
        <f t="array" ref="E121">Fertiliser_Equations_AtmosphericDeposition.VEERG_5_4_1_3__1_OrganicFertiliserAtmosphericDepositionN2OEmissions_Variable()</f>
        <v>E_adorganic</v>
      </c>
    </row>
    <row r="122" spans="1:12" ht="20.100000000000001" customHeight="1" x14ac:dyDescent="0.25">
      <c r="A122"/>
      <c r="D122" s="64" t="s">
        <v>164</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0"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0"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100" t="str">
        <v>EF_N2Oj</v>
      </c>
      <c r="E125" s="108" t="str">
        <v>emission factor for atmospheric deposition in production system j</v>
      </c>
      <c r="F125" s="110"/>
      <c r="G125" s="100" t="str">
        <v>kg N2O-N/kg N</v>
      </c>
      <c r="H125" s="82" t="str">
        <v>Constant</v>
      </c>
      <c r="I125" s="10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0" t="str">
        <v>C_N2O</v>
      </c>
      <c r="E126" s="108" t="str">
        <v>factor to convert elemental mass of nitrous oxide to molecular mass</v>
      </c>
      <c r="F126" s="110"/>
      <c r="G126" s="100"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100" t="str">
        <v>j</v>
      </c>
      <c r="E127" s="108" t="str">
        <v>Production system</v>
      </c>
      <c r="F127" s="110"/>
      <c r="G127" s="100" t="str">
        <v/>
      </c>
      <c r="H127" s="81" t="str">
        <v>Input</v>
      </c>
      <c r="I127" s="100" t="str">
        <f>X_Cell_Fertiliser_ProductionSystem</f>
        <v>Crop</v>
      </c>
    </row>
    <row r="128" spans="1:12" ht="20.100000000000001" customHeight="1" x14ac:dyDescent="0.25">
      <c r="A128"/>
      <c r="D128" s="100" t="str">
        <v>ir</v>
      </c>
      <c r="E128" s="108" t="str">
        <v>irrigation method</v>
      </c>
      <c r="F128" s="110"/>
      <c r="G128" s="100" t="str">
        <v/>
      </c>
      <c r="H128" s="81" t="str">
        <v>Input</v>
      </c>
      <c r="I128" s="100" t="str">
        <f>X_Cell_Fertiliser_IrrigationMethod</f>
        <v>Sprinkler irrigation</v>
      </c>
    </row>
    <row r="129" spans="1:9" ht="20.100000000000001" customHeight="1" x14ac:dyDescent="0.25">
      <c r="A129"/>
      <c r="D129" s="100" t="str">
        <v>r</v>
      </c>
      <c r="E129" s="108" t="str">
        <v>rainfall region</v>
      </c>
      <c r="F129" s="110"/>
      <c r="G129" s="100" t="str">
        <v/>
      </c>
      <c r="H129" s="81" t="str">
        <v>Input</v>
      </c>
      <c r="I129" s="100" t="str">
        <f>X_Cell_Site_RainfallZone</f>
        <v>Low rainfall</v>
      </c>
    </row>
    <row r="130" spans="1:9" ht="20.100000000000001" customHeight="1" x14ac:dyDescent="0.25">
      <c r="A130"/>
    </row>
    <row r="131" spans="1:9" ht="20.100000000000001" customHeight="1" x14ac:dyDescent="0.25">
      <c r="A131"/>
      <c r="D131" s="88" t="s">
        <v>237</v>
      </c>
    </row>
    <row r="132" spans="1:9" ht="20.100000000000001" customHeight="1" x14ac:dyDescent="0.25">
      <c r="A132"/>
      <c r="D132" s="89" t="s">
        <v>238</v>
      </c>
    </row>
    <row r="133" spans="1:9" ht="20.100000000000001" customHeight="1" x14ac:dyDescent="0.25">
      <c r="A133"/>
      <c r="D133" s="91" t="s">
        <v>206</v>
      </c>
      <c r="E133" s="101" t="s">
        <v>236</v>
      </c>
      <c r="F133" s="101" t="s">
        <v>239</v>
      </c>
    </row>
    <row r="134" spans="1:9" ht="20.100000000000001" customHeight="1" x14ac:dyDescent="0.25">
      <c r="A134"/>
      <c r="D134" s="46" t="str" cm="1">
        <f t="array" ref="D134:D136">Table_Input_OrganicFertiliser[Organic fertiliser type (select)]</f>
        <v>Manure - Other</v>
      </c>
      <c r="E134" s="46">
        <f>F102</f>
        <v>63</v>
      </c>
      <c r="F134" s="46" cm="1">
        <f t="array" ref="F134">Fertiliser_Equations_AtmosphericDeposition.VEERG_5_4_1_3__1_OrganicFertiliserAtmosphericDepositionN2OEmissions(E134,$I$125,$I$126)</f>
        <v>6.9299999999999993E-4</v>
      </c>
    </row>
    <row r="135" spans="1:9" ht="20.100000000000001" customHeight="1" x14ac:dyDescent="0.25">
      <c r="A135"/>
      <c r="D135" s="46" t="str">
        <v>Manure - Poultry</v>
      </c>
      <c r="E135" s="46">
        <f t="shared" ref="E135:E144" si="1">F103</f>
        <v>52.5</v>
      </c>
      <c r="F135" s="46" cm="1">
        <f t="array" ref="F135">Fertiliser_Equations_AtmosphericDeposition.VEERG_5_4_1_3__1_OrganicFertiliserAtmosphericDepositionN2OEmissions(E135,$I$125,$I$126)</f>
        <v>5.775E-4</v>
      </c>
    </row>
    <row r="136" spans="1:9" ht="20.100000000000001" customHeight="1" x14ac:dyDescent="0.25">
      <c r="A136"/>
      <c r="D136" s="46" t="str">
        <v>Other organic fertiliser</v>
      </c>
      <c r="E136" s="46">
        <f t="shared" si="1"/>
        <v>33.6</v>
      </c>
      <c r="F136" s="46" cm="1">
        <f t="array" ref="F136">Fertiliser_Equations_AtmosphericDeposition.VEERG_5_4_1_3__1_OrganicFertiliserAtmosphericDepositionN2OEmissions(E136,$I$125,$I$126)</f>
        <v>3.6960000000000004E-4</v>
      </c>
    </row>
    <row r="137" spans="1:9" ht="20.100000000000001" customHeight="1" x14ac:dyDescent="0.25">
      <c r="A137"/>
      <c r="D137" s="46"/>
      <c r="E137" s="46">
        <f t="shared" si="1"/>
        <v>0</v>
      </c>
      <c r="F137" s="46" cm="1">
        <f t="array" ref="F137">Fertiliser_Equations_AtmosphericDeposition.VEERG_5_4_1_3__1_OrganicFertiliserAtmosphericDepositionN2OEmissions(E137,$I$125,$I$126)</f>
        <v>0</v>
      </c>
    </row>
    <row r="138" spans="1:9" ht="20.100000000000001" customHeight="1" x14ac:dyDescent="0.25">
      <c r="A138"/>
      <c r="D138" s="46"/>
      <c r="E138" s="46">
        <f t="shared" si="1"/>
        <v>0</v>
      </c>
      <c r="F138" s="46" cm="1">
        <f t="array" ref="F138">Fertiliser_Equations_AtmosphericDeposition.VEERG_5_4_1_3__1_OrganicFertiliserAtmosphericDepositionN2OEmissions(E138,$I$125,$I$126)</f>
        <v>0</v>
      </c>
    </row>
    <row r="139" spans="1:9" ht="20.100000000000001" customHeight="1" x14ac:dyDescent="0.25">
      <c r="A139"/>
      <c r="D139" s="46"/>
      <c r="E139" s="46">
        <f t="shared" si="1"/>
        <v>0</v>
      </c>
      <c r="F139" s="46" cm="1">
        <f t="array" ref="F139">Fertiliser_Equations_AtmosphericDeposition.VEERG_5_4_1_3__1_OrganicFertiliserAtmosphericDepositionN2OEmissions(E139,$I$125,$I$126)</f>
        <v>0</v>
      </c>
    </row>
    <row r="140" spans="1:9" ht="20.100000000000001" customHeight="1" x14ac:dyDescent="0.25">
      <c r="A140"/>
      <c r="D140" s="46"/>
      <c r="E140" s="46">
        <f t="shared" si="1"/>
        <v>0</v>
      </c>
      <c r="F140" s="46" cm="1">
        <f t="array" ref="F140">Fertiliser_Equations_AtmosphericDeposition.VEERG_5_4_1_3__1_OrganicFertiliserAtmosphericDepositionN2OEmissions(E140,$I$125,$I$126)</f>
        <v>0</v>
      </c>
    </row>
    <row r="141" spans="1:9" ht="20.100000000000001" customHeight="1" x14ac:dyDescent="0.25">
      <c r="A141"/>
      <c r="D141" s="46"/>
      <c r="E141" s="46">
        <f t="shared" si="1"/>
        <v>0</v>
      </c>
      <c r="F141" s="46" cm="1">
        <f t="array" ref="F141">Fertiliser_Equations_AtmosphericDeposition.VEERG_5_4_1_3__1_OrganicFertiliserAtmosphericDepositionN2OEmissions(E141,$I$125,$I$126)</f>
        <v>0</v>
      </c>
    </row>
    <row r="142" spans="1:9" ht="20.100000000000001" customHeight="1" x14ac:dyDescent="0.25">
      <c r="A142"/>
      <c r="D142" s="46"/>
      <c r="E142" s="46">
        <f t="shared" si="1"/>
        <v>0</v>
      </c>
      <c r="F142" s="46" cm="1">
        <f t="array" ref="F142">Fertiliser_Equations_AtmosphericDeposition.VEERG_5_4_1_3__1_OrganicFertiliserAtmosphericDepositionN2OEmissions(E142,$I$125,$I$126)</f>
        <v>0</v>
      </c>
    </row>
    <row r="143" spans="1:9" ht="20.100000000000001" customHeight="1" x14ac:dyDescent="0.25">
      <c r="A143"/>
      <c r="D143" s="46"/>
      <c r="E143" s="46">
        <f t="shared" si="1"/>
        <v>0</v>
      </c>
      <c r="F143" s="46" cm="1">
        <f t="array" ref="F143">Fertiliser_Equations_AtmosphericDeposition.VEERG_5_4_1_3__1_OrganicFertiliserAtmosphericDepositionN2OEmissions(E143,$I$125,$I$126)</f>
        <v>0</v>
      </c>
    </row>
    <row r="144" spans="1:9" ht="20.100000000000001" customHeight="1" x14ac:dyDescent="0.25">
      <c r="A144"/>
      <c r="D144" s="46"/>
      <c r="E144" s="46">
        <f t="shared" si="1"/>
        <v>0</v>
      </c>
      <c r="F144" s="46"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5" t="s">
        <v>240</v>
      </c>
      <c r="E146" s="96">
        <f>SUM(F134:F144)</f>
        <v>1.6401E-3</v>
      </c>
      <c r="F146" s="97"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8"/>
      <c r="G148" s="46">
        <f>VEERG_5_4_1_3__1_OrganicFertiliserAtmosphericDepositionN2OEmissions_Result_Method1</f>
        <v>1.6401E-3</v>
      </c>
    </row>
    <row r="149" spans="1:7" ht="20.100000000000001" customHeight="1" x14ac:dyDescent="0.25">
      <c r="A149"/>
      <c r="D149" s="78" t="str">
        <v>GWPN2O</v>
      </c>
      <c r="E149" s="79" t="str">
        <v>Global warming potential for nitrous oxide (t CO2-e / t N2O)</v>
      </c>
      <c r="F149" s="98"/>
      <c r="G149" s="46">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2" t="s">
        <v>194</v>
      </c>
      <c r="E151" s="92" cm="1">
        <f t="array" ref="E151">Common_Equations.Common_ConvertN2OToCO2e(G148,G149)</f>
        <v>0.43462650000000003</v>
      </c>
      <c r="F151" s="99"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F1E68-B3CB-49AF-BE6A-7436D47F8EC2}">
  <dimension ref="A1:T165"/>
  <sheetViews>
    <sheetView showGridLines="0" topLeftCell="A29"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241</v>
      </c>
    </row>
    <row r="2" spans="1:20" s="9" customFormat="1" ht="20.100000000000001" customHeight="1" x14ac:dyDescent="0.25">
      <c r="A2"/>
    </row>
    <row r="3" spans="1:20" ht="20.100000000000001" customHeight="1" x14ac:dyDescent="0.25">
      <c r="A3" s="28" t="str">
        <f>HYPERLINK("#'Home'!A1", "Home")</f>
        <v>Home</v>
      </c>
      <c r="C3" s="12"/>
      <c r="D3" s="12" t="s">
        <v>160</v>
      </c>
      <c r="E3" s="12"/>
      <c r="F3" s="12"/>
      <c r="G3" s="12"/>
      <c r="H3" s="12"/>
      <c r="I3" s="12"/>
      <c r="J3" s="12"/>
      <c r="K3" s="12"/>
      <c r="M3" s="12"/>
      <c r="N3" s="12" t="s">
        <v>161</v>
      </c>
      <c r="O3" s="12"/>
      <c r="P3" s="12"/>
      <c r="Q3" s="12"/>
      <c r="R3" s="12"/>
      <c r="S3" s="12"/>
      <c r="T3" s="12"/>
    </row>
    <row r="4" spans="1:20" ht="20.100000000000001" customHeight="1" x14ac:dyDescent="0.25">
      <c r="A4" s="28"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5" t="s">
        <v>91</v>
      </c>
      <c r="D7" s="77" t="s">
        <v>162</v>
      </c>
      <c r="E7" s="77" t="str" cm="1">
        <f t="array" aca="1" ref="E7" ca="1">Common_InputFunctions.Utility_DisplayFunctionName(F23)</f>
        <v>=Fertiliser_Equations_LeachingAndRunoff.VEERG_5_5_1_1__2_MassOfNitrogenLeachedFromInorganicFertiliser</v>
      </c>
    </row>
    <row r="8" spans="1:20" ht="20.100000000000001" customHeight="1" x14ac:dyDescent="0.25">
      <c r="A8" s="28" t="str">
        <f>HYPERLINK("#'Input - Planting'!A1", "Planting")</f>
        <v>Planting</v>
      </c>
    </row>
    <row r="9" spans="1:20" ht="20.100000000000001" customHeight="1" x14ac:dyDescent="0.25">
      <c r="A9" s="28" t="str">
        <f>HYPERLINK("#'Input - Fertiliser'!A1", "Fertiliser")</f>
        <v>Fertiliser</v>
      </c>
    </row>
    <row r="10" spans="1:20" ht="20.100000000000001" customHeight="1" x14ac:dyDescent="0.25">
      <c r="A10" s="28" t="str">
        <f>HYPERLINK("#'Input - Fuel'!A1", "Fuel")</f>
        <v>Fuel</v>
      </c>
      <c r="D10" s="64" t="s">
        <v>163</v>
      </c>
      <c r="E10" s="15" t="str" cm="1">
        <f t="array" ref="E10">Fertiliser_Equations_LeachingAndRunoff.VEERG_5_5_1_1__2_MassOfNitrogenLeachedFromInorganicFertiliser_Variable()</f>
        <v>M_leachinorganicj</v>
      </c>
    </row>
    <row r="11" spans="1:20" ht="20.100000000000001" customHeight="1" x14ac:dyDescent="0.25">
      <c r="A11" s="28" t="str">
        <f>HYPERLINK("#'Input - Fert Prod System'!A1", "Fert Prod System")</f>
        <v>Fert Prod System</v>
      </c>
      <c r="D11" s="64" t="s">
        <v>164</v>
      </c>
      <c r="E11" s="20" t="str" cm="1">
        <f t="array" ref="E11">Fertiliser_Equations_LeachingAndRunoff.VEERG_5_5_1_1__2_MassOfNitrogenLeachedFromInorganicFertiliser_Unit()</f>
        <v>kg N</v>
      </c>
    </row>
    <row r="12" spans="1:20" ht="20.100000000000001" customHeight="1" x14ac:dyDescent="0.25">
      <c r="A12" s="28" t="str">
        <f>HYPERLINK("#'Input - Site'!A1", "Site")</f>
        <v>Site</v>
      </c>
    </row>
    <row r="13" spans="1:20" ht="20.100000000000001" customHeight="1" x14ac:dyDescent="0.25">
      <c r="A13"/>
      <c r="D13" s="100" t="str" cm="1">
        <f t="array" ref="D13:E18">_xlfn.CHOOSECOLS(Fertiliser_Equations_LeachingAndRunoff.VEERG_5_5_1_1__2_MassOfNitrogenLeachedFromInorganicFertiliser_Arguments(), 1, 2)</f>
        <v>MN_jf</v>
      </c>
      <c r="E13" s="108" t="str">
        <v>mass of nitrogen in inorganic fertiliser</v>
      </c>
      <c r="F13" s="110"/>
      <c r="G13" s="100"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c r="D14" s="100" t="str">
        <v>FracWETj</v>
      </c>
      <c r="E14" s="108" t="str">
        <v>fraction of N available for leaching and runoff</v>
      </c>
      <c r="F14" s="110"/>
      <c r="G14" s="100" t="str">
        <v>fraction</v>
      </c>
      <c r="H14" s="82" t="str">
        <v>Constant</v>
      </c>
      <c r="I14" s="10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48" t="s">
        <v>116</v>
      </c>
      <c r="D15" s="100" t="str">
        <v>FracLEACH</v>
      </c>
      <c r="E15" s="108" t="str">
        <v>fraction of N that is lost through leaching and runoff</v>
      </c>
      <c r="F15" s="110"/>
      <c r="G15" s="100" t="str">
        <v>fraction</v>
      </c>
      <c r="H15" s="82" t="str">
        <v>Constant</v>
      </c>
      <c r="I15" s="100">
        <f>Fertiliser_FracLEACH_Data</f>
        <v>0.24</v>
      </c>
    </row>
    <row r="16" spans="1:20" ht="20.100000000000001" customHeight="1" x14ac:dyDescent="0.25">
      <c r="A16" s="28" t="str">
        <f>HYPERLINK("#'5.1.1.1-2 Inorganic fert N2O'!A1", "5.1.1.1-2 Inorganic fert N2O")</f>
        <v>5.1.1.1-2 Inorganic fert N2O</v>
      </c>
      <c r="D16" s="100" t="str">
        <v>z</v>
      </c>
      <c r="E16" s="108" t="str">
        <v>location in leaching zone</v>
      </c>
      <c r="F16" s="110"/>
      <c r="G16" s="100" t="str">
        <v/>
      </c>
      <c r="H16" s="81" t="str">
        <v>Input</v>
      </c>
      <c r="I16" s="100" t="str">
        <f>X_Cell_Site_LeachingZone</f>
        <v>NO - Not in leaching zone</v>
      </c>
    </row>
    <row r="17" spans="1:9" ht="20.100000000000001" customHeight="1" x14ac:dyDescent="0.25">
      <c r="A17" s="28" t="str">
        <f>HYPERLINK("#'5.1.1.3-4 Inorganic fert CO2'!A1", "5.1.1.3-4 Inorganic fert CO2")</f>
        <v>5.1.1.3-4 Inorganic fert CO2</v>
      </c>
      <c r="D17" s="100" t="str">
        <v>j</v>
      </c>
      <c r="E17" s="108" t="str">
        <v>production system</v>
      </c>
      <c r="F17" s="110"/>
      <c r="G17" s="100" t="str">
        <v/>
      </c>
      <c r="H17" s="81" t="str">
        <v>Input</v>
      </c>
      <c r="I17" s="100" t="str">
        <f>X_Cell_Fertiliser_ProductionSystem</f>
        <v>Crop</v>
      </c>
    </row>
    <row r="18" spans="1:9" ht="20.100000000000001" customHeight="1" x14ac:dyDescent="0.25">
      <c r="A18" s="28" t="str">
        <f>HYPERLINK("#'5.2.1.1-2 Organic Fert N2O'!A1", "5.2.1.1-2 Organic fert N2O")</f>
        <v>5.2.1.1-2 Organic fert N2O</v>
      </c>
      <c r="D18" s="100" t="str">
        <v>ir</v>
      </c>
      <c r="E18" s="108" t="str">
        <v>irrigation method</v>
      </c>
      <c r="F18" s="110"/>
      <c r="G18" s="100" t="str">
        <v/>
      </c>
      <c r="H18" s="81" t="str">
        <v>Input</v>
      </c>
      <c r="I18" s="100" t="str">
        <f>X_Cell_Fertiliser_IrrigationMethod</f>
        <v>Sprinkler irrigation</v>
      </c>
    </row>
    <row r="19" spans="1:9" ht="20.100000000000001" customHeight="1" x14ac:dyDescent="0.25">
      <c r="A19" s="28" t="str">
        <f>HYPERLINK("#'5.3.1.1-2 Lime CO2'!A1", "5.3.1.1-2 Lime CO2")</f>
        <v>5.3.1.1-2 Lime CO2</v>
      </c>
    </row>
    <row r="20" spans="1:9" ht="20.100000000000001" customHeight="1" x14ac:dyDescent="0.25">
      <c r="A20" s="28" t="str">
        <f>HYPERLINK("#'5.4.1.1-4 Atmos deposition'!A1", "5.4.1.1-4 Atmos. deposition")</f>
        <v>5.4.1.1-4 Atmos. deposition</v>
      </c>
      <c r="D20" s="88" t="s">
        <v>242</v>
      </c>
    </row>
    <row r="21" spans="1:9" ht="20.100000000000001" customHeight="1" x14ac:dyDescent="0.25">
      <c r="A21" s="86" t="str">
        <f>HYPERLINK("#'5.5.1.1-2 Leaching and runoff'!A1", "5.5.1.1-2 Leaching &amp; runoff")</f>
        <v>5.5.1.1-2 Leaching &amp; runoff</v>
      </c>
      <c r="D21" s="89" t="s">
        <v>243</v>
      </c>
    </row>
    <row r="22" spans="1:9" ht="20.100000000000001" customHeight="1" x14ac:dyDescent="0.25">
      <c r="A22" s="28" t="str">
        <f>HYPERLINK("#'8.1.1.1-2 Transport fuel'!A1", "8.1.1.1-2 Transport fuel")</f>
        <v>8.1.1.1-2 Transport fuel</v>
      </c>
      <c r="D22" s="90" t="s">
        <v>168</v>
      </c>
      <c r="E22" s="90" t="s">
        <v>226</v>
      </c>
      <c r="F22" s="90" t="s">
        <v>244</v>
      </c>
    </row>
    <row r="23" spans="1:9" ht="20.100000000000001" customHeight="1" x14ac:dyDescent="0.25">
      <c r="A23" s="28" t="str">
        <f>HYPERLINK("#'8.2.1.1-2 Stationary fuel'!A1", "8.2.1.1-2 Stationary fuel")</f>
        <v>8.2.1.1-2 Stationary fuel</v>
      </c>
      <c r="D23" s="46" t="str" cm="1">
        <f t="array" ref="D23:D41">Table_Fertiliser_ChemicalCompounds[Fertiliser type f]</f>
        <v>Monoammonium phosphate (MAP)</v>
      </c>
      <c r="E23" s="46">
        <f>INDEX(Table_MN_j_f,2,4)</f>
        <v>0</v>
      </c>
      <c r="F23" s="46" cm="1">
        <f t="array" ref="F23">Fertiliser_Equations_LeachingAndRunoff.VEERG_5_5_1_1__2_MassOfNitrogenLeachedFromInorganicFertiliser(E23, $I$14, $I$15)</f>
        <v>0</v>
      </c>
    </row>
    <row r="24" spans="1:9" ht="20.100000000000001" customHeight="1" x14ac:dyDescent="0.25">
      <c r="A24"/>
      <c r="D24" s="46" t="str">
        <v>Diammonium phosphate (DAP)</v>
      </c>
      <c r="E24" s="46">
        <f>INDEX(Table_MN_j_f,3,4)</f>
        <v>0</v>
      </c>
      <c r="F24" s="46" cm="1">
        <f t="array" ref="F24">Fertiliser_Equations_LeachingAndRunoff.VEERG_5_5_1_1__2_MassOfNitrogenLeachedFromInorganicFertiliser(E24, $I$14, $I$15)</f>
        <v>0</v>
      </c>
    </row>
    <row r="25" spans="1:9" ht="20.100000000000001" customHeight="1" x14ac:dyDescent="0.25">
      <c r="A25"/>
      <c r="D25" s="46" t="str">
        <v>Urea</v>
      </c>
      <c r="E25" s="46">
        <f>INDEX(Table_MN_j_f,4,4)</f>
        <v>4600</v>
      </c>
      <c r="F25" s="46" cm="1">
        <f t="array" ref="F25">Fertiliser_Equations_LeachingAndRunoff.VEERG_5_5_1_1__2_MassOfNitrogenLeachedFromInorganicFertiliser(E25, $I$14, $I$15)</f>
        <v>1104</v>
      </c>
    </row>
    <row r="26" spans="1:9" ht="20.100000000000001" customHeight="1" x14ac:dyDescent="0.25">
      <c r="A26" s="66" t="s">
        <v>133</v>
      </c>
      <c r="D26" s="46" t="str">
        <v>Sulphate of ammonia (SOA)</v>
      </c>
      <c r="E26" s="46">
        <f>INDEX(Table_MN_j_f,5,4)</f>
        <v>0</v>
      </c>
      <c r="F26" s="46" cm="1">
        <f t="array" ref="F26">Fertiliser_Equations_LeachingAndRunoff.VEERG_5_5_1_1__2_MassOfNitrogenLeachedFromInorganicFertiliser(E26, $I$14, $I$15)</f>
        <v>0</v>
      </c>
    </row>
    <row r="27" spans="1:9" ht="20.100000000000001" customHeight="1" x14ac:dyDescent="0.25">
      <c r="A27" s="28" t="str">
        <f>HYPERLINK("#'Constants - Fertiliser'!A1", "Constants - Fertiliser")</f>
        <v>Constants - Fertiliser</v>
      </c>
      <c r="D27" s="46" t="str">
        <v>Urea-ammonium nitrate (UAN)</v>
      </c>
      <c r="E27" s="46">
        <f>INDEX(Table_MN_j_f,6,4)</f>
        <v>0</v>
      </c>
      <c r="F27" s="46" cm="1">
        <f t="array" ref="F27">Fertiliser_Equations_LeachingAndRunoff.VEERG_5_5_1_1__2_MassOfNitrogenLeachedFromInorganicFertiliser(E27, $I$14, $I$15)</f>
        <v>0</v>
      </c>
    </row>
    <row r="28" spans="1:9" ht="20.100000000000001" customHeight="1" x14ac:dyDescent="0.25">
      <c r="A28" s="28" t="str">
        <f>HYPERLINK("#'Constants - Fuel'!A1", "Constants - Fuel")</f>
        <v>Constants - Fuel</v>
      </c>
      <c r="D28" s="46" t="str">
        <v>Ammonium nitrate (AN)</v>
      </c>
      <c r="E28" s="46">
        <f>INDEX(Table_MN_j_f,7,4)</f>
        <v>0</v>
      </c>
      <c r="F28" s="46" cm="1">
        <f t="array" ref="F28">Fertiliser_Equations_LeachingAndRunoff.VEERG_5_5_1_1__2_MassOfNitrogenLeachedFromInorganicFertiliser(E28, $I$14, $I$15)</f>
        <v>0</v>
      </c>
    </row>
    <row r="29" spans="1:9" ht="20.100000000000001" customHeight="1" x14ac:dyDescent="0.25">
      <c r="A29" s="28" t="str">
        <f>HYPERLINK("#'Constants - Common'!A1", "Constants - Common")</f>
        <v>Constants - Common</v>
      </c>
      <c r="D29" s="46" t="str">
        <v>Calcium ammonium nitrate (CAN)</v>
      </c>
      <c r="E29" s="46">
        <f>INDEX(Table_MN_j_f,8,4)</f>
        <v>0</v>
      </c>
      <c r="F29" s="46" cm="1">
        <f t="array" ref="F29">Fertiliser_Equations_LeachingAndRunoff.VEERG_5_5_1_1__2_MassOfNitrogenLeachedFromInorganicFertiliser(E29, $I$14, $I$15)</f>
        <v>0</v>
      </c>
    </row>
    <row r="30" spans="1:9" ht="20.100000000000001" customHeight="1" x14ac:dyDescent="0.25">
      <c r="A30"/>
      <c r="D30" s="46" t="str">
        <v>Nitrogen - Ammoniacal</v>
      </c>
      <c r="E30" s="46">
        <f>INDEX(Table_MN_j_f,9,4)</f>
        <v>0</v>
      </c>
      <c r="F30" s="46" cm="1">
        <f t="array" ref="F30">Fertiliser_Equations_LeachingAndRunoff.VEERG_5_5_1_1__2_MassOfNitrogenLeachedFromInorganicFertiliser(E30, $I$14, $I$15)</f>
        <v>0</v>
      </c>
    </row>
    <row r="31" spans="1:9" ht="20.100000000000001" customHeight="1" x14ac:dyDescent="0.25">
      <c r="A31"/>
      <c r="D31" s="46" t="str">
        <v>Nitrogen - Nitrate</v>
      </c>
      <c r="E31" s="46">
        <f>INDEX(Table_MN_j_f,10,4)</f>
        <v>1980</v>
      </c>
      <c r="F31" s="46" cm="1">
        <f t="array" ref="F31">Fertiliser_Equations_LeachingAndRunoff.VEERG_5_5_1_1__2_MassOfNitrogenLeachedFromInorganicFertiliser(E31, $I$14, $I$15)</f>
        <v>475.2</v>
      </c>
    </row>
    <row r="32" spans="1:9" ht="20.100000000000001" customHeight="1" x14ac:dyDescent="0.25">
      <c r="A32"/>
      <c r="D32" s="46" t="str">
        <v>Nitrogen - Generic</v>
      </c>
      <c r="E32" s="46">
        <f>INDEX(Table_MN_j_f,11,4)</f>
        <v>1537.2</v>
      </c>
      <c r="F32" s="46" cm="1">
        <f t="array" ref="F32">Fertiliser_Equations_LeachingAndRunoff.VEERG_5_5_1_1__2_MassOfNitrogenLeachedFromInorganicFertiliser(E32, $I$14, $I$15)</f>
        <v>368.928</v>
      </c>
    </row>
    <row r="33" spans="1:11" ht="20.100000000000001" customHeight="1" x14ac:dyDescent="0.25">
      <c r="A33"/>
      <c r="D33" s="46" t="str">
        <v>Phosphorus - Generic</v>
      </c>
      <c r="E33" s="46">
        <f>INDEX(Table_MN_j_f,12,4)</f>
        <v>0</v>
      </c>
      <c r="F33" s="46" cm="1">
        <f t="array" ref="F33">Fertiliser_Equations_LeachingAndRunoff.VEERG_5_5_1_1__2_MassOfNitrogenLeachedFromInorganicFertiliser(E33, $I$14, $I$15)</f>
        <v>0</v>
      </c>
    </row>
    <row r="34" spans="1:11" ht="20.100000000000001" customHeight="1" x14ac:dyDescent="0.25">
      <c r="A34"/>
      <c r="D34" s="46" t="str">
        <v>Potassium - Generic</v>
      </c>
      <c r="E34" s="46">
        <f>INDEX(Table_MN_j_f,13,4)</f>
        <v>0</v>
      </c>
      <c r="F34" s="46" cm="1">
        <f t="array" ref="F34">Fertiliser_Equations_LeachingAndRunoff.VEERG_5_5_1_1__2_MassOfNitrogenLeachedFromInorganicFertiliser(E34, $I$14, $I$15)</f>
        <v>0</v>
      </c>
    </row>
    <row r="35" spans="1:11" ht="20.100000000000001" customHeight="1" x14ac:dyDescent="0.25">
      <c r="A35"/>
      <c r="D35" s="46" t="str">
        <v>Sulfur - Generic</v>
      </c>
      <c r="E35" s="46">
        <f>INDEX(Table_MN_j_f,14,4)</f>
        <v>0</v>
      </c>
      <c r="F35" s="46" cm="1">
        <f t="array" ref="F35">Fertiliser_Equations_LeachingAndRunoff.VEERG_5_5_1_1__2_MassOfNitrogenLeachedFromInorganicFertiliser(E35, $I$14, $I$15)</f>
        <v>0</v>
      </c>
    </row>
    <row r="36" spans="1:11" ht="20.100000000000001" customHeight="1" x14ac:dyDescent="0.25">
      <c r="A36"/>
      <c r="D36" s="46" t="str">
        <v>Zinc - Generic</v>
      </c>
      <c r="E36" s="46">
        <f>INDEX(Table_MN_j_f,15,4)</f>
        <v>0</v>
      </c>
      <c r="F36" s="46" cm="1">
        <f t="array" ref="F36">Fertiliser_Equations_LeachingAndRunoff.VEERG_5_5_1_1__2_MassOfNitrogenLeachedFromInorganicFertiliser(E36, $I$14, $I$15)</f>
        <v>0</v>
      </c>
    </row>
    <row r="37" spans="1:11" ht="20.100000000000001" customHeight="1" x14ac:dyDescent="0.25">
      <c r="A37"/>
      <c r="D37" s="46" t="str">
        <v>Muriate of potash (MOP)</v>
      </c>
      <c r="E37" s="46">
        <f>INDEX(Table_MN_j_f,16,4)</f>
        <v>0</v>
      </c>
      <c r="F37" s="46" cm="1">
        <f t="array" ref="F37">Fertiliser_Equations_LeachingAndRunoff.VEERG_5_5_1_1__2_MassOfNitrogenLeachedFromInorganicFertiliser(E37, $I$14, $I$15)</f>
        <v>0</v>
      </c>
    </row>
    <row r="38" spans="1:11" ht="20.100000000000001" customHeight="1" x14ac:dyDescent="0.25">
      <c r="A38"/>
      <c r="D38" s="46" t="str">
        <v>Double superphosphate</v>
      </c>
      <c r="E38" s="46">
        <f>INDEX(Table_MN_j_f,17,4)</f>
        <v>0</v>
      </c>
      <c r="F38" s="46" cm="1">
        <f t="array" ref="F38">Fertiliser_Equations_LeachingAndRunoff.VEERG_5_5_1_1__2_MassOfNitrogenLeachedFromInorganicFertiliser(E38, $I$14, $I$15)</f>
        <v>0</v>
      </c>
    </row>
    <row r="39" spans="1:11" ht="20.100000000000001" customHeight="1" x14ac:dyDescent="0.25">
      <c r="A39"/>
      <c r="D39" s="46" t="str">
        <v>Single superphosphate (SSP)</v>
      </c>
      <c r="E39" s="46">
        <f>INDEX(Table_MN_j_f,18,4)</f>
        <v>0</v>
      </c>
      <c r="F39" s="46" cm="1">
        <f t="array" ref="F39">Fertiliser_Equations_LeachingAndRunoff.VEERG_5_5_1_1__2_MassOfNitrogenLeachedFromInorganicFertiliser(E39, $I$14, $I$15)</f>
        <v>0</v>
      </c>
    </row>
    <row r="40" spans="1:11" ht="20.100000000000001" customHeight="1" x14ac:dyDescent="0.25">
      <c r="A40"/>
      <c r="D40" s="46" t="str">
        <v>Ammonia</v>
      </c>
      <c r="E40" s="46">
        <f>INDEX(Table_MN_j_f,19,4)</f>
        <v>4117.5</v>
      </c>
      <c r="F40" s="46" cm="1">
        <f t="array" ref="F40">Fertiliser_Equations_LeachingAndRunoff.VEERG_5_5_1_1__2_MassOfNitrogenLeachedFromInorganicFertiliser(E40, $I$14, $I$15)</f>
        <v>988.19999999999993</v>
      </c>
    </row>
    <row r="41" spans="1:11" ht="20.100000000000001" customHeight="1" x14ac:dyDescent="0.25">
      <c r="A41"/>
      <c r="D41" s="46" t="str">
        <v>Calcium nitrate</v>
      </c>
      <c r="E41" s="46">
        <f>INDEX(Table_MN_j_f,20,4)</f>
        <v>775</v>
      </c>
      <c r="F41" s="46"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5" t="s">
        <v>245</v>
      </c>
      <c r="E43" s="92">
        <f>SUM(F23:F41)</f>
        <v>3122.328</v>
      </c>
      <c r="F43" s="99" t="str">
        <f>$E$11</f>
        <v>kg N</v>
      </c>
    </row>
    <row r="44" spans="1:11" ht="20.100000000000001" customHeight="1" x14ac:dyDescent="0.25">
      <c r="A44"/>
    </row>
    <row r="45" spans="1:11" ht="20.100000000000001" customHeight="1" x14ac:dyDescent="0.25">
      <c r="A45"/>
      <c r="C45" s="115"/>
      <c r="D45" s="115"/>
      <c r="E45" s="115"/>
      <c r="F45" s="115"/>
      <c r="G45" s="115"/>
      <c r="H45" s="115"/>
      <c r="I45" s="115"/>
      <c r="J45" s="115"/>
      <c r="K45" s="115"/>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7" t="s">
        <v>162</v>
      </c>
      <c r="E49" s="77"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4" t="s">
        <v>163</v>
      </c>
      <c r="E52" s="15" t="str" cm="1">
        <f t="array" ref="E52">Fertiliser_Equations_LeachingAndRunoff.VEERG_5_5_1_1__3_MassOfNitrogenLeachedFromOrganicFertiliser_Variable()</f>
        <v>M_leachorganicj</v>
      </c>
    </row>
    <row r="53" spans="1:9" ht="20.100000000000001" customHeight="1" x14ac:dyDescent="0.25">
      <c r="A53"/>
      <c r="D53" s="64" t="s">
        <v>164</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0" t="str" cm="1">
        <f t="array" ref="D55:E60">_xlfn.CHOOSECOLS(Fertiliser_Equations_LeachingAndRunoff.VEERG_5_5_1_1__3_MassOfNitrogenLeachedFromOrganicFertiliser_Arguments(), 1, 2)</f>
        <v>MNSoil_jf</v>
      </c>
      <c r="E55" s="108" t="str">
        <v>mass of nitrogen in organic fertiliser</v>
      </c>
      <c r="F55" s="110"/>
      <c r="G55" s="100"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100" t="str">
        <v>FracWETj</v>
      </c>
      <c r="E56" s="108" t="str">
        <v>fraction of N available for leaching and runoff</v>
      </c>
      <c r="F56" s="110"/>
      <c r="G56" s="100" t="str">
        <v>fraction</v>
      </c>
      <c r="H56" s="82" t="str">
        <v>Constant</v>
      </c>
      <c r="I56" s="10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c r="D57" s="100" t="str">
        <v>FracLEACH</v>
      </c>
      <c r="E57" s="108" t="str">
        <v>fraction of N that is lost through leaching and runoff</v>
      </c>
      <c r="F57" s="110"/>
      <c r="G57" s="100" t="str">
        <v>fraction</v>
      </c>
      <c r="H57" s="82" t="str">
        <v>Constant</v>
      </c>
      <c r="I57" s="100">
        <f>Fertiliser_FracLEACH_Data</f>
        <v>0.24</v>
      </c>
    </row>
    <row r="58" spans="1:9" ht="20.100000000000001" customHeight="1" x14ac:dyDescent="0.25">
      <c r="A58"/>
      <c r="D58" s="100" t="str">
        <v>z</v>
      </c>
      <c r="E58" s="108" t="str">
        <v>location in leaching zone</v>
      </c>
      <c r="F58" s="110"/>
      <c r="G58" s="100" t="str">
        <v/>
      </c>
      <c r="H58" s="81" t="str">
        <v>Input</v>
      </c>
      <c r="I58" s="100" t="str">
        <f>X_Cell_Site_LeachingZone</f>
        <v>NO - Not in leaching zone</v>
      </c>
    </row>
    <row r="59" spans="1:9" ht="20.100000000000001" customHeight="1" x14ac:dyDescent="0.25">
      <c r="A59"/>
      <c r="D59" s="100" t="str">
        <v>j</v>
      </c>
      <c r="E59" s="108" t="str">
        <v>production system</v>
      </c>
      <c r="F59" s="110"/>
      <c r="G59" s="100" t="str">
        <v/>
      </c>
      <c r="H59" s="81" t="str">
        <v>Input</v>
      </c>
      <c r="I59" s="100" t="str">
        <f>X_Cell_Fertiliser_ProductionSystem</f>
        <v>Crop</v>
      </c>
    </row>
    <row r="60" spans="1:9" ht="20.100000000000001" customHeight="1" x14ac:dyDescent="0.25">
      <c r="A60"/>
      <c r="D60" s="100" t="str">
        <v>ir</v>
      </c>
      <c r="E60" s="108" t="str">
        <v>irrigation method</v>
      </c>
      <c r="F60" s="110"/>
      <c r="G60" s="100" t="str">
        <v/>
      </c>
      <c r="H60" s="81" t="str">
        <v>Input</v>
      </c>
      <c r="I60" s="100" t="str">
        <f>X_Cell_Fertiliser_IrrigationMethod</f>
        <v>Sprinkler irrigation</v>
      </c>
    </row>
    <row r="61" spans="1:9" ht="20.100000000000001" customHeight="1" x14ac:dyDescent="0.25">
      <c r="A61"/>
    </row>
    <row r="62" spans="1:9" ht="20.100000000000001" customHeight="1" x14ac:dyDescent="0.25">
      <c r="A62"/>
      <c r="D62" s="88" t="s">
        <v>246</v>
      </c>
    </row>
    <row r="63" spans="1:9" ht="20.100000000000001" customHeight="1" x14ac:dyDescent="0.25">
      <c r="A63"/>
      <c r="D63" s="89" t="s">
        <v>247</v>
      </c>
    </row>
    <row r="64" spans="1:9" ht="20.100000000000001" customHeight="1" x14ac:dyDescent="0.25">
      <c r="A64"/>
      <c r="D64" s="91" t="s">
        <v>206</v>
      </c>
      <c r="E64" s="116" t="s">
        <v>210</v>
      </c>
      <c r="F64" s="90" t="s">
        <v>248</v>
      </c>
    </row>
    <row r="65" spans="1:11" ht="20.100000000000001" customHeight="1" x14ac:dyDescent="0.25">
      <c r="A65"/>
      <c r="D65" s="46" t="str">
        <f>INDEX(Table_MNSoil_j_f,2,1)</f>
        <v>Manure - Other</v>
      </c>
      <c r="E65" s="46">
        <f>INDEX(Table_MNSoil_j_f,2,6)</f>
        <v>300</v>
      </c>
      <c r="F65" s="46" cm="1">
        <f t="array" ref="F65">Fertiliser_Equations_LeachingAndRunoff.VEERG_5_5_1_1__3_MassOfNitrogenLeachedFromOrganicFertiliser(E65,$I$56, $I$57)</f>
        <v>72</v>
      </c>
    </row>
    <row r="66" spans="1:11" ht="20.100000000000001" customHeight="1" x14ac:dyDescent="0.25">
      <c r="A66"/>
      <c r="D66" s="46" t="str">
        <f>INDEX(Table_MNSoil_j_f,3,1)</f>
        <v>Manure - Poultry</v>
      </c>
      <c r="E66" s="46">
        <f>INDEX(Table_MNSoil_j_f,3,6)</f>
        <v>250</v>
      </c>
      <c r="F66" s="46" cm="1">
        <f t="array" ref="F66">Fertiliser_Equations_LeachingAndRunoff.VEERG_5_5_1_1__3_MassOfNitrogenLeachedFromOrganicFertiliser(E66,$I$56, $I$57)</f>
        <v>60</v>
      </c>
    </row>
    <row r="67" spans="1:11" ht="20.100000000000001" customHeight="1" x14ac:dyDescent="0.25">
      <c r="A67"/>
      <c r="D67" s="46" t="str">
        <f>INDEX(Table_MNSoil_j_f,4,1)</f>
        <v>Other organic fertiliser</v>
      </c>
      <c r="E67" s="46">
        <f>INDEX(Table_MNSoil_j_f,4,6)</f>
        <v>160</v>
      </c>
      <c r="F67" s="46" cm="1">
        <f t="array" ref="F67">Fertiliser_Equations_LeachingAndRunoff.VEERG_5_5_1_1__3_MassOfNitrogenLeachedFromOrganicFertiliser(E67,$I$56, $I$57)</f>
        <v>38.4</v>
      </c>
    </row>
    <row r="68" spans="1:11" ht="20.100000000000001" customHeight="1" x14ac:dyDescent="0.25">
      <c r="A68"/>
      <c r="D68" s="46">
        <f>'5.2.1.1-2 Organic Fert N2O'!D23</f>
        <v>0</v>
      </c>
      <c r="E68" s="46">
        <f>'5.2.1.1-2 Organic Fert N2O'!I23</f>
        <v>0</v>
      </c>
      <c r="F68" s="46" cm="1">
        <f t="array" ref="F68">Fertiliser_Equations_LeachingAndRunoff.VEERG_5_5_1_1__3_MassOfNitrogenLeachedFromOrganicFertiliser(E68,$I$56, $I$57)</f>
        <v>0</v>
      </c>
    </row>
    <row r="69" spans="1:11" ht="20.100000000000001" customHeight="1" x14ac:dyDescent="0.25">
      <c r="A69"/>
      <c r="D69" s="46">
        <f>'5.2.1.1-2 Organic Fert N2O'!D24</f>
        <v>0</v>
      </c>
      <c r="E69" s="46">
        <f>'5.2.1.1-2 Organic Fert N2O'!I24</f>
        <v>0</v>
      </c>
      <c r="F69" s="46" cm="1">
        <f t="array" ref="F69">Fertiliser_Equations_LeachingAndRunoff.VEERG_5_5_1_1__3_MassOfNitrogenLeachedFromOrganicFertiliser(E69,$I$56, $I$57)</f>
        <v>0</v>
      </c>
    </row>
    <row r="70" spans="1:11" ht="20.100000000000001" customHeight="1" x14ac:dyDescent="0.25">
      <c r="A70"/>
      <c r="D70" s="46">
        <f>'5.2.1.1-2 Organic Fert N2O'!D25</f>
        <v>0</v>
      </c>
      <c r="E70" s="46">
        <f>'5.2.1.1-2 Organic Fert N2O'!I25</f>
        <v>0</v>
      </c>
      <c r="F70" s="46" cm="1">
        <f t="array" ref="F70">Fertiliser_Equations_LeachingAndRunoff.VEERG_5_5_1_1__3_MassOfNitrogenLeachedFromOrganicFertiliser(E70,$I$56, $I$57)</f>
        <v>0</v>
      </c>
    </row>
    <row r="71" spans="1:11" ht="20.100000000000001" customHeight="1" x14ac:dyDescent="0.25">
      <c r="A71"/>
      <c r="D71" s="46">
        <f>'5.2.1.1-2 Organic Fert N2O'!D26</f>
        <v>0</v>
      </c>
      <c r="E71" s="46">
        <f>'5.2.1.1-2 Organic Fert N2O'!I26</f>
        <v>0</v>
      </c>
      <c r="F71" s="46" cm="1">
        <f t="array" ref="F71">Fertiliser_Equations_LeachingAndRunoff.VEERG_5_5_1_1__3_MassOfNitrogenLeachedFromOrganicFertiliser(E71,$I$56, $I$57)</f>
        <v>0</v>
      </c>
    </row>
    <row r="72" spans="1:11" ht="20.100000000000001" customHeight="1" x14ac:dyDescent="0.25">
      <c r="A72"/>
      <c r="D72" s="46">
        <f>'5.2.1.1-2 Organic Fert N2O'!D27</f>
        <v>0</v>
      </c>
      <c r="E72" s="46">
        <f>'5.2.1.1-2 Organic Fert N2O'!I27</f>
        <v>0</v>
      </c>
      <c r="F72" s="46" cm="1">
        <f t="array" ref="F72">Fertiliser_Equations_LeachingAndRunoff.VEERG_5_5_1_1__3_MassOfNitrogenLeachedFromOrganicFertiliser(E72,$I$56, $I$57)</f>
        <v>0</v>
      </c>
    </row>
    <row r="73" spans="1:11" ht="20.100000000000001" customHeight="1" x14ac:dyDescent="0.25">
      <c r="A73"/>
      <c r="D73" s="46">
        <f>'5.2.1.1-2 Organic Fert N2O'!D28</f>
        <v>0</v>
      </c>
      <c r="E73" s="46">
        <f>'5.2.1.1-2 Organic Fert N2O'!I28</f>
        <v>0</v>
      </c>
      <c r="F73" s="46" cm="1">
        <f t="array" ref="F73">Fertiliser_Equations_LeachingAndRunoff.VEERG_5_5_1_1__3_MassOfNitrogenLeachedFromOrganicFertiliser(E73,$I$56, $I$57)</f>
        <v>0</v>
      </c>
    </row>
    <row r="74" spans="1:11" ht="20.100000000000001" customHeight="1" x14ac:dyDescent="0.25">
      <c r="A74"/>
      <c r="D74" s="46">
        <f>'5.2.1.1-2 Organic Fert N2O'!D29</f>
        <v>0</v>
      </c>
      <c r="E74" s="46">
        <f>'5.2.1.1-2 Organic Fert N2O'!I29</f>
        <v>0</v>
      </c>
      <c r="F74" s="46" cm="1">
        <f t="array" ref="F74">Fertiliser_Equations_LeachingAndRunoff.VEERG_5_5_1_1__3_MassOfNitrogenLeachedFromOrganicFertiliser(E74,$I$56, $I$57)</f>
        <v>0</v>
      </c>
    </row>
    <row r="75" spans="1:11" ht="20.100000000000001" customHeight="1" x14ac:dyDescent="0.25">
      <c r="A75"/>
      <c r="D75" s="46">
        <f>'5.2.1.1-2 Organic Fert N2O'!D30</f>
        <v>0</v>
      </c>
      <c r="E75" s="46">
        <f>'5.2.1.1-2 Organic Fert N2O'!I30</f>
        <v>0</v>
      </c>
      <c r="F75" s="46"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5" t="s">
        <v>249</v>
      </c>
      <c r="E77" s="92">
        <f>SUM(F65:F75)</f>
        <v>170.4</v>
      </c>
      <c r="F77" s="99" t="str">
        <f>$E$53</f>
        <v>kg N</v>
      </c>
    </row>
    <row r="78" spans="1:11" ht="20.100000000000001" customHeight="1" x14ac:dyDescent="0.25">
      <c r="A78"/>
    </row>
    <row r="79" spans="1:11" ht="20.100000000000001" customHeight="1" x14ac:dyDescent="0.25">
      <c r="A79"/>
      <c r="C79" s="115"/>
      <c r="D79" s="115"/>
      <c r="E79" s="115"/>
      <c r="F79" s="115"/>
      <c r="G79" s="115"/>
      <c r="H79" s="115"/>
      <c r="I79" s="115"/>
      <c r="J79" s="115"/>
      <c r="K79" s="115"/>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7" t="s">
        <v>162</v>
      </c>
      <c r="E83" s="77" t="str">
        <f ca="1">Common_InputFunctions.Utility_DisplayFunctionName(VEERG_5_5_1_1__1_FertiliserLeachingAndRunoffN2OEmissions_Result_Method1)</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4" t="s">
        <v>163</v>
      </c>
      <c r="E86" s="15" t="str" cm="1">
        <f t="array" ref="E86">Fertiliser_Equations_LeachingAndRunoff.VEERG_5_5_1_1__1_FertiliserLeachingAndRunoffN2OEmissions_Variable()</f>
        <v>E_fertleach</v>
      </c>
    </row>
    <row r="87" spans="1:10" ht="20.100000000000001" customHeight="1" x14ac:dyDescent="0.25">
      <c r="A87"/>
      <c r="D87" s="64" t="s">
        <v>164</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0"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0" t="str" cm="1">
        <f t="array" ref="H89:I92">_xlfn.CHOOSECOLS(Fertiliser_Equations_LeachingAndRunoff.VEERG_5_5_1_1__1_FertiliserLeachingAndRunoffN2OEmissions_Arguments(), 3,4)</f>
        <v>kg N</v>
      </c>
      <c r="I89" s="82" t="str">
        <v>Calculated from 5.5.1.1 (2)</v>
      </c>
      <c r="J89" s="100">
        <f>$E$43</f>
        <v>3122.328</v>
      </c>
    </row>
    <row r="90" spans="1:10" ht="20.100000000000001" customHeight="1" x14ac:dyDescent="0.25">
      <c r="A90"/>
      <c r="D90" s="100" t="str">
        <v>M_leachorganicj</v>
      </c>
      <c r="E90" s="108" t="str">
        <v>mass of nitrogen lost through leaching and runoff from organic fertiliser application</v>
      </c>
      <c r="F90" s="109"/>
      <c r="G90" s="110"/>
      <c r="H90" s="100" t="str">
        <v>kg N</v>
      </c>
      <c r="I90" s="82" t="str">
        <v>Calculated from 5.5.1.1 (3)</v>
      </c>
      <c r="J90" s="100">
        <f>$E$77</f>
        <v>170.4</v>
      </c>
    </row>
    <row r="91" spans="1:10" ht="20.100000000000001" customHeight="1" x14ac:dyDescent="0.25">
      <c r="A91"/>
      <c r="D91" s="100" t="str">
        <v>EF_leach</v>
      </c>
      <c r="E91" s="108" t="str">
        <v>emission factor for nitrogen leaching and runoff</v>
      </c>
      <c r="F91" s="109"/>
      <c r="G91" s="110"/>
      <c r="H91" s="100" t="str">
        <v>kg N2O-N/kg N</v>
      </c>
      <c r="I91" s="82" t="str">
        <v>Constant</v>
      </c>
      <c r="J91" s="100">
        <f>Fertiliser_EFLeach_Data</f>
        <v>1.0999999999999999E-2</v>
      </c>
    </row>
    <row r="92" spans="1:10" ht="20.100000000000001" customHeight="1" x14ac:dyDescent="0.25">
      <c r="A92"/>
      <c r="D92" s="100" t="str">
        <v>C_N2O</v>
      </c>
      <c r="E92" s="108" t="str">
        <v>factor to convert elemental mass of nitrous oxide to molecular mass</v>
      </c>
      <c r="F92" s="109"/>
      <c r="G92" s="110"/>
      <c r="H92" s="100"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5" t="s">
        <v>250</v>
      </c>
      <c r="E94" s="96" cm="1">
        <f t="array" ref="E94">Fertiliser_Equations_LeachingAndRunoff.VEERG_5_5_1_1__1_FertiliserLeachingAndRunoffN2OEmissions(J89,J90,J91,J92)</f>
        <v>5.6917155428571425E-2</v>
      </c>
      <c r="F94" s="97"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8"/>
      <c r="G96" s="46">
        <f>VEERG_5_5_1_1__1_FertiliserLeachingAndRunoffN2OEmissions_Result_Method1</f>
        <v>5.6917155428571425E-2</v>
      </c>
    </row>
    <row r="97" spans="1:7" ht="20.100000000000001" customHeight="1" x14ac:dyDescent="0.25">
      <c r="A97"/>
      <c r="D97" s="78" t="str">
        <v>GWPN2O</v>
      </c>
      <c r="E97" s="79" t="str">
        <v>Global warming potential for nitrous oxide (t CO2-e / t N2O)</v>
      </c>
      <c r="F97" s="98"/>
      <c r="G97" s="46">
        <f>Common_InputFunctions.Utility_LookupValueInTableNumber("N2O",Table_GWPData[Gas],Table_GWPData[CO2-e factor])</f>
        <v>265</v>
      </c>
    </row>
    <row r="98" spans="1:7" ht="20.100000000000001" customHeight="1" x14ac:dyDescent="0.25">
      <c r="A98"/>
    </row>
    <row r="99" spans="1:7" ht="20.100000000000001" customHeight="1" x14ac:dyDescent="0.25">
      <c r="A99"/>
      <c r="D99" s="92" t="s">
        <v>194</v>
      </c>
      <c r="E99" s="92" cm="1">
        <f t="array" ref="E99">Common_Equations.Common_ConvertN2OToCO2e(G96,G97)</f>
        <v>15.083046188571428</v>
      </c>
      <c r="F99" s="99"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4C26A-2CFB-49D5-83D4-1DFFD8D1C4E0}">
  <dimension ref="A1:R342"/>
  <sheetViews>
    <sheetView showGridLines="0" topLeftCell="A42"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312</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4"/>
      <c r="P5" s="104"/>
      <c r="Q5" s="104"/>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4"/>
      <c r="P6" s="104"/>
      <c r="Q6" s="104"/>
    </row>
    <row r="7" spans="1:18" ht="20.100000000000001" customHeight="1" x14ac:dyDescent="0.25">
      <c r="A7" s="35" t="s">
        <v>91</v>
      </c>
      <c r="D7" s="77" t="s">
        <v>162</v>
      </c>
      <c r="E7" s="77" t="str" cm="1">
        <f t="array" aca="1" ref="E7" ca="1">Common_InputFunctions.Utility_DisplayFunctionName(N25)</f>
        <v>=Fuel_Equations.VEERG_8_1_1_1__1_FuelCombustionTransport</v>
      </c>
      <c r="K7" s="77" t="s">
        <v>162</v>
      </c>
      <c r="L7" s="77" t="str" cm="1">
        <f t="array" aca="1" ref="L7" ca="1">Common_InputFunctions.Utility_DisplayFunctionName(Q25)</f>
        <v>=Scope3_Equations.VEERG_15_11_1_1__2_UpstreamTransportFuelEmissions</v>
      </c>
      <c r="O7" s="104"/>
      <c r="P7" s="104"/>
      <c r="Q7" s="104"/>
    </row>
    <row r="8" spans="1:18" ht="20.100000000000001" customHeight="1" x14ac:dyDescent="0.25">
      <c r="A8" s="28" t="str">
        <f>HYPERLINK("#'Input - Planting'!A1", "Planting")</f>
        <v>Planting</v>
      </c>
      <c r="E8" s="77"/>
      <c r="L8" s="77"/>
      <c r="O8" s="104"/>
      <c r="P8" s="104"/>
      <c r="Q8" s="104"/>
    </row>
    <row r="9" spans="1:18" ht="20.100000000000001" customHeight="1" x14ac:dyDescent="0.25">
      <c r="A9" s="28" t="str">
        <f>HYPERLINK("#'Input - Fertiliser'!A1", "Fertiliser")</f>
        <v>Fertiliser</v>
      </c>
      <c r="G9" s="18"/>
      <c r="O9" s="104"/>
      <c r="P9" s="104"/>
      <c r="Q9" s="104"/>
    </row>
    <row r="10" spans="1:18" ht="20.100000000000001" customHeight="1" x14ac:dyDescent="0.25">
      <c r="A10" s="28" t="str">
        <f>HYPERLINK("#'Input - Fuel'!A1", "Fuel")</f>
        <v>Fuel</v>
      </c>
      <c r="O10" s="104"/>
      <c r="P10" s="104"/>
      <c r="Q10" s="104"/>
    </row>
    <row r="11" spans="1:18" ht="20.100000000000001" customHeight="1" x14ac:dyDescent="0.25">
      <c r="A11" s="28" t="str">
        <f>HYPERLINK("#'Input - Fert Prod System'!A1", "Fert Prod System")</f>
        <v>Fert Prod System</v>
      </c>
      <c r="D11" s="64" t="s">
        <v>163</v>
      </c>
      <c r="E11" s="15" t="str" cm="1">
        <f t="array" ref="E11">Fuel_Equations.VEERG_8_1_1_1__1_FuelCombustionTransport_Variable()</f>
        <v>E_g</v>
      </c>
      <c r="K11" s="64" t="s">
        <v>163</v>
      </c>
      <c r="L11" s="15" t="str" cm="1">
        <f t="array" ref="L11">Scope3_Equations.VEERG_15_11_1_1__2_UpstreamTransportFuelEmissions_Variable()</f>
        <v>E_WTTtransq</v>
      </c>
      <c r="O11" s="104"/>
      <c r="P11" s="104"/>
      <c r="Q11" s="104"/>
    </row>
    <row r="12" spans="1:18" ht="20.100000000000001" customHeight="1" x14ac:dyDescent="0.25">
      <c r="A12" s="28" t="str">
        <f>HYPERLINK("#'Input - Site'!A1", "Site")</f>
        <v>Site</v>
      </c>
      <c r="D12" s="64" t="s">
        <v>164</v>
      </c>
      <c r="E12" s="20" t="str" cm="1">
        <f t="array" ref="E12">Fuel_Equations.VEERG_8_1_1_1__1_FuelCombustionTransport_Unit()</f>
        <v>t CO2-e</v>
      </c>
      <c r="K12" s="64" t="s">
        <v>164</v>
      </c>
      <c r="L12" s="20" t="str" cm="1">
        <f t="array" ref="L12">Scope3_Equations.VEERG_15_11_1_1__2_UpstreamTransportFuelEmissions_Unit()</f>
        <v>t CO2e</v>
      </c>
    </row>
    <row r="13" spans="1:18" ht="20.100000000000001" customHeight="1" x14ac:dyDescent="0.25">
      <c r="A13"/>
    </row>
    <row r="14" spans="1:18" ht="20.100000000000001" customHeight="1" x14ac:dyDescent="0.25">
      <c r="A14"/>
      <c r="D14" s="100" t="str" cm="1">
        <f t="array" ref="D14:E20">_xlfn.CHOOSECOLS(Fuel_Equations.VEERG_8_1_1_1__1_FuelCombustionTransport_Arguments(), 1,2)</f>
        <v>Q_Transtq</v>
      </c>
      <c r="E14" s="108" t="str">
        <v>Amount of fuel type q combusted for transport energy purposes</v>
      </c>
      <c r="F14" s="110"/>
      <c r="G14" s="100"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100" t="str" cm="1">
        <f t="array" ref="K14:L16">_xlfn.CHOOSECOLS(Scope3_Equations.VEERG_15_11_1_1__2_UpstreamTransportFuelEmissions_Arguments(),1,2)</f>
        <v>Q_Transq</v>
      </c>
      <c r="L14" s="100" t="str">
        <v>amount of fuel q combusted for transport energy purposes</v>
      </c>
      <c r="M14" s="100"/>
      <c r="N14" s="100"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EC_Transq</v>
      </c>
      <c r="E15" s="108" t="str">
        <v>Energy content factor for transport energy purposes</v>
      </c>
      <c r="F15" s="110"/>
      <c r="G15" s="100" t="str">
        <v>GJ / unit of fuel</v>
      </c>
      <c r="H15" s="82" t="str">
        <v>Constant</v>
      </c>
      <c r="I15" s="85" t="str" cm="1">
        <f t="array" aca="1" ref="I15" ca="1">HYPERLINK(Common_InputFunctions.Utility_SourceHyperlink($D$22), $D$22)</f>
        <v>Table_E_g</v>
      </c>
      <c r="K15" s="100" t="str">
        <v>EC_Transq</v>
      </c>
      <c r="L15" s="100" t="str">
        <v>energy content factor for transport energy purposes</v>
      </c>
      <c r="M15" s="100"/>
      <c r="N15" s="100" t="str">
        <v>GJ/kL or GJ/m3</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EF_Trans1tqg</v>
      </c>
      <c r="E16" s="108" t="str">
        <v>Scope 1 emission factor for transport energy purposes for each greenhouse gas</v>
      </c>
      <c r="F16" s="110"/>
      <c r="G16" s="100" t="str">
        <v>kg CO2e / GJ</v>
      </c>
      <c r="H16" s="82" t="str">
        <v>Constant</v>
      </c>
      <c r="I16" s="85" t="str" cm="1">
        <f t="array" aca="1" ref="I16" ca="1">HYPERLINK(Common_InputFunctions.Utility_SourceHyperlink($D$22), $D$22)</f>
        <v>Table_E_g</v>
      </c>
      <c r="K16" s="100" t="str">
        <v>EF_Trans3q</v>
      </c>
      <c r="L16" s="100" t="str">
        <v>scope 3 emission factor for transport energy purposes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P17" s="104"/>
      <c r="Q17" s="104"/>
    </row>
    <row r="18" spans="1:17" ht="20.100000000000001" customHeight="1" x14ac:dyDescent="0.25">
      <c r="A18" s="28" t="str">
        <f>HYPERLINK("#'5.2.1.1-2 Organic Fert N2O'!A1", "5.2.1.1-2 Organic fert N2O")</f>
        <v>5.2.1.1-2 Organic fert N2O</v>
      </c>
      <c r="D18" s="100" t="str">
        <v>Trans</v>
      </c>
      <c r="E18" s="108" t="str">
        <v>Transport combustion</v>
      </c>
      <c r="F18" s="110"/>
      <c r="G18" s="100" t="str">
        <v/>
      </c>
      <c r="H18" s="82" t="str">
        <v>Constant</v>
      </c>
      <c r="I18" s="85"/>
      <c r="J18" s="104"/>
      <c r="L18" s="104"/>
      <c r="M18" s="104"/>
      <c r="N18" s="104"/>
      <c r="O18" s="104"/>
      <c r="P18" s="104"/>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M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M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86" t="str">
        <f>HYPERLINK("#'8.1.1.1-2 Transport fuel'!A1", "8.1.1.1-2 Transport fuel")</f>
        <v>8.1.1.1-2 Transport fuel</v>
      </c>
      <c r="D22" s="88" t="s">
        <v>313</v>
      </c>
    </row>
    <row r="23" spans="1:17" ht="20.100000000000001" customHeight="1" x14ac:dyDescent="0.25">
      <c r="A23" s="28" t="str">
        <f>HYPERLINK("#'8.2.1.1-2 Stationary fuel'!A1", "8.2.1.1-2 Stationary fuel")</f>
        <v>8.2.1.1-2 Stationary fuel</v>
      </c>
      <c r="D23" s="89" t="s">
        <v>314</v>
      </c>
    </row>
    <row r="24" spans="1:17" ht="20.100000000000001" customHeight="1" x14ac:dyDescent="0.25">
      <c r="A24"/>
      <c r="D24" s="90" t="s">
        <v>315</v>
      </c>
      <c r="E24" s="90" t="s">
        <v>316</v>
      </c>
      <c r="F24" s="90" t="s">
        <v>317</v>
      </c>
      <c r="G24" s="90" t="s">
        <v>318</v>
      </c>
      <c r="H24" s="90" t="s">
        <v>319</v>
      </c>
      <c r="I24" s="90" t="s">
        <v>320</v>
      </c>
      <c r="J24" s="90" t="s">
        <v>321</v>
      </c>
      <c r="K24" s="90" t="s">
        <v>322</v>
      </c>
      <c r="L24" s="91" t="s">
        <v>323</v>
      </c>
      <c r="M24" s="90" t="s">
        <v>324</v>
      </c>
      <c r="N24" s="90" t="s">
        <v>325</v>
      </c>
      <c r="O24" s="90" t="s">
        <v>326</v>
      </c>
      <c r="P24" s="90" t="s">
        <v>327</v>
      </c>
      <c r="Q24" s="90" t="s">
        <v>328</v>
      </c>
    </row>
    <row r="25" spans="1:17" ht="20.100000000000001" customHeight="1" x14ac:dyDescent="0.25">
      <c r="A25"/>
      <c r="D25" s="14" t="str">
        <f>Table_FuelTypesPerUse[[#Headers],[Cars and light commercial vehicles]]</f>
        <v>Cars and light commercial vehicles</v>
      </c>
      <c r="E25" s="126" t="str">
        <f>'Constants - Fuel'!$E$10</f>
        <v>Gasoline</v>
      </c>
      <c r="F25" s="126" t="str">
        <f>'Constants - Fuel'!G131</f>
        <v>Petrol</v>
      </c>
      <c r="G25" s="46" cm="1">
        <f t="array" ref="G25">IFERROR(_xlfn.XLOOKUP(1, (Table_Fuel_EFs_Transport[Fuel combusted]=$E25)*(Table_Fuel_EFs_Transport[Transport type]=$D$25), Table_Fuel_EFs_Transport[Energy Content Factor (GJ per unit of fuel)]), 0)</f>
        <v>34.200000000000003</v>
      </c>
      <c r="H25" s="46" cm="1">
        <f t="array" ref="H25">IFERROR(_xlfn.XLOOKUP(1, (Table_Fuel_EFs_Transport[Fuel combusted]=$E25)*(Table_Fuel_EFs_Transport[Transport type]=$D$25), Table_Fuel_EFs_Transport[Scope 1 Emission Factor (kg CO2 - e / GJ) CO2]), 0)</f>
        <v>67.400000000000006</v>
      </c>
      <c r="I25" s="46" cm="1">
        <f t="array" ref="I25">IFERROR(_xlfn.XLOOKUP(1, (Table_Fuel_EFs_Transport[Fuel combusted]=$E25)*(Table_Fuel_EFs_Transport[Transport type]=$D$25), Table_Fuel_EFs_Transport[Scope 1 Emission Factor (kg CO2 - e / GJ) CH4]), 0)</f>
        <v>0.02</v>
      </c>
      <c r="J25" s="46" cm="1">
        <f t="array" ref="J25">IFERROR(_xlfn.XLOOKUP(1, (Table_Fuel_EFs_Transport[Fuel combusted]=$E25)*(Table_Fuel_EFs_Transport[Transport type]=$D$25), Table_Fuel_EFs_Transport[Scope 1 Emission Factor (kg CO2 - e / GJ) N2O]), 0)</f>
        <v>0.2</v>
      </c>
      <c r="K25" s="46" cm="1">
        <f t="array" ref="K25">IFERROR(_xlfn.XLOOKUP(1, (Table_Fuel_EFs_Transport[Fuel combusted]=$E25)*(Table_Fuel_EFs_Transport[Transport type]=$D$25), Table_Fuel_EFs_Transport[Scope 3 Emission Factor (kg CO2 - e / GJ)]), 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27" cm="1">
        <f t="array" ref="N25">Fuel_Equations.VEERG_8_1_1_1__1_FuelCombustionTransport($L25,$G25,$H25)</f>
        <v>0</v>
      </c>
      <c r="O25" s="127" cm="1">
        <f t="array" ref="O25">Fuel_Equations.VEERG_8_1_1_1__1_FuelCombustionTransport($L25,$G25,$I25)</f>
        <v>0</v>
      </c>
      <c r="P25" s="127" cm="1">
        <f t="array" ref="P25">Fuel_Equations.VEERG_8_1_1_1__1_FuelCombustionTransport($L25,$G25,$J25)</f>
        <v>0</v>
      </c>
      <c r="Q25" s="127" cm="1">
        <f t="array" ref="Q25">Scope3_Equations.VEERG_15_11_1_1__2_UpstreamTransportFuelEmissions(L25,G25,K25)</f>
        <v>0</v>
      </c>
    </row>
    <row r="26" spans="1:17" ht="20.100000000000001" customHeight="1" x14ac:dyDescent="0.25">
      <c r="A26" s="66" t="s">
        <v>133</v>
      </c>
      <c r="D26" s="128" t="str">
        <f t="shared" ref="D26:D32" si="0">$D$25</f>
        <v>Cars and light commercial vehicles</v>
      </c>
      <c r="E26" s="126" t="str">
        <f>'Constants - Fuel'!$E$11</f>
        <v>Diesel oil</v>
      </c>
      <c r="F26" s="126" t="str">
        <f>'Constants - Fuel'!G132</f>
        <v>Diesel</v>
      </c>
      <c r="G26" s="46" cm="1">
        <f t="array" ref="G26">IFERROR(_xlfn.XLOOKUP(1, (Table_Fuel_EFs_Transport[Fuel combusted]=$E26)*(Table_Fuel_EFs_Transport[Transport type]=$D$25), Table_Fuel_EFs_Transport[Energy Content Factor (GJ per unit of fuel)]), 0)</f>
        <v>38.6</v>
      </c>
      <c r="H26" s="46" cm="1">
        <f t="array" ref="H26">IFERROR(_xlfn.XLOOKUP(1, (Table_Fuel_EFs_Transport[Fuel combusted]=$E26)*(Table_Fuel_EFs_Transport[Transport type]=$D$25), Table_Fuel_EFs_Transport[Scope 1 Emission Factor (kg CO2 - e / GJ) CO2]), 0)</f>
        <v>69.900000000000006</v>
      </c>
      <c r="I26" s="46" cm="1">
        <f t="array" ref="I26">IFERROR(_xlfn.XLOOKUP(1, (Table_Fuel_EFs_Transport[Fuel combusted]=$E26)*(Table_Fuel_EFs_Transport[Transport type]=$D$25), Table_Fuel_EFs_Transport[Scope 1 Emission Factor (kg CO2 - e / GJ) CH4]), 0)</f>
        <v>0.01</v>
      </c>
      <c r="J26" s="46" cm="1">
        <f t="array" ref="J26">IFERROR(_xlfn.XLOOKUP(1, (Table_Fuel_EFs_Transport[Fuel combusted]=$E26)*(Table_Fuel_EFs_Transport[Transport type]=$D$25), Table_Fuel_EFs_Transport[Scope 1 Emission Factor (kg CO2 - e / GJ) N2O]), 0)</f>
        <v>0.5</v>
      </c>
      <c r="K26" s="46" cm="1">
        <f t="array" ref="K26">IFERROR(_xlfn.XLOOKUP(1, (Table_Fuel_EFs_Transport[Fuel combusted]=$E26)*(Table_Fuel_EFs_Transport[Transport type]=$D$25), Table_Fuel_EFs_Transport[Scope 3 Emission Factor (kg CO2 - e / GJ)]), 0)</f>
        <v>17.3</v>
      </c>
      <c r="L26" s="112" cm="1">
        <f t="array" ref="L26">Fuel_InputFunctions.Fuel_TotalConsumption(Table_Input_Fuel[Amount consumed], Table_Input_Fuel[Fuel use (select)], D26, Table_Input_Fuel[Fuel type (select)],F26)</f>
        <v>10</v>
      </c>
      <c r="M26" s="112" t="str" cm="1">
        <f t="array" ref="M26">Common_InputFunctions.Utility_LookupValueInTable(F26,Table_FuelTypes_Units[Fuel type],Table_FuelTypes_Units[Unit])</f>
        <v>kL</v>
      </c>
      <c r="N26" s="127" cm="1">
        <f t="array" ref="N26">Fuel_Equations.VEERG_8_1_1_1__1_FuelCombustionTransport($L26,$G26,$H26)</f>
        <v>26.981400000000001</v>
      </c>
      <c r="O26" s="127" cm="1">
        <f t="array" ref="O26">Fuel_Equations.VEERG_8_1_1_1__1_FuelCombustionTransport($L26,$G26,$I26)</f>
        <v>3.8600000000000001E-3</v>
      </c>
      <c r="P26" s="127" cm="1">
        <f t="array" ref="P26">Fuel_Equations.VEERG_8_1_1_1__1_FuelCombustionTransport($L26,$G26,$J26)</f>
        <v>0.193</v>
      </c>
      <c r="Q26" s="127" cm="1">
        <f t="array" ref="Q26">Scope3_Equations.VEERG_15_11_1_1__2_UpstreamTransportFuelEmissions(L26,G26,K26)</f>
        <v>6.6778000000000004</v>
      </c>
    </row>
    <row r="27" spans="1:17" ht="20.100000000000001" customHeight="1" x14ac:dyDescent="0.25">
      <c r="A27" s="28" t="str">
        <f>HYPERLINK("#'Constants - Fertiliser'!A1", "Constants - Fertiliser")</f>
        <v>Constants - Fertiliser</v>
      </c>
      <c r="D27" s="128" t="str">
        <f t="shared" si="0"/>
        <v>Cars and light commercial vehicles</v>
      </c>
      <c r="E27" s="126" t="str">
        <f>'Constants - Fuel'!$E$12</f>
        <v>Liquefied petroleum gas (LPG)</v>
      </c>
      <c r="F27" s="126" t="str">
        <f>'Constants - Fuel'!G133</f>
        <v>Liquefied petroleum gas (LPG)</v>
      </c>
      <c r="G27" s="46" cm="1">
        <f t="array" ref="G27">IFERROR(_xlfn.XLOOKUP(1, (Table_Fuel_EFs_Transport[Fuel combusted]=$E27)*(Table_Fuel_EFs_Transport[Transport type]=$D$25), Table_Fuel_EFs_Transport[Energy Content Factor (GJ per unit of fuel)]), 0)</f>
        <v>26.2</v>
      </c>
      <c r="H27" s="46" cm="1">
        <f t="array" ref="H27">IFERROR(_xlfn.XLOOKUP(1, (Table_Fuel_EFs_Transport[Fuel combusted]=$E27)*(Table_Fuel_EFs_Transport[Transport type]=$D$25), Table_Fuel_EFs_Transport[Scope 1 Emission Factor (kg CO2 - e / GJ) CO2]), 0)</f>
        <v>60.2</v>
      </c>
      <c r="I27" s="46" cm="1">
        <f t="array" ref="I27">IFERROR(_xlfn.XLOOKUP(1, (Table_Fuel_EFs_Transport[Fuel combusted]=$E27)*(Table_Fuel_EFs_Transport[Transport type]=$D$25), Table_Fuel_EFs_Transport[Scope 1 Emission Factor (kg CO2 - e / GJ) CH4]), 0)</f>
        <v>0.5</v>
      </c>
      <c r="J27" s="46" cm="1">
        <f t="array" ref="J27">IFERROR(_xlfn.XLOOKUP(1, (Table_Fuel_EFs_Transport[Fuel combusted]=$E27)*(Table_Fuel_EFs_Transport[Transport type]=$D$25), Table_Fuel_EFs_Transport[Scope 1 Emission Factor (kg CO2 - e / GJ) N2O]), 0)</f>
        <v>0.3</v>
      </c>
      <c r="K27" s="46" cm="1">
        <f t="array" ref="K27">IFERROR(_xlfn.XLOOKUP(1, (Table_Fuel_EFs_Transport[Fuel combusted]=$E27)*(Table_Fuel_EFs_Transport[Transport type]=$D$25), Table_Fuel_EFs_Transport[Scope 3 Emission Factor (kg CO2 - e / GJ)]), 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27" cm="1">
        <f t="array" ref="N27">Fuel_Equations.VEERG_8_1_1_1__1_FuelCombustionTransport($L27,$G27,$H27)</f>
        <v>0</v>
      </c>
      <c r="O27" s="127" cm="1">
        <f t="array" ref="O27">Fuel_Equations.VEERG_8_1_1_1__1_FuelCombustionTransport($L27,$G27,$I27)</f>
        <v>0</v>
      </c>
      <c r="P27" s="127" cm="1">
        <f t="array" ref="P27">Fuel_Equations.VEERG_8_1_1_1__1_FuelCombustionTransport($L27,$G27,$J27)</f>
        <v>0</v>
      </c>
      <c r="Q27" s="127" cm="1">
        <f t="array" ref="Q27">Scope3_Equations.VEERG_15_11_1_1__2_UpstreamTransportFuelEmissions(L27,G27,K27)</f>
        <v>0</v>
      </c>
    </row>
    <row r="28" spans="1:17" ht="20.100000000000001" customHeight="1" x14ac:dyDescent="0.25">
      <c r="A28" s="28" t="str">
        <f>HYPERLINK("#'Constants - Fuel'!A1", "Constants - Fuel")</f>
        <v>Constants - Fuel</v>
      </c>
      <c r="D28" s="128" t="str">
        <f t="shared" si="0"/>
        <v>Cars and light commercial vehicles</v>
      </c>
      <c r="E28" s="126" t="str">
        <f>'Constants - Fuel'!$E$13</f>
        <v>Fuel oil</v>
      </c>
      <c r="F28" s="126" t="str">
        <f>'Constants - Fuel'!G134</f>
        <v>Fuel oil</v>
      </c>
      <c r="G28" s="46" cm="1">
        <f t="array" ref="G28">IFERROR(_xlfn.XLOOKUP(1, (Table_Fuel_EFs_Transport[Fuel combusted]=$E28)*(Table_Fuel_EFs_Transport[Transport type]=$D$25), Table_Fuel_EFs_Transport[Energy Content Factor (GJ per unit of fuel)]), 0)</f>
        <v>39.700000000000003</v>
      </c>
      <c r="H28" s="46" cm="1">
        <f t="array" ref="H28">IFERROR(_xlfn.XLOOKUP(1, (Table_Fuel_EFs_Transport[Fuel combusted]=$E28)*(Table_Fuel_EFs_Transport[Transport type]=$D$25), Table_Fuel_EFs_Transport[Scope 1 Emission Factor (kg CO2 - e / GJ) CO2]), 0)</f>
        <v>73.599999999999994</v>
      </c>
      <c r="I28" s="46" cm="1">
        <f t="array" ref="I28">IFERROR(_xlfn.XLOOKUP(1, (Table_Fuel_EFs_Transport[Fuel combusted]=$E28)*(Table_Fuel_EFs_Transport[Transport type]=$D$25), Table_Fuel_EFs_Transport[Scope 1 Emission Factor (kg CO2 - e / GJ) CH4]), 0)</f>
        <v>0.08</v>
      </c>
      <c r="J28" s="46" cm="1">
        <f t="array" ref="J28">IFERROR(_xlfn.XLOOKUP(1, (Table_Fuel_EFs_Transport[Fuel combusted]=$E28)*(Table_Fuel_EFs_Transport[Transport type]=$D$25), Table_Fuel_EFs_Transport[Scope 1 Emission Factor (kg CO2 - e / GJ) N2O]), 0)</f>
        <v>0.5</v>
      </c>
      <c r="K28" s="46" cm="1">
        <f t="array" ref="K28">IFERROR(_xlfn.XLOOKUP(1, (Table_Fuel_EFs_Transport[Fuel combusted]=$E28)*(Table_Fuel_EFs_Transport[Transport type]=$D$25), Table_Fuel_EFs_Transport[Scope 3 Emission Factor (kg CO2 - e / GJ)]), 0)</f>
        <v>18</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27" cm="1">
        <f t="array" ref="N28">Fuel_Equations.VEERG_8_1_1_1__1_FuelCombustionTransport($L28,$G28,$H28)</f>
        <v>0</v>
      </c>
      <c r="O28" s="127" cm="1">
        <f t="array" ref="O28">Fuel_Equations.VEERG_8_1_1_1__1_FuelCombustionTransport($L28,$G28,$I28)</f>
        <v>0</v>
      </c>
      <c r="P28" s="127" cm="1">
        <f t="array" ref="P28">Fuel_Equations.VEERG_8_1_1_1__1_FuelCombustionTransport($L28,$G28,$J28)</f>
        <v>0</v>
      </c>
      <c r="Q28" s="127" cm="1">
        <f t="array" ref="Q28">Scope3_Equations.VEERG_15_11_1_1__2_UpstreamTransportFuelEmissions(L28,G28,K28)</f>
        <v>0</v>
      </c>
    </row>
    <row r="29" spans="1:17" ht="20.100000000000001" customHeight="1" x14ac:dyDescent="0.25">
      <c r="A29" s="28" t="str">
        <f>HYPERLINK("#'Constants - Common'!A1", "Constants - Common")</f>
        <v>Constants - Common</v>
      </c>
      <c r="D29" s="128" t="str">
        <f t="shared" si="0"/>
        <v>Cars and light commercial vehicles</v>
      </c>
      <c r="E29" s="126" t="str">
        <f>'Constants - Fuel'!$E$14</f>
        <v>Ethanol</v>
      </c>
      <c r="F29" s="126" t="str">
        <f>'Constants - Fuel'!G135</f>
        <v>Ethanol</v>
      </c>
      <c r="G29" s="46" cm="1">
        <f t="array" ref="G29">IFERROR(_xlfn.XLOOKUP(1, (Table_Fuel_EFs_Transport[Fuel combusted]=$E29)*(Table_Fuel_EFs_Transport[Transport type]=$D$25), Table_Fuel_EFs_Transport[Energy Content Factor (GJ per unit of fuel)]), 0)</f>
        <v>23.4</v>
      </c>
      <c r="H29" s="46" cm="1">
        <f t="array" ref="H29">IFERROR(_xlfn.XLOOKUP(1, (Table_Fuel_EFs_Transport[Fuel combusted]=$E29)*(Table_Fuel_EFs_Transport[Transport type]=$D$25), Table_Fuel_EFs_Transport[Scope 1 Emission Factor (kg CO2 - e / GJ) CO2]), 0)</f>
        <v>0</v>
      </c>
      <c r="I29" s="46" cm="1">
        <f t="array" ref="I29">IFERROR(_xlfn.XLOOKUP(1, (Table_Fuel_EFs_Transport[Fuel combusted]=$E29)*(Table_Fuel_EFs_Transport[Transport type]=$D$25), Table_Fuel_EFs_Transport[Scope 1 Emission Factor (kg CO2 - e / GJ) CH4]), 0)</f>
        <v>0.2</v>
      </c>
      <c r="J29" s="46" cm="1">
        <f t="array" ref="J29">IFERROR(_xlfn.XLOOKUP(1, (Table_Fuel_EFs_Transport[Fuel combusted]=$E29)*(Table_Fuel_EFs_Transport[Transport type]=$D$25), Table_Fuel_EFs_Transport[Scope 1 Emission Factor (kg CO2 - e / GJ) N2O]), 0)</f>
        <v>0.2</v>
      </c>
      <c r="K29" s="46" t="str" cm="1">
        <f t="array" ref="K29">IFERROR(_xlfn.XLOOKUP(1, (Table_Fuel_EFs_Transport[Fuel combusted]=$E29)*(Table_Fuel_EFs_Transport[Transport type]=$D$25), Table_Fuel_EFs_Transport[Scope 3 Emission Factor (kg CO2 - e / GJ)]), 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27" cm="1">
        <f t="array" ref="N29">Fuel_Equations.VEERG_8_1_1_1__1_FuelCombustionTransport($L29,$G29,$H29)</f>
        <v>0</v>
      </c>
      <c r="O29" s="127" cm="1">
        <f t="array" ref="O29">Fuel_Equations.VEERG_8_1_1_1__1_FuelCombustionTransport($L29,$G29,$I29)</f>
        <v>0</v>
      </c>
      <c r="P29" s="127" cm="1">
        <f t="array" ref="P29">Fuel_Equations.VEERG_8_1_1_1__1_FuelCombustionTransport($L29,$G29,$J29)</f>
        <v>0</v>
      </c>
      <c r="Q29" s="127" cm="1">
        <f t="array" ref="Q29">Scope3_Equations.VEERG_15_11_1_1__2_UpstreamTransportFuelEmissions(L29,G29,IF(ISNUMBER(K29),K29,0))</f>
        <v>0</v>
      </c>
    </row>
    <row r="30" spans="1:17" ht="20.100000000000001" customHeight="1" x14ac:dyDescent="0.25">
      <c r="A30"/>
      <c r="D30" s="128" t="str">
        <f t="shared" si="0"/>
        <v>Cars and light commercial vehicles</v>
      </c>
      <c r="E30" s="126" t="str">
        <f>'Constants - Fuel'!$E$15</f>
        <v>Biodiesel</v>
      </c>
      <c r="F30" s="126" t="str">
        <f>'Constants - Fuel'!G136</f>
        <v>Biodiesel</v>
      </c>
      <c r="G30" s="46" cm="1">
        <f t="array" ref="G30">IFERROR(_xlfn.XLOOKUP(1, (Table_Fuel_EFs_Transport[Fuel combusted]=$E30)*(Table_Fuel_EFs_Transport[Transport type]=$D$25), Table_Fuel_EFs_Transport[Energy Content Factor (GJ per unit of fuel)]), 0)</f>
        <v>34.6</v>
      </c>
      <c r="H30" s="46" cm="1">
        <f t="array" ref="H30">IFERROR(_xlfn.XLOOKUP(1, (Table_Fuel_EFs_Transport[Fuel combusted]=$E30)*(Table_Fuel_EFs_Transport[Transport type]=$D$25), Table_Fuel_EFs_Transport[Scope 1 Emission Factor (kg CO2 - e / GJ) CO2]), 0)</f>
        <v>0</v>
      </c>
      <c r="I30" s="46" cm="1">
        <f t="array" ref="I30">IFERROR(_xlfn.XLOOKUP(1, (Table_Fuel_EFs_Transport[Fuel combusted]=$E30)*(Table_Fuel_EFs_Transport[Transport type]=$D$25), Table_Fuel_EFs_Transport[Scope 1 Emission Factor (kg CO2 - e / GJ) CH4]), 0)</f>
        <v>0.8</v>
      </c>
      <c r="J30" s="46" cm="1">
        <f t="array" ref="J30">IFERROR(_xlfn.XLOOKUP(1, (Table_Fuel_EFs_Transport[Fuel combusted]=$E30)*(Table_Fuel_EFs_Transport[Transport type]=$D$25), Table_Fuel_EFs_Transport[Scope 1 Emission Factor (kg CO2 - e / GJ) N2O]), 0)</f>
        <v>1.7</v>
      </c>
      <c r="K30" s="46" t="str" cm="1">
        <f t="array" ref="K30">IFERROR(_xlfn.XLOOKUP(1, (Table_Fuel_EFs_Transport[Fuel combusted]=$E30)*(Table_Fuel_EFs_Transport[Transport type]=$D$25), Table_Fuel_EFs_Transport[Scope 3 Emission Factor (kg CO2 - e / GJ)]), 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27" cm="1">
        <f t="array" ref="N30">Fuel_Equations.VEERG_8_1_1_1__1_FuelCombustionTransport($L30,$G30,$H30)</f>
        <v>0</v>
      </c>
      <c r="O30" s="127" cm="1">
        <f t="array" ref="O30">Fuel_Equations.VEERG_8_1_1_1__1_FuelCombustionTransport($L30,$G30,$I30)</f>
        <v>0</v>
      </c>
      <c r="P30" s="127" cm="1">
        <f t="array" ref="P30">Fuel_Equations.VEERG_8_1_1_1__1_FuelCombustionTransport($L30,$G30,$J30)</f>
        <v>0</v>
      </c>
      <c r="Q30" s="127" cm="1">
        <f t="array" ref="Q30">Scope3_Equations.VEERG_15_11_1_1__2_UpstreamTransportFuelEmissions(L30,G30,IF(ISNUMBER(K30),K30,0))</f>
        <v>0</v>
      </c>
    </row>
    <row r="31" spans="1:17" ht="20.100000000000001" customHeight="1" x14ac:dyDescent="0.25">
      <c r="A31"/>
      <c r="D31" s="128" t="str">
        <f t="shared" si="0"/>
        <v>Cars and light commercial vehicles</v>
      </c>
      <c r="E31" s="126" t="str">
        <f>'Constants - Fuel'!$E$16</f>
        <v>Renewable diesel</v>
      </c>
      <c r="F31" s="126" t="str">
        <f>'Constants - Fuel'!G137</f>
        <v>Renewable diesel</v>
      </c>
      <c r="G31" s="46" cm="1">
        <f t="array" ref="G31">IFERROR(_xlfn.XLOOKUP(1, (Table_Fuel_EFs_Transport[Fuel combusted]=$E31)*(Table_Fuel_EFs_Transport[Transport type]=$D$25), Table_Fuel_EFs_Transport[Energy Content Factor (GJ per unit of fuel)]), 0)</f>
        <v>38.6</v>
      </c>
      <c r="H31" s="46" cm="1">
        <f t="array" ref="H31">IFERROR(_xlfn.XLOOKUP(1, (Table_Fuel_EFs_Transport[Fuel combusted]=$E31)*(Table_Fuel_EFs_Transport[Transport type]=$D$25), Table_Fuel_EFs_Transport[Scope 1 Emission Factor (kg CO2 - e / GJ) CO2]), 0)</f>
        <v>0</v>
      </c>
      <c r="I31" s="46" cm="1">
        <f t="array" ref="I31">IFERROR(_xlfn.XLOOKUP(1, (Table_Fuel_EFs_Transport[Fuel combusted]=$E31)*(Table_Fuel_EFs_Transport[Transport type]=$D$25), Table_Fuel_EFs_Transport[Scope 1 Emission Factor (kg CO2 - e / GJ) CH4]), 0)</f>
        <v>0.01</v>
      </c>
      <c r="J31" s="46" cm="1">
        <f t="array" ref="J31">IFERROR(_xlfn.XLOOKUP(1, (Table_Fuel_EFs_Transport[Fuel combusted]=$E31)*(Table_Fuel_EFs_Transport[Transport type]=$D$25), Table_Fuel_EFs_Transport[Scope 1 Emission Factor (kg CO2 - e / GJ) N2O]), 0)</f>
        <v>0.5</v>
      </c>
      <c r="K31" s="46" t="str" cm="1">
        <f t="array" ref="K31">IFERROR(_xlfn.XLOOKUP(1, (Table_Fuel_EFs_Transport[Fuel combusted]=$E31)*(Table_Fuel_EFs_Transport[Transport type]=$D$25), Table_Fuel_EFs_Transport[Scope 3 Emission Factor (kg CO2 - e / GJ)]), 0)</f>
        <v>NE</v>
      </c>
      <c r="L31" s="112" cm="1">
        <f t="array" ref="L31">Fuel_InputFunctions.Fuel_TotalConsumption(Table_Input_Fuel[Amount consumed], Table_Input_Fuel[Fuel use (select)], D31, Table_Input_Fuel[Fuel type (select)],F31)</f>
        <v>0</v>
      </c>
      <c r="M31" s="112" t="str" cm="1">
        <f t="array" ref="M31">Common_InputFunctions.Utility_LookupValueInTable(F31,Table_FuelTypes_Units[Fuel type],Table_FuelTypes_Units[Unit])</f>
        <v>kL</v>
      </c>
      <c r="N31" s="127" cm="1">
        <f t="array" ref="N31">Fuel_Equations.VEERG_8_1_1_1__1_FuelCombustionTransport($L31,$G31,$H31)</f>
        <v>0</v>
      </c>
      <c r="O31" s="127" cm="1">
        <f t="array" ref="O31">Fuel_Equations.VEERG_8_1_1_1__1_FuelCombustionTransport($L31,$G31,$I31)</f>
        <v>0</v>
      </c>
      <c r="P31" s="127" cm="1">
        <f t="array" ref="P31">Fuel_Equations.VEERG_8_1_1_1__1_FuelCombustionTransport($L31,$G31,$J31)</f>
        <v>0</v>
      </c>
      <c r="Q31" s="127" cm="1">
        <f t="array" ref="Q31">Scope3_Equations.VEERG_15_11_1_1__2_UpstreamTransportFuelEmissions(L31,G31,IF(ISNUMBER(K31),K31,0))</f>
        <v>0</v>
      </c>
    </row>
    <row r="32" spans="1:17" ht="20.100000000000001" customHeight="1" x14ac:dyDescent="0.25">
      <c r="A32"/>
      <c r="D32" s="128" t="str">
        <f t="shared" si="0"/>
        <v>Cars and light commercial vehicles</v>
      </c>
      <c r="E32" s="126" t="str">
        <f>'Constants - Fuel'!$E$17</f>
        <v>Other biofuels</v>
      </c>
      <c r="F32" s="126" t="str">
        <f>'Constants - Fuel'!G138</f>
        <v>Other biofuels</v>
      </c>
      <c r="G32" s="46" cm="1">
        <f t="array" ref="G32">IFERROR(_xlfn.XLOOKUP(1, (Table_Fuel_EFs_Transport[Fuel combusted]=$E32)*(Table_Fuel_EFs_Transport[Transport type]=$D$25), Table_Fuel_EFs_Transport[Energy Content Factor (GJ per unit of fuel)]), 0)</f>
        <v>23.4</v>
      </c>
      <c r="H32" s="46" cm="1">
        <f t="array" ref="H32">IFERROR(_xlfn.XLOOKUP(1, (Table_Fuel_EFs_Transport[Fuel combusted]=$E32)*(Table_Fuel_EFs_Transport[Transport type]=$D$25), Table_Fuel_EFs_Transport[Scope 1 Emission Factor (kg CO2 - e / GJ) CO2]), 0)</f>
        <v>0</v>
      </c>
      <c r="I32" s="46" cm="1">
        <f t="array" ref="I32">IFERROR(_xlfn.XLOOKUP(1, (Table_Fuel_EFs_Transport[Fuel combusted]=$E32)*(Table_Fuel_EFs_Transport[Transport type]=$D$25), Table_Fuel_EFs_Transport[Scope 1 Emission Factor (kg CO2 - e / GJ) CH4]), 0)</f>
        <v>0.8</v>
      </c>
      <c r="J32" s="46" cm="1">
        <f t="array" ref="J32">IFERROR(_xlfn.XLOOKUP(1, (Table_Fuel_EFs_Transport[Fuel combusted]=$E32)*(Table_Fuel_EFs_Transport[Transport type]=$D$25), Table_Fuel_EFs_Transport[Scope 1 Emission Factor (kg CO2 - e / GJ) N2O]), 0)</f>
        <v>1.7</v>
      </c>
      <c r="K32" s="124" t="str" cm="1">
        <f t="array" ref="K32">IFERROR(_xlfn.XLOOKUP(1, (Table_Fuel_EFs_Transport[Fuel combusted]=$E32)*(Table_Fuel_EFs_Transport[Transport type]=$D$25), Table_Fuel_EFs_Transport[Scope 3 Emission Factor (kg CO2 - e / GJ)]), 0)</f>
        <v>NE</v>
      </c>
      <c r="L32" s="129" cm="1">
        <f t="array" ref="L32">Fuel_InputFunctions.Fuel_TotalConsumption(Table_Input_Fuel[Amount consumed], Table_Input_Fuel[Fuel use (select)], D32, Table_Input_Fuel[Fuel type (select)],F32)</f>
        <v>0</v>
      </c>
      <c r="M32" s="112" t="str" cm="1">
        <f t="array" ref="M32">Common_InputFunctions.Utility_LookupValueInTable(F32,Table_FuelTypes_Units[Fuel type],Table_FuelTypes_Units[Unit])</f>
        <v>kL</v>
      </c>
      <c r="N32" s="130" cm="1">
        <f t="array" ref="N32">Fuel_Equations.VEERG_8_1_1_1__1_FuelCombustionTransport($L32,$G32,$H32)</f>
        <v>0</v>
      </c>
      <c r="O32" s="130" cm="1">
        <f t="array" ref="O32">Fuel_Equations.VEERG_8_1_1_1__1_FuelCombustionTransport($L32,$G32,$I32)</f>
        <v>0</v>
      </c>
      <c r="P32" s="130" cm="1">
        <f t="array" ref="P32">Fuel_Equations.VEERG_8_1_1_1__1_FuelCombustionTransport($L32,$G32,$J32)</f>
        <v>0</v>
      </c>
      <c r="Q32" s="127" cm="1">
        <f t="array" ref="Q32">Scope3_Equations.VEERG_15_11_1_1__2_UpstreamTransportFuelEmissions(L32,G32,IF(ISNUMBER(K32),K32,0))</f>
        <v>0</v>
      </c>
    </row>
    <row r="33" spans="1:17" ht="20.100000000000001" customHeight="1" x14ac:dyDescent="0.25">
      <c r="A33"/>
      <c r="D33" s="131" t="str">
        <f>Table_FuelTypesPerUse[[#Headers],[Off-road Agriculture and forestry equipment]]</f>
        <v>Off-road Agriculture and forestry equipment</v>
      </c>
      <c r="E33" s="132" t="str">
        <f>'Constants - Fuel'!$E$11</f>
        <v>Diesel oil</v>
      </c>
      <c r="F33" s="132" t="str">
        <f>'Constants - Fuel'!H131</f>
        <v>Diesel</v>
      </c>
      <c r="G33" s="133" cm="1">
        <f t="array" ref="G33">IFERROR(_xlfn.XLOOKUP(1, (Table_Fuel_EFs_Transport[Fuel combusted]=$E33)*(Table_Fuel_EFs_Transport[Transport type]=$D$33), Table_Fuel_EFs_Transport[Energy Content Factor (GJ per unit of fuel)]), 0)</f>
        <v>38.6</v>
      </c>
      <c r="H33" s="133" cm="1">
        <f t="array" ref="H33">IFERROR(_xlfn.XLOOKUP(1, (Table_Fuel_EFs_Transport[Fuel combusted]=$E33)*(Table_Fuel_EFs_Transport[Transport type]=$D$33), Table_Fuel_EFs_Transport[Scope 1 Emission Factor (kg CO2 - e / GJ) CO2]), 0)</f>
        <v>69.900000000000006</v>
      </c>
      <c r="I33" s="133" cm="1">
        <f t="array" ref="I33">IFERROR(_xlfn.XLOOKUP(1, (Table_Fuel_EFs_Transport[Fuel combusted]=$E33)*(Table_Fuel_EFs_Transport[Transport type]=$D$33), Table_Fuel_EFs_Transport[Scope 1 Emission Factor (kg CO2 - e / GJ) CH4]), 0)</f>
        <v>0.3</v>
      </c>
      <c r="J33" s="133" cm="1">
        <f t="array" ref="J33">IFERROR(_xlfn.XLOOKUP(1, (Table_Fuel_EFs_Transport[Fuel combusted]=$E33)*(Table_Fuel_EFs_Transport[Transport type]=$D$33), Table_Fuel_EFs_Transport[Scope 1 Emission Factor (kg CO2 - e / GJ) N2O]), 0)</f>
        <v>0.5</v>
      </c>
      <c r="K33" s="134" cm="1">
        <f t="array" ref="K33">IFERROR(_xlfn.XLOOKUP(1, (Table_Fuel_EFs_Transport[Fuel combusted]=$E33)*(Table_Fuel_EFs_Transport[Transport type]=$D$25), Table_Fuel_EFs_Transport[Scope 3 Emission Factor (kg CO2 - e / GJ)]), 0)</f>
        <v>17.3</v>
      </c>
      <c r="L33" s="135" cm="1">
        <f t="array" ref="L33">Fuel_InputFunctions.Fuel_TotalConsumption(Table_Input_Fuel[Amount consumed], Table_Input_Fuel[Fuel use (select)], D33, Table_Input_Fuel[Fuel type (select)],F33)</f>
        <v>10</v>
      </c>
      <c r="M33" s="136" t="str" cm="1">
        <f t="array" ref="M33">Common_InputFunctions.Utility_LookupValueInTable(F33,Table_FuelTypes_Units[Fuel type],Table_FuelTypes_Units[Unit])</f>
        <v>kL</v>
      </c>
      <c r="N33" s="137" cm="1">
        <f t="array" ref="N33">Fuel_Equations.VEERG_8_1_1_1__1_FuelCombustionTransport($L33,$G33,$H33)</f>
        <v>26.981400000000001</v>
      </c>
      <c r="O33" s="137" cm="1">
        <f t="array" ref="O33">Fuel_Equations.VEERG_8_1_1_1__1_FuelCombustionTransport($L33,$G33,$I33)</f>
        <v>0.1158</v>
      </c>
      <c r="P33" s="137" cm="1">
        <f t="array" ref="P33">Fuel_Equations.VEERG_8_1_1_1__1_FuelCombustionTransport($L33,$G33,$J33)</f>
        <v>0.193</v>
      </c>
      <c r="Q33" s="138" cm="1">
        <f t="array" ref="Q33">Scope3_Equations.VEERG_15_11_1_1__2_UpstreamTransportFuelEmissions(L33,G33,K33)</f>
        <v>6.6778000000000004</v>
      </c>
    </row>
    <row r="34" spans="1:17" ht="20.100000000000001" customHeight="1" x14ac:dyDescent="0.25">
      <c r="A34"/>
      <c r="D34" s="131" t="str">
        <f>Table_FuelTypesPerUse[[#Headers],[Aviation]]</f>
        <v>Aviation</v>
      </c>
      <c r="E34" s="132" t="str">
        <f>'Constants - Fuel'!$E$28</f>
        <v>Gasoline for use as fuel in an aircraft</v>
      </c>
      <c r="F34" s="132" t="str">
        <f>'Constants - Fuel'!$F$131</f>
        <v>Avgas</v>
      </c>
      <c r="G34" s="139" cm="1">
        <f t="array" ref="G34">IFERROR(_xlfn.XLOOKUP(1, (Table_Fuel_EFs_Transport[Fuel combusted]=$E34)*(Table_Fuel_EFs_Transport[Transport type]=$D$34), Table_Fuel_EFs_Transport[Energy Content Factor (GJ per unit of fuel)]), 0)</f>
        <v>33.1</v>
      </c>
      <c r="H34" s="139" cm="1">
        <f t="array" ref="H34">IFERROR(_xlfn.XLOOKUP(1, (Table_Fuel_EFs_Transport[Fuel combusted]=$E34)*(Table_Fuel_EFs_Transport[Transport type]=$D$34), Table_Fuel_EFs_Transport[Scope 1 Emission Factor (kg CO2 - e / GJ) CO2]), 0)</f>
        <v>67</v>
      </c>
      <c r="I34" s="139" cm="1">
        <f t="array" ref="I34">IFERROR(_xlfn.XLOOKUP(1, (Table_Fuel_EFs_Transport[Fuel combusted]=$E34)*(Table_Fuel_EFs_Transport[Transport type]=$D$34), Table_Fuel_EFs_Transport[Scope 1 Emission Factor (kg CO2 - e / GJ) CH4]), 0)</f>
        <v>0.06</v>
      </c>
      <c r="J34" s="139" cm="1">
        <f t="array" ref="J34">IFERROR(_xlfn.XLOOKUP(1, (Table_Fuel_EFs_Transport[Fuel combusted]=$E34)*(Table_Fuel_EFs_Transport[Transport type]=$D$34), Table_Fuel_EFs_Transport[Scope 1 Emission Factor (kg CO2 - e / GJ) N2O]), 0)</f>
        <v>0.6</v>
      </c>
      <c r="K34" s="139" cm="1">
        <f t="array" ref="K34">IFERROR(_xlfn.XLOOKUP(1, (Table_Fuel_EFs_Transport[Fuel combusted]=$E34)*(Table_Fuel_EFs_Transport[Transport type]=$D$25), Table_Fuel_EFs_Transport[Scope 3 Emission Factor (kg CO2 - e / GJ)]), 0)</f>
        <v>0</v>
      </c>
      <c r="L34" s="136" cm="1">
        <f t="array" ref="L34">Fuel_InputFunctions.Fuel_TotalConsumption(Table_Input_Fuel[Amount consumed], Table_Input_Fuel[Fuel use (select)], D34, Table_Input_Fuel[Fuel type (select)],F34)</f>
        <v>0</v>
      </c>
      <c r="M34" s="136" t="str" cm="1">
        <f t="array" ref="M34">Common_InputFunctions.Utility_LookupValueInTable(F34,Table_FuelTypes_Units[Fuel type],Table_FuelTypes_Units[Unit])</f>
        <v>kL</v>
      </c>
      <c r="N34" s="137" cm="1">
        <f t="array" ref="N34">Fuel_Equations.VEERG_8_1_1_1__1_FuelCombustionTransport($L34,$G34,$H34)</f>
        <v>0</v>
      </c>
      <c r="O34" s="137" cm="1">
        <f t="array" ref="O34">Fuel_Equations.VEERG_8_1_1_1__1_FuelCombustionTransport($L34,$G34,$I34)</f>
        <v>0</v>
      </c>
      <c r="P34" s="137" cm="1">
        <f t="array" ref="P34">Fuel_Equations.VEERG_8_1_1_1__1_FuelCombustionTransport($L34,$G34,$J34)</f>
        <v>0</v>
      </c>
      <c r="Q34" s="137" cm="1">
        <f t="array" ref="Q34">Scope3_Equations.VEERG_15_11_1_1__2_UpstreamTransportFuelEmissions(L34,G34,K34)</f>
        <v>0</v>
      </c>
    </row>
    <row r="35" spans="1:17" ht="20.100000000000001" customHeight="1" x14ac:dyDescent="0.25">
      <c r="A35"/>
      <c r="D35" s="128" t="str">
        <f>$D$34</f>
        <v>Aviation</v>
      </c>
      <c r="E35" s="126" t="str">
        <f>'Constants - Fuel'!$E$29</f>
        <v>Kerosene for use as fuel in an aircraft</v>
      </c>
      <c r="F35" s="126" t="str">
        <f>'Constants - Fuel'!$F$132</f>
        <v>Jet A1, Jet B</v>
      </c>
      <c r="G35" s="46" cm="1">
        <f t="array" ref="G35">IFERROR(_xlfn.XLOOKUP(1, (Table_Fuel_EFs_Transport[Fuel combusted]=$E35)*(Table_Fuel_EFs_Transport[Transport type]=$D$34), Table_Fuel_EFs_Transport[Energy Content Factor (GJ per unit of fuel)]), 0)</f>
        <v>36.799999999999997</v>
      </c>
      <c r="H35" s="46" cm="1">
        <f t="array" ref="H35">IFERROR(_xlfn.XLOOKUP(1, (Table_Fuel_EFs_Transport[Fuel combusted]=$E35)*(Table_Fuel_EFs_Transport[Transport type]=$D$34), Table_Fuel_EFs_Transport[Scope 1 Emission Factor (kg CO2 - e / GJ) CO2]), 0)</f>
        <v>69.599999999999994</v>
      </c>
      <c r="I35" s="46" cm="1">
        <f t="array" ref="I35">IFERROR(_xlfn.XLOOKUP(1, (Table_Fuel_EFs_Transport[Fuel combusted]=$E35)*(Table_Fuel_EFs_Transport[Transport type]=$D$34), Table_Fuel_EFs_Transport[Scope 1 Emission Factor (kg CO2 - e / GJ) CH4]), 0)</f>
        <v>0.01</v>
      </c>
      <c r="J35" s="46" cm="1">
        <f t="array" ref="J35">IFERROR(_xlfn.XLOOKUP(1, (Table_Fuel_EFs_Transport[Fuel combusted]=$E35)*(Table_Fuel_EFs_Transport[Transport type]=$D$34), Table_Fuel_EFs_Transport[Scope 1 Emission Factor (kg CO2 - e / GJ) N2O]), 0)</f>
        <v>0.6</v>
      </c>
      <c r="K35" s="46" cm="1">
        <f t="array" ref="K35">IFERROR(_xlfn.XLOOKUP(1, (Table_Fuel_EFs_Transport[Fuel combusted]=$E35)*(Table_Fuel_EFs_Transport[Transport type]=$D$25), Table_Fuel_EFs_Transport[Scope 3 Emission Factor (kg CO2 - e / GJ)]), 0)</f>
        <v>0</v>
      </c>
      <c r="L35" s="112" cm="1">
        <f t="array" ref="L35">Fuel_InputFunctions.Fuel_TotalConsumption(Table_Input_Fuel[Amount consumed], Table_Input_Fuel[Fuel use (select)], D35, Table_Input_Fuel[Fuel type (select)],F35)</f>
        <v>0</v>
      </c>
      <c r="M35" s="112" t="str" cm="1">
        <f t="array" ref="M35">Common_InputFunctions.Utility_LookupValueInTable(F35,Table_FuelTypes_Units[Fuel type],Table_FuelTypes_Units[Unit])</f>
        <v>kL</v>
      </c>
      <c r="N35" s="127" cm="1">
        <f t="array" ref="N35">Fuel_Equations.VEERG_8_1_1_1__1_FuelCombustionTransport($L35,$G35,$H35)</f>
        <v>0</v>
      </c>
      <c r="O35" s="127" cm="1">
        <f t="array" ref="O35">Fuel_Equations.VEERG_8_1_1_1__1_FuelCombustionTransport($L35,$G35,$I35)</f>
        <v>0</v>
      </c>
      <c r="P35" s="127" cm="1">
        <f t="array" ref="P35">Fuel_Equations.VEERG_8_1_1_1__1_FuelCombustionTransport($L35,$G35,$J35)</f>
        <v>0</v>
      </c>
      <c r="Q35" s="127" cm="1">
        <f t="array" ref="Q35">Scope3_Equations.VEERG_15_11_1_1__2_UpstreamTransportFuelEmissions(L35,G35,K35)</f>
        <v>0</v>
      </c>
    </row>
    <row r="36" spans="1:17" ht="20.100000000000001" customHeight="1" x14ac:dyDescent="0.25">
      <c r="A36"/>
      <c r="D36" s="128" t="str">
        <f>$D$34</f>
        <v>Aviation</v>
      </c>
      <c r="E36" s="126" t="str">
        <f>'Constants - Fuel'!$E$30</f>
        <v>Renewable aviation kerosene</v>
      </c>
      <c r="F36" s="126" t="str">
        <f>'Constants - Fuel'!$F$133</f>
        <v>Renewable aviation kerosene</v>
      </c>
      <c r="G36" s="124" cm="1">
        <f t="array" ref="G36">IFERROR(_xlfn.XLOOKUP(1, (Table_Fuel_EFs_Transport[Fuel combusted]=$E36)*(Table_Fuel_EFs_Transport[Transport type]=$D$34), Table_Fuel_EFs_Transport[Energy Content Factor (GJ per unit of fuel)]), 0)</f>
        <v>36.799999999999997</v>
      </c>
      <c r="H36" s="124" cm="1">
        <f t="array" ref="H36">IFERROR(_xlfn.XLOOKUP(1, (Table_Fuel_EFs_Transport[Fuel combusted]=$E36)*(Table_Fuel_EFs_Transport[Transport type]=$D$34), Table_Fuel_EFs_Transport[Scope 1 Emission Factor (kg CO2 - e / GJ) CO2]), 0)</f>
        <v>0</v>
      </c>
      <c r="I36" s="124" cm="1">
        <f t="array" ref="I36">IFERROR(_xlfn.XLOOKUP(1, (Table_Fuel_EFs_Transport[Fuel combusted]=$E36)*(Table_Fuel_EFs_Transport[Transport type]=$D$34), Table_Fuel_EFs_Transport[Scope 1 Emission Factor (kg CO2 - e / GJ) CH4]), 0)</f>
        <v>0.01</v>
      </c>
      <c r="J36" s="124" cm="1">
        <f t="array" ref="J36">IFERROR(_xlfn.XLOOKUP(1, (Table_Fuel_EFs_Transport[Fuel combusted]=$E36)*(Table_Fuel_EFs_Transport[Transport type]=$D$34), Table_Fuel_EFs_Transport[Scope 1 Emission Factor (kg CO2 - e / GJ) N2O]), 0)</f>
        <v>0.6</v>
      </c>
      <c r="K36" s="124" cm="1">
        <f t="array" ref="K36">IFERROR(_xlfn.XLOOKUP(1, (Table_Fuel_EFs_Transport[Fuel combusted]=$E36)*(Table_Fuel_EFs_Transport[Transport type]=$D$25), Table_Fuel_EFs_Transport[Scope 3 Emission Factor (kg CO2 - e / GJ)]), 0)</f>
        <v>0</v>
      </c>
      <c r="L36" s="129" cm="1">
        <f t="array" ref="L36">Fuel_InputFunctions.Fuel_TotalConsumption(Table_Input_Fuel[Amount consumed], Table_Input_Fuel[Fuel use (select)], D36, Table_Input_Fuel[Fuel type (select)],F36)</f>
        <v>0</v>
      </c>
      <c r="M36" s="112" t="str" cm="1">
        <f t="array" ref="M36">Common_InputFunctions.Utility_LookupValueInTable(F36,Table_FuelTypes_Units[Fuel type],Table_FuelTypes_Units[Unit])</f>
        <v>kL</v>
      </c>
      <c r="N36" s="127" cm="1">
        <f t="array" ref="N36">Fuel_Equations.VEERG_8_1_1_1__1_FuelCombustionTransport($L36,$G36,$H36)</f>
        <v>0</v>
      </c>
      <c r="O36" s="127" cm="1">
        <f t="array" ref="O36">Fuel_Equations.VEERG_8_1_1_1__1_FuelCombustionTransport($L36,$G36,$I36)</f>
        <v>0</v>
      </c>
      <c r="P36" s="127" cm="1">
        <f t="array" ref="P36">Fuel_Equations.VEERG_8_1_1_1__1_FuelCombustionTransport($L36,$G36,$J36)</f>
        <v>0</v>
      </c>
      <c r="Q36" s="130" cm="1">
        <f t="array" ref="Q36">Scope3_Equations.VEERG_15_11_1_1__2_UpstreamTransportFuelEmissions(L36,G36,K36)</f>
        <v>0</v>
      </c>
    </row>
    <row r="37" spans="1:17" ht="20.100000000000001" customHeight="1" x14ac:dyDescent="0.25">
      <c r="A37"/>
      <c r="D37" s="131" t="str">
        <f>Table_FuelTypesPerUse[[#Headers],[Vessels]]</f>
        <v>Vessels</v>
      </c>
      <c r="E37" s="132" t="str">
        <f>'Constants - Fuel'!$E$10</f>
        <v>Gasoline</v>
      </c>
      <c r="F37" s="132" t="str">
        <f>'Constants - Fuel'!$I$131</f>
        <v>Petrol</v>
      </c>
      <c r="G37" s="139" cm="1">
        <f t="array" ref="G37">IFERROR(_xlfn.XLOOKUP(1, (Table_Fuel_EFs_Transport[Fuel combusted]=$E37)*(Table_Fuel_EFs_Transport[Transport type]=$D$37), Table_Fuel_EFs_Transport[Energy Content Factor (GJ per unit of fuel)]), 0)</f>
        <v>34.200000000000003</v>
      </c>
      <c r="H37" s="139" cm="1">
        <f t="array" ref="H37">IFERROR(_xlfn.XLOOKUP(1, (Table_Fuel_EFs_Transport[Fuel combusted]=$E37)*(Table_Fuel_EFs_Transport[Transport type]=$D$37), Table_Fuel_EFs_Transport[Scope 1 Emission Factor (kg CO2 - e / GJ) CO2]), 0)</f>
        <v>67.400000000000006</v>
      </c>
      <c r="I37" s="139" cm="1">
        <f t="array" ref="I37">IFERROR(_xlfn.XLOOKUP(1, (Table_Fuel_EFs_Transport[Fuel combusted]=$E37)*(Table_Fuel_EFs_Transport[Transport type]=$D$37), Table_Fuel_EFs_Transport[Scope 1 Emission Factor (kg CO2 - e / GJ) CH4]), 0)</f>
        <v>10.1</v>
      </c>
      <c r="J37" s="139" cm="1">
        <f t="array" ref="J37">IFERROR(_xlfn.XLOOKUP(1, (Table_Fuel_EFs_Transport[Fuel combusted]=$E37)*(Table_Fuel_EFs_Transport[Transport type]=$D$37), Table_Fuel_EFs_Transport[Scope 1 Emission Factor (kg CO2 - e / GJ) N2O]), 0)</f>
        <v>0.3</v>
      </c>
      <c r="K37" s="139" cm="1">
        <f t="array" ref="K37">IFERROR(_xlfn.XLOOKUP(1, (Table_Fuel_EFs_Transport[Fuel combusted]=$E37)*(Table_Fuel_EFs_Transport[Transport type]=$D$25), Table_Fuel_EFs_Transport[Scope 3 Emission Factor (kg CO2 - e / GJ)]), 0)</f>
        <v>17.2</v>
      </c>
      <c r="L37" s="136" cm="1">
        <f t="array" ref="L37">Fuel_InputFunctions.Fuel_TotalConsumption(Table_Input_Fuel[Amount consumed], Table_Input_Fuel[Fuel use (select)], D37, Table_Input_Fuel[Fuel type (select)],F37)</f>
        <v>0</v>
      </c>
      <c r="M37" s="140" t="str" cm="1">
        <f t="array" ref="M37">Common_InputFunctions.Utility_LookupValueInTable(F37,Table_FuelTypes_Units[Fuel type],Table_FuelTypes_Units[Unit])</f>
        <v>kL</v>
      </c>
      <c r="N37" s="137" cm="1">
        <f t="array" ref="N37">Fuel_Equations.VEERG_8_1_1_1__1_FuelCombustionTransport($L37,$G37,$H37)</f>
        <v>0</v>
      </c>
      <c r="O37" s="137" cm="1">
        <f t="array" ref="O37">Fuel_Equations.VEERG_8_1_1_1__1_FuelCombustionTransport($L37,$G37,$I37)</f>
        <v>0</v>
      </c>
      <c r="P37" s="137" cm="1">
        <f t="array" ref="P37">Fuel_Equations.VEERG_8_1_1_1__1_FuelCombustionTransport($L37,$G37,$J37)</f>
        <v>0</v>
      </c>
      <c r="Q37" s="137" cm="1">
        <f t="array" ref="Q37">Scope3_Equations.VEERG_15_11_1_1__2_UpstreamTransportFuelEmissions(L37,G37,K37)</f>
        <v>0</v>
      </c>
    </row>
    <row r="38" spans="1:17" ht="20.100000000000001" customHeight="1" x14ac:dyDescent="0.25">
      <c r="A38"/>
      <c r="D38" s="128" t="str">
        <f>$D$37</f>
        <v>Vessels</v>
      </c>
      <c r="E38" s="126" t="str">
        <f>'Constants - Fuel'!$E$11</f>
        <v>Diesel oil</v>
      </c>
      <c r="F38" s="126" t="str">
        <f>'Constants - Fuel'!$I$132</f>
        <v>Diesel</v>
      </c>
      <c r="G38" s="46" cm="1">
        <f t="array" ref="G38">IFERROR(_xlfn.XLOOKUP(1, (Table_Fuel_EFs_Transport[Fuel combusted]=$E38)*(Table_Fuel_EFs_Transport[Transport type]=$D$37), Table_Fuel_EFs_Transport[Energy Content Factor (GJ per unit of fuel)]), 0)</f>
        <v>38.6</v>
      </c>
      <c r="H38" s="46" cm="1">
        <f t="array" ref="H38">IFERROR(_xlfn.XLOOKUP(1, (Table_Fuel_EFs_Transport[Fuel combusted]=$E38)*(Table_Fuel_EFs_Transport[Transport type]=$D$37), Table_Fuel_EFs_Transport[Scope 1 Emission Factor (kg CO2 - e / GJ) CO2]), 0)</f>
        <v>69.900000000000006</v>
      </c>
      <c r="I38" s="46" cm="1">
        <f t="array" ref="I38">IFERROR(_xlfn.XLOOKUP(1, (Table_Fuel_EFs_Transport[Fuel combusted]=$E38)*(Table_Fuel_EFs_Transport[Transport type]=$D$37), Table_Fuel_EFs_Transport[Scope 1 Emission Factor (kg CO2 - e / GJ) CH4]), 0)</f>
        <v>0.2</v>
      </c>
      <c r="J38" s="46" cm="1">
        <f t="array" ref="J38">IFERROR(_xlfn.XLOOKUP(1, (Table_Fuel_EFs_Transport[Fuel combusted]=$E38)*(Table_Fuel_EFs_Transport[Transport type]=$D$37), Table_Fuel_EFs_Transport[Scope 1 Emission Factor (kg CO2 - e / GJ) N2O]), 0)</f>
        <v>0.5</v>
      </c>
      <c r="K38" s="46" cm="1">
        <f t="array" ref="K38">IFERROR(_xlfn.XLOOKUP(1, (Table_Fuel_EFs_Transport[Fuel combusted]=$E38)*(Table_Fuel_EFs_Transport[Transport type]=$D$25), Table_Fuel_EFs_Transport[Scope 3 Emission Factor (kg CO2 - e / GJ)]), 0)</f>
        <v>17.3</v>
      </c>
      <c r="L38" s="112" cm="1">
        <f t="array" ref="L38">Fuel_InputFunctions.Fuel_TotalConsumption(Table_Input_Fuel[Amount consumed], Table_Input_Fuel[Fuel use (select)], D38, Table_Input_Fuel[Fuel type (select)],F38)</f>
        <v>0</v>
      </c>
      <c r="M38" s="112" t="str" cm="1">
        <f t="array" ref="M38">Common_InputFunctions.Utility_LookupValueInTable(F38,Table_FuelTypes_Units[Fuel type],Table_FuelTypes_Units[Unit])</f>
        <v>kL</v>
      </c>
      <c r="N38" s="127" cm="1">
        <f t="array" ref="N38">Fuel_Equations.VEERG_8_1_1_1__1_FuelCombustionTransport($L38,$G38,$H38)</f>
        <v>0</v>
      </c>
      <c r="O38" s="127" cm="1">
        <f t="array" ref="O38">Fuel_Equations.VEERG_8_1_1_1__1_FuelCombustionTransport($L38,$G38,$I38)</f>
        <v>0</v>
      </c>
      <c r="P38" s="127" cm="1">
        <f t="array" ref="P38">Fuel_Equations.VEERG_8_1_1_1__1_FuelCombustionTransport($L38,$G38,$J38)</f>
        <v>0</v>
      </c>
      <c r="Q38" s="127" cm="1">
        <f t="array" ref="Q38">Scope3_Equations.VEERG_15_11_1_1__2_UpstreamTransportFuelEmissions(L38,G38,K38)</f>
        <v>0</v>
      </c>
    </row>
    <row r="39" spans="1:17" ht="20.100000000000001" customHeight="1" x14ac:dyDescent="0.25">
      <c r="A39"/>
      <c r="D39" s="128" t="str">
        <f>$D$37</f>
        <v>Vessels</v>
      </c>
      <c r="E39" s="126" t="str">
        <f>'Constants - Fuel'!E33</f>
        <v>Fuel Oil</v>
      </c>
      <c r="F39" s="126" t="str">
        <f>'Constants - Fuel'!$I$133</f>
        <v>Fuel oil</v>
      </c>
      <c r="G39" s="46" cm="1">
        <f t="array" ref="G39">IFERROR(_xlfn.XLOOKUP(1, (Table_Fuel_EFs_Transport[Fuel combusted]=$E39)*(Table_Fuel_EFs_Transport[Transport type]=$D$37), Table_Fuel_EFs_Transport[Energy Content Factor (GJ per unit of fuel)]), 0)</f>
        <v>39.700000000000003</v>
      </c>
      <c r="H39" s="46" cm="1">
        <f t="array" ref="H39">IFERROR(_xlfn.XLOOKUP(1, (Table_Fuel_EFs_Transport[Fuel combusted]=$E39)*(Table_Fuel_EFs_Transport[Transport type]=$D$37), Table_Fuel_EFs_Transport[Scope 1 Emission Factor (kg CO2 - e / GJ) CO2]), 0)</f>
        <v>73.599999999999994</v>
      </c>
      <c r="I39" s="46" cm="1">
        <f t="array" ref="I39">IFERROR(_xlfn.XLOOKUP(1, (Table_Fuel_EFs_Transport[Fuel combusted]=$E39)*(Table_Fuel_EFs_Transport[Transport type]=$D$37), Table_Fuel_EFs_Transport[Scope 1 Emission Factor (kg CO2 - e / GJ) CH4]), 0)</f>
        <v>0.2</v>
      </c>
      <c r="J39" s="46" cm="1">
        <f t="array" ref="J39">IFERROR(_xlfn.XLOOKUP(1, (Table_Fuel_EFs_Transport[Fuel combusted]=$E39)*(Table_Fuel_EFs_Transport[Transport type]=$D$37), Table_Fuel_EFs_Transport[Scope 1 Emission Factor (kg CO2 - e / GJ) N2O]), 0)</f>
        <v>0.5</v>
      </c>
      <c r="K39" s="46" cm="1">
        <f t="array" ref="K39">IFERROR(_xlfn.XLOOKUP(1, (Table_Fuel_EFs_Transport[Fuel combusted]=$E39)*(Table_Fuel_EFs_Transport[Transport type]=$D$25), Table_Fuel_EFs_Transport[Scope 3 Emission Factor (kg CO2 - e / GJ)]), 0)</f>
        <v>18</v>
      </c>
      <c r="L39" s="112" cm="1">
        <f t="array" ref="L39">Fuel_InputFunctions.Fuel_TotalConsumption(Table_Input_Fuel[Amount consumed], Table_Input_Fuel[Fuel use (select)], D39, Table_Input_Fuel[Fuel type (select)],F39)</f>
        <v>10</v>
      </c>
      <c r="M39" s="112" t="str" cm="1">
        <f t="array" ref="M39">Common_InputFunctions.Utility_LookupValueInTable(F39,Table_FuelTypes_Units[Fuel type],Table_FuelTypes_Units[Unit])</f>
        <v>kL</v>
      </c>
      <c r="N39" s="127" cm="1">
        <f t="array" ref="N39">Fuel_Equations.VEERG_8_1_1_1__1_FuelCombustionTransport($L39,$G39,$H39)</f>
        <v>29.219199999999997</v>
      </c>
      <c r="O39" s="127" cm="1">
        <f t="array" ref="O39">Fuel_Equations.VEERG_8_1_1_1__1_FuelCombustionTransport($L39,$G39,$I39)</f>
        <v>7.9400000000000012E-2</v>
      </c>
      <c r="P39" s="127" cm="1">
        <f t="array" ref="P39">Fuel_Equations.VEERG_8_1_1_1__1_FuelCombustionTransport($L39,$G39,$J39)</f>
        <v>0.19850000000000001</v>
      </c>
      <c r="Q39" s="127" cm="1">
        <f t="array" ref="Q39">Scope3_Equations.VEERG_15_11_1_1__2_UpstreamTransportFuelEmissions(L39,G39,K39)</f>
        <v>7.1459999999999999</v>
      </c>
    </row>
    <row r="40" spans="1:17" ht="20.100000000000001" customHeight="1" x14ac:dyDescent="0.25">
      <c r="A40"/>
      <c r="H40" s="104"/>
      <c r="I40" s="104"/>
      <c r="J40" s="104"/>
      <c r="L40" s="104"/>
      <c r="M40" s="104"/>
      <c r="N40" s="104"/>
      <c r="O40" s="104"/>
      <c r="P40" s="104"/>
      <c r="Q40" s="104"/>
    </row>
    <row r="41" spans="1:17" ht="20.100000000000001" customHeight="1" x14ac:dyDescent="0.25">
      <c r="A41"/>
      <c r="H41" s="104"/>
      <c r="I41" s="104"/>
      <c r="J41" s="104"/>
      <c r="L41" s="104"/>
      <c r="M41" s="104"/>
      <c r="N41" s="104"/>
      <c r="O41" s="104"/>
      <c r="P41" s="104"/>
      <c r="Q41" s="104"/>
    </row>
    <row r="42" spans="1:17" ht="20.100000000000001" customHeight="1" x14ac:dyDescent="0.25">
      <c r="A42"/>
      <c r="D42" s="141" t="str">
        <f>"Total scope 1 - " &amp; D25</f>
        <v>Total scope 1 - Cars and light commercial vehicles</v>
      </c>
      <c r="E42" s="142"/>
      <c r="F42" s="143"/>
    </row>
    <row r="43" spans="1:17" ht="20.100000000000001" customHeight="1" x14ac:dyDescent="0.25">
      <c r="A43"/>
      <c r="D43" s="14" t="s">
        <v>329</v>
      </c>
      <c r="E43" s="144">
        <f>SUM(N25:N32)</f>
        <v>26.981400000000001</v>
      </c>
      <c r="F43" s="26" t="str">
        <f>$E$12</f>
        <v>t CO2-e</v>
      </c>
    </row>
    <row r="44" spans="1:17" ht="20.100000000000001" customHeight="1" x14ac:dyDescent="0.25">
      <c r="A44"/>
      <c r="D44" s="14" t="s">
        <v>330</v>
      </c>
      <c r="E44" s="144">
        <f>SUM(O25:O32)</f>
        <v>3.8600000000000001E-3</v>
      </c>
      <c r="F44" s="26" t="str">
        <f t="shared" ref="F44:F46" si="1">$E$12</f>
        <v>t CO2-e</v>
      </c>
    </row>
    <row r="45" spans="1:17" ht="20.100000000000001" customHeight="1" x14ac:dyDescent="0.25">
      <c r="A45"/>
      <c r="D45" s="14" t="s">
        <v>331</v>
      </c>
      <c r="E45" s="144">
        <f>SUM(P25:P32)</f>
        <v>0.193</v>
      </c>
      <c r="F45" s="26" t="str">
        <f t="shared" si="1"/>
        <v>t CO2-e</v>
      </c>
    </row>
    <row r="46" spans="1:17" ht="20.100000000000001" customHeight="1" x14ac:dyDescent="0.25">
      <c r="A46"/>
      <c r="D46" s="14" t="s">
        <v>332</v>
      </c>
      <c r="E46" s="144">
        <f>SUM(Q25:Q32)</f>
        <v>6.6778000000000004</v>
      </c>
      <c r="F46" s="26" t="str">
        <f t="shared" si="1"/>
        <v>t CO2-e</v>
      </c>
    </row>
    <row r="47" spans="1:17" ht="20.100000000000001" customHeight="1" x14ac:dyDescent="0.25">
      <c r="A47"/>
      <c r="D47" s="104"/>
      <c r="E47" s="104"/>
      <c r="F47" s="104"/>
    </row>
    <row r="48" spans="1:17" ht="20.100000000000001" customHeight="1" x14ac:dyDescent="0.25">
      <c r="A48"/>
      <c r="D48" s="141" t="str">
        <f>"Total scope 1 - " &amp; D33</f>
        <v>Total scope 1 - Off-road Agriculture and forestry equipment</v>
      </c>
      <c r="E48" s="145"/>
      <c r="F48" s="143"/>
      <c r="H48" s="104"/>
      <c r="I48" s="104"/>
      <c r="J48" s="104"/>
      <c r="L48" s="104"/>
      <c r="M48" s="104"/>
      <c r="N48" s="104"/>
      <c r="O48" s="104"/>
      <c r="P48" s="104"/>
      <c r="Q48" s="104"/>
    </row>
    <row r="49" spans="1:17" ht="20.100000000000001" customHeight="1" x14ac:dyDescent="0.25">
      <c r="A49"/>
      <c r="D49" s="14" t="s">
        <v>329</v>
      </c>
      <c r="E49" s="144">
        <f>SUM(N33:N33)</f>
        <v>26.981400000000001</v>
      </c>
      <c r="F49" s="26" t="str">
        <f t="shared" ref="F49:F52" si="2">$E$12</f>
        <v>t CO2-e</v>
      </c>
      <c r="H49" s="104"/>
      <c r="I49" s="104"/>
      <c r="J49" s="104"/>
      <c r="L49" s="104"/>
      <c r="M49" s="104"/>
      <c r="N49" s="104"/>
      <c r="O49" s="104"/>
      <c r="P49" s="104"/>
      <c r="Q49" s="104"/>
    </row>
    <row r="50" spans="1:17" ht="20.100000000000001" customHeight="1" x14ac:dyDescent="0.25">
      <c r="A50"/>
      <c r="D50" s="14" t="s">
        <v>330</v>
      </c>
      <c r="E50" s="144">
        <f>SUM(O33:O33)</f>
        <v>0.1158</v>
      </c>
      <c r="F50" s="26" t="str">
        <f t="shared" si="2"/>
        <v>t CO2-e</v>
      </c>
      <c r="H50" s="104"/>
      <c r="I50" s="104"/>
      <c r="J50" s="104"/>
      <c r="L50" s="104"/>
      <c r="M50" s="104"/>
      <c r="N50" s="104"/>
      <c r="O50" s="104"/>
      <c r="P50" s="104"/>
      <c r="Q50" s="104"/>
    </row>
    <row r="51" spans="1:17" ht="20.100000000000001" customHeight="1" x14ac:dyDescent="0.25">
      <c r="A51"/>
      <c r="D51" s="14" t="s">
        <v>331</v>
      </c>
      <c r="E51" s="144">
        <f>SUM(P33:P33)</f>
        <v>0.193</v>
      </c>
      <c r="F51" s="26" t="str">
        <f t="shared" si="2"/>
        <v>t CO2-e</v>
      </c>
      <c r="H51" s="104"/>
      <c r="I51" s="104"/>
      <c r="J51" s="104"/>
      <c r="L51" s="104"/>
      <c r="M51" s="104"/>
      <c r="N51" s="104"/>
      <c r="O51" s="104"/>
      <c r="P51" s="104"/>
      <c r="Q51" s="104"/>
    </row>
    <row r="52" spans="1:17" ht="20.100000000000001" customHeight="1" x14ac:dyDescent="0.25">
      <c r="A52"/>
      <c r="D52" s="14" t="s">
        <v>332</v>
      </c>
      <c r="E52" s="144">
        <f>SUM(Q33)</f>
        <v>6.6778000000000004</v>
      </c>
      <c r="F52" s="26" t="str">
        <f t="shared" si="2"/>
        <v>t CO2-e</v>
      </c>
      <c r="H52" s="104"/>
      <c r="I52" s="104"/>
      <c r="J52" s="104"/>
      <c r="L52" s="104"/>
      <c r="M52" s="104"/>
      <c r="N52" s="104"/>
      <c r="O52" s="104"/>
      <c r="P52" s="104"/>
      <c r="Q52" s="104"/>
    </row>
    <row r="53" spans="1:17" ht="20.100000000000001" customHeight="1" x14ac:dyDescent="0.25">
      <c r="A53"/>
      <c r="D53" s="104"/>
      <c r="E53" s="146"/>
      <c r="F53" s="104"/>
      <c r="G53" s="104"/>
      <c r="H53" s="104"/>
      <c r="I53" s="104"/>
      <c r="J53" s="104"/>
      <c r="L53" s="104"/>
      <c r="M53" s="104"/>
      <c r="N53" s="104"/>
      <c r="O53" s="104"/>
      <c r="P53" s="104"/>
      <c r="Q53" s="104"/>
    </row>
    <row r="54" spans="1:17" ht="20.100000000000001" customHeight="1" x14ac:dyDescent="0.25">
      <c r="A54"/>
      <c r="D54" s="141" t="str">
        <f>"Total scope 1 - " &amp; D34</f>
        <v>Total scope 1 - Aviation</v>
      </c>
      <c r="E54" s="145"/>
      <c r="F54" s="143"/>
      <c r="G54" s="104"/>
      <c r="H54" s="104"/>
      <c r="I54" s="104"/>
      <c r="J54" s="104"/>
      <c r="L54" s="104"/>
      <c r="M54" s="104"/>
      <c r="N54" s="104"/>
      <c r="O54" s="104"/>
      <c r="P54" s="104"/>
      <c r="Q54" s="104"/>
    </row>
    <row r="55" spans="1:17" ht="20.100000000000001" customHeight="1" x14ac:dyDescent="0.25">
      <c r="A55"/>
      <c r="D55" s="14" t="s">
        <v>329</v>
      </c>
      <c r="E55" s="144">
        <f>SUM(N34:N36)</f>
        <v>0</v>
      </c>
      <c r="F55" s="26" t="str">
        <f t="shared" ref="F55:F58" si="3">$E$12</f>
        <v>t CO2-e</v>
      </c>
      <c r="G55" s="104"/>
      <c r="H55" s="104"/>
      <c r="I55" s="104"/>
      <c r="J55" s="104"/>
      <c r="L55" s="104"/>
      <c r="M55" s="104"/>
      <c r="N55" s="104"/>
      <c r="O55" s="104"/>
      <c r="P55" s="104"/>
      <c r="Q55" s="104"/>
    </row>
    <row r="56" spans="1:17" ht="20.100000000000001" customHeight="1" x14ac:dyDescent="0.25">
      <c r="A56"/>
      <c r="D56" s="14" t="s">
        <v>330</v>
      </c>
      <c r="E56" s="144">
        <f>SUM(O34:O36)</f>
        <v>0</v>
      </c>
      <c r="F56" s="26" t="str">
        <f t="shared" si="3"/>
        <v>t CO2-e</v>
      </c>
      <c r="G56" s="104"/>
      <c r="H56" s="104"/>
      <c r="I56" s="104"/>
      <c r="J56" s="104"/>
      <c r="L56" s="104"/>
      <c r="M56" s="104"/>
      <c r="N56" s="104"/>
      <c r="O56" s="104"/>
      <c r="P56" s="104"/>
      <c r="Q56" s="104"/>
    </row>
    <row r="57" spans="1:17" ht="20.100000000000001" customHeight="1" x14ac:dyDescent="0.25">
      <c r="A57"/>
      <c r="D57" s="14" t="s">
        <v>331</v>
      </c>
      <c r="E57" s="144">
        <f>SUM(P34:P36)</f>
        <v>0</v>
      </c>
      <c r="F57" s="26" t="str">
        <f t="shared" si="3"/>
        <v>t CO2-e</v>
      </c>
      <c r="G57" s="104"/>
      <c r="H57" s="104"/>
      <c r="I57" s="104"/>
      <c r="J57" s="104"/>
      <c r="L57" s="104"/>
      <c r="M57" s="104"/>
      <c r="N57" s="104"/>
      <c r="O57" s="104"/>
      <c r="P57" s="104"/>
      <c r="Q57" s="104"/>
    </row>
    <row r="58" spans="1:17" ht="20.100000000000001" customHeight="1" x14ac:dyDescent="0.25">
      <c r="A58"/>
      <c r="D58" s="14" t="s">
        <v>332</v>
      </c>
      <c r="E58" s="144">
        <f>SUM(Q34:Q36)</f>
        <v>0</v>
      </c>
      <c r="F58" s="26" t="str">
        <f t="shared" si="3"/>
        <v>t CO2-e</v>
      </c>
      <c r="G58" s="104"/>
      <c r="H58" s="104"/>
      <c r="I58" s="104"/>
      <c r="J58" s="104"/>
      <c r="L58" s="104"/>
      <c r="M58" s="104"/>
      <c r="N58" s="104"/>
      <c r="O58" s="104"/>
      <c r="P58" s="104"/>
      <c r="Q58" s="104"/>
    </row>
    <row r="59" spans="1:17" ht="20.100000000000001" customHeight="1" x14ac:dyDescent="0.25">
      <c r="A59"/>
      <c r="D59" s="104"/>
      <c r="E59" s="146"/>
      <c r="F59" s="104"/>
      <c r="G59" s="104"/>
      <c r="H59" s="104"/>
      <c r="I59" s="104"/>
      <c r="J59" s="104"/>
      <c r="L59" s="104"/>
      <c r="M59" s="104"/>
      <c r="N59" s="104"/>
      <c r="O59" s="104"/>
      <c r="P59" s="104"/>
      <c r="Q59" s="104"/>
    </row>
    <row r="60" spans="1:17" ht="20.100000000000001" customHeight="1" x14ac:dyDescent="0.25">
      <c r="A60"/>
      <c r="D60" s="141" t="str">
        <f>"Total scope 1 - " &amp; D37</f>
        <v>Total scope 1 - Vessels</v>
      </c>
      <c r="E60" s="145"/>
      <c r="F60" s="143"/>
      <c r="G60" s="104"/>
      <c r="H60" s="104"/>
      <c r="I60" s="104"/>
      <c r="J60" s="104"/>
      <c r="L60" s="104"/>
      <c r="M60" s="104"/>
      <c r="N60" s="104"/>
      <c r="O60" s="104"/>
      <c r="P60" s="104"/>
      <c r="Q60" s="104"/>
    </row>
    <row r="61" spans="1:17" ht="20.100000000000001" customHeight="1" x14ac:dyDescent="0.25">
      <c r="A61"/>
      <c r="D61" s="14" t="s">
        <v>329</v>
      </c>
      <c r="E61" s="144">
        <f>SUM(N37:N39)</f>
        <v>29.219199999999997</v>
      </c>
      <c r="F61" s="26" t="str">
        <f t="shared" ref="F61:F64" si="4">$E$12</f>
        <v>t CO2-e</v>
      </c>
      <c r="G61" s="104"/>
      <c r="H61" s="104"/>
      <c r="I61" s="104"/>
      <c r="J61" s="104"/>
      <c r="L61" s="104"/>
      <c r="M61" s="104"/>
      <c r="N61" s="104"/>
      <c r="O61" s="104"/>
      <c r="P61" s="104"/>
      <c r="Q61" s="104"/>
    </row>
    <row r="62" spans="1:17" ht="20.100000000000001" customHeight="1" x14ac:dyDescent="0.25">
      <c r="A62"/>
      <c r="D62" s="14" t="s">
        <v>330</v>
      </c>
      <c r="E62" s="144">
        <f>SUM(O37:O39)</f>
        <v>7.9400000000000012E-2</v>
      </c>
      <c r="F62" s="26" t="str">
        <f t="shared" si="4"/>
        <v>t CO2-e</v>
      </c>
      <c r="G62" s="104"/>
      <c r="H62" s="104"/>
      <c r="I62" s="104"/>
      <c r="J62" s="104"/>
      <c r="L62" s="104"/>
      <c r="M62" s="104"/>
      <c r="N62" s="104"/>
      <c r="O62" s="104"/>
      <c r="P62" s="104"/>
      <c r="Q62" s="104"/>
    </row>
    <row r="63" spans="1:17" ht="20.100000000000001" customHeight="1" x14ac:dyDescent="0.25">
      <c r="A63"/>
      <c r="D63" s="14" t="s">
        <v>331</v>
      </c>
      <c r="E63" s="144">
        <f>SUM(P37:P39)</f>
        <v>0.19850000000000001</v>
      </c>
      <c r="F63" s="26" t="str">
        <f t="shared" si="4"/>
        <v>t CO2-e</v>
      </c>
      <c r="G63" s="104"/>
      <c r="H63" s="104"/>
      <c r="I63" s="104"/>
      <c r="J63" s="104"/>
      <c r="L63" s="104"/>
      <c r="M63" s="104"/>
      <c r="N63" s="104"/>
      <c r="O63" s="104"/>
      <c r="P63" s="104"/>
      <c r="Q63" s="104"/>
    </row>
    <row r="64" spans="1:17" ht="20.100000000000001" customHeight="1" x14ac:dyDescent="0.25">
      <c r="A64"/>
      <c r="D64" s="14" t="s">
        <v>332</v>
      </c>
      <c r="E64" s="144">
        <f>SUM(Q37:Q39)</f>
        <v>7.1459999999999999</v>
      </c>
      <c r="F64" s="26" t="str">
        <f t="shared" si="4"/>
        <v>t CO2-e</v>
      </c>
      <c r="G64" s="104"/>
      <c r="H64" s="104"/>
      <c r="I64" s="104"/>
      <c r="J64" s="104"/>
      <c r="L64" s="104"/>
      <c r="M64" s="104"/>
      <c r="N64" s="104"/>
      <c r="O64" s="104"/>
      <c r="P64" s="104"/>
      <c r="Q64" s="104"/>
    </row>
    <row r="65" spans="1:17" ht="20.100000000000001" customHeight="1" x14ac:dyDescent="0.25">
      <c r="A65"/>
      <c r="G65" s="104"/>
      <c r="H65" s="104"/>
      <c r="I65" s="104"/>
      <c r="J65" s="104"/>
      <c r="L65" s="104"/>
      <c r="M65" s="104"/>
      <c r="N65" s="104"/>
      <c r="O65" s="104"/>
      <c r="P65" s="104"/>
      <c r="Q65" s="104"/>
    </row>
    <row r="66" spans="1:17" ht="20.100000000000001" customHeight="1" x14ac:dyDescent="0.25">
      <c r="A66"/>
      <c r="D66" s="141" t="s">
        <v>333</v>
      </c>
      <c r="E66" s="147"/>
      <c r="F66" s="143"/>
      <c r="G66" s="104"/>
      <c r="H66" s="104"/>
      <c r="I66" s="104"/>
      <c r="J66" s="104"/>
      <c r="L66" s="104"/>
      <c r="M66" s="104"/>
      <c r="N66" s="104"/>
      <c r="O66" s="104"/>
      <c r="P66" s="104"/>
      <c r="Q66" s="104"/>
    </row>
    <row r="67" spans="1:17" ht="20.100000000000001" customHeight="1" x14ac:dyDescent="0.25">
      <c r="A67"/>
      <c r="D67" s="14" t="s">
        <v>329</v>
      </c>
      <c r="E67" s="144">
        <f>E43+E49+E55+E61</f>
        <v>83.182000000000002</v>
      </c>
      <c r="F67" s="26" t="str">
        <f t="shared" ref="F67:F70" si="5">$E$12</f>
        <v>t CO2-e</v>
      </c>
      <c r="G67" s="104"/>
    </row>
    <row r="68" spans="1:17" ht="20.100000000000001" customHeight="1" x14ac:dyDescent="0.25">
      <c r="A68"/>
      <c r="D68" s="14" t="s">
        <v>330</v>
      </c>
      <c r="E68" s="144">
        <f t="shared" ref="E68:E70" si="6">E44+E50+E56+E62</f>
        <v>0.19906000000000001</v>
      </c>
      <c r="F68" s="26" t="str">
        <f t="shared" si="5"/>
        <v>t CO2-e</v>
      </c>
      <c r="G68" s="104"/>
    </row>
    <row r="69" spans="1:17" ht="20.100000000000001" customHeight="1" x14ac:dyDescent="0.25">
      <c r="A69"/>
      <c r="D69" s="14" t="s">
        <v>331</v>
      </c>
      <c r="E69" s="144">
        <f t="shared" si="6"/>
        <v>0.58450000000000002</v>
      </c>
      <c r="F69" s="26" t="str">
        <f t="shared" si="5"/>
        <v>t CO2-e</v>
      </c>
      <c r="G69" s="104"/>
    </row>
    <row r="70" spans="1:17" ht="20.100000000000001" customHeight="1" x14ac:dyDescent="0.25">
      <c r="A70"/>
      <c r="D70" s="14" t="s">
        <v>332</v>
      </c>
      <c r="E70" s="144">
        <f t="shared" si="6"/>
        <v>20.5016</v>
      </c>
      <c r="F70" s="26" t="str">
        <f t="shared" si="5"/>
        <v>t CO2-e</v>
      </c>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F4B8404D-0C3A-40A9-8B69-A236BE413978}"/>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C87B5-C1B7-425F-8E6B-A2F5991CCDBE}">
  <dimension ref="A1:R165"/>
  <sheetViews>
    <sheetView showGridLines="0" topLeftCell="A33"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334</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4"/>
      <c r="P5" s="104"/>
      <c r="Q5" s="104"/>
      <c r="R5" s="104"/>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4"/>
      <c r="P6" s="104"/>
      <c r="Q6" s="104"/>
      <c r="R6" s="104"/>
    </row>
    <row r="7" spans="1:18" ht="20.100000000000001" customHeight="1" x14ac:dyDescent="0.25">
      <c r="A7" s="35" t="s">
        <v>91</v>
      </c>
      <c r="D7" s="77" t="s">
        <v>162</v>
      </c>
      <c r="E7" s="77"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4"/>
      <c r="P7" s="104"/>
      <c r="Q7" s="104"/>
      <c r="R7" s="104"/>
    </row>
    <row r="8" spans="1:18" ht="20.100000000000001" customHeight="1" x14ac:dyDescent="0.25">
      <c r="A8" s="28" t="str">
        <f>HYPERLINK("#'Input - Planting'!A1", "Planting")</f>
        <v>Planting</v>
      </c>
      <c r="K8" s="77" t="s">
        <v>162</v>
      </c>
      <c r="L8" s="77" t="str" cm="1">
        <f t="array" aca="1" ref="L8" ca="1">Common_InputFunctions.Utility_DisplayFunctionName(Q25)</f>
        <v>=Fuel_Equations.VEERG_8_2_1_1__1_FuelCombustionStationary</v>
      </c>
      <c r="O8" s="104"/>
      <c r="P8" s="104"/>
      <c r="Q8" s="104"/>
      <c r="R8" s="104"/>
    </row>
    <row r="9" spans="1:18" ht="20.100000000000001" customHeight="1" x14ac:dyDescent="0.25">
      <c r="A9" s="28" t="str">
        <f>HYPERLINK("#'Input - Fertiliser'!A1", "Fertiliser")</f>
        <v>Fertiliser</v>
      </c>
      <c r="G9" s="18"/>
      <c r="O9" s="104"/>
      <c r="P9" s="104"/>
      <c r="Q9" s="104"/>
      <c r="R9" s="104"/>
    </row>
    <row r="10" spans="1:18" ht="20.100000000000001" customHeight="1" x14ac:dyDescent="0.25">
      <c r="A10" s="28" t="str">
        <f>HYPERLINK("#'Input - Fuel'!A1", "Fuel")</f>
        <v>Fuel</v>
      </c>
      <c r="O10" s="104"/>
      <c r="P10" s="104"/>
      <c r="Q10" s="104"/>
      <c r="R10" s="104"/>
    </row>
    <row r="11" spans="1:18" ht="20.100000000000001" customHeight="1" x14ac:dyDescent="0.25">
      <c r="A11" s="28" t="str">
        <f>HYPERLINK("#'Input - Fert Prod System'!A1", "Fert Prod System")</f>
        <v>Fert Prod System</v>
      </c>
      <c r="D11" s="64" t="s">
        <v>163</v>
      </c>
      <c r="E11" s="15" t="str" cm="1">
        <f t="array" ref="E11">Fuel_Equations.VEERG_8_2_1_1__1_FuelCombustionStationary_Variable()</f>
        <v>E_g</v>
      </c>
      <c r="K11" s="64" t="s">
        <v>163</v>
      </c>
      <c r="L11" s="15" t="str" cm="1">
        <f t="array" ref="L11">Scope3_Equations.VEERG_15_11_1_1__3_UpstreamStationaryFuelEmissions_Variable()</f>
        <v>E_WTTSCq</v>
      </c>
      <c r="O11" s="104"/>
      <c r="P11" s="104"/>
      <c r="Q11" s="104"/>
      <c r="R11" s="104"/>
    </row>
    <row r="12" spans="1:18" ht="20.100000000000001" customHeight="1" x14ac:dyDescent="0.25">
      <c r="A12" s="28" t="str">
        <f>HYPERLINK("#'Input - Site'!A1", "Site")</f>
        <v>Site</v>
      </c>
      <c r="D12" s="64" t="s">
        <v>164</v>
      </c>
      <c r="E12" s="20" t="str" cm="1">
        <f t="array" ref="E12">Fuel_Equations.VEERG_8_2_1_1__1_FuelCombustionStationary_Unit()</f>
        <v>t CO2-e</v>
      </c>
      <c r="K12" s="64" t="s">
        <v>164</v>
      </c>
      <c r="L12" s="20" t="str" cm="1">
        <f t="array" ref="L12">Scope3_Equations.VEERG_15_11_1_1__3_UpstreamStationaryFuelEmissions_Unit()</f>
        <v>t CO2e</v>
      </c>
    </row>
    <row r="13" spans="1:18" ht="20.100000000000001" customHeight="1" x14ac:dyDescent="0.25">
      <c r="A13"/>
    </row>
    <row r="14" spans="1:18" ht="20.100000000000001" customHeight="1" x14ac:dyDescent="0.25">
      <c r="A14"/>
      <c r="D14" s="100" t="str" cm="1">
        <f t="array" ref="D14:E20">_xlfn.CHOOSECOLS(Fuel_Equations.VEERG_8_2_1_1__1_FuelCombustionStationary_Arguments(), 1,2)</f>
        <v>Q_SCq</v>
      </c>
      <c r="E14" s="108" t="str">
        <v>Amount of fuel type q used for stationary combustion operations</v>
      </c>
      <c r="F14" s="110"/>
      <c r="G14" s="100"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100" t="str" cm="1">
        <f t="array" ref="K14:L18">_xlfn.CHOOSECOLS(Scope3_Equations.VEERG_15_11_1_1__3_UpstreamStationaryFuelEmissions_Arguments(),1,2)</f>
        <v>Q_SCq</v>
      </c>
      <c r="L14" s="100" t="str">
        <v>amount of fuel q used for stationary combustion operations</v>
      </c>
      <c r="M14" s="100"/>
      <c r="N14" s="100"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EC_SCq</v>
      </c>
      <c r="E15" s="108" t="str">
        <v>Energy content factor for stationary combustion operations</v>
      </c>
      <c r="F15" s="110"/>
      <c r="G15" s="100" t="str">
        <v>GJ / unit of fuel</v>
      </c>
      <c r="H15" s="82" t="str">
        <v>Constant</v>
      </c>
      <c r="I15" s="85" t="str" cm="1">
        <f t="array" aca="1" ref="I15" ca="1">HYPERLINK(Common_InputFunctions.Utility_SourceHyperlink($D$22), $D$22)</f>
        <v>Table_E_g</v>
      </c>
      <c r="K15" s="100" t="str">
        <v>EC_SCq</v>
      </c>
      <c r="L15" s="100" t="str">
        <v>energy content factor for stationary combustion operations</v>
      </c>
      <c r="M15" s="100"/>
      <c r="N15" s="100" t="str">
        <v>GJ/kL</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EF_SC1qg</v>
      </c>
      <c r="E16" s="108" t="str">
        <v>Scope 1 emission factor for stationary combustion for each greenhouse gas</v>
      </c>
      <c r="F16" s="110"/>
      <c r="G16" s="100" t="str">
        <v>kg CO2e / GJ</v>
      </c>
      <c r="H16" s="82" t="str">
        <v>Constant</v>
      </c>
      <c r="I16" s="85" t="str" cm="1">
        <f t="array" aca="1" ref="I16" ca="1">HYPERLINK(Common_InputFunctions.Utility_SourceHyperlink($D$22), $D$22)</f>
        <v>Table_E_g</v>
      </c>
      <c r="K16" s="100" t="str">
        <v>EF_SC3q</v>
      </c>
      <c r="L16" s="100" t="str">
        <v>scope 3 emission factor for stationary combustion operations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K17" s="100" t="str">
        <v>i</v>
      </c>
      <c r="L17" s="108" t="str">
        <v>state</v>
      </c>
      <c r="M17" s="110"/>
      <c r="N17" s="100" t="str">
        <v/>
      </c>
      <c r="O17" s="81" t="str">
        <v>Input</v>
      </c>
      <c r="P17" s="100" t="s">
        <v>405</v>
      </c>
      <c r="Q17" s="104"/>
    </row>
    <row r="18" spans="1:17" ht="20.100000000000001" customHeight="1" x14ac:dyDescent="0.25">
      <c r="A18" s="28" t="str">
        <f>HYPERLINK("#'5.2.1.1-2 Organic Fert N2O'!A1", "5.2.1.1-2 Organic fert N2O")</f>
        <v>5.2.1.1-2 Organic fert N2O</v>
      </c>
      <c r="D18" s="100" t="str">
        <v>SC</v>
      </c>
      <c r="E18" s="108" t="str">
        <v>Stationary combustion</v>
      </c>
      <c r="F18" s="110"/>
      <c r="G18" s="100" t="str">
        <v/>
      </c>
      <c r="H18" s="82" t="str">
        <v>Constant</v>
      </c>
      <c r="I18" s="85"/>
      <c r="J18" s="104"/>
      <c r="K18" s="100" t="str">
        <v>m</v>
      </c>
      <c r="L18" s="108" t="str">
        <v>metropolitan/non-metropolitan location</v>
      </c>
      <c r="M18" s="110"/>
      <c r="N18" s="100" t="str">
        <v/>
      </c>
      <c r="O18" s="81" t="str">
        <v>Input</v>
      </c>
      <c r="P18" s="100" t="str">
        <f>X_Cell_Fuel_IsMetroLocation</f>
        <v>Metro</v>
      </c>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28" t="str">
        <f>HYPERLINK("#'8.1.1.1-2 Transport fuel'!A1", "8.1.1.1-2 Transport fuel")</f>
        <v>8.1.1.1-2 Transport fuel</v>
      </c>
      <c r="D22" s="88" t="s">
        <v>313</v>
      </c>
    </row>
    <row r="23" spans="1:17" ht="20.100000000000001" customHeight="1" x14ac:dyDescent="0.25">
      <c r="A23" s="86" t="str">
        <f>HYPERLINK("#'8.2.1.1-2 Stationary fuel'!A1", "8.2.1.1-2 Stationary fuel")</f>
        <v>8.2.1.1-2 Stationary fuel</v>
      </c>
      <c r="D23" s="89" t="s">
        <v>335</v>
      </c>
    </row>
    <row r="24" spans="1:17" ht="20.100000000000001" customHeight="1" x14ac:dyDescent="0.25">
      <c r="A24"/>
      <c r="D24" s="90" t="s">
        <v>315</v>
      </c>
      <c r="E24" s="90" t="s">
        <v>316</v>
      </c>
      <c r="F24" s="90" t="s">
        <v>317</v>
      </c>
      <c r="G24" s="90" t="s">
        <v>336</v>
      </c>
      <c r="H24" s="90" t="s">
        <v>337</v>
      </c>
      <c r="I24" s="90" t="s">
        <v>338</v>
      </c>
      <c r="J24" s="90" t="s">
        <v>339</v>
      </c>
      <c r="K24" s="90" t="s">
        <v>340</v>
      </c>
      <c r="L24" s="91" t="s">
        <v>341</v>
      </c>
      <c r="M24" s="90" t="s">
        <v>324</v>
      </c>
      <c r="N24" s="90" t="s">
        <v>325</v>
      </c>
      <c r="O24" s="90" t="s">
        <v>326</v>
      </c>
      <c r="P24" s="90" t="s">
        <v>327</v>
      </c>
      <c r="Q24" s="90" t="s">
        <v>342</v>
      </c>
    </row>
    <row r="25" spans="1:17" ht="20.100000000000001" customHeight="1" x14ac:dyDescent="0.25">
      <c r="A25"/>
      <c r="D25" s="14" t="str">
        <f>Table_FuelTypesPerUse[[#Headers],[Generators]]</f>
        <v>Generators</v>
      </c>
      <c r="E25" s="126" t="str">
        <f>'Constants - Fuel'!$D$58</f>
        <v>Automotive gasoline / petrol (other than for use as fuel in an aircraft)</v>
      </c>
      <c r="F25" s="126" t="str">
        <f>'Constants - Fuel'!D131</f>
        <v>Petrol</v>
      </c>
      <c r="G25" s="46">
        <f>IFERROR(_xlfn.XLOOKUP($E25, Table_Fuel_EFs_StationaryLiquid[Fuel combusted], Table_Fuel_EFs_StationaryLiquid[Energy Content Factor (GJ per unit of fuel)]),0)</f>
        <v>34.200000000000003</v>
      </c>
      <c r="H25" s="46">
        <f>IFERROR(_xlfn.XLOOKUP($E25, Table_Fuel_EFs_StationaryLiquid[Fuel combusted], Table_Fuel_EFs_StationaryLiquid[Scope 1 Emission Factor (kg CO2 - e / GJ) CO2]),0)</f>
        <v>67.400000000000006</v>
      </c>
      <c r="I25" s="46">
        <f>IFERROR(_xlfn.XLOOKUP($E25, Table_Fuel_EFs_StationaryLiquid[Fuel combusted], Table_Fuel_EFs_StationaryLiquid[Scope 1 Emission Factor (kg CO2 - e / GJ) CH4]),0)</f>
        <v>0.2</v>
      </c>
      <c r="J25" s="46">
        <f>IFERROR(_xlfn.XLOOKUP($E25, Table_Fuel_EFs_StationaryLiquid[Fuel combusted], Table_Fuel_EFs_StationaryLiquid[Scope 1 Emission Factor (kg CO2 - e / GJ) N2O]),0)</f>
        <v>0.2</v>
      </c>
      <c r="K25" s="46">
        <f>IFERROR(_xlfn.XLOOKUP($E25, Table_Fuel_EFs_StationaryLiquid[Fuel combusted], Table_Fuel_EFs_StationaryLiquid[Scope 3 Emission Factor (kg CO2 - e / GJ)]),0)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48" cm="1">
        <f t="array" ref="N25">Fuel_Equations.VEERG_8_2_1_1__1_FuelCombustionStationary($L25,$G25,H25)</f>
        <v>0</v>
      </c>
      <c r="O25" s="148" cm="1">
        <f t="array" ref="O25">Fuel_Equations.VEERG_8_2_1_1__1_FuelCombustionStationary($L25,$G25,I25)</f>
        <v>0</v>
      </c>
      <c r="P25" s="148" cm="1">
        <f t="array" ref="P25">Fuel_Equations.VEERG_8_2_1_1__1_FuelCombustionStationary($L25,$G25,J25)</f>
        <v>0</v>
      </c>
      <c r="Q25" s="148" cm="1">
        <f t="array" ref="Q25">Fuel_Equations.VEERG_8_2_1_1__1_FuelCombustionStationary($L25,$G25,IF(ISNUMBER(K25), K25, 0))</f>
        <v>0</v>
      </c>
    </row>
    <row r="26" spans="1:17" ht="20.100000000000001" customHeight="1" x14ac:dyDescent="0.25">
      <c r="A26" s="66" t="s">
        <v>133</v>
      </c>
      <c r="D26" s="128" t="str">
        <f t="shared" ref="D26:D31" si="0">$D$25</f>
        <v>Generators</v>
      </c>
      <c r="E26" s="126" t="str">
        <f>'Constants - Fuel'!$D$63</f>
        <v>Diesel oil</v>
      </c>
      <c r="F26" s="126" t="str">
        <f>'Constants - Fuel'!D132</f>
        <v>Diesel</v>
      </c>
      <c r="G26" s="46">
        <f>IFERROR(_xlfn.XLOOKUP($E26, Table_Fuel_EFs_StationaryLiquid[Fuel combusted], Table_Fuel_EFs_StationaryLiquid[Energy Content Factor (GJ per unit of fuel)]),0)</f>
        <v>38.6</v>
      </c>
      <c r="H26" s="46">
        <f>IFERROR(_xlfn.XLOOKUP($E26, Table_Fuel_EFs_StationaryLiquid[Fuel combusted], Table_Fuel_EFs_StationaryLiquid[Scope 1 Emission Factor (kg CO2 - e / GJ) CO2]),0)</f>
        <v>69.900000000000006</v>
      </c>
      <c r="I26" s="46">
        <f>IFERROR(_xlfn.XLOOKUP($E26, Table_Fuel_EFs_StationaryLiquid[Fuel combusted], Table_Fuel_EFs_StationaryLiquid[Scope 1 Emission Factor (kg CO2 - e / GJ) CH4]),0)</f>
        <v>0.1</v>
      </c>
      <c r="J26" s="46">
        <f>IFERROR(_xlfn.XLOOKUP($E26, Table_Fuel_EFs_StationaryLiquid[Fuel combusted], Table_Fuel_EFs_StationaryLiquid[Scope 1 Emission Factor (kg CO2 - e / GJ) N2O]),0)</f>
        <v>0.2</v>
      </c>
      <c r="K26" s="46">
        <f>IFERROR(_xlfn.XLOOKUP($E26, Table_Fuel_EFs_StationaryLiquid[Fuel combusted], Table_Fuel_EFs_StationaryLiquid[Scope 3 Emission Factor (kg CO2 - e / GJ)]),0)</f>
        <v>17.3</v>
      </c>
      <c r="L26" s="112" cm="1">
        <f t="array" ref="L26">Fuel_InputFunctions.Fuel_TotalConsumption(Table_Input_Fuel[Amount consumed], Table_Input_Fuel[Fuel use (select)], D26, Table_Input_Fuel[Fuel type (select)],F26)</f>
        <v>0</v>
      </c>
      <c r="M26" s="112" t="str" cm="1">
        <f t="array" ref="M26">Common_InputFunctions.Utility_LookupValueInTable(F26,Table_FuelTypes_Units[Fuel type],Table_FuelTypes_Units[Unit])</f>
        <v>kL</v>
      </c>
      <c r="N26" s="148" cm="1">
        <f t="array" ref="N26">Fuel_Equations.VEERG_8_2_1_1__1_FuelCombustionStationary($L26,$G26,H26)</f>
        <v>0</v>
      </c>
      <c r="O26" s="148" cm="1">
        <f t="array" ref="O26">Fuel_Equations.VEERG_8_2_1_1__1_FuelCombustionStationary($L26,$G26,I26)</f>
        <v>0</v>
      </c>
      <c r="P26" s="148" cm="1">
        <f t="array" ref="P26">Fuel_Equations.VEERG_8_2_1_1__1_FuelCombustionStationary($L26,$G26,J26)</f>
        <v>0</v>
      </c>
      <c r="Q26" s="148" cm="1">
        <f t="array" ref="Q26">Fuel_Equations.VEERG_8_2_1_1__1_FuelCombustionStationary($L26,$G26,IF(ISNUMBER(K26), K26, 0))</f>
        <v>0</v>
      </c>
    </row>
    <row r="27" spans="1:17" ht="20.100000000000001" customHeight="1" x14ac:dyDescent="0.25">
      <c r="A27" s="28" t="str">
        <f>HYPERLINK("#'Constants - Fertiliser'!A1", "Constants - Fertiliser")</f>
        <v>Constants - Fertiliser</v>
      </c>
      <c r="D27" s="128" t="str">
        <f t="shared" si="0"/>
        <v>Generators</v>
      </c>
      <c r="E27" s="126" t="str">
        <f>'Constants - Fuel'!$D$67</f>
        <v>Liquefied petroleum gas (LPG)</v>
      </c>
      <c r="F27" s="126" t="str">
        <f>'Constants - Fuel'!D133</f>
        <v>Liquefied petroleum gas (LPG)</v>
      </c>
      <c r="G27" s="46">
        <f>IFERROR(_xlfn.XLOOKUP($E27, Table_Fuel_EFs_StationaryLiquid[Fuel combusted], Table_Fuel_EFs_StationaryLiquid[Energy Content Factor (GJ per unit of fuel)]),0)</f>
        <v>25.7</v>
      </c>
      <c r="H27" s="46">
        <f>IFERROR(_xlfn.XLOOKUP($E27, Table_Fuel_EFs_StationaryLiquid[Fuel combusted], Table_Fuel_EFs_StationaryLiquid[Scope 1 Emission Factor (kg CO2 - e / GJ) CO2]),0)</f>
        <v>60.2</v>
      </c>
      <c r="I27" s="46">
        <f>IFERROR(_xlfn.XLOOKUP($E27, Table_Fuel_EFs_StationaryLiquid[Fuel combusted], Table_Fuel_EFs_StationaryLiquid[Scope 1 Emission Factor (kg CO2 - e / GJ) CH4]),0)</f>
        <v>0.2</v>
      </c>
      <c r="J27" s="46">
        <f>IFERROR(_xlfn.XLOOKUP($E27, Table_Fuel_EFs_StationaryLiquid[Fuel combusted], Table_Fuel_EFs_StationaryLiquid[Scope 1 Emission Factor (kg CO2 - e / GJ) N2O]),0)</f>
        <v>0.2</v>
      </c>
      <c r="K27" s="46">
        <f>IFERROR(_xlfn.XLOOKUP($E27, Table_Fuel_EFs_StationaryLiquid[Fuel combusted], Table_Fuel_EFs_StationaryLiquid[Scope 3 Emission Factor (kg CO2 - e / GJ)]),0)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48" cm="1">
        <f t="array" ref="N27">Fuel_Equations.VEERG_8_2_1_1__1_FuelCombustionStationary($L27,$G27,H27)</f>
        <v>0</v>
      </c>
      <c r="O27" s="148" cm="1">
        <f t="array" ref="O27">Fuel_Equations.VEERG_8_2_1_1__1_FuelCombustionStationary($L27,$G27,I27)</f>
        <v>0</v>
      </c>
      <c r="P27" s="148" cm="1">
        <f t="array" ref="P27">Fuel_Equations.VEERG_8_2_1_1__1_FuelCombustionStationary($L27,$G27,J27)</f>
        <v>0</v>
      </c>
      <c r="Q27" s="148" cm="1">
        <f t="array" ref="Q27">Fuel_Equations.VEERG_8_2_1_1__1_FuelCombustionStationary($L27,$G27,IF(ISNUMBER(K27), K27, 0))</f>
        <v>0</v>
      </c>
    </row>
    <row r="28" spans="1:17" ht="20.100000000000001" customHeight="1" x14ac:dyDescent="0.25">
      <c r="A28" s="28" t="str">
        <f>HYPERLINK("#'Constants - Fuel'!A1", "Constants - Fuel")</f>
        <v>Constants - Fuel</v>
      </c>
      <c r="D28" s="128" t="str">
        <f t="shared" si="0"/>
        <v>Generators</v>
      </c>
      <c r="E28" s="126" t="str">
        <f>'Constants - Fuel'!$D$73</f>
        <v>Biodiesel</v>
      </c>
      <c r="F28" s="126" t="str">
        <f>'Constants - Fuel'!D134</f>
        <v>Biodiesel</v>
      </c>
      <c r="G28" s="46">
        <f>IFERROR(_xlfn.XLOOKUP($E28, Table_Fuel_EFs_StationaryLiquid[Fuel combusted], Table_Fuel_EFs_StationaryLiquid[Energy Content Factor (GJ per unit of fuel)]),0)</f>
        <v>34.6</v>
      </c>
      <c r="H28" s="46">
        <f>IFERROR(_xlfn.XLOOKUP($E28, Table_Fuel_EFs_StationaryLiquid[Fuel combusted], Table_Fuel_EFs_StationaryLiquid[Scope 1 Emission Factor (kg CO2 - e / GJ) CO2]),0)</f>
        <v>0</v>
      </c>
      <c r="I28" s="46">
        <f>IFERROR(_xlfn.XLOOKUP($E28, Table_Fuel_EFs_StationaryLiquid[Fuel combusted], Table_Fuel_EFs_StationaryLiquid[Scope 1 Emission Factor (kg CO2 - e / GJ) CH4]),0)</f>
        <v>0.08</v>
      </c>
      <c r="J28" s="46">
        <f>IFERROR(_xlfn.XLOOKUP($E28, Table_Fuel_EFs_StationaryLiquid[Fuel combusted], Table_Fuel_EFs_StationaryLiquid[Scope 1 Emission Factor (kg CO2 - e / GJ) N2O]),0)</f>
        <v>0.2</v>
      </c>
      <c r="K28" s="46" t="str">
        <f>IFERROR(_xlfn.XLOOKUP($E28, Table_Fuel_EFs_StationaryLiquid[Fuel combusted], Table_Fuel_EFs_StationaryLiquid[Scope 3 Emission Factor (kg CO2 - e / GJ)]),0)</f>
        <v>NE</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48" cm="1">
        <f t="array" ref="N28">Fuel_Equations.VEERG_8_2_1_1__1_FuelCombustionStationary($L28,$G28,H28)</f>
        <v>0</v>
      </c>
      <c r="O28" s="148" cm="1">
        <f t="array" ref="O28">Fuel_Equations.VEERG_8_2_1_1__1_FuelCombustionStationary($L28,$G28,I28)</f>
        <v>0</v>
      </c>
      <c r="P28" s="148" cm="1">
        <f t="array" ref="P28">Fuel_Equations.VEERG_8_2_1_1__1_FuelCombustionStationary($L28,$G28,J28)</f>
        <v>0</v>
      </c>
      <c r="Q28" s="148" cm="1">
        <f t="array" ref="Q28">Fuel_Equations.VEERG_8_2_1_1__1_FuelCombustionStationary($L28,$G28,IF(ISNUMBER(K28), K28, 0))</f>
        <v>0</v>
      </c>
    </row>
    <row r="29" spans="1:17" ht="20.100000000000001" customHeight="1" x14ac:dyDescent="0.25">
      <c r="A29" s="28" t="str">
        <f>HYPERLINK("#'Constants - Common'!A1", "Constants - Common")</f>
        <v>Constants - Common</v>
      </c>
      <c r="D29" s="128" t="str">
        <f t="shared" si="0"/>
        <v>Generators</v>
      </c>
      <c r="E29" s="126" t="str">
        <f>'Constants - Fuel'!$D$74</f>
        <v>Ethanol for use as a fuel in an internal combustion engine</v>
      </c>
      <c r="F29" s="126" t="str">
        <f>'Constants - Fuel'!D135</f>
        <v>Ethanol</v>
      </c>
      <c r="G29" s="46">
        <f>IFERROR(_xlfn.XLOOKUP($E29, Table_Fuel_EFs_StationaryLiquid[Fuel combusted], Table_Fuel_EFs_StationaryLiquid[Energy Content Factor (GJ per unit of fuel)]),0)</f>
        <v>23.4</v>
      </c>
      <c r="H29" s="46">
        <f>IFERROR(_xlfn.XLOOKUP($E29, Table_Fuel_EFs_StationaryLiquid[Fuel combusted], Table_Fuel_EFs_StationaryLiquid[Scope 1 Emission Factor (kg CO2 - e / GJ) CO2]),0)</f>
        <v>0</v>
      </c>
      <c r="I29" s="46">
        <f>IFERROR(_xlfn.XLOOKUP($E29, Table_Fuel_EFs_StationaryLiquid[Fuel combusted], Table_Fuel_EFs_StationaryLiquid[Scope 1 Emission Factor (kg CO2 - e / GJ) CH4]),0)</f>
        <v>0.08</v>
      </c>
      <c r="J29" s="46">
        <f>IFERROR(_xlfn.XLOOKUP($E29, Table_Fuel_EFs_StationaryLiquid[Fuel combusted], Table_Fuel_EFs_StationaryLiquid[Scope 1 Emission Factor (kg CO2 - e / GJ) N2O]),0)</f>
        <v>0.2</v>
      </c>
      <c r="K29" s="46" t="str">
        <f>IFERROR(_xlfn.XLOOKUP($E29, Table_Fuel_EFs_StationaryLiquid[Fuel combusted], Table_Fuel_EFs_StationaryLiquid[Scope 3 Emission Factor (kg CO2 - e / GJ)]),0)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48" cm="1">
        <f t="array" ref="N29">Fuel_Equations.VEERG_8_2_1_1__1_FuelCombustionStationary($L29,$G29,H29)</f>
        <v>0</v>
      </c>
      <c r="O29" s="148" cm="1">
        <f t="array" ref="O29">Fuel_Equations.VEERG_8_2_1_1__1_FuelCombustionStationary($L29,$G29,I29)</f>
        <v>0</v>
      </c>
      <c r="P29" s="148" cm="1">
        <f t="array" ref="P29">Fuel_Equations.VEERG_8_2_1_1__1_FuelCombustionStationary($L29,$G29,J29)</f>
        <v>0</v>
      </c>
      <c r="Q29" s="148" cm="1">
        <f t="array" ref="Q29">Fuel_Equations.VEERG_8_2_1_1__1_FuelCombustionStationary($L29,$G29,IF(ISNUMBER(K29), K29, 0))</f>
        <v>0</v>
      </c>
    </row>
    <row r="30" spans="1:17" ht="20.100000000000001" customHeight="1" x14ac:dyDescent="0.25">
      <c r="A30"/>
      <c r="D30" s="128" t="str">
        <f t="shared" si="0"/>
        <v>Generators</v>
      </c>
      <c r="E30" s="126" t="str">
        <f>'Constants - Fuel'!$D$75</f>
        <v>Biofuels other than those mentioned in the items above and below</v>
      </c>
      <c r="F30" s="126" t="str">
        <f>'Constants - Fuel'!D136</f>
        <v>Other biofuels</v>
      </c>
      <c r="G30" s="46">
        <f>IFERROR(_xlfn.XLOOKUP($E30, Table_Fuel_EFs_StationaryLiquid[Fuel combusted], Table_Fuel_EFs_StationaryLiquid[Energy Content Factor (GJ per unit of fuel)]),0)</f>
        <v>23.4</v>
      </c>
      <c r="H30" s="46">
        <f>IFERROR(_xlfn.XLOOKUP($E30, Table_Fuel_EFs_StationaryLiquid[Fuel combusted], Table_Fuel_EFs_StationaryLiquid[Scope 1 Emission Factor (kg CO2 - e / GJ) CO2]),0)</f>
        <v>0</v>
      </c>
      <c r="I30" s="46">
        <f>IFERROR(_xlfn.XLOOKUP($E30, Table_Fuel_EFs_StationaryLiquid[Fuel combusted], Table_Fuel_EFs_StationaryLiquid[Scope 1 Emission Factor (kg CO2 - e / GJ) CH4]),0)</f>
        <v>0.08</v>
      </c>
      <c r="J30" s="46">
        <f>IFERROR(_xlfn.XLOOKUP($E30, Table_Fuel_EFs_StationaryLiquid[Fuel combusted], Table_Fuel_EFs_StationaryLiquid[Scope 1 Emission Factor (kg CO2 - e / GJ) N2O]),0)</f>
        <v>0.2</v>
      </c>
      <c r="K30" s="46" t="str">
        <f>IFERROR(_xlfn.XLOOKUP($E30, Table_Fuel_EFs_StationaryLiquid[Fuel combusted], Table_Fuel_EFs_StationaryLiquid[Scope 3 Emission Factor (kg CO2 - e / GJ)]),0)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48" cm="1">
        <f t="array" ref="N30">Fuel_Equations.VEERG_8_2_1_1__1_FuelCombustionStationary($L30,$G30,H30)</f>
        <v>0</v>
      </c>
      <c r="O30" s="148" cm="1">
        <f t="array" ref="O30">Fuel_Equations.VEERG_8_2_1_1__1_FuelCombustionStationary($L30,$G30,I30)</f>
        <v>0</v>
      </c>
      <c r="P30" s="148" cm="1">
        <f t="array" ref="P30">Fuel_Equations.VEERG_8_2_1_1__1_FuelCombustionStationary($L30,$G30,J30)</f>
        <v>0</v>
      </c>
      <c r="Q30" s="148" cm="1">
        <f t="array" ref="Q30">Fuel_Equations.VEERG_8_2_1_1__1_FuelCombustionStationary($L30,$G30,IF(ISNUMBER(K30), K30, 0))</f>
        <v>0</v>
      </c>
    </row>
    <row r="31" spans="1:17" ht="20.100000000000001" customHeight="1" x14ac:dyDescent="0.25">
      <c r="A31"/>
      <c r="D31" s="128" t="str">
        <f t="shared" si="0"/>
        <v>Generators</v>
      </c>
      <c r="E31" s="126" t="str">
        <f>'Constants - Fuel'!$D$77</f>
        <v>Renewable diesel</v>
      </c>
      <c r="F31" s="126" t="str">
        <f>'Constants - Fuel'!D137</f>
        <v>Renewable diesel</v>
      </c>
      <c r="G31" s="124">
        <f>IFERROR(_xlfn.XLOOKUP($E31, Table_Fuel_EFs_StationaryLiquid[Fuel combusted], Table_Fuel_EFs_StationaryLiquid[Energy Content Factor (GJ per unit of fuel)]),0)</f>
        <v>38.6</v>
      </c>
      <c r="H31" s="124">
        <f>IFERROR(_xlfn.XLOOKUP($E31, Table_Fuel_EFs_StationaryLiquid[Fuel combusted], Table_Fuel_EFs_StationaryLiquid[Scope 1 Emission Factor (kg CO2 - e / GJ) CO2]),0)</f>
        <v>0</v>
      </c>
      <c r="I31" s="124">
        <f>IFERROR(_xlfn.XLOOKUP($E31, Table_Fuel_EFs_StationaryLiquid[Fuel combusted], Table_Fuel_EFs_StationaryLiquid[Scope 1 Emission Factor (kg CO2 - e / GJ) CH4]),0)</f>
        <v>0.1</v>
      </c>
      <c r="J31" s="124">
        <f>IFERROR(_xlfn.XLOOKUP($E31, Table_Fuel_EFs_StationaryLiquid[Fuel combusted], Table_Fuel_EFs_StationaryLiquid[Scope 1 Emission Factor (kg CO2 - e / GJ) N2O]),0)</f>
        <v>0.2</v>
      </c>
      <c r="K31" s="124" t="str">
        <f>IFERROR(_xlfn.XLOOKUP($E31, Table_Fuel_EFs_StationaryLiquid[Fuel combusted], Table_Fuel_EFs_StationaryLiquid[Scope 3 Emission Factor (kg CO2 - e / GJ)]),0)</f>
        <v>NE</v>
      </c>
      <c r="L31" s="129" cm="1">
        <f t="array" ref="L31">Fuel_InputFunctions.Fuel_TotalConsumption(Table_Input_Fuel[Amount consumed], Table_Input_Fuel[Fuel use (select)], D31, Table_Input_Fuel[Fuel type (select)],F31)</f>
        <v>0</v>
      </c>
      <c r="M31" s="129" t="str" cm="1">
        <f t="array" ref="M31">Common_InputFunctions.Utility_LookupValueInTable(F31,Table_FuelTypes_Units[Fuel type],Table_FuelTypes_Units[Unit])</f>
        <v>kL</v>
      </c>
      <c r="N31" s="149" cm="1">
        <f t="array" ref="N31">Fuel_Equations.VEERG_8_2_1_1__1_FuelCombustionStationary($L31,$G31,H31)</f>
        <v>0</v>
      </c>
      <c r="O31" s="149" cm="1">
        <f t="array" ref="O31">Fuel_Equations.VEERG_8_2_1_1__1_FuelCombustionStationary($L31,$G31,I31)</f>
        <v>0</v>
      </c>
      <c r="P31" s="149" cm="1">
        <f t="array" ref="P31">Fuel_Equations.VEERG_8_2_1_1__1_FuelCombustionStationary($L31,$G31,J31)</f>
        <v>0</v>
      </c>
      <c r="Q31" s="149" cm="1">
        <f t="array" ref="Q31">Fuel_Equations.VEERG_8_2_1_1__1_FuelCombustionStationary($L31,$G31,IF(ISNUMBER(K31), K31, 0))</f>
        <v>0</v>
      </c>
    </row>
    <row r="32" spans="1:17" ht="20.100000000000001" customHeight="1" x14ac:dyDescent="0.25">
      <c r="A32"/>
      <c r="D32" s="131" t="str">
        <f>Table_FuelTypesPerUse[[#Headers],[Power standalone machinery or heating]]</f>
        <v>Power standalone machinery or heating</v>
      </c>
      <c r="E32" s="132" t="str">
        <f>'Constants - Fuel'!$D$58</f>
        <v>Automotive gasoline / petrol (other than for use as fuel in an aircraft)</v>
      </c>
      <c r="F32" s="132" t="str">
        <f>'Constants - Fuel'!E131</f>
        <v>Petrol</v>
      </c>
      <c r="G32" s="139">
        <f>IFERROR(_xlfn.XLOOKUP($E32, Table_Fuel_EFs_StationaryLiquid[Fuel combusted], Table_Fuel_EFs_StationaryLiquid[Energy Content Factor (GJ per unit of fuel)]),0)</f>
        <v>34.200000000000003</v>
      </c>
      <c r="H32" s="139">
        <f>IFERROR(_xlfn.XLOOKUP($E32, Table_Fuel_EFs_StationaryLiquid[Fuel combusted], Table_Fuel_EFs_StationaryLiquid[Scope 1 Emission Factor (kg CO2 - e / GJ) CO2]),0)</f>
        <v>67.400000000000006</v>
      </c>
      <c r="I32" s="139">
        <f>IFERROR(_xlfn.XLOOKUP($E32, Table_Fuel_EFs_StationaryLiquid[Fuel combusted], Table_Fuel_EFs_StationaryLiquid[Scope 1 Emission Factor (kg CO2 - e / GJ) CH4]),0)</f>
        <v>0.2</v>
      </c>
      <c r="J32" s="139">
        <f>IFERROR(_xlfn.XLOOKUP($E32, Table_Fuel_EFs_StationaryLiquid[Fuel combusted], Table_Fuel_EFs_StationaryLiquid[Scope 1 Emission Factor (kg CO2 - e / GJ) N2O]),0)</f>
        <v>0.2</v>
      </c>
      <c r="K32" s="139">
        <f>IFERROR(_xlfn.XLOOKUP($E32, Table_Fuel_EFs_StationaryLiquid[Fuel combusted], Table_Fuel_EFs_StationaryLiquid[Scope 3 Emission Factor (kg CO2 - e / GJ)]),0)</f>
        <v>17.2</v>
      </c>
      <c r="L32" s="135" cm="1">
        <f t="array" ref="L32">Fuel_InputFunctions.Fuel_TotalConsumption(Table_Input_Fuel[Amount consumed], Table_Input_Fuel[Fuel use (select)], D32, Table_Input_Fuel[Fuel type (select)],F32)</f>
        <v>10</v>
      </c>
      <c r="M32" s="136" t="str" cm="1">
        <f t="array" ref="M32">Common_InputFunctions.Utility_LookupValueInTable(F32,Table_FuelTypes_Units[Fuel type],Table_FuelTypes_Units[Unit])</f>
        <v>kL</v>
      </c>
      <c r="N32" s="150" cm="1">
        <f t="array" ref="N32">Fuel_Equations.VEERG_8_2_1_1__1_FuelCombustionStationary($L32,$G32,H32)</f>
        <v>23.050800000000002</v>
      </c>
      <c r="O32" s="150" cm="1">
        <f t="array" ref="O32">Fuel_Equations.VEERG_8_2_1_1__1_FuelCombustionStationary($L32,$G32,I32)</f>
        <v>6.8400000000000002E-2</v>
      </c>
      <c r="P32" s="150" cm="1">
        <f t="array" ref="P32">Fuel_Equations.VEERG_8_2_1_1__1_FuelCombustionStationary($L32,$G32,J32)</f>
        <v>6.8400000000000002E-2</v>
      </c>
      <c r="Q32" s="150" cm="1">
        <f t="array" ref="Q32">Fuel_Equations.VEERG_8_2_1_1__1_FuelCombustionStationary($L32,$G32,IF(ISNUMBER(K32), K32, 0))</f>
        <v>5.8823999999999996</v>
      </c>
    </row>
    <row r="33" spans="1:17" ht="20.100000000000001" customHeight="1" x14ac:dyDescent="0.25">
      <c r="A33"/>
      <c r="D33" s="128" t="str">
        <f t="shared" ref="D33:D40" si="1">$D$32</f>
        <v>Power standalone machinery or heating</v>
      </c>
      <c r="E33" s="126" t="str">
        <f>'Constants - Fuel'!$D$63</f>
        <v>Diesel oil</v>
      </c>
      <c r="F33" s="126" t="str">
        <f>'Constants - Fuel'!E132</f>
        <v>Diesel</v>
      </c>
      <c r="G33" s="46">
        <f>IFERROR(_xlfn.XLOOKUP($E33, Table_Fuel_EFs_StationaryLiquid[Fuel combusted], Table_Fuel_EFs_StationaryLiquid[Energy Content Factor (GJ per unit of fuel)]),0)</f>
        <v>38.6</v>
      </c>
      <c r="H33" s="46">
        <f>IFERROR(_xlfn.XLOOKUP($E33, Table_Fuel_EFs_StationaryLiquid[Fuel combusted], Table_Fuel_EFs_StationaryLiquid[Scope 1 Emission Factor (kg CO2 - e / GJ) CO2]),0)</f>
        <v>69.900000000000006</v>
      </c>
      <c r="I33" s="46">
        <f>IFERROR(_xlfn.XLOOKUP($E33, Table_Fuel_EFs_StationaryLiquid[Fuel combusted], Table_Fuel_EFs_StationaryLiquid[Scope 1 Emission Factor (kg CO2 - e / GJ) CH4]),0)</f>
        <v>0.1</v>
      </c>
      <c r="J33" s="46">
        <f>IFERROR(_xlfn.XLOOKUP($E33, Table_Fuel_EFs_StationaryLiquid[Fuel combusted], Table_Fuel_EFs_StationaryLiquid[Scope 1 Emission Factor (kg CO2 - e / GJ) N2O]),0)</f>
        <v>0.2</v>
      </c>
      <c r="K33" s="46">
        <f>IFERROR(_xlfn.XLOOKUP($E33, Table_Fuel_EFs_StationaryLiquid[Fuel combusted], Table_Fuel_EFs_StationaryLiquid[Scope 3 Emission Factor (kg CO2 - e / GJ)]),0)</f>
        <v>17.3</v>
      </c>
      <c r="L33" s="46" cm="1">
        <f t="array" ref="L33">Fuel_InputFunctions.Fuel_TotalConsumption(Table_Input_Fuel[Amount consumed], Table_Input_Fuel[Fuel use (select)], D33, Table_Input_Fuel[Fuel type (select)],F33)</f>
        <v>0</v>
      </c>
      <c r="M33" s="46" t="str" cm="1">
        <f t="array" ref="M33">Common_InputFunctions.Utility_LookupValueInTable(F33,Table_FuelTypes_Units[Fuel type],Table_FuelTypes_Units[Unit])</f>
        <v>kL</v>
      </c>
      <c r="N33" s="148" cm="1">
        <f t="array" ref="N33">Fuel_Equations.VEERG_8_2_1_1__1_FuelCombustionStationary($L33,$G33,H33)</f>
        <v>0</v>
      </c>
      <c r="O33" s="148" cm="1">
        <f t="array" ref="O33">Fuel_Equations.VEERG_8_2_1_1__1_FuelCombustionStationary($L33,$G33,I33)</f>
        <v>0</v>
      </c>
      <c r="P33" s="148" cm="1">
        <f t="array" ref="P33">Fuel_Equations.VEERG_8_2_1_1__1_FuelCombustionStationary($L33,$G33,J33)</f>
        <v>0</v>
      </c>
      <c r="Q33" s="148" cm="1">
        <f t="array" ref="Q33">Fuel_Equations.VEERG_8_2_1_1__1_FuelCombustionStationary($L33,$G33,IF(ISNUMBER(K33), K33, 0))</f>
        <v>0</v>
      </c>
    </row>
    <row r="34" spans="1:17" ht="20.100000000000001" customHeight="1" x14ac:dyDescent="0.25">
      <c r="A34"/>
      <c r="D34" s="128" t="str">
        <f t="shared" si="1"/>
        <v>Power standalone machinery or heating</v>
      </c>
      <c r="E34" s="126" t="str">
        <f>'Constants - Fuel'!$D$67</f>
        <v>Liquefied petroleum gas (LPG)</v>
      </c>
      <c r="F34" s="126" t="str">
        <f>'Constants - Fuel'!E133</f>
        <v>Liquefied petroleum gas (LPG)</v>
      </c>
      <c r="G34" s="46">
        <f>IFERROR(_xlfn.XLOOKUP($E34, Table_Fuel_EFs_StationaryLiquid[Fuel combusted], Table_Fuel_EFs_StationaryLiquid[Energy Content Factor (GJ per unit of fuel)]),0)</f>
        <v>25.7</v>
      </c>
      <c r="H34" s="46">
        <f>IFERROR(_xlfn.XLOOKUP($E34, Table_Fuel_EFs_StationaryLiquid[Fuel combusted], Table_Fuel_EFs_StationaryLiquid[Scope 1 Emission Factor (kg CO2 - e / GJ) CO2]),0)</f>
        <v>60.2</v>
      </c>
      <c r="I34" s="46">
        <f>IFERROR(_xlfn.XLOOKUP($E34, Table_Fuel_EFs_StationaryLiquid[Fuel combusted], Table_Fuel_EFs_StationaryLiquid[Scope 1 Emission Factor (kg CO2 - e / GJ) CH4]),0)</f>
        <v>0.2</v>
      </c>
      <c r="J34" s="46">
        <f>IFERROR(_xlfn.XLOOKUP($E34, Table_Fuel_EFs_StationaryLiquid[Fuel combusted], Table_Fuel_EFs_StationaryLiquid[Scope 1 Emission Factor (kg CO2 - e / GJ) N2O]),0)</f>
        <v>0.2</v>
      </c>
      <c r="K34" s="46">
        <f>IFERROR(_xlfn.XLOOKUP($E34, Table_Fuel_EFs_StationaryLiquid[Fuel combusted], Table_Fuel_EFs_StationaryLiquid[Scope 3 Emission Factor (kg CO2 - e / GJ)]),0)</f>
        <v>20.2</v>
      </c>
      <c r="L34" s="46" cm="1">
        <f t="array" ref="L34">Fuel_InputFunctions.Fuel_TotalConsumption(Table_Input_Fuel[Amount consumed], Table_Input_Fuel[Fuel use (select)], D34, Table_Input_Fuel[Fuel type (select)],F34)</f>
        <v>0</v>
      </c>
      <c r="M34" s="46" t="str" cm="1">
        <f t="array" ref="M34">Common_InputFunctions.Utility_LookupValueInTable(F34,Table_FuelTypes_Units[Fuel type],Table_FuelTypes_Units[Unit])</f>
        <v>kL</v>
      </c>
      <c r="N34" s="148" cm="1">
        <f t="array" ref="N34">Fuel_Equations.VEERG_8_2_1_1__1_FuelCombustionStationary($L34,$G34,H34)</f>
        <v>0</v>
      </c>
      <c r="O34" s="148" cm="1">
        <f t="array" ref="O34">Fuel_Equations.VEERG_8_2_1_1__1_FuelCombustionStationary($L34,$G34,I34)</f>
        <v>0</v>
      </c>
      <c r="P34" s="148" cm="1">
        <f t="array" ref="P34">Fuel_Equations.VEERG_8_2_1_1__1_FuelCombustionStationary($L34,$G34,J34)</f>
        <v>0</v>
      </c>
      <c r="Q34" s="148" cm="1">
        <f t="array" ref="Q34">Fuel_Equations.VEERG_8_2_1_1__1_FuelCombustionStationary($L34,$G34,IF(ISNUMBER(K34), K34, 0))</f>
        <v>0</v>
      </c>
    </row>
    <row r="35" spans="1:17" ht="20.100000000000001" customHeight="1" x14ac:dyDescent="0.25">
      <c r="A35"/>
      <c r="D35" s="128" t="str">
        <f t="shared" si="1"/>
        <v>Power standalone machinery or heating</v>
      </c>
      <c r="E35" s="126" t="str">
        <f>'Constants - Fuel'!$D$73</f>
        <v>Biodiesel</v>
      </c>
      <c r="F35" s="126" t="str">
        <f>'Constants - Fuel'!E134</f>
        <v>Biodiesel</v>
      </c>
      <c r="G35" s="46">
        <f>IFERROR(_xlfn.XLOOKUP($E35, Table_Fuel_EFs_StationaryLiquid[Fuel combusted], Table_Fuel_EFs_StationaryLiquid[Energy Content Factor (GJ per unit of fuel)]),0)</f>
        <v>34.6</v>
      </c>
      <c r="H35" s="46">
        <f>IFERROR(_xlfn.XLOOKUP($E35, Table_Fuel_EFs_StationaryLiquid[Fuel combusted], Table_Fuel_EFs_StationaryLiquid[Scope 1 Emission Factor (kg CO2 - e / GJ) CO2]),0)</f>
        <v>0</v>
      </c>
      <c r="I35" s="46">
        <f>IFERROR(_xlfn.XLOOKUP($E35, Table_Fuel_EFs_StationaryLiquid[Fuel combusted], Table_Fuel_EFs_StationaryLiquid[Scope 1 Emission Factor (kg CO2 - e / GJ) CH4]),0)</f>
        <v>0.08</v>
      </c>
      <c r="J35" s="46">
        <f>IFERROR(_xlfn.XLOOKUP($E35, Table_Fuel_EFs_StationaryLiquid[Fuel combusted], Table_Fuel_EFs_StationaryLiquid[Scope 1 Emission Factor (kg CO2 - e / GJ) N2O]),0)</f>
        <v>0.2</v>
      </c>
      <c r="K35" s="46" t="str">
        <f>IFERROR(_xlfn.XLOOKUP($E35, Table_Fuel_EFs_StationaryLiquid[Fuel combusted], Table_Fuel_EFs_StationaryLiquid[Scope 3 Emission Factor (kg CO2 - e / GJ)]),0)</f>
        <v>NE</v>
      </c>
      <c r="L35" s="46" cm="1">
        <f t="array" ref="L35">Fuel_InputFunctions.Fuel_TotalConsumption(Table_Input_Fuel[Amount consumed], Table_Input_Fuel[Fuel use (select)], D35, Table_Input_Fuel[Fuel type (select)],F35)</f>
        <v>0</v>
      </c>
      <c r="M35" s="46" t="str" cm="1">
        <f t="array" ref="M35">Common_InputFunctions.Utility_LookupValueInTable(F35,Table_FuelTypes_Units[Fuel type],Table_FuelTypes_Units[Unit])</f>
        <v>kL</v>
      </c>
      <c r="N35" s="148" cm="1">
        <f t="array" ref="N35">Fuel_Equations.VEERG_8_2_1_1__1_FuelCombustionStationary($L35,$G35,H35)</f>
        <v>0</v>
      </c>
      <c r="O35" s="148" cm="1">
        <f t="array" ref="O35">Fuel_Equations.VEERG_8_2_1_1__1_FuelCombustionStationary($L35,$G35,I35)</f>
        <v>0</v>
      </c>
      <c r="P35" s="148" cm="1">
        <f t="array" ref="P35">Fuel_Equations.VEERG_8_2_1_1__1_FuelCombustionStationary($L35,$G35,J35)</f>
        <v>0</v>
      </c>
      <c r="Q35" s="148" cm="1">
        <f t="array" ref="Q35">Fuel_Equations.VEERG_8_2_1_1__1_FuelCombustionStationary($L35,$G35,IF(ISNUMBER(K35), K35, 0))</f>
        <v>0</v>
      </c>
    </row>
    <row r="36" spans="1:17" ht="20.100000000000001" customHeight="1" x14ac:dyDescent="0.25">
      <c r="A36"/>
      <c r="D36" s="128" t="str">
        <f t="shared" si="1"/>
        <v>Power standalone machinery or heating</v>
      </c>
      <c r="E36" s="126" t="str">
        <f>'Constants - Fuel'!$D$74</f>
        <v>Ethanol for use as a fuel in an internal combustion engine</v>
      </c>
      <c r="F36" s="126" t="str">
        <f>'Constants - Fuel'!E135</f>
        <v>Ethanol</v>
      </c>
      <c r="G36" s="46">
        <f>IFERROR(_xlfn.XLOOKUP($E36, Table_Fuel_EFs_StationaryLiquid[Fuel combusted], Table_Fuel_EFs_StationaryLiquid[Energy Content Factor (GJ per unit of fuel)]),0)</f>
        <v>23.4</v>
      </c>
      <c r="H36" s="46">
        <f>IFERROR(_xlfn.XLOOKUP($E36, Table_Fuel_EFs_StationaryLiquid[Fuel combusted], Table_Fuel_EFs_StationaryLiquid[Scope 1 Emission Factor (kg CO2 - e / GJ) CO2]),0)</f>
        <v>0</v>
      </c>
      <c r="I36" s="46">
        <f>IFERROR(_xlfn.XLOOKUP($E36, Table_Fuel_EFs_StationaryLiquid[Fuel combusted], Table_Fuel_EFs_StationaryLiquid[Scope 1 Emission Factor (kg CO2 - e / GJ) CH4]),0)</f>
        <v>0.08</v>
      </c>
      <c r="J36" s="46">
        <f>IFERROR(_xlfn.XLOOKUP($E36, Table_Fuel_EFs_StationaryLiquid[Fuel combusted], Table_Fuel_EFs_StationaryLiquid[Scope 1 Emission Factor (kg CO2 - e / GJ) N2O]),0)</f>
        <v>0.2</v>
      </c>
      <c r="K36" s="46" t="str">
        <f>IFERROR(_xlfn.XLOOKUP($E36, Table_Fuel_EFs_StationaryLiquid[Fuel combusted], Table_Fuel_EFs_StationaryLiquid[Scope 3 Emission Factor (kg CO2 - e / GJ)]),0)</f>
        <v>NE</v>
      </c>
      <c r="L36" s="46" cm="1">
        <f t="array" ref="L36">Fuel_InputFunctions.Fuel_TotalConsumption(Table_Input_Fuel[Amount consumed], Table_Input_Fuel[Fuel use (select)], D36, Table_Input_Fuel[Fuel type (select)],F36)</f>
        <v>0</v>
      </c>
      <c r="M36" s="46" t="str" cm="1">
        <f t="array" ref="M36">Common_InputFunctions.Utility_LookupValueInTable(F36,Table_FuelTypes_Units[Fuel type],Table_FuelTypes_Units[Unit])</f>
        <v>kL</v>
      </c>
      <c r="N36" s="148" cm="1">
        <f t="array" ref="N36">Fuel_Equations.VEERG_8_2_1_1__1_FuelCombustionStationary($L36,$G36,H36)</f>
        <v>0</v>
      </c>
      <c r="O36" s="148" cm="1">
        <f t="array" ref="O36">Fuel_Equations.VEERG_8_2_1_1__1_FuelCombustionStationary($L36,$G36,I36)</f>
        <v>0</v>
      </c>
      <c r="P36" s="148" cm="1">
        <f t="array" ref="P36">Fuel_Equations.VEERG_8_2_1_1__1_FuelCombustionStationary($L36,$G36,J36)</f>
        <v>0</v>
      </c>
      <c r="Q36" s="148" cm="1">
        <f t="array" ref="Q36">Fuel_Equations.VEERG_8_2_1_1__1_FuelCombustionStationary($L36,$G36,IF(ISNUMBER(K36), K36, 0))</f>
        <v>0</v>
      </c>
    </row>
    <row r="37" spans="1:17" ht="20.100000000000001" customHeight="1" x14ac:dyDescent="0.25">
      <c r="A37"/>
      <c r="D37" s="128" t="str">
        <f t="shared" si="1"/>
        <v>Power standalone machinery or heating</v>
      </c>
      <c r="E37" s="126" t="str">
        <f>'Constants - Fuel'!$D$75</f>
        <v>Biofuels other than those mentioned in the items above and below</v>
      </c>
      <c r="F37" s="126" t="str">
        <f>'Constants - Fuel'!E136</f>
        <v>Other biofuels</v>
      </c>
      <c r="G37" s="46">
        <f>IFERROR(_xlfn.XLOOKUP($E37, Table_Fuel_EFs_StationaryLiquid[Fuel combusted], Table_Fuel_EFs_StationaryLiquid[Energy Content Factor (GJ per unit of fuel)]),0)</f>
        <v>23.4</v>
      </c>
      <c r="H37" s="46">
        <f>IFERROR(_xlfn.XLOOKUP($E37, Table_Fuel_EFs_StationaryLiquid[Fuel combusted], Table_Fuel_EFs_StationaryLiquid[Scope 1 Emission Factor (kg CO2 - e / GJ) CO2]),0)</f>
        <v>0</v>
      </c>
      <c r="I37" s="46">
        <f>IFERROR(_xlfn.XLOOKUP($E37, Table_Fuel_EFs_StationaryLiquid[Fuel combusted], Table_Fuel_EFs_StationaryLiquid[Scope 1 Emission Factor (kg CO2 - e / GJ) CH4]),0)</f>
        <v>0.08</v>
      </c>
      <c r="J37" s="46">
        <f>IFERROR(_xlfn.XLOOKUP($E37, Table_Fuel_EFs_StationaryLiquid[Fuel combusted], Table_Fuel_EFs_StationaryLiquid[Scope 1 Emission Factor (kg CO2 - e / GJ) N2O]),0)</f>
        <v>0.2</v>
      </c>
      <c r="K37" s="46" t="str">
        <f>IFERROR(_xlfn.XLOOKUP($E37, Table_Fuel_EFs_StationaryLiquid[Fuel combusted], Table_Fuel_EFs_StationaryLiquid[Scope 3 Emission Factor (kg CO2 - e / GJ)]),0)</f>
        <v>NE</v>
      </c>
      <c r="L37" s="46" cm="1">
        <f t="array" ref="L37">Fuel_InputFunctions.Fuel_TotalConsumption(Table_Input_Fuel[Amount consumed], Table_Input_Fuel[Fuel use (select)], D37, Table_Input_Fuel[Fuel type (select)],F37)</f>
        <v>0</v>
      </c>
      <c r="M37" s="46" t="str" cm="1">
        <f t="array" ref="M37">Common_InputFunctions.Utility_LookupValueInTable(F37,Table_FuelTypes_Units[Fuel type],Table_FuelTypes_Units[Unit])</f>
        <v>kL</v>
      </c>
      <c r="N37" s="148" cm="1">
        <f t="array" ref="N37">Fuel_Equations.VEERG_8_2_1_1__1_FuelCombustionStationary($L37,$G37,H37)</f>
        <v>0</v>
      </c>
      <c r="O37" s="148" cm="1">
        <f t="array" ref="O37">Fuel_Equations.VEERG_8_2_1_1__1_FuelCombustionStationary($L37,$G37,I37)</f>
        <v>0</v>
      </c>
      <c r="P37" s="148" cm="1">
        <f t="array" ref="P37">Fuel_Equations.VEERG_8_2_1_1__1_FuelCombustionStationary($L37,$G37,J37)</f>
        <v>0</v>
      </c>
      <c r="Q37" s="148" cm="1">
        <f t="array" ref="Q37">Fuel_Equations.VEERG_8_2_1_1__1_FuelCombustionStationary($L37,$G37,IF(ISNUMBER(K37), K37, 0))</f>
        <v>0</v>
      </c>
    </row>
    <row r="38" spans="1:17" ht="20.100000000000001" customHeight="1" x14ac:dyDescent="0.25">
      <c r="A38"/>
      <c r="D38" s="128" t="str">
        <f t="shared" si="1"/>
        <v>Power standalone machinery or heating</v>
      </c>
      <c r="E38" s="126" t="str">
        <f>'Constants - Fuel'!$D$77</f>
        <v>Renewable diesel</v>
      </c>
      <c r="F38" s="126" t="str">
        <f>'Constants - Fuel'!E137</f>
        <v>Renewable diesel</v>
      </c>
      <c r="G38" s="46">
        <f>IFERROR(_xlfn.XLOOKUP($E38, Table_Fuel_EFs_StationaryLiquid[Fuel combusted], Table_Fuel_EFs_StationaryLiquid[Energy Content Factor (GJ per unit of fuel)]),0)</f>
        <v>38.6</v>
      </c>
      <c r="H38" s="46">
        <f>IFERROR(_xlfn.XLOOKUP($E38, Table_Fuel_EFs_StationaryLiquid[Fuel combusted], Table_Fuel_EFs_StationaryLiquid[Scope 1 Emission Factor (kg CO2 - e / GJ) CO2]),0)</f>
        <v>0</v>
      </c>
      <c r="I38" s="46">
        <f>IFERROR(_xlfn.XLOOKUP($E38, Table_Fuel_EFs_StationaryLiquid[Fuel combusted], Table_Fuel_EFs_StationaryLiquid[Scope 1 Emission Factor (kg CO2 - e / GJ) CH4]),0)</f>
        <v>0.1</v>
      </c>
      <c r="J38" s="46">
        <f>IFERROR(_xlfn.XLOOKUP($E38, Table_Fuel_EFs_StationaryLiquid[Fuel combusted], Table_Fuel_EFs_StationaryLiquid[Scope 1 Emission Factor (kg CO2 - e / GJ) N2O]),0)</f>
        <v>0.2</v>
      </c>
      <c r="K38" s="46" t="str">
        <f>IFERROR(_xlfn.XLOOKUP($E38, Table_Fuel_EFs_StationaryLiquid[Fuel combusted], Table_Fuel_EFs_StationaryLiquid[Scope 3 Emission Factor (kg CO2 - e / GJ)]),0)</f>
        <v>NE</v>
      </c>
      <c r="L38" s="46" cm="1">
        <f t="array" ref="L38">Fuel_InputFunctions.Fuel_TotalConsumption(Table_Input_Fuel[Amount consumed], Table_Input_Fuel[Fuel use (select)], D38, Table_Input_Fuel[Fuel type (select)],F38)</f>
        <v>0</v>
      </c>
      <c r="M38" s="46" t="str" cm="1">
        <f t="array" ref="M38">Common_InputFunctions.Utility_LookupValueInTable(F38,Table_FuelTypes_Units[Fuel type],Table_FuelTypes_Units[Unit])</f>
        <v>kL</v>
      </c>
      <c r="N38" s="148" cm="1">
        <f t="array" ref="N38">Fuel_Equations.VEERG_8_2_1_1__1_FuelCombustionStationary($L38,$G38,H38)</f>
        <v>0</v>
      </c>
      <c r="O38" s="148" cm="1">
        <f t="array" ref="O38">Fuel_Equations.VEERG_8_2_1_1__1_FuelCombustionStationary($L38,$G38,I38)</f>
        <v>0</v>
      </c>
      <c r="P38" s="148" cm="1">
        <f t="array" ref="P38">Fuel_Equations.VEERG_8_2_1_1__1_FuelCombustionStationary($L38,$G38,J38)</f>
        <v>0</v>
      </c>
      <c r="Q38" s="148" cm="1">
        <f t="array" ref="Q38">Fuel_Equations.VEERG_8_2_1_1__1_FuelCombustionStationary($L38,$G38,IF(ISNUMBER(K38), K38, 0))</f>
        <v>0</v>
      </c>
    </row>
    <row r="39" spans="1:17" ht="20.100000000000001" customHeight="1" x14ac:dyDescent="0.25">
      <c r="A39"/>
      <c r="D39" s="128" t="str">
        <f t="shared" si="1"/>
        <v>Power standalone machinery or heating</v>
      </c>
      <c r="E39" s="126" t="str">
        <f>'Constants - Fuel'!$D$103</f>
        <v>Natural gas distributed in a pipeline - Gigajoules</v>
      </c>
      <c r="F39" s="126" t="str">
        <f>'Constants - Fuel'!E138</f>
        <v>Natural gas (via pipeline) in GJ</v>
      </c>
      <c r="G39" s="46">
        <f>IFERROR(_xlfn.XLOOKUP($E39, Table_Fuel_EFs_StationaryGaseous[Fuel combusted], Table_Fuel_EFs_StationaryGaseous[Energy Content Factor (GJ per unit of fuel)]),0)</f>
        <v>1</v>
      </c>
      <c r="H39" s="46">
        <f>IFERROR(_xlfn.XLOOKUP($E39, Table_Fuel_EFs_StationaryGaseous[Fuel combusted], Table_Fuel_EFs_StationaryGaseous[Scope 1 Emission Factor (kg CO2 - e / GJ) CO2]),0)</f>
        <v>51.4</v>
      </c>
      <c r="I39" s="46">
        <f>IFERROR(_xlfn.XLOOKUP($E39, Table_Fuel_EFs_StationaryGaseous[Fuel combusted], Table_Fuel_EFs_StationaryGaseous[Scope 1 Emission Factor (kg CO2 - e / GJ) CH4]),0)</f>
        <v>0.1</v>
      </c>
      <c r="J39" s="46">
        <f>IFERROR(_xlfn.XLOOKUP($E39, Table_Fuel_EFs_StationaryGaseous[Fuel combusted], Table_Fuel_EFs_StationaryGaseous[Scope 1 Emission Factor (kg CO2 - e / GJ) N2O]),0)</f>
        <v>0.03</v>
      </c>
      <c r="K39" s="46" cm="1">
        <f t="array" ref="K39">IFERROR(Common_InputFunctions.Utility_LookupValueInTableOneColumnAndHeader($P$17,$P$18,Table_Fuel_EFs_StationaryGaseous34[State or territory],Table_Fuel_EFs_StationaryGaseous34[#Headers],Table_Fuel_EFs_StationaryGaseous34[#Data]),0)</f>
        <v>4.0999999999999996</v>
      </c>
      <c r="L39" s="112" cm="1">
        <f t="array" ref="L39">Fuel_InputFunctions.Fuel_TotalConsumption(Table_Input_Fuel[Amount consumed], Table_Input_Fuel[Fuel use (select)], D39, Table_Input_Fuel[Fuel type (select)],F39)</f>
        <v>0</v>
      </c>
      <c r="M39" s="112" t="str" cm="1">
        <f t="array" ref="M39">Common_InputFunctions.Utility_LookupValueInTable(F39,Table_FuelTypes_Units[Fuel type],Table_FuelTypes_Units[Unit])</f>
        <v>GJ</v>
      </c>
      <c r="N39" s="148" cm="1">
        <f t="array" ref="N39">Fuel_Equations.VEERG_8_2_1_1__1_FuelCombustionStationary($L39,$G39,H39)</f>
        <v>0</v>
      </c>
      <c r="O39" s="148" cm="1">
        <f t="array" ref="O39">Fuel_Equations.VEERG_8_2_1_1__1_FuelCombustionStationary($L39,$G39,I39)</f>
        <v>0</v>
      </c>
      <c r="P39" s="148" cm="1">
        <f t="array" ref="P39">Fuel_Equations.VEERG_8_2_1_1__1_FuelCombustionStationary($L39,$G39,J39)</f>
        <v>0</v>
      </c>
      <c r="Q39" s="148" cm="1">
        <f t="array" ref="Q39">Fuel_Equations.VEERG_8_2_1_1__1_FuelCombustionStationary($L39,$G39,IF(ISNUMBER(K39), K39, 0))</f>
        <v>0</v>
      </c>
    </row>
    <row r="40" spans="1:17" ht="20.100000000000001" customHeight="1" x14ac:dyDescent="0.25">
      <c r="A40"/>
      <c r="D40" s="128" t="str">
        <f t="shared" si="1"/>
        <v>Power standalone machinery or heating</v>
      </c>
      <c r="E40" s="126" t="str">
        <f>'Constants - Fuel'!$D$104</f>
        <v>Town gas - Gigajoules</v>
      </c>
      <c r="F40" s="126" t="str">
        <f>'Constants - Fuel'!E139</f>
        <v>Town gas in GJ</v>
      </c>
      <c r="G40" s="46">
        <f>IFERROR(_xlfn.XLOOKUP($E40, Table_Fuel_EFs_StationaryGaseous[Fuel combusted], Table_Fuel_EFs_StationaryGaseous[Energy Content Factor (GJ per unit of fuel)]),0)</f>
        <v>1</v>
      </c>
      <c r="H40" s="46">
        <f>IFERROR(_xlfn.XLOOKUP($E40, Table_Fuel_EFs_StationaryGaseous[Fuel combusted], Table_Fuel_EFs_StationaryGaseous[Scope 1 Emission Factor (kg CO2 - e / GJ) CO2]),0)</f>
        <v>60.2</v>
      </c>
      <c r="I40" s="46">
        <f>IFERROR(_xlfn.XLOOKUP($E40, Table_Fuel_EFs_StationaryGaseous[Fuel combusted], Table_Fuel_EFs_StationaryGaseous[Scope 1 Emission Factor (kg CO2 - e / GJ) CH4]),0)</f>
        <v>0.04</v>
      </c>
      <c r="J40" s="46">
        <f>IFERROR(_xlfn.XLOOKUP($E40, Table_Fuel_EFs_StationaryGaseous[Fuel combusted], Table_Fuel_EFs_StationaryGaseous[Scope 1 Emission Factor (kg CO2 - e / GJ) N2O]),0)</f>
        <v>0.03</v>
      </c>
      <c r="K40" s="46" cm="1">
        <f t="array" ref="K40">IFERROR(Common_InputFunctions.Utility_LookupValueInTableOneColumnAndHeader($P$17,$P$18,Table_Fuel_EFs_StationaryGaseous34[State or territory],Table_Fuel_EFs_StationaryGaseous34[#Headers],Table_Fuel_EFs_StationaryGaseous34[#Data]),0)</f>
        <v>4.0999999999999996</v>
      </c>
      <c r="L40" s="112" cm="1">
        <f t="array" ref="L40">Fuel_InputFunctions.Fuel_TotalConsumption(Table_Input_Fuel[Amount consumed], Table_Input_Fuel[Fuel use (select)], D40, Table_Input_Fuel[Fuel type (select)],F40)</f>
        <v>100</v>
      </c>
      <c r="M40" s="112" t="str" cm="1">
        <f t="array" ref="M40">Common_InputFunctions.Utility_LookupValueInTable(F40,Table_FuelTypes_Units[Fuel type],Table_FuelTypes_Units[Unit])</f>
        <v>GJ</v>
      </c>
      <c r="N40" s="148" cm="1">
        <f t="array" ref="N40">Fuel_Equations.VEERG_8_2_1_1__1_FuelCombustionStationary($L40,$G40,H40)</f>
        <v>6.0200000000000005</v>
      </c>
      <c r="O40" s="148" cm="1">
        <f t="array" ref="O40">Fuel_Equations.VEERG_8_2_1_1__1_FuelCombustionStationary($L40,$G40,I40)</f>
        <v>4.0000000000000001E-3</v>
      </c>
      <c r="P40" s="148" cm="1">
        <f t="array" ref="P40">Fuel_Equations.VEERG_8_2_1_1__1_FuelCombustionStationary($L40,$G40,J40)</f>
        <v>3.0000000000000001E-3</v>
      </c>
      <c r="Q40" s="148"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1" t="str">
        <f>"Total scope 1 - " &amp; D25</f>
        <v>Total scope 1 - Generators</v>
      </c>
      <c r="E42" s="142"/>
      <c r="F42" s="143"/>
    </row>
    <row r="43" spans="1:17" ht="20.100000000000001" customHeight="1" x14ac:dyDescent="0.25">
      <c r="A43"/>
      <c r="D43" s="14" t="s">
        <v>329</v>
      </c>
      <c r="E43" s="144">
        <f>SUM(N25:N31)</f>
        <v>0</v>
      </c>
      <c r="F43" s="26" t="str">
        <f>$E$12</f>
        <v>t CO2-e</v>
      </c>
    </row>
    <row r="44" spans="1:17" ht="20.100000000000001" customHeight="1" x14ac:dyDescent="0.25">
      <c r="A44"/>
      <c r="D44" s="14" t="s">
        <v>330</v>
      </c>
      <c r="E44" s="144">
        <f>SUM(O25:O31)</f>
        <v>0</v>
      </c>
      <c r="F44" s="26" t="str">
        <f t="shared" ref="F44:F46" si="2">$E$12</f>
        <v>t CO2-e</v>
      </c>
    </row>
    <row r="45" spans="1:17" ht="20.100000000000001" customHeight="1" x14ac:dyDescent="0.25">
      <c r="A45"/>
      <c r="D45" s="14" t="s">
        <v>331</v>
      </c>
      <c r="E45" s="144">
        <f>SUM(P25:P31)</f>
        <v>0</v>
      </c>
      <c r="F45" s="26" t="str">
        <f t="shared" si="2"/>
        <v>t CO2-e</v>
      </c>
    </row>
    <row r="46" spans="1:17" ht="20.100000000000001" customHeight="1" x14ac:dyDescent="0.25">
      <c r="A46"/>
      <c r="D46" s="14" t="s">
        <v>332</v>
      </c>
      <c r="E46" s="144">
        <f>SUM(Q25:Q31)</f>
        <v>0</v>
      </c>
      <c r="F46" s="26" t="str">
        <f t="shared" si="2"/>
        <v>t CO2-e</v>
      </c>
    </row>
    <row r="47" spans="1:17" ht="20.100000000000001" customHeight="1" x14ac:dyDescent="0.25">
      <c r="A47"/>
      <c r="H47" s="104"/>
      <c r="I47" s="104"/>
      <c r="J47" s="104"/>
      <c r="L47" s="104"/>
      <c r="N47" s="104"/>
      <c r="O47" s="104"/>
      <c r="P47" s="104"/>
      <c r="Q47" s="104"/>
    </row>
    <row r="48" spans="1:17" ht="20.100000000000001" customHeight="1" x14ac:dyDescent="0.25">
      <c r="A48"/>
      <c r="D48" s="141" t="str">
        <f>"Total scope 1 - " &amp; D32</f>
        <v>Total scope 1 - Power standalone machinery or heating</v>
      </c>
      <c r="E48" s="145"/>
      <c r="F48" s="143"/>
      <c r="H48" s="104"/>
      <c r="I48" s="104"/>
      <c r="J48" s="104"/>
      <c r="L48" s="104"/>
      <c r="N48" s="104"/>
      <c r="O48" s="104"/>
      <c r="P48" s="104"/>
      <c r="Q48" s="104"/>
    </row>
    <row r="49" spans="1:17" ht="20.100000000000001" customHeight="1" x14ac:dyDescent="0.25">
      <c r="A49"/>
      <c r="D49" s="14" t="s">
        <v>329</v>
      </c>
      <c r="E49" s="144">
        <f>SUM(N32:N40)</f>
        <v>29.070800000000002</v>
      </c>
      <c r="F49" s="26" t="str">
        <f t="shared" ref="F49:F52" si="3">$E$12</f>
        <v>t CO2-e</v>
      </c>
      <c r="H49" s="104"/>
      <c r="I49" s="104"/>
      <c r="J49" s="104"/>
      <c r="L49" s="104"/>
      <c r="N49" s="104"/>
      <c r="O49" s="104"/>
      <c r="P49" s="104"/>
      <c r="Q49" s="104"/>
    </row>
    <row r="50" spans="1:17" ht="20.100000000000001" customHeight="1" x14ac:dyDescent="0.25">
      <c r="A50"/>
      <c r="D50" s="14" t="s">
        <v>330</v>
      </c>
      <c r="E50" s="144">
        <f>SUM(O32:O40)</f>
        <v>7.2400000000000006E-2</v>
      </c>
      <c r="F50" s="26" t="str">
        <f t="shared" si="3"/>
        <v>t CO2-e</v>
      </c>
      <c r="H50" s="104"/>
      <c r="I50" s="104"/>
      <c r="J50" s="104"/>
      <c r="L50" s="104"/>
      <c r="N50" s="104"/>
      <c r="O50" s="104"/>
      <c r="P50" s="104"/>
      <c r="Q50" s="104"/>
    </row>
    <row r="51" spans="1:17" ht="20.100000000000001" customHeight="1" x14ac:dyDescent="0.25">
      <c r="A51"/>
      <c r="D51" s="14" t="s">
        <v>331</v>
      </c>
      <c r="E51" s="144">
        <f>SUM(P32:P40)</f>
        <v>7.1400000000000005E-2</v>
      </c>
      <c r="F51" s="26" t="str">
        <f t="shared" si="3"/>
        <v>t CO2-e</v>
      </c>
      <c r="H51" s="104"/>
      <c r="I51" s="104"/>
      <c r="J51" s="104"/>
      <c r="L51" s="104"/>
      <c r="N51" s="104"/>
      <c r="O51" s="104"/>
      <c r="P51" s="104"/>
      <c r="Q51" s="104"/>
    </row>
    <row r="52" spans="1:17" ht="20.100000000000001" customHeight="1" x14ac:dyDescent="0.25">
      <c r="A52"/>
      <c r="D52" s="14" t="s">
        <v>332</v>
      </c>
      <c r="E52" s="144">
        <f>SUM(Q32:Q40)</f>
        <v>6.2923999999999998</v>
      </c>
      <c r="F52" s="26" t="str">
        <f t="shared" si="3"/>
        <v>t CO2-e</v>
      </c>
      <c r="G52" s="104"/>
      <c r="H52" s="104"/>
      <c r="I52" s="104"/>
      <c r="J52" s="104"/>
      <c r="L52" s="104"/>
      <c r="N52" s="104"/>
      <c r="O52" s="104"/>
      <c r="P52" s="104"/>
      <c r="Q52" s="104"/>
    </row>
    <row r="53" spans="1:17" ht="20.100000000000001" customHeight="1" x14ac:dyDescent="0.25">
      <c r="A53"/>
      <c r="G53" s="104"/>
      <c r="H53" s="104"/>
      <c r="I53" s="104"/>
      <c r="J53" s="104"/>
      <c r="L53" s="104"/>
      <c r="N53" s="104"/>
      <c r="O53" s="104"/>
      <c r="P53" s="104"/>
      <c r="Q53" s="104"/>
    </row>
    <row r="54" spans="1:17" ht="20.100000000000001" customHeight="1" x14ac:dyDescent="0.25">
      <c r="A54"/>
      <c r="D54" s="141" t="s">
        <v>343</v>
      </c>
      <c r="E54" s="145"/>
      <c r="F54" s="143"/>
      <c r="G54" s="104"/>
      <c r="H54" s="104"/>
      <c r="I54" s="104"/>
      <c r="J54" s="104"/>
      <c r="L54" s="104"/>
      <c r="N54" s="104"/>
      <c r="O54" s="104"/>
      <c r="P54" s="104"/>
      <c r="Q54" s="104"/>
    </row>
    <row r="55" spans="1:17" ht="20.100000000000001" customHeight="1" x14ac:dyDescent="0.25">
      <c r="A55"/>
      <c r="D55" s="14" t="s">
        <v>329</v>
      </c>
      <c r="E55" s="144">
        <f>E43+E49</f>
        <v>29.070800000000002</v>
      </c>
      <c r="F55" s="26" t="str">
        <f t="shared" ref="F55:F58" si="4">$E$12</f>
        <v>t CO2-e</v>
      </c>
      <c r="G55" s="104"/>
      <c r="H55" s="104"/>
      <c r="I55" s="104"/>
      <c r="J55" s="104"/>
      <c r="L55" s="104"/>
      <c r="N55" s="104"/>
      <c r="O55" s="104"/>
      <c r="P55" s="104"/>
      <c r="Q55" s="104"/>
    </row>
    <row r="56" spans="1:17" ht="20.100000000000001" customHeight="1" x14ac:dyDescent="0.25">
      <c r="A56"/>
      <c r="D56" s="14" t="s">
        <v>330</v>
      </c>
      <c r="E56" s="144">
        <f>E44+E50</f>
        <v>7.2400000000000006E-2</v>
      </c>
      <c r="F56" s="26" t="str">
        <f t="shared" si="4"/>
        <v>t CO2-e</v>
      </c>
      <c r="H56" s="104"/>
    </row>
    <row r="57" spans="1:17" ht="20.100000000000001" customHeight="1" x14ac:dyDescent="0.25">
      <c r="A57"/>
      <c r="D57" s="14" t="s">
        <v>331</v>
      </c>
      <c r="E57" s="144">
        <f>E45+E51</f>
        <v>7.1400000000000005E-2</v>
      </c>
      <c r="F57" s="26" t="str">
        <f t="shared" si="4"/>
        <v>t CO2-e</v>
      </c>
      <c r="G57" s="104"/>
      <c r="H57" s="104"/>
      <c r="I57" s="104"/>
      <c r="J57" s="104"/>
      <c r="L57" s="104"/>
      <c r="N57" s="104"/>
      <c r="O57" s="104"/>
      <c r="P57" s="104"/>
      <c r="Q57" s="104"/>
    </row>
    <row r="58" spans="1:17" ht="20.100000000000001" customHeight="1" x14ac:dyDescent="0.25">
      <c r="A58"/>
      <c r="D58" s="14" t="s">
        <v>332</v>
      </c>
      <c r="E58" s="144">
        <f>E46+E52</f>
        <v>6.2923999999999998</v>
      </c>
      <c r="F58" s="26" t="str">
        <f t="shared" si="4"/>
        <v>t CO2-e</v>
      </c>
      <c r="G58" s="104"/>
      <c r="H58" s="104"/>
      <c r="I58" s="104"/>
      <c r="J58" s="104"/>
      <c r="L58" s="104"/>
      <c r="N58" s="104"/>
      <c r="O58" s="104"/>
      <c r="P58" s="104"/>
      <c r="Q58" s="104"/>
    </row>
    <row r="59" spans="1:17" ht="20.100000000000001" customHeight="1" x14ac:dyDescent="0.25">
      <c r="A59"/>
      <c r="G59" s="104"/>
      <c r="H59" s="104"/>
      <c r="I59" s="104"/>
      <c r="J59" s="104"/>
      <c r="L59" s="104"/>
      <c r="N59" s="104"/>
      <c r="O59" s="104"/>
      <c r="P59" s="104"/>
      <c r="Q59" s="104"/>
    </row>
    <row r="60" spans="1:17" ht="20.100000000000001" customHeight="1" x14ac:dyDescent="0.25">
      <c r="A60"/>
      <c r="G60" s="104"/>
      <c r="H60" s="104"/>
      <c r="I60" s="104"/>
      <c r="J60" s="104"/>
      <c r="L60" s="104"/>
      <c r="N60" s="104"/>
      <c r="O60" s="104"/>
      <c r="P60" s="104"/>
      <c r="Q60" s="104"/>
    </row>
    <row r="61" spans="1:17" ht="20.100000000000001" customHeight="1" x14ac:dyDescent="0.25">
      <c r="A61"/>
      <c r="G61" s="104"/>
      <c r="H61" s="104"/>
      <c r="I61" s="104"/>
      <c r="J61" s="104"/>
      <c r="L61" s="104"/>
      <c r="N61" s="104"/>
      <c r="O61" s="104"/>
      <c r="P61" s="104"/>
      <c r="Q61" s="104"/>
    </row>
    <row r="62" spans="1:17" ht="20.100000000000001" customHeight="1" x14ac:dyDescent="0.25">
      <c r="A62"/>
      <c r="G62" s="104"/>
      <c r="H62" s="104"/>
      <c r="I62" s="104"/>
      <c r="J62" s="104"/>
      <c r="L62" s="104"/>
      <c r="N62" s="104"/>
      <c r="O62" s="104"/>
      <c r="P62" s="104"/>
      <c r="Q62" s="104"/>
    </row>
    <row r="63" spans="1:17" ht="20.100000000000001" customHeight="1" x14ac:dyDescent="0.25">
      <c r="A63"/>
      <c r="G63" s="104"/>
      <c r="H63" s="104"/>
      <c r="I63" s="104"/>
      <c r="J63" s="104"/>
      <c r="L63" s="104"/>
      <c r="N63" s="104"/>
      <c r="O63" s="104"/>
      <c r="P63" s="104"/>
      <c r="Q63" s="104"/>
    </row>
    <row r="64" spans="1:17" ht="20.100000000000001" customHeight="1" x14ac:dyDescent="0.25">
      <c r="A64"/>
      <c r="G64" s="104"/>
      <c r="H64" s="104"/>
      <c r="I64" s="104"/>
      <c r="J64" s="104"/>
      <c r="L64" s="104"/>
      <c r="N64" s="104"/>
      <c r="O64" s="104"/>
      <c r="P64" s="104"/>
      <c r="Q64" s="104"/>
    </row>
    <row r="65" spans="1:17" ht="20.100000000000001" customHeight="1" x14ac:dyDescent="0.25">
      <c r="A65"/>
      <c r="G65" s="104"/>
      <c r="H65" s="104"/>
      <c r="I65" s="104"/>
      <c r="J65" s="104"/>
      <c r="L65" s="104"/>
      <c r="N65" s="104"/>
      <c r="O65" s="104"/>
      <c r="P65" s="104"/>
      <c r="Q65" s="104"/>
    </row>
    <row r="66" spans="1:17" ht="20.100000000000001" customHeight="1" x14ac:dyDescent="0.25">
      <c r="A66"/>
      <c r="G66" s="104"/>
      <c r="H66" s="104"/>
      <c r="I66" s="104"/>
      <c r="J66" s="104"/>
      <c r="L66" s="104"/>
      <c r="N66" s="104"/>
      <c r="O66" s="104"/>
      <c r="P66" s="104"/>
      <c r="Q66" s="104"/>
    </row>
    <row r="67" spans="1:17" ht="20.100000000000001" customHeight="1" x14ac:dyDescent="0.25">
      <c r="A67"/>
      <c r="G67" s="104"/>
    </row>
    <row r="68" spans="1:17" ht="20.100000000000001" customHeight="1" x14ac:dyDescent="0.25">
      <c r="A68"/>
      <c r="G68" s="104"/>
    </row>
    <row r="69" spans="1:17" ht="20.100000000000001" customHeight="1" x14ac:dyDescent="0.25">
      <c r="A69"/>
      <c r="G69" s="104"/>
    </row>
    <row r="70" spans="1:17" ht="20.100000000000001" customHeight="1" x14ac:dyDescent="0.25">
      <c r="A70"/>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0464F-F360-4A01-AF03-F5DCE58F8DB4}">
  <dimension ref="A1:AI165"/>
  <sheetViews>
    <sheetView showGridLines="0" topLeftCell="A17"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251</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Fertiliser_SourceData.Fertiliser_ChemicalCompoundElements_Title()</f>
        <v>Common inorganic fertilisers</v>
      </c>
      <c r="E5" s="104"/>
      <c r="F5" s="104"/>
      <c r="G5" s="104"/>
      <c r="H5" s="104"/>
      <c r="I5" s="104"/>
      <c r="J5" s="104"/>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35" t="s">
        <v>91</v>
      </c>
      <c r="D7" s="19" t="str" cm="1">
        <f t="array" ref="D7:D18">Fertiliser_SourceData.Fertiliser_ChemicalCompoundElements_Variation()</f>
        <v>VARIATION ON SOURCE</v>
      </c>
    </row>
    <row r="8" spans="1:35" ht="20.100000000000001" customHeight="1" x14ac:dyDescent="0.25">
      <c r="A8" s="28"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28" t="str">
        <f>HYPERLINK("#'Input - Fertiliser'!A1", "Fertiliser")</f>
        <v>Fertiliser</v>
      </c>
      <c r="D9" s="19" t="str">
        <v>Added extra fertiliser types and generic chemical compounds to allow for custom NPKS blends</v>
      </c>
    </row>
    <row r="10" spans="1:35" ht="20.100000000000001" customHeight="1" x14ac:dyDescent="0.25">
      <c r="A10" s="28" t="str">
        <f>HYPERLINK("#'Input - Fuel'!A1", "Fuel")</f>
        <v>Fuel</v>
      </c>
      <c r="D10" s="19" t="str">
        <v>Added extra 'Scope 3 definition' column to allow mapping with scope 3 data</v>
      </c>
    </row>
    <row r="11" spans="1:35" ht="20.100000000000001" customHeight="1" x14ac:dyDescent="0.25">
      <c r="A11" s="28" t="str">
        <f>HYPERLINK("#'Input - Fert Prod System'!A1", "Fert Prod System")</f>
        <v>Fert Prod System</v>
      </c>
      <c r="D11" s="19" t="str">
        <v>Added 'Source' column</v>
      </c>
    </row>
    <row r="12" spans="1:35" ht="20.100000000000001" customHeight="1" x14ac:dyDescent="0.25">
      <c r="A12" s="28" t="str">
        <f>HYPERLINK("#'Input - Site'!A1", "Site")</f>
        <v>Site</v>
      </c>
      <c r="D12" s="19" t="str">
        <v>Combined data from Table A.2.2.3 and Table A.2.2.4 into one table to aid lookup.</v>
      </c>
    </row>
    <row r="13" spans="1:35" ht="20.100000000000001" customHeight="1" x14ac:dyDescent="0.25">
      <c r="A13"/>
      <c r="D13" s="19" t="str">
        <v>Excluded 'References' column</v>
      </c>
    </row>
    <row r="14" spans="1:35" ht="20.100000000000001" customHeight="1" x14ac:dyDescent="0.25">
      <c r="A14"/>
      <c r="D14" s="19" t="str">
        <v>Excluded 'Ammonium sulfate' as it is a duplicate of 'Sulphate of ammonia (SOA)'</v>
      </c>
    </row>
    <row r="15" spans="1:35" ht="20.100000000000001" customHeight="1" x14ac:dyDescent="0.25">
      <c r="A15" s="48" t="s">
        <v>116</v>
      </c>
      <c r="D15" s="19" t="str">
        <v>Excluded 'Calcium nitrate' as no scope 3 value available.</v>
      </c>
    </row>
    <row r="16" spans="1:35" ht="20.100000000000001" customHeight="1" x14ac:dyDescent="0.25">
      <c r="A16" s="28"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5">
      <c r="A17" s="28"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8"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8" t="str">
        <f>HYPERLINK("#'5.3.1.1-2 Lime CO2'!A1", "5.3.1.1-2 Lime CO2")</f>
        <v>5.3.1.1-2 Lime CO2</v>
      </c>
      <c r="D19" s="10" t="s">
        <v>168</v>
      </c>
      <c r="E19" s="10" t="s">
        <v>252</v>
      </c>
      <c r="F19" s="10" t="s">
        <v>253</v>
      </c>
      <c r="G19" s="10" t="s">
        <v>227</v>
      </c>
      <c r="H19" s="10" t="s">
        <v>254</v>
      </c>
      <c r="I19" s="10" t="s">
        <v>255</v>
      </c>
      <c r="K19" s="17" t="s">
        <v>168</v>
      </c>
      <c r="L19" s="17" t="s">
        <v>252</v>
      </c>
      <c r="Q19" s="17" t="s">
        <v>168</v>
      </c>
      <c r="R19" s="17" t="s">
        <v>252</v>
      </c>
      <c r="V19" s="17" t="s">
        <v>255</v>
      </c>
    </row>
    <row r="20" spans="1:22" ht="20.100000000000001" customHeight="1" x14ac:dyDescent="0.25">
      <c r="A20" s="28" t="str">
        <f>HYPERLINK("#'5.4.1.1-4 Atmos deposition'!A1", "5.4.1.1-4 Atmos. deposition")</f>
        <v>5.4.1.1-4 Atmos. deposition</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8" t="str">
        <f>HYPERLINK("#'5.5.1.1-2 Leaching and runoff'!A1", "5.5.1.1-2 Leaching &amp; runoff")</f>
        <v>5.5.1.1-2 Leaching &amp; runoff</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8" t="str">
        <f>HYPERLINK("#'8.1.1.1-2 Transport fuel'!A1", "8.1.1.1-2 Transport fuel")</f>
        <v>8.1.1.1-2 Transport fuel</v>
      </c>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28" t="str">
        <f>HYPERLINK("#'8.2.1.1-2 Stationary fuel'!A1", "8.2.1.1-2 Stationary fuel")</f>
        <v>8.2.1.1-2 Stationary fuel</v>
      </c>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66" t="s">
        <v>133</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118" t="str">
        <f>HYPERLINK("#'Constants - Fertiliser'!A1", "Constants - Fertiliser")</f>
        <v>Constants - Fertiliser</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8" t="str">
        <f>HYPERLINK("#'Constants - Fuel'!A1", "Constants - Fuel")</f>
        <v>Constants - Fuel</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28" t="str">
        <f>HYPERLINK("#'Constants - Common'!A1", "Constants - Common")</f>
        <v>Constants - Common</v>
      </c>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256</v>
      </c>
      <c r="F40" s="16" t="s">
        <v>257</v>
      </c>
      <c r="H40" s="16" t="s">
        <v>258</v>
      </c>
      <c r="J40" s="16" t="s">
        <v>259</v>
      </c>
    </row>
    <row r="41" spans="1:10" ht="20.100000000000001" customHeight="1" x14ac:dyDescent="0.25">
      <c r="A41"/>
      <c r="D41" s="17" t="s">
        <v>80</v>
      </c>
      <c r="F41" s="17" t="s">
        <v>80</v>
      </c>
      <c r="H41" s="17" t="s">
        <v>56</v>
      </c>
      <c r="J41" s="17" t="s">
        <v>260</v>
      </c>
    </row>
    <row r="42" spans="1:10" ht="20.100000000000001" customHeight="1" x14ac:dyDescent="0.25">
      <c r="A42"/>
      <c r="D42" s="17" t="s">
        <v>261</v>
      </c>
      <c r="F42" s="17" t="s">
        <v>261</v>
      </c>
      <c r="H42" s="17" t="s">
        <v>262</v>
      </c>
      <c r="J42" s="17" t="s">
        <v>263</v>
      </c>
    </row>
    <row r="43" spans="1:10" ht="20.100000000000001" customHeight="1" x14ac:dyDescent="0.25">
      <c r="A43"/>
      <c r="D43" s="15" t="s">
        <v>81</v>
      </c>
      <c r="F43" s="15" t="s">
        <v>84</v>
      </c>
      <c r="H43" s="17" t="s">
        <v>264</v>
      </c>
      <c r="J43" s="15" t="s">
        <v>157</v>
      </c>
    </row>
    <row r="44" spans="1:10" ht="20.100000000000001" customHeight="1" x14ac:dyDescent="0.25">
      <c r="A44"/>
      <c r="F44" s="15" t="s">
        <v>265</v>
      </c>
      <c r="H44" s="15" t="s">
        <v>85</v>
      </c>
      <c r="J44" s="15" t="s">
        <v>266</v>
      </c>
    </row>
    <row r="45" spans="1:10" ht="20.100000000000001" customHeight="1" x14ac:dyDescent="0.25">
      <c r="A45"/>
      <c r="F45" s="15" t="s">
        <v>267</v>
      </c>
      <c r="H45" s="15" t="s">
        <v>268</v>
      </c>
      <c r="J45" s="15" t="s">
        <v>156</v>
      </c>
    </row>
    <row r="46" spans="1:10" ht="20.100000000000001" customHeight="1" x14ac:dyDescent="0.25">
      <c r="A46"/>
      <c r="H46" s="15" t="s">
        <v>269</v>
      </c>
      <c r="J46" s="15" t="s">
        <v>158</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4"/>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4"/>
    </row>
    <row r="50" spans="1:8" ht="20.100000000000001" customHeight="1" x14ac:dyDescent="0.25">
      <c r="A50"/>
      <c r="D50" s="17" t="s">
        <v>168</v>
      </c>
      <c r="E50" s="17" t="s">
        <v>270</v>
      </c>
      <c r="G50" s="104"/>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4"/>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4"/>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4"/>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4"/>
      <c r="H54" s="104"/>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4"/>
      <c r="H55" s="104"/>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4"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215</v>
      </c>
      <c r="E65" s="17" t="s">
        <v>271</v>
      </c>
      <c r="F65" s="17" t="s">
        <v>272</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4"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4"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4"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273</v>
      </c>
    </row>
    <row r="87" spans="1:31" ht="20.100000000000001" customHeight="1" x14ac:dyDescent="0.25">
      <c r="A87"/>
      <c r="D87" s="16" t="s">
        <v>274</v>
      </c>
      <c r="E87" s="104"/>
      <c r="F87" s="104"/>
      <c r="G87" s="104"/>
      <c r="H87" s="104"/>
      <c r="I87" s="104"/>
      <c r="J87" s="104"/>
      <c r="K87" s="104"/>
      <c r="L87" s="104"/>
      <c r="N87" s="104" t="s">
        <v>273</v>
      </c>
      <c r="O87" s="104"/>
      <c r="P87" s="104"/>
      <c r="Q87" s="104"/>
      <c r="R87" s="104"/>
      <c r="S87" s="104"/>
      <c r="T87" s="104"/>
      <c r="U87" s="104"/>
    </row>
    <row r="88" spans="1:31" ht="20.100000000000001" customHeight="1" x14ac:dyDescent="0.25">
      <c r="A88"/>
      <c r="D88" s="104"/>
    </row>
    <row r="89" spans="1:31" ht="20.100000000000001" customHeight="1" x14ac:dyDescent="0.25">
      <c r="A89"/>
      <c r="D89" s="119" t="s">
        <v>275</v>
      </c>
      <c r="E89" s="17" t="s">
        <v>276</v>
      </c>
      <c r="F89" s="17" t="s">
        <v>277</v>
      </c>
      <c r="G89" s="43" t="s">
        <v>278</v>
      </c>
      <c r="H89" s="43" t="s">
        <v>164</v>
      </c>
      <c r="I89" s="43" t="s">
        <v>279</v>
      </c>
      <c r="J89" s="43" t="s">
        <v>113</v>
      </c>
      <c r="K89" s="43" t="s">
        <v>114</v>
      </c>
      <c r="L89" s="43" t="s">
        <v>100</v>
      </c>
      <c r="M89" s="43" t="s">
        <v>101</v>
      </c>
      <c r="N89" s="43" t="s">
        <v>102</v>
      </c>
      <c r="O89" s="17" t="s">
        <v>103</v>
      </c>
      <c r="P89" s="17" t="s">
        <v>104</v>
      </c>
      <c r="Q89" s="17" t="s">
        <v>105</v>
      </c>
      <c r="R89" s="43" t="s">
        <v>106</v>
      </c>
      <c r="S89" s="43" t="s">
        <v>107</v>
      </c>
      <c r="T89" s="17" t="s">
        <v>108</v>
      </c>
      <c r="U89" s="43" t="s">
        <v>109</v>
      </c>
      <c r="V89" s="43" t="s">
        <v>110</v>
      </c>
      <c r="W89" s="43" t="s">
        <v>111</v>
      </c>
      <c r="X89" s="43" t="s">
        <v>280</v>
      </c>
      <c r="Y89" s="43" t="s">
        <v>281</v>
      </c>
      <c r="Z89" s="17" t="s">
        <v>282</v>
      </c>
      <c r="AA89" s="17" t="s">
        <v>283</v>
      </c>
      <c r="AB89" s="17" t="s">
        <v>284</v>
      </c>
      <c r="AC89" s="17" t="s">
        <v>285</v>
      </c>
      <c r="AD89" s="17" t="s">
        <v>286</v>
      </c>
      <c r="AE89" s="17" t="s">
        <v>287</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B6177-320D-40BF-96C9-8A37114890FE}">
  <dimension ref="A1:AI165"/>
  <sheetViews>
    <sheetView showGridLines="0" topLeftCell="A138"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344</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4"/>
      <c r="F5" s="104"/>
      <c r="G5" s="104"/>
      <c r="H5" s="104"/>
      <c r="I5" s="104"/>
      <c r="J5" s="104"/>
      <c r="K5" s="104"/>
      <c r="L5" s="104"/>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4"/>
      <c r="F6" s="104"/>
      <c r="G6" s="104"/>
      <c r="H6" s="104"/>
      <c r="I6" s="104"/>
      <c r="J6" s="104"/>
      <c r="K6" s="104"/>
      <c r="L6" s="104"/>
    </row>
    <row r="7" spans="1:35" ht="20.100000000000001" customHeight="1" x14ac:dyDescent="0.25">
      <c r="A7" s="35" t="s">
        <v>91</v>
      </c>
      <c r="D7" s="18" t="str" cm="1">
        <f t="array" ref="D7">Fuel_SourceData.Fuel_Scope1Scope3EmissionFactorsTransport_Source()</f>
        <v>Australian National Greenhouse Accounts Factors 2025 - Table 9</v>
      </c>
      <c r="E7" s="104"/>
      <c r="F7" s="104"/>
      <c r="G7" s="104"/>
      <c r="H7" s="104"/>
      <c r="I7" s="104"/>
      <c r="J7" s="104"/>
      <c r="K7" s="104"/>
      <c r="L7" s="104"/>
    </row>
    <row r="8" spans="1:35" ht="20.100000000000001" customHeight="1" x14ac:dyDescent="0.25">
      <c r="A8" s="28" t="str">
        <f>HYPERLINK("#'Input - Planting'!A1", "Planting")</f>
        <v>Planting</v>
      </c>
      <c r="D8" s="19" t="str" cm="1">
        <f t="array" ref="D8">"⚠️" &amp; Fuel_SourceData.Fuel_Scope1Scope3EmissionFactorsTransport_Variation()</f>
        <v>⚠️VARIATION OF SOURCE DATA: 'NE' values returned as zero for calculations.</v>
      </c>
      <c r="E8" s="104"/>
      <c r="F8" s="104"/>
      <c r="G8" s="104"/>
      <c r="H8" s="104"/>
      <c r="I8" s="104"/>
      <c r="J8" s="104"/>
      <c r="K8" s="104"/>
      <c r="L8" s="104"/>
    </row>
    <row r="9" spans="1:35" ht="20.100000000000001" customHeight="1" x14ac:dyDescent="0.25">
      <c r="A9" s="28" t="str">
        <f>HYPERLINK("#'Input - Fertiliser'!A1", "Fertiliser")</f>
        <v>Fertiliser</v>
      </c>
      <c r="D9" s="151" t="s">
        <v>345</v>
      </c>
      <c r="E9" s="151" t="s">
        <v>346</v>
      </c>
      <c r="F9" s="151" t="s">
        <v>347</v>
      </c>
      <c r="G9" s="151" t="s">
        <v>348</v>
      </c>
      <c r="H9" s="151" t="s">
        <v>349</v>
      </c>
      <c r="I9" s="151" t="s">
        <v>350</v>
      </c>
      <c r="J9" s="151" t="s">
        <v>351</v>
      </c>
      <c r="K9" s="151" t="s">
        <v>352</v>
      </c>
      <c r="L9" s="151" t="s">
        <v>353</v>
      </c>
    </row>
    <row r="10" spans="1:35" ht="20.100000000000001" customHeight="1" x14ac:dyDescent="0.25">
      <c r="A10" s="28" t="str">
        <f>HYPERLINK("#'Input - Fuel'!A1", "Fuel")</f>
        <v>Fuel</v>
      </c>
      <c r="D10" s="152" t="str" cm="1">
        <f t="array" ref="D10">Common_InputFunctions.Utility_DisplayArrayInTable(Fuel_SourceData.Fuel_Scope1Scope3EmissionFactorsTransport_Data(), Table_Fuel_EFs_Transport[[#Headers],[Transport type]], 0)</f>
        <v>Cars and light commercial vehicles</v>
      </c>
      <c r="E10" s="152" t="str" cm="1">
        <f t="array" ref="E10">Common_InputFunctions.Utility_DisplayArrayInTable(Fuel_SourceData.Fuel_Scope1Scope3EmissionFactorsTransport_Data(), Table_Fuel_EFs_Transport[[#Headers],[Transport type]], 0)</f>
        <v>Gasoline</v>
      </c>
      <c r="F10" s="152" cm="1">
        <f t="array" ref="F10">Common_InputFunctions.Utility_DisplayArrayInTable(Fuel_SourceData.Fuel_Scope1Scope3EmissionFactorsTransport_Data(), Table_Fuel_EFs_Transport[[#Headers],[Transport type]], 0)</f>
        <v>34.200000000000003</v>
      </c>
      <c r="G10" s="152" t="str" cm="1">
        <f t="array" ref="G10">Common_InputFunctions.Utility_DisplayArrayInTable(Fuel_SourceData.Fuel_Scope1Scope3EmissionFactorsTransport_Data(), Table_Fuel_EFs_Transport[[#Headers],[Transport type]], 0)</f>
        <v>kl</v>
      </c>
      <c r="H10" s="152" cm="1">
        <f t="array" ref="H10">Common_InputFunctions.Utility_DisplayArrayInTable(Fuel_SourceData.Fuel_Scope1Scope3EmissionFactorsTransport_Data(), Table_Fuel_EFs_Transport[[#Headers],[Transport type]], 0)</f>
        <v>67.400000000000006</v>
      </c>
      <c r="I10" s="152" cm="1">
        <f t="array" ref="I10">Common_InputFunctions.Utility_DisplayArrayInTable(Fuel_SourceData.Fuel_Scope1Scope3EmissionFactorsTransport_Data(), Table_Fuel_EFs_Transport[[#Headers],[Transport type]], 0)</f>
        <v>0.02</v>
      </c>
      <c r="J10" s="152" cm="1">
        <f t="array" ref="J10">Common_InputFunctions.Utility_DisplayArrayInTable(Fuel_SourceData.Fuel_Scope1Scope3EmissionFactorsTransport_Data(), Table_Fuel_EFs_Transport[[#Headers],[Transport type]], 0)</f>
        <v>0.2</v>
      </c>
      <c r="K10" s="152" cm="1">
        <f t="array" ref="K10">Common_InputFunctions.Utility_DisplayArrayInTable(Fuel_SourceData.Fuel_Scope1Scope3EmissionFactorsTransport_Data(), Table_Fuel_EFs_Transport[[#Headers],[Transport type]], 0)</f>
        <v>67.62</v>
      </c>
      <c r="L10" s="152" cm="1">
        <f t="array" ref="L10">Common_InputFunctions.Utility_DisplayArrayInTable(Fuel_SourceData.Fuel_Scope1Scope3EmissionFactorsTransport_Data(), Table_Fuel_EFs_Transport[[#Headers],[Transport type]], 0)</f>
        <v>17.2</v>
      </c>
    </row>
    <row r="11" spans="1:35" ht="20.100000000000001" customHeight="1" x14ac:dyDescent="0.25">
      <c r="A11" s="28" t="str">
        <f>HYPERLINK("#'Input - Fert Prod System'!A1", "Fert Prod System")</f>
        <v>Fert Prod System</v>
      </c>
      <c r="D11" s="152" t="str" cm="1">
        <f t="array" ref="D11">Common_InputFunctions.Utility_DisplayArrayInTable(Fuel_SourceData.Fuel_Scope1Scope3EmissionFactorsTransport_Data(), Table_Fuel_EFs_Transport[[#Headers],[Transport type]], 0)</f>
        <v>Cars and light commercial vehicles</v>
      </c>
      <c r="E11" s="152" t="str" cm="1">
        <f t="array" ref="E11">Common_InputFunctions.Utility_DisplayArrayInTable(Fuel_SourceData.Fuel_Scope1Scope3EmissionFactorsTransport_Data(), Table_Fuel_EFs_Transport[[#Headers],[Transport type]], 0)</f>
        <v>Diesel oil</v>
      </c>
      <c r="F11" s="152" cm="1">
        <f t="array" ref="F11">Common_InputFunctions.Utility_DisplayArrayInTable(Fuel_SourceData.Fuel_Scope1Scope3EmissionFactorsTransport_Data(), Table_Fuel_EFs_Transport[[#Headers],[Transport type]], 0)</f>
        <v>38.6</v>
      </c>
      <c r="G11" s="152" t="str" cm="1">
        <f t="array" ref="G11">Common_InputFunctions.Utility_DisplayArrayInTable(Fuel_SourceData.Fuel_Scope1Scope3EmissionFactorsTransport_Data(), Table_Fuel_EFs_Transport[[#Headers],[Transport type]], 0)</f>
        <v>kl</v>
      </c>
      <c r="H11" s="152" cm="1">
        <f t="array" ref="H11">Common_InputFunctions.Utility_DisplayArrayInTable(Fuel_SourceData.Fuel_Scope1Scope3EmissionFactorsTransport_Data(), Table_Fuel_EFs_Transport[[#Headers],[Transport type]], 0)</f>
        <v>69.900000000000006</v>
      </c>
      <c r="I11" s="152" cm="1">
        <f t="array" ref="I11">Common_InputFunctions.Utility_DisplayArrayInTable(Fuel_SourceData.Fuel_Scope1Scope3EmissionFactorsTransport_Data(), Table_Fuel_EFs_Transport[[#Headers],[Transport type]], 0)</f>
        <v>0.01</v>
      </c>
      <c r="J11" s="152" cm="1">
        <f t="array" ref="J11">Common_InputFunctions.Utility_DisplayArrayInTable(Fuel_SourceData.Fuel_Scope1Scope3EmissionFactorsTransport_Data(), Table_Fuel_EFs_Transport[[#Headers],[Transport type]], 0)</f>
        <v>0.5</v>
      </c>
      <c r="K11" s="152" cm="1">
        <f t="array" ref="K11">Common_InputFunctions.Utility_DisplayArrayInTable(Fuel_SourceData.Fuel_Scope1Scope3EmissionFactorsTransport_Data(), Table_Fuel_EFs_Transport[[#Headers],[Transport type]], 0)</f>
        <v>70.41</v>
      </c>
      <c r="L11" s="152" cm="1">
        <f t="array" ref="L11">Common_InputFunctions.Utility_DisplayArrayInTable(Fuel_SourceData.Fuel_Scope1Scope3EmissionFactorsTransport_Data(), Table_Fuel_EFs_Transport[[#Headers],[Transport type]], 0)</f>
        <v>17.3</v>
      </c>
    </row>
    <row r="12" spans="1:35" ht="20.100000000000001" customHeight="1" x14ac:dyDescent="0.25">
      <c r="A12" s="28" t="str">
        <f>HYPERLINK("#'Input - Site'!A1", "Site")</f>
        <v>Site</v>
      </c>
      <c r="D12" s="152" t="str" cm="1">
        <f t="array" ref="D12">Common_InputFunctions.Utility_DisplayArrayInTable(Fuel_SourceData.Fuel_Scope1Scope3EmissionFactorsTransport_Data(), Table_Fuel_EFs_Transport[[#Headers],[Transport type]], 0)</f>
        <v>Cars and light commercial vehicles</v>
      </c>
      <c r="E12" s="152" t="str" cm="1">
        <f t="array" ref="E12">Common_InputFunctions.Utility_DisplayArrayInTable(Fuel_SourceData.Fuel_Scope1Scope3EmissionFactorsTransport_Data(), Table_Fuel_EFs_Transport[[#Headers],[Transport type]], 0)</f>
        <v>Liquefied petroleum gas (LPG)</v>
      </c>
      <c r="F12" s="152" cm="1">
        <f t="array" ref="F12">Common_InputFunctions.Utility_DisplayArrayInTable(Fuel_SourceData.Fuel_Scope1Scope3EmissionFactorsTransport_Data(), Table_Fuel_EFs_Transport[[#Headers],[Transport type]], 0)</f>
        <v>26.2</v>
      </c>
      <c r="G12" s="152" t="str" cm="1">
        <f t="array" ref="G12">Common_InputFunctions.Utility_DisplayArrayInTable(Fuel_SourceData.Fuel_Scope1Scope3EmissionFactorsTransport_Data(), Table_Fuel_EFs_Transport[[#Headers],[Transport type]], 0)</f>
        <v>kl</v>
      </c>
      <c r="H12" s="152" cm="1">
        <f t="array" ref="H12">Common_InputFunctions.Utility_DisplayArrayInTable(Fuel_SourceData.Fuel_Scope1Scope3EmissionFactorsTransport_Data(), Table_Fuel_EFs_Transport[[#Headers],[Transport type]], 0)</f>
        <v>60.2</v>
      </c>
      <c r="I12" s="152" cm="1">
        <f t="array" ref="I12">Common_InputFunctions.Utility_DisplayArrayInTable(Fuel_SourceData.Fuel_Scope1Scope3EmissionFactorsTransport_Data(), Table_Fuel_EFs_Transport[[#Headers],[Transport type]], 0)</f>
        <v>0.5</v>
      </c>
      <c r="J12" s="152" cm="1">
        <f t="array" ref="J12">Common_InputFunctions.Utility_DisplayArrayInTable(Fuel_SourceData.Fuel_Scope1Scope3EmissionFactorsTransport_Data(), Table_Fuel_EFs_Transport[[#Headers],[Transport type]], 0)</f>
        <v>0.3</v>
      </c>
      <c r="K12" s="152" cm="1">
        <f t="array" ref="K12">Common_InputFunctions.Utility_DisplayArrayInTable(Fuel_SourceData.Fuel_Scope1Scope3EmissionFactorsTransport_Data(), Table_Fuel_EFs_Transport[[#Headers],[Transport type]], 0)</f>
        <v>61</v>
      </c>
      <c r="L12" s="152" cm="1">
        <f t="array" ref="L12">Common_InputFunctions.Utility_DisplayArrayInTable(Fuel_SourceData.Fuel_Scope1Scope3EmissionFactorsTransport_Data(), Table_Fuel_EFs_Transport[[#Headers],[Transport type]], 0)</f>
        <v>20.2</v>
      </c>
    </row>
    <row r="13" spans="1:35" ht="20.100000000000001" customHeight="1" x14ac:dyDescent="0.25">
      <c r="A13"/>
      <c r="D13" s="152" t="str" cm="1">
        <f t="array" ref="D13">Common_InputFunctions.Utility_DisplayArrayInTable(Fuel_SourceData.Fuel_Scope1Scope3EmissionFactorsTransport_Data(), Table_Fuel_EFs_Transport[[#Headers],[Transport type]], 0)</f>
        <v>Cars and light commercial vehicles</v>
      </c>
      <c r="E13" s="152" t="str" cm="1">
        <f t="array" ref="E13">Common_InputFunctions.Utility_DisplayArrayInTable(Fuel_SourceData.Fuel_Scope1Scope3EmissionFactorsTransport_Data(), Table_Fuel_EFs_Transport[[#Headers],[Transport type]], 0)</f>
        <v>Fuel oil</v>
      </c>
      <c r="F13" s="152" cm="1">
        <f t="array" ref="F13">Common_InputFunctions.Utility_DisplayArrayInTable(Fuel_SourceData.Fuel_Scope1Scope3EmissionFactorsTransport_Data(), Table_Fuel_EFs_Transport[[#Headers],[Transport type]], 0)</f>
        <v>39.700000000000003</v>
      </c>
      <c r="G13" s="152" t="str" cm="1">
        <f t="array" ref="G13">Common_InputFunctions.Utility_DisplayArrayInTable(Fuel_SourceData.Fuel_Scope1Scope3EmissionFactorsTransport_Data(), Table_Fuel_EFs_Transport[[#Headers],[Transport type]], 0)</f>
        <v>kl</v>
      </c>
      <c r="H13" s="152" cm="1">
        <f t="array" ref="H13">Common_InputFunctions.Utility_DisplayArrayInTable(Fuel_SourceData.Fuel_Scope1Scope3EmissionFactorsTransport_Data(), Table_Fuel_EFs_Transport[[#Headers],[Transport type]], 0)</f>
        <v>73.599999999999994</v>
      </c>
      <c r="I13" s="152" cm="1">
        <f t="array" ref="I13">Common_InputFunctions.Utility_DisplayArrayInTable(Fuel_SourceData.Fuel_Scope1Scope3EmissionFactorsTransport_Data(), Table_Fuel_EFs_Transport[[#Headers],[Transport type]], 0)</f>
        <v>0.08</v>
      </c>
      <c r="J13" s="152" cm="1">
        <f t="array" ref="J13">Common_InputFunctions.Utility_DisplayArrayInTable(Fuel_SourceData.Fuel_Scope1Scope3EmissionFactorsTransport_Data(), Table_Fuel_EFs_Transport[[#Headers],[Transport type]], 0)</f>
        <v>0.5</v>
      </c>
      <c r="K13" s="152" cm="1">
        <f t="array" ref="K13">Common_InputFunctions.Utility_DisplayArrayInTable(Fuel_SourceData.Fuel_Scope1Scope3EmissionFactorsTransport_Data(), Table_Fuel_EFs_Transport[[#Headers],[Transport type]], 0)</f>
        <v>74.180000000000007</v>
      </c>
      <c r="L13" s="152" cm="1">
        <f t="array" ref="L13">Common_InputFunctions.Utility_DisplayArrayInTable(Fuel_SourceData.Fuel_Scope1Scope3EmissionFactorsTransport_Data(), Table_Fuel_EFs_Transport[[#Headers],[Transport type]], 0)</f>
        <v>18</v>
      </c>
    </row>
    <row r="14" spans="1:35" ht="20.100000000000001" customHeight="1" x14ac:dyDescent="0.25">
      <c r="A14"/>
      <c r="D14" s="152" t="str" cm="1">
        <f t="array" ref="D14">Common_InputFunctions.Utility_DisplayArrayInTable(Fuel_SourceData.Fuel_Scope1Scope3EmissionFactorsTransport_Data(), Table_Fuel_EFs_Transport[[#Headers],[Transport type]], 0)</f>
        <v>Cars and light commercial vehicles</v>
      </c>
      <c r="E14" s="152" t="str" cm="1">
        <f t="array" ref="E14">Common_InputFunctions.Utility_DisplayArrayInTable(Fuel_SourceData.Fuel_Scope1Scope3EmissionFactorsTransport_Data(), Table_Fuel_EFs_Transport[[#Headers],[Transport type]], 0)</f>
        <v>Ethanol</v>
      </c>
      <c r="F14" s="152" cm="1">
        <f t="array" ref="F14">Common_InputFunctions.Utility_DisplayArrayInTable(Fuel_SourceData.Fuel_Scope1Scope3EmissionFactorsTransport_Data(), Table_Fuel_EFs_Transport[[#Headers],[Transport type]], 0)</f>
        <v>23.4</v>
      </c>
      <c r="G14" s="152" t="str" cm="1">
        <f t="array" ref="G14">Common_InputFunctions.Utility_DisplayArrayInTable(Fuel_SourceData.Fuel_Scope1Scope3EmissionFactorsTransport_Data(), Table_Fuel_EFs_Transport[[#Headers],[Transport type]], 0)</f>
        <v>kl</v>
      </c>
      <c r="H14" s="152" cm="1">
        <f t="array" ref="H14">Common_InputFunctions.Utility_DisplayArrayInTable(Fuel_SourceData.Fuel_Scope1Scope3EmissionFactorsTransport_Data(), Table_Fuel_EFs_Transport[[#Headers],[Transport type]], 0)</f>
        <v>0</v>
      </c>
      <c r="I14" s="152" cm="1">
        <f t="array" ref="I14">Common_InputFunctions.Utility_DisplayArrayInTable(Fuel_SourceData.Fuel_Scope1Scope3EmissionFactorsTransport_Data(), Table_Fuel_EFs_Transport[[#Headers],[Transport type]], 0)</f>
        <v>0.2</v>
      </c>
      <c r="J14" s="152" cm="1">
        <f t="array" ref="J14">Common_InputFunctions.Utility_DisplayArrayInTable(Fuel_SourceData.Fuel_Scope1Scope3EmissionFactorsTransport_Data(), Table_Fuel_EFs_Transport[[#Headers],[Transport type]], 0)</f>
        <v>0.2</v>
      </c>
      <c r="K14" s="152" cm="1">
        <f t="array" ref="K14">Common_InputFunctions.Utility_DisplayArrayInTable(Fuel_SourceData.Fuel_Scope1Scope3EmissionFactorsTransport_Data(), Table_Fuel_EFs_Transport[[#Headers],[Transport type]], 0)</f>
        <v>0.4</v>
      </c>
      <c r="L14" s="152" t="str" cm="1">
        <f t="array" ref="L14">Common_InputFunctions.Utility_DisplayArrayInTable(Fuel_SourceData.Fuel_Scope1Scope3EmissionFactorsTransport_Data(), Table_Fuel_EFs_Transport[[#Headers],[Transport type]], 0)</f>
        <v>NE</v>
      </c>
    </row>
    <row r="15" spans="1:35" ht="20.100000000000001" customHeight="1" x14ac:dyDescent="0.25">
      <c r="A15" s="48" t="s">
        <v>116</v>
      </c>
      <c r="D15" s="152" t="str" cm="1">
        <f t="array" ref="D15">Common_InputFunctions.Utility_DisplayArrayInTable(Fuel_SourceData.Fuel_Scope1Scope3EmissionFactorsTransport_Data(), Table_Fuel_EFs_Transport[[#Headers],[Transport type]], 0)</f>
        <v>Cars and light commercial vehicles</v>
      </c>
      <c r="E15" s="152" t="str" cm="1">
        <f t="array" ref="E15">Common_InputFunctions.Utility_DisplayArrayInTable(Fuel_SourceData.Fuel_Scope1Scope3EmissionFactorsTransport_Data(), Table_Fuel_EFs_Transport[[#Headers],[Transport type]], 0)</f>
        <v>Biodiesel</v>
      </c>
      <c r="F15" s="152" cm="1">
        <f t="array" ref="F15">Common_InputFunctions.Utility_DisplayArrayInTable(Fuel_SourceData.Fuel_Scope1Scope3EmissionFactorsTransport_Data(), Table_Fuel_EFs_Transport[[#Headers],[Transport type]], 0)</f>
        <v>34.6</v>
      </c>
      <c r="G15" s="152" t="str" cm="1">
        <f t="array" ref="G15">Common_InputFunctions.Utility_DisplayArrayInTable(Fuel_SourceData.Fuel_Scope1Scope3EmissionFactorsTransport_Data(), Table_Fuel_EFs_Transport[[#Headers],[Transport type]], 0)</f>
        <v>kl</v>
      </c>
      <c r="H15" s="152" cm="1">
        <f t="array" ref="H15">Common_InputFunctions.Utility_DisplayArrayInTable(Fuel_SourceData.Fuel_Scope1Scope3EmissionFactorsTransport_Data(), Table_Fuel_EFs_Transport[[#Headers],[Transport type]], 0)</f>
        <v>0</v>
      </c>
      <c r="I15" s="152" cm="1">
        <f t="array" ref="I15">Common_InputFunctions.Utility_DisplayArrayInTable(Fuel_SourceData.Fuel_Scope1Scope3EmissionFactorsTransport_Data(), Table_Fuel_EFs_Transport[[#Headers],[Transport type]], 0)</f>
        <v>0.8</v>
      </c>
      <c r="J15" s="152" cm="1">
        <f t="array" ref="J15">Common_InputFunctions.Utility_DisplayArrayInTable(Fuel_SourceData.Fuel_Scope1Scope3EmissionFactorsTransport_Data(), Table_Fuel_EFs_Transport[[#Headers],[Transport type]], 0)</f>
        <v>1.7</v>
      </c>
      <c r="K15" s="152" cm="1">
        <f t="array" ref="K15">Common_InputFunctions.Utility_DisplayArrayInTable(Fuel_SourceData.Fuel_Scope1Scope3EmissionFactorsTransport_Data(), Table_Fuel_EFs_Transport[[#Headers],[Transport type]], 0)</f>
        <v>2.5</v>
      </c>
      <c r="L15" s="152" t="str" cm="1">
        <f t="array" ref="L15">Common_InputFunctions.Utility_DisplayArrayInTable(Fuel_SourceData.Fuel_Scope1Scope3EmissionFactorsTransport_Data(), Table_Fuel_EFs_Transport[[#Headers],[Transport type]], 0)</f>
        <v>NE</v>
      </c>
    </row>
    <row r="16" spans="1:35" ht="20.100000000000001" customHeight="1" x14ac:dyDescent="0.25">
      <c r="A16" s="28" t="str">
        <f>HYPERLINK("#'5.1.1.1-2 Inorganic fert N2O'!A1", "5.1.1.1-2 Inorganic fert N2O")</f>
        <v>5.1.1.1-2 Inorganic fert N2O</v>
      </c>
      <c r="D16" s="152" t="str" cm="1">
        <f t="array" ref="D16">Common_InputFunctions.Utility_DisplayArrayInTable(Fuel_SourceData.Fuel_Scope1Scope3EmissionFactorsTransport_Data(), Table_Fuel_EFs_Transport[[#Headers],[Transport type]], 0)</f>
        <v>Cars and light commercial vehicles</v>
      </c>
      <c r="E16" s="152" t="str" cm="1">
        <f t="array" ref="E16">Common_InputFunctions.Utility_DisplayArrayInTable(Fuel_SourceData.Fuel_Scope1Scope3EmissionFactorsTransport_Data(), Table_Fuel_EFs_Transport[[#Headers],[Transport type]], 0)</f>
        <v>Renewable diesel</v>
      </c>
      <c r="F16" s="152" cm="1">
        <f t="array" ref="F16">Common_InputFunctions.Utility_DisplayArrayInTable(Fuel_SourceData.Fuel_Scope1Scope3EmissionFactorsTransport_Data(), Table_Fuel_EFs_Transport[[#Headers],[Transport type]], 0)</f>
        <v>38.6</v>
      </c>
      <c r="G16" s="152" t="str" cm="1">
        <f t="array" ref="G16">Common_InputFunctions.Utility_DisplayArrayInTable(Fuel_SourceData.Fuel_Scope1Scope3EmissionFactorsTransport_Data(), Table_Fuel_EFs_Transport[[#Headers],[Transport type]], 0)</f>
        <v>kl</v>
      </c>
      <c r="H16" s="152" cm="1">
        <f t="array" ref="H16">Common_InputFunctions.Utility_DisplayArrayInTable(Fuel_SourceData.Fuel_Scope1Scope3EmissionFactorsTransport_Data(), Table_Fuel_EFs_Transport[[#Headers],[Transport type]], 0)</f>
        <v>0</v>
      </c>
      <c r="I16" s="152" cm="1">
        <f t="array" ref="I16">Common_InputFunctions.Utility_DisplayArrayInTable(Fuel_SourceData.Fuel_Scope1Scope3EmissionFactorsTransport_Data(), Table_Fuel_EFs_Transport[[#Headers],[Transport type]], 0)</f>
        <v>0.01</v>
      </c>
      <c r="J16" s="152" cm="1">
        <f t="array" ref="J16">Common_InputFunctions.Utility_DisplayArrayInTable(Fuel_SourceData.Fuel_Scope1Scope3EmissionFactorsTransport_Data(), Table_Fuel_EFs_Transport[[#Headers],[Transport type]], 0)</f>
        <v>0.5</v>
      </c>
      <c r="K16" s="152" cm="1">
        <f t="array" ref="K16">Common_InputFunctions.Utility_DisplayArrayInTable(Fuel_SourceData.Fuel_Scope1Scope3EmissionFactorsTransport_Data(), Table_Fuel_EFs_Transport[[#Headers],[Transport type]], 0)</f>
        <v>0.51</v>
      </c>
      <c r="L16" s="152" t="str" cm="1">
        <f t="array" ref="L16">Common_InputFunctions.Utility_DisplayArrayInTable(Fuel_SourceData.Fuel_Scope1Scope3EmissionFactorsTransport_Data(), Table_Fuel_EFs_Transport[[#Headers],[Transport type]], 0)</f>
        <v>NE</v>
      </c>
    </row>
    <row r="17" spans="1:12" ht="20.100000000000001" customHeight="1" x14ac:dyDescent="0.25">
      <c r="A17" s="28" t="str">
        <f>HYPERLINK("#'5.1.1.3-4 Inorganic fert CO2'!A1", "5.1.1.3-4 Inorganic fert CO2")</f>
        <v>5.1.1.3-4 Inorganic fert CO2</v>
      </c>
      <c r="D17" s="152" t="str" cm="1">
        <f t="array" ref="D17">Common_InputFunctions.Utility_DisplayArrayInTable(Fuel_SourceData.Fuel_Scope1Scope3EmissionFactorsTransport_Data(), Table_Fuel_EFs_Transport[[#Headers],[Transport type]], 0)</f>
        <v>Cars and light commercial vehicles</v>
      </c>
      <c r="E17" s="152" t="str" cm="1">
        <f t="array" ref="E17">Common_InputFunctions.Utility_DisplayArrayInTable(Fuel_SourceData.Fuel_Scope1Scope3EmissionFactorsTransport_Data(), Table_Fuel_EFs_Transport[[#Headers],[Transport type]], 0)</f>
        <v>Other biofuels</v>
      </c>
      <c r="F17" s="152" cm="1">
        <f t="array" ref="F17">Common_InputFunctions.Utility_DisplayArrayInTable(Fuel_SourceData.Fuel_Scope1Scope3EmissionFactorsTransport_Data(), Table_Fuel_EFs_Transport[[#Headers],[Transport type]], 0)</f>
        <v>23.4</v>
      </c>
      <c r="G17" s="152" t="str" cm="1">
        <f t="array" ref="G17">Common_InputFunctions.Utility_DisplayArrayInTable(Fuel_SourceData.Fuel_Scope1Scope3EmissionFactorsTransport_Data(), Table_Fuel_EFs_Transport[[#Headers],[Transport type]], 0)</f>
        <v>kl</v>
      </c>
      <c r="H17" s="152" cm="1">
        <f t="array" ref="H17">Common_InputFunctions.Utility_DisplayArrayInTable(Fuel_SourceData.Fuel_Scope1Scope3EmissionFactorsTransport_Data(), Table_Fuel_EFs_Transport[[#Headers],[Transport type]], 0)</f>
        <v>0</v>
      </c>
      <c r="I17" s="152" cm="1">
        <f t="array" ref="I17">Common_InputFunctions.Utility_DisplayArrayInTable(Fuel_SourceData.Fuel_Scope1Scope3EmissionFactorsTransport_Data(), Table_Fuel_EFs_Transport[[#Headers],[Transport type]], 0)</f>
        <v>0.8</v>
      </c>
      <c r="J17" s="152" cm="1">
        <f t="array" ref="J17">Common_InputFunctions.Utility_DisplayArrayInTable(Fuel_SourceData.Fuel_Scope1Scope3EmissionFactorsTransport_Data(), Table_Fuel_EFs_Transport[[#Headers],[Transport type]], 0)</f>
        <v>1.7</v>
      </c>
      <c r="K17" s="152" cm="1">
        <f t="array" ref="K17">Common_InputFunctions.Utility_DisplayArrayInTable(Fuel_SourceData.Fuel_Scope1Scope3EmissionFactorsTransport_Data(), Table_Fuel_EFs_Transport[[#Headers],[Transport type]], 0)</f>
        <v>2.5</v>
      </c>
      <c r="L17" s="152" t="str" cm="1">
        <f t="array" ref="L17">Common_InputFunctions.Utility_DisplayArrayInTable(Fuel_SourceData.Fuel_Scope1Scope3EmissionFactorsTransport_Data(), Table_Fuel_EFs_Transport[[#Headers],[Transport type]], 0)</f>
        <v>NE</v>
      </c>
    </row>
    <row r="18" spans="1:12" ht="20.100000000000001" customHeight="1" x14ac:dyDescent="0.25">
      <c r="A18" s="28" t="str">
        <f>HYPERLINK("#'5.2.1.1-2 Organic Fert N2O'!A1", "5.2.1.1-2 Organic fert N2O")</f>
        <v>5.2.1.1-2 Organic fert N2O</v>
      </c>
      <c r="D18" s="152" t="str" cm="1">
        <f t="array" ref="D18">Common_InputFunctions.Utility_DisplayArrayInTable(Fuel_SourceData.Fuel_Scope1Scope3EmissionFactorsTransport_Data(), Table_Fuel_EFs_Transport[[#Headers],[Transport type]], 0)</f>
        <v>Light duty vehicles</v>
      </c>
      <c r="E18" s="152" t="str" cm="1">
        <f t="array" ref="E18">Common_InputFunctions.Utility_DisplayArrayInTable(Fuel_SourceData.Fuel_Scope1Scope3EmissionFactorsTransport_Data(), Table_Fuel_EFs_Transport[[#Headers],[Transport type]], 0)</f>
        <v>Compressed natural gas</v>
      </c>
      <c r="F18" s="152" cm="1">
        <f t="array" ref="F18">Common_InputFunctions.Utility_DisplayArrayInTable(Fuel_SourceData.Fuel_Scope1Scope3EmissionFactorsTransport_Data(), Table_Fuel_EFs_Transport[[#Headers],[Transport type]], 0)</f>
        <v>3.9300000000000002E-2</v>
      </c>
      <c r="G18" s="152" t="str" cm="1">
        <f t="array" ref="G18">Common_InputFunctions.Utility_DisplayArrayInTable(Fuel_SourceData.Fuel_Scope1Scope3EmissionFactorsTransport_Data(), Table_Fuel_EFs_Transport[[#Headers],[Transport type]], 0)</f>
        <v>m3</v>
      </c>
      <c r="H18" s="152" cm="1">
        <f t="array" ref="H18">Common_InputFunctions.Utility_DisplayArrayInTable(Fuel_SourceData.Fuel_Scope1Scope3EmissionFactorsTransport_Data(), Table_Fuel_EFs_Transport[[#Headers],[Transport type]], 0)</f>
        <v>51.4</v>
      </c>
      <c r="I18" s="152" cm="1">
        <f t="array" ref="I18">Common_InputFunctions.Utility_DisplayArrayInTable(Fuel_SourceData.Fuel_Scope1Scope3EmissionFactorsTransport_Data(), Table_Fuel_EFs_Transport[[#Headers],[Transport type]], 0)</f>
        <v>7.3</v>
      </c>
      <c r="J18" s="152" cm="1">
        <f t="array" ref="J18">Common_InputFunctions.Utility_DisplayArrayInTable(Fuel_SourceData.Fuel_Scope1Scope3EmissionFactorsTransport_Data(), Table_Fuel_EFs_Transport[[#Headers],[Transport type]], 0)</f>
        <v>0.3</v>
      </c>
      <c r="K18" s="152" cm="1">
        <f t="array" ref="K18">Common_InputFunctions.Utility_DisplayArrayInTable(Fuel_SourceData.Fuel_Scope1Scope3EmissionFactorsTransport_Data(), Table_Fuel_EFs_Transport[[#Headers],[Transport type]], 0)</f>
        <v>59</v>
      </c>
      <c r="L18" s="152" cm="1">
        <f t="array" ref="L18">Common_InputFunctions.Utility_DisplayArrayInTable(Fuel_SourceData.Fuel_Scope1Scope3EmissionFactorsTransport_Data(), Table_Fuel_EFs_Transport[[#Headers],[Transport type]], 0)</f>
        <v>18</v>
      </c>
    </row>
    <row r="19" spans="1:12" ht="20.100000000000001" customHeight="1" x14ac:dyDescent="0.25">
      <c r="A19" s="28" t="str">
        <f>HYPERLINK("#'5.3.1.1-2 Lime CO2'!A1", "5.3.1.1-2 Lime CO2")</f>
        <v>5.3.1.1-2 Lime CO2</v>
      </c>
      <c r="D19" s="152" t="str" cm="1">
        <f t="array" ref="D19">Common_InputFunctions.Utility_DisplayArrayInTable(Fuel_SourceData.Fuel_Scope1Scope3EmissionFactorsTransport_Data(), Table_Fuel_EFs_Transport[[#Headers],[Transport type]], 0)</f>
        <v>Light duty vehicles</v>
      </c>
      <c r="E19" s="152" t="str" cm="1">
        <f t="array" ref="E19">Common_InputFunctions.Utility_DisplayArrayInTable(Fuel_SourceData.Fuel_Scope1Scope3EmissionFactorsTransport_Data(), Table_Fuel_EFs_Transport[[#Headers],[Transport type]], 0)</f>
        <v>Liquefied natural gas</v>
      </c>
      <c r="F19" s="152" cm="1">
        <f t="array" ref="F19">Common_InputFunctions.Utility_DisplayArrayInTable(Fuel_SourceData.Fuel_Scope1Scope3EmissionFactorsTransport_Data(), Table_Fuel_EFs_Transport[[#Headers],[Transport type]], 0)</f>
        <v>25.3</v>
      </c>
      <c r="G19" s="152" t="str" cm="1">
        <f t="array" ref="G19">Common_InputFunctions.Utility_DisplayArrayInTable(Fuel_SourceData.Fuel_Scope1Scope3EmissionFactorsTransport_Data(), Table_Fuel_EFs_Transport[[#Headers],[Transport type]], 0)</f>
        <v>kl</v>
      </c>
      <c r="H19" s="152" cm="1">
        <f t="array" ref="H19">Common_InputFunctions.Utility_DisplayArrayInTable(Fuel_SourceData.Fuel_Scope1Scope3EmissionFactorsTransport_Data(), Table_Fuel_EFs_Transport[[#Headers],[Transport type]], 0)</f>
        <v>51.4</v>
      </c>
      <c r="I19" s="152" cm="1">
        <f t="array" ref="I19">Common_InputFunctions.Utility_DisplayArrayInTable(Fuel_SourceData.Fuel_Scope1Scope3EmissionFactorsTransport_Data(), Table_Fuel_EFs_Transport[[#Headers],[Transport type]], 0)</f>
        <v>7.3</v>
      </c>
      <c r="J19" s="152" cm="1">
        <f t="array" ref="J19">Common_InputFunctions.Utility_DisplayArrayInTable(Fuel_SourceData.Fuel_Scope1Scope3EmissionFactorsTransport_Data(), Table_Fuel_EFs_Transport[[#Headers],[Transport type]], 0)</f>
        <v>0.3</v>
      </c>
      <c r="K19" s="152" cm="1">
        <f t="array" ref="K19">Common_InputFunctions.Utility_DisplayArrayInTable(Fuel_SourceData.Fuel_Scope1Scope3EmissionFactorsTransport_Data(), Table_Fuel_EFs_Transport[[#Headers],[Transport type]], 0)</f>
        <v>59</v>
      </c>
      <c r="L19" s="152" cm="1">
        <f t="array" ref="L19">Common_InputFunctions.Utility_DisplayArrayInTable(Fuel_SourceData.Fuel_Scope1Scope3EmissionFactorsTransport_Data(), Table_Fuel_EFs_Transport[[#Headers],[Transport type]], 0)</f>
        <v>18</v>
      </c>
    </row>
    <row r="20" spans="1:12" ht="20.100000000000001" customHeight="1" x14ac:dyDescent="0.25">
      <c r="A20" s="28" t="str">
        <f>HYPERLINK("#'5.4.1.1-4 Atmos deposition'!A1", "5.4.1.1-4 Atmos. deposition")</f>
        <v>5.4.1.1-4 Atmos. deposition</v>
      </c>
      <c r="D20" s="152" t="str" cm="1">
        <f t="array" ref="D20">Common_InputFunctions.Utility_DisplayArrayInTable(Fuel_SourceData.Fuel_Scope1Scope3EmissionFactorsTransport_Data(), Table_Fuel_EFs_Transport[[#Headers],[Transport type]], 0)</f>
        <v>Heavy duty vehicles</v>
      </c>
      <c r="E20" s="152" t="str" cm="1">
        <f t="array" ref="E20">Common_InputFunctions.Utility_DisplayArrayInTable(Fuel_SourceData.Fuel_Scope1Scope3EmissionFactorsTransport_Data(), Table_Fuel_EFs_Transport[[#Headers],[Transport type]], 0)</f>
        <v>Compressed natural gas</v>
      </c>
      <c r="F20" s="152" cm="1">
        <f t="array" ref="F20">Common_InputFunctions.Utility_DisplayArrayInTable(Fuel_SourceData.Fuel_Scope1Scope3EmissionFactorsTransport_Data(), Table_Fuel_EFs_Transport[[#Headers],[Transport type]], 0)</f>
        <v>3.9300000000000002E-2</v>
      </c>
      <c r="G20" s="152" t="str" cm="1">
        <f t="array" ref="G20">Common_InputFunctions.Utility_DisplayArrayInTable(Fuel_SourceData.Fuel_Scope1Scope3EmissionFactorsTransport_Data(), Table_Fuel_EFs_Transport[[#Headers],[Transport type]], 0)</f>
        <v>m3</v>
      </c>
      <c r="H20" s="152" cm="1">
        <f t="array" ref="H20">Common_InputFunctions.Utility_DisplayArrayInTable(Fuel_SourceData.Fuel_Scope1Scope3EmissionFactorsTransport_Data(), Table_Fuel_EFs_Transport[[#Headers],[Transport type]], 0)</f>
        <v>51.4</v>
      </c>
      <c r="I20" s="152" cm="1">
        <f t="array" ref="I20">Common_InputFunctions.Utility_DisplayArrayInTable(Fuel_SourceData.Fuel_Scope1Scope3EmissionFactorsTransport_Data(), Table_Fuel_EFs_Transport[[#Headers],[Transport type]], 0)</f>
        <v>2.8</v>
      </c>
      <c r="J20" s="152" cm="1">
        <f t="array" ref="J20">Common_InputFunctions.Utility_DisplayArrayInTable(Fuel_SourceData.Fuel_Scope1Scope3EmissionFactorsTransport_Data(), Table_Fuel_EFs_Transport[[#Headers],[Transport type]], 0)</f>
        <v>0.3</v>
      </c>
      <c r="K20" s="152" cm="1">
        <f t="array" ref="K20">Common_InputFunctions.Utility_DisplayArrayInTable(Fuel_SourceData.Fuel_Scope1Scope3EmissionFactorsTransport_Data(), Table_Fuel_EFs_Transport[[#Headers],[Transport type]], 0)</f>
        <v>54.5</v>
      </c>
      <c r="L20" s="152" cm="1">
        <f t="array" ref="L20">Common_InputFunctions.Utility_DisplayArrayInTable(Fuel_SourceData.Fuel_Scope1Scope3EmissionFactorsTransport_Data(), Table_Fuel_EFs_Transport[[#Headers],[Transport type]], 0)</f>
        <v>18</v>
      </c>
    </row>
    <row r="21" spans="1:12" ht="20.100000000000001" customHeight="1" x14ac:dyDescent="0.25">
      <c r="A21" s="28" t="str">
        <f>HYPERLINK("#'5.5.1.1-2 Leaching and runoff'!A1", "5.5.1.1-2 Leaching &amp; runoff")</f>
        <v>5.5.1.1-2 Leaching &amp; runoff</v>
      </c>
      <c r="D21" s="152" t="str" cm="1">
        <f t="array" ref="D21">Common_InputFunctions.Utility_DisplayArrayInTable(Fuel_SourceData.Fuel_Scope1Scope3EmissionFactorsTransport_Data(), Table_Fuel_EFs_Transport[[#Headers],[Transport type]], 0)</f>
        <v>Heavy duty vehicles</v>
      </c>
      <c r="E21" s="152" t="str" cm="1">
        <f t="array" ref="E21">Common_InputFunctions.Utility_DisplayArrayInTable(Fuel_SourceData.Fuel_Scope1Scope3EmissionFactorsTransport_Data(), Table_Fuel_EFs_Transport[[#Headers],[Transport type]], 0)</f>
        <v>Liquefied natural gas</v>
      </c>
      <c r="F21" s="152" cm="1">
        <f t="array" ref="F21">Common_InputFunctions.Utility_DisplayArrayInTable(Fuel_SourceData.Fuel_Scope1Scope3EmissionFactorsTransport_Data(), Table_Fuel_EFs_Transport[[#Headers],[Transport type]], 0)</f>
        <v>25.3</v>
      </c>
      <c r="G21" s="152" t="str" cm="1">
        <f t="array" ref="G21">Common_InputFunctions.Utility_DisplayArrayInTable(Fuel_SourceData.Fuel_Scope1Scope3EmissionFactorsTransport_Data(), Table_Fuel_EFs_Transport[[#Headers],[Transport type]], 0)</f>
        <v>kl</v>
      </c>
      <c r="H21" s="152" cm="1">
        <f t="array" ref="H21">Common_InputFunctions.Utility_DisplayArrayInTable(Fuel_SourceData.Fuel_Scope1Scope3EmissionFactorsTransport_Data(), Table_Fuel_EFs_Transport[[#Headers],[Transport type]], 0)</f>
        <v>51.4</v>
      </c>
      <c r="I21" s="152" cm="1">
        <f t="array" ref="I21">Common_InputFunctions.Utility_DisplayArrayInTable(Fuel_SourceData.Fuel_Scope1Scope3EmissionFactorsTransport_Data(), Table_Fuel_EFs_Transport[[#Headers],[Transport type]], 0)</f>
        <v>2.8</v>
      </c>
      <c r="J21" s="152" cm="1">
        <f t="array" ref="J21">Common_InputFunctions.Utility_DisplayArrayInTable(Fuel_SourceData.Fuel_Scope1Scope3EmissionFactorsTransport_Data(), Table_Fuel_EFs_Transport[[#Headers],[Transport type]], 0)</f>
        <v>0.3</v>
      </c>
      <c r="K21" s="152" cm="1">
        <f t="array" ref="K21">Common_InputFunctions.Utility_DisplayArrayInTable(Fuel_SourceData.Fuel_Scope1Scope3EmissionFactorsTransport_Data(), Table_Fuel_EFs_Transport[[#Headers],[Transport type]], 0)</f>
        <v>54.5</v>
      </c>
      <c r="L21" s="152" cm="1">
        <f t="array" ref="L21">Common_InputFunctions.Utility_DisplayArrayInTable(Fuel_SourceData.Fuel_Scope1Scope3EmissionFactorsTransport_Data(), Table_Fuel_EFs_Transport[[#Headers],[Transport type]], 0)</f>
        <v>18</v>
      </c>
    </row>
    <row r="22" spans="1:12" ht="20.100000000000001" customHeight="1" x14ac:dyDescent="0.25">
      <c r="A22" s="28" t="str">
        <f>HYPERLINK("#'8.1.1.1-2 Transport fuel'!A1", "8.1.1.1-2 Transport fuel")</f>
        <v>8.1.1.1-2 Transport fuel</v>
      </c>
      <c r="D22" s="152" t="str" cm="1">
        <f t="array" ref="D22">Common_InputFunctions.Utility_DisplayArrayInTable(Fuel_SourceData.Fuel_Scope1Scope3EmissionFactorsTransport_Data(), Table_Fuel_EFs_Transport[[#Headers],[Transport type]], 0)</f>
        <v>Heavy duty vehicles</v>
      </c>
      <c r="E22" s="152" t="str" cm="1">
        <f t="array" ref="E22">Common_InputFunctions.Utility_DisplayArrayInTable(Fuel_SourceData.Fuel_Scope1Scope3EmissionFactorsTransport_Data(), Table_Fuel_EFs_Transport[[#Headers],[Transport type]], 0)</f>
        <v>Diesel oil - Euro iv or higher</v>
      </c>
      <c r="F22" s="152" cm="1">
        <f t="array" ref="F22">Common_InputFunctions.Utility_DisplayArrayInTable(Fuel_SourceData.Fuel_Scope1Scope3EmissionFactorsTransport_Data(), Table_Fuel_EFs_Transport[[#Headers],[Transport type]], 0)</f>
        <v>38.6</v>
      </c>
      <c r="G22" s="152" t="str" cm="1">
        <f t="array" ref="G22">Common_InputFunctions.Utility_DisplayArrayInTable(Fuel_SourceData.Fuel_Scope1Scope3EmissionFactorsTransport_Data(), Table_Fuel_EFs_Transport[[#Headers],[Transport type]], 0)</f>
        <v>kl</v>
      </c>
      <c r="H22" s="152" cm="1">
        <f t="array" ref="H22">Common_InputFunctions.Utility_DisplayArrayInTable(Fuel_SourceData.Fuel_Scope1Scope3EmissionFactorsTransport_Data(), Table_Fuel_EFs_Transport[[#Headers],[Transport type]], 0)</f>
        <v>69.900000000000006</v>
      </c>
      <c r="I22" s="152" cm="1">
        <f t="array" ref="I22">Common_InputFunctions.Utility_DisplayArrayInTable(Fuel_SourceData.Fuel_Scope1Scope3EmissionFactorsTransport_Data(), Table_Fuel_EFs_Transport[[#Headers],[Transport type]], 0)</f>
        <v>7.0000000000000007E-2</v>
      </c>
      <c r="J22" s="152" cm="1">
        <f t="array" ref="J22">Common_InputFunctions.Utility_DisplayArrayInTable(Fuel_SourceData.Fuel_Scope1Scope3EmissionFactorsTransport_Data(), Table_Fuel_EFs_Transport[[#Headers],[Transport type]], 0)</f>
        <v>0.4</v>
      </c>
      <c r="K22" s="152" cm="1">
        <f t="array" ref="K22">Common_InputFunctions.Utility_DisplayArrayInTable(Fuel_SourceData.Fuel_Scope1Scope3EmissionFactorsTransport_Data(), Table_Fuel_EFs_Transport[[#Headers],[Transport type]], 0)</f>
        <v>70.37</v>
      </c>
      <c r="L22" s="152" cm="1">
        <f t="array" ref="L22">Common_InputFunctions.Utility_DisplayArrayInTable(Fuel_SourceData.Fuel_Scope1Scope3EmissionFactorsTransport_Data(), Table_Fuel_EFs_Transport[[#Headers],[Transport type]], 0)</f>
        <v>17.3</v>
      </c>
    </row>
    <row r="23" spans="1:12" ht="20.100000000000001" customHeight="1" x14ac:dyDescent="0.25">
      <c r="A23" s="28" t="str">
        <f>HYPERLINK("#'8.2.1.1-2 Stationary fuel'!A1", "8.2.1.1-2 Stationary fuel")</f>
        <v>8.2.1.1-2 Stationary fuel</v>
      </c>
      <c r="D23" s="152" t="str" cm="1">
        <f t="array" ref="D23">Common_InputFunctions.Utility_DisplayArrayInTable(Fuel_SourceData.Fuel_Scope1Scope3EmissionFactorsTransport_Data(), Table_Fuel_EFs_Transport[[#Headers],[Transport type]], 0)</f>
        <v>Heavy duty vehicles</v>
      </c>
      <c r="E23" s="152" t="str" cm="1">
        <f t="array" ref="E23">Common_InputFunctions.Utility_DisplayArrayInTable(Fuel_SourceData.Fuel_Scope1Scope3EmissionFactorsTransport_Data(), Table_Fuel_EFs_Transport[[#Headers],[Transport type]], 0)</f>
        <v>Diesel oil - Euro iii</v>
      </c>
      <c r="F23" s="152" cm="1">
        <f t="array" ref="F23">Common_InputFunctions.Utility_DisplayArrayInTable(Fuel_SourceData.Fuel_Scope1Scope3EmissionFactorsTransport_Data(), Table_Fuel_EFs_Transport[[#Headers],[Transport type]], 0)</f>
        <v>38.6</v>
      </c>
      <c r="G23" s="152" t="str" cm="1">
        <f t="array" ref="G23">Common_InputFunctions.Utility_DisplayArrayInTable(Fuel_SourceData.Fuel_Scope1Scope3EmissionFactorsTransport_Data(), Table_Fuel_EFs_Transport[[#Headers],[Transport type]], 0)</f>
        <v>kl</v>
      </c>
      <c r="H23" s="152" cm="1">
        <f t="array" ref="H23">Common_InputFunctions.Utility_DisplayArrayInTable(Fuel_SourceData.Fuel_Scope1Scope3EmissionFactorsTransport_Data(), Table_Fuel_EFs_Transport[[#Headers],[Transport type]], 0)</f>
        <v>69.900000000000006</v>
      </c>
      <c r="I23" s="152" cm="1">
        <f t="array" ref="I23">Common_InputFunctions.Utility_DisplayArrayInTable(Fuel_SourceData.Fuel_Scope1Scope3EmissionFactorsTransport_Data(), Table_Fuel_EFs_Transport[[#Headers],[Transport type]], 0)</f>
        <v>0.1</v>
      </c>
      <c r="J23" s="152" cm="1">
        <f t="array" ref="J23">Common_InputFunctions.Utility_DisplayArrayInTable(Fuel_SourceData.Fuel_Scope1Scope3EmissionFactorsTransport_Data(), Table_Fuel_EFs_Transport[[#Headers],[Transport type]], 0)</f>
        <v>0.4</v>
      </c>
      <c r="K23" s="152" cm="1">
        <f t="array" ref="K23">Common_InputFunctions.Utility_DisplayArrayInTable(Fuel_SourceData.Fuel_Scope1Scope3EmissionFactorsTransport_Data(), Table_Fuel_EFs_Transport[[#Headers],[Transport type]], 0)</f>
        <v>70.400000000000006</v>
      </c>
      <c r="L23" s="152" cm="1">
        <f t="array" ref="L23">Common_InputFunctions.Utility_DisplayArrayInTable(Fuel_SourceData.Fuel_Scope1Scope3EmissionFactorsTransport_Data(), Table_Fuel_EFs_Transport[[#Headers],[Transport type]], 0)</f>
        <v>17.3</v>
      </c>
    </row>
    <row r="24" spans="1:12" ht="20.100000000000001" customHeight="1" x14ac:dyDescent="0.25">
      <c r="A24"/>
      <c r="D24" s="152" t="str" cm="1">
        <f t="array" ref="D24">Common_InputFunctions.Utility_DisplayArrayInTable(Fuel_SourceData.Fuel_Scope1Scope3EmissionFactorsTransport_Data(), Table_Fuel_EFs_Transport[[#Headers],[Transport type]], 0)</f>
        <v>Heavy duty vehicles</v>
      </c>
      <c r="E24" s="152" t="str" cm="1">
        <f t="array" ref="E24">Common_InputFunctions.Utility_DisplayArrayInTable(Fuel_SourceData.Fuel_Scope1Scope3EmissionFactorsTransport_Data(), Table_Fuel_EFs_Transport[[#Headers],[Transport type]], 0)</f>
        <v>Diesel oil - Euro i</v>
      </c>
      <c r="F24" s="152" cm="1">
        <f t="array" ref="F24">Common_InputFunctions.Utility_DisplayArrayInTable(Fuel_SourceData.Fuel_Scope1Scope3EmissionFactorsTransport_Data(), Table_Fuel_EFs_Transport[[#Headers],[Transport type]], 0)</f>
        <v>38.6</v>
      </c>
      <c r="G24" s="152" t="str" cm="1">
        <f t="array" ref="G24">Common_InputFunctions.Utility_DisplayArrayInTable(Fuel_SourceData.Fuel_Scope1Scope3EmissionFactorsTransport_Data(), Table_Fuel_EFs_Transport[[#Headers],[Transport type]], 0)</f>
        <v>kl</v>
      </c>
      <c r="H24" s="152" cm="1">
        <f t="array" ref="H24">Common_InputFunctions.Utility_DisplayArrayInTable(Fuel_SourceData.Fuel_Scope1Scope3EmissionFactorsTransport_Data(), Table_Fuel_EFs_Transport[[#Headers],[Transport type]], 0)</f>
        <v>69.900000000000006</v>
      </c>
      <c r="I24" s="152" cm="1">
        <f t="array" ref="I24">Common_InputFunctions.Utility_DisplayArrayInTable(Fuel_SourceData.Fuel_Scope1Scope3EmissionFactorsTransport_Data(), Table_Fuel_EFs_Transport[[#Headers],[Transport type]], 0)</f>
        <v>0.2</v>
      </c>
      <c r="J24" s="152" cm="1">
        <f t="array" ref="J24">Common_InputFunctions.Utility_DisplayArrayInTable(Fuel_SourceData.Fuel_Scope1Scope3EmissionFactorsTransport_Data(), Table_Fuel_EFs_Transport[[#Headers],[Transport type]], 0)</f>
        <v>0.4</v>
      </c>
      <c r="K24" s="152" cm="1">
        <f t="array" ref="K24">Common_InputFunctions.Utility_DisplayArrayInTable(Fuel_SourceData.Fuel_Scope1Scope3EmissionFactorsTransport_Data(), Table_Fuel_EFs_Transport[[#Headers],[Transport type]], 0)</f>
        <v>70.5</v>
      </c>
      <c r="L24" s="152" cm="1">
        <f t="array" ref="L24">Common_InputFunctions.Utility_DisplayArrayInTable(Fuel_SourceData.Fuel_Scope1Scope3EmissionFactorsTransport_Data(), Table_Fuel_EFs_Transport[[#Headers],[Transport type]], 0)</f>
        <v>17.3</v>
      </c>
    </row>
    <row r="25" spans="1:12" ht="20.100000000000001" customHeight="1" x14ac:dyDescent="0.25">
      <c r="A25"/>
      <c r="D25" s="152" t="str" cm="1">
        <f t="array" ref="D25">Common_InputFunctions.Utility_DisplayArrayInTable(Fuel_SourceData.Fuel_Scope1Scope3EmissionFactorsTransport_Data(), Table_Fuel_EFs_Transport[[#Headers],[Transport type]], 0)</f>
        <v>Heavy duty vehicles</v>
      </c>
      <c r="E25" s="152" t="str" cm="1">
        <f t="array" ref="E25">Common_InputFunctions.Utility_DisplayArrayInTable(Fuel_SourceData.Fuel_Scope1Scope3EmissionFactorsTransport_Data(), Table_Fuel_EFs_Transport[[#Headers],[Transport type]], 0)</f>
        <v>Renewable diesel – Euro iv or higher</v>
      </c>
      <c r="F25" s="152" cm="1">
        <f t="array" ref="F25">Common_InputFunctions.Utility_DisplayArrayInTable(Fuel_SourceData.Fuel_Scope1Scope3EmissionFactorsTransport_Data(), Table_Fuel_EFs_Transport[[#Headers],[Transport type]], 0)</f>
        <v>38.6</v>
      </c>
      <c r="G25" s="152" t="str" cm="1">
        <f t="array" ref="G25">Common_InputFunctions.Utility_DisplayArrayInTable(Fuel_SourceData.Fuel_Scope1Scope3EmissionFactorsTransport_Data(), Table_Fuel_EFs_Transport[[#Headers],[Transport type]], 0)</f>
        <v>kl</v>
      </c>
      <c r="H25" s="152" cm="1">
        <f t="array" ref="H25">Common_InputFunctions.Utility_DisplayArrayInTable(Fuel_SourceData.Fuel_Scope1Scope3EmissionFactorsTransport_Data(), Table_Fuel_EFs_Transport[[#Headers],[Transport type]], 0)</f>
        <v>0</v>
      </c>
      <c r="I25" s="152" cm="1">
        <f t="array" ref="I25">Common_InputFunctions.Utility_DisplayArrayInTable(Fuel_SourceData.Fuel_Scope1Scope3EmissionFactorsTransport_Data(), Table_Fuel_EFs_Transport[[#Headers],[Transport type]], 0)</f>
        <v>7.0000000000000007E-2</v>
      </c>
      <c r="J25" s="152" cm="1">
        <f t="array" ref="J25">Common_InputFunctions.Utility_DisplayArrayInTable(Fuel_SourceData.Fuel_Scope1Scope3EmissionFactorsTransport_Data(), Table_Fuel_EFs_Transport[[#Headers],[Transport type]], 0)</f>
        <v>0.4</v>
      </c>
      <c r="K25" s="152" cm="1">
        <f t="array" ref="K25">Common_InputFunctions.Utility_DisplayArrayInTable(Fuel_SourceData.Fuel_Scope1Scope3EmissionFactorsTransport_Data(), Table_Fuel_EFs_Transport[[#Headers],[Transport type]], 0)</f>
        <v>0.47</v>
      </c>
      <c r="L25" s="152" t="str" cm="1">
        <f t="array" ref="L25">Common_InputFunctions.Utility_DisplayArrayInTable(Fuel_SourceData.Fuel_Scope1Scope3EmissionFactorsTransport_Data(), Table_Fuel_EFs_Transport[[#Headers],[Transport type]], 0)</f>
        <v>NE</v>
      </c>
    </row>
    <row r="26" spans="1:12" ht="20.100000000000001" customHeight="1" x14ac:dyDescent="0.25">
      <c r="A26" s="66" t="s">
        <v>133</v>
      </c>
      <c r="D26" s="152" t="str" cm="1">
        <f t="array" ref="D26">Common_InputFunctions.Utility_DisplayArrayInTable(Fuel_SourceData.Fuel_Scope1Scope3EmissionFactorsTransport_Data(), Table_Fuel_EFs_Transport[[#Headers],[Transport type]], 0)</f>
        <v>Heavy duty vehicles</v>
      </c>
      <c r="E26" s="152" t="str" cm="1">
        <f t="array" ref="E26">Common_InputFunctions.Utility_DisplayArrayInTable(Fuel_SourceData.Fuel_Scope1Scope3EmissionFactorsTransport_Data(), Table_Fuel_EFs_Transport[[#Headers],[Transport type]], 0)</f>
        <v>Renewable diesel – Euro iii</v>
      </c>
      <c r="F26" s="152" cm="1">
        <f t="array" ref="F26">Common_InputFunctions.Utility_DisplayArrayInTable(Fuel_SourceData.Fuel_Scope1Scope3EmissionFactorsTransport_Data(), Table_Fuel_EFs_Transport[[#Headers],[Transport type]], 0)</f>
        <v>38.6</v>
      </c>
      <c r="G26" s="152" t="str" cm="1">
        <f t="array" ref="G26">Common_InputFunctions.Utility_DisplayArrayInTable(Fuel_SourceData.Fuel_Scope1Scope3EmissionFactorsTransport_Data(), Table_Fuel_EFs_Transport[[#Headers],[Transport type]], 0)</f>
        <v>kl</v>
      </c>
      <c r="H26" s="152" cm="1">
        <f t="array" ref="H26">Common_InputFunctions.Utility_DisplayArrayInTable(Fuel_SourceData.Fuel_Scope1Scope3EmissionFactorsTransport_Data(), Table_Fuel_EFs_Transport[[#Headers],[Transport type]], 0)</f>
        <v>0</v>
      </c>
      <c r="I26" s="152" cm="1">
        <f t="array" ref="I26">Common_InputFunctions.Utility_DisplayArrayInTable(Fuel_SourceData.Fuel_Scope1Scope3EmissionFactorsTransport_Data(), Table_Fuel_EFs_Transport[[#Headers],[Transport type]], 0)</f>
        <v>0.1</v>
      </c>
      <c r="J26" s="152" cm="1">
        <f t="array" ref="J26">Common_InputFunctions.Utility_DisplayArrayInTable(Fuel_SourceData.Fuel_Scope1Scope3EmissionFactorsTransport_Data(), Table_Fuel_EFs_Transport[[#Headers],[Transport type]], 0)</f>
        <v>0.4</v>
      </c>
      <c r="K26" s="152" cm="1">
        <f t="array" ref="K26">Common_InputFunctions.Utility_DisplayArrayInTable(Fuel_SourceData.Fuel_Scope1Scope3EmissionFactorsTransport_Data(), Table_Fuel_EFs_Transport[[#Headers],[Transport type]], 0)</f>
        <v>0.5</v>
      </c>
      <c r="L26" s="152" t="str" cm="1">
        <f t="array" ref="L26">Common_InputFunctions.Utility_DisplayArrayInTable(Fuel_SourceData.Fuel_Scope1Scope3EmissionFactorsTransport_Data(), Table_Fuel_EFs_Transport[[#Headers],[Transport type]], 0)</f>
        <v>NE</v>
      </c>
    </row>
    <row r="27" spans="1:12" ht="20.100000000000001" customHeight="1" x14ac:dyDescent="0.25">
      <c r="A27" s="28" t="str">
        <f>HYPERLINK("#'Constants - Fertiliser'!A1", "Constants - Fertiliser")</f>
        <v>Constants - Fertiliser</v>
      </c>
      <c r="D27" s="152" t="str" cm="1">
        <f t="array" ref="D27">Common_InputFunctions.Utility_DisplayArrayInTable(Fuel_SourceData.Fuel_Scope1Scope3EmissionFactorsTransport_Data(), Table_Fuel_EFs_Transport[[#Headers],[Transport type]], 0)</f>
        <v>Heavy duty vehicles</v>
      </c>
      <c r="E27" s="152" t="str" cm="1">
        <f t="array" ref="E27">Common_InputFunctions.Utility_DisplayArrayInTable(Fuel_SourceData.Fuel_Scope1Scope3EmissionFactorsTransport_Data(), Table_Fuel_EFs_Transport[[#Headers],[Transport type]], 0)</f>
        <v>Renewable diesel – Euro i</v>
      </c>
      <c r="F27" s="152" cm="1">
        <f t="array" ref="F27">Common_InputFunctions.Utility_DisplayArrayInTable(Fuel_SourceData.Fuel_Scope1Scope3EmissionFactorsTransport_Data(), Table_Fuel_EFs_Transport[[#Headers],[Transport type]], 0)</f>
        <v>38.6</v>
      </c>
      <c r="G27" s="152" t="str" cm="1">
        <f t="array" ref="G27">Common_InputFunctions.Utility_DisplayArrayInTable(Fuel_SourceData.Fuel_Scope1Scope3EmissionFactorsTransport_Data(), Table_Fuel_EFs_Transport[[#Headers],[Transport type]], 0)</f>
        <v>kl</v>
      </c>
      <c r="H27" s="152" cm="1">
        <f t="array" ref="H27">Common_InputFunctions.Utility_DisplayArrayInTable(Fuel_SourceData.Fuel_Scope1Scope3EmissionFactorsTransport_Data(), Table_Fuel_EFs_Transport[[#Headers],[Transport type]], 0)</f>
        <v>0</v>
      </c>
      <c r="I27" s="152" cm="1">
        <f t="array" ref="I27">Common_InputFunctions.Utility_DisplayArrayInTable(Fuel_SourceData.Fuel_Scope1Scope3EmissionFactorsTransport_Data(), Table_Fuel_EFs_Transport[[#Headers],[Transport type]], 0)</f>
        <v>0.2</v>
      </c>
      <c r="J27" s="152" cm="1">
        <f t="array" ref="J27">Common_InputFunctions.Utility_DisplayArrayInTable(Fuel_SourceData.Fuel_Scope1Scope3EmissionFactorsTransport_Data(), Table_Fuel_EFs_Transport[[#Headers],[Transport type]], 0)</f>
        <v>0.4</v>
      </c>
      <c r="K27" s="152" cm="1">
        <f t="array" ref="K27">Common_InputFunctions.Utility_DisplayArrayInTable(Fuel_SourceData.Fuel_Scope1Scope3EmissionFactorsTransport_Data(), Table_Fuel_EFs_Transport[[#Headers],[Transport type]], 0)</f>
        <v>0.6</v>
      </c>
      <c r="L27" s="152" t="str" cm="1">
        <f t="array" ref="L27">Common_InputFunctions.Utility_DisplayArrayInTable(Fuel_SourceData.Fuel_Scope1Scope3EmissionFactorsTransport_Data(), Table_Fuel_EFs_Transport[[#Headers],[Transport type]], 0)</f>
        <v>NE</v>
      </c>
    </row>
    <row r="28" spans="1:12" ht="20.100000000000001" customHeight="1" x14ac:dyDescent="0.25">
      <c r="A28" s="118" t="str">
        <f>HYPERLINK("#'Constants - Fuel'!A1", "Constants - Fuel")</f>
        <v>Constants - Fuel</v>
      </c>
      <c r="D28" s="152" t="str" cm="1">
        <f t="array" ref="D28">Common_InputFunctions.Utility_DisplayArrayInTable(Fuel_SourceData.Fuel_Scope1Scope3EmissionFactorsTransport_Data(), Table_Fuel_EFs_Transport[[#Headers],[Transport type]], 0)</f>
        <v>Aviation</v>
      </c>
      <c r="E28" s="152" t="str" cm="1">
        <f t="array" ref="E28">Common_InputFunctions.Utility_DisplayArrayInTable(Fuel_SourceData.Fuel_Scope1Scope3EmissionFactorsTransport_Data(), Table_Fuel_EFs_Transport[[#Headers],[Transport type]], 0)</f>
        <v>Gasoline for use as fuel in an aircraft</v>
      </c>
      <c r="F28" s="152" cm="1">
        <f t="array" ref="F28">Common_InputFunctions.Utility_DisplayArrayInTable(Fuel_SourceData.Fuel_Scope1Scope3EmissionFactorsTransport_Data(), Table_Fuel_EFs_Transport[[#Headers],[Transport type]], 0)</f>
        <v>33.1</v>
      </c>
      <c r="G28" s="152" t="str" cm="1">
        <f t="array" ref="G28">Common_InputFunctions.Utility_DisplayArrayInTable(Fuel_SourceData.Fuel_Scope1Scope3EmissionFactorsTransport_Data(), Table_Fuel_EFs_Transport[[#Headers],[Transport type]], 0)</f>
        <v>kl</v>
      </c>
      <c r="H28" s="152" cm="1">
        <f t="array" ref="H28">Common_InputFunctions.Utility_DisplayArrayInTable(Fuel_SourceData.Fuel_Scope1Scope3EmissionFactorsTransport_Data(), Table_Fuel_EFs_Transport[[#Headers],[Transport type]], 0)</f>
        <v>67</v>
      </c>
      <c r="I28" s="152" cm="1">
        <f t="array" ref="I28">Common_InputFunctions.Utility_DisplayArrayInTable(Fuel_SourceData.Fuel_Scope1Scope3EmissionFactorsTransport_Data(), Table_Fuel_EFs_Transport[[#Headers],[Transport type]], 0)</f>
        <v>0.06</v>
      </c>
      <c r="J28" s="152" cm="1">
        <f t="array" ref="J28">Common_InputFunctions.Utility_DisplayArrayInTable(Fuel_SourceData.Fuel_Scope1Scope3EmissionFactorsTransport_Data(), Table_Fuel_EFs_Transport[[#Headers],[Transport type]], 0)</f>
        <v>0.6</v>
      </c>
      <c r="K28" s="152" cm="1">
        <f t="array" ref="K28">Common_InputFunctions.Utility_DisplayArrayInTable(Fuel_SourceData.Fuel_Scope1Scope3EmissionFactorsTransport_Data(), Table_Fuel_EFs_Transport[[#Headers],[Transport type]], 0)</f>
        <v>67.66</v>
      </c>
      <c r="L28" s="152" cm="1">
        <f t="array" ref="L28">Common_InputFunctions.Utility_DisplayArrayInTable(Fuel_SourceData.Fuel_Scope1Scope3EmissionFactorsTransport_Data(), Table_Fuel_EFs_Transport[[#Headers],[Transport type]], 0)</f>
        <v>18</v>
      </c>
    </row>
    <row r="29" spans="1:12" ht="20.100000000000001" customHeight="1" x14ac:dyDescent="0.25">
      <c r="A29" s="28" t="str">
        <f>HYPERLINK("#'Constants - Common'!A1", "Constants - Common")</f>
        <v>Constants - Common</v>
      </c>
      <c r="D29" s="152" t="str" cm="1">
        <f t="array" ref="D29">Common_InputFunctions.Utility_DisplayArrayInTable(Fuel_SourceData.Fuel_Scope1Scope3EmissionFactorsTransport_Data(), Table_Fuel_EFs_Transport[[#Headers],[Transport type]], 0)</f>
        <v>Aviation</v>
      </c>
      <c r="E29" s="152" t="str" cm="1">
        <f t="array" ref="E29">Common_InputFunctions.Utility_DisplayArrayInTable(Fuel_SourceData.Fuel_Scope1Scope3EmissionFactorsTransport_Data(), Table_Fuel_EFs_Transport[[#Headers],[Transport type]], 0)</f>
        <v>Kerosene for use as fuel in an aircraft</v>
      </c>
      <c r="F29" s="152" cm="1">
        <f t="array" ref="F29">Common_InputFunctions.Utility_DisplayArrayInTable(Fuel_SourceData.Fuel_Scope1Scope3EmissionFactorsTransport_Data(), Table_Fuel_EFs_Transport[[#Headers],[Transport type]], 0)</f>
        <v>36.799999999999997</v>
      </c>
      <c r="G29" s="152" t="str" cm="1">
        <f t="array" ref="G29">Common_InputFunctions.Utility_DisplayArrayInTable(Fuel_SourceData.Fuel_Scope1Scope3EmissionFactorsTransport_Data(), Table_Fuel_EFs_Transport[[#Headers],[Transport type]], 0)</f>
        <v>kl</v>
      </c>
      <c r="H29" s="152" cm="1">
        <f t="array" ref="H29">Common_InputFunctions.Utility_DisplayArrayInTable(Fuel_SourceData.Fuel_Scope1Scope3EmissionFactorsTransport_Data(), Table_Fuel_EFs_Transport[[#Headers],[Transport type]], 0)</f>
        <v>69.599999999999994</v>
      </c>
      <c r="I29" s="152" cm="1">
        <f t="array" ref="I29">Common_InputFunctions.Utility_DisplayArrayInTable(Fuel_SourceData.Fuel_Scope1Scope3EmissionFactorsTransport_Data(), Table_Fuel_EFs_Transport[[#Headers],[Transport type]], 0)</f>
        <v>0.01</v>
      </c>
      <c r="J29" s="152" cm="1">
        <f t="array" ref="J29">Common_InputFunctions.Utility_DisplayArrayInTable(Fuel_SourceData.Fuel_Scope1Scope3EmissionFactorsTransport_Data(), Table_Fuel_EFs_Transport[[#Headers],[Transport type]], 0)</f>
        <v>0.6</v>
      </c>
      <c r="K29" s="152" cm="1">
        <f t="array" ref="K29">Common_InputFunctions.Utility_DisplayArrayInTable(Fuel_SourceData.Fuel_Scope1Scope3EmissionFactorsTransport_Data(), Table_Fuel_EFs_Transport[[#Headers],[Transport type]], 0)</f>
        <v>70.209999999999994</v>
      </c>
      <c r="L29" s="152" cm="1">
        <f t="array" ref="L29">Common_InputFunctions.Utility_DisplayArrayInTable(Fuel_SourceData.Fuel_Scope1Scope3EmissionFactorsTransport_Data(), Table_Fuel_EFs_Transport[[#Headers],[Transport type]], 0)</f>
        <v>18</v>
      </c>
    </row>
    <row r="30" spans="1:12" ht="20.100000000000001" customHeight="1" x14ac:dyDescent="0.25">
      <c r="A30"/>
      <c r="D30" s="152" t="str" cm="1">
        <f t="array" ref="D30">Common_InputFunctions.Utility_DisplayArrayInTable(Fuel_SourceData.Fuel_Scope1Scope3EmissionFactorsTransport_Data(), Table_Fuel_EFs_Transport[[#Headers],[Transport type]], 0)</f>
        <v>Aviation</v>
      </c>
      <c r="E30" s="152" t="str" cm="1">
        <f t="array" ref="E30">Common_InputFunctions.Utility_DisplayArrayInTable(Fuel_SourceData.Fuel_Scope1Scope3EmissionFactorsTransport_Data(), Table_Fuel_EFs_Transport[[#Headers],[Transport type]], 0)</f>
        <v>Renewable aviation kerosene</v>
      </c>
      <c r="F30" s="152" cm="1">
        <f t="array" ref="F30">Common_InputFunctions.Utility_DisplayArrayInTable(Fuel_SourceData.Fuel_Scope1Scope3EmissionFactorsTransport_Data(), Table_Fuel_EFs_Transport[[#Headers],[Transport type]], 0)</f>
        <v>36.799999999999997</v>
      </c>
      <c r="G30" s="152" t="str" cm="1">
        <f t="array" ref="G30">Common_InputFunctions.Utility_DisplayArrayInTable(Fuel_SourceData.Fuel_Scope1Scope3EmissionFactorsTransport_Data(), Table_Fuel_EFs_Transport[[#Headers],[Transport type]], 0)</f>
        <v>kl</v>
      </c>
      <c r="H30" s="152" cm="1">
        <f t="array" ref="H30">Common_InputFunctions.Utility_DisplayArrayInTable(Fuel_SourceData.Fuel_Scope1Scope3EmissionFactorsTransport_Data(), Table_Fuel_EFs_Transport[[#Headers],[Transport type]], 0)</f>
        <v>0</v>
      </c>
      <c r="I30" s="152" cm="1">
        <f t="array" ref="I30">Common_InputFunctions.Utility_DisplayArrayInTable(Fuel_SourceData.Fuel_Scope1Scope3EmissionFactorsTransport_Data(), Table_Fuel_EFs_Transport[[#Headers],[Transport type]], 0)</f>
        <v>0.01</v>
      </c>
      <c r="J30" s="152" cm="1">
        <f t="array" ref="J30">Common_InputFunctions.Utility_DisplayArrayInTable(Fuel_SourceData.Fuel_Scope1Scope3EmissionFactorsTransport_Data(), Table_Fuel_EFs_Transport[[#Headers],[Transport type]], 0)</f>
        <v>0.6</v>
      </c>
      <c r="K30" s="152" cm="1">
        <f t="array" ref="K30">Common_InputFunctions.Utility_DisplayArrayInTable(Fuel_SourceData.Fuel_Scope1Scope3EmissionFactorsTransport_Data(), Table_Fuel_EFs_Transport[[#Headers],[Transport type]], 0)</f>
        <v>0.61</v>
      </c>
      <c r="L30" s="152"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2" t="str" cm="1">
        <f t="array" ref="D31">Common_InputFunctions.Utility_DisplayArrayInTable(Fuel_SourceData.Fuel_Scope1Scope3EmissionFactorsTransport_Data(), Table_Fuel_EFs_Transport[[#Headers],[Transport type]], 0)</f>
        <v>Vessels</v>
      </c>
      <c r="E31" s="152" t="str" cm="1">
        <f t="array" ref="E31">Common_InputFunctions.Utility_DisplayArrayInTable(Fuel_SourceData.Fuel_Scope1Scope3EmissionFactorsTransport_Data(), Table_Fuel_EFs_Transport[[#Headers],[Transport type]], 0)</f>
        <v>Gasoline</v>
      </c>
      <c r="F31" s="152" cm="1">
        <f t="array" ref="F31">Common_InputFunctions.Utility_DisplayArrayInTable(Fuel_SourceData.Fuel_Scope1Scope3EmissionFactorsTransport_Data(), Table_Fuel_EFs_Transport[[#Headers],[Transport type]], 0)</f>
        <v>34.200000000000003</v>
      </c>
      <c r="G31" s="152" t="str" cm="1">
        <f t="array" ref="G31">Common_InputFunctions.Utility_DisplayArrayInTable(Fuel_SourceData.Fuel_Scope1Scope3EmissionFactorsTransport_Data(), Table_Fuel_EFs_Transport[[#Headers],[Transport type]], 0)</f>
        <v>kL</v>
      </c>
      <c r="H31" s="152" cm="1">
        <f t="array" ref="H31">Common_InputFunctions.Utility_DisplayArrayInTable(Fuel_SourceData.Fuel_Scope1Scope3EmissionFactorsTransport_Data(), Table_Fuel_EFs_Transport[[#Headers],[Transport type]], 0)</f>
        <v>67.400000000000006</v>
      </c>
      <c r="I31" s="152" cm="1">
        <f t="array" ref="I31">Common_InputFunctions.Utility_DisplayArrayInTable(Fuel_SourceData.Fuel_Scope1Scope3EmissionFactorsTransport_Data(), Table_Fuel_EFs_Transport[[#Headers],[Transport type]], 0)</f>
        <v>10.1</v>
      </c>
      <c r="J31" s="152" cm="1">
        <f t="array" ref="J31">Common_InputFunctions.Utility_DisplayArrayInTable(Fuel_SourceData.Fuel_Scope1Scope3EmissionFactorsTransport_Data(), Table_Fuel_EFs_Transport[[#Headers],[Transport type]], 0)</f>
        <v>0.3</v>
      </c>
      <c r="K31" s="152" t="str" cm="1">
        <f t="array" ref="K31">Common_InputFunctions.Utility_DisplayArrayInTable(Fuel_SourceData.Fuel_Scope1Scope3EmissionFactorsTransport_Data(), Table_Fuel_EFs_Transport[[#Headers],[Transport type]], 0)</f>
        <v/>
      </c>
      <c r="L31" s="152" cm="1">
        <f t="array" ref="L31">Common_InputFunctions.Utility_DisplayArrayInTable(Fuel_SourceData.Fuel_Scope1Scope3EmissionFactorsTransport_Data(), Table_Fuel_EFs_Transport[[#Headers],[Transport type]], 0)</f>
        <v>17.2</v>
      </c>
    </row>
    <row r="32" spans="1:12" ht="20.100000000000001" customHeight="1" x14ac:dyDescent="0.25">
      <c r="A32"/>
      <c r="D32" s="153" t="str" cm="1">
        <f t="array" ref="D32">Common_InputFunctions.Utility_DisplayArrayInTable(Fuel_SourceData.Fuel_Scope1Scope3EmissionFactorsTransport_Data(), Table_Fuel_EFs_Transport[[#Headers],[Transport type]], 0)</f>
        <v>Vessels</v>
      </c>
      <c r="E32" s="153" t="str" cm="1">
        <f t="array" ref="E32">Common_InputFunctions.Utility_DisplayArrayInTable(Fuel_SourceData.Fuel_Scope1Scope3EmissionFactorsTransport_Data(), Table_Fuel_EFs_Transport[[#Headers],[Transport type]], 0)</f>
        <v>Diesel oil</v>
      </c>
      <c r="F32" s="153" cm="1">
        <f t="array" ref="F32">Common_InputFunctions.Utility_DisplayArrayInTable(Fuel_SourceData.Fuel_Scope1Scope3EmissionFactorsTransport_Data(), Table_Fuel_EFs_Transport[[#Headers],[Transport type]], 0)</f>
        <v>38.6</v>
      </c>
      <c r="G32" s="153" t="str" cm="1">
        <f t="array" ref="G32">Common_InputFunctions.Utility_DisplayArrayInTable(Fuel_SourceData.Fuel_Scope1Scope3EmissionFactorsTransport_Data(), Table_Fuel_EFs_Transport[[#Headers],[Transport type]], 0)</f>
        <v>kL</v>
      </c>
      <c r="H32" s="153" cm="1">
        <f t="array" ref="H32">Common_InputFunctions.Utility_DisplayArrayInTable(Fuel_SourceData.Fuel_Scope1Scope3EmissionFactorsTransport_Data(), Table_Fuel_EFs_Transport[[#Headers],[Transport type]], 0)</f>
        <v>69.900000000000006</v>
      </c>
      <c r="I32" s="153" cm="1">
        <f t="array" ref="I32">Common_InputFunctions.Utility_DisplayArrayInTable(Fuel_SourceData.Fuel_Scope1Scope3EmissionFactorsTransport_Data(), Table_Fuel_EFs_Transport[[#Headers],[Transport type]], 0)</f>
        <v>0.2</v>
      </c>
      <c r="J32" s="153" cm="1">
        <f t="array" ref="J32">Common_InputFunctions.Utility_DisplayArrayInTable(Fuel_SourceData.Fuel_Scope1Scope3EmissionFactorsTransport_Data(), Table_Fuel_EFs_Transport[[#Headers],[Transport type]], 0)</f>
        <v>0.5</v>
      </c>
      <c r="K32" s="153" t="str" cm="1">
        <f t="array" ref="K32">Common_InputFunctions.Utility_DisplayArrayInTable(Fuel_SourceData.Fuel_Scope1Scope3EmissionFactorsTransport_Data(), Table_Fuel_EFs_Transport[[#Headers],[Transport type]], 0)</f>
        <v/>
      </c>
      <c r="L32" s="153" cm="1">
        <f t="array" ref="L32">Common_InputFunctions.Utility_DisplayArrayInTable(Fuel_SourceData.Fuel_Scope1Scope3EmissionFactorsTransport_Data(), Table_Fuel_EFs_Transport[[#Headers],[Transport type]], 0)</f>
        <v>17.3</v>
      </c>
    </row>
    <row r="33" spans="1:12" ht="20.100000000000001" customHeight="1" x14ac:dyDescent="0.25">
      <c r="A33"/>
      <c r="D33" s="153" t="str" cm="1">
        <f t="array" ref="D33">Common_InputFunctions.Utility_DisplayArrayInTable(Fuel_SourceData.Fuel_Scope1Scope3EmissionFactorsTransport_Data(), Table_Fuel_EFs_Transport[[#Headers],[Transport type]], 0)</f>
        <v>Vessels</v>
      </c>
      <c r="E33" s="153" t="str" cm="1">
        <f t="array" ref="E33">Common_InputFunctions.Utility_DisplayArrayInTable(Fuel_SourceData.Fuel_Scope1Scope3EmissionFactorsTransport_Data(), Table_Fuel_EFs_Transport[[#Headers],[Transport type]], 0)</f>
        <v>Fuel Oil</v>
      </c>
      <c r="F33" s="153" cm="1">
        <f t="array" ref="F33">Common_InputFunctions.Utility_DisplayArrayInTable(Fuel_SourceData.Fuel_Scope1Scope3EmissionFactorsTransport_Data(), Table_Fuel_EFs_Transport[[#Headers],[Transport type]], 0)</f>
        <v>39.700000000000003</v>
      </c>
      <c r="G33" s="153" t="str" cm="1">
        <f t="array" ref="G33">Common_InputFunctions.Utility_DisplayArrayInTable(Fuel_SourceData.Fuel_Scope1Scope3EmissionFactorsTransport_Data(), Table_Fuel_EFs_Transport[[#Headers],[Transport type]], 0)</f>
        <v>kL</v>
      </c>
      <c r="H33" s="153" cm="1">
        <f t="array" ref="H33">Common_InputFunctions.Utility_DisplayArrayInTable(Fuel_SourceData.Fuel_Scope1Scope3EmissionFactorsTransport_Data(), Table_Fuel_EFs_Transport[[#Headers],[Transport type]], 0)</f>
        <v>73.599999999999994</v>
      </c>
      <c r="I33" s="153" cm="1">
        <f t="array" ref="I33">Common_InputFunctions.Utility_DisplayArrayInTable(Fuel_SourceData.Fuel_Scope1Scope3EmissionFactorsTransport_Data(), Table_Fuel_EFs_Transport[[#Headers],[Transport type]], 0)</f>
        <v>0.2</v>
      </c>
      <c r="J33" s="153" cm="1">
        <f t="array" ref="J33">Common_InputFunctions.Utility_DisplayArrayInTable(Fuel_SourceData.Fuel_Scope1Scope3EmissionFactorsTransport_Data(), Table_Fuel_EFs_Transport[[#Headers],[Transport type]], 0)</f>
        <v>0.5</v>
      </c>
      <c r="K33" s="153" t="str" cm="1">
        <f t="array" ref="K33">Common_InputFunctions.Utility_DisplayArrayInTable(Fuel_SourceData.Fuel_Scope1Scope3EmissionFactorsTransport_Data(), Table_Fuel_EFs_Transport[[#Headers],[Transport type]], 0)</f>
        <v/>
      </c>
      <c r="L33" s="153" cm="1">
        <f t="array" ref="L33">Common_InputFunctions.Utility_DisplayArrayInTable(Fuel_SourceData.Fuel_Scope1Scope3EmissionFactorsTransport_Data(), Table_Fuel_EFs_Transport[[#Headers],[Transport type]], 0)</f>
        <v>18</v>
      </c>
    </row>
    <row r="34" spans="1:12" ht="20.100000000000001" customHeight="1" x14ac:dyDescent="0.25">
      <c r="A34"/>
      <c r="D34" s="153" t="str" cm="1">
        <f t="array" ref="D34">Common_InputFunctions.Utility_DisplayArrayInTable(Fuel_SourceData.Fuel_Scope1Scope3EmissionFactorsTransport_Data(), Table_Fuel_EFs_Transport[[#Headers],[Transport type]], 0)</f>
        <v>Off-road Agriculture and forestry equipment</v>
      </c>
      <c r="E34" s="153" t="str" cm="1">
        <f t="array" ref="E34">Common_InputFunctions.Utility_DisplayArrayInTable(Fuel_SourceData.Fuel_Scope1Scope3EmissionFactorsTransport_Data(), Table_Fuel_EFs_Transport[[#Headers],[Transport type]], 0)</f>
        <v>Diesel oil</v>
      </c>
      <c r="F34" s="153" cm="1">
        <f t="array" ref="F34">Common_InputFunctions.Utility_DisplayArrayInTable(Fuel_SourceData.Fuel_Scope1Scope3EmissionFactorsTransport_Data(), Table_Fuel_EFs_Transport[[#Headers],[Transport type]], 0)</f>
        <v>38.6</v>
      </c>
      <c r="G34" s="153" t="str" cm="1">
        <f t="array" ref="G34">Common_InputFunctions.Utility_DisplayArrayInTable(Fuel_SourceData.Fuel_Scope1Scope3EmissionFactorsTransport_Data(), Table_Fuel_EFs_Transport[[#Headers],[Transport type]], 0)</f>
        <v>kL</v>
      </c>
      <c r="H34" s="153" cm="1">
        <f t="array" ref="H34">Common_InputFunctions.Utility_DisplayArrayInTable(Fuel_SourceData.Fuel_Scope1Scope3EmissionFactorsTransport_Data(), Table_Fuel_EFs_Transport[[#Headers],[Transport type]], 0)</f>
        <v>69.900000000000006</v>
      </c>
      <c r="I34" s="153" cm="1">
        <f t="array" ref="I34">Common_InputFunctions.Utility_DisplayArrayInTable(Fuel_SourceData.Fuel_Scope1Scope3EmissionFactorsTransport_Data(), Table_Fuel_EFs_Transport[[#Headers],[Transport type]], 0)</f>
        <v>0.3</v>
      </c>
      <c r="J34" s="153" cm="1">
        <f t="array" ref="J34">Common_InputFunctions.Utility_DisplayArrayInTable(Fuel_SourceData.Fuel_Scope1Scope3EmissionFactorsTransport_Data(), Table_Fuel_EFs_Transport[[#Headers],[Transport type]], 0)</f>
        <v>0.5</v>
      </c>
      <c r="K34" s="153" t="str" cm="1">
        <f t="array" ref="K34">Common_InputFunctions.Utility_DisplayArrayInTable(Fuel_SourceData.Fuel_Scope1Scope3EmissionFactorsTransport_Data(), Table_Fuel_EFs_Transport[[#Headers],[Transport type]], 0)</f>
        <v/>
      </c>
      <c r="L34" s="153"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354</v>
      </c>
      <c r="E39" s="17" t="s">
        <v>355</v>
      </c>
      <c r="F39" s="17" t="s">
        <v>356</v>
      </c>
      <c r="G39" s="17" t="s">
        <v>357</v>
      </c>
      <c r="H39" s="17" t="s">
        <v>358</v>
      </c>
      <c r="I39" s="17" t="s">
        <v>359</v>
      </c>
      <c r="J39" s="17" t="s">
        <v>360</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4"/>
      <c r="F49" s="104"/>
      <c r="G49" s="104"/>
      <c r="H49" s="104"/>
      <c r="I49" s="104"/>
      <c r="J49" s="104"/>
      <c r="K49" s="104"/>
      <c r="L49" s="104"/>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4"/>
      <c r="F50" s="104"/>
      <c r="G50" s="104"/>
      <c r="H50" s="104"/>
      <c r="I50" s="104"/>
      <c r="J50" s="104"/>
      <c r="K50" s="104"/>
      <c r="L50" s="104"/>
    </row>
    <row r="51" spans="1:12" ht="20.100000000000001" customHeight="1" x14ac:dyDescent="0.25">
      <c r="A51"/>
      <c r="D51" s="18" t="str" cm="1">
        <f t="array" ref="D51">Fuel_SourceData.Fuel_Scope1Scope3EmissionFactorsStationaryLiquid_Source()</f>
        <v>Australian National Greenhouse Accounts Factors 2025 - Table 8</v>
      </c>
      <c r="E51" s="104"/>
      <c r="F51" s="104"/>
      <c r="G51" s="104"/>
      <c r="H51" s="104"/>
      <c r="I51" s="104"/>
      <c r="J51" s="104"/>
      <c r="K51" s="104"/>
      <c r="L51" s="104"/>
    </row>
    <row r="52" spans="1:12" ht="20.100000000000001" customHeight="1" x14ac:dyDescent="0.25">
      <c r="A52"/>
      <c r="D52" s="19" t="str" cm="1">
        <f t="array" ref="D52">"⚠️" &amp; Fuel_SourceData.Fuel_Scope1Scope3EmissionFactorsStationaryLiquid_Variation()</f>
        <v>⚠️VARIATION OF SOURCE DATA: 'NE' values returned as zero for calculations.</v>
      </c>
      <c r="E52" s="104"/>
      <c r="F52" s="104"/>
      <c r="G52" s="104"/>
      <c r="H52" s="104"/>
      <c r="I52" s="104"/>
      <c r="J52" s="104"/>
      <c r="K52" s="104"/>
      <c r="L52" s="104"/>
    </row>
    <row r="53" spans="1:12" ht="20.100000000000001" customHeight="1" x14ac:dyDescent="0.25">
      <c r="A53"/>
      <c r="D53" s="154" t="s">
        <v>346</v>
      </c>
      <c r="E53" s="151" t="s">
        <v>347</v>
      </c>
      <c r="F53" s="154" t="s">
        <v>348</v>
      </c>
      <c r="G53" s="151" t="s">
        <v>349</v>
      </c>
      <c r="H53" s="151" t="s">
        <v>350</v>
      </c>
      <c r="I53" s="151" t="s">
        <v>351</v>
      </c>
      <c r="J53" s="151" t="s">
        <v>352</v>
      </c>
      <c r="K53" s="151" t="s">
        <v>353</v>
      </c>
      <c r="L53" s="104"/>
    </row>
    <row r="54" spans="1:12" ht="20.100000000000001" customHeight="1" x14ac:dyDescent="0.25">
      <c r="A54"/>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04"/>
    </row>
    <row r="55" spans="1:12" ht="20.100000000000001" customHeight="1" x14ac:dyDescent="0.25">
      <c r="A55"/>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04"/>
    </row>
    <row r="56" spans="1:12" ht="20.100000000000001" customHeight="1" x14ac:dyDescent="0.25">
      <c r="A56"/>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04"/>
    </row>
    <row r="57" spans="1:12" ht="20.100000000000001" customHeight="1" x14ac:dyDescent="0.25">
      <c r="A57"/>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04"/>
    </row>
    <row r="58" spans="1:12" ht="20.100000000000001" customHeight="1" x14ac:dyDescent="0.25">
      <c r="A58"/>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04"/>
    </row>
    <row r="59" spans="1:12" ht="20.100000000000001" customHeight="1" x14ac:dyDescent="0.25">
      <c r="A59"/>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04"/>
    </row>
    <row r="60" spans="1:12" ht="20.100000000000001" customHeight="1" x14ac:dyDescent="0.25">
      <c r="A60"/>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04"/>
    </row>
    <row r="61" spans="1:12" ht="20.100000000000001" customHeight="1" x14ac:dyDescent="0.25">
      <c r="A61"/>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04"/>
    </row>
    <row r="62" spans="1:12" ht="20.100000000000001" customHeight="1" x14ac:dyDescent="0.25">
      <c r="A6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04"/>
    </row>
    <row r="63" spans="1:12" ht="20.100000000000001" customHeight="1" x14ac:dyDescent="0.25">
      <c r="A63"/>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04"/>
    </row>
    <row r="64" spans="1:12" ht="20.100000000000001" customHeight="1" x14ac:dyDescent="0.25">
      <c r="A64"/>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04"/>
    </row>
    <row r="65" spans="1:13" ht="20.100000000000001" customHeight="1" x14ac:dyDescent="0.25">
      <c r="A65"/>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04"/>
    </row>
    <row r="66" spans="1:13" ht="20.100000000000001" customHeight="1" x14ac:dyDescent="0.25">
      <c r="A66"/>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04"/>
    </row>
    <row r="67" spans="1:13" ht="20.100000000000001" customHeight="1" x14ac:dyDescent="0.25">
      <c r="A67"/>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04"/>
    </row>
    <row r="68" spans="1:13" ht="20.100000000000001" customHeight="1" x14ac:dyDescent="0.25">
      <c r="A68"/>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04"/>
    </row>
    <row r="69" spans="1:13" ht="20.100000000000001" customHeight="1" x14ac:dyDescent="0.25">
      <c r="A69"/>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04"/>
    </row>
    <row r="70" spans="1:13" ht="20.100000000000001" customHeight="1" x14ac:dyDescent="0.25">
      <c r="A70"/>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04"/>
    </row>
    <row r="71" spans="1:13" ht="20.100000000000001" customHeight="1" x14ac:dyDescent="0.25">
      <c r="A71"/>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04"/>
    </row>
    <row r="72" spans="1:13" ht="20.100000000000001" customHeight="1" x14ac:dyDescent="0.25">
      <c r="A7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04"/>
    </row>
    <row r="73" spans="1:13" ht="20.100000000000001" customHeight="1" x14ac:dyDescent="0.25">
      <c r="A73"/>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04"/>
    </row>
    <row r="74" spans="1:13" ht="20.100000000000001" customHeight="1" x14ac:dyDescent="0.25">
      <c r="A74"/>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04"/>
    </row>
    <row r="75" spans="1:13" ht="20.100000000000001" customHeight="1" x14ac:dyDescent="0.25">
      <c r="A75"/>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04"/>
    </row>
    <row r="76" spans="1:13" ht="20.100000000000001" customHeight="1" x14ac:dyDescent="0.25">
      <c r="A76"/>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04"/>
    </row>
    <row r="77" spans="1:13" ht="20.100000000000001" customHeight="1" x14ac:dyDescent="0.25">
      <c r="A77"/>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04"/>
    </row>
    <row r="78" spans="1:13" ht="20.100000000000001" customHeight="1" x14ac:dyDescent="0.25">
      <c r="A78"/>
      <c r="D78" s="104"/>
      <c r="E78" s="104"/>
      <c r="F78" s="104"/>
      <c r="G78" s="104"/>
      <c r="H78" s="104"/>
      <c r="I78" s="104"/>
      <c r="J78" s="104"/>
      <c r="K78" s="104"/>
      <c r="L78" s="104"/>
    </row>
    <row r="79" spans="1:13" ht="20.100000000000001" customHeight="1" x14ac:dyDescent="0.25">
      <c r="A79"/>
      <c r="D79" s="104"/>
      <c r="E79" s="104"/>
      <c r="F79" s="104"/>
      <c r="G79" s="104"/>
      <c r="H79" s="104"/>
      <c r="I79" s="104"/>
      <c r="J79" s="104"/>
      <c r="K79" s="104"/>
      <c r="L79" s="104"/>
      <c r="M79" s="104"/>
    </row>
    <row r="80" spans="1:13" ht="20.100000000000001" customHeight="1" x14ac:dyDescent="0.25">
      <c r="A80"/>
      <c r="D80" s="104"/>
      <c r="E80" s="104"/>
      <c r="F80" s="104"/>
      <c r="G80" s="104"/>
      <c r="H80" s="104"/>
      <c r="I80" s="104"/>
      <c r="J80" s="104"/>
      <c r="K80" s="104"/>
      <c r="L80" s="104"/>
      <c r="M80" s="104"/>
    </row>
    <row r="81" spans="1:12" ht="20.100000000000001" customHeight="1" x14ac:dyDescent="0.25">
      <c r="A81"/>
      <c r="D81" s="16" t="str" cm="1">
        <f t="array" ref="D81">Fuel_SourceData.Fuel_Scope1EmissionFactorsStationaryGaseous_Title()</f>
        <v>Fuel scope 1 emission factors - Stationary gaseous fuels</v>
      </c>
      <c r="E81" s="104"/>
      <c r="F81" s="104"/>
      <c r="G81" s="104"/>
      <c r="H81" s="104"/>
      <c r="I81" s="104"/>
      <c r="J81" s="104"/>
      <c r="K81" s="104"/>
      <c r="L81" s="104"/>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4"/>
      <c r="F82" s="104"/>
      <c r="G82" s="104"/>
      <c r="H82" s="104"/>
      <c r="I82" s="104"/>
      <c r="J82" s="104"/>
      <c r="K82" s="104"/>
      <c r="L82" s="104"/>
    </row>
    <row r="83" spans="1:12" ht="20.100000000000001" customHeight="1" x14ac:dyDescent="0.25">
      <c r="A83"/>
      <c r="D83" s="18" t="str" cm="1">
        <f t="array" ref="D83">Fuel_SourceData.Fuel_Scope1EmissionFactorsStationaryGaseous_Source()</f>
        <v>Australian National Greenhouse Accounts Factors 2025 - Table 5</v>
      </c>
      <c r="E83" s="104"/>
      <c r="F83" s="104"/>
      <c r="G83" s="104"/>
      <c r="H83" s="104"/>
      <c r="I83" s="104"/>
      <c r="J83" s="104"/>
      <c r="K83" s="104"/>
      <c r="L83" s="104"/>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4"/>
      <c r="F84" s="104"/>
      <c r="G84" s="104"/>
      <c r="H84" s="104"/>
      <c r="I84" s="104"/>
      <c r="J84" s="104"/>
      <c r="K84" s="104"/>
      <c r="L84" s="104"/>
    </row>
    <row r="85" spans="1:12" ht="20.100000000000001" customHeight="1" x14ac:dyDescent="0.25">
      <c r="A85"/>
      <c r="D85" s="104"/>
      <c r="E85" s="104"/>
      <c r="F85" s="104"/>
      <c r="G85" s="104"/>
      <c r="H85" s="104"/>
      <c r="I85" s="104"/>
      <c r="J85" s="104"/>
      <c r="K85" s="104"/>
      <c r="L85" s="104"/>
    </row>
    <row r="86" spans="1:12" ht="20.100000000000001" customHeight="1" x14ac:dyDescent="0.25">
      <c r="A86"/>
      <c r="D86" s="154" t="s">
        <v>346</v>
      </c>
      <c r="E86" s="151" t="s">
        <v>347</v>
      </c>
      <c r="F86" s="154" t="s">
        <v>348</v>
      </c>
      <c r="G86" s="151" t="s">
        <v>349</v>
      </c>
      <c r="H86" s="151" t="s">
        <v>350</v>
      </c>
      <c r="I86" s="151" t="s">
        <v>351</v>
      </c>
      <c r="J86" s="151" t="s">
        <v>352</v>
      </c>
      <c r="K86" s="104"/>
      <c r="L86" s="104"/>
    </row>
    <row r="87" spans="1:12" ht="20.100000000000001" customHeight="1" x14ac:dyDescent="0.25">
      <c r="A87"/>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04"/>
      <c r="L87" s="104"/>
    </row>
    <row r="88" spans="1:12" ht="20.100000000000001" customHeight="1" x14ac:dyDescent="0.25">
      <c r="A88"/>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04"/>
      <c r="L88" s="104"/>
    </row>
    <row r="89" spans="1:12" ht="20.100000000000001" customHeight="1" x14ac:dyDescent="0.25">
      <c r="A89"/>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04"/>
      <c r="L89" s="104"/>
    </row>
    <row r="90" spans="1:12" ht="20.100000000000001" customHeight="1" x14ac:dyDescent="0.25">
      <c r="A90"/>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04"/>
      <c r="L90" s="104"/>
    </row>
    <row r="91" spans="1:12" ht="20.100000000000001" customHeight="1" x14ac:dyDescent="0.25">
      <c r="A91"/>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04"/>
      <c r="L91" s="104"/>
    </row>
    <row r="92" spans="1:12" ht="20.100000000000001" customHeight="1" x14ac:dyDescent="0.25">
      <c r="A9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04"/>
      <c r="L92" s="104"/>
    </row>
    <row r="93" spans="1:12" ht="20.100000000000001" customHeight="1" x14ac:dyDescent="0.25">
      <c r="A93"/>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04"/>
      <c r="L93" s="104"/>
    </row>
    <row r="94" spans="1:12" ht="20.100000000000001" customHeight="1" x14ac:dyDescent="0.25">
      <c r="A94"/>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04"/>
      <c r="L94" s="104"/>
    </row>
    <row r="95" spans="1:12" ht="20.100000000000001" customHeight="1" x14ac:dyDescent="0.25">
      <c r="A95"/>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04"/>
      <c r="L95" s="104"/>
    </row>
    <row r="96" spans="1:12" ht="20.100000000000001" customHeight="1" x14ac:dyDescent="0.25">
      <c r="A96"/>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04"/>
      <c r="L96" s="104"/>
    </row>
    <row r="97" spans="1:13" ht="20.100000000000001" customHeight="1" x14ac:dyDescent="0.25">
      <c r="A97"/>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04"/>
      <c r="L97" s="104"/>
    </row>
    <row r="98" spans="1:13" ht="20.100000000000001" customHeight="1" x14ac:dyDescent="0.25">
      <c r="A98"/>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04"/>
      <c r="L98" s="104"/>
    </row>
    <row r="99" spans="1:13" ht="20.100000000000001" customHeight="1" x14ac:dyDescent="0.25">
      <c r="A99"/>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04"/>
      <c r="L99" s="104"/>
    </row>
    <row r="100" spans="1:13" ht="20.100000000000001" customHeight="1" x14ac:dyDescent="0.25">
      <c r="A100"/>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04"/>
      <c r="L100" s="104"/>
    </row>
    <row r="101" spans="1:13" ht="20.100000000000001" customHeight="1" x14ac:dyDescent="0.25">
      <c r="A101"/>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04"/>
      <c r="L101" s="104"/>
    </row>
    <row r="102" spans="1:13" ht="20.100000000000001" customHeight="1" x14ac:dyDescent="0.25">
      <c r="A1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04"/>
      <c r="L102" s="104"/>
    </row>
    <row r="103" spans="1:13" ht="20.100000000000001" customHeight="1" x14ac:dyDescent="0.25">
      <c r="A103"/>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04"/>
      <c r="L103" s="104"/>
    </row>
    <row r="104" spans="1:13" ht="20.100000000000001" customHeight="1" x14ac:dyDescent="0.25">
      <c r="A104"/>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04"/>
      <c r="L104" s="104"/>
    </row>
    <row r="105" spans="1:13" ht="20.100000000000001" customHeight="1" x14ac:dyDescent="0.25">
      <c r="A105"/>
      <c r="D105" s="104"/>
      <c r="E105" s="104"/>
      <c r="F105" s="104"/>
      <c r="G105" s="104"/>
      <c r="H105" s="104"/>
      <c r="I105" s="104"/>
      <c r="J105" s="104"/>
      <c r="K105" s="104"/>
      <c r="L105" s="104"/>
      <c r="M105" s="104"/>
    </row>
    <row r="106" spans="1:13" ht="20.100000000000001" customHeight="1" x14ac:dyDescent="0.25">
      <c r="A106"/>
      <c r="D106" s="104"/>
      <c r="E106" s="104"/>
      <c r="F106" s="104"/>
      <c r="G106" s="104"/>
      <c r="H106" s="104"/>
      <c r="I106" s="104"/>
      <c r="J106" s="104"/>
      <c r="K106" s="104"/>
      <c r="L106" s="104"/>
      <c r="M106" s="104"/>
    </row>
    <row r="107" spans="1:13" ht="20.100000000000001" customHeight="1" x14ac:dyDescent="0.25">
      <c r="A107"/>
      <c r="D107" s="16" t="str" cm="1">
        <f t="array" ref="D107">Fuel_SourceData.Fuel_Scope3EmissionFactorsStationaryGaseous_Title()</f>
        <v>Fuel scope 3 emission factors - Stationary gaseous fuels</v>
      </c>
      <c r="E107" s="104"/>
      <c r="F107" s="104"/>
      <c r="G107" s="104"/>
      <c r="H107" s="104"/>
      <c r="I107" s="104"/>
      <c r="J107" s="104"/>
      <c r="K107" s="104"/>
      <c r="L107" s="104"/>
    </row>
    <row r="108" spans="1:13" ht="20.100000000000001" customHeight="1" x14ac:dyDescent="0.25">
      <c r="A108"/>
      <c r="D108" s="15" t="str" cm="1">
        <f t="array" ref="D108">Fuel_SourceData.Fuel_Scope3EmissionFactorsStationaryGaseous_Description()</f>
        <v>Indirect (Scope 3) emission factors for the consumption of natural gas.</v>
      </c>
      <c r="E108" s="104"/>
      <c r="F108" s="104"/>
      <c r="G108" s="104"/>
      <c r="H108" s="104"/>
      <c r="I108" s="104"/>
      <c r="J108" s="104"/>
      <c r="K108" s="104"/>
      <c r="L108" s="104"/>
    </row>
    <row r="109" spans="1:13" ht="20.100000000000001" customHeight="1" x14ac:dyDescent="0.25">
      <c r="A109"/>
      <c r="D109" s="18" t="str" cm="1">
        <f t="array" ref="D109">Fuel_SourceData.Fuel_Scope3EmissionFactorsStationaryGaseous_Source()</f>
        <v>Australian National Greenhouse Accounts Factors 2025 - Table 6</v>
      </c>
      <c r="E109" s="104"/>
      <c r="F109" s="104"/>
      <c r="G109" s="104"/>
      <c r="H109" s="104"/>
      <c r="I109" s="104"/>
      <c r="J109" s="104"/>
      <c r="K109" s="104"/>
      <c r="L109" s="104"/>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4"/>
      <c r="F110" s="104"/>
      <c r="G110" s="104"/>
      <c r="H110" s="104"/>
      <c r="I110" s="104"/>
      <c r="J110" s="104"/>
      <c r="K110" s="104"/>
      <c r="L110" s="104"/>
    </row>
    <row r="111" spans="1:13" ht="20.100000000000001" customHeight="1" x14ac:dyDescent="0.25">
      <c r="A111"/>
      <c r="D111" s="104"/>
      <c r="E111" s="104"/>
      <c r="F111" s="104"/>
      <c r="G111" s="104"/>
      <c r="H111" s="104"/>
      <c r="I111" s="104"/>
      <c r="J111" s="104"/>
      <c r="K111" s="104"/>
      <c r="L111" s="104"/>
    </row>
    <row r="112" spans="1:13" ht="20.100000000000001" customHeight="1" x14ac:dyDescent="0.25">
      <c r="A112"/>
      <c r="D112" s="154" t="s">
        <v>361</v>
      </c>
      <c r="E112" s="151" t="s">
        <v>294</v>
      </c>
      <c r="F112" s="151" t="s">
        <v>362</v>
      </c>
      <c r="G112" s="104"/>
      <c r="H112" s="64" t="s">
        <v>363</v>
      </c>
      <c r="I112" s="104"/>
      <c r="J112" s="104"/>
      <c r="K112" s="104"/>
      <c r="L112" s="104"/>
    </row>
    <row r="113" spans="1:13" ht="20.100000000000001" customHeight="1" x14ac:dyDescent="0.25">
      <c r="A113"/>
      <c r="D113" s="156" t="str" cm="1">
        <f t="array" ref="D113">Common_InputFunctions.Utility_DisplayArrayInTable(Fuel_SourceData.Fuel_Scope3EmissionFactorsStationaryGaseous_Data(), Table_Fuel_EFs_StationaryGaseous34[[#Headers],[State or territory]],0)</f>
        <v>New South Wales</v>
      </c>
      <c r="E113" s="156" cm="1">
        <f t="array" ref="E113">Common_InputFunctions.Utility_DisplayArrayInTable(Fuel_SourceData.Fuel_Scope3EmissionFactorsStationaryGaseous_Data(), Table_Fuel_EFs_StationaryGaseous34[[#Headers],[State or territory]],0)</f>
        <v>13.1</v>
      </c>
      <c r="F113" s="156" cm="1">
        <f t="array" ref="F113">Common_InputFunctions.Utility_DisplayArrayInTable(Fuel_SourceData.Fuel_Scope3EmissionFactorsStationaryGaseous_Data(), Table_Fuel_EFs_StationaryGaseous34[[#Headers],[State or territory]],0)</f>
        <v>14</v>
      </c>
      <c r="G113" s="157"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4"/>
      <c r="J113" s="104"/>
      <c r="K113" s="104"/>
      <c r="L113" s="104"/>
    </row>
    <row r="114" spans="1:13" ht="20.100000000000001" customHeight="1" x14ac:dyDescent="0.25">
      <c r="A114"/>
      <c r="D114" s="156" t="str" cm="1">
        <f t="array" ref="D114">Common_InputFunctions.Utility_DisplayArrayInTable(Fuel_SourceData.Fuel_Scope3EmissionFactorsStationaryGaseous_Data(), Table_Fuel_EFs_StationaryGaseous34[[#Headers],[State or territory]],0)</f>
        <v>ACT</v>
      </c>
      <c r="E114" s="156" cm="1">
        <f t="array" ref="E114">Common_InputFunctions.Utility_DisplayArrayInTable(Fuel_SourceData.Fuel_Scope3EmissionFactorsStationaryGaseous_Data(), Table_Fuel_EFs_StationaryGaseous34[[#Headers],[State or territory]],0)</f>
        <v>13.1</v>
      </c>
      <c r="F114" s="156" cm="1">
        <f t="array" ref="F114">Common_InputFunctions.Utility_DisplayArrayInTable(Fuel_SourceData.Fuel_Scope3EmissionFactorsStationaryGaseous_Data(), Table_Fuel_EFs_StationaryGaseous34[[#Headers],[State or territory]],0)</f>
        <v>14</v>
      </c>
      <c r="G114" s="157" t="str">
        <v/>
      </c>
      <c r="H114" s="15" t="str">
        <v>Gas reaches end users either from the metro distribution networks or direct from the high - pressure distribution pipelines.</v>
      </c>
      <c r="I114" s="104"/>
      <c r="J114" s="104"/>
      <c r="K114" s="104"/>
      <c r="L114" s="104"/>
    </row>
    <row r="115" spans="1:13" ht="20.100000000000001" customHeight="1" x14ac:dyDescent="0.25">
      <c r="A115"/>
      <c r="D115" s="156" t="str" cm="1">
        <f t="array" ref="D115">Common_InputFunctions.Utility_DisplayArrayInTable(Fuel_SourceData.Fuel_Scope3EmissionFactorsStationaryGaseous_Data(), Table_Fuel_EFs_StationaryGaseous34[[#Headers],[State or territory]],0)</f>
        <v>Victoria</v>
      </c>
      <c r="E115" s="156" cm="1">
        <f t="array" ref="E115">Common_InputFunctions.Utility_DisplayArrayInTable(Fuel_SourceData.Fuel_Scope3EmissionFactorsStationaryGaseous_Data(), Table_Fuel_EFs_StationaryGaseous34[[#Headers],[State or territory]],0)</f>
        <v>4</v>
      </c>
      <c r="F115" s="156" cm="1">
        <f t="array" ref="F115">Common_InputFunctions.Utility_DisplayArrayInTable(Fuel_SourceData.Fuel_Scope3EmissionFactorsStationaryGaseous_Data(), Table_Fuel_EFs_StationaryGaseous34[[#Headers],[State or territory]],0)</f>
        <v>4</v>
      </c>
      <c r="G115" s="157" t="str">
        <v/>
      </c>
      <c r="H115" s="15" t="str">
        <v>Households and commercial users tend to be served by the former, and electricity generators and large industrial plants from the latter.</v>
      </c>
      <c r="I115" s="104"/>
      <c r="J115" s="104"/>
      <c r="K115" s="104"/>
      <c r="L115" s="104"/>
    </row>
    <row r="116" spans="1:13" ht="20.100000000000001" customHeight="1" x14ac:dyDescent="0.25">
      <c r="A116"/>
      <c r="D116" s="156" t="str" cm="1">
        <f t="array" ref="D116">Common_InputFunctions.Utility_DisplayArrayInTable(Fuel_SourceData.Fuel_Scope3EmissionFactorsStationaryGaseous_Data(), Table_Fuel_EFs_StationaryGaseous34[[#Headers],[State or territory]],0)</f>
        <v>Queensland</v>
      </c>
      <c r="E116" s="156" cm="1">
        <f t="array" ref="E116">Common_InputFunctions.Utility_DisplayArrayInTable(Fuel_SourceData.Fuel_Scope3EmissionFactorsStationaryGaseous_Data(), Table_Fuel_EFs_StationaryGaseous34[[#Headers],[State or territory]],0)</f>
        <v>8.8000000000000007</v>
      </c>
      <c r="F116" s="156" cm="1">
        <f t="array" ref="F116">Common_InputFunctions.Utility_DisplayArrayInTable(Fuel_SourceData.Fuel_Scope3EmissionFactorsStationaryGaseous_Data(), Table_Fuel_EFs_StationaryGaseous34[[#Headers],[State or territory]],0)</f>
        <v>7.9</v>
      </c>
      <c r="G116" s="157" t="str">
        <v>-</v>
      </c>
      <c r="H116" s="15" t="str">
        <v>Metro is defined as located on or east of the dividing range in NSW, including Canberra and Queanbeyan, Melbourne, Brisbane, Adelaide or Perth.</v>
      </c>
      <c r="I116" s="104"/>
      <c r="J116" s="104"/>
      <c r="K116" s="104"/>
      <c r="L116" s="104"/>
    </row>
    <row r="117" spans="1:13" ht="20.100000000000001" customHeight="1" x14ac:dyDescent="0.25">
      <c r="A117"/>
      <c r="D117" s="156" t="str" cm="1">
        <f t="array" ref="D117">Common_InputFunctions.Utility_DisplayArrayInTable(Fuel_SourceData.Fuel_Scope3EmissionFactorsStationaryGaseous_Data(), Table_Fuel_EFs_StationaryGaseous34[[#Headers],[State or territory]],0)</f>
        <v>South Australia</v>
      </c>
      <c r="E117" s="156" cm="1">
        <f t="array" ref="E117">Common_InputFunctions.Utility_DisplayArrayInTable(Fuel_SourceData.Fuel_Scope3EmissionFactorsStationaryGaseous_Data(), Table_Fuel_EFs_StationaryGaseous34[[#Headers],[State or territory]],0)</f>
        <v>10.7</v>
      </c>
      <c r="F117" s="156" cm="1">
        <f t="array" ref="F117">Common_InputFunctions.Utility_DisplayArrayInTable(Fuel_SourceData.Fuel_Scope3EmissionFactorsStationaryGaseous_Data(), Table_Fuel_EFs_StationaryGaseous34[[#Headers],[State or territory]],0)</f>
        <v>10.6</v>
      </c>
      <c r="G117" s="157" t="str">
        <v/>
      </c>
      <c r="H117" s="15" t="str">
        <v>Otherwise, the non - metro factor should be used.</v>
      </c>
      <c r="I117" s="104"/>
      <c r="J117" s="104"/>
      <c r="K117" s="104"/>
      <c r="L117" s="104"/>
    </row>
    <row r="118" spans="1:13" ht="20.100000000000001" customHeight="1" x14ac:dyDescent="0.25">
      <c r="A118"/>
      <c r="D118" s="156" t="str" cm="1">
        <f t="array" ref="D118">Common_InputFunctions.Utility_DisplayArrayInTable(Fuel_SourceData.Fuel_Scope3EmissionFactorsStationaryGaseous_Data(), Table_Fuel_EFs_StationaryGaseous34[[#Headers],[State or territory]],0)</f>
        <v>Western Australia</v>
      </c>
      <c r="E118" s="156" cm="1">
        <f t="array" ref="E118">Common_InputFunctions.Utility_DisplayArrayInTable(Fuel_SourceData.Fuel_Scope3EmissionFactorsStationaryGaseous_Data(), Table_Fuel_EFs_StationaryGaseous34[[#Headers],[State or territory]],0)</f>
        <v>4.0999999999999996</v>
      </c>
      <c r="F118" s="156" cm="1">
        <f t="array" ref="F118">Common_InputFunctions.Utility_DisplayArrayInTable(Fuel_SourceData.Fuel_Scope3EmissionFactorsStationaryGaseous_Data(), Table_Fuel_EFs_StationaryGaseous34[[#Headers],[State or territory]],0)</f>
        <v>4</v>
      </c>
      <c r="G118" s="157" t="str">
        <v>-</v>
      </c>
      <c r="H118" s="15" t="str">
        <v>Factors are calculated for all natural gas distributed in a pipeline which may include coal seam methane.</v>
      </c>
      <c r="I118" s="104"/>
      <c r="J118" s="104"/>
      <c r="K118" s="104"/>
      <c r="L118" s="104"/>
    </row>
    <row r="119" spans="1:13" ht="20.100000000000001" customHeight="1" x14ac:dyDescent="0.25">
      <c r="A119"/>
      <c r="D119" s="156" t="str" cm="1">
        <f t="array" ref="D119">Common_InputFunctions.Utility_DisplayArrayInTable(Fuel_SourceData.Fuel_Scope3EmissionFactorsStationaryGaseous_Data(), Table_Fuel_EFs_StationaryGaseous34[[#Headers],[State or territory]],0)</f>
        <v>Tasmania</v>
      </c>
      <c r="E119" s="156" cm="1">
        <f t="array" ref="E119">Common_InputFunctions.Utility_DisplayArrayInTable(Fuel_SourceData.Fuel_Scope3EmissionFactorsStationaryGaseous_Data(), Table_Fuel_EFs_StationaryGaseous34[[#Headers],[State or territory]],0)</f>
        <v>4</v>
      </c>
      <c r="F119" s="156" cm="1">
        <f t="array" ref="F119">Common_InputFunctions.Utility_DisplayArrayInTable(Fuel_SourceData.Fuel_Scope3EmissionFactorsStationaryGaseous_Data(), Table_Fuel_EFs_StationaryGaseous34[[#Headers],[State or territory]],0)</f>
        <v>4</v>
      </c>
      <c r="G119" s="157" t="str">
        <v>-</v>
      </c>
      <c r="H119" s="15" t="str">
        <v>Table 6 is not applicable to ethane. See Table 7 Indirect (Scope 3) emissions from the consumption of ethane.</v>
      </c>
      <c r="I119" s="104"/>
      <c r="J119" s="104"/>
      <c r="K119" s="104"/>
      <c r="L119" s="104"/>
    </row>
    <row r="120" spans="1:13" ht="20.100000000000001" customHeight="1" x14ac:dyDescent="0.25">
      <c r="A120"/>
      <c r="D120" s="156" t="str" cm="1">
        <f t="array" ref="D120">Common_InputFunctions.Utility_DisplayArrayInTable(Fuel_SourceData.Fuel_Scope3EmissionFactorsStationaryGaseous_Data(), Table_Fuel_EFs_StationaryGaseous34[[#Headers],[State or territory]],0)</f>
        <v>Northern Territory</v>
      </c>
      <c r="E120" s="156" cm="1">
        <f t="array" ref="E120">Common_InputFunctions.Utility_DisplayArrayInTable(Fuel_SourceData.Fuel_Scope3EmissionFactorsStationaryGaseous_Data(), Table_Fuel_EFs_StationaryGaseous34[[#Headers],[State or territory]],0)</f>
        <v>4.0999999999999996</v>
      </c>
      <c r="F120" s="156" cm="1">
        <f t="array" ref="F120">Common_InputFunctions.Utility_DisplayArrayInTable(Fuel_SourceData.Fuel_Scope3EmissionFactorsStationaryGaseous_Data(), Table_Fuel_EFs_StationaryGaseous34[[#Headers],[State or territory]],0)</f>
        <v>4</v>
      </c>
      <c r="G120" s="157" t="str">
        <v>-</v>
      </c>
      <c r="H120" s="15" t="str">
        <v>C = Confidential. Scope 3 emission factors for Tasmania and the Northern Territory are not available due to confidentiality constraints that arise</v>
      </c>
      <c r="I120" s="104"/>
      <c r="J120" s="104"/>
      <c r="K120" s="104"/>
      <c r="L120" s="104"/>
    </row>
    <row r="121" spans="1:13" ht="20.100000000000001" customHeight="1" x14ac:dyDescent="0.25">
      <c r="A121"/>
      <c r="D121" s="21"/>
      <c r="E121" s="21"/>
      <c r="F121" s="21"/>
      <c r="G121" s="157" t="str">
        <v/>
      </c>
      <c r="H121" s="15" t="str">
        <v>from the use of a limited number of NGER data inputs. It is suggested that for Tasmania the use of the Victorian emission factors is appropriate,</v>
      </c>
      <c r="I121" s="104"/>
      <c r="J121" s="104"/>
      <c r="K121" s="104"/>
      <c r="L121" s="104"/>
    </row>
    <row r="122" spans="1:13" ht="20.100000000000001" customHeight="1" x14ac:dyDescent="0.25">
      <c r="A122"/>
      <c r="D122" s="104"/>
      <c r="F122" s="158"/>
      <c r="G122" s="157" t="str">
        <v/>
      </c>
      <c r="H122" s="15" t="str">
        <v>while for Northern Territory the use of the Western Australian emission factors is appropriate.</v>
      </c>
      <c r="I122" s="104"/>
      <c r="J122" s="104"/>
      <c r="K122" s="104"/>
      <c r="L122" s="104"/>
    </row>
    <row r="123" spans="1:13" ht="20.100000000000001" customHeight="1" x14ac:dyDescent="0.25">
      <c r="A123"/>
      <c r="D123" s="159"/>
      <c r="F123" s="158"/>
      <c r="G123" s="157" t="str">
        <v>-</v>
      </c>
      <c r="H123" s="15" t="str">
        <v>Scope 3 emission factors do not include fugitive emission leakage from low pressure natural gas distribution pipeline networks while those from high pressure</v>
      </c>
      <c r="I123" s="104"/>
      <c r="J123" s="104"/>
      <c r="K123" s="104"/>
      <c r="L123" s="104"/>
    </row>
    <row r="124" spans="1:13" ht="20.100000000000001" customHeight="1" x14ac:dyDescent="0.25">
      <c r="A124"/>
      <c r="D124" s="159"/>
      <c r="F124" s="158"/>
      <c r="G124" s="104" t="str">
        <v/>
      </c>
      <c r="H124" s="15" t="str">
        <v>gas networks are considered negligible.</v>
      </c>
      <c r="I124" s="104"/>
      <c r="J124" s="104"/>
      <c r="K124" s="104"/>
      <c r="L124" s="104"/>
    </row>
    <row r="125" spans="1:13" ht="20.100000000000001" customHeight="1" x14ac:dyDescent="0.25">
      <c r="A125"/>
      <c r="D125" s="159"/>
      <c r="F125" s="158"/>
      <c r="G125" s="104"/>
      <c r="H125" s="104"/>
      <c r="I125" s="104"/>
      <c r="J125" s="104"/>
      <c r="K125" s="104"/>
      <c r="L125" s="104"/>
    </row>
    <row r="126" spans="1:13" ht="20.100000000000001" customHeight="1" x14ac:dyDescent="0.25">
      <c r="A126"/>
      <c r="D126" s="104"/>
      <c r="E126" s="104"/>
      <c r="F126" s="104"/>
      <c r="G126" s="104"/>
      <c r="H126" s="104"/>
      <c r="I126" s="104"/>
      <c r="J126" s="104"/>
      <c r="K126" s="104"/>
      <c r="L126" s="104"/>
      <c r="M126" s="104"/>
    </row>
    <row r="127" spans="1:13" ht="20.100000000000001" customHeight="1" x14ac:dyDescent="0.25">
      <c r="A127"/>
      <c r="D127" s="104"/>
      <c r="E127" s="104"/>
      <c r="F127" s="104"/>
      <c r="G127" s="104"/>
      <c r="H127" s="104"/>
      <c r="I127" s="104"/>
      <c r="J127" s="104"/>
      <c r="K127" s="104"/>
      <c r="L127" s="104"/>
      <c r="M127" s="104"/>
    </row>
    <row r="128" spans="1:13" ht="20.100000000000001" customHeight="1" x14ac:dyDescent="0.25">
      <c r="A128"/>
      <c r="D128" s="104"/>
      <c r="E128" s="104"/>
      <c r="F128" s="104"/>
      <c r="G128" s="104"/>
      <c r="H128" s="104"/>
      <c r="I128" s="104"/>
      <c r="J128" s="104"/>
      <c r="K128" s="104"/>
      <c r="L128" s="104"/>
      <c r="M128" s="104"/>
    </row>
    <row r="129" spans="1:33" ht="20.100000000000001" customHeight="1" x14ac:dyDescent="0.25">
      <c r="A129"/>
      <c r="D129" s="160"/>
      <c r="E129" s="104"/>
      <c r="F129" s="104"/>
      <c r="G129" s="104"/>
      <c r="H129" s="104"/>
      <c r="I129" s="104"/>
      <c r="J129" s="104"/>
      <c r="K129" s="104"/>
      <c r="L129" s="104"/>
    </row>
    <row r="130" spans="1:33" ht="20.100000000000001" customHeight="1" x14ac:dyDescent="0.25">
      <c r="A130"/>
      <c r="D130" s="161" t="s">
        <v>364</v>
      </c>
      <c r="E130" s="161" t="s">
        <v>304</v>
      </c>
      <c r="F130" s="161" t="s">
        <v>365</v>
      </c>
      <c r="G130" s="161" t="s">
        <v>307</v>
      </c>
      <c r="H130" s="161" t="s">
        <v>309</v>
      </c>
      <c r="I130" s="161" t="s">
        <v>310</v>
      </c>
      <c r="J130" s="104"/>
      <c r="K130" s="104"/>
      <c r="L130" s="104"/>
    </row>
    <row r="131" spans="1:33" ht="20.100000000000001" customHeight="1" x14ac:dyDescent="0.25">
      <c r="A131"/>
      <c r="D131" s="162" t="str">
        <f>$D$143</f>
        <v>Petrol</v>
      </c>
      <c r="E131" s="162" t="str">
        <f>$D$143</f>
        <v>Petrol</v>
      </c>
      <c r="F131" s="162" t="str">
        <f>$D$150</f>
        <v>Avgas</v>
      </c>
      <c r="G131" s="162" t="str">
        <f>$D$143</f>
        <v>Petrol</v>
      </c>
      <c r="H131" s="162" t="str">
        <f>$D$144</f>
        <v>Diesel</v>
      </c>
      <c r="I131" s="162" t="str">
        <f>$D$143</f>
        <v>Petrol</v>
      </c>
      <c r="J131" s="104"/>
      <c r="K131" s="104"/>
      <c r="L131" s="104"/>
    </row>
    <row r="132" spans="1:33" ht="20.100000000000001" customHeight="1" x14ac:dyDescent="0.25">
      <c r="A132"/>
      <c r="D132" s="162" t="str">
        <f>$D$144</f>
        <v>Diesel</v>
      </c>
      <c r="E132" s="162" t="str">
        <f>$D$144</f>
        <v>Diesel</v>
      </c>
      <c r="F132" s="162" t="str">
        <f>$D$151</f>
        <v>Jet A1, Jet B</v>
      </c>
      <c r="G132" s="162" t="str">
        <f>$D$144</f>
        <v>Diesel</v>
      </c>
      <c r="H132" s="162"/>
      <c r="I132" s="162" t="str">
        <f>$D$144</f>
        <v>Diesel</v>
      </c>
      <c r="J132" s="104"/>
      <c r="K132" s="104"/>
      <c r="L132" s="104"/>
    </row>
    <row r="133" spans="1:33" ht="20.100000000000001" customHeight="1" x14ac:dyDescent="0.25">
      <c r="A133"/>
      <c r="D133" s="162" t="str">
        <f>$D$145</f>
        <v>Liquefied petroleum gas (LPG)</v>
      </c>
      <c r="E133" s="162" t="str">
        <f>$D$145</f>
        <v>Liquefied petroleum gas (LPG)</v>
      </c>
      <c r="F133" s="162" t="str">
        <f>$D$152</f>
        <v>Renewable aviation kerosene</v>
      </c>
      <c r="G133" s="162" t="str">
        <f>$D$145</f>
        <v>Liquefied petroleum gas (LPG)</v>
      </c>
      <c r="H133" s="162"/>
      <c r="I133" s="162" t="s">
        <v>311</v>
      </c>
      <c r="J133" s="104"/>
      <c r="K133" s="104"/>
      <c r="L133" s="104"/>
    </row>
    <row r="134" spans="1:33" ht="20.100000000000001" customHeight="1" x14ac:dyDescent="0.25">
      <c r="A134"/>
      <c r="D134" s="162" t="str">
        <f>$D$146</f>
        <v>Biodiesel</v>
      </c>
      <c r="E134" s="162" t="str">
        <f>$D$146</f>
        <v>Biodiesel</v>
      </c>
      <c r="F134" s="161"/>
      <c r="G134" s="162" t="str">
        <f>$D$160</f>
        <v>Fuel oil</v>
      </c>
      <c r="H134" s="162"/>
      <c r="I134" s="162"/>
      <c r="J134" s="104"/>
      <c r="K134" s="104"/>
      <c r="L134" s="104"/>
    </row>
    <row r="135" spans="1:33" ht="20.100000000000001" customHeight="1" x14ac:dyDescent="0.25">
      <c r="A135"/>
      <c r="D135" s="162" t="str">
        <f>$D$147</f>
        <v>Ethanol</v>
      </c>
      <c r="E135" s="162" t="str">
        <f>$D$147</f>
        <v>Ethanol</v>
      </c>
      <c r="F135" s="161"/>
      <c r="G135" s="162" t="str">
        <f>$D$147</f>
        <v>Ethanol</v>
      </c>
      <c r="H135" s="162"/>
      <c r="I135" s="162"/>
      <c r="J135" s="104"/>
      <c r="K135" s="104"/>
      <c r="L135" s="104"/>
    </row>
    <row r="136" spans="1:33" ht="20.100000000000001" customHeight="1" x14ac:dyDescent="0.25">
      <c r="A136"/>
      <c r="D136" s="162" t="str">
        <f>$D$148</f>
        <v>Other biofuels</v>
      </c>
      <c r="E136" s="162" t="str">
        <f>$D$148</f>
        <v>Other biofuels</v>
      </c>
      <c r="F136" s="161"/>
      <c r="G136" s="162" t="str">
        <f>$D$146</f>
        <v>Biodiesel</v>
      </c>
      <c r="H136" s="162"/>
      <c r="I136" s="162"/>
      <c r="J136" s="104"/>
      <c r="K136" s="104"/>
      <c r="L136" s="104"/>
    </row>
    <row r="137" spans="1:33" ht="20.100000000000001" customHeight="1" x14ac:dyDescent="0.25">
      <c r="A137"/>
      <c r="D137" s="162" t="str">
        <f>$D$149</f>
        <v>Renewable diesel</v>
      </c>
      <c r="E137" s="162" t="str">
        <f>$D$149</f>
        <v>Renewable diesel</v>
      </c>
      <c r="F137" s="161"/>
      <c r="G137" s="162" t="str">
        <f>$D$149</f>
        <v>Renewable diesel</v>
      </c>
      <c r="H137" s="162"/>
      <c r="I137" s="162"/>
      <c r="J137" s="104"/>
      <c r="K137" s="104"/>
      <c r="L137" s="104"/>
    </row>
    <row r="138" spans="1:33" ht="20.100000000000001" customHeight="1" x14ac:dyDescent="0.25">
      <c r="A138"/>
      <c r="D138" s="161"/>
      <c r="E138" s="163" t="str">
        <f>$D$161</f>
        <v>Natural gas (via pipeline) in GJ</v>
      </c>
      <c r="F138" s="163"/>
      <c r="G138" s="162" t="str">
        <f>$D$148</f>
        <v>Other biofuels</v>
      </c>
      <c r="H138" s="162"/>
      <c r="I138" s="162"/>
      <c r="J138" s="104"/>
      <c r="K138" s="104"/>
      <c r="L138" s="104"/>
    </row>
    <row r="139" spans="1:33" ht="20.100000000000001" customHeight="1" x14ac:dyDescent="0.25">
      <c r="A139"/>
      <c r="D139" s="163"/>
      <c r="E139" s="163" t="str">
        <f>$D$162</f>
        <v>Town gas in GJ</v>
      </c>
      <c r="F139" s="163"/>
      <c r="G139" s="163"/>
      <c r="H139" s="163"/>
      <c r="I139" s="163"/>
      <c r="J139" s="104"/>
      <c r="K139" s="104"/>
      <c r="L139" s="104"/>
    </row>
    <row r="140" spans="1:33" ht="20.100000000000001" customHeight="1" x14ac:dyDescent="0.25">
      <c r="A140"/>
      <c r="D140" s="104"/>
      <c r="E140" s="104"/>
      <c r="F140" s="104"/>
      <c r="G140" s="104"/>
      <c r="H140" s="104"/>
      <c r="I140" s="104"/>
      <c r="J140" s="104"/>
      <c r="K140" s="104"/>
      <c r="L140" s="104"/>
    </row>
    <row r="141" spans="1:33" ht="20.100000000000001" customHeight="1" x14ac:dyDescent="0.25">
      <c r="A141"/>
      <c r="D141" s="104"/>
      <c r="E141" s="104"/>
      <c r="F141" s="104"/>
      <c r="G141" s="104"/>
      <c r="H141" s="104"/>
      <c r="I141" s="104"/>
      <c r="J141" s="104"/>
      <c r="K141" s="104"/>
      <c r="L141" s="104"/>
    </row>
    <row r="142" spans="1:33" ht="20.100000000000001" customHeight="1" x14ac:dyDescent="0.25">
      <c r="A142"/>
      <c r="D142" s="10" t="s">
        <v>366</v>
      </c>
      <c r="E142" s="10" t="s">
        <v>164</v>
      </c>
      <c r="F142" s="10" t="s">
        <v>367</v>
      </c>
      <c r="G142" s="104"/>
      <c r="H142" s="104"/>
      <c r="I142" s="104"/>
      <c r="J142" s="104"/>
      <c r="K142" s="104"/>
      <c r="L142" s="104"/>
      <c r="M142" s="104"/>
      <c r="AG142" s="15"/>
    </row>
    <row r="143" spans="1:33" ht="20.100000000000001" customHeight="1" x14ac:dyDescent="0.25">
      <c r="A143"/>
      <c r="D143" s="162" t="s">
        <v>306</v>
      </c>
      <c r="E143" s="10" t="s">
        <v>368</v>
      </c>
      <c r="F143" s="10" t="s">
        <v>369</v>
      </c>
      <c r="G143" s="104"/>
      <c r="H143" s="104"/>
      <c r="I143" s="104"/>
      <c r="J143" s="104"/>
      <c r="K143" s="104"/>
      <c r="L143" s="104"/>
      <c r="M143" s="104"/>
      <c r="AG143" s="15"/>
    </row>
    <row r="144" spans="1:33" ht="20.100000000000001" customHeight="1" x14ac:dyDescent="0.25">
      <c r="A144"/>
      <c r="D144" s="162" t="s">
        <v>308</v>
      </c>
      <c r="E144" s="10" t="s">
        <v>368</v>
      </c>
      <c r="F144" s="10" t="s">
        <v>369</v>
      </c>
      <c r="G144" s="104"/>
      <c r="H144" s="104"/>
      <c r="I144" s="104"/>
      <c r="J144" s="104"/>
      <c r="K144" s="104"/>
      <c r="L144" s="104"/>
      <c r="M144" s="104"/>
      <c r="AG144" s="15"/>
    </row>
    <row r="145" spans="1:33" ht="20.100000000000001" customHeight="1" x14ac:dyDescent="0.25">
      <c r="A145"/>
      <c r="D145" s="162" t="s">
        <v>370</v>
      </c>
      <c r="E145" s="10" t="s">
        <v>368</v>
      </c>
      <c r="F145" s="10" t="s">
        <v>369</v>
      </c>
      <c r="G145" s="104"/>
      <c r="H145" s="104"/>
      <c r="I145" s="104"/>
      <c r="J145" s="104"/>
      <c r="K145" s="104"/>
      <c r="L145" s="104"/>
      <c r="M145" s="104"/>
      <c r="AG145" s="15"/>
    </row>
    <row r="146" spans="1:33" ht="20.100000000000001" customHeight="1" x14ac:dyDescent="0.25">
      <c r="A146"/>
      <c r="D146" s="162" t="s">
        <v>371</v>
      </c>
      <c r="E146" s="10" t="s">
        <v>368</v>
      </c>
      <c r="F146" s="10" t="s">
        <v>369</v>
      </c>
      <c r="G146" s="104"/>
      <c r="H146" s="104"/>
      <c r="I146" s="104"/>
      <c r="J146" s="104"/>
      <c r="K146" s="104"/>
      <c r="L146" s="104"/>
      <c r="M146" s="104"/>
      <c r="AG146" s="15"/>
    </row>
    <row r="147" spans="1:33" ht="20.100000000000001" customHeight="1" x14ac:dyDescent="0.25">
      <c r="A147"/>
      <c r="D147" s="162" t="s">
        <v>372</v>
      </c>
      <c r="E147" s="10" t="s">
        <v>368</v>
      </c>
      <c r="F147" s="10" t="s">
        <v>369</v>
      </c>
      <c r="G147" s="104"/>
      <c r="H147" s="104"/>
      <c r="I147" s="104"/>
      <c r="J147" s="104"/>
      <c r="K147" s="104"/>
      <c r="L147" s="104"/>
      <c r="M147" s="104"/>
      <c r="AG147" s="15"/>
    </row>
    <row r="148" spans="1:33" ht="20.100000000000001" customHeight="1" x14ac:dyDescent="0.25">
      <c r="A148"/>
      <c r="D148" s="162" t="s">
        <v>373</v>
      </c>
      <c r="E148" s="10" t="s">
        <v>368</v>
      </c>
      <c r="F148" s="10" t="s">
        <v>369</v>
      </c>
      <c r="G148" s="104"/>
      <c r="H148" s="104"/>
      <c r="I148" s="104"/>
      <c r="J148" s="104"/>
      <c r="K148" s="104"/>
      <c r="L148" s="104"/>
      <c r="M148" s="104"/>
      <c r="AG148" s="15"/>
    </row>
    <row r="149" spans="1:33" ht="20.100000000000001" customHeight="1" x14ac:dyDescent="0.25">
      <c r="A149"/>
      <c r="D149" s="162" t="s">
        <v>374</v>
      </c>
      <c r="E149" s="10" t="s">
        <v>368</v>
      </c>
      <c r="F149" s="10" t="s">
        <v>369</v>
      </c>
      <c r="G149" s="104"/>
      <c r="H149" s="104"/>
      <c r="I149" s="104"/>
      <c r="J149" s="104"/>
      <c r="K149" s="104"/>
      <c r="L149" s="104"/>
      <c r="M149" s="104"/>
      <c r="AG149" s="15"/>
    </row>
    <row r="150" spans="1:33" ht="20.100000000000001" customHeight="1" x14ac:dyDescent="0.25">
      <c r="A150"/>
      <c r="D150" s="162" t="s">
        <v>375</v>
      </c>
      <c r="E150" s="10" t="s">
        <v>368</v>
      </c>
      <c r="F150" s="10" t="s">
        <v>369</v>
      </c>
      <c r="G150" s="104"/>
      <c r="H150" s="104"/>
      <c r="I150" s="104"/>
      <c r="J150" s="104"/>
      <c r="K150" s="104"/>
      <c r="L150" s="104"/>
      <c r="M150" s="104"/>
      <c r="AG150" s="15"/>
    </row>
    <row r="151" spans="1:33" ht="20.100000000000001" customHeight="1" x14ac:dyDescent="0.25">
      <c r="A151"/>
      <c r="D151" s="162" t="s">
        <v>376</v>
      </c>
      <c r="E151" s="10" t="s">
        <v>368</v>
      </c>
      <c r="F151" s="10" t="s">
        <v>369</v>
      </c>
      <c r="G151" s="104"/>
      <c r="H151" s="104"/>
      <c r="I151" s="104"/>
      <c r="J151" s="104"/>
      <c r="K151" s="104"/>
      <c r="L151" s="104"/>
      <c r="M151" s="104"/>
      <c r="AG151" s="15"/>
    </row>
    <row r="152" spans="1:33" ht="20.100000000000001" customHeight="1" x14ac:dyDescent="0.25">
      <c r="A152"/>
      <c r="D152" s="164" t="s">
        <v>377</v>
      </c>
      <c r="E152" s="21" t="s">
        <v>368</v>
      </c>
      <c r="F152" s="10" t="s">
        <v>369</v>
      </c>
      <c r="G152" s="104"/>
      <c r="H152" s="104"/>
      <c r="I152" s="104"/>
      <c r="J152" s="104"/>
      <c r="K152" s="104"/>
      <c r="L152" s="104"/>
      <c r="M152" s="104"/>
      <c r="AG152" s="15"/>
    </row>
    <row r="153" spans="1:33" ht="20.100000000000001" customHeight="1" x14ac:dyDescent="0.25">
      <c r="A153"/>
      <c r="D153" s="164" t="s">
        <v>378</v>
      </c>
      <c r="E153" s="21" t="s">
        <v>368</v>
      </c>
      <c r="F153" s="10" t="s">
        <v>369</v>
      </c>
      <c r="G153" s="104"/>
      <c r="H153" s="104"/>
      <c r="I153" s="104"/>
      <c r="J153" s="104"/>
      <c r="K153" s="104"/>
      <c r="L153" s="104"/>
      <c r="M153" s="104"/>
      <c r="AG153" s="15"/>
    </row>
    <row r="154" spans="1:33" ht="20.100000000000001" customHeight="1" x14ac:dyDescent="0.25">
      <c r="A154"/>
      <c r="D154" s="164" t="s">
        <v>379</v>
      </c>
      <c r="E154" s="21" t="s">
        <v>368</v>
      </c>
      <c r="F154" s="10" t="s">
        <v>369</v>
      </c>
      <c r="G154" s="104"/>
      <c r="H154" s="104"/>
      <c r="I154" s="104"/>
      <c r="J154" s="104"/>
      <c r="K154" s="104"/>
      <c r="L154" s="104"/>
      <c r="M154" s="104"/>
      <c r="AG154" s="15"/>
    </row>
    <row r="155" spans="1:33" ht="20.100000000000001" customHeight="1" x14ac:dyDescent="0.25">
      <c r="A155"/>
      <c r="D155" s="164" t="s">
        <v>380</v>
      </c>
      <c r="E155" s="21" t="s">
        <v>368</v>
      </c>
      <c r="F155" s="10" t="s">
        <v>369</v>
      </c>
      <c r="G155" s="104"/>
      <c r="H155" s="104"/>
      <c r="I155" s="104"/>
      <c r="J155" s="104"/>
      <c r="K155" s="104"/>
      <c r="L155" s="104"/>
      <c r="M155" s="104"/>
      <c r="AG155" s="15"/>
    </row>
    <row r="156" spans="1:33" ht="20.100000000000001" customHeight="1" x14ac:dyDescent="0.25">
      <c r="A156"/>
      <c r="D156" s="164" t="s">
        <v>381</v>
      </c>
      <c r="E156" s="21" t="s">
        <v>368</v>
      </c>
      <c r="F156" s="10" t="s">
        <v>369</v>
      </c>
      <c r="G156" s="104"/>
      <c r="H156" s="104"/>
      <c r="I156" s="104"/>
      <c r="J156" s="104"/>
      <c r="K156" s="104"/>
      <c r="L156" s="104"/>
      <c r="M156" s="104"/>
      <c r="AG156" s="15"/>
    </row>
    <row r="157" spans="1:33" ht="20.100000000000001" customHeight="1" x14ac:dyDescent="0.25">
      <c r="A157"/>
      <c r="D157" s="164" t="s">
        <v>382</v>
      </c>
      <c r="E157" s="21" t="s">
        <v>368</v>
      </c>
      <c r="F157" s="10" t="s">
        <v>369</v>
      </c>
      <c r="G157" s="104"/>
      <c r="H157" s="104"/>
      <c r="I157" s="104"/>
      <c r="J157" s="104"/>
      <c r="K157" s="104"/>
      <c r="L157" s="104"/>
      <c r="M157" s="104"/>
      <c r="AG157" s="15"/>
    </row>
    <row r="158" spans="1:33" ht="20.100000000000001" customHeight="1" x14ac:dyDescent="0.25">
      <c r="A158"/>
      <c r="D158" s="164" t="s">
        <v>383</v>
      </c>
      <c r="E158" s="21" t="s">
        <v>368</v>
      </c>
      <c r="F158" s="10" t="s">
        <v>369</v>
      </c>
      <c r="G158" s="104"/>
      <c r="H158" s="104"/>
      <c r="I158" s="104"/>
      <c r="J158" s="104"/>
      <c r="K158" s="104"/>
      <c r="L158" s="104"/>
      <c r="M158" s="104"/>
      <c r="AG158" s="15"/>
    </row>
    <row r="159" spans="1:33" ht="20.100000000000001" customHeight="1" x14ac:dyDescent="0.25">
      <c r="A159"/>
      <c r="D159" s="164" t="s">
        <v>384</v>
      </c>
      <c r="E159" s="21" t="s">
        <v>368</v>
      </c>
      <c r="F159" s="10" t="s">
        <v>369</v>
      </c>
      <c r="G159" s="104"/>
      <c r="H159" s="104"/>
      <c r="I159" s="104"/>
      <c r="J159" s="104"/>
      <c r="K159" s="104"/>
      <c r="L159" s="104"/>
      <c r="M159" s="104"/>
      <c r="AG159" s="15"/>
    </row>
    <row r="160" spans="1:33" ht="20.100000000000001" customHeight="1" x14ac:dyDescent="0.25">
      <c r="A160"/>
      <c r="D160" s="164" t="s">
        <v>311</v>
      </c>
      <c r="E160" s="21" t="s">
        <v>368</v>
      </c>
      <c r="F160" s="10" t="s">
        <v>369</v>
      </c>
      <c r="G160" s="104"/>
      <c r="H160" s="104"/>
      <c r="I160" s="104"/>
      <c r="J160" s="104"/>
      <c r="K160" s="104"/>
      <c r="L160" s="104"/>
      <c r="M160" s="104"/>
      <c r="AG160" s="15"/>
    </row>
    <row r="161" spans="4:33" ht="20.100000000000001" customHeight="1" x14ac:dyDescent="0.25">
      <c r="D161" s="163" t="s">
        <v>385</v>
      </c>
      <c r="E161" s="104" t="s">
        <v>386</v>
      </c>
      <c r="F161" s="104" t="s">
        <v>386</v>
      </c>
      <c r="G161" s="104"/>
      <c r="H161" s="104"/>
      <c r="I161" s="104"/>
      <c r="J161" s="104"/>
      <c r="K161" s="104"/>
      <c r="L161" s="104"/>
      <c r="M161" s="104"/>
      <c r="AG161" s="15"/>
    </row>
    <row r="162" spans="4:33" ht="20.100000000000001" customHeight="1" x14ac:dyDescent="0.25">
      <c r="D162" s="104" t="s">
        <v>305</v>
      </c>
      <c r="E162" s="104" t="s">
        <v>386</v>
      </c>
      <c r="F162" s="104" t="s">
        <v>386</v>
      </c>
      <c r="G162" s="104"/>
      <c r="H162" s="104"/>
      <c r="I162" s="104"/>
      <c r="J162" s="104"/>
      <c r="K162" s="104"/>
      <c r="L162" s="104"/>
      <c r="M162" s="104"/>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workbookViewId="0" zoomScale="100" zoomScaleNormal="100">
      <selection activeCell="A29" sqref="A29"/>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8"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5" t="s">
        <v>91</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8"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8"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8"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8"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28"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48" t="s">
        <v>116</v>
      </c>
    </row>
    <row r="16" spans="1:65" ht="20.100000000000001" customHeight="1" x14ac:dyDescent="0.25">
      <c r="A16" s="28" t="str">
        <f>HYPERLINK("#'5.1.1.1-2 Inorganic fert N2O'!A1", "5.1.1.1-2 Inorganic fert N2O")</f>
        <v>5.1.1.1-2 Inorganic fert N2O</v>
      </c>
    </row>
    <row r="17" spans="1:4" ht="20.100000000000001" customHeight="1" x14ac:dyDescent="0.25">
      <c r="A17" s="28" t="str">
        <f>HYPERLINK("#'5.1.1.3-4 Inorganic fert CO2'!A1", "5.1.1.3-4 Inorganic fert CO2")</f>
        <v>5.1.1.3-4 Inorganic fert CO2</v>
      </c>
    </row>
    <row r="18" spans="1:4" ht="20.100000000000001" customHeight="1" x14ac:dyDescent="0.25">
      <c r="A18" s="28"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5">
      <c r="A19" s="28"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5">
      <c r="A20" s="28" t="str">
        <f>HYPERLINK("#'5.4.1.1-4 Atmos deposition'!A1", "5.4.1.1-4 Atmos. deposition")</f>
        <v>5.4.1.1-4 Atmos. deposition</v>
      </c>
      <c r="D20" s="17" t="s">
        <v>17</v>
      </c>
    </row>
    <row r="21" spans="1:4" ht="20.100000000000001" customHeight="1" x14ac:dyDescent="0.25">
      <c r="A21" s="28"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5">
      <c r="A22" s="28"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5">
      <c r="A23" s="28"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5">
      <c r="A24"/>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s="66" t="s">
        <v>133</v>
      </c>
      <c r="D26" s="17" t="str" cm="1">
        <f t="array" ref="D26">Common_InputFunctions.Utility_DisplayArrayInTable(Common_SourceData.Common_SourceData_WASA4Areas_Data(), Table_WASA4Areas[[#Headers],[SA 4 Name]], 0)</f>
        <v>Perth - South East</v>
      </c>
    </row>
    <row r="27" spans="1:4" ht="20.100000000000001" customHeight="1" x14ac:dyDescent="0.25">
      <c r="A27" s="28"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5">
      <c r="A28" s="28"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18"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5EDC0-5A90-4A63-B9AD-E0514F5500B5}">
  <dimension ref="A1:K160"/>
  <sheetViews>
    <sheetView showGridLines="0"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79</v>
      </c>
    </row>
    <row r="2" spans="1:11" s="9" customFormat="1" x14ac:dyDescent="0.25">
      <c r="A2"/>
    </row>
    <row r="3" spans="1:11" ht="20.25" x14ac:dyDescent="0.25">
      <c r="A3" s="28" t="str">
        <f>HYPERLINK("#'Home'!A1", "Home")</f>
        <v>Home</v>
      </c>
      <c r="C3" s="24"/>
      <c r="D3" s="24"/>
      <c r="E3" s="24"/>
      <c r="F3" s="24"/>
      <c r="G3" s="24"/>
      <c r="H3" s="24"/>
      <c r="I3" s="24"/>
      <c r="J3" s="24"/>
      <c r="K3" s="24"/>
    </row>
    <row r="4" spans="1:11" x14ac:dyDescent="0.25">
      <c r="A4" s="28" t="str">
        <f>HYPERLINK("#'Overview'!A1", "Overview")</f>
        <v>Overview</v>
      </c>
    </row>
    <row r="5" spans="1:11" x14ac:dyDescent="0.25">
      <c r="A5"/>
      <c r="D5" s="15" t="s">
        <v>80</v>
      </c>
      <c r="E5" s="25" t="s">
        <v>81</v>
      </c>
      <c r="F5" s="26" t="s">
        <v>82</v>
      </c>
    </row>
    <row r="6" spans="1:11" x14ac:dyDescent="0.25">
      <c r="A6"/>
      <c r="D6" s="15" t="s">
        <v>83</v>
      </c>
      <c r="E6" s="25" t="s">
        <v>84</v>
      </c>
      <c r="F6" s="26" t="s">
        <v>82</v>
      </c>
    </row>
    <row r="7" spans="1:11" x14ac:dyDescent="0.25">
      <c r="A7" s="35" t="s">
        <v>91</v>
      </c>
      <c r="D7" s="15" t="s">
        <v>56</v>
      </c>
      <c r="E7" s="25" t="s">
        <v>85</v>
      </c>
      <c r="F7" s="26" t="s">
        <v>82</v>
      </c>
    </row>
    <row r="8" spans="1:11" x14ac:dyDescent="0.25">
      <c r="A8" s="28" t="str">
        <f>HYPERLINK("#'Input - Planting'!A1", "Planting")</f>
        <v>Planting</v>
      </c>
      <c r="D8" s="15" t="s">
        <v>86</v>
      </c>
      <c r="E8" s="27">
        <v>100</v>
      </c>
      <c r="F8" s="26" t="s">
        <v>87</v>
      </c>
    </row>
    <row r="9" spans="1:11" x14ac:dyDescent="0.25">
      <c r="A9" s="28" t="str">
        <f>HYPERLINK("#'Input - Fertiliser'!A1", "Fertiliser")</f>
        <v>Fertiliser</v>
      </c>
    </row>
    <row r="10" spans="1:11" x14ac:dyDescent="0.25">
      <c r="A10" s="28" t="str">
        <f>HYPERLINK("#'Input - Fuel'!A1", "Fuel")</f>
        <v>Fuel</v>
      </c>
    </row>
    <row r="11" spans="1:11" x14ac:dyDescent="0.25">
      <c r="A11" s="40" t="str">
        <f>HYPERLINK("#'Input - Fert Prod System'!A1", "Fert Prod System")</f>
        <v>Fert Prod System</v>
      </c>
    </row>
    <row r="12" spans="1:11" x14ac:dyDescent="0.25">
      <c r="A12" s="28" t="str">
        <f>HYPERLINK("#'Input - Site'!A1", "Site")</f>
        <v>Site</v>
      </c>
    </row>
    <row r="13" spans="1:11" x14ac:dyDescent="0.25">
      <c r="A13"/>
    </row>
    <row r="14" spans="1:11" x14ac:dyDescent="0.25">
      <c r="A14"/>
    </row>
    <row r="15" spans="1:11" x14ac:dyDescent="0.25">
      <c r="A15" s="48" t="s">
        <v>116</v>
      </c>
    </row>
    <row r="16" spans="1:11" x14ac:dyDescent="0.25">
      <c r="A16" s="28" t="str">
        <f>HYPERLINK("#'5.1.1.1-2 Inorganic fert N2O'!A1", "5.1.1.1-2 Inorganic fert N2O")</f>
        <v>5.1.1.1-2 Inorganic fert N2O</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4" spans="1:1" x14ac:dyDescent="0.25">
      <c r="A24"/>
    </row>
    <row r="25" spans="1:1" x14ac:dyDescent="0.25">
      <c r="A25"/>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row r="30" spans="1:1" x14ac:dyDescent="0.25">
      <c r="A30"/>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16DFEC0C-8C6C-46B5-8C55-02C462BB297B}">
      <formula1>INDIRECT("Table_SourceData_Fertiliser_CropProdSystems[Production system]")</formula1>
    </dataValidation>
    <dataValidation type="list" allowBlank="1" showInputMessage="1" showErrorMessage="1" sqref="E7" xr:uid="{D56440D7-3821-4410-8203-518C95C985E8}">
      <formula1>INDIRECT("Table_SourceData_Fertiliser_IrrigationMethods[Irrigation method]")</formula1>
    </dataValidation>
    <dataValidation type="list" allowBlank="1" showInputMessage="1" showErrorMessage="1" sqref="E6" xr:uid="{50548461-741E-4923-BA67-00472BBB2B71}">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76FDF-6A17-4DA3-BDF0-E2F8358C2347}">
  <dimension ref="A1:AV160"/>
  <sheetViews>
    <sheetView showGridLines="0"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6" t="s">
        <v>387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A2"/>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28"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65" t="str">
        <f>HYPERLINK("#'Overview'!A1", "Overview")</f>
        <v>Overview</v>
      </c>
    </row>
    <row r="5" spans="1:42" ht="20.100000000000001" customHeight="1" x14ac:dyDescent="0.25">
      <c r="A5"/>
      <c r="D5" s="29" t="s">
        <v>388</v>
      </c>
      <c r="E5" s="30"/>
      <c r="F5" s="30"/>
      <c r="G5" s="30"/>
      <c r="H5" s="30"/>
      <c r="I5" s="30"/>
      <c r="J5" s="30"/>
      <c r="K5" s="30"/>
      <c r="L5" s="30"/>
      <c r="M5" s="30"/>
      <c r="N5" s="30"/>
      <c r="O5" s="31"/>
    </row>
    <row r="6" spans="1:42" ht="20.100000000000001" customHeight="1" x14ac:dyDescent="0.25">
      <c r="A6"/>
      <c r="D6" s="170" t="s">
        <v>389</v>
      </c>
      <c r="E6" s="37"/>
      <c r="F6" s="37"/>
      <c r="G6" s="37"/>
      <c r="H6" s="37"/>
      <c r="I6" s="37"/>
      <c r="J6" s="37"/>
      <c r="K6" s="37"/>
      <c r="L6" s="37"/>
      <c r="M6" s="37"/>
      <c r="N6" s="37"/>
      <c r="O6" s="38"/>
    </row>
    <row r="7" spans="1:42" ht="20.100000000000001" customHeight="1" x14ac:dyDescent="0.25">
      <c r="A7" s="35" t="s">
        <v>91</v>
      </c>
    </row>
    <row r="8" spans="1:42" ht="20.100000000000001" customHeight="1" x14ac:dyDescent="0.25">
      <c r="A8" s="28" t="str">
        <f>HYPERLINK("#'Input - Planting'!A1", "Planting")</f>
        <v>Planting</v>
      </c>
    </row>
    <row r="9" spans="1:42" ht="20.100000000000001" customHeight="1" x14ac:dyDescent="0.25">
      <c r="A9" s="28" t="str">
        <f>HYPERLINK("#'Input - Fertiliser'!A1", "Fertiliser")</f>
        <v>Fertiliser</v>
      </c>
    </row>
    <row r="10" spans="1:42" ht="20.100000000000001" customHeight="1" x14ac:dyDescent="0.25">
      <c r="A10" s="28" t="str">
        <f>HYPERLINK("#'Input - Fuel'!A1", "Fuel")</f>
        <v>Fuel</v>
      </c>
    </row>
    <row r="11" spans="1:42" ht="20.100000000000001" customHeight="1" x14ac:dyDescent="0.25">
      <c r="A11" s="28" t="str">
        <f>HYPERLINK("#'Input - Fert Prod System'!A1", "Fert Prod System")</f>
        <v>Fert Prod System</v>
      </c>
    </row>
    <row r="12" spans="1:42" ht="20.100000000000001" customHeight="1" x14ac:dyDescent="0.25">
      <c r="A12" s="28" t="str">
        <f>HYPERLINK("#'Input - Site'!A1", "Site")</f>
        <v>Site</v>
      </c>
    </row>
    <row r="13" spans="1:42" ht="20.100000000000001" customHeight="1" x14ac:dyDescent="0.25">
      <c r="A13"/>
    </row>
    <row r="14" spans="1:42" ht="20.100000000000001" customHeight="1" x14ac:dyDescent="0.25">
      <c r="A14"/>
    </row>
    <row r="15" spans="1:42" ht="20.100000000000001" customHeight="1" x14ac:dyDescent="0.25">
      <c r="A15" s="48" t="s">
        <v>116</v>
      </c>
    </row>
    <row r="16" spans="1:42" ht="20.100000000000001" customHeight="1" x14ac:dyDescent="0.25">
      <c r="A16" s="28" t="str">
        <f>HYPERLINK("#'5.1.1.1-2 Inorganic fert N2O'!A1", "5.1.1.1-2 Inorganic fert N2O")</f>
        <v>5.1.1.1-2 Inorganic fert N2O</v>
      </c>
    </row>
    <row r="17" spans="1:1" ht="20.100000000000001" customHeight="1" x14ac:dyDescent="0.25">
      <c r="A17" s="28" t="str">
        <f>HYPERLINK("#'5.1.1.3-4 Inorganic fert CO2'!A1", "5.1.1.3-4 Inorganic fert CO2")</f>
        <v>5.1.1.3-4 Inorganic fert CO2</v>
      </c>
    </row>
    <row r="18" spans="1:1" ht="20.100000000000001" customHeight="1" x14ac:dyDescent="0.25">
      <c r="A18" s="28" t="str">
        <f>HYPERLINK("#'5.2.1.1-2 Organic Fert N2O'!A1", "5.2.1.1-2 Organic fert N2O")</f>
        <v>5.2.1.1-2 Organic fert N2O</v>
      </c>
    </row>
    <row r="19" spans="1:1" ht="20.100000000000001" customHeight="1" x14ac:dyDescent="0.25">
      <c r="A19" s="28" t="str">
        <f>HYPERLINK("#'5.3.1.1-2 Lime CO2'!A1", "5.3.1.1-2 Lime CO2")</f>
        <v>5.3.1.1-2 Lime CO2</v>
      </c>
    </row>
    <row r="20" spans="1:1" ht="20.100000000000001" customHeight="1" x14ac:dyDescent="0.25">
      <c r="A20" s="28" t="str">
        <f>HYPERLINK("#'5.4.1.1-4 Atmos deposition'!A1", "5.4.1.1-4 Atmos. deposition")</f>
        <v>5.4.1.1-4 Atmos. deposition</v>
      </c>
    </row>
    <row r="21" spans="1:1" ht="20.100000000000001" customHeight="1" x14ac:dyDescent="0.25">
      <c r="A21" s="28" t="str">
        <f>HYPERLINK("#'5.5.1.1-2 Leaching and runoff'!A1", "5.5.1.1-2 Leaching &amp; runoff")</f>
        <v>5.5.1.1-2 Leaching &amp; runoff</v>
      </c>
    </row>
    <row r="22" spans="1:1" ht="20.100000000000001" customHeight="1" x14ac:dyDescent="0.25">
      <c r="A22" s="28" t="str">
        <f>HYPERLINK("#'8.1.1.1-2 Transport fuel'!A1", "8.1.1.1-2 Transport fuel")</f>
        <v>8.1.1.1-2 Transport fuel</v>
      </c>
    </row>
    <row r="23" spans="1:1" ht="20.100000000000001" customHeight="1" x14ac:dyDescent="0.25">
      <c r="A23" s="28"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66" t="s">
        <v>133</v>
      </c>
    </row>
    <row r="27" spans="1:1" ht="20.100000000000001" customHeight="1" x14ac:dyDescent="0.25">
      <c r="A27" s="28" t="str">
        <f>HYPERLINK("#'Constants - Fertiliser'!A1", "Constants - Fertiliser")</f>
        <v>Constants - Fertiliser</v>
      </c>
    </row>
    <row r="28" spans="1:1" ht="20.100000000000001" customHeight="1" x14ac:dyDescent="0.25">
      <c r="A28" s="28" t="str">
        <f>HYPERLINK("#'Constants - Fuel'!A1", "Constants - Fuel")</f>
        <v>Constants - Fuel</v>
      </c>
    </row>
    <row r="29" spans="1:1" ht="20.100000000000001" customHeight="1" x14ac:dyDescent="0.25">
      <c r="A29" s="28"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390</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391</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DA492-C6F3-4E94-8C89-2126EECC8F59}">
  <sheetPr>
    <pageSetUpPr autoPageBreaks="0"/>
  </sheetPr>
  <dimension ref="A1:AA160"/>
  <sheetViews>
    <sheetView showGridLines="0" tabSelected="1" workbookViewId="0" zoomScale="100" zoomScaleNormal="100">
      <selection activeCell="A28" sqref="A28"/>
    </sheetView>
  </sheetViews>
  <sheetFormatPr defaultColWidth="8" defaultRowHeight="15.75" x14ac:dyDescent="0.25"/>
  <cols>
    <col min="1" max="1" width="26.875" style="211"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1" t="s">
        <v>392</v>
      </c>
    </row>
    <row r="2" spans="1:24" s="11" customFormat="1" ht="20.100000000000001" customHeight="1" x14ac:dyDescent="0.25">
      <c r="A2"/>
      <c r="C2" s="9"/>
      <c r="D2" s="9"/>
      <c r="E2" s="9"/>
      <c r="F2" s="9"/>
      <c r="G2" s="9"/>
      <c r="H2" s="9"/>
      <c r="I2" s="9"/>
      <c r="J2" s="9"/>
    </row>
    <row r="3" spans="1:24" ht="20.100000000000001" customHeight="1" x14ac:dyDescent="0.25">
      <c r="A3" s="28"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28" t="str">
        <f>HYPERLINK("#'Overview'!A1", "Overview")</f>
        <v>Overview</v>
      </c>
      <c r="C4" s="172"/>
      <c r="D4" s="172"/>
      <c r="E4" s="172"/>
      <c r="F4" s="172"/>
      <c r="G4" s="172"/>
      <c r="H4" s="172"/>
      <c r="I4" s="172"/>
      <c r="J4" s="172"/>
      <c r="K4" s="172"/>
    </row>
    <row r="5" spans="1:24" ht="20.100000000000001" customHeight="1" x14ac:dyDescent="0.25">
      <c r="A5"/>
      <c r="D5" s="16" t="s">
        <v>393</v>
      </c>
      <c r="N5" s="173"/>
    </row>
    <row r="6" spans="1:24" ht="20.100000000000001" customHeight="1" x14ac:dyDescent="0.25">
      <c r="A6"/>
      <c r="D6" s="174"/>
      <c r="N6" s="175"/>
    </row>
    <row r="7" spans="1:24" ht="20.100000000000001" customHeight="1" x14ac:dyDescent="0.25">
      <c r="A7" s="35" t="s">
        <v>91</v>
      </c>
      <c r="D7" s="15" t="s">
        <v>394</v>
      </c>
      <c r="E7" s="59" t="s">
        <v>395</v>
      </c>
      <c r="F7" s="26"/>
    </row>
    <row r="8" spans="1:24" ht="20.100000000000001" customHeight="1" x14ac:dyDescent="0.25">
      <c r="A8" s="28" t="str">
        <f>HYPERLINK("#'Input - Planting'!A1", "Planting")</f>
        <v>Planting</v>
      </c>
      <c r="D8" s="5" t="s">
        <v>396</v>
      </c>
      <c r="E8" s="59" t="s">
        <v>397</v>
      </c>
    </row>
    <row r="9" spans="1:24" ht="20.100000000000001" customHeight="1" x14ac:dyDescent="0.25">
      <c r="A9" s="28" t="str">
        <f>HYPERLINK("#'Input - Fertiliser'!A1", "Fertiliser")</f>
        <v>Fertiliser</v>
      </c>
      <c r="N9" s="176"/>
    </row>
    <row r="10" spans="1:24" ht="20.100000000000001" customHeight="1" x14ac:dyDescent="0.25">
      <c r="A10" s="28" t="str">
        <f>HYPERLINK("#'Input - Fuel'!A1", "Fuel")</f>
        <v>Fuel</v>
      </c>
      <c r="D10" s="177" t="s">
        <v>398</v>
      </c>
      <c r="E10" s="178"/>
      <c r="F10" s="179"/>
      <c r="G10" s="180"/>
      <c r="N10" s="176"/>
    </row>
    <row r="11" spans="1:24" ht="20.100000000000001" customHeight="1" x14ac:dyDescent="0.25">
      <c r="A11" s="28" t="str">
        <f>HYPERLINK("#'Input - Fert Prod System'!A1", "Fert Prod System")</f>
        <v>Fert Prod System</v>
      </c>
      <c r="N11" s="181"/>
    </row>
    <row r="12" spans="1:24" ht="20.100000000000001" customHeight="1" x14ac:dyDescent="0.25">
      <c r="A12" s="40" t="str">
        <f>HYPERLINK("#'Input - Site'!A1", "Site")</f>
        <v>Site</v>
      </c>
      <c r="D12" s="5" t="s">
        <v>7</v>
      </c>
      <c r="E12" s="6">
        <v>45292</v>
      </c>
      <c r="F12" s="26" t="s">
        <v>399</v>
      </c>
    </row>
    <row r="13" spans="1:24" ht="20.100000000000001" customHeight="1" x14ac:dyDescent="0.25">
      <c r="A13"/>
      <c r="D13" s="5" t="s">
        <v>8</v>
      </c>
      <c r="E13" s="7">
        <f>DATE(YEAR(X_Cell_Site_StartDate)+1,MONTH(X_Cell_Site_StartDate),DAY(X_Cell_Site_StartDate))-1</f>
        <v>45657</v>
      </c>
      <c r="F13" s="26" t="s">
        <v>400</v>
      </c>
      <c r="N13" s="182"/>
      <c r="O13" s="182"/>
    </row>
    <row r="14" spans="1:24" ht="20.100000000000001" customHeight="1" x14ac:dyDescent="0.25">
      <c r="A14"/>
      <c r="N14" s="182"/>
      <c r="O14" s="182"/>
    </row>
    <row r="15" spans="1:24" ht="20.100000000000001" customHeight="1" x14ac:dyDescent="0.25">
      <c r="A15" s="48" t="s">
        <v>116</v>
      </c>
      <c r="N15" s="182"/>
      <c r="O15" s="182"/>
    </row>
    <row r="16" spans="1:24" ht="20.100000000000001" customHeight="1" x14ac:dyDescent="0.25">
      <c r="A16" s="28" t="str">
        <f>HYPERLINK("#'5.1.1.1-2 Inorganic fert N2O'!A1", "5.1.1.1-2 Inorganic fert N2O")</f>
        <v>5.1.1.1-2 Inorganic fert N2O</v>
      </c>
      <c r="D16" s="16" t="s">
        <v>401</v>
      </c>
      <c r="N16" s="182"/>
      <c r="O16" s="182"/>
    </row>
    <row r="17" spans="1:25" ht="20.100000000000001" customHeight="1" x14ac:dyDescent="0.25">
      <c r="A17" s="28" t="str">
        <f>HYPERLINK("#'5.1.1.3-4 Inorganic fert CO2'!A1", "5.1.1.3-4 Inorganic fert CO2")</f>
        <v>5.1.1.3-4 Inorganic fert CO2</v>
      </c>
    </row>
    <row r="18" spans="1:25" ht="20.100000000000001" customHeight="1" x14ac:dyDescent="0.25">
      <c r="A18" s="28" t="str">
        <f>HYPERLINK("#'5.2.1.1-2 Organic Fert N2O'!A1", "5.2.1.1-2 Organic fert N2O")</f>
        <v>5.2.1.1-2 Organic fert N2O</v>
      </c>
      <c r="D18" s="183" t="s">
        <v>402</v>
      </c>
      <c r="E18" s="30"/>
      <c r="F18" s="30"/>
      <c r="G18" s="31"/>
    </row>
    <row r="19" spans="1:25" ht="20.100000000000001" customHeight="1" x14ac:dyDescent="0.25">
      <c r="A19" s="28" t="str">
        <f>HYPERLINK("#'5.3.1.1-2 Lime CO2'!A1", "5.3.1.1-2 Lime CO2")</f>
        <v>5.3.1.1-2 Lime CO2</v>
      </c>
      <c r="D19" s="36" t="s">
        <v>403</v>
      </c>
      <c r="E19" s="37"/>
      <c r="F19" s="37"/>
      <c r="G19" s="38"/>
      <c r="N19" s="173"/>
    </row>
    <row r="20" spans="1:25" ht="20.100000000000001" customHeight="1" x14ac:dyDescent="0.25">
      <c r="A20" s="28" t="str">
        <f>HYPERLINK("#'5.4.1.1-4 Atmos deposition'!A1", "5.4.1.1-4 Atmos. deposition")</f>
        <v>5.4.1.1-4 Atmos. deposition</v>
      </c>
      <c r="D20" s="15"/>
      <c r="E20" s="184"/>
      <c r="F20" s="26"/>
      <c r="N20" s="175"/>
    </row>
    <row r="21" spans="1:25" ht="20.100000000000001" customHeight="1" x14ac:dyDescent="0.25">
      <c r="A21" s="28" t="str">
        <f>HYPERLINK("#'5.5.1.1-2 Leaching and runoff'!A1", "5.5.1.1-2 Leaching &amp; runoff")</f>
        <v>5.5.1.1-2 Leaching &amp; runoff</v>
      </c>
      <c r="D21" s="15" t="s">
        <v>404</v>
      </c>
      <c r="E21" s="25" t="s">
        <v>405</v>
      </c>
      <c r="F21" s="26" t="s">
        <v>82</v>
      </c>
    </row>
    <row r="22" spans="1:25" ht="20.100000000000001" customHeight="1" x14ac:dyDescent="0.25">
      <c r="A22" s="28" t="str">
        <f>HYPERLINK("#'8.1.1.1-2 Transport fuel'!A1", "8.1.1.1-2 Transport fuel")</f>
        <v>8.1.1.1-2 Transport fuel</v>
      </c>
      <c r="D22" s="15" t="s">
        <v>406</v>
      </c>
      <c r="E22" s="25" t="s">
        <v>407</v>
      </c>
      <c r="F22" s="26" t="s">
        <v>82</v>
      </c>
      <c r="G22" s="15"/>
    </row>
    <row r="23" spans="1:25" ht="20.100000000000001" customHeight="1" x14ac:dyDescent="0.25">
      <c r="A23" s="28" t="str">
        <f>HYPERLINK("#'8.2.1.1-2 Stationary fuel'!A1", "8.2.1.1-2 Stationary fuel")</f>
        <v>8.2.1.1-2 Stationary fuel</v>
      </c>
      <c r="D23" s="15" t="s">
        <v>408</v>
      </c>
      <c r="E23" s="25" t="s">
        <v>409</v>
      </c>
      <c r="F23" s="26" t="s">
        <v>82</v>
      </c>
    </row>
    <row r="24" spans="1:25" ht="20.100000000000001" customHeight="1" x14ac:dyDescent="0.25">
      <c r="A24"/>
      <c r="D24" s="15" t="s">
        <v>29</v>
      </c>
      <c r="E24" s="59">
        <v>307.7</v>
      </c>
      <c r="F24" s="26" t="s">
        <v>410</v>
      </c>
    </row>
    <row r="25" spans="1:25" ht="20.100000000000001" customHeight="1" x14ac:dyDescent="0.25">
      <c r="A25"/>
      <c r="D25" s="15" t="s">
        <v>411</v>
      </c>
      <c r="E25" s="59">
        <v>18</v>
      </c>
      <c r="F25" s="26" t="s">
        <v>412</v>
      </c>
      <c r="N25" s="175"/>
    </row>
    <row r="26" spans="1:25" ht="20.100000000000001" customHeight="1" x14ac:dyDescent="0.25">
      <c r="A26" s="66" t="s">
        <v>133</v>
      </c>
      <c r="D26" s="15" t="s">
        <v>413</v>
      </c>
      <c r="E26" s="59">
        <v>599</v>
      </c>
      <c r="F26" s="26" t="s">
        <v>414</v>
      </c>
    </row>
    <row r="27" spans="1:25" ht="20.100000000000001" customHeight="1" x14ac:dyDescent="0.25">
      <c r="A27" s="28" t="str">
        <f>HYPERLINK("#'Constants - Fertiliser'!A1", "Constants - Fertiliser")</f>
        <v>Constants - Fertiliser</v>
      </c>
      <c r="D27" s="5" t="s">
        <v>415</v>
      </c>
      <c r="E27" s="59">
        <v>1326</v>
      </c>
      <c r="F27" s="26" t="s">
        <v>414</v>
      </c>
    </row>
    <row r="28" spans="1:25" ht="20.100000000000001" customHeight="1" x14ac:dyDescent="0.25">
      <c r="A28" s="28" t="str">
        <f>HYPERLINK("#'Constants - Fuel'!A1", "Constants - Fuel")</f>
        <v>Constants - Fuel</v>
      </c>
      <c r="D28" s="15" t="s">
        <v>416</v>
      </c>
      <c r="E28" s="59">
        <v>7</v>
      </c>
      <c r="F28" s="26" t="s">
        <v>417</v>
      </c>
    </row>
    <row r="29" spans="1:25" ht="20.100000000000001" customHeight="1" x14ac:dyDescent="0.25">
      <c r="A29" s="28" t="str">
        <f>HYPERLINK("#'Constants - Common'!A1", "Constants - Common")</f>
        <v>Constants - Common</v>
      </c>
      <c r="D29" s="5" t="s">
        <v>418</v>
      </c>
      <c r="E29" s="46">
        <f>X_Cell_Site_TotalRainfall/X_Cell_Site_PotentialEvapotranspiration</f>
        <v>0.45173453996983409</v>
      </c>
      <c r="F29" s="26"/>
    </row>
    <row r="30" spans="1:25" ht="20.100000000000001" customHeight="1" x14ac:dyDescent="0.25">
      <c r="A30"/>
      <c r="D30" s="5" t="s">
        <v>57</v>
      </c>
      <c r="E30" s="46" t="str">
        <f>Common_InputFunctions.Utility_LookupItemFromMinMax(X_Cell_Site_TotalRainfall,Table_SourceData_RainfallZones[Min rainfall],Table_SourceData_RainfallZones[Max rainfall],Table_SourceData_RainfallZones[Rainfall Zone])</f>
        <v>Low rainfall</v>
      </c>
      <c r="G30" s="185"/>
      <c r="L30" s="186"/>
      <c r="M30" s="186"/>
      <c r="N30" s="186"/>
      <c r="O30" s="186"/>
      <c r="P30" s="186"/>
      <c r="Q30" s="186"/>
      <c r="R30" s="186"/>
      <c r="S30" s="186"/>
      <c r="T30" s="186"/>
      <c r="U30" s="186"/>
      <c r="V30" s="186"/>
      <c r="W30" s="186"/>
      <c r="X30" s="186"/>
      <c r="Y30" s="186"/>
    </row>
    <row r="31" spans="1:25" ht="20.100000000000001" customHeight="1" x14ac:dyDescent="0.25">
      <c r="A31"/>
      <c r="D31" s="15" t="s">
        <v>24</v>
      </c>
      <c r="E31" s="46"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4"/>
      <c r="L31" s="187"/>
      <c r="M31" s="187"/>
      <c r="N31" s="187"/>
      <c r="O31" s="187"/>
      <c r="P31" s="187"/>
      <c r="Q31" s="187"/>
      <c r="R31" s="187"/>
      <c r="S31" s="187"/>
      <c r="T31" s="187"/>
      <c r="U31" s="187"/>
      <c r="V31" s="187"/>
      <c r="W31" s="187"/>
      <c r="X31" s="187"/>
      <c r="Y31" s="187"/>
    </row>
    <row r="32" spans="1:25" ht="20.100000000000001" customHeight="1" x14ac:dyDescent="0.25">
      <c r="A32"/>
      <c r="D32" s="15" t="s">
        <v>419</v>
      </c>
      <c r="E32" s="46" t="str">
        <f>Common_InputFunctions.Utility_LookupValueInTable(X_Cell_Site_ClimateZone,Table_SourceData_WetDryZones[Climate zone],Table_SourceData_WetDryZones[Wet or Dry Zone])</f>
        <v>Dry climate zone</v>
      </c>
      <c r="F32" s="15"/>
      <c r="G32" s="184"/>
      <c r="L32" s="187"/>
      <c r="M32" s="187"/>
      <c r="N32" s="187"/>
      <c r="O32" s="187"/>
      <c r="P32" s="187"/>
      <c r="Q32" s="187"/>
      <c r="R32" s="187"/>
      <c r="S32" s="187"/>
      <c r="T32" s="187"/>
      <c r="U32" s="187"/>
      <c r="V32" s="187"/>
      <c r="W32" s="187"/>
      <c r="X32" s="187"/>
      <c r="Y32" s="187"/>
    </row>
    <row r="33" spans="1:25" ht="20.100000000000001" customHeight="1" x14ac:dyDescent="0.25">
      <c r="A33"/>
      <c r="D33" s="15" t="s">
        <v>61</v>
      </c>
      <c r="E33" s="46" t="str">
        <f>Common_InputFunctions.Utility_LookupItemFromMinMax(X_Cell_Site_AverageTemperature,Table_SourceData_TemperatureZones[Min MAT],Table_SourceData_TemperatureZones[Max MAT],Table_SourceData_TemperatureZones[Temperature Zone])</f>
        <v>Temperate</v>
      </c>
      <c r="G33" s="188"/>
      <c r="L33" s="187"/>
      <c r="M33" s="187"/>
      <c r="N33" s="187"/>
      <c r="O33" s="187"/>
      <c r="P33" s="187"/>
      <c r="Q33" s="187"/>
      <c r="R33" s="187"/>
      <c r="S33" s="187"/>
      <c r="T33" s="187"/>
      <c r="U33" s="187"/>
      <c r="V33" s="187"/>
      <c r="W33" s="187"/>
      <c r="X33" s="187"/>
      <c r="Y33" s="187"/>
    </row>
    <row r="34" spans="1:25" ht="20.100000000000001" customHeight="1" x14ac:dyDescent="0.25">
      <c r="A34"/>
      <c r="J34" s="189"/>
      <c r="K34" s="190"/>
      <c r="L34" s="187"/>
      <c r="M34" s="187"/>
      <c r="N34" s="187"/>
      <c r="O34" s="187"/>
      <c r="P34" s="187"/>
      <c r="Q34" s="187"/>
      <c r="R34" s="187"/>
      <c r="S34" s="187"/>
      <c r="T34" s="187"/>
      <c r="U34" s="187"/>
      <c r="V34" s="187"/>
      <c r="W34" s="187"/>
      <c r="X34" s="187"/>
      <c r="Y34" s="187"/>
    </row>
    <row r="35" spans="1:25" ht="20.100000000000001" customHeight="1" x14ac:dyDescent="0.25">
      <c r="A35"/>
      <c r="J35" s="189"/>
      <c r="K35" s="190"/>
      <c r="L35" s="187"/>
      <c r="M35" s="187"/>
      <c r="N35" s="187"/>
      <c r="O35" s="187"/>
      <c r="P35" s="187"/>
      <c r="Q35" s="187"/>
      <c r="R35" s="187"/>
      <c r="S35" s="187"/>
      <c r="T35" s="187"/>
      <c r="U35" s="187"/>
      <c r="V35" s="187"/>
      <c r="W35" s="187"/>
      <c r="X35" s="187"/>
      <c r="Y35" s="187"/>
    </row>
    <row r="36" spans="1:25" ht="20.100000000000001" customHeight="1" x14ac:dyDescent="0.25">
      <c r="A36"/>
      <c r="D36" s="191"/>
      <c r="E36" s="191"/>
      <c r="F36" s="192"/>
      <c r="G36" s="189"/>
      <c r="H36" s="189"/>
      <c r="I36" s="193"/>
      <c r="J36" s="189"/>
      <c r="K36" s="190"/>
      <c r="L36" s="187"/>
      <c r="M36" s="187"/>
      <c r="N36" s="187"/>
      <c r="O36" s="187"/>
      <c r="P36" s="187"/>
      <c r="Q36" s="187"/>
      <c r="R36" s="187"/>
      <c r="S36" s="187"/>
      <c r="T36" s="187"/>
      <c r="U36" s="187"/>
      <c r="V36" s="187"/>
      <c r="W36" s="187"/>
      <c r="X36" s="187"/>
      <c r="Y36" s="187"/>
    </row>
    <row r="37" spans="1:25" ht="20.100000000000001" customHeight="1" x14ac:dyDescent="0.25">
      <c r="A37"/>
      <c r="D37" s="191"/>
      <c r="E37" s="191"/>
      <c r="F37" s="192"/>
      <c r="G37" s="189"/>
      <c r="H37" s="189"/>
      <c r="I37" s="193"/>
      <c r="J37" s="189"/>
      <c r="K37" s="190"/>
      <c r="L37" s="187"/>
      <c r="M37" s="187"/>
      <c r="N37" s="187"/>
      <c r="O37" s="187"/>
      <c r="P37" s="187"/>
      <c r="Q37" s="187"/>
      <c r="R37" s="187"/>
      <c r="S37" s="187"/>
      <c r="T37" s="187"/>
      <c r="U37" s="187"/>
      <c r="V37" s="187"/>
      <c r="W37" s="187"/>
      <c r="X37" s="187"/>
      <c r="Y37" s="187"/>
    </row>
    <row r="38" spans="1:25" ht="20.100000000000001" customHeight="1" x14ac:dyDescent="0.25">
      <c r="A38"/>
      <c r="D38" s="191"/>
      <c r="E38" s="191"/>
      <c r="F38" s="192"/>
      <c r="G38" s="189"/>
      <c r="H38" s="189"/>
      <c r="I38" s="193"/>
      <c r="J38" s="189"/>
      <c r="K38" s="190"/>
      <c r="L38" s="187"/>
      <c r="M38" s="187"/>
      <c r="N38" s="187"/>
      <c r="O38" s="187"/>
      <c r="P38" s="187"/>
      <c r="Q38" s="187"/>
      <c r="R38" s="187"/>
      <c r="S38" s="187"/>
      <c r="T38" s="187"/>
      <c r="U38" s="187"/>
      <c r="V38" s="187"/>
      <c r="W38" s="187"/>
      <c r="X38" s="187"/>
      <c r="Y38" s="187"/>
    </row>
    <row r="39" spans="1:25" ht="20.100000000000001" customHeight="1" x14ac:dyDescent="0.25">
      <c r="A39"/>
      <c r="D39" s="191"/>
      <c r="E39" s="191"/>
      <c r="F39" s="192"/>
      <c r="G39" s="189"/>
      <c r="H39" s="189"/>
      <c r="I39" s="193"/>
      <c r="J39" s="189"/>
      <c r="K39" s="190"/>
      <c r="L39" s="187"/>
      <c r="M39" s="187"/>
      <c r="N39" s="187"/>
      <c r="O39" s="187"/>
      <c r="P39" s="187"/>
      <c r="Q39" s="187"/>
      <c r="R39" s="187"/>
      <c r="S39" s="187"/>
      <c r="T39" s="187"/>
      <c r="U39" s="187"/>
      <c r="V39" s="187"/>
      <c r="W39" s="187"/>
      <c r="X39" s="187"/>
      <c r="Y39" s="187"/>
    </row>
    <row r="40" spans="1:25" ht="20.100000000000001" customHeight="1" x14ac:dyDescent="0.25">
      <c r="A40"/>
      <c r="D40" s="194"/>
      <c r="E40" s="194"/>
      <c r="F40" s="194"/>
      <c r="G40" s="195"/>
      <c r="H40" s="196"/>
      <c r="I40" s="196"/>
      <c r="J40" s="196"/>
      <c r="K40" s="196"/>
      <c r="L40" s="197"/>
      <c r="M40" s="197"/>
      <c r="N40" s="197"/>
      <c r="O40" s="197"/>
      <c r="P40" s="197"/>
      <c r="Q40" s="197"/>
      <c r="R40" s="197"/>
      <c r="S40" s="197"/>
      <c r="T40" s="197"/>
      <c r="U40" s="197"/>
      <c r="V40" s="197"/>
      <c r="W40" s="197"/>
      <c r="X40" s="197"/>
      <c r="Y40" s="19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8"/>
      <c r="E47" s="198"/>
      <c r="F47" s="198"/>
      <c r="G47" s="198"/>
      <c r="H47" s="198"/>
    </row>
    <row r="48" spans="1:25" ht="20.100000000000001" customHeight="1" x14ac:dyDescent="0.25">
      <c r="A48"/>
      <c r="D48" s="199"/>
      <c r="E48" s="199"/>
      <c r="F48" s="200"/>
      <c r="G48" s="200"/>
      <c r="H48" s="199"/>
    </row>
    <row r="49" spans="1:8" ht="20.100000000000001" customHeight="1" x14ac:dyDescent="0.25">
      <c r="A49"/>
      <c r="D49" s="199"/>
      <c r="E49" s="199"/>
      <c r="F49" s="200"/>
      <c r="G49" s="200"/>
      <c r="H49" s="199"/>
    </row>
    <row r="50" spans="1:8" ht="20.100000000000001" customHeight="1" x14ac:dyDescent="0.25">
      <c r="A50"/>
      <c r="D50" s="199"/>
      <c r="E50" s="199"/>
      <c r="F50" s="200"/>
      <c r="G50" s="200"/>
      <c r="H50" s="199"/>
    </row>
    <row r="51" spans="1:8" ht="20.100000000000001" customHeight="1" x14ac:dyDescent="0.25">
      <c r="A51"/>
      <c r="D51" s="201"/>
      <c r="E51" s="202"/>
      <c r="F51" s="202"/>
      <c r="G51" s="202"/>
      <c r="H51" s="203"/>
    </row>
    <row r="52" spans="1:8" ht="20.100000000000001" customHeight="1" x14ac:dyDescent="0.25">
      <c r="A52"/>
    </row>
    <row r="53" spans="1:8" ht="20.100000000000001" customHeight="1" x14ac:dyDescent="0.25">
      <c r="A53"/>
    </row>
    <row r="54" spans="1:8" ht="20.100000000000001" customHeight="1" x14ac:dyDescent="0.25">
      <c r="A54"/>
      <c r="G54" s="204"/>
    </row>
    <row r="55" spans="1:8" ht="20.100000000000001" customHeight="1" x14ac:dyDescent="0.25">
      <c r="A55"/>
      <c r="D55" s="16"/>
    </row>
    <row r="56" spans="1:8" ht="20.100000000000001" customHeight="1" x14ac:dyDescent="0.25">
      <c r="A56"/>
    </row>
    <row r="57" spans="1:8" ht="20.100000000000001" customHeight="1" x14ac:dyDescent="0.25">
      <c r="A57"/>
      <c r="D57" s="205"/>
      <c r="F57" s="206"/>
    </row>
    <row r="58" spans="1:8" ht="20.100000000000001" customHeight="1" x14ac:dyDescent="0.25">
      <c r="A58"/>
      <c r="D58" s="15"/>
      <c r="E58" s="207"/>
    </row>
    <row r="59" spans="1:8" ht="20.100000000000001" customHeight="1" x14ac:dyDescent="0.25">
      <c r="A59"/>
      <c r="D59" s="15"/>
      <c r="E59" s="207"/>
    </row>
    <row r="60" spans="1:8" ht="20.100000000000001" customHeight="1" x14ac:dyDescent="0.25">
      <c r="A60"/>
      <c r="D60" s="15"/>
      <c r="E60" s="208"/>
    </row>
    <row r="61" spans="1:8" ht="20.100000000000001" customHeight="1" x14ac:dyDescent="0.25">
      <c r="A61"/>
      <c r="D61" s="15"/>
    </row>
    <row r="62" spans="1:8" ht="20.100000000000001" customHeight="1" x14ac:dyDescent="0.25">
      <c r="A62"/>
    </row>
    <row r="63" spans="1:8" ht="20.100000000000001" customHeight="1" x14ac:dyDescent="0.25">
      <c r="A63"/>
      <c r="D63" s="205"/>
    </row>
    <row r="64" spans="1:8" ht="20.100000000000001" customHeight="1" x14ac:dyDescent="0.25">
      <c r="A64"/>
      <c r="D64" s="15"/>
      <c r="E64" s="207"/>
    </row>
    <row r="65" spans="1:9" ht="20.100000000000001" customHeight="1" x14ac:dyDescent="0.25">
      <c r="A65"/>
      <c r="D65" s="15"/>
      <c r="E65" s="207"/>
    </row>
    <row r="66" spans="1:9" ht="20.100000000000001" customHeight="1" x14ac:dyDescent="0.25">
      <c r="A66"/>
      <c r="D66" s="15"/>
      <c r="E66" s="208"/>
    </row>
    <row r="67" spans="1:9" ht="20.100000000000001" customHeight="1" x14ac:dyDescent="0.25">
      <c r="A67"/>
    </row>
    <row r="68" spans="1:9" ht="20.100000000000001" customHeight="1" x14ac:dyDescent="0.25">
      <c r="A68"/>
    </row>
    <row r="69" spans="1:9" ht="20.100000000000001" customHeight="1" x14ac:dyDescent="0.25">
      <c r="A69"/>
      <c r="D69" s="209"/>
      <c r="E69" s="209"/>
      <c r="F69" s="209"/>
      <c r="G69" s="209"/>
      <c r="H69" s="209"/>
      <c r="I69" s="209"/>
    </row>
    <row r="70" spans="1:9" ht="20.100000000000001" customHeight="1" x14ac:dyDescent="0.25">
      <c r="A70"/>
      <c r="D70" s="209"/>
      <c r="E70" s="209"/>
      <c r="F70" s="209"/>
      <c r="G70" s="209"/>
      <c r="H70" s="209"/>
      <c r="I70" s="209"/>
    </row>
    <row r="71" spans="1:9" ht="20.100000000000001" customHeight="1" x14ac:dyDescent="0.25">
      <c r="A71"/>
      <c r="D71" s="209"/>
      <c r="E71" s="209"/>
      <c r="F71" s="209"/>
      <c r="G71" s="209"/>
      <c r="H71" s="209"/>
      <c r="I71" s="209"/>
    </row>
    <row r="72" spans="1:9" ht="20.100000000000001" customHeight="1" x14ac:dyDescent="0.25">
      <c r="A72"/>
      <c r="D72" s="209"/>
      <c r="E72" s="209"/>
      <c r="F72" s="209"/>
      <c r="G72" s="209"/>
      <c r="H72" s="209"/>
      <c r="I72" s="20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0"/>
    </row>
    <row r="79" spans="1:9" ht="20.100000000000001" customHeight="1" x14ac:dyDescent="0.25">
      <c r="A79"/>
      <c r="D79" s="210"/>
    </row>
    <row r="80" spans="1:9" ht="20.100000000000001" customHeight="1" x14ac:dyDescent="0.25">
      <c r="A80"/>
      <c r="D80" s="210"/>
    </row>
    <row r="81" spans="1:4" ht="20.100000000000001" customHeight="1" x14ac:dyDescent="0.25">
      <c r="A81"/>
      <c r="D81" s="210"/>
    </row>
    <row r="82" spans="1:4" ht="20.100000000000001" customHeight="1" x14ac:dyDescent="0.25">
      <c r="A82"/>
      <c r="D82" s="21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16BF6B19-78C0-4708-9AE7-4461F5D7F4E2}">
      <formula1>"YES - In leaching zone, NO - Not in leaching zone"</formula1>
    </dataValidation>
    <dataValidation type="list" allowBlank="1" showInputMessage="1" showErrorMessage="1" sqref="G36:G39" xr:uid="{23F567BB-4541-445D-AC7E-40BABCFE68EB}">
      <formula1>$D$41:$D$43</formula1>
    </dataValidation>
    <dataValidation type="list" allowBlank="1" showInputMessage="1" showErrorMessage="1" sqref="E22" xr:uid="{C736AACD-2DDB-4452-B800-803455A993E6}">
      <formula1>INDIRECT("Table_WASA4Areas[SA 4 Name]")</formula1>
    </dataValidation>
    <dataValidation type="list" allowBlank="1" showInputMessage="1" showErrorMessage="1" sqref="E21" xr:uid="{0BC40A08-601A-4E20-A4DA-D1260F455696}">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3.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11A2AC3-1ADA-41F8-AB99-DE5FD8AAAF2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67</vt:i4>
      </vt:variant>
    </vt:vector>
  </HeadingPairs>
  <TitlesOfParts>
    <vt:vector size="85"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2026-08-05T04:45:02Z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