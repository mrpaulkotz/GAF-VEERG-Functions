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B30877E9-4099-4C12-90AF-FEC977B7F017}" xr6:coauthVersionLast="47" xr6:coauthVersionMax="47" xr10:uidLastSave="{00000000-0000-0000-0000-000000000000}"/>
  <bookViews>
    <workbookView xWindow="15" yWindow="135" windowWidth="28800" windowHeight="17280" activeTab="1" xr2:uid="{992023F3-CAB7-4E5B-A348-08D563A0EF40}"/>
  </bookViews>
  <sheets>
    <sheet name="Home" sheetId="71" r:id="rId1"/>
    <sheet name="Results" sheetId="13" r:id="rId2"/>
  </sheets>
  <definedNames>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SourceHyperlink">_xlfn.LAMBDA(_xlpm.TargetCell, _xlfn.LET(_xlpm.sh, _xlfn.TEXTAFTER(CELL("filename", _xlpm.TargetCell), "]"), _xlpm.addr, CELL("address", _xlpm.TargetCell), "#'" &amp; _xlpm.sh &amp; "'!" &amp; _xlpm.addr))</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4_2_1_1__1_TotalAnnualMethaneProductionFromManureManagement_Result_Method1">#REF!</definedName>
    <definedName name="VEERG_4_2_1_1__1_TotalAnnualMethaneProductionFromManureManagement_Result_Method2">#REF!</definedName>
    <definedName name="VEERG_4_2_1_3__1_DirectNitrousOxideEmissionsOnPasture_Result_Method1">#REF!</definedName>
    <definedName name="VEERG_4_2_1_3__1_DirectNitrousOxideEmissionsOnPasture_Result_Method2">#REF!</definedName>
    <definedName name="VEERG_4_2_1_5__1_AtmosphericDepositionEmissionsFromUrineAndDungOnPasture_Result_Method1">#REF!</definedName>
    <definedName name="VEERG_4_2_1_5__1_AtmosphericDepositionEmissionsFromUrineAndDungOnPasture_Result_Method2">#REF!</definedName>
    <definedName name="VEERG_4_2_1_7__1_LeachingAndRunoffEmissionsFromUrineAndDungOnPasture_Result_Method1">#REF!</definedName>
    <definedName name="VEERG_4_2_1_7__1_LeachingAndRunoffEmissionsFromUrineAndDungOnPasture_Result_Method2">#REF!</definedName>
    <definedName name="X_Cell_PastureBeef_Breed">#REF!</definedName>
    <definedName name="X_Cell_PastureBeef_FencedWater">#REF!</definedName>
    <definedName name="X_Cell_PastureBeef_GrazingIrrigationMethod">#REF!</definedName>
    <definedName name="X_Cell_PastureBeef_GrazingProductionSystem">#REF!</definedName>
    <definedName name="X_Cell_PastureBeef_ProductionRegion">#REF!</definedName>
    <definedName name="X_Cell_Site_AverageTemperature">#REF!</definedName>
    <definedName name="X_Cell_Site_ClimateZone">#REF!</definedName>
    <definedName name="X_Cell_Site_Elevation">#REF!</definedName>
    <definedName name="X_Cell_Site_FarmName">#REF!</definedName>
    <definedName name="X_Cell_Site_FrostDays">#REF!</definedName>
    <definedName name="X_Cell_Site_LeachingZone">#REF!</definedName>
    <definedName name="X_Cell_Site_MapPetRatio">#REF!</definedName>
    <definedName name="X_Cell_Site_PotentialEvapotranspiration">#REF!</definedName>
    <definedName name="X_Cell_Site_RainfallZone">#REF!</definedName>
    <definedName name="X_Cell_Site_Region">#REF!</definedName>
    <definedName name="X_Cell_Site_ReportingEntityName">#REF!</definedName>
    <definedName name="X_Cell_Site_StartDate">#REF!</definedName>
    <definedName name="X_Cell_Site_State">#REF!</definedName>
    <definedName name="X_Cell_Site_TemperatureZone">#REF!</definedName>
    <definedName name="X_Cell_Site_TotalRainfall">#REF!</definedName>
    <definedName name="X_Cell_Site_WetOrDryClimateZone">#REF!</definedName>
    <definedName name="X_Table_PastureBeef_CrudeProtein_Method1">#REF!</definedName>
    <definedName name="X_Table_PastureBeef_CrudeProtein_Method2">#REF!</definedName>
    <definedName name="X_Table_PastureBeef_DryMatterDigestibility_Method1">#REF!</definedName>
    <definedName name="X_Table_PastureBeef_DryMatterDigestibility_Method2">#REF!</definedName>
    <definedName name="X_Table_PastureBeef_Duration_Method1">#REF!</definedName>
    <definedName name="X_Table_PastureBeef_Duration_Method2">#REF!</definedName>
    <definedName name="X_Table_PastureBeef_Head_Method1">#REF!</definedName>
    <definedName name="X_Table_PastureBeef_Head_Method2">#REF!</definedName>
    <definedName name="X_Table_PastureBeef_Liveweight_Method1">#REF!</definedName>
    <definedName name="X_Table_PastureBeef_Liveweight_Method2">#REF!</definedName>
    <definedName name="X_Table_PastureBeef_LiveweightGain_Method1">#REF!</definedName>
    <definedName name="X_Table_PastureBeef_LiveweightGain_Method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3" l="1"/>
  <c r="G10" i="13" l="1"/>
  <c r="A20" i="13" l="1"/>
  <c r="A19" i="13"/>
  <c r="A18" i="13"/>
  <c r="A17" i="13"/>
  <c r="A14" i="13"/>
  <c r="A13" i="13"/>
  <c r="A12" i="13"/>
  <c r="A11" i="13"/>
  <c r="A8" i="13"/>
  <c r="A7" i="13"/>
  <c r="A4" i="13"/>
  <c r="A3" i="13"/>
  <c r="H7" i="13" l="1"/>
  <c r="I7" i="13" l="1"/>
  <c r="E7" i="13"/>
  <c r="E10" i="13"/>
  <c r="H10" i="13"/>
  <c r="H9" i="13"/>
  <c r="E9" i="13"/>
  <c r="H8" i="13"/>
  <c r="E8" i="13"/>
  <c r="F7" i="13" l="1"/>
  <c r="H11" i="13"/>
  <c r="I10" i="13" l="1"/>
  <c r="F10" i="13"/>
  <c r="I9" i="13"/>
  <c r="F9" i="13"/>
  <c r="I8" i="13"/>
  <c r="F8" i="13"/>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<sst xmlns="http://schemas.openxmlformats.org/spreadsheetml/2006/main" count="25" uniqueCount="21">
  <si>
    <t>Home</t>
  </si>
  <si>
    <t>INPUTS</t>
  </si>
  <si>
    <t>APPENDICES</t>
  </si>
  <si>
    <t>Emissions breakdown</t>
  </si>
  <si>
    <t>CALCULATIONS</t>
  </si>
  <si>
    <t>Scope 1 source</t>
  </si>
  <si>
    <t>Total</t>
  </si>
  <si>
    <t>GHG Unit</t>
  </si>
  <si>
    <t>CO2-e unit</t>
  </si>
  <si>
    <t>t CH4</t>
  </si>
  <si>
    <t>t CO2e</t>
  </si>
  <si>
    <t>GHG emissions method 1</t>
  </si>
  <si>
    <t>GHG emissions method 2</t>
  </si>
  <si>
    <t>CO2-e emissions method 1</t>
  </si>
  <si>
    <t>CO2-e emissions method 2</t>
  </si>
  <si>
    <t>4.2 Manure management: Pasture Beef: Results</t>
  </si>
  <si>
    <t>4.2.1.1-2 Manure methane</t>
  </si>
  <si>
    <t>t N2O</t>
  </si>
  <si>
    <t>4.2.1.3-4 Soil direct N2O</t>
  </si>
  <si>
    <t>4.2.1.5-6 Soil atmospheric deposition</t>
  </si>
  <si>
    <t>4.2.1.7-8 Soil leaching and runoff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</si>
</sst>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
    <numFmt numFmtId="166" formatCode="d/mm/yyyy;@"/>
    <numFmt numFmtId="167" formatCode="[$-C09]dd\-mmmm\-yyyy;@"/>
    <numFmt numFmtId="168" formatCode="#,##0.000000"/>
  </numFmts>
  <fonts count="4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66">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7"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8"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cellStyleXfs>
  <cellXfs count="26">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6" fillId="4" borderId="0" xfId="12" applyAlignment="1">
      <alignment horizontal="left" indent="1"/>
    </xf>
    <xf numFmtId="0" fontId="23" fillId="4" borderId="1" xfId="0" applyFont="1" applyFill="1" applyBorder="1"/>
    <xf numFmtId="0" fontId="29" fillId="4" borderId="0" xfId="8" applyAlignment="1">
      <alignment horizontal="right" vertical="center"/>
    </xf>
    <xf numFmtId="0" fontId="6" fillId="4" borderId="0" xfId="53">
      <alignment horizontal="left" vertical="center"/>
    </xf>
    <xf numFmtId="0" fontId="10" fillId="0" borderId="0" xfId="32"/>
    <xf numFmtId="0" fontId="6" fillId="4" borderId="1" xfId="53" applyBorder="1">
      <alignment horizontal="left" vertical="center"/>
    </xf>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cellXfs>
  <cellStyles count="66">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12">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1"/>
      <tableStyleElement type="headerRow" dxfId="10"/>
      <tableStyleElement type="totalRow" dxfId="9"/>
      <tableStyleElement type="firstColumn" dxfId="8"/>
      <tableStyleElement type="firstRowStripe" dxfId="7"/>
      <tableStyleElement type="secondRowStripe" dxfId="6"/>
    </tableStyle>
    <tableStyle name="Equation table" pivot="0" count="6" xr9:uid="{B247698E-E41D-4CCD-AA0A-C14817E9DE65}">
      <tableStyleElement type="wholeTable" dxfId="5"/>
      <tableStyleElement type="headerRow" dxfId="4"/>
      <tableStyleElement type="totalRow" dxfId="3"/>
      <tableStyleElement type="firstColumn" dxfId="2"/>
      <tableStyleElement type="firstRowStripe" dxfId="1"/>
      <tableStyleElement type="secondRowStripe" dxfId="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5" Type="http://schemas.openxmlformats.org/officeDocument/2006/relationships/customXml" Target="../customXml/item4.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9" t="e" vm="1">
        <v>#VALUE!</v>
      </c>
      <c r="C1" s="25" t="s">
        <v>15</v>
      </c>
    </row>
    <row r="2" spans="1:11" ht="20.100000000000001" customHeight="1" x14ac:dyDescent="0.25">
      <c r="A2" s="3"/>
      <c r="C2" s="3"/>
    </row>
    <row r="3" spans="1:11" ht="20.100000000000001" customHeight="1" x14ac:dyDescent="0.25">
      <c r="A3" s="5" t="str">
        <f>HYPERLINK("#'Home'!A1", "Home")</f>
        <v>Home</v>
      </c>
      <c r="C3" s="9"/>
      <c r="D3" s="9"/>
      <c r="E3" s="9"/>
      <c r="F3" s="9"/>
      <c r="G3" s="9"/>
      <c r="H3" s="9"/>
      <c r="I3" s="9"/>
      <c r="J3" s="9"/>
      <c r="K3" s="9"/>
    </row>
    <row r="4" spans="1:11" ht="20.100000000000001" customHeight="1" x14ac:dyDescent="0.25">
      <c r="A4" s="5" t="str">
        <f>HYPERLINK("#'Results'!A1", "Results")</f>
        <v>Results</v>
      </c>
      <c r="C4" s="9"/>
      <c r="D4" s="2" t="s">
        <v>3</v>
      </c>
      <c r="E4" s="11"/>
      <c r="F4" s="11"/>
      <c r="G4" s="11"/>
      <c r="H4" s="2"/>
      <c r="I4" s="2"/>
      <c r="J4" s="2"/>
      <c r="K4" s="12"/>
    </row>
    <row r="5" spans="1:11" ht="20.100000000000001" customHeight="1" x14ac:dyDescent="0.3">
      <c r="A5" s="4"/>
      <c r="C5" s="9"/>
      <c r="D5" s="13"/>
      <c r="E5" s="14"/>
      <c r="F5" s="14"/>
      <c r="G5" s="14"/>
      <c r="H5" s="11"/>
      <c r="I5" s="9"/>
      <c r="J5" s="9"/>
      <c r="K5" s="9"/>
    </row>
    <row r="6" spans="1:11" ht="20.100000000000001" customHeight="1" x14ac:dyDescent="0.25">
      <c r="A6" s="8" t="s">
        <v>1</v>
      </c>
      <c r="C6" s="9"/>
      <c r="D6" s="24" t="s">
        <v>5</v>
      </c>
      <c r="E6" s="24" t="s">
        <v>11</v>
      </c>
      <c r="F6" s="24" t="s">
        <v>12</v>
      </c>
      <c r="G6" s="24" t="s">
        <v>7</v>
      </c>
      <c r="H6" s="24" t="s">
        <v>13</v>
      </c>
      <c r="I6" s="24" t="s">
        <v>14</v>
      </c>
      <c r="J6" s="24" t="s">
        <v>8</v>
      </c>
      <c r="K6" s="9"/>
    </row>
    <row r="7" spans="1:11" ht="20.100000000000001" customHeight="1" x14ac:dyDescent="0.25">
      <c r="A7" s="5" t="str">
        <f>HYPERLINK("#'Input - Site'!A1", "Site")</f>
        <v>Site</v>
      </c>
      <c r="C7" s="9"/>
      <c r="D7" s="1" t="s">
        <v>16</v>
      </c>
      <c r="E7" s="22" t="e">
        <f>#REF!</f>
        <v>#REF!</v>
      </c>
      <c r="F7" s="22" t="e">
        <f>#REF!</f>
        <v>#REF!</v>
      </c>
      <c r="G7" s="18" t="s">
        <v>9</v>
      </c>
      <c r="H7" s="22" t="e">
        <f>#REF!</f>
        <v>#REF!</v>
      </c>
      <c r="I7" s="22" t="e">
        <f>#REF!</f>
        <v>#REF!</v>
      </c>
      <c r="J7" s="18" t="s">
        <v>10</v>
      </c>
      <c r="K7" s="9"/>
    </row>
    <row r="8" spans="1:11" ht="20.100000000000001" customHeight="1" x14ac:dyDescent="0.25">
      <c r="A8" s="5" t="str">
        <f>HYPERLINK("#'Input - Pasture Beef'!A1", "Pasture Beef")</f>
        <v>Pasture Beef</v>
      </c>
      <c r="C8" s="9"/>
      <c r="D8" s="1" t="s">
        <v>18</v>
      </c>
      <c r="E8" s="22" t="e">
        <f>#REF!</f>
        <v>#REF!</v>
      </c>
      <c r="F8" s="22" t="e">
        <f>#REF!</f>
        <v>#REF!</v>
      </c>
      <c r="G8" s="18" t="s">
        <v>17</v>
      </c>
      <c r="H8" s="22" t="e">
        <f>#REF!</f>
        <v>#REF!</v>
      </c>
      <c r="I8" s="22" t="e">
        <f>#REF!</f>
        <v>#REF!</v>
      </c>
      <c r="J8" s="18" t="s">
        <v>10</v>
      </c>
      <c r="K8" s="9"/>
    </row>
    <row r="9" spans="1:11" ht="20.100000000000001" customHeight="1" x14ac:dyDescent="0.25">
      <c r="A9" s="5"/>
      <c r="C9" s="9"/>
      <c r="D9" s="1" t="s">
        <v>19</v>
      </c>
      <c r="E9" s="22" t="e">
        <f>#REF!</f>
        <v>#REF!</v>
      </c>
      <c r="F9" s="22" t="e">
        <f>#REF!</f>
        <v>#REF!</v>
      </c>
      <c r="G9" s="18" t="e">
        <f>#REF!</f>
        <v>#REF!</v>
      </c>
      <c r="H9" s="22" t="e">
        <f>#REF!</f>
        <v>#REF!</v>
      </c>
      <c r="I9" s="22" t="e">
        <f>#REF!</f>
        <v>#REF!</v>
      </c>
      <c r="J9" s="18" t="s">
        <v>10</v>
      </c>
      <c r="K9" s="9"/>
    </row>
    <row r="10" spans="1:11" ht="20.100000000000001" customHeight="1" x14ac:dyDescent="0.25">
      <c r="A10" s="7" t="s">
        <v>4</v>
      </c>
      <c r="C10" s="9"/>
      <c r="D10" s="1" t="s">
        <v>20</v>
      </c>
      <c r="E10" s="22" t="e">
        <f>#REF!</f>
        <v>#REF!</v>
      </c>
      <c r="F10" s="22" t="e">
        <f>#REF!</f>
        <v>#REF!</v>
      </c>
      <c r="G10" s="18" t="e">
        <f>#REF!</f>
        <v>#REF!</v>
      </c>
      <c r="H10" s="22" t="e">
        <f>#REF!</f>
        <v>#REF!</v>
      </c>
      <c r="I10" s="22" t="e">
        <f>#REF!</f>
        <v>#REF!</v>
      </c>
      <c r="J10" s="18" t="s">
        <v>10</v>
      </c>
      <c r="K10" s="9"/>
    </row>
    <row r="11" spans="1:11" ht="20.100000000000001" customHeight="1" x14ac:dyDescent="0.3">
      <c r="A11" s="5" t="str">
        <f>HYPERLINK("#'4.2.1.1-2 Methane'!A1", "4.2.1.1-2 Methane")</f>
        <v>4.2.1.1-2 Methane</v>
      </c>
      <c r="C11" s="9"/>
      <c r="D11" s="16" t="s">
        <v>6</v>
      </c>
      <c r="E11" s="10"/>
      <c r="F11" s="10"/>
      <c r="G11" s="16"/>
      <c r="H11" s="23" t="e">
        <f>SUM(H7:H10)</f>
        <v>#REF!</v>
      </c>
      <c r="I11" s="23" t="e">
        <f>SUM(I7:I10)</f>
        <v>#REF!</v>
      </c>
      <c r="J11" s="20" t="s">
        <v>10</v>
      </c>
      <c r="K11" s="9"/>
    </row>
    <row r="12" spans="1:11" ht="20.100000000000001" customHeight="1" x14ac:dyDescent="0.25">
      <c r="A12" s="5" t="str">
        <f>HYPERLINK("#'4.2.1.3-4 Soil direct N2O'!A1", "4.2.1.3-4 Soil direct N2O")</f>
        <v>4.2.1.3-4 Soil direct N2O</v>
      </c>
      <c r="C12" s="9"/>
      <c r="D12" s="1"/>
      <c r="E12" s="1"/>
      <c r="F12" s="1"/>
      <c r="G12" s="11"/>
      <c r="H12" s="9"/>
      <c r="I12" s="1"/>
      <c r="J12" s="1"/>
      <c r="K12" s="9"/>
    </row>
    <row r="13" spans="1:11" ht="20.100000000000001" customHeight="1" x14ac:dyDescent="0.25">
      <c r="A13" s="5" t="str">
        <f>HYPERLINK("#'4.2.1.5-6 Soil Atmos Dep'!A1", "4.2.1.5-6 Soil atm. deposition")</f>
        <v>4.2.1.5-6 Soil atm. deposition</v>
      </c>
      <c r="C13" s="9"/>
      <c r="D13" s="1"/>
      <c r="E13" s="1"/>
      <c r="F13" s="1"/>
      <c r="G13" s="1"/>
      <c r="H13" s="11"/>
      <c r="I13" s="9"/>
      <c r="J13" s="9"/>
      <c r="K13" s="9"/>
    </row>
    <row r="14" spans="1:11" ht="20.100000000000001" customHeight="1" x14ac:dyDescent="0.3">
      <c r="A14" s="5" t="str">
        <f>HYPERLINK("#'4.2.1.7-8 Soil leach runoff'!A1", "4.2.1.7-8 Soil leach &amp; runoff")</f>
        <v>4.2.1.7-8 Soil leach &amp; runoff</v>
      </c>
      <c r="C14" s="9"/>
      <c r="D14" s="1"/>
      <c r="E14" s="1"/>
      <c r="F14" s="1"/>
      <c r="G14" s="1"/>
      <c r="H14" s="14"/>
      <c r="I14" s="9"/>
      <c r="J14" s="9"/>
      <c r="K14" s="9"/>
    </row>
    <row r="15" spans="1:11" ht="20.100000000000001" customHeight="1" x14ac:dyDescent="0.3">
      <c r="A15" s="5"/>
      <c r="C15" s="9"/>
      <c r="D15" s="1"/>
      <c r="E15" s="1"/>
      <c r="F15" s="1"/>
      <c r="G15" s="1"/>
      <c r="H15" s="14"/>
      <c r="I15" s="9"/>
      <c r="J15" s="9"/>
      <c r="K15" s="9"/>
    </row>
    <row r="16" spans="1:11" ht="20.100000000000001" customHeight="1" x14ac:dyDescent="0.3">
      <c r="A16" s="6" t="s">
        <v>2</v>
      </c>
      <c r="C16" s="9"/>
      <c r="D16" s="1"/>
      <c r="E16" s="1"/>
      <c r="F16" s="1"/>
      <c r="G16" s="1"/>
      <c r="H16" s="14"/>
      <c r="I16" s="9"/>
      <c r="J16" s="9"/>
      <c r="K16" s="9"/>
    </row>
    <row r="17" spans="1:11" ht="20.100000000000001" customHeight="1" x14ac:dyDescent="0.3">
      <c r="A17" s="5" t="str">
        <f>HYPERLINK("#'Constants - Pasture Beef'!A1", "Constants - Pasture Beef")</f>
        <v>Constants - Pasture Beef</v>
      </c>
      <c r="C17" s="9"/>
      <c r="D17" s="1"/>
      <c r="E17" s="1"/>
      <c r="F17" s="1"/>
      <c r="G17" s="1"/>
      <c r="H17" s="14"/>
      <c r="I17" s="9"/>
      <c r="J17" s="9"/>
      <c r="K17" s="9"/>
    </row>
    <row r="18" spans="1:11" ht="20.100000000000001" customHeight="1" x14ac:dyDescent="0.3">
      <c r="A18" s="5" t="str">
        <f>HYPERLINK("#'Constants - Livestock'!A1", "Constants - Livestock")</f>
        <v>Constants - Livestock</v>
      </c>
      <c r="C18" s="9"/>
      <c r="D18" s="1"/>
      <c r="E18" s="1"/>
      <c r="F18" s="1"/>
      <c r="G18" s="1"/>
      <c r="H18" s="14"/>
      <c r="I18" s="9"/>
      <c r="J18" s="9"/>
      <c r="K18" s="9"/>
    </row>
    <row r="19" spans="1:11" ht="20.100000000000001" customHeight="1" x14ac:dyDescent="0.3">
      <c r="A19" s="5" t="str">
        <f>HYPERLINK("#'Constants - Common'!A1", "Constants - Common")</f>
        <v>Constants - Common</v>
      </c>
      <c r="C19" s="9"/>
      <c r="D19" s="1"/>
      <c r="E19" s="1"/>
      <c r="F19" s="1"/>
      <c r="G19" s="1"/>
      <c r="H19" s="14"/>
      <c r="I19" s="9"/>
      <c r="J19" s="9"/>
      <c r="K19" s="9"/>
    </row>
    <row r="20" spans="1:11" ht="20.100000000000001" customHeight="1" x14ac:dyDescent="0.3">
      <c r="A20" s="5" t="str">
        <f>HYPERLINK("#'Acknowledgements'!A1", "Acknowledgements")</f>
        <v>Acknowledgements</v>
      </c>
      <c r="C20" s="9"/>
      <c r="D20" s="1"/>
      <c r="E20" s="1"/>
      <c r="F20" s="1"/>
      <c r="G20" s="1"/>
      <c r="H20" s="14"/>
      <c r="I20" s="9"/>
      <c r="J20" s="9"/>
      <c r="K20" s="9"/>
    </row>
    <row r="21" spans="1:11" ht="20.100000000000001" customHeight="1" x14ac:dyDescent="0.3">
      <c r="C21" s="9"/>
      <c r="D21" s="1"/>
      <c r="E21" s="1"/>
      <c r="F21" s="1"/>
      <c r="G21" s="1"/>
      <c r="H21" s="14"/>
      <c r="I21" s="9"/>
      <c r="J21" s="9"/>
      <c r="K21" s="9"/>
    </row>
    <row r="22" spans="1:11" ht="20.100000000000001" customHeight="1" x14ac:dyDescent="0.3">
      <c r="A22" s="5"/>
      <c r="C22" s="9"/>
      <c r="D22" s="1"/>
      <c r="E22" s="1"/>
      <c r="F22" s="1"/>
      <c r="G22" s="1"/>
      <c r="H22" s="14"/>
      <c r="I22" s="9"/>
      <c r="J22" s="9"/>
      <c r="K22" s="9"/>
    </row>
    <row r="23" spans="1:11" ht="20.100000000000001" customHeight="1" x14ac:dyDescent="0.3">
      <c r="A23" s="5"/>
      <c r="C23" s="9"/>
      <c r="D23" s="1"/>
      <c r="E23" s="1"/>
      <c r="F23" s="1"/>
      <c r="G23" s="1"/>
      <c r="H23" s="14"/>
      <c r="I23" s="9"/>
      <c r="J23" s="9"/>
      <c r="K23" s="9"/>
    </row>
    <row r="24" spans="1:11" ht="20.100000000000001" customHeight="1" x14ac:dyDescent="0.3">
      <c r="A24" s="5"/>
      <c r="C24" s="9"/>
      <c r="D24" s="1"/>
      <c r="E24" s="1"/>
      <c r="F24" s="1"/>
      <c r="G24" s="1"/>
      <c r="H24" s="14"/>
      <c r="I24" s="9"/>
      <c r="J24" s="9"/>
      <c r="K24" s="9"/>
    </row>
    <row r="25" spans="1:11" ht="20.100000000000001" customHeight="1" x14ac:dyDescent="0.3">
      <c r="C25" s="9"/>
      <c r="D25" s="1"/>
      <c r="E25" s="1"/>
      <c r="F25" s="1"/>
      <c r="G25" s="1"/>
      <c r="H25" s="14"/>
      <c r="I25" s="9"/>
      <c r="J25" s="9"/>
      <c r="K25" s="9"/>
    </row>
    <row r="26" spans="1:11" ht="20.100000000000001" customHeight="1" x14ac:dyDescent="0.3">
      <c r="C26" s="9"/>
      <c r="D26" s="1"/>
      <c r="E26" s="1"/>
      <c r="F26" s="1"/>
      <c r="G26" s="1"/>
      <c r="H26" s="14"/>
      <c r="I26" s="9"/>
      <c r="J26" s="9"/>
      <c r="K26" s="9"/>
    </row>
    <row r="27" spans="1:11" ht="20.100000000000001" customHeight="1" x14ac:dyDescent="0.25">
      <c r="C27" s="9"/>
      <c r="D27" s="1"/>
      <c r="E27" s="1"/>
      <c r="F27" s="1"/>
      <c r="G27" s="1"/>
      <c r="H27" s="1"/>
      <c r="I27" s="1"/>
      <c r="J27" s="9"/>
      <c r="K27" s="9"/>
    </row>
    <row r="28" spans="1:11" ht="20.100000000000001" customHeight="1" x14ac:dyDescent="0.25">
      <c r="C28" s="9"/>
      <c r="D28" s="1"/>
      <c r="E28" s="1"/>
      <c r="F28" s="1"/>
      <c r="G28" s="1"/>
      <c r="H28" s="1"/>
      <c r="I28" s="1"/>
      <c r="J28" s="9"/>
      <c r="K28" s="9"/>
    </row>
    <row r="29" spans="1:11" ht="20.100000000000001" customHeight="1" x14ac:dyDescent="0.25">
      <c r="C29" s="9"/>
      <c r="D29" s="1"/>
      <c r="E29" s="1"/>
      <c r="F29" s="1"/>
      <c r="G29" s="1"/>
      <c r="H29" s="1"/>
      <c r="I29" s="1"/>
      <c r="J29" s="9"/>
      <c r="K29" s="9"/>
    </row>
    <row r="30" spans="1:11" ht="20.100000000000001" customHeight="1" x14ac:dyDescent="0.25">
      <c r="C30" s="9"/>
      <c r="D30" s="1"/>
      <c r="E30" s="1"/>
      <c r="F30" s="1"/>
      <c r="G30" s="1"/>
      <c r="H30" s="1"/>
      <c r="I30" s="1"/>
      <c r="J30" s="9"/>
      <c r="K30" s="9"/>
    </row>
    <row r="31" spans="1:11" ht="20.100000000000001" customHeight="1" x14ac:dyDescent="0.25">
      <c r="C31" s="9"/>
      <c r="D31" s="1"/>
      <c r="E31" s="1"/>
      <c r="F31" s="1"/>
      <c r="G31" s="1"/>
      <c r="H31" s="1"/>
      <c r="I31" s="1"/>
      <c r="J31" s="9"/>
      <c r="K31" s="9"/>
    </row>
    <row r="32" spans="1:11" ht="20.100000000000001" customHeight="1" x14ac:dyDescent="0.25">
      <c r="C32" s="9"/>
      <c r="D32" s="1"/>
      <c r="E32" s="1"/>
      <c r="F32" s="1"/>
      <c r="G32" s="1"/>
      <c r="H32" s="1"/>
      <c r="I32" s="1"/>
      <c r="J32" s="9"/>
      <c r="K32" s="9"/>
    </row>
    <row r="33" spans="3:11" ht="20.100000000000001" customHeight="1" x14ac:dyDescent="0.25">
      <c r="C33" s="9"/>
      <c r="D33" s="1"/>
      <c r="E33" s="1"/>
      <c r="F33" s="1"/>
      <c r="G33" s="1"/>
      <c r="H33" s="1"/>
      <c r="I33" s="1"/>
      <c r="J33" s="9"/>
      <c r="K33" s="9"/>
    </row>
    <row r="34" spans="3:11" ht="20.100000000000001" customHeight="1" x14ac:dyDescent="0.25">
      <c r="C34" s="9"/>
      <c r="D34" s="1"/>
      <c r="E34" s="1"/>
      <c r="F34" s="1"/>
      <c r="G34" s="1"/>
      <c r="H34" s="1"/>
      <c r="I34" s="9"/>
      <c r="J34" s="9"/>
      <c r="K34" s="9"/>
    </row>
    <row r="35" spans="3:11" ht="20.100000000000001" customHeight="1" x14ac:dyDescent="0.25">
      <c r="C35" s="9"/>
      <c r="D35" s="1"/>
      <c r="E35" s="1"/>
      <c r="F35" s="1"/>
      <c r="G35" s="1"/>
      <c r="H35" s="1"/>
      <c r="I35" s="9"/>
      <c r="J35" s="9"/>
      <c r="K35" s="9"/>
    </row>
    <row r="36" spans="3:11" ht="20.100000000000001" customHeight="1" x14ac:dyDescent="0.25">
      <c r="C36" s="9"/>
      <c r="D36" s="1"/>
      <c r="E36" s="1"/>
      <c r="F36" s="1"/>
      <c r="G36" s="1"/>
      <c r="H36" s="1"/>
      <c r="I36" s="9"/>
      <c r="J36" s="9"/>
      <c r="K36" s="9"/>
    </row>
    <row r="37" spans="3:11" ht="20.100000000000001" customHeight="1" x14ac:dyDescent="0.25">
      <c r="C37" s="9"/>
      <c r="D37" s="1"/>
      <c r="E37" s="1"/>
      <c r="F37" s="1"/>
      <c r="G37" s="1"/>
      <c r="H37" s="1"/>
      <c r="I37" s="9"/>
      <c r="J37" s="9"/>
      <c r="K37" s="9"/>
    </row>
    <row r="38" spans="3:11" ht="20.100000000000001" customHeight="1" x14ac:dyDescent="0.25">
      <c r="C38" s="9"/>
      <c r="D38" s="1"/>
      <c r="E38" s="1"/>
      <c r="F38" s="1"/>
      <c r="G38" s="1"/>
      <c r="H38" s="1"/>
      <c r="I38" s="21"/>
      <c r="J38" s="21"/>
      <c r="K38" s="9"/>
    </row>
    <row r="39" spans="3:11" ht="20.100000000000001" customHeight="1" x14ac:dyDescent="0.25">
      <c r="C39" s="9"/>
      <c r="D39" s="1"/>
      <c r="E39" s="1"/>
      <c r="F39" s="1"/>
      <c r="G39" s="1"/>
      <c r="H39" s="1"/>
      <c r="I39" s="21"/>
      <c r="J39" s="21"/>
      <c r="K39" s="9"/>
    </row>
    <row r="40" spans="3:11" ht="20.100000000000001" customHeight="1" x14ac:dyDescent="0.25">
      <c r="C40" s="9"/>
      <c r="D40" s="1"/>
      <c r="E40" s="1"/>
      <c r="F40" s="1"/>
      <c r="G40" s="1"/>
      <c r="H40" s="1"/>
      <c r="I40" s="21"/>
      <c r="J40" s="21"/>
      <c r="K40" s="9"/>
    </row>
    <row r="41" spans="3:11" ht="20.100000000000001" customHeight="1" x14ac:dyDescent="0.25">
      <c r="C41" s="9"/>
      <c r="D41" s="1"/>
      <c r="E41" s="1"/>
      <c r="F41" s="1"/>
      <c r="G41" s="1"/>
      <c r="H41" s="1"/>
      <c r="I41" s="21"/>
      <c r="J41" s="21"/>
      <c r="K41" s="9"/>
    </row>
    <row r="42" spans="3:11" ht="20.100000000000001" customHeight="1" x14ac:dyDescent="0.25">
      <c r="C42" s="9"/>
      <c r="D42" s="1"/>
      <c r="E42" s="1"/>
      <c r="F42" s="1"/>
      <c r="G42" s="1"/>
      <c r="H42" s="1"/>
      <c r="I42" s="21"/>
      <c r="J42" s="21"/>
      <c r="K42" s="9"/>
    </row>
    <row r="43" spans="3:11" ht="20.100000000000001" customHeight="1" x14ac:dyDescent="0.25">
      <c r="C43" s="9"/>
      <c r="D43" s="1"/>
      <c r="E43" s="1"/>
      <c r="F43" s="1"/>
      <c r="G43" s="1"/>
      <c r="H43" s="1"/>
      <c r="I43" s="21"/>
      <c r="J43" s="21"/>
      <c r="K43" s="9"/>
    </row>
    <row r="44" spans="3:11" ht="20.100000000000001" customHeight="1" x14ac:dyDescent="0.25">
      <c r="C44" s="9"/>
      <c r="D44" s="1"/>
      <c r="E44" s="1"/>
      <c r="F44" s="1"/>
      <c r="G44" s="1"/>
      <c r="H44" s="1"/>
      <c r="I44" s="21"/>
      <c r="J44" s="21"/>
      <c r="K44" s="9"/>
    </row>
    <row r="45" spans="3:11" ht="20.100000000000001" customHeight="1" x14ac:dyDescent="0.25">
      <c r="C45" s="9"/>
      <c r="D45" s="1"/>
      <c r="E45" s="1"/>
      <c r="F45" s="1"/>
      <c r="G45" s="1"/>
      <c r="H45" s="1"/>
      <c r="I45" s="21"/>
      <c r="J45" s="21"/>
      <c r="K45" s="9"/>
    </row>
    <row r="46" spans="3:11" ht="20.100000000000001" customHeight="1" x14ac:dyDescent="0.25">
      <c r="C46" s="9"/>
      <c r="D46" s="1"/>
      <c r="E46" s="1"/>
      <c r="F46" s="1"/>
      <c r="G46" s="1"/>
      <c r="H46" s="1"/>
      <c r="I46" s="21"/>
      <c r="J46" s="21"/>
      <c r="K46" s="9"/>
    </row>
    <row r="47" spans="3:11" ht="20.100000000000001" customHeight="1" x14ac:dyDescent="0.25">
      <c r="C47" s="9"/>
      <c r="D47" s="1"/>
      <c r="E47" s="1"/>
      <c r="F47" s="1"/>
      <c r="G47" s="1"/>
      <c r="H47" s="1"/>
      <c r="I47" s="21"/>
      <c r="J47" s="21"/>
      <c r="K47" s="9"/>
    </row>
    <row r="48" spans="3:11" ht="20.100000000000001" customHeight="1" x14ac:dyDescent="0.25">
      <c r="C48" s="9"/>
      <c r="D48" s="1"/>
      <c r="E48" s="1"/>
      <c r="F48" s="1"/>
      <c r="G48" s="1"/>
      <c r="H48" s="1"/>
      <c r="I48" s="21"/>
      <c r="J48" s="21"/>
      <c r="K48" s="9"/>
    </row>
    <row r="49" spans="3:11" ht="20.100000000000001" customHeight="1" x14ac:dyDescent="0.25">
      <c r="C49" s="9"/>
      <c r="D49" s="1"/>
      <c r="E49" s="1"/>
      <c r="F49" s="1"/>
      <c r="G49" s="1"/>
      <c r="H49" s="21"/>
      <c r="I49" s="21"/>
      <c r="J49" s="21"/>
      <c r="K49" s="9"/>
    </row>
    <row r="50" spans="3:11" ht="20.100000000000001" customHeight="1" x14ac:dyDescent="0.25">
      <c r="C50" s="9"/>
      <c r="D50" s="1"/>
      <c r="E50" s="1"/>
      <c r="F50" s="1"/>
      <c r="G50" s="1"/>
      <c r="H50" s="21"/>
      <c r="I50" s="21"/>
      <c r="J50" s="21"/>
      <c r="K50" s="9"/>
    </row>
    <row r="51" spans="3:11" ht="20.100000000000001" customHeight="1" x14ac:dyDescent="0.25">
      <c r="C51" s="9"/>
      <c r="D51" s="1"/>
      <c r="E51" s="1"/>
      <c r="F51" s="1"/>
      <c r="G51" s="1"/>
      <c r="H51" s="21"/>
      <c r="I51" s="21"/>
      <c r="J51" s="21"/>
      <c r="K51" s="9"/>
    </row>
    <row r="52" spans="3:11" ht="20.100000000000001" customHeight="1" x14ac:dyDescent="0.25">
      <c r="C52" s="9"/>
      <c r="D52" s="1"/>
      <c r="E52" s="1"/>
      <c r="F52" s="1"/>
      <c r="G52" s="1"/>
      <c r="H52" s="21"/>
      <c r="I52" s="21"/>
      <c r="J52" s="21"/>
      <c r="K52" s="9"/>
    </row>
    <row r="53" spans="3:11" ht="20.100000000000001" customHeight="1" x14ac:dyDescent="0.25">
      <c r="C53" s="9"/>
      <c r="D53" s="1"/>
      <c r="E53" s="1"/>
      <c r="F53" s="1"/>
      <c r="G53" s="1"/>
      <c r="H53" s="21"/>
      <c r="I53" s="21"/>
      <c r="J53" s="21"/>
      <c r="K53" s="9"/>
    </row>
    <row r="54" spans="3:11" ht="20.100000000000001" customHeight="1" x14ac:dyDescent="0.25">
      <c r="C54" s="9"/>
      <c r="D54" s="1"/>
      <c r="E54" s="1"/>
      <c r="F54" s="1"/>
      <c r="G54" s="1"/>
      <c r="H54" s="9"/>
      <c r="I54" s="9"/>
      <c r="J54" s="9"/>
      <c r="K54" s="9"/>
    </row>
    <row r="55" spans="3:11" ht="20.100000000000001" customHeight="1" x14ac:dyDescent="0.25">
      <c r="C55" s="9"/>
      <c r="D55" s="1"/>
      <c r="E55" s="1"/>
      <c r="F55" s="1"/>
      <c r="G55" s="1"/>
      <c r="H55" s="9"/>
      <c r="I55" s="9"/>
      <c r="J55" s="9"/>
      <c r="K55" s="9"/>
    </row>
    <row r="56" spans="3:11" ht="20.100000000000001" customHeight="1" x14ac:dyDescent="0.25">
      <c r="C56" s="9"/>
      <c r="D56" s="1"/>
      <c r="E56" s="1"/>
      <c r="F56" s="1"/>
      <c r="G56" s="1"/>
      <c r="H56" s="9"/>
      <c r="I56" s="9"/>
      <c r="J56" s="9"/>
      <c r="K56" s="9"/>
    </row>
    <row r="57" spans="3:11" ht="20.100000000000001" customHeight="1" x14ac:dyDescent="0.25">
      <c r="C57" s="9"/>
      <c r="D57" s="1"/>
      <c r="E57" s="1"/>
      <c r="F57" s="1"/>
      <c r="G57" s="1"/>
      <c r="H57" s="9"/>
      <c r="I57" s="9"/>
      <c r="J57" s="9"/>
      <c r="K57" s="9"/>
    </row>
    <row r="58" spans="3:11" ht="20.100000000000001" customHeight="1" x14ac:dyDescent="0.25">
      <c r="C58" s="9"/>
      <c r="D58" s="1"/>
      <c r="E58" s="17"/>
      <c r="F58" s="15"/>
      <c r="G58" s="9"/>
      <c r="H58" s="9"/>
      <c r="I58" s="9"/>
      <c r="J58" s="9"/>
      <c r="K58" s="9"/>
    </row>
    <row r="59" spans="3:11" ht="20.100000000000001" customHeight="1" x14ac:dyDescent="0.25">
      <c r="C59" s="9"/>
      <c r="D59" s="1"/>
      <c r="E59" s="1"/>
      <c r="F59" s="1"/>
      <c r="G59" s="1"/>
      <c r="H59" s="1"/>
      <c r="I59" s="1"/>
      <c r="J59" s="1"/>
      <c r="K59" s="9"/>
    </row>
    <row r="60" spans="3:11" ht="20.100000000000001" customHeight="1" x14ac:dyDescent="0.25">
      <c r="C60" s="9"/>
      <c r="D60" s="1"/>
      <c r="E60" s="1"/>
      <c r="F60" s="1"/>
      <c r="G60" s="1"/>
      <c r="H60" s="1"/>
      <c r="I60" s="1"/>
      <c r="J60" s="1"/>
      <c r="K60" s="9"/>
    </row>
    <row r="61" spans="3:11" ht="20.100000000000001" customHeight="1" x14ac:dyDescent="0.25">
      <c r="C61" s="9"/>
      <c r="D61" s="1"/>
      <c r="E61" s="1"/>
      <c r="F61" s="1"/>
      <c r="G61" s="1"/>
      <c r="H61" s="1"/>
      <c r="I61" s="1"/>
      <c r="J61" s="1"/>
      <c r="K61" s="9"/>
    </row>
    <row r="62" spans="3:11" ht="20.100000000000001" customHeight="1" x14ac:dyDescent="0.25">
      <c r="C62" s="9"/>
      <c r="D62" s="1"/>
      <c r="E62" s="1"/>
      <c r="F62" s="1"/>
      <c r="G62" s="1"/>
      <c r="H62" s="1"/>
      <c r="I62" s="1"/>
      <c r="J62" s="1"/>
      <c r="K62" s="9"/>
    </row>
    <row r="63" spans="3:11" ht="20.100000000000001" customHeight="1" x14ac:dyDescent="0.25">
      <c r="C63" s="9"/>
      <c r="D63" s="1"/>
      <c r="E63" s="1"/>
      <c r="F63" s="1"/>
      <c r="G63" s="1"/>
      <c r="H63" s="1"/>
      <c r="I63" s="1"/>
      <c r="J63" s="1"/>
      <c r="K63" s="9"/>
    </row>
    <row r="64" spans="3:11" ht="20.100000000000001" customHeight="1" x14ac:dyDescent="0.25">
      <c r="C64" s="9"/>
      <c r="D64" s="1"/>
      <c r="E64" s="1"/>
      <c r="F64" s="1"/>
      <c r="G64" s="1"/>
      <c r="H64" s="1"/>
      <c r="I64" s="1"/>
      <c r="J64" s="1"/>
      <c r="K64" s="9"/>
    </row>
    <row r="65" spans="3:11" ht="20.100000000000001" customHeight="1" x14ac:dyDescent="0.25">
      <c r="C65" s="9"/>
      <c r="D65" s="1"/>
      <c r="E65" s="1"/>
      <c r="F65" s="1"/>
      <c r="G65" s="1"/>
      <c r="H65" s="1"/>
      <c r="I65" s="1"/>
      <c r="J65" s="1"/>
      <c r="K65" s="9"/>
    </row>
    <row r="66" spans="3:11" ht="20.100000000000001" customHeight="1" x14ac:dyDescent="0.25">
      <c r="C66" s="9"/>
      <c r="D66" s="1"/>
      <c r="E66" s="1"/>
      <c r="F66" s="1"/>
      <c r="G66" s="1"/>
      <c r="H66" s="1"/>
      <c r="I66" s="1"/>
      <c r="J66" s="1"/>
      <c r="K66" s="9"/>
    </row>
    <row r="67" spans="3:11" ht="20.100000000000001" customHeight="1" x14ac:dyDescent="0.25">
      <c r="C67" s="9"/>
      <c r="D67" s="1"/>
      <c r="E67" s="1"/>
      <c r="F67" s="1"/>
      <c r="G67" s="1"/>
      <c r="H67" s="1"/>
      <c r="I67" s="1"/>
      <c r="J67" s="1"/>
      <c r="K67" s="9"/>
    </row>
    <row r="68" spans="3:11" ht="20.100000000000001" customHeight="1" x14ac:dyDescent="0.25">
      <c r="C68" s="9"/>
      <c r="D68" s="1"/>
      <c r="E68" s="1"/>
      <c r="F68" s="1"/>
      <c r="G68" s="1"/>
      <c r="H68" s="1"/>
      <c r="I68" s="1"/>
      <c r="J68" s="1"/>
      <c r="K68" s="9"/>
    </row>
    <row r="69" spans="3:11" ht="20.100000000000001" customHeight="1" x14ac:dyDescent="0.25">
      <c r="C69" s="9"/>
      <c r="D69" s="1"/>
      <c r="E69" s="1"/>
      <c r="F69" s="1"/>
      <c r="G69" s="1"/>
      <c r="H69" s="1"/>
      <c r="I69" s="1"/>
      <c r="J69" s="1"/>
      <c r="K69" s="9"/>
    </row>
    <row r="70" spans="3:11" ht="20.100000000000001" customHeight="1" x14ac:dyDescent="0.25">
      <c r="C70" s="9"/>
      <c r="D70" s="1"/>
      <c r="E70" s="1"/>
      <c r="F70" s="1"/>
      <c r="G70" s="1"/>
      <c r="H70" s="1"/>
      <c r="I70" s="1"/>
      <c r="J70" s="1"/>
      <c r="K70" s="9"/>
    </row>
    <row r="71" spans="3:11" ht="20.100000000000001" customHeight="1" x14ac:dyDescent="0.25">
      <c r="C71" s="9"/>
      <c r="D71" s="1"/>
      <c r="E71" s="1"/>
      <c r="F71" s="1"/>
      <c r="G71" s="1"/>
      <c r="H71" s="1"/>
      <c r="I71" s="1"/>
      <c r="J71" s="1"/>
      <c r="K71" s="9"/>
    </row>
    <row r="72" spans="3:11" ht="20.100000000000001" customHeight="1" x14ac:dyDescent="0.25">
      <c r="C72" s="9"/>
      <c r="D72" s="1"/>
      <c r="E72" s="1"/>
      <c r="F72" s="1"/>
      <c r="G72" s="1"/>
      <c r="H72" s="1"/>
      <c r="I72" s="1"/>
      <c r="J72" s="1"/>
      <c r="K72" s="9"/>
    </row>
    <row r="73" spans="3:11" ht="20.100000000000001" customHeight="1" x14ac:dyDescent="0.25">
      <c r="C73" s="9"/>
      <c r="D73" s="1"/>
      <c r="E73" s="1"/>
      <c r="F73" s="1"/>
      <c r="G73" s="1"/>
      <c r="H73" s="1"/>
      <c r="I73" s="1"/>
      <c r="J73" s="1"/>
      <c r="K73" s="9"/>
    </row>
    <row r="74" spans="3:11" ht="20.100000000000001" customHeight="1" x14ac:dyDescent="0.25">
      <c r="C74" s="9"/>
      <c r="D74" s="1"/>
      <c r="E74" s="1"/>
      <c r="F74" s="1"/>
      <c r="G74" s="1"/>
      <c r="H74" s="1"/>
      <c r="I74" s="1"/>
      <c r="J74" s="1"/>
      <c r="K74" s="9"/>
    </row>
    <row r="75" spans="3:11" ht="20.100000000000001" customHeight="1" x14ac:dyDescent="0.25">
      <c r="C75" s="9"/>
      <c r="D75" s="1"/>
      <c r="E75" s="1"/>
      <c r="F75" s="1"/>
      <c r="G75" s="1"/>
      <c r="H75" s="1"/>
      <c r="I75" s="1"/>
      <c r="J75" s="1"/>
      <c r="K75" s="9"/>
    </row>
    <row r="76" spans="3:11" ht="15.75" x14ac:dyDescent="0.25">
      <c r="C76" s="9"/>
      <c r="D76" s="1"/>
      <c r="E76" s="1"/>
      <c r="F76" s="1"/>
      <c r="G76" s="1"/>
      <c r="H76" s="1"/>
      <c r="I76" s="1"/>
      <c r="J76" s="1"/>
      <c r="K76" s="9"/>
    </row>
    <row r="77" spans="3:11" ht="15.75" x14ac:dyDescent="0.25">
      <c r="C77" s="9"/>
      <c r="D77" s="1"/>
      <c r="E77" s="1"/>
      <c r="F77" s="1"/>
      <c r="G77" s="1"/>
      <c r="H77" s="1"/>
      <c r="I77" s="1"/>
      <c r="J77" s="1"/>
      <c r="K77" s="9"/>
    </row>
    <row r="78" spans="3:11" ht="15.75" x14ac:dyDescent="0.25">
      <c r="C78" s="9"/>
      <c r="D78" s="1"/>
      <c r="E78" s="1"/>
      <c r="F78" s="1"/>
      <c r="G78" s="1"/>
      <c r="H78" s="1"/>
      <c r="I78" s="1"/>
      <c r="J78" s="1"/>
      <c r="K78" s="9"/>
    </row>
    <row r="79" spans="3:11" ht="15.75" x14ac:dyDescent="0.25">
      <c r="C79" s="9"/>
      <c r="D79" s="1"/>
      <c r="E79" s="1"/>
      <c r="F79" s="1"/>
      <c r="G79" s="1"/>
      <c r="H79" s="1"/>
      <c r="I79" s="1"/>
      <c r="J79" s="1"/>
      <c r="K79" s="9"/>
    </row>
    <row r="80" spans="3:11" ht="15.75" x14ac:dyDescent="0.25">
      <c r="C80" s="9"/>
      <c r="D80" s="1"/>
      <c r="E80" s="1"/>
      <c r="F80" s="1"/>
      <c r="G80" s="1"/>
      <c r="H80" s="1"/>
      <c r="I80" s="1"/>
      <c r="J80" s="1"/>
      <c r="K80" s="9"/>
    </row>
    <row r="81" spans="3:11" ht="15.75" x14ac:dyDescent="0.25">
      <c r="C81" s="9"/>
      <c r="D81" s="1"/>
      <c r="E81" s="1"/>
      <c r="F81" s="1"/>
      <c r="G81" s="1"/>
      <c r="H81" s="1"/>
      <c r="I81" s="1"/>
      <c r="J81" s="1"/>
      <c r="K81" s="9"/>
    </row>
    <row r="82" spans="3:11" ht="15.75" x14ac:dyDescent="0.25">
      <c r="C82" s="9"/>
      <c r="D82" s="1"/>
      <c r="E82" s="1"/>
      <c r="F82" s="1"/>
      <c r="G82" s="1"/>
      <c r="H82" s="1"/>
      <c r="I82" s="1"/>
      <c r="J82" s="1"/>
      <c r="K82" s="9"/>
    </row>
    <row r="83" spans="3:11" ht="15.75" x14ac:dyDescent="0.25">
      <c r="C83" s="9"/>
      <c r="D83" s="1"/>
      <c r="E83" s="1"/>
      <c r="F83" s="1"/>
      <c r="G83" s="1"/>
      <c r="H83" s="1"/>
      <c r="I83" s="1"/>
      <c r="J83" s="1"/>
      <c r="K83" s="9"/>
    </row>
    <row r="84" spans="3:11" ht="15.75" x14ac:dyDescent="0.25">
      <c r="C84" s="9"/>
      <c r="D84" s="1"/>
      <c r="E84" s="1"/>
      <c r="F84" s="1"/>
      <c r="G84" s="1"/>
      <c r="H84" s="1"/>
      <c r="I84" s="1"/>
      <c r="J84" s="1"/>
      <c r="K84" s="9"/>
    </row>
    <row r="85" spans="3:11" ht="15.75" x14ac:dyDescent="0.25">
      <c r="C85" s="9"/>
      <c r="D85" s="1"/>
      <c r="E85" s="1"/>
      <c r="F85" s="1"/>
      <c r="G85" s="1"/>
      <c r="H85" s="1"/>
      <c r="I85" s="1"/>
      <c r="J85" s="1"/>
      <c r="K85" s="9"/>
    </row>
    <row r="86" spans="3:11" x14ac:dyDescent="0.25">
      <c r="C86" s="9"/>
      <c r="D86" s="9"/>
      <c r="E86" s="9"/>
      <c r="F86" s="9"/>
      <c r="G86" s="9"/>
      <c r="H86" s="9"/>
      <c r="I86" s="9"/>
      <c r="J86" s="9"/>
      <c r="K86" s="9"/>
    </row>
    <row r="87" spans="3:11" x14ac:dyDescent="0.25">
      <c r="C87" s="9"/>
      <c r="D87" s="9"/>
      <c r="E87" s="9"/>
      <c r="F87" s="9"/>
      <c r="G87" s="9"/>
      <c r="H87" s="9"/>
      <c r="I87" s="9"/>
      <c r="J87" s="9"/>
      <c r="K87"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Home</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2026-07-08T05:50:04Z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