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A42CB6E-25FD-4E42-A2B4-92F083274CF4}" xr6:coauthVersionLast="47" xr6:coauthVersionMax="47" xr10:uidLastSave="{00000000-0000-0000-0000-000000000000}"/>
  <bookViews>
    <workbookView xWindow="1230" yWindow="840" windowWidth="35745" windowHeight="18900" xr2:uid="{7E1466D3-CE15-41E6-A7E5-3351E07F3C93}"/>
  </bookViews>
  <sheets>
    <sheet name="Input - Planting" sheetId="4" r:id="rId1"/>
    <sheet name="Constants - Common" sheetId="6" r:id="rId2"/>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X_Cell_Enterprise_ProductionTimeframeEnd">#REF!</definedName>
    <definedName name="X_Cell_Enterprise_ProductionTimeframeStart">#REF!</definedName>
    <definedName name="X_Cell_Planting_Latitude">'Input - Planting'!$C$3</definedName>
    <definedName name="X_Cell_Planting_Longitude">'Input - Planting'!$C$4</definedName>
    <definedName name="X_Cell_Planting_PlantingDate">'Input - Planting'!$C$5</definedName>
    <definedName name="X_Cell_Planting_PlantingName">'Input - Planting'!$C$6</definedName>
    <definedName name="X_Cell_Site_EndDate">'Input - Planting'!$C$12</definedName>
    <definedName name="X_Cell_Site_StartDate">'Input - Planting'!$C$11</definedName>
    <definedName name="X_Result_Planting_CarbonCapturedPerHectare">'Input - Planting'!$C$15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6" l="1"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c r="P246" i="6" a="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c r="G243" i="6" a="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H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H51" i="6" s="1"/>
  <c r="E51" i="6" a="1"/>
  <c r="E51" i="6" s="1"/>
  <c r="D51" i="6" a="1"/>
  <c r="D51" i="6" s="1"/>
  <c r="G50" i="6"/>
  <c r="G50" i="6" a="1"/>
  <c r="F50" i="6" a="1"/>
  <c r="F50" i="6" s="1"/>
  <c r="E50" i="6" a="1"/>
  <c r="E50" i="6" s="1"/>
  <c r="D50" i="6" a="1"/>
  <c r="D50" i="6" s="1"/>
  <c r="G49" i="6" a="1"/>
  <c r="G49" i="6" s="1"/>
  <c r="F49" i="6" a="1"/>
  <c r="F49" i="6" s="1"/>
  <c r="H49" i="6" s="1"/>
  <c r="E49" i="6" a="1"/>
  <c r="E49" i="6" s="1"/>
  <c r="D49" i="6" a="1"/>
  <c r="D49" i="6" s="1"/>
  <c r="G48" i="6" a="1"/>
  <c r="G48" i="6" s="1"/>
  <c r="F48" i="6" a="1"/>
  <c r="F48" i="6" s="1"/>
  <c r="E48" i="6" a="1"/>
  <c r="E48" i="6" s="1"/>
  <c r="D48" i="6" a="1"/>
  <c r="D48" i="6" s="1"/>
  <c r="D46" i="6"/>
  <c r="D46" i="6" a="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c r="D26" i="6" a="1"/>
  <c r="D25" i="6" a="1"/>
  <c r="D25" i="6" s="1"/>
  <c r="D24" i="6" a="1"/>
  <c r="D24" i="6" s="1"/>
  <c r="D23" i="6" a="1"/>
  <c r="D23" i="6" s="1"/>
  <c r="D22" i="6" a="1"/>
  <c r="D22" i="6" s="1"/>
  <c r="D21" i="6" a="1"/>
  <c r="D21" i="6" s="1"/>
  <c r="D19" i="6"/>
  <c r="D19" i="6" a="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c r="E8" i="6" a="1"/>
  <c r="D8" i="6" a="1"/>
  <c r="D8" i="6" s="1"/>
  <c r="F7" i="6" a="1"/>
  <c r="F7" i="6" s="1"/>
  <c r="E7" i="6" a="1"/>
  <c r="E7" i="6" s="1"/>
  <c r="D7" i="6" a="1"/>
  <c r="D7" i="6" s="1"/>
  <c r="D5" i="6" a="1"/>
  <c r="D5" i="6" s="1"/>
  <c r="H50" i="6" l="1"/>
  <c r="H48" i="6"/>
  <c r="H52" i="6"/>
  <c r="H53" i="6"/>
  <c r="C16" i="4" l="1"/>
  <c r="C1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<sst xmlns="http://schemas.openxmlformats.org/spreadsheetml/2006/main" count="86" uniqueCount="79">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</sst>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C09]dd\-mmmm\-yyyy;@"/>
    <numFmt numFmtId="165" formatCode="d/mm/yyyy;@"/>
  </numFmts>
  <fonts count="16"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s>
  <fills count="4">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3">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cellStyleXfs>
  <cellXfs count="23">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cellXfs>
  <cellStyles count="13">
    <cellStyle name="Block heading" xfId="9" xr:uid="{6065A2C3-09F5-4515-87ED-A07ECE03B60A}"/>
    <cellStyle name="Content bold" xfId="1" xr:uid="{90EECC7A-90CF-4913-9525-0D57B2C3C25A}"/>
    <cellStyle name="Content normal" xfId="8" xr:uid="{7064D260-35DF-4E40-B005-5927849D5F2D}"/>
    <cellStyle name="Equation source" xfId="10" xr:uid="{A6980CD5-F033-4A4E-A310-20CA2DBA147C}"/>
    <cellStyle name="Information variation" xfId="11" xr:uid="{3DFDDBB8-017E-4A9E-BD36-920C2DA5EB07}"/>
    <cellStyle name="Input date" xfId="2" xr:uid="{2CBAF3EB-BBB3-44B0-B98B-27C0B711C4C8}"/>
    <cellStyle name="Input number no decimals calculated" xfId="3" xr:uid="{3E2DE6DD-181A-4A3F-B39E-0927DF0A1DA2}"/>
    <cellStyle name="Normal" xfId="0" builtinId="0"/>
    <cellStyle name="Normal 2" xfId="6" xr:uid="{EE6542E1-CDF9-4701-B44A-AABE5F401092}"/>
    <cellStyle name="Page heading" xfId="4" xr:uid="{5606267B-8272-44F0-B060-3CC8D7791322}"/>
    <cellStyle name="Page section heading" xfId="7" xr:uid="{0C5541E1-B1FC-4A0E-9019-EAF0F6D84C6B}"/>
    <cellStyle name="Page source" xfId="5" xr:uid="{BDB1E337-77B0-445D-A39B-72CE8D02F2A9}"/>
    <cellStyle name="Unit no indent" xfId="12" xr:uid="{1E2A3F46-D52F-45EA-B250-19AA59D3DC20}"/>
  </cellStyles>
  <dxfs count="42">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1" defaultTableStyle="TableStyleMedium2" defaultPivotStyle="PivotStyleLight16">
    <tableStyle name="Equation table" pivot="0" count="6" xr9:uid="{F81B4736-567E-441A-AD84-F5C27A32236A}">
      <tableStyleElement type="wholeTable" dxfId="41"/>
      <tableStyleElement type="headerRow" dxfId="40"/>
      <tableStyleElement type="totalRow" dxfId="39"/>
      <tableStyleElement type="firstColumn" dxfId="38"/>
      <tableStyleElement type="firstRowStripe" dxfId="37"/>
      <tableStyleElement type="secondRowStripe" dxfId="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connections" Target="connections.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B3:D16"/>
  <sheetViews>
    <sheetView tabSelected="1" workbookViewId="0">
      <selection activeCell="C13" sqref="C13"/>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3" spans="2:4" x14ac:dyDescent="0.25">
      <c r="B3" s="1" t="s">
        <v>3</v>
      </c>
      <c r="C3">
        <v>-33.8688</v>
      </c>
    </row>
    <row r="4" spans="2:4" x14ac:dyDescent="0.25">
      <c r="B4" s="1" t="s">
        <v>4</v>
      </c>
      <c r="C4">
        <v>151.20930000000001</v>
      </c>
    </row>
    <row r="5" spans="2:4" x14ac:dyDescent="0.25">
      <c r="B5" s="1" t="s">
        <v>5</v>
      </c>
      <c r="C5" s="3">
        <v>43831</v>
      </c>
    </row>
    <row r="6" spans="2:4" x14ac:dyDescent="0.25">
      <c r="B6" s="1" t="s">
        <v>12</v>
      </c>
      <c r="C6" t="s">
        <v>0</v>
      </c>
    </row>
    <row r="8" spans="2:4" x14ac:dyDescent="0.25">
      <c r="B8" s="1" t="s">
        <v>6</v>
      </c>
      <c r="C8">
        <v>100</v>
      </c>
    </row>
    <row r="11" spans="2:4" x14ac:dyDescent="0.25">
      <c r="B11" s="5" t="s">
        <v>7</v>
      </c>
      <c r="C11" s="6">
        <v>45292</v>
      </c>
    </row>
    <row r="12" spans="2:4" x14ac:dyDescent="0.25">
      <c r="B12" s="5" t="s">
        <v>8</v>
      </c>
      <c r="C12" s="7">
        <f>DATE(YEAR(C11)+1,MONTH(C11),DAY(C11))-1</f>
        <v>45657</v>
      </c>
    </row>
    <row r="14" spans="2:4" ht="22.5" x14ac:dyDescent="0.3">
      <c r="B14" s="4" t="s">
        <v>1</v>
      </c>
    </row>
    <row r="15" spans="2:4" x14ac:dyDescent="0.25">
      <c r="B15" s="1" t="s">
        <v>9</v>
      </c>
      <c r="C15">
        <v>123</v>
      </c>
      <c r="D15" s="2" t="s">
        <v>10</v>
      </c>
    </row>
    <row r="16" spans="2:4" x14ac:dyDescent="0.25">
      <c r="B16" s="1" t="s">
        <v>11</v>
      </c>
      <c r="C16">
        <f>C8*X_Result_Planting_CarbonCapturedPerHectare</f>
        <v>12300</v>
      </c>
      <c r="D16" s="2" t="s">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F95" sqref="F95"/>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8" t="e" vm="1">
        <v>#VALUE!</v>
      </c>
      <c r="C1" s="8" t="s">
        <v>13</v>
      </c>
    </row>
    <row r="2" spans="1:65" s="9" customFormat="1" ht="20.100000000000001" customHeight="1" x14ac:dyDescent="0.25"/>
    <row r="3" spans="1:65" ht="20.100000000000001" customHeight="1" x14ac:dyDescent="0.25">
      <c r="A3" s="10"/>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s="10"/>
      <c r="BM4" s="14"/>
    </row>
    <row r="5" spans="1:65" ht="20.100000000000001" customHeight="1" x14ac:dyDescent="0.25">
      <c r="A5" s="10"/>
      <c r="D5" s="16" t="str" cm="1">
        <f t="array" ref="D5">Common_SourceData.Common_SourceData_AustralianStatesTerritories_Title()</f>
        <v>Australian states and territories</v>
      </c>
      <c r="BM5" s="14"/>
    </row>
    <row r="6" spans="1:65" ht="20.100000000000001" customHeight="1" x14ac:dyDescent="0.25">
      <c r="A6" s="10"/>
      <c r="D6" s="17" t="s">
        <v>14</v>
      </c>
      <c r="E6" s="17" t="s">
        <v>15</v>
      </c>
      <c r="F6" s="17" t="s">
        <v>16</v>
      </c>
    </row>
    <row r="7" spans="1:65" ht="20.100000000000001" customHeight="1" x14ac:dyDescent="0.25">
      <c r="A7" s="10"/>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10"/>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10"/>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10"/>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s="10"/>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s="10"/>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10"/>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10"/>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10"/>
    </row>
    <row r="16" spans="1:65" ht="20.100000000000001" customHeight="1" x14ac:dyDescent="0.25">
      <c r="A16" s="10"/>
    </row>
    <row r="17" spans="1:4" ht="20.100000000000001" customHeight="1" x14ac:dyDescent="0.25">
      <c r="A17" s="10"/>
    </row>
    <row r="18" spans="1:4" ht="20.100000000000001" customHeight="1" x14ac:dyDescent="0.25">
      <c r="A18" s="10"/>
      <c r="D18" s="16" t="str" cm="1">
        <f t="array" ref="D18">Common_SourceData.Common_SourceData_WASA4Areas_Title()</f>
        <v>ABS Statistcal Areas Level 4 - Western Australia</v>
      </c>
    </row>
    <row r="19" spans="1:4" ht="20.100000000000001" customHeight="1" x14ac:dyDescent="0.25">
      <c r="A19" s="10"/>
      <c r="D19" s="18" t="str" cm="1">
        <f t="array" ref="D19">Common_SourceData.Common_SourceData_WASA4Areas_Source()</f>
        <v>Australian Bureau of Statistics (ABS) - Statistical Areas Level 2 - 2021 - Shapefile</v>
      </c>
    </row>
    <row r="20" spans="1:4" ht="20.100000000000001" customHeight="1" x14ac:dyDescent="0.25">
      <c r="A20" s="10"/>
      <c r="D20" s="17" t="s">
        <v>17</v>
      </c>
    </row>
    <row r="21" spans="1:4" ht="20.100000000000001" customHeight="1" x14ac:dyDescent="0.25">
      <c r="A21" s="10"/>
      <c r="D21" s="17" t="str" cm="1">
        <f t="array" ref="D21">Common_InputFunctions.Utility_DisplayArrayInTable(Common_SourceData.Common_SourceData_WASA4Areas_Data(), Table_WASA4Areas[[#Headers],[SA 4 Name]], 0)</f>
        <v>Bunbury</v>
      </c>
    </row>
    <row r="22" spans="1:4" ht="20.100000000000001" customHeight="1" x14ac:dyDescent="0.25">
      <c r="A22" s="10"/>
      <c r="D22" s="17" t="str" cm="1">
        <f t="array" ref="D22">Common_InputFunctions.Utility_DisplayArrayInTable(Common_SourceData.Common_SourceData_WASA4Areas_Data(), Table_WASA4Areas[[#Headers],[SA 4 Name]], 0)</f>
        <v>Mandurah</v>
      </c>
    </row>
    <row r="23" spans="1:4" ht="20.100000000000001" customHeight="1" x14ac:dyDescent="0.25">
      <c r="A23" s="10"/>
      <c r="D23" s="17" t="str" cm="1">
        <f t="array" ref="D23">Common_InputFunctions.Utility_DisplayArrayInTable(Common_SourceData.Common_SourceData_WASA4Areas_Data(), Table_WASA4Areas[[#Headers],[SA 4 Name]], 0)</f>
        <v>Perth - Inner</v>
      </c>
    </row>
    <row r="24" spans="1:4" ht="20.100000000000001" customHeight="1" x14ac:dyDescent="0.25">
      <c r="A24" s="10"/>
      <c r="D24" s="17" t="str" cm="1">
        <f t="array" ref="D24">Common_InputFunctions.Utility_DisplayArrayInTable(Common_SourceData.Common_SourceData_WASA4Areas_Data(), Table_WASA4Areas[[#Headers],[SA 4 Name]], 0)</f>
        <v>Perth - North East</v>
      </c>
    </row>
    <row r="25" spans="1:4" ht="20.100000000000001" customHeight="1" x14ac:dyDescent="0.25">
      <c r="A25" s="10"/>
      <c r="D25" s="17" t="str" cm="1">
        <f t="array" ref="D25">Common_InputFunctions.Utility_DisplayArrayInTable(Common_SourceData.Common_SourceData_WASA4Areas_Data(), Table_WASA4Areas[[#Headers],[SA 4 Name]], 0)</f>
        <v>Perth - North West</v>
      </c>
    </row>
    <row r="26" spans="1:4" ht="20.100000000000001" customHeight="1" x14ac:dyDescent="0.25">
      <c r="A26" s="10"/>
      <c r="D26" s="17" t="str" cm="1">
        <f t="array" ref="D26">Common_InputFunctions.Utility_DisplayArrayInTable(Common_SourceData.Common_SourceData_WASA4Areas_Data(), Table_WASA4Areas[[#Headers],[SA 4 Name]], 0)</f>
        <v>Perth - South East</v>
      </c>
    </row>
    <row r="27" spans="1:4" ht="20.100000000000001" customHeight="1" x14ac:dyDescent="0.25">
      <c r="A27" s="10"/>
      <c r="D27" s="17" t="str" cm="1">
        <f t="array" ref="D27">Common_InputFunctions.Utility_DisplayArrayInTable(Common_SourceData.Common_SourceData_WASA4Areas_Data(), Table_WASA4Areas[[#Headers],[SA 4 Name]], 0)</f>
        <v>Perth - South West</v>
      </c>
    </row>
    <row r="28" spans="1:4" ht="20.100000000000001" customHeight="1" x14ac:dyDescent="0.25">
      <c r="A28" s="10"/>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s="10"/>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s="1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s="10"/>
    </row>
    <row r="32" spans="1:4" ht="20.100000000000001" customHeight="1" x14ac:dyDescent="0.25">
      <c r="A32" s="10"/>
    </row>
    <row r="33" spans="1:8" ht="20.100000000000001" customHeight="1" x14ac:dyDescent="0.25">
      <c r="A33" s="10"/>
    </row>
    <row r="34" spans="1:8" ht="20.100000000000001" customHeight="1" x14ac:dyDescent="0.25">
      <c r="A34" s="10"/>
      <c r="D34" s="16" t="str" cm="1">
        <f t="array" ref="D34">Common_SourceData.Common_SourceData_GWP_Title()</f>
        <v>Global warming potential for greenhouse gases</v>
      </c>
    </row>
    <row r="35" spans="1:8" ht="20.100000000000001" customHeight="1" x14ac:dyDescent="0.25">
      <c r="A35" s="10"/>
      <c r="D35" s="18" t="str" cm="1">
        <f t="array" ref="D35">Common_SourceData.Common_SourceData_GWP_Source()</f>
        <v>XXXXXXX</v>
      </c>
    </row>
    <row r="36" spans="1:8" ht="20.100000000000001" customHeight="1" x14ac:dyDescent="0.25">
      <c r="A36" s="10"/>
      <c r="D36" s="17" t="s">
        <v>18</v>
      </c>
      <c r="E36" s="17" t="s">
        <v>19</v>
      </c>
    </row>
    <row r="37" spans="1:8" ht="20.100000000000001" customHeight="1" x14ac:dyDescent="0.25">
      <c r="A37" s="10"/>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s="10"/>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s="10"/>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s="1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s="10"/>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16" t="str" cm="1">
        <f t="array" ref="D45">Common_SourceData.Common_SourceData_ConvertGasElementalToMolecular_Title()</f>
        <v>Factor to convert elemental mass of gas to molecular mass</v>
      </c>
    </row>
    <row r="46" spans="1:8" ht="20.100000000000001" customHeight="1" x14ac:dyDescent="0.25">
      <c r="D46" s="18" t="str" cm="1">
        <f t="array" ref="D46">Common_SourceData.Common_SourceData_ConvertGasElementalToMolecular_Source()</f>
        <v>XXXXXXX</v>
      </c>
    </row>
    <row r="47" spans="1:8" ht="20.100000000000001" customHeight="1" x14ac:dyDescent="0.25">
      <c r="D47" s="17" t="s">
        <v>18</v>
      </c>
      <c r="E47" s="17" t="s">
        <v>20</v>
      </c>
      <c r="F47" s="17" t="s">
        <v>21</v>
      </c>
      <c r="G47" s="17" t="s">
        <v>22</v>
      </c>
      <c r="H47" s="17" t="s">
        <v>23</v>
      </c>
    </row>
    <row r="48" spans="1:8" ht="20.100000000000001" customHeight="1" x14ac:dyDescent="0.25">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4:8" ht="20.100000000000001" customHeight="1" x14ac:dyDescent="0.25">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4:8" ht="20.100000000000001" customHeight="1" x14ac:dyDescent="0.25">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4:8" ht="20.100000000000001" customHeight="1" x14ac:dyDescent="0.25">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4:8" ht="20.100000000000001" customHeight="1" x14ac:dyDescent="0.25">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4:8" ht="20.100000000000001" customHeight="1" x14ac:dyDescent="0.25">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4:8" ht="20.100000000000001" customHeight="1" x14ac:dyDescent="0.25">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16" t="str" cm="1">
        <f t="array" ref="D57">Common_SourceData.Common_SourceData_WetAndDryZones_Title()</f>
        <v>VEERG Australian wet and dry zones</v>
      </c>
    </row>
    <row r="58" spans="4:8" ht="20.100000000000001" customHeight="1" x14ac:dyDescent="0.25">
      <c r="D58" s="18" t="str" cm="1">
        <f t="array" ref="D58">Common_SourceData.Common_SourceData_WetAndDryZones_Source()</f>
        <v>VEERG 2026: Table 1.2: Translating climate zones to wet and dry zones</v>
      </c>
    </row>
    <row r="59" spans="4:8" ht="20.100000000000001" customHeight="1" x14ac:dyDescent="0.25">
      <c r="D59" s="19" t="str" cm="1">
        <f t="array" ref="D59:D61">"⚠️" &amp; Common_SourceData.Common_SourceData_WetAndDryZones_Variation()</f>
        <v>⚠️VARIATION OF SOURCE DATA:</v>
      </c>
    </row>
    <row r="60" spans="4:8" ht="20.100000000000001" customHeight="1" x14ac:dyDescent="0.25">
      <c r="D60" s="19" t="str">
        <v>⚠️Added warm / cool temperate moist / dry - low frost and high temp classes to accommodate climate scenarios excluded by VEERG criteria.</v>
      </c>
    </row>
    <row r="61" spans="4:8" ht="20.100000000000001" customHeight="1" x14ac:dyDescent="0.25">
      <c r="D61" s="19" t="str">
        <v>⚠️Fixed typo - Changed 'Fry' to 'Dry'.</v>
      </c>
    </row>
    <row r="62" spans="4:8" ht="20.100000000000001" customHeight="1" x14ac:dyDescent="0.25"/>
    <row r="63" spans="4:8" ht="20.100000000000001" customHeight="1" x14ac:dyDescent="0.25">
      <c r="D63" s="17" t="s">
        <v>24</v>
      </c>
      <c r="E63" s="17" t="s">
        <v>25</v>
      </c>
    </row>
    <row r="64" spans="4:8" ht="20.100000000000001" customHeight="1" x14ac:dyDescent="0.25">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16" t="str" cm="1">
        <f t="array" ref="D81">Common_SourceData.Common_SourceData_ClimateZones_Title()</f>
        <v>VEERG Australian climate zones</v>
      </c>
    </row>
    <row r="82" spans="4:20" ht="20.100000000000001" customHeight="1" x14ac:dyDescent="0.25">
      <c r="D82" s="18" t="str" cm="1">
        <f t="array" ref="D82">Common_SourceData.Common_SourceData_ClimateZones_Source()</f>
        <v>VEERG 2026: Table 1.3: Climate and Rainfall zone classifications and definitions</v>
      </c>
    </row>
    <row r="83" spans="4:20" ht="20.100000000000001" customHeight="1" x14ac:dyDescent="0.25">
      <c r="D83" s="19" t="str" cm="1">
        <f t="array" ref="D83:D87">"⚠️" &amp; Common_SourceData.Common_SourceData_ClimateZones_Variation()</f>
        <v>⚠️VARIATION OF SOURCE DATA:</v>
      </c>
    </row>
    <row r="84" spans="4:20" ht="20.100000000000001" customHeight="1" x14ac:dyDescent="0.25">
      <c r="D84" s="19" t="str">
        <v>⚠️Added warm / cool temperate moist / dry - low frost and high temp classes to accommodate climate scenarios excluded by VEERG criteria.</v>
      </c>
    </row>
    <row r="85" spans="4:20" ht="20.100000000000001" customHeight="1" x14ac:dyDescent="0.25">
      <c r="D85" s="19" t="str">
        <v>⚠️Fixed typo in MAT value for warm temperate dry - changed 10 to 11.</v>
      </c>
    </row>
    <row r="86" spans="4:20" ht="20.100000000000001" customHeight="1" x14ac:dyDescent="0.25">
      <c r="D86" s="19" t="str">
        <v>⚠️Added min and max columns for MAT, MAP, frost days per year, elevation, MAP:PET to calculate zones from real climate data.</v>
      </c>
    </row>
    <row r="87" spans="4:20" ht="20.100000000000001" customHeight="1" x14ac:dyDescent="0.25">
      <c r="D87" s="19" t="str">
        <v>⚠️GAF accepts rainfall as a proxy for precipitation.</v>
      </c>
    </row>
    <row r="88" spans="4:20" ht="20.100000000000001" customHeight="1" x14ac:dyDescent="0.25"/>
    <row r="89" spans="4:20" ht="20.100000000000001" customHeight="1" x14ac:dyDescent="0.25">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4:20" ht="20.100000000000001" customHeight="1" x14ac:dyDescent="0.25">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4:20" ht="20.100000000000001" customHeight="1" x14ac:dyDescent="0.25">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4:20" ht="20.100000000000001" customHeight="1" x14ac:dyDescent="0.25">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4:20" ht="20.100000000000001" customHeight="1" x14ac:dyDescent="0.25">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4:20" ht="20.100000000000001" customHeight="1" x14ac:dyDescent="0.25">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4:20" ht="20.100000000000001" customHeight="1" x14ac:dyDescent="0.2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4:20" ht="20.100000000000001" customHeight="1" x14ac:dyDescent="0.25">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4:20" ht="20.100000000000001" customHeight="1" x14ac:dyDescent="0.25">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4:20" ht="20.100000000000001" customHeight="1" x14ac:dyDescent="0.25"/>
    <row r="99" spans="4:20" ht="20.100000000000001" customHeight="1" x14ac:dyDescent="0.25">
      <c r="D99" s="20" t="str" cm="1">
        <f t="array" ref="D99:D102">Common_SourceData.Common_SourceData_ClimateZones_Appendices()</f>
        <v>Note:</v>
      </c>
    </row>
    <row r="100" spans="4:20" ht="20.100000000000001" customHeight="1" x14ac:dyDescent="0.25">
      <c r="D100" s="20" t="str">
        <v>MAT = mean annual temperature</v>
      </c>
    </row>
    <row r="101" spans="4:20" ht="20.100000000000001" customHeight="1" x14ac:dyDescent="0.25">
      <c r="D101" s="20" t="str">
        <v>MAP = mean annual precipitation</v>
      </c>
    </row>
    <row r="102" spans="4:20" ht="20.100000000000001" customHeight="1" x14ac:dyDescent="0.25">
      <c r="D102" s="20" t="str">
        <v>PET = potential evapotranspiration</v>
      </c>
    </row>
    <row r="103" spans="4:20" ht="20.100000000000001" customHeight="1" x14ac:dyDescent="0.25">
      <c r="D103" s="20"/>
    </row>
    <row r="104" spans="4:20" ht="20.100000000000001" customHeight="1" x14ac:dyDescent="0.25"/>
    <row r="105" spans="4:20" ht="20.100000000000001" customHeight="1" x14ac:dyDescent="0.25">
      <c r="D105" s="16" t="str" cm="1">
        <f t="array" ref="D105">Common_SourceData.Common_SourceData_TemperatureZones_Title()</f>
        <v>VEERG Australian temperature zones</v>
      </c>
    </row>
    <row r="106" spans="4:20" ht="20.100000000000001" customHeight="1" x14ac:dyDescent="0.25">
      <c r="D106" s="18" t="str" cm="1">
        <f t="array" ref="D106">Common_SourceData.Common_SourceData_TemperatureZones_Source()</f>
        <v>VEERG 2026: Table 1.3: Climate and Rainfall zone classifications and definitions</v>
      </c>
    </row>
    <row r="107" spans="4:20" ht="20.100000000000001" customHeight="1" x14ac:dyDescent="0.25">
      <c r="D107" s="19"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7" t="s">
        <v>41</v>
      </c>
      <c r="E109" s="17" t="s">
        <v>26</v>
      </c>
      <c r="F109" s="17" t="s">
        <v>42</v>
      </c>
      <c r="G109" s="17" t="s">
        <v>43</v>
      </c>
    </row>
    <row r="110" spans="4:20" ht="20.100000000000001" customHeight="1" x14ac:dyDescent="0.25">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4:20" ht="20.100000000000001" customHeight="1" x14ac:dyDescent="0.25">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16" t="str" cm="1">
        <f t="array" ref="D115">Common_SourceData.Common_SourceData_RainfallZones_Title()</f>
        <v>VEERG Australian rainfall zones</v>
      </c>
      <c r="BN115" s="11"/>
    </row>
    <row r="116" spans="4:66" ht="20.100000000000001" customHeight="1" x14ac:dyDescent="0.25">
      <c r="D116" s="18" t="str" cm="1">
        <f t="array" ref="D116">Common_SourceData.Common_SourceData_RainfallZones_Source()</f>
        <v>VEERG 2026: Table 1.3: Climate and Rainfall zone classifications and definitions</v>
      </c>
      <c r="BN116" s="11"/>
    </row>
    <row r="117" spans="4:66" ht="20.100000000000001" customHeight="1" x14ac:dyDescent="0.25">
      <c r="D117" s="19" t="str" cm="1">
        <f t="array" ref="D117">"⚠️" &amp; Common_SourceData.Common_SourceData_RainfallZones_Variation()</f>
        <v>⚠️VARIATION OF SOURCE DATA: Added extra Rainfall min and Rainfall max columns to calculate zone from real rainfall data.</v>
      </c>
      <c r="BN117" s="11"/>
    </row>
    <row r="118" spans="4:66" ht="20.100000000000001" customHeight="1" x14ac:dyDescent="0.25">
      <c r="BN118" s="11"/>
    </row>
    <row r="119" spans="4:66" ht="20.100000000000001" customHeight="1" x14ac:dyDescent="0.25">
      <c r="D119" s="17" t="s">
        <v>44</v>
      </c>
      <c r="E119" s="17" t="s">
        <v>45</v>
      </c>
      <c r="F119" s="17" t="s">
        <v>33</v>
      </c>
      <c r="G119" s="17" t="s">
        <v>34</v>
      </c>
      <c r="BN119" s="11"/>
    </row>
    <row r="120" spans="4:66" ht="20.100000000000001" customHeight="1" x14ac:dyDescent="0.25">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4:66" ht="20.100000000000001" customHeight="1" x14ac:dyDescent="0.25">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4:66" ht="20.100000000000001" customHeight="1" x14ac:dyDescent="0.25">
      <c r="BN122" s="11"/>
    </row>
    <row r="123" spans="4:66" ht="20.100000000000001" customHeight="1" x14ac:dyDescent="0.25"/>
    <row r="124" spans="4:66" ht="20.100000000000001" customHeight="1" x14ac:dyDescent="0.25">
      <c r="D124" s="16" t="str" cm="1">
        <f t="array" ref="D124">Common_SourceData.Common_SourceData_LeachingZones_Title()</f>
        <v>VEERG Australian leaching zones</v>
      </c>
    </row>
    <row r="125" spans="4:66" ht="20.100000000000001" customHeight="1" x14ac:dyDescent="0.25">
      <c r="D125" s="1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7" t="s">
        <v>46</v>
      </c>
      <c r="E127" s="17" t="s">
        <v>47</v>
      </c>
    </row>
    <row r="128" spans="4:66" ht="20.100000000000001" customHeight="1" x14ac:dyDescent="0.25">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16" t="str" cm="1">
        <f t="array" ref="D132">Common_SourceData.Common_SourceData_FracWET_Title()</f>
        <v>Fraction of N that is available for leaching and runoff</v>
      </c>
      <c r="E132" s="21"/>
    </row>
    <row r="133" spans="4:77" ht="20.100000000000001" customHeight="1" x14ac:dyDescent="0.25">
      <c r="D133" s="18" t="str" cm="1">
        <f t="array" ref="D133">Common_SourceData.Common_SourceData_FracWET_Source()</f>
        <v>VEERG 2026:5.5.2.3 Constant Parameters</v>
      </c>
      <c r="E133" s="21"/>
    </row>
    <row r="134" spans="4:77" ht="20.100000000000001" customHeight="1" x14ac:dyDescent="0.25">
      <c r="D134" s="10" t="s">
        <v>48</v>
      </c>
      <c r="E134" s="10" t="s">
        <v>49</v>
      </c>
    </row>
    <row r="135" spans="4:77" ht="20.100000000000001" customHeight="1" x14ac:dyDescent="0.2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4:77" ht="20.100000000000001" customHeight="1" x14ac:dyDescent="0.25">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11"/>
      <c r="BO138" s="11"/>
      <c r="BP138" s="11"/>
      <c r="BQ138" s="11"/>
      <c r="BR138" s="11"/>
      <c r="BS138" s="11"/>
      <c r="BT138" s="11"/>
      <c r="BU138" s="11"/>
      <c r="BV138" s="11"/>
      <c r="BW138" s="11"/>
      <c r="BX138" s="11"/>
      <c r="BY138" s="11"/>
    </row>
    <row r="139" spans="4:77" ht="20.100000000000001" customHeight="1" x14ac:dyDescent="0.25">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4:77" ht="20.100000000000001" customHeight="1" x14ac:dyDescent="0.25">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4:77" ht="20.100000000000001" customHeight="1" x14ac:dyDescent="0.25">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4:77" ht="20.100000000000001" customHeight="1" x14ac:dyDescent="0.25">
      <c r="D142" s="17" t="s">
        <v>50</v>
      </c>
      <c r="E142" s="17" t="s">
        <v>49</v>
      </c>
      <c r="BN142" s="11"/>
    </row>
    <row r="143" spans="4:77" ht="20.100000000000001" customHeight="1" x14ac:dyDescent="0.25">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4:77" ht="20.100000000000001" customHeight="1" x14ac:dyDescent="0.25">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4:66" ht="20.100000000000001" customHeight="1" x14ac:dyDescent="0.2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4:66" ht="20.100000000000001" customHeight="1" x14ac:dyDescent="0.25">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4:66" ht="20.100000000000001" customHeight="1" x14ac:dyDescent="0.25">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4:66" ht="20.100000000000001" customHeight="1" x14ac:dyDescent="0.25">
      <c r="BN148" s="11"/>
    </row>
    <row r="149" spans="4:66" ht="20.100000000000001" customHeight="1" x14ac:dyDescent="0.25">
      <c r="BN149" s="11"/>
    </row>
    <row r="150" spans="4:66" ht="20.100000000000001" customHeight="1" x14ac:dyDescent="0.25">
      <c r="D150" s="16" t="str" cm="1">
        <f t="array" ref="D150">Common_SourceData.Common_SourceData_DataScores_Scope3_Title()</f>
        <v>Australian data scores for scope 3</v>
      </c>
      <c r="BN150" s="11"/>
    </row>
    <row r="151" spans="4:66" ht="20.100000000000001" customHeight="1" x14ac:dyDescent="0.25">
      <c r="D151" s="18" t="str" cm="1">
        <f t="array" ref="D151">Common_SourceData.Common_SourceData_DataScores_Scope3_Source()</f>
        <v>VEERG 2026: XXXXXXXX</v>
      </c>
      <c r="BN151" s="11"/>
    </row>
    <row r="152" spans="4:66" ht="20.100000000000001" customHeight="1" x14ac:dyDescent="0.25">
      <c r="BN152" s="11"/>
    </row>
    <row r="153" spans="4:66" ht="20.100000000000001" customHeight="1" x14ac:dyDescent="0.25">
      <c r="D153" s="17" t="s">
        <v>51</v>
      </c>
      <c r="E153" s="17" t="s">
        <v>52</v>
      </c>
      <c r="BC153" s="14"/>
      <c r="BD153" s="14"/>
      <c r="BE153" s="14"/>
      <c r="BF153" s="14"/>
      <c r="BG153" s="14"/>
      <c r="BH153" s="14"/>
      <c r="BI153" s="14"/>
      <c r="BJ153" s="14"/>
      <c r="BK153" s="14"/>
      <c r="BL153" s="14"/>
      <c r="BM153" s="14"/>
    </row>
    <row r="154" spans="4:66" ht="20.100000000000001" customHeight="1" x14ac:dyDescent="0.25">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4:66" ht="20.100000000000001" customHeight="1" x14ac:dyDescent="0.2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4:66" ht="20.100000000000001" customHeight="1" x14ac:dyDescent="0.25">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4:66" ht="20.100000000000001" customHeight="1" x14ac:dyDescent="0.25">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4:66" ht="20.100000000000001" customHeight="1" x14ac:dyDescent="0.25">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2.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customXml/itemProps4.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7</vt:i4>
      </vt:variant>
    </vt:vector>
  </HeadingPairs>
  <TitlesOfParts>
    <vt:vector size="9" baseType="lpstr">
      <vt:lpstr>Input - Planting</vt:lpstr>
      <vt:lpstr>Constants - Common</vt:lpstr>
      <vt:lpstr>X_Cell_Planting_Latitude</vt:lpstr>
      <vt:lpstr>X_Cell_Planting_Longitude</vt:lpstr>
      <vt:lpstr>X_Cell_Planting_PlantingDate</vt:lpstr>
      <vt:lpstr>X_Cell_Planting_PlantingName</vt:lpstr>
      <vt:lpstr>X_Cell_Site_EndDate</vt:lpstr>
      <vt:lpstr>X_Cell_Site_StartDate</vt:lpstr>
      <vt:lpstr>X_Result_Planting_CarbonCapturedPerHectare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2026-07-15T11:17:41Z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