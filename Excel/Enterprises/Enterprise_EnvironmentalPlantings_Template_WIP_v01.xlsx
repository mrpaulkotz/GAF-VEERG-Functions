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9CDF9CF4-1266-4B58-A17D-7CDBCDF977B1}" xr6:coauthVersionLast="47" xr6:coauthVersionMax="47" xr10:uidLastSave="{00000000-0000-0000-0000-000000000000}"/>
  <bookViews>
    <workbookView xWindow="1500" yWindow="810" windowWidth="36255" windowHeight="19140" activeTab="1" xr2:uid="{7E1466D3-CE15-41E6-A7E5-3351E07F3C93}"/>
  </bookViews>
  <sheets>
    <sheet name="Input - Planting" sheetId="4" r:id="rId1"/>
    <sheet name="Input - Data quality" sheetId="7" r:id="rId2"/>
    <sheet name="Constants - Common" sheetId="6" r:id="rId3"/>
  </sheets>
  <externalReferences>
    <externalReference r:id="rId4"/>
    <externalReference r:id="rId5"/>
  </externalReferences>
  <definedNames>
    <definedName name="Common_Equations.Common_ConvertCH4ToCO2e" localSheetId="1">_xlfn.LAMBDA(_xlpm.E_CH4,_xlpm.GWP_CH4, _xlpm.E_CH4 * _xlpm.GWP_CH4)</definedName>
    <definedName name="Common_Equations.Common_ConvertCH4ToCO2e">_xlfn.LAMBDA(_xlpm.E_CH4,_xlpm.GWP_CH4, _xlpm.E_CH4 * _xlpm.GWP_CH4)</definedName>
    <definedName name="Common_Equations.Common_ConvertCH4ToCO2e_Arguments" localSheetId="1">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1">_xlfn.LAMBDA(_xlpm.E_N2O,_xlpm.GWP_N2O, _xlpm.E_N2O * _xlpm.GWP_N2O)</definedName>
    <definedName name="Common_Equations.Common_ConvertN2OToCO2e">_xlfn.LAMBDA(_xlpm.E_N2O,_xlpm.GWP_N2O, _xlpm.E_N2O * _xlpm.GWP_N2O)</definedName>
    <definedName name="Common_Equations.Common_ConvertN2OToCO2e_Arguments" localSheetId="1">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1">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 localSheetId="1">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1">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1">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1">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1">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1">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1">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1">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1">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 localSheetId="1">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 localSheetId="1">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1">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1">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1">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1">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1">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1">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1">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1">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1">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1">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1">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[2]Results!$E$50</definedName>
    <definedName name="Result_EmissionsForWholeProductionCycle_Method1">[2]Results!$E$39</definedName>
    <definedName name="Result_EmissionsForWholeProductionCycle_Method2">[2]Results!$F$39</definedName>
    <definedName name="Result_Enterprise_Method1">[2]Results!$H$25</definedName>
    <definedName name="Result_Enterprise_Method2">[2]Results!$I$25</definedName>
    <definedName name="Result_NetEmissions_Method1">[2]Results!$E$56</definedName>
    <definedName name="Result_NetEmissions_Method2">[2]Results!$F$56</definedName>
    <definedName name="X_Cell_Enterprise_PercentIncomeFromGrain">'[2]Input - Enterprise'!$E$32</definedName>
    <definedName name="X_Cell_Enterprise_ProductionTimeframeEnd">'[2]Input - Enterprise'!$E$19</definedName>
    <definedName name="X_Cell_Enterprise_ProductionTimeframeStart">'[2]Input - Enterprise'!$E$18</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EndDate">'Input - Planting'!$C$12</definedName>
    <definedName name="X_Cell_Site_StartDate" localSheetId="1">'[2]Input - Enterprise'!$E$12</definedName>
    <definedName name="X_Cell_Site_StartDate">'Input - Planting'!$C$11</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7" l="1"/>
  <c r="E259" i="6" l="1"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c r="P246" i="6" a="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H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H51" i="6" s="1"/>
  <c r="E51" i="6" a="1"/>
  <c r="E51" i="6" s="1"/>
  <c r="D51" i="6" a="1"/>
  <c r="D51" i="6" s="1"/>
  <c r="G50" i="6" a="1"/>
  <c r="G50" i="6" s="1"/>
  <c r="F50" i="6" a="1"/>
  <c r="F50" i="6" s="1"/>
  <c r="E50" i="6" a="1"/>
  <c r="E50" i="6" s="1"/>
  <c r="D50" i="6" a="1"/>
  <c r="D50" i="6" s="1"/>
  <c r="G49" i="6" a="1"/>
  <c r="G49" i="6" s="1"/>
  <c r="F49" i="6" a="1"/>
  <c r="F49" i="6" s="1"/>
  <c r="H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D35" i="6" a="1"/>
  <c r="D35" i="6" s="1"/>
  <c r="D34" i="6" a="1"/>
  <c r="D34" i="6" s="1"/>
  <c r="D30" i="6" a="1"/>
  <c r="D30" i="6" s="1"/>
  <c r="D29" i="6" a="1"/>
  <c r="D29" i="6" s="1"/>
  <c r="D28" i="6" a="1"/>
  <c r="D28" i="6" s="1"/>
  <c r="D27" i="6" a="1"/>
  <c r="D27" i="6" s="1"/>
  <c r="D26" i="6"/>
  <c r="D26" i="6" a="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H50" i="6" l="1"/>
  <c r="H48" i="6"/>
  <c r="H52" i="6"/>
  <c r="H53" i="6"/>
  <c r="C16" i="4" l="1"/>
  <c r="C1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<sst xmlns="http://schemas.openxmlformats.org/spreadsheetml/2006/main" count="98" uniqueCount="91">
  <si>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</si>
  <si>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</si>
  <si>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</si>
  <si>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</si>
  <si>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</si>
  <si>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</si>
  <si>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</si>
  <si>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</si>
  <si>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</si>
  <si>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</si>
  <si>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</si>
  <si>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</si>
  <si>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</si>
  <si>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</si>
  <si>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</si>
  <si>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</si>
  <si>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</si>
  <si>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</si>
  <si>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</si>
  <si>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</si>
  <si>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</si>
  <si>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</si>
  <si>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</si>
  <si>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</si>
  <si>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</si>
  <si>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</si>
  <si>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</si>
  <si>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</si>
  <si>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</si>
  <si>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</si>
  <si>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</si>
  <si>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</si>
  <si>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</si>
  <si>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</si>
  <si>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</si>
  <si>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</si>
  <si>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</si>
  <si>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</si>
  <si>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</si>
  <si>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</si>
  <si>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</si>
  <si>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</si>
  <si>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</si>
  <si>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</si>
  <si>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</si>
  <si>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</si>
  <si>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</si>
  <si>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</si>
  <si>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</si>
  <si>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</si>
  <si>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</si>
  <si>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</si>
  <si>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</si>
  <si>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</si>
  <si>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</si>
  <si>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</si>
  <si>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</si>
  <si>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</si>
  <si>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</si>
  <si>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</si>
  <si>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</si>
  <si>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</si>
  <si>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</si>
  <si>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</si>
  <si>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</si>
  <si>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</si>
  <si>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</si>
  <si>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</si>
  <si>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</si>
  <si>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</si>
  <si>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</si>
  <si>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</si>
  <si>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</si>
  <si>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</si>
  <si>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</si>
  <si>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</si>
  <si>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</si>
  <si>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</si>
  <si>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</si>
  <si>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Data quality</t>
  </si>
  <si>
    <t>Input</t>
  </si>
  <si>
    <t>Temporal representativeness</t>
  </si>
  <si>
    <t>Spatial resolution</t>
  </si>
  <si>
    <t>Sample size</t>
  </si>
  <si>
    <t>Notes</t>
  </si>
  <si>
    <t>Evidence files</t>
  </si>
  <si>
    <t>Score</t>
  </si>
  <si>
    <t>Input name</t>
  </si>
  <si>
    <t>TR4</t>
  </si>
  <si>
    <t>SR5</t>
  </si>
  <si>
    <t>SS3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</si>
</sst>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C09]dd\-mmmm\-yyyy;@"/>
    <numFmt numFmtId="165" formatCode="d/mm/yyyy;@"/>
  </numFmts>
  <fonts count="18"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b/>
      <sz val="11"/>
      <color rgb="FF533001"/>
      <name val="Times New Roman"/>
      <family val="1"/>
    </font>
  </fonts>
  <fills count="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rgb="FFFFCC66"/>
        <bgColor indexed="64"/>
      </patternFill>
    </fill>
    <fill>
      <gradientFill degree="90">
        <stop position="0">
          <color theme="0"/>
        </stop>
        <stop position="1">
          <color theme="0" tint="-5.0965910824915313E-2"/>
        </stop>
      </gradientFill>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9">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10" fillId="4" borderId="0">
      <alignment vertical="center"/>
    </xf>
    <xf numFmtId="0" fontId="17" fillId="5" borderId="0">
      <alignment horizontal="center" vertical="center"/>
      <protection locked="0"/>
    </xf>
    <xf numFmtId="0" fontId="5" fillId="0" borderId="1">
      <alignment horizontal="center" vertical="center"/>
    </xf>
    <xf numFmtId="0" fontId="4" fillId="6" borderId="1">
      <alignment horizontal="center" vertical="center"/>
    </xf>
    <xf numFmtId="0" fontId="6" fillId="2" borderId="1">
      <alignment horizontal="center" vertical="center"/>
    </xf>
  </cellStyleXfs>
  <cellXfs count="29">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10" fillId="4" borderId="0" xfId="14">
      <alignment vertical="center"/>
    </xf>
    <xf numFmtId="0" fontId="17" fillId="5" borderId="0" xfId="15">
      <alignment horizontal="center" vertical="center"/>
      <protection locked="0"/>
    </xf>
    <xf numFmtId="0" fontId="0" fillId="0" borderId="0" xfId="16" applyFont="1" applyBorder="1">
      <alignment horizontal="center" vertical="center"/>
    </xf>
    <xf numFmtId="0" fontId="4" fillId="6" borderId="1" xfId="17">
      <alignment horizontal="center" vertical="center"/>
    </xf>
    <xf numFmtId="0" fontId="6" fillId="2" borderId="1" xfId="18">
      <alignment horizontal="center" vertical="center"/>
    </xf>
  </cellXfs>
  <cellStyles count="19">
    <cellStyle name="Block heading" xfId="9" xr:uid="{6065A2C3-09F5-4515-87ED-A07ECE03B60A}"/>
    <cellStyle name="Content bold" xfId="1" xr:uid="{90EECC7A-90CF-4913-9525-0D57B2C3C25A}"/>
    <cellStyle name="Content normal" xfId="8" xr:uid="{7064D260-35DF-4E40-B005-5927849D5F2D}"/>
    <cellStyle name="Equation source" xfId="10" xr:uid="{A6980CD5-F033-4A4E-A310-20CA2DBA147C}"/>
    <cellStyle name="Information variation" xfId="11" xr:uid="{3DFDDBB8-017E-4A9E-BD36-920C2DA5EB07}"/>
    <cellStyle name="Input date" xfId="2" xr:uid="{2CBAF3EB-BBB3-44B0-B98B-27C0B711C4C8}"/>
    <cellStyle name="Input number general calculated" xfId="18" xr:uid="{17116EAE-73FE-4584-B1D1-DA7A2E1BE7F3}"/>
    <cellStyle name="Input number no decimals calculated" xfId="3" xr:uid="{3E2DE6DD-181A-4A3F-B39E-0927DF0A1DA2}"/>
    <cellStyle name="Input page heading" xfId="13" xr:uid="{1040356A-2362-4675-A6C2-D285FDE9B237}"/>
    <cellStyle name="Input page section heading" xfId="14" xr:uid="{B0C6AFFF-01F0-417A-921C-B83B5F6523C6}"/>
    <cellStyle name="Input select" xfId="17" xr:uid="{5330A20B-6680-4771-B4C8-C6ABDA2A591E}"/>
    <cellStyle name="Input table column header" xfId="15" xr:uid="{9C39E355-B94C-4E3D-B2C2-ACCB276438BC}"/>
    <cellStyle name="Input text" xfId="16" xr:uid="{5F26ED4A-B6DD-42BD-95D5-C01AC860788C}"/>
    <cellStyle name="Normal" xfId="0" builtinId="0"/>
    <cellStyle name="Normal 2" xfId="6" xr:uid="{EE6542E1-CDF9-4701-B44A-AABE5F401092}"/>
    <cellStyle name="Page heading" xfId="4" xr:uid="{5606267B-8272-44F0-B060-3CC8D7791322}"/>
    <cellStyle name="Page section heading" xfId="7" xr:uid="{0C5541E1-B1FC-4A0E-9019-EAF0F6D84C6B}"/>
    <cellStyle name="Page source" xfId="5" xr:uid="{BDB1E337-77B0-445D-A39B-72CE8D02F2A9}"/>
    <cellStyle name="Unit no indent" xfId="12" xr:uid="{1E2A3F46-D52F-45EA-B250-19AA59D3DC20}"/>
  </cellStyles>
  <dxfs count="48">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s>
  <tableStyles count="2" defaultTableStyle="TableStyleMedium2" defaultPivotStyle="PivotStyleLight16">
    <tableStyle name="Editable table" pivot="0" count="6" xr9:uid="{BB0715A8-E541-48D6-9C7A-67E469073C29}">
      <tableStyleElement type="wholeTable" dxfId="5"/>
      <tableStyleElement type="headerRow" dxfId="4"/>
      <tableStyleElement type="totalRow" dxfId="3"/>
      <tableStyleElement type="firstColumn" dxfId="2"/>
      <tableStyleElement type="firstRowStripe" dxfId="1"/>
      <tableStyleElement type="secondRowStripe" dxfId="0"/>
    </tableStyle>
    <tableStyle name="Equation table" pivot="0" count="6" xr9:uid="{F81B4736-567E-441A-AD84-F5C27A32236A}">
      <tableStyleElement type="wholeTable" dxfId="47"/>
      <tableStyleElement type="headerRow" dxfId="46"/>
      <tableStyleElement type="totalRow" dxfId="45"/>
      <tableStyleElement type="firstColumn" dxfId="44"/>
      <tableStyleElement type="firstRowStripe" dxfId="43"/>
      <tableStyleElement type="secondRowStripe" dxfId="4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22/10/relationships/richValueRel" Target="richData/richValueRel.xml"/><Relationship Id="rId5" Type="http://schemas.openxmlformats.org/officeDocument/2006/relationships/externalLink" Target="externalLinks/externalLink2.xml"/><Relationship Id="rId15" Type="http://schemas.openxmlformats.org/officeDocument/2006/relationships/calcChain" Target="calcChain.xml"/><Relationship Id="rId10" Type="http://schemas.openxmlformats.org/officeDocument/2006/relationships/sheetMetadata" Target="metadata.xml"/><Relationship Id="rId19" Type="http://schemas.openxmlformats.org/officeDocument/2006/relationships/customXml" Target="../customXml/item4.xml"/><Relationship Id="rId4" Type="http://schemas.openxmlformats.org/officeDocument/2006/relationships/externalLink" Target="externalLinks/externalLink1.xml"/><Relationship Id="rId9" Type="http://schemas.openxmlformats.org/officeDocument/2006/relationships/sharedStrings" Target="sharedStrings.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Common_v03.xlsx" TargetMode="External"/><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htdocs/zneagcrc/GAF-VEERG-Functions/Excel/Common_v03.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CroppingGrains_Template_WIP_v01.xlsx" TargetMode="External"/><Relationship Id="rId1" Type="http://schemas.openxmlformats.org/officeDocument/2006/relationships/externalLinkPath" Target="Enterprise_CroppingGrains_Template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nput - Data quality"/>
      <sheetName val="Constants - Common"/>
      <sheetName val="Acknowledgements"/>
    </sheetNames>
    <sheetDataSet>
      <sheetData sheetId="0"/>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Data quality"/>
      <sheetName val="Constants - Common"/>
    </sheetNames>
    <sheetDataSet>
      <sheetData sheetId="0"/>
      <sheetData sheetId="1">
        <row r="25">
          <cell r="H25" t="e">
            <v>#NAME?</v>
          </cell>
          <cell r="I25" t="e">
            <v>#NAME?</v>
          </cell>
        </row>
        <row r="39">
          <cell r="E39" t="e">
            <v>#NAME?</v>
          </cell>
          <cell r="F39" t="e">
            <v>#NAME?</v>
          </cell>
        </row>
        <row r="50">
          <cell r="E50">
            <v>0</v>
          </cell>
        </row>
        <row r="56">
          <cell r="E56" t="e">
            <v>#NAME?</v>
          </cell>
          <cell r="F56" t="e">
            <v>#NAME?</v>
          </cell>
        </row>
      </sheetData>
      <sheetData sheetId="2"/>
      <sheetData sheetId="3">
        <row r="12">
          <cell r="E12">
            <v>45658</v>
          </cell>
        </row>
        <row r="18">
          <cell r="E18">
            <v>45962</v>
          </cell>
        </row>
        <row r="19">
          <cell r="E19">
            <v>46112</v>
          </cell>
        </row>
        <row r="32">
          <cell r="E32">
            <v>0.8</v>
          </cell>
        </row>
      </sheetData>
      <sheetData sheetId="4"/>
      <sheetData sheetId="5"/>
      <sheetData sheetId="6"/>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C4E1D2F-185E-4B56-9A04-9422B9FAEAAE}"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A5B16F9-8C3A-4E71-8E75-E40E63477857}" name="Input"/>
    <tableColumn id="2" xr3:uid="{B36C3A6D-5D2A-411F-8FDF-551B0F91C2B2}" name="Temporal representativeness" dataCellStyle="Input select"/>
    <tableColumn id="3" xr3:uid="{A6FBA595-4E78-4D43-B95A-D7307772AFEE}" name="Spatial resolution" dataCellStyle="Input select"/>
    <tableColumn id="4" xr3:uid="{A2F061E9-0C51-48C7-A233-819FE284ECD7}" name="Sample size" dataCellStyle="Input select"/>
    <tableColumn id="5" xr3:uid="{2E8B5CE6-9BDF-4858-A2F6-C5AE1E37112E}" name="Notes"/>
    <tableColumn id="6" xr3:uid="{4EADE9A3-44EC-401C-9228-5E041AD07075}" name="Evidence files"/>
    <tableColumn id="7" xr3:uid="{B03E4480-1618-4C18-9AFD-9C12B3203028}" name="Score" dataCellStyle="Input number general calculated">
      <calculatedColumnFormula>_xlfn.XLOOKUP(Table_Input_DataQuality[[#This Row],[Temporal representativeness]],[1]!Table_SourceData_DataQuality_TemporalRepresentativeness[ID],[1]!Table_SourceData_DataQuality_TemporalRepresentativeness[Score])+_xlfn.XLOOKUP(Table_Input_DataQuality[[#This Row],[Spatial resolution]],[1]!Table_SourceData_DataQuality_SpatialRepresentativeness[ID],[1]!Table_SourceData_DataQuality_SpatialRepresentativeness[Score])+_xlfn.XLOOKUP(Table_Input_DataQuality[[#This Row],[Sample size]],[1]!Table_SourceData_DataQuality_SampleSize[ID],[1]!Table_SourceData_DataQuality_SampleSize[Score])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1.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B3:D16"/>
  <sheetViews>
    <sheetView workbookViewId="0">
      <selection activeCell="C16" sqref="C16"/>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3" spans="2:4" x14ac:dyDescent="0.25">
      <c r="B3" s="1" t="s">
        <v>3</v>
      </c>
      <c r="C3">
        <v>-33.8688</v>
      </c>
    </row>
    <row r="4" spans="2:4" x14ac:dyDescent="0.25">
      <c r="B4" s="1" t="s">
        <v>4</v>
      </c>
      <c r="C4">
        <v>151.20930000000001</v>
      </c>
    </row>
    <row r="5" spans="2:4" x14ac:dyDescent="0.25">
      <c r="B5" s="1" t="s">
        <v>5</v>
      </c>
      <c r="C5" s="3">
        <v>43831</v>
      </c>
    </row>
    <row r="6" spans="2:4" x14ac:dyDescent="0.25">
      <c r="B6" s="1" t="s">
        <v>12</v>
      </c>
      <c r="C6" t="s">
        <v>0</v>
      </c>
    </row>
    <row r="8" spans="2:4" x14ac:dyDescent="0.25">
      <c r="B8" s="1" t="s">
        <v>6</v>
      </c>
      <c r="C8">
        <v>100</v>
      </c>
    </row>
    <row r="11" spans="2:4" x14ac:dyDescent="0.25">
      <c r="B11" s="5" t="s">
        <v>7</v>
      </c>
      <c r="C11" s="6">
        <v>45292</v>
      </c>
    </row>
    <row r="12" spans="2:4" x14ac:dyDescent="0.25">
      <c r="B12" s="5" t="s">
        <v>8</v>
      </c>
      <c r="C12" s="7">
        <f>DATE(YEAR(C11)+1,MONTH(C11),DAY(C11))-1</f>
        <v>45657</v>
      </c>
    </row>
    <row r="14" spans="2:4" ht="22.5" x14ac:dyDescent="0.3">
      <c r="B14" s="4" t="s">
        <v>1</v>
      </c>
    </row>
    <row r="15" spans="2:4" x14ac:dyDescent="0.25">
      <c r="B15" s="1" t="s">
        <v>9</v>
      </c>
      <c r="C15">
        <v>123</v>
      </c>
      <c r="D15" s="2" t="s">
        <v>10</v>
      </c>
    </row>
    <row r="16" spans="2:4" x14ac:dyDescent="0.25">
      <c r="B16" s="1" t="s">
        <v>11</v>
      </c>
      <c r="C16">
        <f>C8*X_Result_Planting_CarbonCapturedPerHectare</f>
        <v>12300</v>
      </c>
      <c r="D16" s="2" t="s">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0AF6D-9069-486F-86F8-B38023044376}">
  <sheetPr>
    <tabColor rgb="FFCC6600"/>
  </sheetPr>
  <dimension ref="C1:M7"/>
  <sheetViews>
    <sheetView showGridLines="0" tabSelected="1" workbookViewId="0">
      <selection activeCell="I18" sqref="I18"/>
    </sheetView>
  </sheetViews>
  <sheetFormatPr defaultRowHeight="15.75" x14ac:dyDescent="0.25"/>
  <cols>
    <col min="1" max="1" width="26.875" style="10" customWidth="1"/>
    <col min="2" max="2" width="4.125" style="10" customWidth="1"/>
    <col min="3" max="3" width="4.125" style="15" customWidth="1"/>
    <col min="4" max="4" width="42.875" style="15" customWidth="1"/>
    <col min="5" max="7" width="26.875" style="15" customWidth="1"/>
    <col min="8" max="8" width="88.625" style="15" customWidth="1"/>
    <col min="9" max="9" width="65.25" style="15" customWidth="1"/>
    <col min="10" max="13" width="26.875" style="15" customWidth="1"/>
    <col min="14" max="14" width="26.875" style="10" customWidth="1"/>
    <col min="15" max="16384" width="9" style="10"/>
  </cols>
  <sheetData>
    <row r="1" spans="3:13" s="23" customFormat="1" ht="25.5" x14ac:dyDescent="0.35">
      <c r="C1" s="23" t="s">
        <v>79</v>
      </c>
    </row>
    <row r="2" spans="3:13" s="9" customFormat="1" x14ac:dyDescent="0.25"/>
    <row r="3" spans="3:13" ht="20.25" x14ac:dyDescent="0.25">
      <c r="C3" s="24"/>
      <c r="D3" s="24"/>
      <c r="E3" s="24"/>
      <c r="F3" s="24"/>
      <c r="G3" s="24"/>
      <c r="H3" s="24"/>
      <c r="I3" s="24"/>
      <c r="J3" s="24"/>
      <c r="K3" s="24"/>
      <c r="L3" s="24"/>
      <c r="M3" s="24"/>
    </row>
    <row r="6" spans="3:13" x14ac:dyDescent="0.25">
      <c r="D6" s="25" t="s">
        <v>80</v>
      </c>
      <c r="E6" s="25" t="s">
        <v>81</v>
      </c>
      <c r="F6" s="25" t="s">
        <v>82</v>
      </c>
      <c r="G6" s="25" t="s">
        <v>83</v>
      </c>
      <c r="H6" s="25" t="s">
        <v>84</v>
      </c>
      <c r="I6" s="25" t="s">
        <v>85</v>
      </c>
      <c r="J6" s="25" t="s">
        <v>86</v>
      </c>
    </row>
    <row r="7" spans="3:13" x14ac:dyDescent="0.25">
      <c r="D7" s="26" t="s">
        <v>87</v>
      </c>
      <c r="E7" s="27" t="s">
        <v>88</v>
      </c>
      <c r="F7" s="27" t="s">
        <v>89</v>
      </c>
      <c r="G7" s="27" t="s">
        <v>90</v>
      </c>
      <c r="H7" s="26"/>
      <c r="I7" s="26"/>
      <c r="J7" s="28">
        <f>_xlfn.XLOOKUP(Table_Input_DataQuality[[#This Row],[Temporal representativeness]],[1]!Table_SourceData_DataQuality_TemporalRepresentativeness[ID],[1]!Table_SourceData_DataQuality_TemporalRepresentativeness[Score])+_xlfn.XLOOKUP(Table_Input_DataQuality[[#This Row],[Spatial resolution]],[1]!Table_SourceData_DataQuality_SpatialRepresentativeness[ID],[1]!Table_SourceData_DataQuality_SpatialRepresentativeness[Score])+_xlfn.XLOOKUP(Table_Input_DataQuality[[#This Row],[Sample size]],[1]!Table_SourceData_DataQuality_SampleSize[ID],[1]!Table_SourceData_DataQuality_SampleSize[Score])</f>
        <v>12</v>
      </c>
    </row>
  </sheetData>
  <dataValidations count="3">
    <dataValidation type="list" allowBlank="1" showInputMessage="1" showErrorMessage="1" sqref="G7" xr:uid="{55B06BCC-92EE-40E9-96B5-52BD30A8679E}">
      <formula1>INDIRECT("Table_SourceData_DataQuality_SampleSize[ID]")</formula1>
    </dataValidation>
    <dataValidation type="list" allowBlank="1" showInputMessage="1" showErrorMessage="1" sqref="F7" xr:uid="{31066E02-D9AC-4AF9-AA7B-2A1D321E9C14}">
      <formula1>INDIRECT("Table_SourceData_DataQuality_SpatialRepresentativeness[ID]")</formula1>
    </dataValidation>
    <dataValidation type="list" allowBlank="1" showInputMessage="1" showErrorMessage="1" sqref="E7" xr:uid="{D7E1FE23-F157-4ED2-B848-454A8FC55D46}">
      <formula1>INDIRECT("Table_SourceData_DataQuality_TemporalRepresentativeness[ID]")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85" zoomScaleNormal="85" workbookViewId="0">
      <selection activeCell="F95" sqref="F95"/>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8" t="e" vm="1">
        <v>#VALUE!</v>
      </c>
      <c r="C1" s="8" t="s">
        <v>13</v>
      </c>
    </row>
    <row r="2" spans="1:65" s="9" customFormat="1" ht="20.100000000000001" customHeight="1" x14ac:dyDescent="0.25"/>
    <row r="3" spans="1:65" ht="20.100000000000001" customHeight="1" x14ac:dyDescent="0.25">
      <c r="A3" s="10"/>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10"/>
      <c r="BM4" s="14"/>
    </row>
    <row r="5" spans="1:65" ht="20.100000000000001" customHeight="1" x14ac:dyDescent="0.25">
      <c r="A5" s="10"/>
      <c r="D5" s="16" t="str" cm="1">
        <f t="array" ref="D5">Common_SourceData.Common_SourceData_AustralianStatesTerritories_Title()</f>
        <v>Australian states and territories</v>
      </c>
      <c r="BM5" s="14"/>
    </row>
    <row r="6" spans="1:65" ht="20.100000000000001" customHeight="1" x14ac:dyDescent="0.25">
      <c r="A6" s="10"/>
      <c r="D6" s="17" t="s">
        <v>14</v>
      </c>
      <c r="E6" s="17" t="s">
        <v>15</v>
      </c>
      <c r="F6" s="17" t="s">
        <v>16</v>
      </c>
    </row>
    <row r="7" spans="1:65" ht="20.100000000000001" customHeight="1" x14ac:dyDescent="0.25">
      <c r="A7" s="10"/>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10"/>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10"/>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10"/>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s="10"/>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s="10"/>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10"/>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s="10"/>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10"/>
    </row>
    <row r="16" spans="1:65" ht="20.100000000000001" customHeight="1" x14ac:dyDescent="0.25">
      <c r="A16" s="10"/>
    </row>
    <row r="17" spans="1:4" ht="20.100000000000001" customHeight="1" x14ac:dyDescent="0.25">
      <c r="A17" s="10"/>
    </row>
    <row r="18" spans="1:4" ht="20.100000000000001" customHeight="1" x14ac:dyDescent="0.25">
      <c r="A18" s="10"/>
      <c r="D18" s="16" t="str" cm="1">
        <f t="array" ref="D18">Common_SourceData.Common_SourceData_WASA4Areas_Title()</f>
        <v>ABS Statistcal Areas Level 4 - Western Australia</v>
      </c>
    </row>
    <row r="19" spans="1:4" ht="20.100000000000001" customHeight="1" x14ac:dyDescent="0.25">
      <c r="A19" s="10"/>
      <c r="D19" s="18" t="str" cm="1">
        <f t="array" ref="D19">Common_SourceData.Common_SourceData_WASA4Areas_Source()</f>
        <v>Australian Bureau of Statistics (ABS) - Statistical Areas Level 2 - 2021 - Shapefile</v>
      </c>
    </row>
    <row r="20" spans="1:4" ht="20.100000000000001" customHeight="1" x14ac:dyDescent="0.25">
      <c r="A20" s="10"/>
      <c r="D20" s="17" t="s">
        <v>17</v>
      </c>
    </row>
    <row r="21" spans="1:4" ht="20.100000000000001" customHeight="1" x14ac:dyDescent="0.25">
      <c r="A21" s="10"/>
      <c r="D21" s="17" t="str" cm="1">
        <f t="array" ref="D21">Common_InputFunctions.Utility_DisplayArrayInTable(Common_SourceData.Common_SourceData_WASA4Areas_Data(), Table_WASA4Areas[[#Headers],[SA 4 Name]], 0)</f>
        <v>Bunbury</v>
      </c>
    </row>
    <row r="22" spans="1:4" ht="20.100000000000001" customHeight="1" x14ac:dyDescent="0.25">
      <c r="A22" s="10"/>
      <c r="D22" s="17" t="str" cm="1">
        <f t="array" ref="D22">Common_InputFunctions.Utility_DisplayArrayInTable(Common_SourceData.Common_SourceData_WASA4Areas_Data(), Table_WASA4Areas[[#Headers],[SA 4 Name]], 0)</f>
        <v>Mandurah</v>
      </c>
    </row>
    <row r="23" spans="1:4" ht="20.100000000000001" customHeight="1" x14ac:dyDescent="0.25">
      <c r="A23" s="10"/>
      <c r="D23" s="17" t="str" cm="1">
        <f t="array" ref="D23">Common_InputFunctions.Utility_DisplayArrayInTable(Common_SourceData.Common_SourceData_WASA4Areas_Data(), Table_WASA4Areas[[#Headers],[SA 4 Name]], 0)</f>
        <v>Perth - Inner</v>
      </c>
    </row>
    <row r="24" spans="1:4" ht="20.100000000000001" customHeight="1" x14ac:dyDescent="0.25">
      <c r="A24" s="10"/>
      <c r="D24" s="17" t="str" cm="1">
        <f t="array" ref="D24">Common_InputFunctions.Utility_DisplayArrayInTable(Common_SourceData.Common_SourceData_WASA4Areas_Data(), Table_WASA4Areas[[#Headers],[SA 4 Name]], 0)</f>
        <v>Perth - North East</v>
      </c>
    </row>
    <row r="25" spans="1:4" ht="20.100000000000001" customHeight="1" x14ac:dyDescent="0.25">
      <c r="A25" s="10"/>
      <c r="D25" s="17" t="str" cm="1">
        <f t="array" ref="D25">Common_InputFunctions.Utility_DisplayArrayInTable(Common_SourceData.Common_SourceData_WASA4Areas_Data(), Table_WASA4Areas[[#Headers],[SA 4 Name]], 0)</f>
        <v>Perth - North West</v>
      </c>
    </row>
    <row r="26" spans="1:4" ht="20.100000000000001" customHeight="1" x14ac:dyDescent="0.25">
      <c r="A26" s="10"/>
      <c r="D26" s="17" t="str" cm="1">
        <f t="array" ref="D26">Common_InputFunctions.Utility_DisplayArrayInTable(Common_SourceData.Common_SourceData_WASA4Areas_Data(), Table_WASA4Areas[[#Headers],[SA 4 Name]], 0)</f>
        <v>Perth - South East</v>
      </c>
    </row>
    <row r="27" spans="1:4" ht="20.100000000000001" customHeight="1" x14ac:dyDescent="0.25">
      <c r="A27" s="10"/>
      <c r="D27" s="17" t="str" cm="1">
        <f t="array" ref="D27">Common_InputFunctions.Utility_DisplayArrayInTable(Common_SourceData.Common_SourceData_WASA4Areas_Data(), Table_WASA4Areas[[#Headers],[SA 4 Name]], 0)</f>
        <v>Perth - South West</v>
      </c>
    </row>
    <row r="28" spans="1:4" ht="20.100000000000001" customHeight="1" x14ac:dyDescent="0.25">
      <c r="A28" s="10"/>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s="10"/>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s="1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s="10"/>
    </row>
    <row r="32" spans="1:4" ht="20.100000000000001" customHeight="1" x14ac:dyDescent="0.25">
      <c r="A32" s="10"/>
    </row>
    <row r="33" spans="1:8" ht="20.100000000000001" customHeight="1" x14ac:dyDescent="0.25">
      <c r="A33" s="10"/>
    </row>
    <row r="34" spans="1:8" ht="20.100000000000001" customHeight="1" x14ac:dyDescent="0.25">
      <c r="A34" s="10"/>
      <c r="D34" s="16" t="str" cm="1">
        <f t="array" ref="D34">Common_SourceData.Common_SourceData_GWP_Title()</f>
        <v>Global warming potential for greenhouse gases</v>
      </c>
    </row>
    <row r="35" spans="1:8" ht="20.100000000000001" customHeight="1" x14ac:dyDescent="0.25">
      <c r="A35" s="10"/>
      <c r="D35" s="18" t="str" cm="1">
        <f t="array" ref="D35">Common_SourceData.Common_SourceData_GWP_Source()</f>
        <v>XXXXXXX</v>
      </c>
    </row>
    <row r="36" spans="1:8" ht="20.100000000000001" customHeight="1" x14ac:dyDescent="0.25">
      <c r="A36" s="10"/>
      <c r="D36" s="17" t="s">
        <v>18</v>
      </c>
      <c r="E36" s="17" t="s">
        <v>19</v>
      </c>
    </row>
    <row r="37" spans="1:8" ht="20.100000000000001" customHeight="1" x14ac:dyDescent="0.25">
      <c r="A37" s="10"/>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s="10"/>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s="10"/>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s="1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s="10"/>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16" t="str" cm="1">
        <f t="array" ref="D45">Common_SourceData.Common_SourceData_ConvertGasElementalToMolecular_Title()</f>
        <v>Factor to convert elemental mass of gas to molecular mass</v>
      </c>
    </row>
    <row r="46" spans="1:8" ht="20.100000000000001" customHeight="1" x14ac:dyDescent="0.25">
      <c r="D46" s="18" t="str" cm="1">
        <f t="array" ref="D46">Common_SourceData.Common_SourceData_ConvertGasElementalToMolecular_Source()</f>
        <v>XXXXXXX</v>
      </c>
    </row>
    <row r="47" spans="1:8" ht="20.100000000000001" customHeight="1" x14ac:dyDescent="0.25">
      <c r="D47" s="17" t="s">
        <v>18</v>
      </c>
      <c r="E47" s="17" t="s">
        <v>20</v>
      </c>
      <c r="F47" s="17" t="s">
        <v>21</v>
      </c>
      <c r="G47" s="17" t="s">
        <v>22</v>
      </c>
      <c r="H47" s="17" t="s">
        <v>23</v>
      </c>
    </row>
    <row r="48" spans="1:8" ht="20.100000000000001" customHeight="1" x14ac:dyDescent="0.25">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4:8" ht="20.100000000000001" customHeight="1" x14ac:dyDescent="0.25">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4:8" ht="20.100000000000001" customHeight="1" x14ac:dyDescent="0.25">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4:8" ht="20.100000000000001" customHeight="1" x14ac:dyDescent="0.25">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4:8" ht="20.100000000000001" customHeight="1" x14ac:dyDescent="0.25">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4:8" ht="20.100000000000001" customHeight="1" x14ac:dyDescent="0.25">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4:8" ht="20.100000000000001" customHeight="1" x14ac:dyDescent="0.25">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16" t="str" cm="1">
        <f t="array" ref="D57">Common_SourceData.Common_SourceData_WetAndDryZones_Title()</f>
        <v>VEERG Australian wet and dry zones</v>
      </c>
    </row>
    <row r="58" spans="4:8" ht="20.100000000000001" customHeight="1" x14ac:dyDescent="0.25">
      <c r="D58" s="18" t="str" cm="1">
        <f t="array" ref="D58">Common_SourceData.Common_SourceData_WetAndDryZones_Source()</f>
        <v>VEERG 2026: Table 1.2: Translating climate zones to wet and dry zones</v>
      </c>
    </row>
    <row r="59" spans="4:8" ht="20.100000000000001" customHeight="1" x14ac:dyDescent="0.25">
      <c r="D59" s="19" t="str" cm="1">
        <f t="array" ref="D59:D61">"⚠️" &amp; Common_SourceData.Common_SourceData_WetAndDryZones_Variation()</f>
        <v>⚠️VARIATION OF SOURCE DATA:</v>
      </c>
    </row>
    <row r="60" spans="4:8" ht="20.100000000000001" customHeight="1" x14ac:dyDescent="0.25">
      <c r="D60" s="19" t="str">
        <v>⚠️Added warm / cool temperate moist / dry - low frost and high temp classes to accommodate climate scenarios excluded by VEERG criteria.</v>
      </c>
    </row>
    <row r="61" spans="4:8" ht="20.100000000000001" customHeight="1" x14ac:dyDescent="0.25">
      <c r="D61" s="19" t="str">
        <v>⚠️Fixed typo - Changed 'Fry' to 'Dry'.</v>
      </c>
    </row>
    <row r="62" spans="4:8" ht="20.100000000000001" customHeight="1" x14ac:dyDescent="0.25"/>
    <row r="63" spans="4:8" ht="20.100000000000001" customHeight="1" x14ac:dyDescent="0.25">
      <c r="D63" s="17" t="s">
        <v>24</v>
      </c>
      <c r="E63" s="17" t="s">
        <v>25</v>
      </c>
    </row>
    <row r="64" spans="4:8" ht="20.100000000000001" customHeight="1" x14ac:dyDescent="0.25">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16" t="str" cm="1">
        <f t="array" ref="D81">Common_SourceData.Common_SourceData_ClimateZones_Title()</f>
        <v>VEERG Australian climate zones</v>
      </c>
    </row>
    <row r="82" spans="4:20" ht="20.100000000000001" customHeight="1" x14ac:dyDescent="0.25">
      <c r="D82" s="18" t="str" cm="1">
        <f t="array" ref="D82">Common_SourceData.Common_SourceData_ClimateZones_Source()</f>
        <v>VEERG 2026: Table 1.3: Climate and Rainfall zone classifications and definitions</v>
      </c>
    </row>
    <row r="83" spans="4:20" ht="20.100000000000001" customHeight="1" x14ac:dyDescent="0.25">
      <c r="D83" s="19" t="str" cm="1">
        <f t="array" ref="D83:D87">"⚠️" &amp; Common_SourceData.Common_SourceData_ClimateZones_Variation()</f>
        <v>⚠️VARIATION OF SOURCE DATA:</v>
      </c>
    </row>
    <row r="84" spans="4:20" ht="20.100000000000001" customHeight="1" x14ac:dyDescent="0.25">
      <c r="D84" s="19" t="str">
        <v>⚠️Added warm / cool temperate moist / dry - low frost and high temp classes to accommodate climate scenarios excluded by VEERG criteria.</v>
      </c>
    </row>
    <row r="85" spans="4:20" ht="20.100000000000001" customHeight="1" x14ac:dyDescent="0.25">
      <c r="D85" s="19" t="str">
        <v>⚠️Fixed typo in MAT value for warm temperate dry - changed 10 to 11.</v>
      </c>
    </row>
    <row r="86" spans="4:20" ht="20.100000000000001" customHeight="1" x14ac:dyDescent="0.25">
      <c r="D86" s="19" t="str">
        <v>⚠️Added min and max columns for MAT, MAP, frost days per year, elevation, MAP:PET to calculate zones from real climate data.</v>
      </c>
    </row>
    <row r="87" spans="4:20" ht="20.100000000000001" customHeight="1" x14ac:dyDescent="0.25">
      <c r="D87" s="19" t="str">
        <v>⚠️GAF accepts rainfall as a proxy for precipitation.</v>
      </c>
    </row>
    <row r="88" spans="4:20" ht="20.100000000000001" customHeight="1" x14ac:dyDescent="0.25"/>
    <row r="89" spans="4:20" ht="20.100000000000001" customHeight="1" x14ac:dyDescent="0.25">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4:20" ht="20.100000000000001" customHeight="1" x14ac:dyDescent="0.25">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4:20" ht="20.100000000000001" customHeight="1" x14ac:dyDescent="0.25">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4:20" ht="20.100000000000001" customHeight="1" x14ac:dyDescent="0.25">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4:20" ht="20.100000000000001" customHeight="1" x14ac:dyDescent="0.25">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4:20" ht="20.100000000000001" customHeight="1" x14ac:dyDescent="0.25">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4:20" ht="20.100000000000001" customHeight="1" x14ac:dyDescent="0.2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4:20" ht="20.100000000000001" customHeight="1" x14ac:dyDescent="0.25">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4:20" ht="20.100000000000001" customHeight="1" x14ac:dyDescent="0.25">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4:20" ht="20.100000000000001" customHeight="1" x14ac:dyDescent="0.25"/>
    <row r="99" spans="4:20" ht="20.100000000000001" customHeight="1" x14ac:dyDescent="0.25">
      <c r="D99" s="20" t="str" cm="1">
        <f t="array" ref="D99:D102">Common_SourceData.Common_SourceData_ClimateZones_Appendices()</f>
        <v>Note:</v>
      </c>
    </row>
    <row r="100" spans="4:20" ht="20.100000000000001" customHeight="1" x14ac:dyDescent="0.25">
      <c r="D100" s="20" t="str">
        <v>MAT = mean annual temperature</v>
      </c>
    </row>
    <row r="101" spans="4:20" ht="20.100000000000001" customHeight="1" x14ac:dyDescent="0.25">
      <c r="D101" s="20" t="str">
        <v>MAP = mean annual precipitation</v>
      </c>
    </row>
    <row r="102" spans="4:20" ht="20.100000000000001" customHeight="1" x14ac:dyDescent="0.25">
      <c r="D102" s="20" t="str">
        <v>PET = potential evapotranspiration</v>
      </c>
    </row>
    <row r="103" spans="4:20" ht="20.100000000000001" customHeight="1" x14ac:dyDescent="0.25">
      <c r="D103" s="20"/>
    </row>
    <row r="104" spans="4:20" ht="20.100000000000001" customHeight="1" x14ac:dyDescent="0.25"/>
    <row r="105" spans="4:20" ht="20.100000000000001" customHeight="1" x14ac:dyDescent="0.25">
      <c r="D105" s="16" t="str" cm="1">
        <f t="array" ref="D105">Common_SourceData.Common_SourceData_TemperatureZones_Title()</f>
        <v>VEERG Australian temperature zones</v>
      </c>
    </row>
    <row r="106" spans="4:20" ht="20.100000000000001" customHeight="1" x14ac:dyDescent="0.25">
      <c r="D106" s="18" t="str" cm="1">
        <f t="array" ref="D106">Common_SourceData.Common_SourceData_TemperatureZones_Source()</f>
        <v>VEERG 2026: Table 1.3: Climate and Rainfall zone classifications and definitions</v>
      </c>
    </row>
    <row r="107" spans="4:20" ht="20.100000000000001" customHeight="1" x14ac:dyDescent="0.25">
      <c r="D107" s="19"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7" t="s">
        <v>41</v>
      </c>
      <c r="E109" s="17" t="s">
        <v>26</v>
      </c>
      <c r="F109" s="17" t="s">
        <v>42</v>
      </c>
      <c r="G109" s="17" t="s">
        <v>43</v>
      </c>
    </row>
    <row r="110" spans="4:20" ht="20.100000000000001" customHeight="1" x14ac:dyDescent="0.25">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4:20" ht="20.100000000000001" customHeight="1" x14ac:dyDescent="0.25">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16" t="str" cm="1">
        <f t="array" ref="D115">Common_SourceData.Common_SourceData_RainfallZones_Title()</f>
        <v>VEERG Australian rainfall zones</v>
      </c>
      <c r="BN115" s="11"/>
    </row>
    <row r="116" spans="4:66" ht="20.100000000000001" customHeight="1" x14ac:dyDescent="0.25">
      <c r="D116" s="18" t="str" cm="1">
        <f t="array" ref="D116">Common_SourceData.Common_SourceData_RainfallZones_Source()</f>
        <v>VEERG 2026: Table 1.3: Climate and Rainfall zone classifications and definitions</v>
      </c>
      <c r="BN116" s="11"/>
    </row>
    <row r="117" spans="4:66" ht="20.100000000000001" customHeight="1" x14ac:dyDescent="0.25">
      <c r="D117" s="19" t="str" cm="1">
        <f t="array" ref="D117">"⚠️" &amp; Common_SourceData.Common_SourceData_RainfallZones_Variation()</f>
        <v>⚠️VARIATION OF SOURCE DATA: Added extra Rainfall min and Rainfall max columns to calculate zone from real rainfall data.</v>
      </c>
      <c r="BN117" s="11"/>
    </row>
    <row r="118" spans="4:66" ht="20.100000000000001" customHeight="1" x14ac:dyDescent="0.25">
      <c r="BN118" s="11"/>
    </row>
    <row r="119" spans="4:66" ht="20.100000000000001" customHeight="1" x14ac:dyDescent="0.25">
      <c r="D119" s="17" t="s">
        <v>44</v>
      </c>
      <c r="E119" s="17" t="s">
        <v>45</v>
      </c>
      <c r="F119" s="17" t="s">
        <v>33</v>
      </c>
      <c r="G119" s="17" t="s">
        <v>34</v>
      </c>
      <c r="BN119" s="11"/>
    </row>
    <row r="120" spans="4:66" ht="20.100000000000001" customHeight="1" x14ac:dyDescent="0.25">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4:66" ht="20.100000000000001" customHeight="1" x14ac:dyDescent="0.25">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4:66" ht="20.100000000000001" customHeight="1" x14ac:dyDescent="0.25">
      <c r="BN122" s="11"/>
    </row>
    <row r="123" spans="4:66" ht="20.100000000000001" customHeight="1" x14ac:dyDescent="0.25"/>
    <row r="124" spans="4:66" ht="20.100000000000001" customHeight="1" x14ac:dyDescent="0.25">
      <c r="D124" s="16" t="str" cm="1">
        <f t="array" ref="D124">Common_SourceData.Common_SourceData_LeachingZones_Title()</f>
        <v>VEERG Australian leaching zones</v>
      </c>
    </row>
    <row r="125" spans="4:66" ht="20.100000000000001" customHeight="1" x14ac:dyDescent="0.25">
      <c r="D125" s="1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7" t="s">
        <v>46</v>
      </c>
      <c r="E127" s="17" t="s">
        <v>47</v>
      </c>
    </row>
    <row r="128" spans="4:66" ht="20.100000000000001" customHeight="1" x14ac:dyDescent="0.25">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16" t="str" cm="1">
        <f t="array" ref="D132">Common_SourceData.Common_SourceData_FracWET_Title()</f>
        <v>Fraction of N that is available for leaching and runoff</v>
      </c>
      <c r="E132" s="21"/>
    </row>
    <row r="133" spans="4:77" ht="20.100000000000001" customHeight="1" x14ac:dyDescent="0.25">
      <c r="D133" s="18" t="str" cm="1">
        <f t="array" ref="D133">Common_SourceData.Common_SourceData_FracWET_Source()</f>
        <v>VEERG 2026:5.5.2.3 Constant Parameters</v>
      </c>
      <c r="E133" s="21"/>
    </row>
    <row r="134" spans="4:77" ht="20.100000000000001" customHeight="1" x14ac:dyDescent="0.25">
      <c r="D134" s="10" t="s">
        <v>48</v>
      </c>
      <c r="E134" s="10" t="s">
        <v>49</v>
      </c>
    </row>
    <row r="135" spans="4:77" ht="20.100000000000001" customHeight="1" x14ac:dyDescent="0.2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4:77" ht="20.100000000000001" customHeight="1" x14ac:dyDescent="0.25">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11"/>
      <c r="BO138" s="11"/>
      <c r="BP138" s="11"/>
      <c r="BQ138" s="11"/>
      <c r="BR138" s="11"/>
      <c r="BS138" s="11"/>
      <c r="BT138" s="11"/>
      <c r="BU138" s="11"/>
      <c r="BV138" s="11"/>
      <c r="BW138" s="11"/>
      <c r="BX138" s="11"/>
      <c r="BY138" s="11"/>
    </row>
    <row r="139" spans="4:77" ht="20.100000000000001" customHeight="1" x14ac:dyDescent="0.25">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4:77" ht="20.100000000000001" customHeight="1" x14ac:dyDescent="0.25">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4:77" ht="20.100000000000001" customHeight="1" x14ac:dyDescent="0.25">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4:77" ht="20.100000000000001" customHeight="1" x14ac:dyDescent="0.25">
      <c r="D142" s="17" t="s">
        <v>50</v>
      </c>
      <c r="E142" s="17" t="s">
        <v>49</v>
      </c>
      <c r="BN142" s="11"/>
    </row>
    <row r="143" spans="4:77" ht="20.100000000000001" customHeight="1" x14ac:dyDescent="0.25">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4:77" ht="20.100000000000001" customHeight="1" x14ac:dyDescent="0.25">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4:66" ht="20.100000000000001" customHeight="1" x14ac:dyDescent="0.2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4:66" ht="20.100000000000001" customHeight="1" x14ac:dyDescent="0.25">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4:66" ht="20.100000000000001" customHeight="1" x14ac:dyDescent="0.25">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4:66" ht="20.100000000000001" customHeight="1" x14ac:dyDescent="0.25">
      <c r="BN148" s="11"/>
    </row>
    <row r="149" spans="4:66" ht="20.100000000000001" customHeight="1" x14ac:dyDescent="0.25">
      <c r="BN149" s="11"/>
    </row>
    <row r="150" spans="4:66" ht="20.100000000000001" customHeight="1" x14ac:dyDescent="0.25">
      <c r="D150" s="16" t="str" cm="1">
        <f t="array" ref="D150">Common_SourceData.Common_SourceData_DataScores_Scope3_Title()</f>
        <v>Australian data scores for scope 3</v>
      </c>
      <c r="BN150" s="11"/>
    </row>
    <row r="151" spans="4:66" ht="20.100000000000001" customHeight="1" x14ac:dyDescent="0.25">
      <c r="D151" s="18" t="str" cm="1">
        <f t="array" ref="D151">Common_SourceData.Common_SourceData_DataScores_Scope3_Source()</f>
        <v>VEERG 2026: XXXXXXXX</v>
      </c>
      <c r="BN151" s="11"/>
    </row>
    <row r="152" spans="4:66" ht="20.100000000000001" customHeight="1" x14ac:dyDescent="0.25">
      <c r="BN152" s="11"/>
    </row>
    <row r="153" spans="4:66" ht="20.100000000000001" customHeight="1" x14ac:dyDescent="0.25">
      <c r="D153" s="17" t="s">
        <v>51</v>
      </c>
      <c r="E153" s="17" t="s">
        <v>52</v>
      </c>
      <c r="BC153" s="14"/>
      <c r="BD153" s="14"/>
      <c r="BE153" s="14"/>
      <c r="BF153" s="14"/>
      <c r="BG153" s="14"/>
      <c r="BH153" s="14"/>
      <c r="BI153" s="14"/>
      <c r="BJ153" s="14"/>
      <c r="BK153" s="14"/>
      <c r="BL153" s="14"/>
      <c r="BM153" s="14"/>
    </row>
    <row r="154" spans="4:66" ht="20.100000000000001" customHeight="1" x14ac:dyDescent="0.25">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4:66" ht="20.100000000000001" customHeight="1" x14ac:dyDescent="0.2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4:66" ht="20.100000000000001" customHeight="1" x14ac:dyDescent="0.25">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4:66" ht="20.100000000000001" customHeight="1" x14ac:dyDescent="0.25">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4:66" ht="20.100000000000001" customHeight="1" x14ac:dyDescent="0.25">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2.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4.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9</vt:i4>
      </vt:variant>
    </vt:vector>
  </HeadingPairs>
  <TitlesOfParts>
    <vt:vector size="12" baseType="lpstr">
      <vt:lpstr>Input - Planting</vt:lpstr>
      <vt:lpstr>Input - Data quality</vt:lpstr>
      <vt:lpstr>Constants - Common</vt:lpstr>
      <vt:lpstr>X_Cell_Planting_Latitude</vt:lpstr>
      <vt:lpstr>X_Cell_Planting_Longitude</vt:lpstr>
      <vt:lpstr>X_Cell_Planting_PlantingAreaInHectares</vt:lpstr>
      <vt:lpstr>X_Cell_Planting_PlantingDate</vt:lpstr>
      <vt:lpstr>X_Cell_Planting_PlantingName</vt:lpstr>
      <vt:lpstr>X_Cell_Site_EndDate</vt:lpstr>
      <vt:lpstr>X_Cell_Site_StartDate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2026-08-05T06:04:29Z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