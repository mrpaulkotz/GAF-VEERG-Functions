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CF3F4D7D-CCF7-49C1-A991-F149776908A9}" xr6:coauthVersionLast="47" xr6:coauthVersionMax="47" xr10:uidLastSave="{00000000-0000-0000-0000-000000000000}"/>
  <bookViews>
    <workbookView xWindow="2655" yWindow="2700" windowWidth="35745" windowHeight="18900" xr2:uid="{7E1466D3-CE15-41E6-A7E5-3351E07F3C93}"/>
  </bookViews>
  <sheets>
    <sheet name="Input - Planting" sheetId="4" r:id="rId1"/>
    <sheet name="Constants - Common" sheetId="6" r:id="rId2"/>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X_Cell_Enterprise_ProductionTimeframeEnd">#REF!</definedName>
    <definedName name="X_Cell_Enterprise_ProductionTimeframeStart">#REF!</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EndDate">'Input - Planting'!$C$12</definedName>
    <definedName name="X_Cell_Site_StartDate">'Input - Planting'!$C$11</definedName>
    <definedName name="X_Result_Planting_CarbonCapturedPerHectare">'Input - Planting'!$C$15</definedName>
    <definedName name="X_Result_Planting_CarbonCapturedTotalArea">'Input - Planting'!$C$16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6" l="1" a="1"/>
  <c r="E259" i="6" s="1"/>
  <c r="D259" i="6" a="1"/>
  <c r="D259" i="6" s="1"/>
  <c r="E258" i="6" a="1"/>
  <c r="E258" i="6" s="1"/>
  <c r="D258" i="6" a="1"/>
  <c r="D258" i="6" s="1"/>
  <c r="D256" i="6" a="1"/>
  <c r="D256" i="6" s="1"/>
  <c r="D255" i="6" a="1"/>
  <c r="D255" i="6" s="1"/>
  <c r="D254" i="6" a="1"/>
  <c r="D254" i="6" s="1"/>
  <c r="D253" i="6" a="1"/>
  <c r="D253" i="6" s="1"/>
  <c r="S250" i="6" a="1"/>
  <c r="S250" i="6" s="1"/>
  <c r="R250" i="6" a="1"/>
  <c r="R250" i="6" s="1"/>
  <c r="Q250" i="6" a="1"/>
  <c r="Q250" i="6" s="1"/>
  <c r="P250" i="6" a="1"/>
  <c r="P250" i="6" s="1"/>
  <c r="O250" i="6" a="1"/>
  <c r="O250" i="6" s="1"/>
  <c r="N250" i="6" a="1"/>
  <c r="N250" i="6" s="1"/>
  <c r="M250" i="6" a="1"/>
  <c r="M250" i="6" s="1"/>
  <c r="L250" i="6" a="1"/>
  <c r="L250" i="6" s="1"/>
  <c r="K250" i="6" a="1"/>
  <c r="K250" i="6" s="1"/>
  <c r="J250" i="6" a="1"/>
  <c r="J250" i="6" s="1"/>
  <c r="I250" i="6" a="1"/>
  <c r="I250" i="6" s="1"/>
  <c r="H250" i="6" a="1"/>
  <c r="H250" i="6" s="1"/>
  <c r="G250" i="6" a="1"/>
  <c r="G250" i="6" s="1"/>
  <c r="F250" i="6" a="1"/>
  <c r="F250" i="6" s="1"/>
  <c r="E250" i="6" a="1"/>
  <c r="E250" i="6" s="1"/>
  <c r="D250" i="6" a="1"/>
  <c r="D250" i="6" s="1"/>
  <c r="S249" i="6" a="1"/>
  <c r="S249" i="6" s="1"/>
  <c r="R249" i="6" a="1"/>
  <c r="R249" i="6" s="1"/>
  <c r="Q249" i="6" a="1"/>
  <c r="Q249" i="6" s="1"/>
  <c r="P249" i="6" a="1"/>
  <c r="P249" i="6" s="1"/>
  <c r="O249" i="6" a="1"/>
  <c r="O249" i="6" s="1"/>
  <c r="N249" i="6" a="1"/>
  <c r="N249" i="6" s="1"/>
  <c r="M249" i="6" a="1"/>
  <c r="M249" i="6" s="1"/>
  <c r="L249" i="6" a="1"/>
  <c r="L249" i="6" s="1"/>
  <c r="K249" i="6" a="1"/>
  <c r="K249" i="6" s="1"/>
  <c r="J249" i="6" a="1"/>
  <c r="J249" i="6" s="1"/>
  <c r="I249" i="6" a="1"/>
  <c r="I249" i="6" s="1"/>
  <c r="H249" i="6" a="1"/>
  <c r="H249" i="6" s="1"/>
  <c r="G249" i="6" a="1"/>
  <c r="G249" i="6" s="1"/>
  <c r="F249" i="6" a="1"/>
  <c r="F249" i="6" s="1"/>
  <c r="E249" i="6" a="1"/>
  <c r="E249" i="6" s="1"/>
  <c r="D249" i="6" a="1"/>
  <c r="D249" i="6" s="1"/>
  <c r="S248" i="6" a="1"/>
  <c r="S248" i="6" s="1"/>
  <c r="R248" i="6" a="1"/>
  <c r="R248" i="6" s="1"/>
  <c r="Q248" i="6" a="1"/>
  <c r="Q248" i="6" s="1"/>
  <c r="P248" i="6" a="1"/>
  <c r="P248" i="6" s="1"/>
  <c r="O248" i="6" a="1"/>
  <c r="O248" i="6" s="1"/>
  <c r="N248" i="6" a="1"/>
  <c r="N248" i="6" s="1"/>
  <c r="M248" i="6" a="1"/>
  <c r="M248" i="6" s="1"/>
  <c r="L248" i="6" a="1"/>
  <c r="L248" i="6" s="1"/>
  <c r="K248" i="6" a="1"/>
  <c r="K248" i="6" s="1"/>
  <c r="J248" i="6" a="1"/>
  <c r="J248" i="6" s="1"/>
  <c r="I248" i="6" a="1"/>
  <c r="I248" i="6" s="1"/>
  <c r="H248" i="6" a="1"/>
  <c r="H248" i="6" s="1"/>
  <c r="G248" i="6" a="1"/>
  <c r="G248" i="6" s="1"/>
  <c r="F248" i="6" a="1"/>
  <c r="F248" i="6" s="1"/>
  <c r="E248" i="6" a="1"/>
  <c r="E248" i="6" s="1"/>
  <c r="D248" i="6" a="1"/>
  <c r="D248" i="6" s="1"/>
  <c r="S247" i="6" a="1"/>
  <c r="S247" i="6" s="1"/>
  <c r="R247" i="6" a="1"/>
  <c r="R247" i="6" s="1"/>
  <c r="Q247" i="6" a="1"/>
  <c r="Q247" i="6" s="1"/>
  <c r="P247" i="6" a="1"/>
  <c r="P247" i="6" s="1"/>
  <c r="O247" i="6" a="1"/>
  <c r="O247" i="6" s="1"/>
  <c r="N247" i="6" a="1"/>
  <c r="N247" i="6" s="1"/>
  <c r="M247" i="6" a="1"/>
  <c r="M247" i="6" s="1"/>
  <c r="L247" i="6" a="1"/>
  <c r="L247" i="6" s="1"/>
  <c r="K247" i="6" a="1"/>
  <c r="K247" i="6" s="1"/>
  <c r="J247" i="6" a="1"/>
  <c r="J247" i="6" s="1"/>
  <c r="I247" i="6" a="1"/>
  <c r="I247" i="6" s="1"/>
  <c r="H247" i="6" a="1"/>
  <c r="H247" i="6" s="1"/>
  <c r="G247" i="6" a="1"/>
  <c r="G247" i="6" s="1"/>
  <c r="F247" i="6" a="1"/>
  <c r="F247" i="6" s="1"/>
  <c r="E247" i="6" a="1"/>
  <c r="E247" i="6" s="1"/>
  <c r="D247" i="6" a="1"/>
  <c r="D247" i="6" s="1"/>
  <c r="S246" i="6" a="1"/>
  <c r="S246" i="6" s="1"/>
  <c r="R246" i="6" a="1"/>
  <c r="R246" i="6" s="1"/>
  <c r="Q246" i="6" a="1"/>
  <c r="Q246" i="6" s="1"/>
  <c r="P246" i="6"/>
  <c r="P246" i="6" a="1"/>
  <c r="O246" i="6" a="1"/>
  <c r="O246" i="6" s="1"/>
  <c r="N246" i="6" a="1"/>
  <c r="N246" i="6" s="1"/>
  <c r="M246" i="6" a="1"/>
  <c r="M246" i="6" s="1"/>
  <c r="L246" i="6" a="1"/>
  <c r="L246" i="6" s="1"/>
  <c r="K246" i="6" a="1"/>
  <c r="K246" i="6" s="1"/>
  <c r="J246" i="6" a="1"/>
  <c r="J246" i="6" s="1"/>
  <c r="I246" i="6" a="1"/>
  <c r="I246" i="6" s="1"/>
  <c r="H246" i="6" a="1"/>
  <c r="H246" i="6" s="1"/>
  <c r="G246" i="6" a="1"/>
  <c r="G246" i="6" s="1"/>
  <c r="F246" i="6" a="1"/>
  <c r="F246" i="6" s="1"/>
  <c r="E246" i="6" a="1"/>
  <c r="E246" i="6" s="1"/>
  <c r="D246" i="6" a="1"/>
  <c r="D246" i="6" s="1"/>
  <c r="S245" i="6" a="1"/>
  <c r="S245" i="6" s="1"/>
  <c r="R245" i="6" a="1"/>
  <c r="R245" i="6" s="1"/>
  <c r="Q245" i="6" a="1"/>
  <c r="Q245" i="6" s="1"/>
  <c r="P245" i="6" a="1"/>
  <c r="P245" i="6" s="1"/>
  <c r="O245" i="6" a="1"/>
  <c r="O245" i="6" s="1"/>
  <c r="N245" i="6" a="1"/>
  <c r="N245" i="6" s="1"/>
  <c r="M245" i="6" a="1"/>
  <c r="M245" i="6" s="1"/>
  <c r="L245" i="6" a="1"/>
  <c r="L245" i="6" s="1"/>
  <c r="K245" i="6" a="1"/>
  <c r="K245" i="6" s="1"/>
  <c r="J245" i="6" a="1"/>
  <c r="J245" i="6" s="1"/>
  <c r="I245" i="6" a="1"/>
  <c r="I245" i="6" s="1"/>
  <c r="H245" i="6" a="1"/>
  <c r="H245" i="6" s="1"/>
  <c r="G245" i="6" a="1"/>
  <c r="G245" i="6" s="1"/>
  <c r="F245" i="6" a="1"/>
  <c r="F245" i="6" s="1"/>
  <c r="E245" i="6" a="1"/>
  <c r="E245" i="6" s="1"/>
  <c r="D245" i="6" a="1"/>
  <c r="D245" i="6" s="1"/>
  <c r="S244" i="6" a="1"/>
  <c r="S244" i="6" s="1"/>
  <c r="R244" i="6" a="1"/>
  <c r="R244" i="6" s="1"/>
  <c r="Q244" i="6" a="1"/>
  <c r="Q244" i="6" s="1"/>
  <c r="P244" i="6" a="1"/>
  <c r="P244" i="6" s="1"/>
  <c r="O244" i="6" a="1"/>
  <c r="O244" i="6" s="1"/>
  <c r="N244" i="6" a="1"/>
  <c r="N244" i="6" s="1"/>
  <c r="M244" i="6" a="1"/>
  <c r="M244" i="6" s="1"/>
  <c r="L244" i="6" a="1"/>
  <c r="L244" i="6" s="1"/>
  <c r="K244" i="6" a="1"/>
  <c r="K244" i="6" s="1"/>
  <c r="J244" i="6" a="1"/>
  <c r="J244" i="6" s="1"/>
  <c r="I244" i="6" a="1"/>
  <c r="I244" i="6" s="1"/>
  <c r="H244" i="6" a="1"/>
  <c r="H244" i="6" s="1"/>
  <c r="G244" i="6" a="1"/>
  <c r="G244" i="6" s="1"/>
  <c r="F244" i="6" a="1"/>
  <c r="F244" i="6" s="1"/>
  <c r="E244" i="6" a="1"/>
  <c r="E244" i="6" s="1"/>
  <c r="D244" i="6" a="1"/>
  <c r="D244" i="6" s="1"/>
  <c r="S243" i="6" a="1"/>
  <c r="S243" i="6" s="1"/>
  <c r="R243" i="6" a="1"/>
  <c r="R243" i="6" s="1"/>
  <c r="Q243" i="6" a="1"/>
  <c r="Q243" i="6" s="1"/>
  <c r="P243" i="6" a="1"/>
  <c r="P243" i="6" s="1"/>
  <c r="O243" i="6" a="1"/>
  <c r="O243" i="6" s="1"/>
  <c r="N243" i="6" a="1"/>
  <c r="N243" i="6" s="1"/>
  <c r="M243" i="6" a="1"/>
  <c r="M243" i="6" s="1"/>
  <c r="L243" i="6" a="1"/>
  <c r="L243" i="6" s="1"/>
  <c r="K243" i="6" a="1"/>
  <c r="K243" i="6" s="1"/>
  <c r="J243" i="6" a="1"/>
  <c r="J243" i="6" s="1"/>
  <c r="I243" i="6" a="1"/>
  <c r="I243" i="6" s="1"/>
  <c r="H243" i="6" a="1"/>
  <c r="H243" i="6" s="1"/>
  <c r="G243" i="6"/>
  <c r="G243" i="6" a="1"/>
  <c r="F243" i="6" a="1"/>
  <c r="F243" i="6" s="1"/>
  <c r="E243" i="6" a="1"/>
  <c r="E243" i="6" s="1"/>
  <c r="D243" i="6" a="1"/>
  <c r="D243" i="6" s="1"/>
  <c r="S242" i="6" a="1"/>
  <c r="S242" i="6" s="1"/>
  <c r="R242" i="6" a="1"/>
  <c r="R242" i="6" s="1"/>
  <c r="Q242" i="6" a="1"/>
  <c r="Q242" i="6" s="1"/>
  <c r="P242" i="6" a="1"/>
  <c r="P242" i="6" s="1"/>
  <c r="O242" i="6" a="1"/>
  <c r="O242" i="6" s="1"/>
  <c r="N242" i="6" a="1"/>
  <c r="N242" i="6" s="1"/>
  <c r="M242" i="6" a="1"/>
  <c r="M242" i="6" s="1"/>
  <c r="L242" i="6" a="1"/>
  <c r="L242" i="6" s="1"/>
  <c r="K242" i="6" a="1"/>
  <c r="K242" i="6" s="1"/>
  <c r="J242" i="6" a="1"/>
  <c r="J242" i="6" s="1"/>
  <c r="I242" i="6" a="1"/>
  <c r="I242" i="6" s="1"/>
  <c r="H242" i="6" a="1"/>
  <c r="H242" i="6" s="1"/>
  <c r="G242" i="6" a="1"/>
  <c r="G242" i="6" s="1"/>
  <c r="F242" i="6" a="1"/>
  <c r="F242" i="6" s="1"/>
  <c r="E242" i="6" a="1"/>
  <c r="E242" i="6" s="1"/>
  <c r="D242" i="6" a="1"/>
  <c r="D242" i="6" s="1"/>
  <c r="S241" i="6" a="1"/>
  <c r="S241" i="6" s="1"/>
  <c r="R241" i="6" a="1"/>
  <c r="R241" i="6" s="1"/>
  <c r="Q241" i="6" a="1"/>
  <c r="Q241" i="6" s="1"/>
  <c r="P241" i="6" a="1"/>
  <c r="P241" i="6" s="1"/>
  <c r="O241" i="6" a="1"/>
  <c r="O241" i="6" s="1"/>
  <c r="N241" i="6" a="1"/>
  <c r="N241" i="6" s="1"/>
  <c r="M241" i="6" a="1"/>
  <c r="M241" i="6" s="1"/>
  <c r="L241" i="6" a="1"/>
  <c r="L241" i="6" s="1"/>
  <c r="K241" i="6" a="1"/>
  <c r="K241" i="6" s="1"/>
  <c r="J241" i="6" a="1"/>
  <c r="J241" i="6" s="1"/>
  <c r="I241" i="6" a="1"/>
  <c r="I241" i="6" s="1"/>
  <c r="H241" i="6" a="1"/>
  <c r="H241" i="6" s="1"/>
  <c r="G241" i="6" a="1"/>
  <c r="G241" i="6" s="1"/>
  <c r="F241" i="6" a="1"/>
  <c r="F241" i="6" s="1"/>
  <c r="E241" i="6" a="1"/>
  <c r="E241" i="6" s="1"/>
  <c r="D241" i="6" a="1"/>
  <c r="D241" i="6" s="1"/>
  <c r="S240" i="6" a="1"/>
  <c r="S240" i="6" s="1"/>
  <c r="R240" i="6" a="1"/>
  <c r="R240" i="6" s="1"/>
  <c r="Q240" i="6" a="1"/>
  <c r="Q240" i="6" s="1"/>
  <c r="P240" i="6" a="1"/>
  <c r="P240" i="6" s="1"/>
  <c r="O240" i="6" a="1"/>
  <c r="O240" i="6" s="1"/>
  <c r="N240" i="6" a="1"/>
  <c r="N240" i="6" s="1"/>
  <c r="M240" i="6" a="1"/>
  <c r="M240" i="6" s="1"/>
  <c r="L240" i="6" a="1"/>
  <c r="L240" i="6" s="1"/>
  <c r="K240" i="6" a="1"/>
  <c r="K240" i="6" s="1"/>
  <c r="J240" i="6" a="1"/>
  <c r="J240" i="6" s="1"/>
  <c r="I240" i="6" a="1"/>
  <c r="I240" i="6" s="1"/>
  <c r="H240" i="6" a="1"/>
  <c r="H240" i="6" s="1"/>
  <c r="G240" i="6" a="1"/>
  <c r="G240" i="6" s="1"/>
  <c r="F240" i="6" a="1"/>
  <c r="F240" i="6" s="1"/>
  <c r="E240" i="6" a="1"/>
  <c r="E240" i="6" s="1"/>
  <c r="D240" i="6" a="1"/>
  <c r="D240" i="6" s="1"/>
  <c r="S239" i="6" a="1"/>
  <c r="S239" i="6" s="1"/>
  <c r="R239" i="6" a="1"/>
  <c r="R239" i="6" s="1"/>
  <c r="Q239" i="6" a="1"/>
  <c r="Q239" i="6" s="1"/>
  <c r="P239" i="6" a="1"/>
  <c r="P239" i="6" s="1"/>
  <c r="O239" i="6" a="1"/>
  <c r="O239" i="6" s="1"/>
  <c r="N239" i="6" a="1"/>
  <c r="N239" i="6" s="1"/>
  <c r="M239" i="6" a="1"/>
  <c r="M239" i="6" s="1"/>
  <c r="L239" i="6" a="1"/>
  <c r="L239" i="6" s="1"/>
  <c r="K239" i="6" a="1"/>
  <c r="K239" i="6" s="1"/>
  <c r="J239" i="6" a="1"/>
  <c r="J239" i="6" s="1"/>
  <c r="I239" i="6" a="1"/>
  <c r="I239" i="6" s="1"/>
  <c r="H239" i="6" a="1"/>
  <c r="H239" i="6" s="1"/>
  <c r="G239" i="6" a="1"/>
  <c r="G239" i="6" s="1"/>
  <c r="F239" i="6" a="1"/>
  <c r="F239" i="6" s="1"/>
  <c r="E239" i="6" a="1"/>
  <c r="E239" i="6" s="1"/>
  <c r="D239" i="6" a="1"/>
  <c r="D239" i="6" s="1"/>
  <c r="S238" i="6" a="1"/>
  <c r="S238" i="6" s="1"/>
  <c r="R238" i="6" a="1"/>
  <c r="R238" i="6" s="1"/>
  <c r="Q238" i="6" a="1"/>
  <c r="Q238" i="6" s="1"/>
  <c r="P238" i="6" a="1"/>
  <c r="P238" i="6" s="1"/>
  <c r="O238" i="6" a="1"/>
  <c r="O238" i="6" s="1"/>
  <c r="N238" i="6" a="1"/>
  <c r="N238" i="6" s="1"/>
  <c r="M238" i="6" a="1"/>
  <c r="M238" i="6" s="1"/>
  <c r="L238" i="6" a="1"/>
  <c r="L238" i="6" s="1"/>
  <c r="K238" i="6" a="1"/>
  <c r="K238" i="6" s="1"/>
  <c r="J238" i="6" a="1"/>
  <c r="J238" i="6" s="1"/>
  <c r="I238" i="6" a="1"/>
  <c r="I238" i="6" s="1"/>
  <c r="H238" i="6" a="1"/>
  <c r="H238" i="6" s="1"/>
  <c r="G238" i="6" a="1"/>
  <c r="G238" i="6" s="1"/>
  <c r="F238" i="6" a="1"/>
  <c r="F238" i="6" s="1"/>
  <c r="E238" i="6" a="1"/>
  <c r="E238" i="6" s="1"/>
  <c r="D238" i="6" a="1"/>
  <c r="D238" i="6" s="1"/>
  <c r="S237" i="6" a="1"/>
  <c r="S237" i="6" s="1"/>
  <c r="R237" i="6" a="1"/>
  <c r="R237" i="6" s="1"/>
  <c r="Q237" i="6" a="1"/>
  <c r="Q237" i="6" s="1"/>
  <c r="P237" i="6" a="1"/>
  <c r="P237" i="6" s="1"/>
  <c r="O237" i="6" a="1"/>
  <c r="O237" i="6" s="1"/>
  <c r="N237" i="6" a="1"/>
  <c r="N237" i="6" s="1"/>
  <c r="M237" i="6" a="1"/>
  <c r="M237" i="6" s="1"/>
  <c r="L237" i="6" a="1"/>
  <c r="L237" i="6" s="1"/>
  <c r="K237" i="6" a="1"/>
  <c r="K237" i="6" s="1"/>
  <c r="J237" i="6" a="1"/>
  <c r="J237" i="6" s="1"/>
  <c r="I237" i="6" a="1"/>
  <c r="I237" i="6" s="1"/>
  <c r="H237" i="6" a="1"/>
  <c r="H237" i="6" s="1"/>
  <c r="G237" i="6" a="1"/>
  <c r="G237" i="6" s="1"/>
  <c r="F237" i="6" a="1"/>
  <c r="F237" i="6" s="1"/>
  <c r="E237" i="6" a="1"/>
  <c r="E237" i="6" s="1"/>
  <c r="D237" i="6" a="1"/>
  <c r="D237" i="6" s="1"/>
  <c r="S236" i="6" a="1"/>
  <c r="S236" i="6" s="1"/>
  <c r="R236" i="6" a="1"/>
  <c r="R236" i="6" s="1"/>
  <c r="Q236" i="6" a="1"/>
  <c r="Q236" i="6" s="1"/>
  <c r="P236" i="6" a="1"/>
  <c r="P236" i="6" s="1"/>
  <c r="O236" i="6" a="1"/>
  <c r="O236" i="6" s="1"/>
  <c r="N236" i="6" a="1"/>
  <c r="N236" i="6" s="1"/>
  <c r="M236" i="6" a="1"/>
  <c r="M236" i="6" s="1"/>
  <c r="L236" i="6" a="1"/>
  <c r="L236" i="6" s="1"/>
  <c r="K236" i="6" a="1"/>
  <c r="K236" i="6" s="1"/>
  <c r="J236" i="6" a="1"/>
  <c r="J236" i="6" s="1"/>
  <c r="I236" i="6" a="1"/>
  <c r="I236" i="6" s="1"/>
  <c r="H236" i="6" a="1"/>
  <c r="H236" i="6" s="1"/>
  <c r="G236" i="6" a="1"/>
  <c r="G236" i="6" s="1"/>
  <c r="F236" i="6" a="1"/>
  <c r="F236" i="6" s="1"/>
  <c r="E236" i="6" a="1"/>
  <c r="E236" i="6" s="1"/>
  <c r="D236" i="6" a="1"/>
  <c r="D236" i="6" s="1"/>
  <c r="S235" i="6" a="1"/>
  <c r="S235" i="6" s="1"/>
  <c r="R235" i="6" a="1"/>
  <c r="R235" i="6" s="1"/>
  <c r="Q235" i="6" a="1"/>
  <c r="Q235" i="6" s="1"/>
  <c r="P235" i="6" a="1"/>
  <c r="P235" i="6" s="1"/>
  <c r="O235" i="6" a="1"/>
  <c r="O235" i="6" s="1"/>
  <c r="N235" i="6" a="1"/>
  <c r="N235" i="6" s="1"/>
  <c r="M235" i="6" a="1"/>
  <c r="M235" i="6" s="1"/>
  <c r="L235" i="6" a="1"/>
  <c r="L235" i="6" s="1"/>
  <c r="K235" i="6" a="1"/>
  <c r="K235" i="6" s="1"/>
  <c r="J235" i="6" a="1"/>
  <c r="J235" i="6" s="1"/>
  <c r="I235" i="6" a="1"/>
  <c r="I235" i="6" s="1"/>
  <c r="H235" i="6" a="1"/>
  <c r="H235" i="6" s="1"/>
  <c r="G235" i="6" a="1"/>
  <c r="G235" i="6" s="1"/>
  <c r="F235" i="6" a="1"/>
  <c r="F235" i="6" s="1"/>
  <c r="E235" i="6" a="1"/>
  <c r="E235" i="6" s="1"/>
  <c r="D235" i="6" a="1"/>
  <c r="D235" i="6" s="1"/>
  <c r="S234" i="6" a="1"/>
  <c r="S234" i="6" s="1"/>
  <c r="R234" i="6" a="1"/>
  <c r="R234" i="6" s="1"/>
  <c r="Q234" i="6" a="1"/>
  <c r="Q234" i="6" s="1"/>
  <c r="P234" i="6" a="1"/>
  <c r="P234" i="6" s="1"/>
  <c r="O234" i="6" a="1"/>
  <c r="O234" i="6" s="1"/>
  <c r="N234" i="6" a="1"/>
  <c r="N234" i="6" s="1"/>
  <c r="M234" i="6" a="1"/>
  <c r="M234" i="6" s="1"/>
  <c r="L234" i="6" a="1"/>
  <c r="L234" i="6" s="1"/>
  <c r="K234" i="6" a="1"/>
  <c r="K234" i="6" s="1"/>
  <c r="J234" i="6" a="1"/>
  <c r="J234" i="6" s="1"/>
  <c r="I234" i="6" a="1"/>
  <c r="I234" i="6" s="1"/>
  <c r="H234" i="6" a="1"/>
  <c r="H234" i="6" s="1"/>
  <c r="G234" i="6" a="1"/>
  <c r="G234" i="6" s="1"/>
  <c r="F234" i="6" a="1"/>
  <c r="F234" i="6" s="1"/>
  <c r="E234" i="6" a="1"/>
  <c r="E234" i="6" s="1"/>
  <c r="D234" i="6" a="1"/>
  <c r="D234" i="6" s="1"/>
  <c r="S233" i="6" a="1"/>
  <c r="S233" i="6" s="1"/>
  <c r="R233" i="6" a="1"/>
  <c r="R233" i="6" s="1"/>
  <c r="Q233" i="6" a="1"/>
  <c r="Q233" i="6" s="1"/>
  <c r="P233" i="6" a="1"/>
  <c r="P233" i="6" s="1"/>
  <c r="O233" i="6" a="1"/>
  <c r="O233" i="6" s="1"/>
  <c r="N233" i="6" a="1"/>
  <c r="N233" i="6" s="1"/>
  <c r="M233" i="6" a="1"/>
  <c r="M233" i="6" s="1"/>
  <c r="L233" i="6" a="1"/>
  <c r="L233" i="6" s="1"/>
  <c r="K233" i="6" a="1"/>
  <c r="K233" i="6" s="1"/>
  <c r="J233" i="6" a="1"/>
  <c r="J233" i="6" s="1"/>
  <c r="I233" i="6" a="1"/>
  <c r="I233" i="6" s="1"/>
  <c r="H233" i="6" a="1"/>
  <c r="H233" i="6" s="1"/>
  <c r="G233" i="6" a="1"/>
  <c r="G233" i="6" s="1"/>
  <c r="F233" i="6" a="1"/>
  <c r="F233" i="6" s="1"/>
  <c r="E233" i="6" a="1"/>
  <c r="E233" i="6" s="1"/>
  <c r="D233" i="6" a="1"/>
  <c r="D233" i="6" s="1"/>
  <c r="S232" i="6" a="1"/>
  <c r="S232" i="6" s="1"/>
  <c r="R232" i="6" a="1"/>
  <c r="R232" i="6" s="1"/>
  <c r="Q232" i="6" a="1"/>
  <c r="Q232" i="6" s="1"/>
  <c r="P232" i="6" a="1"/>
  <c r="P232" i="6" s="1"/>
  <c r="O232" i="6" a="1"/>
  <c r="O232" i="6" s="1"/>
  <c r="N232" i="6" a="1"/>
  <c r="N232" i="6" s="1"/>
  <c r="M232" i="6" a="1"/>
  <c r="M232" i="6" s="1"/>
  <c r="L232" i="6" a="1"/>
  <c r="L232" i="6" s="1"/>
  <c r="K232" i="6" a="1"/>
  <c r="K232" i="6" s="1"/>
  <c r="J232" i="6" a="1"/>
  <c r="J232" i="6" s="1"/>
  <c r="I232" i="6" a="1"/>
  <c r="I232" i="6" s="1"/>
  <c r="H232" i="6" a="1"/>
  <c r="H232" i="6" s="1"/>
  <c r="G232" i="6" a="1"/>
  <c r="G232" i="6" s="1"/>
  <c r="F232" i="6" a="1"/>
  <c r="F232" i="6" s="1"/>
  <c r="E232" i="6" a="1"/>
  <c r="E232" i="6" s="1"/>
  <c r="D232" i="6" a="1"/>
  <c r="D232" i="6" s="1"/>
  <c r="D229" i="6" a="1"/>
  <c r="D229" i="6" s="1"/>
  <c r="D228" i="6" a="1"/>
  <c r="D228" i="6" s="1"/>
  <c r="D227" i="6" a="1"/>
  <c r="D227" i="6" s="1"/>
  <c r="E224" i="6" a="1"/>
  <c r="E224" i="6" s="1"/>
  <c r="D224" i="6" a="1"/>
  <c r="D224" i="6" s="1"/>
  <c r="E223" i="6" a="1"/>
  <c r="E223" i="6" s="1"/>
  <c r="D223" i="6" a="1"/>
  <c r="D223" i="6" s="1"/>
  <c r="E222" i="6" a="1"/>
  <c r="E222" i="6" s="1"/>
  <c r="D222" i="6" a="1"/>
  <c r="D222" i="6" s="1"/>
  <c r="E221" i="6" a="1"/>
  <c r="E221" i="6" s="1"/>
  <c r="D221" i="6" a="1"/>
  <c r="D221" i="6" s="1"/>
  <c r="E220" i="6" a="1"/>
  <c r="E220" i="6" s="1"/>
  <c r="D220" i="6" a="1"/>
  <c r="D220" i="6" s="1"/>
  <c r="E219" i="6" a="1"/>
  <c r="E219" i="6" s="1"/>
  <c r="D219" i="6" a="1"/>
  <c r="D219" i="6" s="1"/>
  <c r="E218" i="6" a="1"/>
  <c r="E218" i="6" s="1"/>
  <c r="D218" i="6" a="1"/>
  <c r="D218" i="6" s="1"/>
  <c r="E217" i="6" a="1"/>
  <c r="E217" i="6" s="1"/>
  <c r="D217" i="6" a="1"/>
  <c r="D217" i="6" s="1"/>
  <c r="E216" i="6" a="1"/>
  <c r="E216" i="6" s="1"/>
  <c r="D216" i="6" a="1"/>
  <c r="D216" i="6" s="1"/>
  <c r="E215" i="6" a="1"/>
  <c r="E215" i="6" s="1"/>
  <c r="D215" i="6" a="1"/>
  <c r="D215" i="6" s="1"/>
  <c r="E214" i="6" a="1"/>
  <c r="E214" i="6" s="1"/>
  <c r="D214" i="6" a="1"/>
  <c r="D214" i="6" s="1"/>
  <c r="E213" i="6" a="1"/>
  <c r="E213" i="6" s="1"/>
  <c r="D213" i="6" a="1"/>
  <c r="D213" i="6" s="1"/>
  <c r="D211" i="6" a="1"/>
  <c r="D211" i="6" s="1"/>
  <c r="E208" i="6" a="1"/>
  <c r="E208" i="6" s="1"/>
  <c r="D208" i="6" a="1"/>
  <c r="D208" i="6" s="1"/>
  <c r="E207" i="6" a="1"/>
  <c r="E207" i="6" s="1"/>
  <c r="D207" i="6" a="1"/>
  <c r="D207" i="6" s="1"/>
  <c r="D205" i="6" a="1"/>
  <c r="D205" i="6" s="1"/>
  <c r="D204" i="6" a="1"/>
  <c r="D204" i="6" s="1"/>
  <c r="D203" i="6" a="1"/>
  <c r="D203" i="6" s="1"/>
  <c r="D202" i="6" a="1"/>
  <c r="D202" i="6" s="1"/>
  <c r="H199" i="6" a="1"/>
  <c r="H199" i="6" s="1"/>
  <c r="G199" i="6" a="1"/>
  <c r="G199" i="6" s="1"/>
  <c r="F199" i="6" a="1"/>
  <c r="F199" i="6" s="1"/>
  <c r="E199" i="6" a="1"/>
  <c r="E199" i="6" s="1"/>
  <c r="D199" i="6" a="1"/>
  <c r="D199" i="6" s="1"/>
  <c r="H198" i="6" a="1"/>
  <c r="H198" i="6" s="1"/>
  <c r="G198" i="6" a="1"/>
  <c r="G198" i="6" s="1"/>
  <c r="F198" i="6" a="1"/>
  <c r="F198" i="6" s="1"/>
  <c r="E198" i="6" a="1"/>
  <c r="E198" i="6" s="1"/>
  <c r="D198" i="6" a="1"/>
  <c r="D198" i="6" s="1"/>
  <c r="H197" i="6" a="1"/>
  <c r="H197" i="6" s="1"/>
  <c r="G197" i="6" a="1"/>
  <c r="G197" i="6" s="1"/>
  <c r="F197" i="6" a="1"/>
  <c r="F197" i="6" s="1"/>
  <c r="E197" i="6" a="1"/>
  <c r="E197" i="6" s="1"/>
  <c r="D197" i="6" a="1"/>
  <c r="D197" i="6" s="1"/>
  <c r="H196" i="6" a="1"/>
  <c r="H196" i="6" s="1"/>
  <c r="G196" i="6" a="1"/>
  <c r="G196" i="6" s="1"/>
  <c r="F196" i="6" a="1"/>
  <c r="F196" i="6" s="1"/>
  <c r="E196" i="6" a="1"/>
  <c r="E196" i="6" s="1"/>
  <c r="D196" i="6" a="1"/>
  <c r="D196" i="6" s="1"/>
  <c r="H195" i="6" a="1"/>
  <c r="H195" i="6" s="1"/>
  <c r="G195" i="6" a="1"/>
  <c r="G195" i="6" s="1"/>
  <c r="F195" i="6" a="1"/>
  <c r="F195" i="6" s="1"/>
  <c r="E195" i="6" a="1"/>
  <c r="E195" i="6" s="1"/>
  <c r="D195" i="6" a="1"/>
  <c r="D195" i="6" s="1"/>
  <c r="H194" i="6" a="1"/>
  <c r="H194" i="6" s="1"/>
  <c r="G194" i="6" a="1"/>
  <c r="G194" i="6" s="1"/>
  <c r="F194" i="6" a="1"/>
  <c r="F194" i="6" s="1"/>
  <c r="E194" i="6" a="1"/>
  <c r="E194" i="6" s="1"/>
  <c r="D194" i="6" a="1"/>
  <c r="D194" i="6" s="1"/>
  <c r="H193" i="6" a="1"/>
  <c r="H193" i="6" s="1"/>
  <c r="G193" i="6" a="1"/>
  <c r="G193" i="6" s="1"/>
  <c r="F193" i="6" a="1"/>
  <c r="F193" i="6" s="1"/>
  <c r="E193" i="6" a="1"/>
  <c r="E193" i="6" s="1"/>
  <c r="D193" i="6" a="1"/>
  <c r="D193" i="6" s="1"/>
  <c r="H192" i="6" a="1"/>
  <c r="H192" i="6" s="1"/>
  <c r="G192" i="6" a="1"/>
  <c r="G192" i="6" s="1"/>
  <c r="F192" i="6" a="1"/>
  <c r="F192" i="6" s="1"/>
  <c r="E192" i="6" a="1"/>
  <c r="E192" i="6" s="1"/>
  <c r="D192" i="6" a="1"/>
  <c r="D192" i="6" s="1"/>
  <c r="H191" i="6" a="1"/>
  <c r="H191" i="6" s="1"/>
  <c r="G191" i="6" a="1"/>
  <c r="G191" i="6" s="1"/>
  <c r="F191" i="6" a="1"/>
  <c r="F191" i="6" s="1"/>
  <c r="E191" i="6" a="1"/>
  <c r="E191" i="6" s="1"/>
  <c r="D191" i="6" a="1"/>
  <c r="D191" i="6" s="1"/>
  <c r="H190" i="6" a="1"/>
  <c r="H190" i="6" s="1"/>
  <c r="G190" i="6" a="1"/>
  <c r="G190" i="6" s="1"/>
  <c r="F190" i="6" a="1"/>
  <c r="F190" i="6" s="1"/>
  <c r="E190" i="6" a="1"/>
  <c r="E190" i="6" s="1"/>
  <c r="D190" i="6" a="1"/>
  <c r="D190" i="6" s="1"/>
  <c r="H189" i="6" a="1"/>
  <c r="H189" i="6" s="1"/>
  <c r="G189" i="6" a="1"/>
  <c r="G189" i="6" s="1"/>
  <c r="F189" i="6" a="1"/>
  <c r="F189" i="6" s="1"/>
  <c r="E189" i="6" a="1"/>
  <c r="E189" i="6" s="1"/>
  <c r="D189" i="6" a="1"/>
  <c r="D189" i="6" s="1"/>
  <c r="H188" i="6" a="1"/>
  <c r="H188" i="6" s="1"/>
  <c r="G188" i="6" a="1"/>
  <c r="G188" i="6" s="1"/>
  <c r="F188" i="6" a="1"/>
  <c r="F188" i="6" s="1"/>
  <c r="E188" i="6" a="1"/>
  <c r="E188" i="6" s="1"/>
  <c r="D188" i="6" a="1"/>
  <c r="D188" i="6" s="1"/>
  <c r="H187" i="6" a="1"/>
  <c r="H187" i="6" s="1"/>
  <c r="G187" i="6" a="1"/>
  <c r="G187" i="6" s="1"/>
  <c r="F187" i="6" a="1"/>
  <c r="F187" i="6" s="1"/>
  <c r="E187" i="6" a="1"/>
  <c r="E187" i="6" s="1"/>
  <c r="D187" i="6" a="1"/>
  <c r="D187" i="6" s="1"/>
  <c r="D181" i="6" a="1"/>
  <c r="D181" i="6" s="1"/>
  <c r="D180" i="6" a="1"/>
  <c r="D180" i="6" s="1"/>
  <c r="D179" i="6" a="1"/>
  <c r="D179" i="6" s="1"/>
  <c r="D178" i="6" a="1"/>
  <c r="D178" i="6" s="1"/>
  <c r="E175" i="6" a="1"/>
  <c r="E175" i="6" s="1"/>
  <c r="D175" i="6" a="1"/>
  <c r="D175" i="6" s="1"/>
  <c r="D174" i="6" a="1"/>
  <c r="D174" i="6" s="1"/>
  <c r="D173" i="6" a="1"/>
  <c r="D173" i="6" s="1"/>
  <c r="D170" i="6" a="1"/>
  <c r="D170" i="6" s="1"/>
  <c r="D169" i="6" a="1"/>
  <c r="D169" i="6" s="1"/>
  <c r="D168" i="6" a="1"/>
  <c r="D168" i="6" s="1"/>
  <c r="D167" i="6" a="1"/>
  <c r="D167" i="6" s="1"/>
  <c r="D164" i="6" a="1"/>
  <c r="D164" i="6" s="1"/>
  <c r="D163" i="6" a="1"/>
  <c r="D163" i="6" s="1"/>
  <c r="D162" i="6" a="1"/>
  <c r="D162" i="6" s="1"/>
  <c r="D161" i="6" a="1"/>
  <c r="D161" i="6" s="1"/>
  <c r="E158" i="6" a="1"/>
  <c r="E158" i="6" s="1"/>
  <c r="D158" i="6" a="1"/>
  <c r="D158" i="6" s="1"/>
  <c r="E157" i="6" a="1"/>
  <c r="E157" i="6" s="1"/>
  <c r="D157" i="6" a="1"/>
  <c r="D157" i="6" s="1"/>
  <c r="E156" i="6" a="1"/>
  <c r="E156" i="6" s="1"/>
  <c r="D156" i="6" a="1"/>
  <c r="D156" i="6" s="1"/>
  <c r="E155" i="6" a="1"/>
  <c r="E155" i="6" s="1"/>
  <c r="D155" i="6" a="1"/>
  <c r="D155" i="6" s="1"/>
  <c r="E154" i="6" a="1"/>
  <c r="E154" i="6" s="1"/>
  <c r="D154" i="6" a="1"/>
  <c r="D154" i="6" s="1"/>
  <c r="D151" i="6" a="1"/>
  <c r="D151" i="6" s="1"/>
  <c r="D150" i="6" a="1"/>
  <c r="D150" i="6" s="1"/>
  <c r="E147" i="6" a="1"/>
  <c r="E147" i="6" s="1"/>
  <c r="D147" i="6" a="1"/>
  <c r="D147" i="6" s="1"/>
  <c r="E146" i="6" a="1"/>
  <c r="E146" i="6" s="1"/>
  <c r="D146" i="6" a="1"/>
  <c r="D146" i="6" s="1"/>
  <c r="E145" i="6" a="1"/>
  <c r="E145" i="6" s="1"/>
  <c r="D145" i="6" a="1"/>
  <c r="D145" i="6" s="1"/>
  <c r="E144" i="6" a="1"/>
  <c r="E144" i="6" s="1"/>
  <c r="D144" i="6" a="1"/>
  <c r="D144" i="6" s="1"/>
  <c r="E143" i="6" a="1"/>
  <c r="E143" i="6" s="1"/>
  <c r="D143" i="6" a="1"/>
  <c r="D143" i="6" s="1"/>
  <c r="D141" i="6" a="1"/>
  <c r="D141" i="6" s="1"/>
  <c r="D140" i="6" a="1"/>
  <c r="D140" i="6" s="1"/>
  <c r="D139" i="6" a="1"/>
  <c r="D139" i="6" s="1"/>
  <c r="E136" i="6" a="1"/>
  <c r="E136" i="6" s="1"/>
  <c r="D136" i="6" a="1"/>
  <c r="D136" i="6" s="1"/>
  <c r="E135" i="6" a="1"/>
  <c r="E135" i="6" s="1"/>
  <c r="D135" i="6" a="1"/>
  <c r="D135" i="6" s="1"/>
  <c r="D133" i="6" a="1"/>
  <c r="D133" i="6" s="1"/>
  <c r="D132" i="6" a="1"/>
  <c r="D132" i="6" s="1"/>
  <c r="E129" i="6" a="1"/>
  <c r="E129" i="6" s="1"/>
  <c r="D129" i="6" a="1"/>
  <c r="D129" i="6" s="1"/>
  <c r="E128" i="6" a="1"/>
  <c r="E128" i="6" s="1"/>
  <c r="D128" i="6" a="1"/>
  <c r="D128" i="6" s="1"/>
  <c r="D125" i="6" a="1"/>
  <c r="D125" i="6" s="1"/>
  <c r="D124" i="6" a="1"/>
  <c r="D124" i="6" s="1"/>
  <c r="G121" i="6" a="1"/>
  <c r="G121" i="6" s="1"/>
  <c r="F121" i="6" a="1"/>
  <c r="F121" i="6" s="1"/>
  <c r="E121" i="6" a="1"/>
  <c r="E121" i="6" s="1"/>
  <c r="D121" i="6" a="1"/>
  <c r="D121" i="6" s="1"/>
  <c r="G120" i="6" a="1"/>
  <c r="G120" i="6" s="1"/>
  <c r="F120" i="6" a="1"/>
  <c r="F120" i="6" s="1"/>
  <c r="E120" i="6" a="1"/>
  <c r="E120" i="6" s="1"/>
  <c r="D120" i="6" a="1"/>
  <c r="D120" i="6" s="1"/>
  <c r="D117" i="6" a="1"/>
  <c r="D117" i="6" s="1"/>
  <c r="D116" i="6" a="1"/>
  <c r="D116" i="6" s="1"/>
  <c r="D115" i="6" a="1"/>
  <c r="D115" i="6" s="1"/>
  <c r="G112" i="6" a="1"/>
  <c r="G112" i="6" s="1"/>
  <c r="F112" i="6" a="1"/>
  <c r="F112" i="6" s="1"/>
  <c r="E112" i="6" a="1"/>
  <c r="E112" i="6" s="1"/>
  <c r="D112" i="6" a="1"/>
  <c r="D112" i="6" s="1"/>
  <c r="G111" i="6" a="1"/>
  <c r="G111" i="6" s="1"/>
  <c r="F111" i="6" a="1"/>
  <c r="F111" i="6" s="1"/>
  <c r="E111" i="6" a="1"/>
  <c r="E111" i="6" s="1"/>
  <c r="D111" i="6" a="1"/>
  <c r="D111" i="6" s="1"/>
  <c r="G110" i="6" a="1"/>
  <c r="G110" i="6" s="1"/>
  <c r="F110" i="6" a="1"/>
  <c r="F110" i="6" s="1"/>
  <c r="E110" i="6" a="1"/>
  <c r="E110" i="6" s="1"/>
  <c r="D110" i="6" a="1"/>
  <c r="D110" i="6" s="1"/>
  <c r="D107" i="6" a="1"/>
  <c r="D107" i="6" s="1"/>
  <c r="D106" i="6" a="1"/>
  <c r="D106" i="6" s="1"/>
  <c r="D105" i="6" a="1"/>
  <c r="D105" i="6" s="1"/>
  <c r="D99" i="6" a="1"/>
  <c r="D99"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D83" i="6" a="1"/>
  <c r="D83" i="6" s="1"/>
  <c r="D82" i="6" a="1"/>
  <c r="D82" i="6" s="1"/>
  <c r="D81" i="6" a="1"/>
  <c r="D81" i="6" s="1"/>
  <c r="E77" i="6" a="1"/>
  <c r="E77" i="6" s="1"/>
  <c r="D77" i="6" a="1"/>
  <c r="D77" i="6" s="1"/>
  <c r="E76" i="6" a="1"/>
  <c r="E76" i="6" s="1"/>
  <c r="D76" i="6" a="1"/>
  <c r="D76" i="6" s="1"/>
  <c r="E75" i="6" a="1"/>
  <c r="E75" i="6" s="1"/>
  <c r="D75" i="6" a="1"/>
  <c r="D75" i="6" s="1"/>
  <c r="E74" i="6" a="1"/>
  <c r="E74" i="6" s="1"/>
  <c r="D74" i="6" a="1"/>
  <c r="D74" i="6" s="1"/>
  <c r="E73" i="6" a="1"/>
  <c r="E73" i="6" s="1"/>
  <c r="D73" i="6" a="1"/>
  <c r="D73" i="6" s="1"/>
  <c r="E72" i="6" a="1"/>
  <c r="E72" i="6" s="1"/>
  <c r="D72" i="6" a="1"/>
  <c r="D72" i="6" s="1"/>
  <c r="E71" i="6" a="1"/>
  <c r="E71" i="6" s="1"/>
  <c r="D71" i="6" a="1"/>
  <c r="D71" i="6" s="1"/>
  <c r="E70" i="6" a="1"/>
  <c r="E70" i="6" s="1"/>
  <c r="D70" i="6" a="1"/>
  <c r="D70" i="6" s="1"/>
  <c r="E69" i="6" a="1"/>
  <c r="E69" i="6" s="1"/>
  <c r="D69" i="6" a="1"/>
  <c r="D69" i="6" s="1"/>
  <c r="E68" i="6" a="1"/>
  <c r="E68" i="6" s="1"/>
  <c r="D68" i="6" a="1"/>
  <c r="D68" i="6" s="1"/>
  <c r="E67" i="6" a="1"/>
  <c r="E67" i="6" s="1"/>
  <c r="D67" i="6" a="1"/>
  <c r="D67" i="6" s="1"/>
  <c r="E66" i="6" a="1"/>
  <c r="E66" i="6" s="1"/>
  <c r="D66" i="6" a="1"/>
  <c r="D66" i="6" s="1"/>
  <c r="E65" i="6" a="1"/>
  <c r="E65" i="6" s="1"/>
  <c r="D65" i="6" a="1"/>
  <c r="D65" i="6" s="1"/>
  <c r="E64" i="6" a="1"/>
  <c r="E64" i="6" s="1"/>
  <c r="D64" i="6" a="1"/>
  <c r="D64" i="6" s="1"/>
  <c r="D59" i="6" a="1"/>
  <c r="D59" i="6" s="1"/>
  <c r="D58" i="6" a="1"/>
  <c r="D58" i="6" s="1"/>
  <c r="D57" i="6" a="1"/>
  <c r="D57" i="6" s="1"/>
  <c r="G54" i="6" a="1"/>
  <c r="G54" i="6" s="1"/>
  <c r="F54" i="6" a="1"/>
  <c r="F54" i="6" s="1"/>
  <c r="H54" i="6" s="1"/>
  <c r="E54" i="6" a="1"/>
  <c r="E54" i="6" s="1"/>
  <c r="D54" i="6" a="1"/>
  <c r="D54" i="6" s="1"/>
  <c r="G53" i="6" a="1"/>
  <c r="G53" i="6" s="1"/>
  <c r="F53" i="6" a="1"/>
  <c r="F53" i="6" s="1"/>
  <c r="E53" i="6" a="1"/>
  <c r="E53" i="6" s="1"/>
  <c r="D53" i="6" a="1"/>
  <c r="D53" i="6" s="1"/>
  <c r="G52" i="6" a="1"/>
  <c r="G52" i="6" s="1"/>
  <c r="F52" i="6" a="1"/>
  <c r="F52" i="6" s="1"/>
  <c r="E52" i="6" a="1"/>
  <c r="E52" i="6" s="1"/>
  <c r="D52" i="6" a="1"/>
  <c r="D52" i="6" s="1"/>
  <c r="G51" i="6" a="1"/>
  <c r="G51" i="6" s="1"/>
  <c r="F51" i="6" a="1"/>
  <c r="F51" i="6" s="1"/>
  <c r="H51" i="6" s="1"/>
  <c r="E51" i="6" a="1"/>
  <c r="E51" i="6" s="1"/>
  <c r="D51" i="6" a="1"/>
  <c r="D51" i="6" s="1"/>
  <c r="G50" i="6"/>
  <c r="G50" i="6" a="1"/>
  <c r="F50" i="6" a="1"/>
  <c r="F50" i="6" s="1"/>
  <c r="E50" i="6" a="1"/>
  <c r="E50" i="6" s="1"/>
  <c r="D50" i="6" a="1"/>
  <c r="D50" i="6" s="1"/>
  <c r="G49" i="6" a="1"/>
  <c r="G49" i="6" s="1"/>
  <c r="F49" i="6" a="1"/>
  <c r="F49" i="6" s="1"/>
  <c r="H49" i="6" s="1"/>
  <c r="E49" i="6" a="1"/>
  <c r="E49" i="6" s="1"/>
  <c r="D49" i="6" a="1"/>
  <c r="D49" i="6" s="1"/>
  <c r="G48" i="6" a="1"/>
  <c r="G48" i="6" s="1"/>
  <c r="F48" i="6" a="1"/>
  <c r="F48" i="6" s="1"/>
  <c r="E48" i="6" a="1"/>
  <c r="E48" i="6" s="1"/>
  <c r="D48" i="6" a="1"/>
  <c r="D48" i="6" s="1"/>
  <c r="D46" i="6"/>
  <c r="D46" i="6" a="1"/>
  <c r="D45" i="6" a="1"/>
  <c r="D45" i="6" s="1"/>
  <c r="E43" i="6" a="1"/>
  <c r="E43" i="6" s="1"/>
  <c r="D43" i="6" a="1"/>
  <c r="D43" i="6" s="1"/>
  <c r="E42" i="6" a="1"/>
  <c r="E42" i="6" s="1"/>
  <c r="D42" i="6" a="1"/>
  <c r="D42" i="6" s="1"/>
  <c r="E41" i="6" a="1"/>
  <c r="E41" i="6" s="1"/>
  <c r="D41" i="6" a="1"/>
  <c r="D41" i="6" s="1"/>
  <c r="E40" i="6" a="1"/>
  <c r="E40" i="6" s="1"/>
  <c r="D40" i="6" a="1"/>
  <c r="D40" i="6" s="1"/>
  <c r="E39" i="6" a="1"/>
  <c r="E39" i="6" s="1"/>
  <c r="D39" i="6" a="1"/>
  <c r="D39" i="6" s="1"/>
  <c r="E38" i="6" a="1"/>
  <c r="E38" i="6" s="1"/>
  <c r="D38" i="6" a="1"/>
  <c r="D38" i="6" s="1"/>
  <c r="E37" i="6" a="1"/>
  <c r="E37" i="6" s="1"/>
  <c r="D37" i="6" a="1"/>
  <c r="D37" i="6" s="1"/>
  <c r="D35" i="6" a="1"/>
  <c r="D35" i="6" s="1"/>
  <c r="D34" i="6" a="1"/>
  <c r="D34" i="6" s="1"/>
  <c r="D30" i="6" a="1"/>
  <c r="D30" i="6" s="1"/>
  <c r="D29" i="6" a="1"/>
  <c r="D29" i="6" s="1"/>
  <c r="D28" i="6" a="1"/>
  <c r="D28" i="6" s="1"/>
  <c r="D27" i="6" a="1"/>
  <c r="D27" i="6" s="1"/>
  <c r="D26" i="6"/>
  <c r="D26" i="6" a="1"/>
  <c r="D25" i="6" a="1"/>
  <c r="D25" i="6" s="1"/>
  <c r="D24" i="6" a="1"/>
  <c r="D24" i="6" s="1"/>
  <c r="D23" i="6" a="1"/>
  <c r="D23" i="6" s="1"/>
  <c r="D22" i="6" a="1"/>
  <c r="D22" i="6" s="1"/>
  <c r="D21" i="6" a="1"/>
  <c r="D21" i="6" s="1"/>
  <c r="D19" i="6"/>
  <c r="D19" i="6" a="1"/>
  <c r="D18" i="6" a="1"/>
  <c r="D18"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c r="E8" i="6" a="1"/>
  <c r="D8" i="6" a="1"/>
  <c r="D8" i="6" s="1"/>
  <c r="F7" i="6" a="1"/>
  <c r="F7" i="6" s="1"/>
  <c r="E7" i="6" a="1"/>
  <c r="E7" i="6" s="1"/>
  <c r="D7" i="6" a="1"/>
  <c r="D7" i="6" s="1"/>
  <c r="D5" i="6" a="1"/>
  <c r="D5" i="6" s="1"/>
  <c r="H50" i="6" l="1"/>
  <c r="H48" i="6"/>
  <c r="H52" i="6"/>
  <c r="H53" i="6"/>
  <c r="C16" i="4" l="1"/>
  <c r="C1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<sst xmlns="http://schemas.openxmlformats.org/spreadsheetml/2006/main" count="86" uniqueCount="79">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</sst>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C09]dd\-mmmm\-yyyy;@"/>
    <numFmt numFmtId="165" formatCode="d/mm/yyyy;@"/>
  </numFmts>
  <fonts count="16"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s>
  <fills count="4">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3">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cellStyleXfs>
  <cellXfs count="23">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cellXfs>
  <cellStyles count="13">
    <cellStyle name="Block heading" xfId="9" xr:uid="{6065A2C3-09F5-4515-87ED-A07ECE03B60A}"/>
    <cellStyle name="Content bold" xfId="1" xr:uid="{90EECC7A-90CF-4913-9525-0D57B2C3C25A}"/>
    <cellStyle name="Content normal" xfId="8" xr:uid="{7064D260-35DF-4E40-B005-5927849D5F2D}"/>
    <cellStyle name="Equation source" xfId="10" xr:uid="{A6980CD5-F033-4A4E-A310-20CA2DBA147C}"/>
    <cellStyle name="Information variation" xfId="11" xr:uid="{3DFDDBB8-017E-4A9E-BD36-920C2DA5EB07}"/>
    <cellStyle name="Input date" xfId="2" xr:uid="{2CBAF3EB-BBB3-44B0-B98B-27C0B711C4C8}"/>
    <cellStyle name="Input number no decimals calculated" xfId="3" xr:uid="{3E2DE6DD-181A-4A3F-B39E-0927DF0A1DA2}"/>
    <cellStyle name="Normal" xfId="0" builtinId="0"/>
    <cellStyle name="Normal 2" xfId="6" xr:uid="{EE6542E1-CDF9-4701-B44A-AABE5F401092}"/>
    <cellStyle name="Page heading" xfId="4" xr:uid="{5606267B-8272-44F0-B060-3CC8D7791322}"/>
    <cellStyle name="Page section heading" xfId="7" xr:uid="{0C5541E1-B1FC-4A0E-9019-EAF0F6D84C6B}"/>
    <cellStyle name="Page source" xfId="5" xr:uid="{BDB1E337-77B0-445D-A39B-72CE8D02F2A9}"/>
    <cellStyle name="Unit no indent" xfId="12" xr:uid="{1E2A3F46-D52F-45EA-B250-19AA59D3DC20}"/>
  </cellStyles>
  <dxfs count="42">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s>
  <tableStyles count="1" defaultTableStyle="TableStyleMedium2" defaultPivotStyle="PivotStyleLight16">
    <tableStyle name="Equation table" pivot="0" count="6" xr9:uid="{F81B4736-567E-441A-AD84-F5C27A32236A}">
      <tableStyleElement type="wholeTable" dxfId="41"/>
      <tableStyleElement type="headerRow" dxfId="40"/>
      <tableStyleElement type="totalRow" dxfId="39"/>
      <tableStyleElement type="firstColumn" dxfId="38"/>
      <tableStyleElement type="firstRowStripe" dxfId="37"/>
      <tableStyleElement type="secondRowStripe" dxfId="3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13"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5" Type="http://schemas.openxmlformats.org/officeDocument/2006/relationships/customXml" Target="../customXml/item3.xml"/><Relationship Id="rId10" Type="http://schemas.microsoft.com/office/2017/06/relationships/rdRichValueStructure" Target="richData/rdrichvaluestructure.xml"/><Relationship Id="rId4" Type="http://schemas.openxmlformats.org/officeDocument/2006/relationships/connections" Target="connections.xml"/><Relationship Id="rId9" Type="http://schemas.microsoft.com/office/2017/06/relationships/rdRichValue" Target="richData/rdrichvalue.xml"/><Relationship Id="rId14" Type="http://schemas.openxmlformats.org/officeDocument/2006/relationships/customXml" Target="../customXml/item2.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EAE884-E3AA-4C6F-B76F-5EC80216329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C2ED6E-9CC3-451B-BB51-1CF60EA95BE7}" name="State/Territory">
      <calculatedColumnFormula array="1">Common_InputFunctions.Utility_DisplayArrayInTable(Common_SourceData.Common_SourceData_AustralianStatesTerritories_Data(),Table_AustralianStates[[#Headers],[State/Territory]],0)</calculatedColumnFormula>
    </tableColumn>
    <tableColumn id="2" xr3:uid="{69FDD198-8517-445D-B48E-3D2F8192DDD6}" name="Common Name">
      <calculatedColumnFormula array="1">Common_InputFunctions.Utility_DisplayArrayInTable(Common_SourceData.Common_SourceData_AustralianStatesTerritories_Data(),Table_AustralianStates[[#Headers],[State/Territory]],0)</calculatedColumnFormula>
    </tableColumn>
    <tableColumn id="3" xr3:uid="{CC167379-513B-4F97-B5CC-453590524E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528ABB-A26F-400A-BD77-8DD10E99203E}" name="Table_WASA4Areas" displayName="Table_WASA4Areas" ref="D20:D30" totalsRowShown="0">
  <autoFilter ref="D20:D30" xr:uid="{5FA81339-C6C8-4D36-BEEA-6C4AEDD9E676}">
    <filterColumn colId="0" hiddenButton="1"/>
  </autoFilter>
  <tableColumns count="1">
    <tableColumn id="1" xr3:uid="{2AF04A24-C2E5-40D4-A44B-0AD492D10AA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4E352C-0731-4A89-995E-0577E0F81CAC}" name="Table_GWPData" displayName="Table_GWPData" ref="D36:E43" totalsRowShown="0">
  <autoFilter ref="D36:E43" xr:uid="{B8E87A66-3E41-4AD3-925D-01EE21B43D7A}">
    <filterColumn colId="0" hiddenButton="1"/>
    <filterColumn colId="1" hiddenButton="1"/>
  </autoFilter>
  <tableColumns count="2">
    <tableColumn id="1" xr3:uid="{C1590E77-49BB-4F5F-A3E4-8D21445CC724}" name="Gas">
      <calculatedColumnFormula array="1">Common_InputFunctions.Utility_DisplayArrayInTable(Common_SourceData.Common_SourceData_GWP_Data(), Table_GWPData[[#Headers],[Gas]], 0)</calculatedColumnFormula>
    </tableColumn>
    <tableColumn id="2" xr3:uid="{8424FE5B-0604-45C7-8E88-6E3915DB6C5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3E783B8-6109-4CA2-8525-8E3ACAC4A2E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76DDD46-7EB4-4141-ABC3-B1C9EA1E33AC}" name="Gas">
      <calculatedColumnFormula array="1">Common_InputFunctions.Utility_DisplayArrayInTable(Common_SourceData.Common_SourceData_ConvertGasElementalToMolecular_Data(),Table_GasToMolecularConversionFactor[[#Headers],[Gas]], 0)</calculatedColumnFormula>
    </tableColumn>
    <tableColumn id="5" xr3:uid="{641E9CD4-4DD0-4391-A5D8-16A02AA9505D}"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D2251-1C02-432C-B625-2A8A6A7B78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3221A81-0123-4115-A3DB-31A52379BD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EC055F7-3C62-4999-8761-A614D18A220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B0AAAA7-F92F-42F5-85EE-5E3F3264F3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14D34F-47D9-4E7B-8F67-CFF2BA3972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D79397-427F-4BDD-85F7-C446814C4630}"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513FFB98-589A-4C52-B02E-C13C07167123}"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851B3A05-D860-4BC9-8FF0-AA7455D1A0B6}"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111DCB69-2E86-452A-B93A-BB116EFF4325}"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EC9B3EBF-3D45-47C7-A0FC-3AAAB728216D}"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DEE780F3-8FFA-489F-8BF5-29BB91E9B886}"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796F2C1-4462-489B-B059-A97C3CB09E44}"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77FF4CA7-BCFB-4B5C-BCB0-CB746D9404FB}"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70480799-57AD-475D-8EFB-ECBA87036E18}"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F20E603D-FAAB-4E85-8158-CCCAEF0C348A}"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1CA64B37-B900-4123-9FA9-9F8F3122E9E6}"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7C463F98-D060-4671-AAED-63888110DC70}"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DDE870B0-2FB3-449F-A8E3-315A6DD8565C}"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B5E2ADB7-D4D8-4A56-B4DC-C29288E8C038}"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05917C51-1048-4C05-B02E-F19C0EBAB3ED}"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69204B-D068-44A2-9480-8A66165B3E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09B5C83-2A18-415A-8927-96C97C2B88A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EC38C61-E15D-47AA-A64C-8434A7A2E790}"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FAC30E-767E-441C-9CAB-02CF9F40280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3FC7A5-5655-47CF-8CEA-D7AA25457E23}" name="Temperature Zone">
      <calculatedColumnFormula array="1">Common_InputFunctions.Utility_DisplayArrayInTable(Common_SourceData.Common_SourceData_TemperatureZones_Data(),Table_SourceData_TemperatureZones[[#Headers],[Temperature Zone]],0)</calculatedColumnFormula>
    </tableColumn>
    <tableColumn id="2" xr3:uid="{8EB813D0-7500-4271-8891-9B47195294BE}" name="MAT">
      <calculatedColumnFormula array="1">Common_InputFunctions.Utility_DisplayArrayInTable(Common_SourceData.Common_SourceData_TemperatureZones_Data(),Table_SourceData_TemperatureZones[[#Headers],[Temperature Zone]],0)</calculatedColumnFormula>
    </tableColumn>
    <tableColumn id="3" xr3:uid="{F6C5B6B9-2851-4A79-9DA4-B963F74F1A73}" name="Min MAT">
      <calculatedColumnFormula array="1">Common_InputFunctions.Utility_DisplayArrayInTable(Common_SourceData.Common_SourceData_TemperatureZones_Data(),Table_SourceData_TemperatureZones[[#Headers],[Temperature Zone]],0)</calculatedColumnFormula>
    </tableColumn>
    <tableColumn id="4" xr3:uid="{16E5C636-186F-4127-9D67-5061CE148D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53211D-6A46-4AAE-B337-B836933DB48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2788624-E238-4310-9AA8-0A882B964680}" name="Rainfall Zone">
      <calculatedColumnFormula array="1">Common_InputFunctions.Utility_DisplayArrayInTable(Common_SourceData.Common_SourceData_RainfallZones_Data(),Table_SourceData_RainfallZones[[#Headers],[Rainfall Zone]],0)</calculatedColumnFormula>
    </tableColumn>
    <tableColumn id="2" xr3:uid="{59BA997A-F6DC-4009-8461-7AB550228F23}" name="Annual rainfall">
      <calculatedColumnFormula array="1">Common_InputFunctions.Utility_DisplayArrayInTable(Common_SourceData.Common_SourceData_RainfallZones_Data(),Table_SourceData_RainfallZones[[#Headers],[Rainfall Zone]],0)</calculatedColumnFormula>
    </tableColumn>
    <tableColumn id="3" xr3:uid="{DB9C46E3-D112-4861-BD27-D94C521ECF35}" name="Min rainfall">
      <calculatedColumnFormula array="1">Common_InputFunctions.Utility_DisplayArrayInTable(Common_SourceData.Common_SourceData_RainfallZones_Data(),Table_SourceData_RainfallZones[[#Headers],[Rainfall Zone]],0)</calculatedColumnFormula>
    </tableColumn>
    <tableColumn id="4" xr3:uid="{0051EE80-A4A4-414E-9CC7-9F2ED58BBBD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BFD8A0E-B27E-43DA-A0E4-918FC747A35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F7E89B4-998D-4DCC-8DB5-EE50FBC9044D}" name="Leaching Zone">
      <calculatedColumnFormula array="1">Common_InputFunctions.Utility_DisplayArrayInTable(Common_SourceData.Common_SourceData_LeachingZones_Data(), Table_SourceData_LeachingZones[[#Headers],[Leaching Zone]], 0)</calculatedColumnFormula>
    </tableColumn>
    <tableColumn id="2" xr3:uid="{7E282AA3-2A6C-4BC2-9C13-583E49B815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2F8945C-3C7F-437A-87E1-5C474CC552C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4570706-FF58-499B-9757-DAC9AEA9472D}" name="Data source">
      <calculatedColumnFormula array="1">Common_InputFunctions.Utility_DisplayArrayInTable(Common_SourceData.Common_SourceData_DataScores_Scope3_Data(), Table_SourceData_DataScores_Scope3[[#Headers],[Data source]], 0)</calculatedColumnFormula>
    </tableColumn>
    <tableColumn id="2" xr3:uid="{0C9173D1-10D3-47AC-854D-32275B22BB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60C9BB3-289E-4BF9-963B-D9E831D692A7}" name="Table_SourceData_FracWET" displayName="Table_SourceData_FracWET" ref="D134:E136" totalsRowShown="0">
  <autoFilter ref="D134:E136" xr:uid="{308E99BE-FE1F-47A4-B2CA-97217277C4E9}">
    <filterColumn colId="0" hiddenButton="1"/>
    <filterColumn colId="1" hiddenButton="1"/>
  </autoFilter>
  <tableColumns count="2">
    <tableColumn id="1" xr3:uid="{A4F762A8-F9FE-4D0C-B506-D39355F3E495}" name="Is in leaching zone">
      <calculatedColumnFormula array="1">Common_InputFunctions.Utility_DisplayArrayInTable(Common_SourceData.Common_SourceData_FracWET_Data(),Table_SourceData_FracWET[[#Headers],[Is in leaching zone]],0)</calculatedColumnFormula>
    </tableColumn>
    <tableColumn id="2" xr3:uid="{08DE5D95-83C8-45AD-A4FC-3CBFDBE7F607}"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23136-6F0B-4559-B2A4-73793AFF37C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79DC45A-3E8A-4E6F-9D5A-066EBCA06C9A}" name="Production system j">
      <calculatedColumnFormula array="1">Common_InputFunctions.Utility_DisplayArrayInTable(Common_SourceData.Common_SourceData_EFN2O_Data(), Table_SourceData_Common_EFN2O[[#Headers],[Production system j]], 0)</calculatedColumnFormula>
    </tableColumn>
    <tableColumn id="2" xr3:uid="{3227515F-0DDB-4F5E-B078-58944E063222}" name="EFN2O">
      <calculatedColumnFormula array="1">Common_InputFunctions.Utility_DisplayArrayInTable(Common_SourceData.Common_SourceData_EFN2O_Data(), Table_SourceData_Common_EFN2O[[#Headers],[Production system j]], 0)</calculatedColumnFormula>
    </tableColumn>
    <tableColumn id="3" xr3:uid="{33D91403-C1B8-4D05-A289-E972F6D24634}" name="Production system only">
      <calculatedColumnFormula array="1">Common_InputFunctions.Utility_DisplayArrayInTable(Common_SourceData.Common_SourceData_EFN2O_Data(), Table_SourceData_Common_EFN2O[[#Headers],[Production system j]], 0)</calculatedColumnFormula>
    </tableColumn>
    <tableColumn id="4" xr3:uid="{000DD2E9-BE34-4016-A428-5BEDC873739E}" name="Irrigation method">
      <calculatedColumnFormula array="1">Common_InputFunctions.Utility_DisplayArrayInTable(Common_SourceData.Common_SourceData_EFN2O_Data(), Table_SourceData_Common_EFN2O[[#Headers],[Production system j]], 0)</calculatedColumnFormula>
    </tableColumn>
    <tableColumn id="5" xr3:uid="{324279FF-D528-4AF4-A897-6548792A41E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9FD9DD-AB9D-419C-B101-1DFD26654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76B8E07-1FA0-4614-BF71-C5ADE4FC4D02}" name="Irrigation type i">
      <calculatedColumnFormula array="1">Common_InputFunctions.Utility_DisplayArrayInTable(Common_SourceData.Common_SourceData_FracWETIrrigation_Data(), Table_SourceData_FracWETIrrigation[[#Headers],[Irrigation type i]], 0)</calculatedColumnFormula>
    </tableColumn>
    <tableColumn id="2" xr3:uid="{33A601DF-5E41-4B94-967E-5711C13EF63D}"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50C529-FB9D-496B-B75E-3D6D55581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4ACFDA4-3026-4858-A46B-0DB6786BAA5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2AE5D7-1B82-415D-B7E3-8CD68118CDA7}"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57B77BB-B850-4F16-B437-1DFD53F55C3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8AA1117-3BD9-46E8-8AE1-FED06E15DCD7}" name="Month">
      <calculatedColumnFormula array="1">Common_InputFunctions.Utility_DisplayArrayInTable(Common_SourceData.Common_SourceData_MonthsToSeasons_Data(), Table_SourceData_Common_MonthToSeason[[#Headers],[Month]], 0)</calculatedColumnFormula>
    </tableColumn>
    <tableColumn id="2" xr3:uid="{0AEA01EE-06E5-4002-B0B9-07CF152E1D88}"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F7AFF8-F888-4630-83A1-BA07EB5F355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3A96DA-8175-4325-80E8-F0902733D25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521F23-7709-409E-8457-124973047788}"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4CFF46D-BCB9-4346-82D8-732B9774B020}"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C02EB56-DF2A-4DBF-89DB-C60136C41B78}"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7C14051-C9CF-4AD7-B568-62D0DA4C6C88}"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FB0B87-AF73-4199-A0F4-249625F3E94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B4CC1F9-79F9-4225-A482-8D9F2B38607D}"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915E4-55C4-4DFE-AC34-7FEF63096AB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6A9FA80-890E-4119-B8C6-80060AFA757D}"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1E464C9-BB3C-4349-80E5-E040EEFC92D3}"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10F327-7673-48CD-949B-4E2593CC88C7}"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D0BB92-704A-4D5B-915E-B535AA23FFE9}"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F6B929D-02BF-42F7-A9BF-ECD48D8B5D37}"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29A2829-745F-4D05-93C4-6FD42C67E6D4}"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4827D74-DE91-4D54-93AF-24C63D8E5FA6}"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55CCC3-ABEA-4445-8B01-8ED0F1FCCB98}"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3A5C90-13B8-4E18-8FA4-BB68BDBCA5B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A1EB56-28D9-467A-AF37-B37086F570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01B99A-E2BB-4F5D-82E2-8C5B51CF74AF}"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B3:D16"/>
  <sheetViews>
    <sheetView tabSelected="1" workbookViewId="0">
      <selection activeCell="C16" sqref="C16"/>
    </sheetView>
  </sheetViews>
  <sheetFormatPr defaultRowHeight="15.75" x14ac:dyDescent="0.25"/>
  <cols>
    <col min="1" max="1" width="28.25" customWidth="1"/>
    <col min="2" max="2" width="41.75" style="1" customWidth="1"/>
    <col min="3" max="3" width="39.75" customWidth="1"/>
    <col min="4" max="4" width="22.25" customWidth="1"/>
    <col min="5" max="5" width="30.25" customWidth="1"/>
  </cols>
  <sheetData>
    <row r="3" spans="2:4" x14ac:dyDescent="0.25">
      <c r="B3" s="1" t="s">
        <v>3</v>
      </c>
      <c r="C3">
        <v>-33.8688</v>
      </c>
    </row>
    <row r="4" spans="2:4" x14ac:dyDescent="0.25">
      <c r="B4" s="1" t="s">
        <v>4</v>
      </c>
      <c r="C4">
        <v>151.20930000000001</v>
      </c>
    </row>
    <row r="5" spans="2:4" x14ac:dyDescent="0.25">
      <c r="B5" s="1" t="s">
        <v>5</v>
      </c>
      <c r="C5" s="3">
        <v>43831</v>
      </c>
    </row>
    <row r="6" spans="2:4" x14ac:dyDescent="0.25">
      <c r="B6" s="1" t="s">
        <v>12</v>
      </c>
      <c r="C6" t="s">
        <v>0</v>
      </c>
    </row>
    <row r="8" spans="2:4" x14ac:dyDescent="0.25">
      <c r="B8" s="1" t="s">
        <v>6</v>
      </c>
      <c r="C8">
        <v>100</v>
      </c>
    </row>
    <row r="11" spans="2:4" x14ac:dyDescent="0.25">
      <c r="B11" s="5" t="s">
        <v>7</v>
      </c>
      <c r="C11" s="6">
        <v>45292</v>
      </c>
    </row>
    <row r="12" spans="2:4" x14ac:dyDescent="0.25">
      <c r="B12" s="5" t="s">
        <v>8</v>
      </c>
      <c r="C12" s="7">
        <f>DATE(YEAR(C11)+1,MONTH(C11),DAY(C11))-1</f>
        <v>45657</v>
      </c>
    </row>
    <row r="14" spans="2:4" ht="22.5" x14ac:dyDescent="0.3">
      <c r="B14" s="4" t="s">
        <v>1</v>
      </c>
    </row>
    <row r="15" spans="2:4" x14ac:dyDescent="0.25">
      <c r="B15" s="1" t="s">
        <v>9</v>
      </c>
      <c r="C15">
        <v>123</v>
      </c>
      <c r="D15" s="2" t="s">
        <v>10</v>
      </c>
    </row>
    <row r="16" spans="2:4" x14ac:dyDescent="0.25">
      <c r="B16" s="1" t="s">
        <v>11</v>
      </c>
      <c r="C16">
        <f>C8*X_Result_Planting_CarbonCapturedPerHectare</f>
        <v>12300</v>
      </c>
      <c r="D16" s="2" t="s">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D8088-0800-4A2B-8100-637E09B303F8}">
  <dimension ref="A1:BY259"/>
  <sheetViews>
    <sheetView showGridLines="0" topLeftCell="A77" zoomScale="85" zoomScaleNormal="85" workbookViewId="0">
      <selection activeCell="F95" sqref="F95"/>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8" t="e" vm="1">
        <v>#VALUE!</v>
      </c>
      <c r="C1" s="8" t="s">
        <v>13</v>
      </c>
    </row>
    <row r="2" spans="1:65" s="9" customFormat="1" ht="20.100000000000001" customHeight="1" x14ac:dyDescent="0.25"/>
    <row r="3" spans="1:65" ht="20.100000000000001" customHeight="1" x14ac:dyDescent="0.25">
      <c r="A3" s="10"/>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s="10"/>
      <c r="BM4" s="14"/>
    </row>
    <row r="5" spans="1:65" ht="20.100000000000001" customHeight="1" x14ac:dyDescent="0.25">
      <c r="A5" s="10"/>
      <c r="D5" s="16" t="str" cm="1">
        <f t="array" ref="D5">Common_SourceData.Common_SourceData_AustralianStatesTerritories_Title()</f>
        <v>Australian states and territories</v>
      </c>
      <c r="BM5" s="14"/>
    </row>
    <row r="6" spans="1:65" ht="20.100000000000001" customHeight="1" x14ac:dyDescent="0.25">
      <c r="A6" s="10"/>
      <c r="D6" s="17" t="s">
        <v>14</v>
      </c>
      <c r="E6" s="17" t="s">
        <v>15</v>
      </c>
      <c r="F6" s="17" t="s">
        <v>16</v>
      </c>
    </row>
    <row r="7" spans="1:65" ht="20.100000000000001" customHeight="1" x14ac:dyDescent="0.25">
      <c r="A7" s="10"/>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10"/>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10"/>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10"/>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s="10"/>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s="10"/>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s="10"/>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s="10"/>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s="10"/>
    </row>
    <row r="16" spans="1:65" ht="20.100000000000001" customHeight="1" x14ac:dyDescent="0.25">
      <c r="A16" s="10"/>
    </row>
    <row r="17" spans="1:4" ht="20.100000000000001" customHeight="1" x14ac:dyDescent="0.25">
      <c r="A17" s="10"/>
    </row>
    <row r="18" spans="1:4" ht="20.100000000000001" customHeight="1" x14ac:dyDescent="0.25">
      <c r="A18" s="10"/>
      <c r="D18" s="16" t="str" cm="1">
        <f t="array" ref="D18">Common_SourceData.Common_SourceData_WASA4Areas_Title()</f>
        <v>ABS Statistcal Areas Level 4 - Western Australia</v>
      </c>
    </row>
    <row r="19" spans="1:4" ht="20.100000000000001" customHeight="1" x14ac:dyDescent="0.25">
      <c r="A19" s="10"/>
      <c r="D19" s="18" t="str" cm="1">
        <f t="array" ref="D19">Common_SourceData.Common_SourceData_WASA4Areas_Source()</f>
        <v>Australian Bureau of Statistics (ABS) - Statistical Areas Level 2 - 2021 - Shapefile</v>
      </c>
    </row>
    <row r="20" spans="1:4" ht="20.100000000000001" customHeight="1" x14ac:dyDescent="0.25">
      <c r="A20" s="10"/>
      <c r="D20" s="17" t="s">
        <v>17</v>
      </c>
    </row>
    <row r="21" spans="1:4" ht="20.100000000000001" customHeight="1" x14ac:dyDescent="0.25">
      <c r="A21" s="10"/>
      <c r="D21" s="17" t="str" cm="1">
        <f t="array" ref="D21">Common_InputFunctions.Utility_DisplayArrayInTable(Common_SourceData.Common_SourceData_WASA4Areas_Data(), Table_WASA4Areas[[#Headers],[SA 4 Name]], 0)</f>
        <v>Bunbury</v>
      </c>
    </row>
    <row r="22" spans="1:4" ht="20.100000000000001" customHeight="1" x14ac:dyDescent="0.25">
      <c r="A22" s="10"/>
      <c r="D22" s="17" t="str" cm="1">
        <f t="array" ref="D22">Common_InputFunctions.Utility_DisplayArrayInTable(Common_SourceData.Common_SourceData_WASA4Areas_Data(), Table_WASA4Areas[[#Headers],[SA 4 Name]], 0)</f>
        <v>Mandurah</v>
      </c>
    </row>
    <row r="23" spans="1:4" ht="20.100000000000001" customHeight="1" x14ac:dyDescent="0.25">
      <c r="A23" s="10"/>
      <c r="D23" s="17" t="str" cm="1">
        <f t="array" ref="D23">Common_InputFunctions.Utility_DisplayArrayInTable(Common_SourceData.Common_SourceData_WASA4Areas_Data(), Table_WASA4Areas[[#Headers],[SA 4 Name]], 0)</f>
        <v>Perth - Inner</v>
      </c>
    </row>
    <row r="24" spans="1:4" ht="20.100000000000001" customHeight="1" x14ac:dyDescent="0.25">
      <c r="A24" s="10"/>
      <c r="D24" s="17" t="str" cm="1">
        <f t="array" ref="D24">Common_InputFunctions.Utility_DisplayArrayInTable(Common_SourceData.Common_SourceData_WASA4Areas_Data(), Table_WASA4Areas[[#Headers],[SA 4 Name]], 0)</f>
        <v>Perth - North East</v>
      </c>
    </row>
    <row r="25" spans="1:4" ht="20.100000000000001" customHeight="1" x14ac:dyDescent="0.25">
      <c r="A25" s="10"/>
      <c r="D25" s="17" t="str" cm="1">
        <f t="array" ref="D25">Common_InputFunctions.Utility_DisplayArrayInTable(Common_SourceData.Common_SourceData_WASA4Areas_Data(), Table_WASA4Areas[[#Headers],[SA 4 Name]], 0)</f>
        <v>Perth - North West</v>
      </c>
    </row>
    <row r="26" spans="1:4" ht="20.100000000000001" customHeight="1" x14ac:dyDescent="0.25">
      <c r="A26" s="10"/>
      <c r="D26" s="17" t="str" cm="1">
        <f t="array" ref="D26">Common_InputFunctions.Utility_DisplayArrayInTable(Common_SourceData.Common_SourceData_WASA4Areas_Data(), Table_WASA4Areas[[#Headers],[SA 4 Name]], 0)</f>
        <v>Perth - South East</v>
      </c>
    </row>
    <row r="27" spans="1:4" ht="20.100000000000001" customHeight="1" x14ac:dyDescent="0.25">
      <c r="A27" s="10"/>
      <c r="D27" s="17" t="str" cm="1">
        <f t="array" ref="D27">Common_InputFunctions.Utility_DisplayArrayInTable(Common_SourceData.Common_SourceData_WASA4Areas_Data(), Table_WASA4Areas[[#Headers],[SA 4 Name]], 0)</f>
        <v>Perth - South West</v>
      </c>
    </row>
    <row r="28" spans="1:4" ht="20.100000000000001" customHeight="1" x14ac:dyDescent="0.25">
      <c r="A28" s="10"/>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s="10"/>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s="10"/>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s="10"/>
    </row>
    <row r="32" spans="1:4" ht="20.100000000000001" customHeight="1" x14ac:dyDescent="0.25">
      <c r="A32" s="10"/>
    </row>
    <row r="33" spans="1:8" ht="20.100000000000001" customHeight="1" x14ac:dyDescent="0.25">
      <c r="A33" s="10"/>
    </row>
    <row r="34" spans="1:8" ht="20.100000000000001" customHeight="1" x14ac:dyDescent="0.25">
      <c r="A34" s="10"/>
      <c r="D34" s="16" t="str" cm="1">
        <f t="array" ref="D34">Common_SourceData.Common_SourceData_GWP_Title()</f>
        <v>Global warming potential for greenhouse gases</v>
      </c>
    </row>
    <row r="35" spans="1:8" ht="20.100000000000001" customHeight="1" x14ac:dyDescent="0.25">
      <c r="A35" s="10"/>
      <c r="D35" s="18" t="str" cm="1">
        <f t="array" ref="D35">Common_SourceData.Common_SourceData_GWP_Source()</f>
        <v>XXXXXXX</v>
      </c>
    </row>
    <row r="36" spans="1:8" ht="20.100000000000001" customHeight="1" x14ac:dyDescent="0.25">
      <c r="A36" s="10"/>
      <c r="D36" s="17" t="s">
        <v>18</v>
      </c>
      <c r="E36" s="17" t="s">
        <v>19</v>
      </c>
    </row>
    <row r="37" spans="1:8" ht="20.100000000000001" customHeight="1" x14ac:dyDescent="0.25">
      <c r="A37" s="10"/>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s="10"/>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s="10"/>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s="1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s="10"/>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16" t="str" cm="1">
        <f t="array" ref="D45">Common_SourceData.Common_SourceData_ConvertGasElementalToMolecular_Title()</f>
        <v>Factor to convert elemental mass of gas to molecular mass</v>
      </c>
    </row>
    <row r="46" spans="1:8" ht="20.100000000000001" customHeight="1" x14ac:dyDescent="0.25">
      <c r="D46" s="18" t="str" cm="1">
        <f t="array" ref="D46">Common_SourceData.Common_SourceData_ConvertGasElementalToMolecular_Source()</f>
        <v>XXXXXXX</v>
      </c>
    </row>
    <row r="47" spans="1:8" ht="20.100000000000001" customHeight="1" x14ac:dyDescent="0.25">
      <c r="D47" s="17" t="s">
        <v>18</v>
      </c>
      <c r="E47" s="17" t="s">
        <v>20</v>
      </c>
      <c r="F47" s="17" t="s">
        <v>21</v>
      </c>
      <c r="G47" s="17" t="s">
        <v>22</v>
      </c>
      <c r="H47" s="17" t="s">
        <v>23</v>
      </c>
    </row>
    <row r="48" spans="1:8" ht="20.100000000000001" customHeight="1" x14ac:dyDescent="0.25">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4:8" ht="20.100000000000001" customHeight="1" x14ac:dyDescent="0.25">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4:8" ht="20.100000000000001" customHeight="1" x14ac:dyDescent="0.25">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4:8" ht="20.100000000000001" customHeight="1" x14ac:dyDescent="0.25">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4:8" ht="20.100000000000001" customHeight="1" x14ac:dyDescent="0.25">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4:8" ht="20.100000000000001" customHeight="1" x14ac:dyDescent="0.25">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4:8" ht="20.100000000000001" customHeight="1" x14ac:dyDescent="0.25">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16" t="str" cm="1">
        <f t="array" ref="D57">Common_SourceData.Common_SourceData_WetAndDryZones_Title()</f>
        <v>VEERG Australian wet and dry zones</v>
      </c>
    </row>
    <row r="58" spans="4:8" ht="20.100000000000001" customHeight="1" x14ac:dyDescent="0.25">
      <c r="D58" s="18" t="str" cm="1">
        <f t="array" ref="D58">Common_SourceData.Common_SourceData_WetAndDryZones_Source()</f>
        <v>VEERG 2026: Table 1.2: Translating climate zones to wet and dry zones</v>
      </c>
    </row>
    <row r="59" spans="4:8" ht="20.100000000000001" customHeight="1" x14ac:dyDescent="0.25">
      <c r="D59" s="19" t="str" cm="1">
        <f t="array" ref="D59:D61">"⚠️" &amp; Common_SourceData.Common_SourceData_WetAndDryZones_Variation()</f>
        <v>⚠️VARIATION OF SOURCE DATA:</v>
      </c>
    </row>
    <row r="60" spans="4:8" ht="20.100000000000001" customHeight="1" x14ac:dyDescent="0.25">
      <c r="D60" s="19" t="str">
        <v>⚠️Added warm / cool temperate moist / dry - low frost and high temp classes to accommodate climate scenarios excluded by VEERG criteria.</v>
      </c>
    </row>
    <row r="61" spans="4:8" ht="20.100000000000001" customHeight="1" x14ac:dyDescent="0.25">
      <c r="D61" s="19" t="str">
        <v>⚠️Fixed typo - Changed 'Fry' to 'Dry'.</v>
      </c>
    </row>
    <row r="62" spans="4:8" ht="20.100000000000001" customHeight="1" x14ac:dyDescent="0.25"/>
    <row r="63" spans="4:8" ht="20.100000000000001" customHeight="1" x14ac:dyDescent="0.25">
      <c r="D63" s="17" t="s">
        <v>24</v>
      </c>
      <c r="E63" s="17" t="s">
        <v>25</v>
      </c>
    </row>
    <row r="64" spans="4:8" ht="20.100000000000001" customHeight="1" x14ac:dyDescent="0.25">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16" t="str" cm="1">
        <f t="array" ref="D81">Common_SourceData.Common_SourceData_ClimateZones_Title()</f>
        <v>VEERG Australian climate zones</v>
      </c>
    </row>
    <row r="82" spans="4:20" ht="20.100000000000001" customHeight="1" x14ac:dyDescent="0.25">
      <c r="D82" s="18" t="str" cm="1">
        <f t="array" ref="D82">Common_SourceData.Common_SourceData_ClimateZones_Source()</f>
        <v>VEERG 2026: Table 1.3: Climate and Rainfall zone classifications and definitions</v>
      </c>
    </row>
    <row r="83" spans="4:20" ht="20.100000000000001" customHeight="1" x14ac:dyDescent="0.25">
      <c r="D83" s="19" t="str" cm="1">
        <f t="array" ref="D83:D87">"⚠️" &amp; Common_SourceData.Common_SourceData_ClimateZones_Variation()</f>
        <v>⚠️VARIATION OF SOURCE DATA:</v>
      </c>
    </row>
    <row r="84" spans="4:20" ht="20.100000000000001" customHeight="1" x14ac:dyDescent="0.25">
      <c r="D84" s="19" t="str">
        <v>⚠️Added warm / cool temperate moist / dry - low frost and high temp classes to accommodate climate scenarios excluded by VEERG criteria.</v>
      </c>
    </row>
    <row r="85" spans="4:20" ht="20.100000000000001" customHeight="1" x14ac:dyDescent="0.25">
      <c r="D85" s="19" t="str">
        <v>⚠️Fixed typo in MAT value for warm temperate dry - changed 10 to 11.</v>
      </c>
    </row>
    <row r="86" spans="4:20" ht="20.100000000000001" customHeight="1" x14ac:dyDescent="0.25">
      <c r="D86" s="19" t="str">
        <v>⚠️Added min and max columns for MAT, MAP, frost days per year, elevation, MAP:PET to calculate zones from real climate data.</v>
      </c>
    </row>
    <row r="87" spans="4:20" ht="20.100000000000001" customHeight="1" x14ac:dyDescent="0.25">
      <c r="D87" s="19" t="str">
        <v>⚠️GAF accepts rainfall as a proxy for precipitation.</v>
      </c>
    </row>
    <row r="88" spans="4:20" ht="20.100000000000001" customHeight="1" x14ac:dyDescent="0.25"/>
    <row r="89" spans="4:20" ht="20.100000000000001" customHeight="1" x14ac:dyDescent="0.25">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4:20" ht="20.100000000000001" customHeight="1" x14ac:dyDescent="0.25">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4:20" ht="20.100000000000001" customHeight="1" x14ac:dyDescent="0.25">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4:20" ht="20.100000000000001" customHeight="1" x14ac:dyDescent="0.25">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4:20" ht="20.100000000000001" customHeight="1" x14ac:dyDescent="0.25">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4:20" ht="20.100000000000001" customHeight="1" x14ac:dyDescent="0.25">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4:20" ht="20.100000000000001" customHeight="1" x14ac:dyDescent="0.2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4:20" ht="20.100000000000001" customHeight="1" x14ac:dyDescent="0.25">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4:20" ht="20.100000000000001" customHeight="1" x14ac:dyDescent="0.25">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4:20" ht="20.100000000000001" customHeight="1" x14ac:dyDescent="0.25"/>
    <row r="99" spans="4:20" ht="20.100000000000001" customHeight="1" x14ac:dyDescent="0.25">
      <c r="D99" s="20" t="str" cm="1">
        <f t="array" ref="D99:D102">Common_SourceData.Common_SourceData_ClimateZones_Appendices()</f>
        <v>Note:</v>
      </c>
    </row>
    <row r="100" spans="4:20" ht="20.100000000000001" customHeight="1" x14ac:dyDescent="0.25">
      <c r="D100" s="20" t="str">
        <v>MAT = mean annual temperature</v>
      </c>
    </row>
    <row r="101" spans="4:20" ht="20.100000000000001" customHeight="1" x14ac:dyDescent="0.25">
      <c r="D101" s="20" t="str">
        <v>MAP = mean annual precipitation</v>
      </c>
    </row>
    <row r="102" spans="4:20" ht="20.100000000000001" customHeight="1" x14ac:dyDescent="0.25">
      <c r="D102" s="20" t="str">
        <v>PET = potential evapotranspiration</v>
      </c>
    </row>
    <row r="103" spans="4:20" ht="20.100000000000001" customHeight="1" x14ac:dyDescent="0.25">
      <c r="D103" s="20"/>
    </row>
    <row r="104" spans="4:20" ht="20.100000000000001" customHeight="1" x14ac:dyDescent="0.25"/>
    <row r="105" spans="4:20" ht="20.100000000000001" customHeight="1" x14ac:dyDescent="0.25">
      <c r="D105" s="16" t="str" cm="1">
        <f t="array" ref="D105">Common_SourceData.Common_SourceData_TemperatureZones_Title()</f>
        <v>VEERG Australian temperature zones</v>
      </c>
    </row>
    <row r="106" spans="4:20" ht="20.100000000000001" customHeight="1" x14ac:dyDescent="0.25">
      <c r="D106" s="18" t="str" cm="1">
        <f t="array" ref="D106">Common_SourceData.Common_SourceData_TemperatureZones_Source()</f>
        <v>VEERG 2026: Table 1.3: Climate and Rainfall zone classifications and definitions</v>
      </c>
    </row>
    <row r="107" spans="4:20" ht="20.100000000000001" customHeight="1" x14ac:dyDescent="0.25">
      <c r="D107" s="19"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7" t="s">
        <v>41</v>
      </c>
      <c r="E109" s="17" t="s">
        <v>26</v>
      </c>
      <c r="F109" s="17" t="s">
        <v>42</v>
      </c>
      <c r="G109" s="17" t="s">
        <v>43</v>
      </c>
    </row>
    <row r="110" spans="4:20" ht="20.100000000000001" customHeight="1" x14ac:dyDescent="0.25">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4:20" ht="20.100000000000001" customHeight="1" x14ac:dyDescent="0.25">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16" t="str" cm="1">
        <f t="array" ref="D115">Common_SourceData.Common_SourceData_RainfallZones_Title()</f>
        <v>VEERG Australian rainfall zones</v>
      </c>
      <c r="BN115" s="11"/>
    </row>
    <row r="116" spans="4:66" ht="20.100000000000001" customHeight="1" x14ac:dyDescent="0.25">
      <c r="D116" s="18" t="str" cm="1">
        <f t="array" ref="D116">Common_SourceData.Common_SourceData_RainfallZones_Source()</f>
        <v>VEERG 2026: Table 1.3: Climate and Rainfall zone classifications and definitions</v>
      </c>
      <c r="BN116" s="11"/>
    </row>
    <row r="117" spans="4:66" ht="20.100000000000001" customHeight="1" x14ac:dyDescent="0.25">
      <c r="D117" s="19" t="str" cm="1">
        <f t="array" ref="D117">"⚠️" &amp; Common_SourceData.Common_SourceData_RainfallZones_Variation()</f>
        <v>⚠️VARIATION OF SOURCE DATA: Added extra Rainfall min and Rainfall max columns to calculate zone from real rainfall data.</v>
      </c>
      <c r="BN117" s="11"/>
    </row>
    <row r="118" spans="4:66" ht="20.100000000000001" customHeight="1" x14ac:dyDescent="0.25">
      <c r="BN118" s="11"/>
    </row>
    <row r="119" spans="4:66" ht="20.100000000000001" customHeight="1" x14ac:dyDescent="0.25">
      <c r="D119" s="17" t="s">
        <v>44</v>
      </c>
      <c r="E119" s="17" t="s">
        <v>45</v>
      </c>
      <c r="F119" s="17" t="s">
        <v>33</v>
      </c>
      <c r="G119" s="17" t="s">
        <v>34</v>
      </c>
      <c r="BN119" s="11"/>
    </row>
    <row r="120" spans="4:66" ht="20.100000000000001" customHeight="1" x14ac:dyDescent="0.25">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4:66" ht="20.100000000000001" customHeight="1" x14ac:dyDescent="0.25">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4:66" ht="20.100000000000001" customHeight="1" x14ac:dyDescent="0.25">
      <c r="BN122" s="11"/>
    </row>
    <row r="123" spans="4:66" ht="20.100000000000001" customHeight="1" x14ac:dyDescent="0.25"/>
    <row r="124" spans="4:66" ht="20.100000000000001" customHeight="1" x14ac:dyDescent="0.25">
      <c r="D124" s="16" t="str" cm="1">
        <f t="array" ref="D124">Common_SourceData.Common_SourceData_LeachingZones_Title()</f>
        <v>VEERG Australian leaching zones</v>
      </c>
    </row>
    <row r="125" spans="4:66" ht="20.100000000000001" customHeight="1" x14ac:dyDescent="0.25">
      <c r="D125" s="1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7" t="s">
        <v>46</v>
      </c>
      <c r="E127" s="17" t="s">
        <v>47</v>
      </c>
    </row>
    <row r="128" spans="4:66" ht="20.100000000000001" customHeight="1" x14ac:dyDescent="0.25">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16" t="str" cm="1">
        <f t="array" ref="D132">Common_SourceData.Common_SourceData_FracWET_Title()</f>
        <v>Fraction of N that is available for leaching and runoff</v>
      </c>
      <c r="E132" s="21"/>
    </row>
    <row r="133" spans="4:77" ht="20.100000000000001" customHeight="1" x14ac:dyDescent="0.25">
      <c r="D133" s="18" t="str" cm="1">
        <f t="array" ref="D133">Common_SourceData.Common_SourceData_FracWET_Source()</f>
        <v>VEERG 2026:5.5.2.3 Constant Parameters</v>
      </c>
      <c r="E133" s="21"/>
    </row>
    <row r="134" spans="4:77" ht="20.100000000000001" customHeight="1" x14ac:dyDescent="0.25">
      <c r="D134" s="10" t="s">
        <v>48</v>
      </c>
      <c r="E134" s="10" t="s">
        <v>49</v>
      </c>
    </row>
    <row r="135" spans="4:77" ht="20.100000000000001" customHeight="1" x14ac:dyDescent="0.2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4:77" ht="20.100000000000001" customHeight="1" x14ac:dyDescent="0.25">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11"/>
      <c r="BO138" s="11"/>
      <c r="BP138" s="11"/>
      <c r="BQ138" s="11"/>
      <c r="BR138" s="11"/>
      <c r="BS138" s="11"/>
      <c r="BT138" s="11"/>
      <c r="BU138" s="11"/>
      <c r="BV138" s="11"/>
      <c r="BW138" s="11"/>
      <c r="BX138" s="11"/>
      <c r="BY138" s="11"/>
    </row>
    <row r="139" spans="4:77" ht="20.100000000000001" customHeight="1" x14ac:dyDescent="0.25">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4:77" ht="20.100000000000001" customHeight="1" x14ac:dyDescent="0.25">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4:77" ht="20.100000000000001" customHeight="1" x14ac:dyDescent="0.25">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4:77" ht="20.100000000000001" customHeight="1" x14ac:dyDescent="0.25">
      <c r="D142" s="17" t="s">
        <v>50</v>
      </c>
      <c r="E142" s="17" t="s">
        <v>49</v>
      </c>
      <c r="BN142" s="11"/>
    </row>
    <row r="143" spans="4:77" ht="20.100000000000001" customHeight="1" x14ac:dyDescent="0.25">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4:77" ht="20.100000000000001" customHeight="1" x14ac:dyDescent="0.25">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4:66" ht="20.100000000000001" customHeight="1" x14ac:dyDescent="0.2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4:66" ht="20.100000000000001" customHeight="1" x14ac:dyDescent="0.25">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4:66" ht="20.100000000000001" customHeight="1" x14ac:dyDescent="0.25">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4:66" ht="20.100000000000001" customHeight="1" x14ac:dyDescent="0.25">
      <c r="BN148" s="11"/>
    </row>
    <row r="149" spans="4:66" ht="20.100000000000001" customHeight="1" x14ac:dyDescent="0.25">
      <c r="BN149" s="11"/>
    </row>
    <row r="150" spans="4:66" ht="20.100000000000001" customHeight="1" x14ac:dyDescent="0.25">
      <c r="D150" s="16" t="str" cm="1">
        <f t="array" ref="D150">Common_SourceData.Common_SourceData_DataScores_Scope3_Title()</f>
        <v>Australian data scores for scope 3</v>
      </c>
      <c r="BN150" s="11"/>
    </row>
    <row r="151" spans="4:66" ht="20.100000000000001" customHeight="1" x14ac:dyDescent="0.25">
      <c r="D151" s="18" t="str" cm="1">
        <f t="array" ref="D151">Common_SourceData.Common_SourceData_DataScores_Scope3_Source()</f>
        <v>VEERG 2026: XXXXXXXX</v>
      </c>
      <c r="BN151" s="11"/>
    </row>
    <row r="152" spans="4:66" ht="20.100000000000001" customHeight="1" x14ac:dyDescent="0.25">
      <c r="BN152" s="11"/>
    </row>
    <row r="153" spans="4:66" ht="20.100000000000001" customHeight="1" x14ac:dyDescent="0.25">
      <c r="D153" s="17" t="s">
        <v>51</v>
      </c>
      <c r="E153" s="17" t="s">
        <v>52</v>
      </c>
      <c r="BC153" s="14"/>
      <c r="BD153" s="14"/>
      <c r="BE153" s="14"/>
      <c r="BF153" s="14"/>
      <c r="BG153" s="14"/>
      <c r="BH153" s="14"/>
      <c r="BI153" s="14"/>
      <c r="BJ153" s="14"/>
      <c r="BK153" s="14"/>
      <c r="BL153" s="14"/>
      <c r="BM153" s="14"/>
    </row>
    <row r="154" spans="4:66" ht="20.100000000000001" customHeight="1" x14ac:dyDescent="0.25">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4:66" ht="20.100000000000001" customHeight="1" x14ac:dyDescent="0.2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4:66" ht="20.100000000000001" customHeight="1" x14ac:dyDescent="0.25">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4:66" ht="20.100000000000001" customHeight="1" x14ac:dyDescent="0.25">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4:66" ht="20.100000000000001" customHeight="1" x14ac:dyDescent="0.25">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5" x14ac:dyDescent="0.25">
      <c r="D257" s="17" t="s">
        <v>77</v>
      </c>
      <c r="E257" s="17" t="s">
        <v>78</v>
      </c>
    </row>
    <row r="258" spans="4:5"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customXml/itemProps2.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4.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9</vt:i4>
      </vt:variant>
    </vt:vector>
  </HeadingPairs>
  <TitlesOfParts>
    <vt:vector size="11" baseType="lpstr">
      <vt:lpstr>Input - Planting</vt:lpstr>
      <vt:lpstr>Constants - Common</vt:lpstr>
      <vt:lpstr>X_Cell_Planting_Latitude</vt:lpstr>
      <vt:lpstr>X_Cell_Planting_Longitude</vt:lpstr>
      <vt:lpstr>X_Cell_Planting_PlantingAreaInHectares</vt:lpstr>
      <vt:lpstr>X_Cell_Planting_PlantingDate</vt:lpstr>
      <vt:lpstr>X_Cell_Planting_PlantingName</vt:lpstr>
      <vt:lpstr>X_Cell_Site_EndDate</vt:lpstr>
      <vt:lpstr>X_Cell_Site_StartDate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2026-07-16T04:04:32Z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