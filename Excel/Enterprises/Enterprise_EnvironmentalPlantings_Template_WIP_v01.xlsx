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9CDF9CF4-1266-4B58-A17D-7CDBCDF977B1}" xr6:coauthVersionLast="47" xr6:coauthVersionMax="47" xr10:uidLastSave="{00000000-0000-0000-0000-000000000000}"/>
  <bookViews>
    <workbookView xWindow="1500" yWindow="810" windowWidth="36255" windowHeight="19140" activeTab="1" xr2:uid="{7E1466D3-CE15-41E6-A7E5-3351E07F3C93}"/>
  </bookViews>
  <sheets>
    <sheet name="Input - Planting" sheetId="4" r:id="rId1"/>
    <sheet name="Input - Data quality" sheetId="7" r:id="rId2"/>
    <sheet name="Constants - Common" sheetId="6" r:id="rId3"/>
  </sheets>
  <externalReferences>
    <externalReference r:id="rId4"/>
    <externalReference r:id="rId5"/>
  </externalReferences>
  <definedNames>
    <definedName name="Common_Equations.Common_ConvertCH4ToCO2e" localSheetId="1">_xlfn.LAMBDA(_xlpm.E_CH4,_xlpm.GWP_CH4, _xlpm.E_CH4 * _xlpm.GWP_CH4)</definedName>
    <definedName name="Common_Equations.Common_ConvertCH4ToCO2e">_xlfn.LAMBDA(_xlpm.E_CH4,_xlpm.GWP_CH4, _xlpm.E_CH4 * _xlpm.GWP_CH4)</definedName>
    <definedName name="Common_Equations.Common_ConvertCH4ToCO2e_Arguments" localSheetId="1">_xlfn.LAMBDA(_xlfn.MAKEARRAY(2, 2, _xlfn.LAMBDA(_xlpm.r,_xlpm.c, INDEX({"ECH4","Methane emissions (t CH4)";"GWPCH4","Global warming potential for methane (t CO2-e / t CH4)"}, _xlpm.r, _xlpm.c))))</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 localSheetId="1">_xlfn.LAMBDA(_xlpm.E_N2O,_xlpm.GWP_N2O, _xlpm.E_N2O * _xlpm.GWP_N2O)</definedName>
    <definedName name="Common_Equations.Common_ConvertN2OToCO2e">_xlfn.LAMBDA(_xlpm.E_N2O,_xlpm.GWP_N2O, _xlpm.E_N2O * _xlpm.GWP_N2O)</definedName>
    <definedName name="Common_Equations.Common_ConvertN2OToCO2e_Arguments" localSheetId="1">_xlfn.LAMBDA(_xlfn.MAKEARRAY(2, 2, _xlfn.LAMBDA(_xlpm.r,_xlpm.c, INDEX({"EN2O","Nitrous oxide emissions (t N2O)";"GWPN2O","Global warming potential for nitrous oxide (t CO2-e / t N2O)"}, _xlpm.r, _xlpm.c))))</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 localSheetId="1">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 localSheetId="1">_xlfn.LAMBDA(_xlpm.LeachingZone,_xlpm.ProductionSystem,_xlpm.LeachingZoneLookup,_xlpm.LeachingZoneFracWETLookup,_xlpm.ProductionSystemLookup,_xlpm.ProductionSystemFracWETLookup, _xlfn.LET(_xlpm.LeachingZoneFracWET, 'Input - Data quality'!Common_InputFunctions.Utility_LookupValueInTableNumber(_xlpm.LeachingZone, _xlpm.LeachingZoneLookup, _xlpm.LeachingZoneFracWETLookup), _xlpm.ProductionSystemFracWET, 'Input - Data quality'!Common_InputFunctions.Utility_LookupValueInTableNumber(_xlpm.ProductionSystem, _xlpm.ProductionSystemLookup, _xlpm.ProductionSystemFracWETLookup), IF(_xlpm.LeachingZoneFracWET + _xlpm.ProductionSystemFracWET &gt; 0, 1, 0)))</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 localSheetId="1">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 localSheetId="1">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 localSheetId="1">_xlfn.LAMBDA(_xlpm.StateCommonName,_xlpm.StateCommonNameArray,_xlpm.StateAbbreviationArray, _xlfn.XLOOKUP(_xlpm.StateCommonName, _xlpm.StateCommonNameArray, _xlpm.StateAbbreviationArray,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 localSheetId="1">_xlfn.LAMBDA(_xlpm.ArgumentsArray, _xlfn.CHOOSECOLS(_xlpm.ArgumentsArray, 1, 2))</definedName>
    <definedName name="Common_InputFunctions.Utility_DisplayArguments_1_2">_xlfn.LAMBDA(_xlpm.ArgumentsArray, _xlfn.CHOOSECOLS(_xlpm.ArgumentsArray, 1, 2))</definedName>
    <definedName name="Common_InputFunctions.Utility_DisplayArguments_3_4" localSheetId="1">_xlfn.LAMBDA(_xlpm.ArgumentsArray, _xlfn.CHOOSECOLS(_xlpm.ArgumentsArray, 3, 4))</definedName>
    <definedName name="Common_InputFunctions.Utility_DisplayArguments_3_4">_xlfn.LAMBDA(_xlpm.ArgumentsArray, _xlfn.CHOOSECOLS(_xlpm.ArgumentsArray, 3, 4))</definedName>
    <definedName name="Common_InputFunctions.Utility_DisplayArrayInTable" localSheetId="1">_xlfn.LAMBDA(_xlpm.ArrayData,_xlpm.TableheaderCell,_xlpm.RowsBetweenHeaderandArray,_xlop.ColumnsBetweenHeaderAndArray, IFERROR(INDEX(_xlfn.UNIQUE(_xlpm.ArrayData), ROW() - 'Input - Data quality'!Common_InputFunctions.Utility_GetArrayTableRowStartNumber(_xlpm.TableheaderCell, _xlpm.RowsBetweenHeaderandArray), COLUMN() - 'Input - Data quality'!Common_InputFunctions.Utility_GetArrayTableColumnStartNumber(_xlpm.TableheaderCell) + IF(_xlfn.ISOMITTED(_xlpm.ColumnsBetweenHeaderAndArray), 1, _xlpm.ColumnsBetweenHeaderAndArray)), ""))</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 localSheetId="1">_xlfn.LAMBDA(_xlpm.Function, _xlfn.TEXTBEFORE(_xlfn.FORMULATEXT(_xlpm.Function), "("))</definedName>
    <definedName name="Common_InputFunctions.Utility_DisplayFunctionName">_xlfn.LAMBDA(_xlpm.Function, _xlfn.TEXTBEFORE(_xlfn.FORMULATEXT(_xlpm.Function), "("))</definedName>
    <definedName name="Common_InputFunctions.Utility_GetArrayTableColumnStartNumber" localSheetId="1">_xlfn.LAMBDA(_xlpm.TableHeaderCell, COLUMN(_xlpm.TableHeaderCell))</definedName>
    <definedName name="Common_InputFunctions.Utility_GetArrayTableColumnStartNumber">_xlfn.LAMBDA(_xlpm.TableHeaderCell, COLUMN(_xlpm.TableHeaderCell))</definedName>
    <definedName name="Common_InputFunctions.Utility_GetArrayTableRowStartNumber" localSheetId="1">_xlfn.LAMBDA(_xlpm.TableheaderCell,_xlpm.RowsBetweenHeaderandArray, ROW(_xlpm.TableheaderCell) + _xlpm.RowsBetweenHeaderandArray - 1)</definedName>
    <definedName name="Common_InputFunctions.Utility_GetArrayTableRowStartNumber">_xlfn.LAMBDA(_xlpm.TableheaderCell,_xlpm.RowsBetweenHeaderandArray, ROW(_xlpm.TableheaderCell) + _xlpm.RowsBetweenHeaderandArray - 1)</definedName>
    <definedName name="Common_InputFunctions.Utility_GetClimateZone" localSheetId="1">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 localSheetId="1">_xlfn.LAMBDA(_xlpm.LookupValue,_xlpm.MinArray,_xlpm.MaxArray,_xlpm.ItemArray, _xlfn.LET(_xlpm.mask, (VALUE(_xlpm.MinArray) &lt;= _xlpm.LookupValue) * (VALUE(_xlpm.MaxArray) &gt;= _xlpm.LookupValue), _xlfn._xlws.FILTER(_xlpm.ItemArray, _xlpm.mask, "No match")))</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 localSheetId="1">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 localSheetId="1">_xlfn.LAMBDA(_xlpm.LookupValue,_xlpm.LookupArray,_xlpm.ReturnArray, _xlfn.XLOOKUP(_xlpm.LookupValue, _xlpm.LookupArray, _xlpm.ReturnArray, ""))</definedName>
    <definedName name="Common_InputFunctions.Utility_LookupValueInTable">_xlfn.LAMBDA(_xlpm.LookupValue,_xlpm.LookupArray,_xlpm.ReturnArray, _xlfn.XLOOKUP(_xlpm.LookupValue, _xlpm.LookupArray, _xlpm.ReturnArray, ""))</definedName>
    <definedName name="Common_InputFunctions.Utility_LookupValueInTableNumber" localSheetId="1">_xlfn.LAMBDA(_xlpm.LookupValue,_xlpm.LookupArray,_xlpm.ReturnArray, IF(ISNUMBER(_xlfn.XLOOKUP(_xlpm.LookupValue, _xlpm.LookupArray, _xlpm.ReturnArray, "")), _xlfn.XLOOKUP(_xlpm.LookupValue, _xlpm.LookupArray, _xlpm.ReturnArray, ""), 0))</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 localSheetId="1">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 localSheetId="1">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 localSheetId="1">_xlfn.LAMBDA(_xlpm.TitleCell,_xlpm.SourceCell, SUBSTITUTE(LEFT(_xlpm.SourceCell, FIND(",", _xlpm.SourceCell) - 1), "VEERG 2026: ", "") &amp; " " &amp; _xlpm.TitleCell)</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 localSheetId="1">_xlfn.LAMBDA(_xlpm.TargetCell, _xlfn.LET(_xlpm.sh, _xlfn.TEXTAFTER(CELL("filename", _xlpm.TargetCell), "]"), _xlpm.addr, CELL("address", _xlpm.TargetCell), "#'" &amp; _xlpm.sh &amp; "'!" &amp; _xlpm.addr))</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 localSheetId="1">_xlfn.LAMBDA(_xlpm.TargetCell, _xlfn.LET(_xlpm.sh, _xlfn.TEXTAFTER(CELL("filename", _xlpm.TargetCell), "]"), _xlpm.addr, CELL("address", _xlpm.TargetCell),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 localSheetId="1">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 localSheetId="1">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 localSheetId="1">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 localSheetId="1">_xlfn.LAMBDA(_xlfn.MAKEARRAY(4, 1, _xlfn.LAMBDA(_xlpm.r,_xlpm.c, INDEX({"Note:";"MAT = mean annual temperature";"MAP = mean annual precipitation";"PET = potential evapotranspiration"}, _xlpm.r, _xlpm.c))))</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 localSheetId="1">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 localSheetId="1">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 localSheetId="1">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 localSheetId="1">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 localSheetId="1">_xlfn.LAMBDA(_xlfn.MAKEARRAY(1, 2, _xlfn.LAMBDA(_xlpm.r,_xlpm.c, INDEX({"EFleach",0.011}, _xlpm.r, _xlpm.c))))</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 localSheetId="1">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 localSheetId="1">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 localSheetId="1">_xlfn.LAMBDA(_xlfn.MAKEARRAY(3, 2, _xlfn.LAMBDA(_xlpm.r,_xlpm.c, INDEX({"Climate zone","EFNi &amp; EFN2O";"Wet climate zone",0.006;"Dry climate zone",0.005},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 localSheetId="1">_xlfn.LAMBDA(_xlfn.MAKEARRAY(3, 2, _xlfn.LAMBDA(_xlpm.r,_xlpm.c, INDEX({"Climate zone","EFPRP";"Wet climate zone",0.006;"Dry climate zone",0.002},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 localSheetId="1">_xlfn.LAMBDA(_xlfn.MAKEARRAY(1, 2, _xlfn.LAMBDA(_xlpm.r,_xlpm.c, INDEX({"FracLEACH",0.24}, _xlpm.r, _xlpm.c))))</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 localSheetId="1">_xlfn.LAMBDA(_xlfn.MAKEARRAY(3, 2, _xlfn.LAMBDA(_xlpm.r,_xlpm.c, INDEX({"Is in leaching zone","FracWET";"Yes - in leaching zone",1;"No - not in leaching zone",0}, _xlpm.r, _xlpm.c))))</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 localSheetId="1">_xlfn.LAMBDA(_xlfn.MAKEARRAY(6, 2, _xlfn.LAMBDA(_xlpm.r,_xlpm.c, INDEX({"Irrigation type ir","FracWET";"Not irrigated",0;"Drip irrigation",0;"Sprinkler irrigation",1;"Surface irrigation",1;"Other irrigation",1}, _xlpm.r, _xlpm.c))))</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 localSheetId="1">_xlfn.LAMBDA(_xlfn.MAKEARRAY(8, 2, _xlfn.LAMBDA(_xlpm.r,_xlpm.c, INDEX({"Gas","CO2-e factor";"CO2",1;"CH4",28;"N2O",265;"CF4",6630;"C2F6",12200;"SF6",22800;"NF3",17200}, _xlpm.r, _xlpm.c))))</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 localSheetId="1">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 localSheetId="1">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 localSheetId="1">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 localSheetId="1">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 localSheetId="1">_xlfn.LAMBDA(_xlfn.MAKEARRAY(4, 4, _xlfn.LAMBDA(_xlpm.r,_xlpm.c, INDEX({"Temperature Zone","Median Annual Temperature (MAT)","Min MAT","Max MAT";"Warm","≥ 26 C",26,999999;"Temperate","15 - 25 C",15,25.999;"Cool","≤ 14 C",-999999,14.999}, _xlpm.r, _xlpm.c))))</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 localSheetId="1">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 localSheetId="1">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 localSheetId="1">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 localSheetId="1">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[2]Results!$E$50</definedName>
    <definedName name="Result_EmissionsForWholeProductionCycle_Method1">[2]Results!$E$39</definedName>
    <definedName name="Result_EmissionsForWholeProductionCycle_Method2">[2]Results!$F$39</definedName>
    <definedName name="Result_Enterprise_Method1">[2]Results!$H$25</definedName>
    <definedName name="Result_Enterprise_Method2">[2]Results!$I$25</definedName>
    <definedName name="Result_NetEmissions_Method1">[2]Results!$E$56</definedName>
    <definedName name="Result_NetEmissions_Method2">[2]Results!$F$56</definedName>
    <definedName name="X_Cell_Enterprise_PercentIncomeFromGrain">'[2]Input - Enterprise'!$E$32</definedName>
    <definedName name="X_Cell_Enterprise_ProductionTimeframeEnd">'[2]Input - Enterprise'!$E$19</definedName>
    <definedName name="X_Cell_Enterprise_ProductionTimeframeStart">'[2]Input - Enterprise'!$E$18</definedName>
    <definedName name="X_Cell_Planting_Latitude">'Input - Planting'!$C$3</definedName>
    <definedName name="X_Cell_Planting_Longitude">'Input - Planting'!$C$4</definedName>
    <definedName name="X_Cell_Planting_PlantingAreaInHectares">'Input - Planting'!$C$8</definedName>
    <definedName name="X_Cell_Planting_PlantingDate">'Input - Planting'!$C$5</definedName>
    <definedName name="X_Cell_Planting_PlantingName">'Input - Planting'!$C$6</definedName>
    <definedName name="X_Cell_Site_EndDate">'Input - Planting'!$C$12</definedName>
    <definedName name="X_Cell_Site_StartDate" localSheetId="1">'[2]Input - Enterprise'!$E$12</definedName>
    <definedName name="X_Cell_Site_StartDate">'Input - Planting'!$C$11</definedName>
    <definedName name="X_Result_Planting_CarbonCapturedPerHectare">'Input - Planting'!$C$15</definedName>
    <definedName name="X_Result_Planting_CarbonCapturedTotalArea">'Input - Planting'!$C$16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7" l="1"/>
  <c r="E259" i="6" l="1" a="1"/>
  <c r="E259" i="6" s="1"/>
  <c r="D259" i="6" a="1"/>
  <c r="D259" i="6" s="1"/>
  <c r="E258" i="6" a="1"/>
  <c r="E258" i="6" s="1"/>
  <c r="D258" i="6" a="1"/>
  <c r="D258" i="6" s="1"/>
  <c r="D256" i="6" a="1"/>
  <c r="D256" i="6" s="1"/>
  <c r="D255" i="6" a="1"/>
  <c r="D255" i="6" s="1"/>
  <c r="D254" i="6" a="1"/>
  <c r="D254" i="6" s="1"/>
  <c r="D253" i="6" a="1"/>
  <c r="D253" i="6" s="1"/>
  <c r="S250" i="6" a="1"/>
  <c r="S250" i="6" s="1"/>
  <c r="R250" i="6" a="1"/>
  <c r="R250" i="6" s="1"/>
  <c r="Q250" i="6" a="1"/>
  <c r="Q250" i="6" s="1"/>
  <c r="P250" i="6" a="1"/>
  <c r="P250" i="6" s="1"/>
  <c r="O250" i="6" a="1"/>
  <c r="O250" i="6" s="1"/>
  <c r="N250" i="6" a="1"/>
  <c r="N250" i="6" s="1"/>
  <c r="M250" i="6" a="1"/>
  <c r="M250" i="6" s="1"/>
  <c r="L250" i="6" a="1"/>
  <c r="L250" i="6" s="1"/>
  <c r="K250" i="6" a="1"/>
  <c r="K250" i="6" s="1"/>
  <c r="J250" i="6" a="1"/>
  <c r="J250" i="6" s="1"/>
  <c r="I250" i="6" a="1"/>
  <c r="I250" i="6" s="1"/>
  <c r="H250" i="6" a="1"/>
  <c r="H250" i="6" s="1"/>
  <c r="G250" i="6" a="1"/>
  <c r="G250" i="6" s="1"/>
  <c r="F250" i="6" a="1"/>
  <c r="F250" i="6" s="1"/>
  <c r="E250" i="6" a="1"/>
  <c r="E250" i="6" s="1"/>
  <c r="D250" i="6" a="1"/>
  <c r="D250" i="6" s="1"/>
  <c r="S249" i="6" a="1"/>
  <c r="S249" i="6" s="1"/>
  <c r="R249" i="6" a="1"/>
  <c r="R249" i="6" s="1"/>
  <c r="Q249" i="6" a="1"/>
  <c r="Q249" i="6" s="1"/>
  <c r="P249" i="6" a="1"/>
  <c r="P249" i="6" s="1"/>
  <c r="O249" i="6" a="1"/>
  <c r="O249" i="6" s="1"/>
  <c r="N249" i="6" a="1"/>
  <c r="N249" i="6" s="1"/>
  <c r="M249" i="6" a="1"/>
  <c r="M249" i="6" s="1"/>
  <c r="L249" i="6" a="1"/>
  <c r="L249" i="6" s="1"/>
  <c r="K249" i="6" a="1"/>
  <c r="K249" i="6" s="1"/>
  <c r="J249" i="6" a="1"/>
  <c r="J249" i="6" s="1"/>
  <c r="I249" i="6" a="1"/>
  <c r="I249" i="6" s="1"/>
  <c r="H249" i="6" a="1"/>
  <c r="H249" i="6" s="1"/>
  <c r="G249" i="6" a="1"/>
  <c r="G249" i="6" s="1"/>
  <c r="F249" i="6" a="1"/>
  <c r="F249" i="6" s="1"/>
  <c r="E249" i="6" a="1"/>
  <c r="E249" i="6" s="1"/>
  <c r="D249" i="6" a="1"/>
  <c r="D249" i="6" s="1"/>
  <c r="S248" i="6" a="1"/>
  <c r="S248" i="6" s="1"/>
  <c r="R248" i="6" a="1"/>
  <c r="R248" i="6" s="1"/>
  <c r="Q248" i="6" a="1"/>
  <c r="Q248" i="6" s="1"/>
  <c r="P248" i="6" a="1"/>
  <c r="P248" i="6" s="1"/>
  <c r="O248" i="6" a="1"/>
  <c r="O248" i="6" s="1"/>
  <c r="N248" i="6" a="1"/>
  <c r="N248" i="6" s="1"/>
  <c r="M248" i="6" a="1"/>
  <c r="M248" i="6" s="1"/>
  <c r="L248" i="6" a="1"/>
  <c r="L248" i="6" s="1"/>
  <c r="K248" i="6" a="1"/>
  <c r="K248" i="6" s="1"/>
  <c r="J248" i="6" a="1"/>
  <c r="J248" i="6" s="1"/>
  <c r="I248" i="6" a="1"/>
  <c r="I248" i="6" s="1"/>
  <c r="H248" i="6" a="1"/>
  <c r="H248" i="6" s="1"/>
  <c r="G248" i="6" a="1"/>
  <c r="G248" i="6" s="1"/>
  <c r="F248" i="6" a="1"/>
  <c r="F248" i="6" s="1"/>
  <c r="E248" i="6" a="1"/>
  <c r="E248" i="6" s="1"/>
  <c r="D248" i="6" a="1"/>
  <c r="D248" i="6" s="1"/>
  <c r="S247" i="6" a="1"/>
  <c r="S247" i="6" s="1"/>
  <c r="R247" i="6" a="1"/>
  <c r="R247" i="6" s="1"/>
  <c r="Q247" i="6" a="1"/>
  <c r="Q247" i="6" s="1"/>
  <c r="P247" i="6" a="1"/>
  <c r="P247" i="6" s="1"/>
  <c r="O247" i="6" a="1"/>
  <c r="O247" i="6" s="1"/>
  <c r="N247" i="6" a="1"/>
  <c r="N247" i="6" s="1"/>
  <c r="M247" i="6" a="1"/>
  <c r="M247" i="6" s="1"/>
  <c r="L247" i="6" a="1"/>
  <c r="L247" i="6" s="1"/>
  <c r="K247" i="6" a="1"/>
  <c r="K247" i="6" s="1"/>
  <c r="J247" i="6" a="1"/>
  <c r="J247" i="6" s="1"/>
  <c r="I247" i="6" a="1"/>
  <c r="I247" i="6" s="1"/>
  <c r="H247" i="6" a="1"/>
  <c r="H247" i="6" s="1"/>
  <c r="G247" i="6" a="1"/>
  <c r="G247" i="6" s="1"/>
  <c r="F247" i="6" a="1"/>
  <c r="F247" i="6" s="1"/>
  <c r="E247" i="6" a="1"/>
  <c r="E247" i="6" s="1"/>
  <c r="D247" i="6" a="1"/>
  <c r="D247" i="6" s="1"/>
  <c r="S246" i="6" a="1"/>
  <c r="S246" i="6" s="1"/>
  <c r="R246" i="6" a="1"/>
  <c r="R246" i="6" s="1"/>
  <c r="Q246" i="6" a="1"/>
  <c r="Q246" i="6" s="1"/>
  <c r="P246" i="6"/>
  <c r="P246" i="6" a="1"/>
  <c r="O246" i="6" a="1"/>
  <c r="O246" i="6" s="1"/>
  <c r="N246" i="6" a="1"/>
  <c r="N246" i="6" s="1"/>
  <c r="M246" i="6" a="1"/>
  <c r="M246" i="6" s="1"/>
  <c r="L246" i="6" a="1"/>
  <c r="L246" i="6" s="1"/>
  <c r="K246" i="6" a="1"/>
  <c r="K246" i="6" s="1"/>
  <c r="J246" i="6" a="1"/>
  <c r="J246" i="6" s="1"/>
  <c r="I246" i="6" a="1"/>
  <c r="I246" i="6" s="1"/>
  <c r="H246" i="6" a="1"/>
  <c r="H246" i="6" s="1"/>
  <c r="G246" i="6" a="1"/>
  <c r="G246" i="6" s="1"/>
  <c r="F246" i="6" a="1"/>
  <c r="F246" i="6" s="1"/>
  <c r="E246" i="6" a="1"/>
  <c r="E246" i="6" s="1"/>
  <c r="D246" i="6" a="1"/>
  <c r="D246" i="6" s="1"/>
  <c r="S245" i="6" a="1"/>
  <c r="S245" i="6" s="1"/>
  <c r="R245" i="6" a="1"/>
  <c r="R245" i="6" s="1"/>
  <c r="Q245" i="6" a="1"/>
  <c r="Q245" i="6" s="1"/>
  <c r="P245" i="6" a="1"/>
  <c r="P245" i="6" s="1"/>
  <c r="O245" i="6" a="1"/>
  <c r="O245" i="6" s="1"/>
  <c r="N245" i="6" a="1"/>
  <c r="N245" i="6" s="1"/>
  <c r="M245" i="6" a="1"/>
  <c r="M245" i="6" s="1"/>
  <c r="L245" i="6" a="1"/>
  <c r="L245" i="6" s="1"/>
  <c r="K245" i="6" a="1"/>
  <c r="K245" i="6" s="1"/>
  <c r="J245" i="6" a="1"/>
  <c r="J245" i="6" s="1"/>
  <c r="I245" i="6" a="1"/>
  <c r="I245" i="6" s="1"/>
  <c r="H245" i="6" a="1"/>
  <c r="H245" i="6" s="1"/>
  <c r="G245" i="6" a="1"/>
  <c r="G245" i="6" s="1"/>
  <c r="F245" i="6" a="1"/>
  <c r="F245" i="6" s="1"/>
  <c r="E245" i="6" a="1"/>
  <c r="E245" i="6" s="1"/>
  <c r="D245" i="6" a="1"/>
  <c r="D245" i="6" s="1"/>
  <c r="S244" i="6" a="1"/>
  <c r="S244" i="6" s="1"/>
  <c r="R244" i="6" a="1"/>
  <c r="R244" i="6" s="1"/>
  <c r="Q244" i="6" a="1"/>
  <c r="Q244" i="6" s="1"/>
  <c r="P244" i="6" a="1"/>
  <c r="P244" i="6" s="1"/>
  <c r="O244" i="6" a="1"/>
  <c r="O244" i="6" s="1"/>
  <c r="N244" i="6" a="1"/>
  <c r="N244" i="6" s="1"/>
  <c r="M244" i="6" a="1"/>
  <c r="M244" i="6" s="1"/>
  <c r="L244" i="6" a="1"/>
  <c r="L244" i="6" s="1"/>
  <c r="K244" i="6" a="1"/>
  <c r="K244" i="6" s="1"/>
  <c r="J244" i="6" a="1"/>
  <c r="J244" i="6" s="1"/>
  <c r="I244" i="6" a="1"/>
  <c r="I244" i="6" s="1"/>
  <c r="H244" i="6" a="1"/>
  <c r="H244" i="6" s="1"/>
  <c r="G244" i="6" a="1"/>
  <c r="G244" i="6" s="1"/>
  <c r="F244" i="6" a="1"/>
  <c r="F244" i="6" s="1"/>
  <c r="E244" i="6" a="1"/>
  <c r="E244" i="6" s="1"/>
  <c r="D244" i="6" a="1"/>
  <c r="D244" i="6" s="1"/>
  <c r="S243" i="6" a="1"/>
  <c r="S243" i="6" s="1"/>
  <c r="R243" i="6" a="1"/>
  <c r="R243" i="6" s="1"/>
  <c r="Q243" i="6" a="1"/>
  <c r="Q243" i="6" s="1"/>
  <c r="P243" i="6" a="1"/>
  <c r="P243" i="6" s="1"/>
  <c r="O243" i="6" a="1"/>
  <c r="O243" i="6" s="1"/>
  <c r="N243" i="6" a="1"/>
  <c r="N243" i="6" s="1"/>
  <c r="M243" i="6" a="1"/>
  <c r="M243" i="6" s="1"/>
  <c r="L243" i="6" a="1"/>
  <c r="L243" i="6" s="1"/>
  <c r="K243" i="6" a="1"/>
  <c r="K243" i="6" s="1"/>
  <c r="J243" i="6" a="1"/>
  <c r="J243" i="6" s="1"/>
  <c r="I243" i="6" a="1"/>
  <c r="I243" i="6" s="1"/>
  <c r="H243" i="6" a="1"/>
  <c r="H243" i="6" s="1"/>
  <c r="G243" i="6" a="1"/>
  <c r="G243" i="6" s="1"/>
  <c r="F243" i="6" a="1"/>
  <c r="F243" i="6" s="1"/>
  <c r="E243" i="6" a="1"/>
  <c r="E243" i="6" s="1"/>
  <c r="D243" i="6" a="1"/>
  <c r="D243" i="6" s="1"/>
  <c r="S242" i="6" a="1"/>
  <c r="S242" i="6" s="1"/>
  <c r="R242" i="6" a="1"/>
  <c r="R242" i="6" s="1"/>
  <c r="Q242" i="6" a="1"/>
  <c r="Q242" i="6" s="1"/>
  <c r="P242" i="6" a="1"/>
  <c r="P242" i="6" s="1"/>
  <c r="O242" i="6" a="1"/>
  <c r="O242" i="6" s="1"/>
  <c r="N242" i="6" a="1"/>
  <c r="N242" i="6" s="1"/>
  <c r="M242" i="6" a="1"/>
  <c r="M242" i="6" s="1"/>
  <c r="L242" i="6" a="1"/>
  <c r="L242" i="6" s="1"/>
  <c r="K242" i="6" a="1"/>
  <c r="K242" i="6" s="1"/>
  <c r="J242" i="6" a="1"/>
  <c r="J242" i="6" s="1"/>
  <c r="I242" i="6" a="1"/>
  <c r="I242" i="6" s="1"/>
  <c r="H242" i="6" a="1"/>
  <c r="H242" i="6" s="1"/>
  <c r="G242" i="6" a="1"/>
  <c r="G242" i="6" s="1"/>
  <c r="F242" i="6" a="1"/>
  <c r="F242" i="6" s="1"/>
  <c r="E242" i="6" a="1"/>
  <c r="E242" i="6" s="1"/>
  <c r="D242" i="6" a="1"/>
  <c r="D242" i="6" s="1"/>
  <c r="S241" i="6" a="1"/>
  <c r="S241" i="6" s="1"/>
  <c r="R241" i="6" a="1"/>
  <c r="R241" i="6" s="1"/>
  <c r="Q241" i="6" a="1"/>
  <c r="Q241" i="6" s="1"/>
  <c r="P241" i="6" a="1"/>
  <c r="P241" i="6" s="1"/>
  <c r="O241" i="6" a="1"/>
  <c r="O241" i="6" s="1"/>
  <c r="N241" i="6" a="1"/>
  <c r="N241" i="6" s="1"/>
  <c r="M241" i="6" a="1"/>
  <c r="M241" i="6" s="1"/>
  <c r="L241" i="6" a="1"/>
  <c r="L241" i="6" s="1"/>
  <c r="K241" i="6" a="1"/>
  <c r="K241" i="6" s="1"/>
  <c r="J241" i="6" a="1"/>
  <c r="J241" i="6" s="1"/>
  <c r="I241" i="6" a="1"/>
  <c r="I241" i="6" s="1"/>
  <c r="H241" i="6" a="1"/>
  <c r="H241" i="6" s="1"/>
  <c r="G241" i="6" a="1"/>
  <c r="G241" i="6" s="1"/>
  <c r="F241" i="6" a="1"/>
  <c r="F241" i="6" s="1"/>
  <c r="E241" i="6" a="1"/>
  <c r="E241" i="6" s="1"/>
  <c r="D241" i="6" a="1"/>
  <c r="D241" i="6" s="1"/>
  <c r="S240" i="6" a="1"/>
  <c r="S240" i="6" s="1"/>
  <c r="R240" i="6" a="1"/>
  <c r="R240" i="6" s="1"/>
  <c r="Q240" i="6" a="1"/>
  <c r="Q240" i="6" s="1"/>
  <c r="P240" i="6" a="1"/>
  <c r="P240" i="6" s="1"/>
  <c r="O240" i="6" a="1"/>
  <c r="O240" i="6" s="1"/>
  <c r="N240" i="6" a="1"/>
  <c r="N240" i="6" s="1"/>
  <c r="M240" i="6" a="1"/>
  <c r="M240" i="6" s="1"/>
  <c r="L240" i="6" a="1"/>
  <c r="L240" i="6" s="1"/>
  <c r="K240" i="6" a="1"/>
  <c r="K240" i="6" s="1"/>
  <c r="J240" i="6" a="1"/>
  <c r="J240" i="6" s="1"/>
  <c r="I240" i="6" a="1"/>
  <c r="I240" i="6" s="1"/>
  <c r="H240" i="6" a="1"/>
  <c r="H240" i="6" s="1"/>
  <c r="G240" i="6" a="1"/>
  <c r="G240" i="6" s="1"/>
  <c r="F240" i="6" a="1"/>
  <c r="F240" i="6" s="1"/>
  <c r="E240" i="6" a="1"/>
  <c r="E240" i="6" s="1"/>
  <c r="D240" i="6" a="1"/>
  <c r="D240" i="6" s="1"/>
  <c r="S239" i="6" a="1"/>
  <c r="S239" i="6" s="1"/>
  <c r="R239" i="6" a="1"/>
  <c r="R239" i="6" s="1"/>
  <c r="Q239" i="6" a="1"/>
  <c r="Q239" i="6" s="1"/>
  <c r="P239" i="6" a="1"/>
  <c r="P239" i="6" s="1"/>
  <c r="O239" i="6" a="1"/>
  <c r="O239" i="6" s="1"/>
  <c r="N239" i="6" a="1"/>
  <c r="N239" i="6" s="1"/>
  <c r="M239" i="6" a="1"/>
  <c r="M239" i="6" s="1"/>
  <c r="L239" i="6" a="1"/>
  <c r="L239" i="6" s="1"/>
  <c r="K239" i="6" a="1"/>
  <c r="K239" i="6" s="1"/>
  <c r="J239" i="6" a="1"/>
  <c r="J239" i="6" s="1"/>
  <c r="I239" i="6" a="1"/>
  <c r="I239" i="6" s="1"/>
  <c r="H239" i="6" a="1"/>
  <c r="H239" i="6" s="1"/>
  <c r="G239" i="6" a="1"/>
  <c r="G239" i="6" s="1"/>
  <c r="F239" i="6" a="1"/>
  <c r="F239" i="6" s="1"/>
  <c r="E239" i="6" a="1"/>
  <c r="E239" i="6" s="1"/>
  <c r="D239" i="6" a="1"/>
  <c r="D239" i="6" s="1"/>
  <c r="S238" i="6" a="1"/>
  <c r="S238" i="6" s="1"/>
  <c r="R238" i="6" a="1"/>
  <c r="R238" i="6" s="1"/>
  <c r="Q238" i="6" a="1"/>
  <c r="Q238" i="6" s="1"/>
  <c r="P238" i="6" a="1"/>
  <c r="P238" i="6" s="1"/>
  <c r="O238" i="6" a="1"/>
  <c r="O238" i="6" s="1"/>
  <c r="N238" i="6" a="1"/>
  <c r="N238" i="6" s="1"/>
  <c r="M238" i="6" a="1"/>
  <c r="M238" i="6" s="1"/>
  <c r="L238" i="6" a="1"/>
  <c r="L238" i="6" s="1"/>
  <c r="K238" i="6" a="1"/>
  <c r="K238" i="6" s="1"/>
  <c r="J238" i="6" a="1"/>
  <c r="J238" i="6" s="1"/>
  <c r="I238" i="6" a="1"/>
  <c r="I238" i="6" s="1"/>
  <c r="H238" i="6" a="1"/>
  <c r="H238" i="6" s="1"/>
  <c r="G238" i="6" a="1"/>
  <c r="G238" i="6" s="1"/>
  <c r="F238" i="6" a="1"/>
  <c r="F238" i="6" s="1"/>
  <c r="E238" i="6" a="1"/>
  <c r="E238" i="6" s="1"/>
  <c r="D238" i="6" a="1"/>
  <c r="D238" i="6" s="1"/>
  <c r="S237" i="6" a="1"/>
  <c r="S237" i="6" s="1"/>
  <c r="R237" i="6" a="1"/>
  <c r="R237" i="6" s="1"/>
  <c r="Q237" i="6" a="1"/>
  <c r="Q237" i="6" s="1"/>
  <c r="P237" i="6" a="1"/>
  <c r="P237" i="6" s="1"/>
  <c r="O237" i="6" a="1"/>
  <c r="O237" i="6" s="1"/>
  <c r="N237" i="6" a="1"/>
  <c r="N237" i="6" s="1"/>
  <c r="M237" i="6" a="1"/>
  <c r="M237" i="6" s="1"/>
  <c r="L237" i="6" a="1"/>
  <c r="L237" i="6" s="1"/>
  <c r="K237" i="6" a="1"/>
  <c r="K237" i="6" s="1"/>
  <c r="J237" i="6" a="1"/>
  <c r="J237" i="6" s="1"/>
  <c r="I237" i="6" a="1"/>
  <c r="I237" i="6" s="1"/>
  <c r="H237" i="6" a="1"/>
  <c r="H237" i="6" s="1"/>
  <c r="G237" i="6" a="1"/>
  <c r="G237" i="6" s="1"/>
  <c r="F237" i="6" a="1"/>
  <c r="F237" i="6" s="1"/>
  <c r="E237" i="6" a="1"/>
  <c r="E237" i="6" s="1"/>
  <c r="D237" i="6" a="1"/>
  <c r="D237" i="6" s="1"/>
  <c r="S236" i="6" a="1"/>
  <c r="S236" i="6" s="1"/>
  <c r="R236" i="6" a="1"/>
  <c r="R236" i="6" s="1"/>
  <c r="Q236" i="6" a="1"/>
  <c r="Q236" i="6" s="1"/>
  <c r="P236" i="6" a="1"/>
  <c r="P236" i="6" s="1"/>
  <c r="O236" i="6" a="1"/>
  <c r="O236" i="6" s="1"/>
  <c r="N236" i="6" a="1"/>
  <c r="N236" i="6" s="1"/>
  <c r="M236" i="6" a="1"/>
  <c r="M236" i="6" s="1"/>
  <c r="L236" i="6" a="1"/>
  <c r="L236" i="6" s="1"/>
  <c r="K236" i="6" a="1"/>
  <c r="K236" i="6" s="1"/>
  <c r="J236" i="6" a="1"/>
  <c r="J236" i="6" s="1"/>
  <c r="I236" i="6" a="1"/>
  <c r="I236" i="6" s="1"/>
  <c r="H236" i="6" a="1"/>
  <c r="H236" i="6" s="1"/>
  <c r="G236" i="6" a="1"/>
  <c r="G236" i="6" s="1"/>
  <c r="F236" i="6" a="1"/>
  <c r="F236" i="6" s="1"/>
  <c r="E236" i="6" a="1"/>
  <c r="E236" i="6" s="1"/>
  <c r="D236" i="6" a="1"/>
  <c r="D236" i="6" s="1"/>
  <c r="S235" i="6" a="1"/>
  <c r="S235" i="6" s="1"/>
  <c r="R235" i="6" a="1"/>
  <c r="R235" i="6" s="1"/>
  <c r="Q235" i="6" a="1"/>
  <c r="Q235" i="6" s="1"/>
  <c r="P235" i="6" a="1"/>
  <c r="P235" i="6" s="1"/>
  <c r="O235" i="6" a="1"/>
  <c r="O235" i="6" s="1"/>
  <c r="N235" i="6" a="1"/>
  <c r="N235" i="6" s="1"/>
  <c r="M235" i="6" a="1"/>
  <c r="M235" i="6" s="1"/>
  <c r="L235" i="6" a="1"/>
  <c r="L235" i="6" s="1"/>
  <c r="K235" i="6" a="1"/>
  <c r="K235" i="6" s="1"/>
  <c r="J235" i="6" a="1"/>
  <c r="J235" i="6" s="1"/>
  <c r="I235" i="6" a="1"/>
  <c r="I235" i="6" s="1"/>
  <c r="H235" i="6" a="1"/>
  <c r="H235" i="6" s="1"/>
  <c r="G235" i="6" a="1"/>
  <c r="G235" i="6" s="1"/>
  <c r="F235" i="6" a="1"/>
  <c r="F235" i="6" s="1"/>
  <c r="E235" i="6" a="1"/>
  <c r="E235" i="6" s="1"/>
  <c r="D235" i="6" a="1"/>
  <c r="D235" i="6" s="1"/>
  <c r="S234" i="6" a="1"/>
  <c r="S234" i="6" s="1"/>
  <c r="R234" i="6" a="1"/>
  <c r="R234" i="6" s="1"/>
  <c r="Q234" i="6" a="1"/>
  <c r="Q234" i="6" s="1"/>
  <c r="P234" i="6" a="1"/>
  <c r="P234" i="6" s="1"/>
  <c r="O234" i="6" a="1"/>
  <c r="O234" i="6" s="1"/>
  <c r="N234" i="6" a="1"/>
  <c r="N234" i="6" s="1"/>
  <c r="M234" i="6" a="1"/>
  <c r="M234" i="6" s="1"/>
  <c r="L234" i="6" a="1"/>
  <c r="L234" i="6" s="1"/>
  <c r="K234" i="6" a="1"/>
  <c r="K234" i="6" s="1"/>
  <c r="J234" i="6" a="1"/>
  <c r="J234" i="6" s="1"/>
  <c r="I234" i="6" a="1"/>
  <c r="I234" i="6" s="1"/>
  <c r="H234" i="6" a="1"/>
  <c r="H234" i="6" s="1"/>
  <c r="G234" i="6" a="1"/>
  <c r="G234" i="6" s="1"/>
  <c r="F234" i="6" a="1"/>
  <c r="F234" i="6" s="1"/>
  <c r="E234" i="6" a="1"/>
  <c r="E234" i="6" s="1"/>
  <c r="D234" i="6" a="1"/>
  <c r="D234" i="6" s="1"/>
  <c r="S233" i="6" a="1"/>
  <c r="S233" i="6" s="1"/>
  <c r="R233" i="6" a="1"/>
  <c r="R233" i="6" s="1"/>
  <c r="Q233" i="6" a="1"/>
  <c r="Q233" i="6" s="1"/>
  <c r="P233" i="6" a="1"/>
  <c r="P233" i="6" s="1"/>
  <c r="O233" i="6" a="1"/>
  <c r="O233" i="6" s="1"/>
  <c r="N233" i="6" a="1"/>
  <c r="N233" i="6" s="1"/>
  <c r="M233" i="6" a="1"/>
  <c r="M233" i="6" s="1"/>
  <c r="L233" i="6" a="1"/>
  <c r="L233" i="6" s="1"/>
  <c r="K233" i="6" a="1"/>
  <c r="K233" i="6" s="1"/>
  <c r="J233" i="6" a="1"/>
  <c r="J233" i="6" s="1"/>
  <c r="I233" i="6" a="1"/>
  <c r="I233" i="6" s="1"/>
  <c r="H233" i="6" a="1"/>
  <c r="H233" i="6" s="1"/>
  <c r="G233" i="6" a="1"/>
  <c r="G233" i="6" s="1"/>
  <c r="F233" i="6" a="1"/>
  <c r="F233" i="6" s="1"/>
  <c r="E233" i="6" a="1"/>
  <c r="E233" i="6" s="1"/>
  <c r="D233" i="6" a="1"/>
  <c r="D233" i="6" s="1"/>
  <c r="S232" i="6" a="1"/>
  <c r="S232" i="6" s="1"/>
  <c r="R232" i="6" a="1"/>
  <c r="R232" i="6" s="1"/>
  <c r="Q232" i="6" a="1"/>
  <c r="Q232" i="6" s="1"/>
  <c r="P232" i="6" a="1"/>
  <c r="P232" i="6" s="1"/>
  <c r="O232" i="6" a="1"/>
  <c r="O232" i="6" s="1"/>
  <c r="N232" i="6" a="1"/>
  <c r="N232" i="6" s="1"/>
  <c r="M232" i="6" a="1"/>
  <c r="M232" i="6" s="1"/>
  <c r="L232" i="6" a="1"/>
  <c r="L232" i="6" s="1"/>
  <c r="K232" i="6" a="1"/>
  <c r="K232" i="6" s="1"/>
  <c r="J232" i="6" a="1"/>
  <c r="J232" i="6" s="1"/>
  <c r="I232" i="6" a="1"/>
  <c r="I232" i="6" s="1"/>
  <c r="H232" i="6" a="1"/>
  <c r="H232" i="6" s="1"/>
  <c r="G232" i="6" a="1"/>
  <c r="G232" i="6" s="1"/>
  <c r="F232" i="6" a="1"/>
  <c r="F232" i="6" s="1"/>
  <c r="E232" i="6" a="1"/>
  <c r="E232" i="6" s="1"/>
  <c r="D232" i="6" a="1"/>
  <c r="D232" i="6" s="1"/>
  <c r="D229" i="6" a="1"/>
  <c r="D229" i="6" s="1"/>
  <c r="D228" i="6" a="1"/>
  <c r="D228" i="6" s="1"/>
  <c r="D227" i="6" a="1"/>
  <c r="D227" i="6" s="1"/>
  <c r="E224" i="6" a="1"/>
  <c r="E224" i="6" s="1"/>
  <c r="D224" i="6" a="1"/>
  <c r="D224" i="6" s="1"/>
  <c r="E223" i="6" a="1"/>
  <c r="E223" i="6" s="1"/>
  <c r="D223" i="6" a="1"/>
  <c r="D223" i="6" s="1"/>
  <c r="E222" i="6" a="1"/>
  <c r="E222" i="6" s="1"/>
  <c r="D222" i="6" a="1"/>
  <c r="D222" i="6" s="1"/>
  <c r="E221" i="6" a="1"/>
  <c r="E221" i="6" s="1"/>
  <c r="D221" i="6" a="1"/>
  <c r="D221" i="6" s="1"/>
  <c r="E220" i="6" a="1"/>
  <c r="E220" i="6" s="1"/>
  <c r="D220" i="6" a="1"/>
  <c r="D220" i="6" s="1"/>
  <c r="E219" i="6" a="1"/>
  <c r="E219" i="6" s="1"/>
  <c r="D219" i="6" a="1"/>
  <c r="D219" i="6" s="1"/>
  <c r="E218" i="6" a="1"/>
  <c r="E218" i="6" s="1"/>
  <c r="D218" i="6" a="1"/>
  <c r="D218" i="6" s="1"/>
  <c r="E217" i="6" a="1"/>
  <c r="E217" i="6" s="1"/>
  <c r="D217" i="6" a="1"/>
  <c r="D217" i="6" s="1"/>
  <c r="E216" i="6" a="1"/>
  <c r="E216" i="6" s="1"/>
  <c r="D216" i="6" a="1"/>
  <c r="D216" i="6" s="1"/>
  <c r="E215" i="6" a="1"/>
  <c r="E215" i="6" s="1"/>
  <c r="D215" i="6" a="1"/>
  <c r="D215" i="6" s="1"/>
  <c r="E214" i="6" a="1"/>
  <c r="E214" i="6" s="1"/>
  <c r="D214" i="6" a="1"/>
  <c r="D214" i="6" s="1"/>
  <c r="E213" i="6" a="1"/>
  <c r="E213" i="6" s="1"/>
  <c r="D213" i="6" a="1"/>
  <c r="D213" i="6" s="1"/>
  <c r="D211" i="6" a="1"/>
  <c r="D211" i="6" s="1"/>
  <c r="E208" i="6" a="1"/>
  <c r="E208" i="6" s="1"/>
  <c r="D208" i="6" a="1"/>
  <c r="D208" i="6" s="1"/>
  <c r="E207" i="6" a="1"/>
  <c r="E207" i="6" s="1"/>
  <c r="D207" i="6" a="1"/>
  <c r="D207" i="6" s="1"/>
  <c r="D205" i="6" a="1"/>
  <c r="D205" i="6" s="1"/>
  <c r="D204" i="6" a="1"/>
  <c r="D204" i="6" s="1"/>
  <c r="D203" i="6" a="1"/>
  <c r="D203" i="6" s="1"/>
  <c r="D202" i="6" a="1"/>
  <c r="D202" i="6" s="1"/>
  <c r="H199" i="6" a="1"/>
  <c r="H199" i="6" s="1"/>
  <c r="G199" i="6" a="1"/>
  <c r="G199" i="6" s="1"/>
  <c r="F199" i="6" a="1"/>
  <c r="F199" i="6" s="1"/>
  <c r="E199" i="6" a="1"/>
  <c r="E199" i="6" s="1"/>
  <c r="D199" i="6" a="1"/>
  <c r="D199" i="6" s="1"/>
  <c r="H198" i="6" a="1"/>
  <c r="H198" i="6" s="1"/>
  <c r="G198" i="6" a="1"/>
  <c r="G198" i="6" s="1"/>
  <c r="F198" i="6" a="1"/>
  <c r="F198" i="6" s="1"/>
  <c r="E198" i="6" a="1"/>
  <c r="E198" i="6" s="1"/>
  <c r="D198" i="6" a="1"/>
  <c r="D198" i="6" s="1"/>
  <c r="H197" i="6" a="1"/>
  <c r="H197" i="6" s="1"/>
  <c r="G197" i="6" a="1"/>
  <c r="G197" i="6" s="1"/>
  <c r="F197" i="6" a="1"/>
  <c r="F197" i="6" s="1"/>
  <c r="E197" i="6" a="1"/>
  <c r="E197" i="6" s="1"/>
  <c r="D197" i="6" a="1"/>
  <c r="D197" i="6" s="1"/>
  <c r="H196" i="6" a="1"/>
  <c r="H196" i="6" s="1"/>
  <c r="G196" i="6" a="1"/>
  <c r="G196" i="6" s="1"/>
  <c r="F196" i="6" a="1"/>
  <c r="F196" i="6" s="1"/>
  <c r="E196" i="6" a="1"/>
  <c r="E196" i="6" s="1"/>
  <c r="D196" i="6" a="1"/>
  <c r="D196" i="6" s="1"/>
  <c r="H195" i="6" a="1"/>
  <c r="H195" i="6" s="1"/>
  <c r="G195" i="6" a="1"/>
  <c r="G195" i="6" s="1"/>
  <c r="F195" i="6" a="1"/>
  <c r="F195" i="6" s="1"/>
  <c r="E195" i="6" a="1"/>
  <c r="E195" i="6" s="1"/>
  <c r="D195" i="6" a="1"/>
  <c r="D195" i="6" s="1"/>
  <c r="H194" i="6" a="1"/>
  <c r="H194" i="6" s="1"/>
  <c r="G194" i="6" a="1"/>
  <c r="G194" i="6" s="1"/>
  <c r="F194" i="6" a="1"/>
  <c r="F194" i="6" s="1"/>
  <c r="E194" i="6" a="1"/>
  <c r="E194" i="6" s="1"/>
  <c r="D194" i="6" a="1"/>
  <c r="D194" i="6" s="1"/>
  <c r="H193" i="6" a="1"/>
  <c r="H193" i="6" s="1"/>
  <c r="G193" i="6" a="1"/>
  <c r="G193" i="6" s="1"/>
  <c r="F193" i="6" a="1"/>
  <c r="F193" i="6" s="1"/>
  <c r="E193" i="6" a="1"/>
  <c r="E193" i="6" s="1"/>
  <c r="D193" i="6" a="1"/>
  <c r="D193" i="6" s="1"/>
  <c r="H192" i="6" a="1"/>
  <c r="H192" i="6" s="1"/>
  <c r="G192" i="6" a="1"/>
  <c r="G192" i="6" s="1"/>
  <c r="F192" i="6" a="1"/>
  <c r="F192" i="6" s="1"/>
  <c r="E192" i="6" a="1"/>
  <c r="E192" i="6" s="1"/>
  <c r="D192" i="6" a="1"/>
  <c r="D192" i="6" s="1"/>
  <c r="H191" i="6" a="1"/>
  <c r="H191" i="6" s="1"/>
  <c r="G191" i="6" a="1"/>
  <c r="G191" i="6" s="1"/>
  <c r="F191" i="6" a="1"/>
  <c r="F191" i="6" s="1"/>
  <c r="E191" i="6" a="1"/>
  <c r="E191" i="6" s="1"/>
  <c r="D191" i="6" a="1"/>
  <c r="D191" i="6" s="1"/>
  <c r="H190" i="6" a="1"/>
  <c r="H190" i="6" s="1"/>
  <c r="G190" i="6" a="1"/>
  <c r="G190" i="6" s="1"/>
  <c r="F190" i="6" a="1"/>
  <c r="F190" i="6" s="1"/>
  <c r="E190" i="6" a="1"/>
  <c r="E190" i="6" s="1"/>
  <c r="D190" i="6" a="1"/>
  <c r="D190" i="6" s="1"/>
  <c r="H189" i="6" a="1"/>
  <c r="H189" i="6" s="1"/>
  <c r="G189" i="6" a="1"/>
  <c r="G189" i="6" s="1"/>
  <c r="F189" i="6" a="1"/>
  <c r="F189" i="6" s="1"/>
  <c r="E189" i="6" a="1"/>
  <c r="E189" i="6" s="1"/>
  <c r="D189" i="6" a="1"/>
  <c r="D189" i="6" s="1"/>
  <c r="H188" i="6" a="1"/>
  <c r="H188" i="6" s="1"/>
  <c r="G188" i="6" a="1"/>
  <c r="G188" i="6" s="1"/>
  <c r="F188" i="6" a="1"/>
  <c r="F188" i="6" s="1"/>
  <c r="E188" i="6" a="1"/>
  <c r="E188" i="6" s="1"/>
  <c r="D188" i="6" a="1"/>
  <c r="D188" i="6" s="1"/>
  <c r="H187" i="6" a="1"/>
  <c r="H187" i="6" s="1"/>
  <c r="G187" i="6" a="1"/>
  <c r="G187" i="6" s="1"/>
  <c r="F187" i="6" a="1"/>
  <c r="F187" i="6" s="1"/>
  <c r="E187" i="6" a="1"/>
  <c r="E187" i="6" s="1"/>
  <c r="D187" i="6" a="1"/>
  <c r="D187" i="6" s="1"/>
  <c r="D181" i="6" a="1"/>
  <c r="D181" i="6" s="1"/>
  <c r="D180" i="6" a="1"/>
  <c r="D180" i="6" s="1"/>
  <c r="D179" i="6" a="1"/>
  <c r="D179" i="6" s="1"/>
  <c r="D178" i="6" a="1"/>
  <c r="D178" i="6" s="1"/>
  <c r="E175" i="6" a="1"/>
  <c r="E175" i="6" s="1"/>
  <c r="D175" i="6" a="1"/>
  <c r="D175" i="6" s="1"/>
  <c r="D174" i="6" a="1"/>
  <c r="D174" i="6" s="1"/>
  <c r="D173" i="6" a="1"/>
  <c r="D173" i="6" s="1"/>
  <c r="D170" i="6" a="1"/>
  <c r="D170" i="6" s="1"/>
  <c r="D169" i="6" a="1"/>
  <c r="D169" i="6" s="1"/>
  <c r="D168" i="6" a="1"/>
  <c r="D168" i="6" s="1"/>
  <c r="D167" i="6" a="1"/>
  <c r="D167" i="6" s="1"/>
  <c r="D164" i="6" a="1"/>
  <c r="D164" i="6" s="1"/>
  <c r="D163" i="6" a="1"/>
  <c r="D163" i="6" s="1"/>
  <c r="D162" i="6" a="1"/>
  <c r="D162" i="6" s="1"/>
  <c r="D161" i="6" a="1"/>
  <c r="D161" i="6" s="1"/>
  <c r="E158" i="6" a="1"/>
  <c r="E158" i="6" s="1"/>
  <c r="D158" i="6" a="1"/>
  <c r="D158" i="6" s="1"/>
  <c r="E157" i="6" a="1"/>
  <c r="E157" i="6" s="1"/>
  <c r="D157" i="6" a="1"/>
  <c r="D157" i="6" s="1"/>
  <c r="E156" i="6" a="1"/>
  <c r="E156" i="6" s="1"/>
  <c r="D156" i="6" a="1"/>
  <c r="D156" i="6" s="1"/>
  <c r="E155" i="6" a="1"/>
  <c r="E155" i="6" s="1"/>
  <c r="D155" i="6" a="1"/>
  <c r="D155" i="6" s="1"/>
  <c r="E154" i="6" a="1"/>
  <c r="E154" i="6" s="1"/>
  <c r="D154" i="6" a="1"/>
  <c r="D154" i="6" s="1"/>
  <c r="D151" i="6" a="1"/>
  <c r="D151" i="6" s="1"/>
  <c r="D150" i="6" a="1"/>
  <c r="D150" i="6" s="1"/>
  <c r="E147" i="6" a="1"/>
  <c r="E147" i="6" s="1"/>
  <c r="D147" i="6" a="1"/>
  <c r="D147" i="6" s="1"/>
  <c r="E146" i="6" a="1"/>
  <c r="E146" i="6" s="1"/>
  <c r="D146" i="6" a="1"/>
  <c r="D146" i="6" s="1"/>
  <c r="E145" i="6" a="1"/>
  <c r="E145" i="6" s="1"/>
  <c r="D145" i="6" a="1"/>
  <c r="D145" i="6" s="1"/>
  <c r="E144" i="6" a="1"/>
  <c r="E144" i="6" s="1"/>
  <c r="D144" i="6" a="1"/>
  <c r="D144" i="6" s="1"/>
  <c r="E143" i="6" a="1"/>
  <c r="E143" i="6" s="1"/>
  <c r="D143" i="6" a="1"/>
  <c r="D143" i="6" s="1"/>
  <c r="D141" i="6" a="1"/>
  <c r="D141" i="6" s="1"/>
  <c r="D140" i="6" a="1"/>
  <c r="D140" i="6" s="1"/>
  <c r="D139" i="6" a="1"/>
  <c r="D139" i="6" s="1"/>
  <c r="E136" i="6" a="1"/>
  <c r="E136" i="6" s="1"/>
  <c r="D136" i="6" a="1"/>
  <c r="D136" i="6" s="1"/>
  <c r="E135" i="6" a="1"/>
  <c r="E135" i="6" s="1"/>
  <c r="D135" i="6" a="1"/>
  <c r="D135" i="6" s="1"/>
  <c r="D133" i="6" a="1"/>
  <c r="D133" i="6" s="1"/>
  <c r="D132" i="6" a="1"/>
  <c r="D132" i="6" s="1"/>
  <c r="E129" i="6" a="1"/>
  <c r="E129" i="6" s="1"/>
  <c r="D129" i="6" a="1"/>
  <c r="D129" i="6" s="1"/>
  <c r="E128" i="6" a="1"/>
  <c r="E128" i="6" s="1"/>
  <c r="D128" i="6" a="1"/>
  <c r="D128" i="6" s="1"/>
  <c r="D125" i="6" a="1"/>
  <c r="D125" i="6" s="1"/>
  <c r="D124" i="6" a="1"/>
  <c r="D124" i="6" s="1"/>
  <c r="G121" i="6" a="1"/>
  <c r="G121" i="6" s="1"/>
  <c r="F121" i="6" a="1"/>
  <c r="F121" i="6" s="1"/>
  <c r="E121" i="6" a="1"/>
  <c r="E121" i="6" s="1"/>
  <c r="D121" i="6" a="1"/>
  <c r="D121" i="6" s="1"/>
  <c r="G120" i="6" a="1"/>
  <c r="G120" i="6" s="1"/>
  <c r="F120" i="6" a="1"/>
  <c r="F120" i="6" s="1"/>
  <c r="E120" i="6" a="1"/>
  <c r="E120" i="6" s="1"/>
  <c r="D120" i="6" a="1"/>
  <c r="D120" i="6" s="1"/>
  <c r="D117" i="6" a="1"/>
  <c r="D117" i="6" s="1"/>
  <c r="D116" i="6" a="1"/>
  <c r="D116" i="6" s="1"/>
  <c r="D115" i="6" a="1"/>
  <c r="D115" i="6" s="1"/>
  <c r="G112" i="6" a="1"/>
  <c r="G112" i="6" s="1"/>
  <c r="F112" i="6" a="1"/>
  <c r="F112" i="6" s="1"/>
  <c r="E112" i="6" a="1"/>
  <c r="E112" i="6" s="1"/>
  <c r="D112" i="6" a="1"/>
  <c r="D112" i="6" s="1"/>
  <c r="G111" i="6" a="1"/>
  <c r="G111" i="6" s="1"/>
  <c r="F111" i="6" a="1"/>
  <c r="F111" i="6" s="1"/>
  <c r="E111" i="6" a="1"/>
  <c r="E111" i="6" s="1"/>
  <c r="D111" i="6" a="1"/>
  <c r="D111" i="6" s="1"/>
  <c r="G110" i="6" a="1"/>
  <c r="G110" i="6" s="1"/>
  <c r="F110" i="6" a="1"/>
  <c r="F110" i="6" s="1"/>
  <c r="E110" i="6" a="1"/>
  <c r="E110" i="6" s="1"/>
  <c r="D110" i="6" a="1"/>
  <c r="D110" i="6" s="1"/>
  <c r="D107" i="6" a="1"/>
  <c r="D107" i="6" s="1"/>
  <c r="D106" i="6" a="1"/>
  <c r="D106" i="6" s="1"/>
  <c r="D105" i="6" a="1"/>
  <c r="D105" i="6" s="1"/>
  <c r="D99" i="6" a="1"/>
  <c r="D99" i="6" s="1"/>
  <c r="S97" i="6" a="1"/>
  <c r="S97" i="6" s="1"/>
  <c r="R97" i="6" a="1"/>
  <c r="R97" i="6" s="1"/>
  <c r="Q97" i="6" a="1"/>
  <c r="Q97" i="6" s="1"/>
  <c r="P97" i="6" a="1"/>
  <c r="P97" i="6" s="1"/>
  <c r="O97" i="6" a="1"/>
  <c r="O97" i="6" s="1"/>
  <c r="N97" i="6" a="1"/>
  <c r="N97" i="6" s="1"/>
  <c r="M97" i="6" a="1"/>
  <c r="M97" i="6" s="1"/>
  <c r="L97" i="6" a="1"/>
  <c r="L97" i="6" s="1"/>
  <c r="K97" i="6" a="1"/>
  <c r="K97" i="6" s="1"/>
  <c r="J97" i="6" a="1"/>
  <c r="J97" i="6" s="1"/>
  <c r="I97" i="6" a="1"/>
  <c r="I97" i="6" s="1"/>
  <c r="H97" i="6" a="1"/>
  <c r="H97" i="6" s="1"/>
  <c r="G97" i="6" a="1"/>
  <c r="G97" i="6" s="1"/>
  <c r="F97" i="6" a="1"/>
  <c r="F97" i="6" s="1"/>
  <c r="E97" i="6" a="1"/>
  <c r="E97" i="6" s="1"/>
  <c r="D97" i="6" a="1"/>
  <c r="D97" i="6" s="1"/>
  <c r="S96" i="6" a="1"/>
  <c r="S96" i="6" s="1"/>
  <c r="R96" i="6" a="1"/>
  <c r="R96" i="6" s="1"/>
  <c r="Q96" i="6" a="1"/>
  <c r="Q96" i="6" s="1"/>
  <c r="P96" i="6" a="1"/>
  <c r="P96" i="6" s="1"/>
  <c r="O96" i="6" a="1"/>
  <c r="O96" i="6" s="1"/>
  <c r="N96" i="6" a="1"/>
  <c r="N96" i="6" s="1"/>
  <c r="M96" i="6" a="1"/>
  <c r="M96" i="6" s="1"/>
  <c r="L96" i="6" a="1"/>
  <c r="L96" i="6" s="1"/>
  <c r="K96" i="6" a="1"/>
  <c r="K96" i="6" s="1"/>
  <c r="J96" i="6" a="1"/>
  <c r="J96" i="6" s="1"/>
  <c r="I96" i="6" a="1"/>
  <c r="I96" i="6" s="1"/>
  <c r="H96" i="6" a="1"/>
  <c r="H96" i="6" s="1"/>
  <c r="G96" i="6" a="1"/>
  <c r="G96" i="6" s="1"/>
  <c r="F96" i="6" a="1"/>
  <c r="F96" i="6" s="1"/>
  <c r="E96" i="6" a="1"/>
  <c r="E96" i="6" s="1"/>
  <c r="D96" i="6" a="1"/>
  <c r="D96" i="6" s="1"/>
  <c r="S95" i="6" a="1"/>
  <c r="S95" i="6" s="1"/>
  <c r="R95" i="6" a="1"/>
  <c r="R95" i="6" s="1"/>
  <c r="Q95" i="6" a="1"/>
  <c r="Q95" i="6" s="1"/>
  <c r="P95" i="6" a="1"/>
  <c r="P95" i="6" s="1"/>
  <c r="O95" i="6" a="1"/>
  <c r="O95" i="6" s="1"/>
  <c r="N95" i="6" a="1"/>
  <c r="N95" i="6" s="1"/>
  <c r="M95" i="6" a="1"/>
  <c r="M95" i="6" s="1"/>
  <c r="L95" i="6" a="1"/>
  <c r="L95" i="6" s="1"/>
  <c r="K95" i="6" a="1"/>
  <c r="K95" i="6" s="1"/>
  <c r="J95" i="6" a="1"/>
  <c r="J95" i="6" s="1"/>
  <c r="I95" i="6" a="1"/>
  <c r="I95" i="6" s="1"/>
  <c r="H95" i="6" a="1"/>
  <c r="H95" i="6" s="1"/>
  <c r="G95" i="6" a="1"/>
  <c r="G95" i="6" s="1"/>
  <c r="F95" i="6" a="1"/>
  <c r="F95" i="6" s="1"/>
  <c r="E95" i="6" a="1"/>
  <c r="E95" i="6" s="1"/>
  <c r="D95" i="6" a="1"/>
  <c r="D95" i="6" s="1"/>
  <c r="S94" i="6" a="1"/>
  <c r="S94" i="6" s="1"/>
  <c r="R94" i="6" a="1"/>
  <c r="R94" i="6" s="1"/>
  <c r="Q94" i="6" a="1"/>
  <c r="Q94" i="6" s="1"/>
  <c r="P94" i="6" a="1"/>
  <c r="P94" i="6" s="1"/>
  <c r="O94" i="6" a="1"/>
  <c r="O94" i="6" s="1"/>
  <c r="N94" i="6" a="1"/>
  <c r="N94" i="6" s="1"/>
  <c r="M94" i="6" a="1"/>
  <c r="M94" i="6" s="1"/>
  <c r="L94" i="6" a="1"/>
  <c r="L94" i="6" s="1"/>
  <c r="K94" i="6" a="1"/>
  <c r="K94" i="6" s="1"/>
  <c r="J94" i="6" a="1"/>
  <c r="J94" i="6" s="1"/>
  <c r="I94" i="6" a="1"/>
  <c r="I94" i="6" s="1"/>
  <c r="H94" i="6" a="1"/>
  <c r="H94" i="6" s="1"/>
  <c r="G94" i="6" a="1"/>
  <c r="G94" i="6" s="1"/>
  <c r="F94" i="6" a="1"/>
  <c r="F94" i="6" s="1"/>
  <c r="E94" i="6" a="1"/>
  <c r="E94" i="6" s="1"/>
  <c r="D94" i="6" a="1"/>
  <c r="D94" i="6" s="1"/>
  <c r="S93" i="6" a="1"/>
  <c r="S93" i="6" s="1"/>
  <c r="R93" i="6" a="1"/>
  <c r="R93" i="6" s="1"/>
  <c r="Q93" i="6" a="1"/>
  <c r="Q93" i="6" s="1"/>
  <c r="P93" i="6" a="1"/>
  <c r="P93" i="6" s="1"/>
  <c r="O93" i="6" a="1"/>
  <c r="O93" i="6" s="1"/>
  <c r="N93" i="6" a="1"/>
  <c r="N93" i="6" s="1"/>
  <c r="M93" i="6" a="1"/>
  <c r="M93" i="6" s="1"/>
  <c r="L93" i="6" a="1"/>
  <c r="L93" i="6" s="1"/>
  <c r="K93" i="6" a="1"/>
  <c r="K93" i="6" s="1"/>
  <c r="J93" i="6" a="1"/>
  <c r="J93" i="6" s="1"/>
  <c r="I93" i="6" a="1"/>
  <c r="I93" i="6" s="1"/>
  <c r="H93" i="6" a="1"/>
  <c r="H93" i="6" s="1"/>
  <c r="G93" i="6" a="1"/>
  <c r="G93" i="6" s="1"/>
  <c r="F93" i="6" a="1"/>
  <c r="F93" i="6" s="1"/>
  <c r="E93" i="6" a="1"/>
  <c r="E93" i="6" s="1"/>
  <c r="D93" i="6" a="1"/>
  <c r="D93" i="6" s="1"/>
  <c r="S92" i="6" a="1"/>
  <c r="S92" i="6" s="1"/>
  <c r="R92" i="6" a="1"/>
  <c r="R92" i="6" s="1"/>
  <c r="Q92" i="6" a="1"/>
  <c r="Q92" i="6" s="1"/>
  <c r="P92" i="6" a="1"/>
  <c r="P92" i="6" s="1"/>
  <c r="O92" i="6" a="1"/>
  <c r="O92" i="6" s="1"/>
  <c r="N92" i="6" a="1"/>
  <c r="N92" i="6" s="1"/>
  <c r="M92" i="6" a="1"/>
  <c r="M92" i="6" s="1"/>
  <c r="L92" i="6" a="1"/>
  <c r="L92" i="6" s="1"/>
  <c r="K92" i="6" a="1"/>
  <c r="K92" i="6" s="1"/>
  <c r="J92" i="6" a="1"/>
  <c r="J92" i="6" s="1"/>
  <c r="I92" i="6" a="1"/>
  <c r="I92" i="6" s="1"/>
  <c r="H92" i="6" a="1"/>
  <c r="H92" i="6" s="1"/>
  <c r="G92" i="6" a="1"/>
  <c r="G92" i="6" s="1"/>
  <c r="F92" i="6" a="1"/>
  <c r="F92" i="6" s="1"/>
  <c r="E92" i="6" a="1"/>
  <c r="E92" i="6" s="1"/>
  <c r="D92" i="6" a="1"/>
  <c r="D92" i="6" s="1"/>
  <c r="S91" i="6" a="1"/>
  <c r="S91" i="6" s="1"/>
  <c r="R91" i="6" a="1"/>
  <c r="R91" i="6" s="1"/>
  <c r="Q91" i="6" a="1"/>
  <c r="Q91" i="6" s="1"/>
  <c r="P91" i="6" a="1"/>
  <c r="P91" i="6" s="1"/>
  <c r="O91" i="6" a="1"/>
  <c r="O91" i="6" s="1"/>
  <c r="N91" i="6" a="1"/>
  <c r="N91" i="6" s="1"/>
  <c r="M91" i="6" a="1"/>
  <c r="M91" i="6" s="1"/>
  <c r="L91" i="6" a="1"/>
  <c r="L91" i="6" s="1"/>
  <c r="K91" i="6" a="1"/>
  <c r="K91" i="6" s="1"/>
  <c r="J91" i="6" a="1"/>
  <c r="J91" i="6" s="1"/>
  <c r="I91" i="6" a="1"/>
  <c r="I91" i="6" s="1"/>
  <c r="H91" i="6" a="1"/>
  <c r="H91" i="6" s="1"/>
  <c r="G91" i="6" a="1"/>
  <c r="G91" i="6" s="1"/>
  <c r="F91" i="6" a="1"/>
  <c r="F91" i="6" s="1"/>
  <c r="E91" i="6" a="1"/>
  <c r="E91" i="6" s="1"/>
  <c r="D91" i="6" a="1"/>
  <c r="D91" i="6" s="1"/>
  <c r="S90" i="6" a="1"/>
  <c r="S90" i="6" s="1"/>
  <c r="R90" i="6" a="1"/>
  <c r="R90" i="6" s="1"/>
  <c r="Q90" i="6" a="1"/>
  <c r="Q90" i="6" s="1"/>
  <c r="P90" i="6" a="1"/>
  <c r="P90" i="6" s="1"/>
  <c r="O90" i="6" a="1"/>
  <c r="O90" i="6" s="1"/>
  <c r="N90" i="6" a="1"/>
  <c r="N90" i="6" s="1"/>
  <c r="M90" i="6" a="1"/>
  <c r="M90" i="6" s="1"/>
  <c r="L90" i="6" a="1"/>
  <c r="L90" i="6" s="1"/>
  <c r="K90" i="6" a="1"/>
  <c r="K90" i="6" s="1"/>
  <c r="J90" i="6" a="1"/>
  <c r="J90" i="6" s="1"/>
  <c r="I90" i="6" a="1"/>
  <c r="I90" i="6" s="1"/>
  <c r="H90" i="6" a="1"/>
  <c r="H90" i="6" s="1"/>
  <c r="G90" i="6" a="1"/>
  <c r="G90" i="6" s="1"/>
  <c r="F90" i="6" a="1"/>
  <c r="F90" i="6" s="1"/>
  <c r="E90" i="6" a="1"/>
  <c r="E90" i="6" s="1"/>
  <c r="D90" i="6" a="1"/>
  <c r="D90" i="6" s="1"/>
  <c r="D83" i="6" a="1"/>
  <c r="D83" i="6" s="1"/>
  <c r="D82" i="6" a="1"/>
  <c r="D82" i="6" s="1"/>
  <c r="D81" i="6" a="1"/>
  <c r="D81" i="6" s="1"/>
  <c r="E77" i="6" a="1"/>
  <c r="E77" i="6" s="1"/>
  <c r="D77" i="6" a="1"/>
  <c r="D77" i="6" s="1"/>
  <c r="E76" i="6" a="1"/>
  <c r="E76" i="6" s="1"/>
  <c r="D76" i="6" a="1"/>
  <c r="D76" i="6" s="1"/>
  <c r="E75" i="6" a="1"/>
  <c r="E75" i="6" s="1"/>
  <c r="D75" i="6" a="1"/>
  <c r="D75" i="6" s="1"/>
  <c r="E74" i="6" a="1"/>
  <c r="E74" i="6" s="1"/>
  <c r="D74" i="6" a="1"/>
  <c r="D74" i="6" s="1"/>
  <c r="E73" i="6" a="1"/>
  <c r="E73" i="6" s="1"/>
  <c r="D73" i="6" a="1"/>
  <c r="D73" i="6" s="1"/>
  <c r="E72" i="6" a="1"/>
  <c r="E72" i="6" s="1"/>
  <c r="D72" i="6" a="1"/>
  <c r="D72" i="6" s="1"/>
  <c r="E71" i="6" a="1"/>
  <c r="E71" i="6" s="1"/>
  <c r="D71" i="6" a="1"/>
  <c r="D71" i="6" s="1"/>
  <c r="E70" i="6" a="1"/>
  <c r="E70" i="6" s="1"/>
  <c r="D70" i="6" a="1"/>
  <c r="D70" i="6" s="1"/>
  <c r="E69" i="6" a="1"/>
  <c r="E69" i="6" s="1"/>
  <c r="D69" i="6" a="1"/>
  <c r="D69" i="6" s="1"/>
  <c r="E68" i="6" a="1"/>
  <c r="E68" i="6" s="1"/>
  <c r="D68" i="6" a="1"/>
  <c r="D68" i="6" s="1"/>
  <c r="E67" i="6" a="1"/>
  <c r="E67" i="6" s="1"/>
  <c r="D67" i="6" a="1"/>
  <c r="D67" i="6" s="1"/>
  <c r="E66" i="6" a="1"/>
  <c r="E66" i="6" s="1"/>
  <c r="D66" i="6" a="1"/>
  <c r="D66" i="6" s="1"/>
  <c r="E65" i="6" a="1"/>
  <c r="E65" i="6" s="1"/>
  <c r="D65" i="6" a="1"/>
  <c r="D65" i="6" s="1"/>
  <c r="E64" i="6" a="1"/>
  <c r="E64" i="6" s="1"/>
  <c r="D64" i="6" a="1"/>
  <c r="D64" i="6" s="1"/>
  <c r="D59" i="6" a="1"/>
  <c r="D59" i="6" s="1"/>
  <c r="D58" i="6" a="1"/>
  <c r="D58" i="6" s="1"/>
  <c r="D57" i="6" a="1"/>
  <c r="D57" i="6" s="1"/>
  <c r="G54" i="6" a="1"/>
  <c r="G54" i="6" s="1"/>
  <c r="F54" i="6" a="1"/>
  <c r="F54" i="6" s="1"/>
  <c r="H54" i="6" s="1"/>
  <c r="E54" i="6" a="1"/>
  <c r="E54" i="6" s="1"/>
  <c r="D54" i="6" a="1"/>
  <c r="D54" i="6" s="1"/>
  <c r="G53" i="6" a="1"/>
  <c r="G53" i="6" s="1"/>
  <c r="F53" i="6" a="1"/>
  <c r="F53" i="6" s="1"/>
  <c r="E53" i="6" a="1"/>
  <c r="E53" i="6" s="1"/>
  <c r="D53" i="6" a="1"/>
  <c r="D53" i="6" s="1"/>
  <c r="G52" i="6" a="1"/>
  <c r="G52" i="6" s="1"/>
  <c r="F52" i="6" a="1"/>
  <c r="F52" i="6" s="1"/>
  <c r="E52" i="6" a="1"/>
  <c r="E52" i="6" s="1"/>
  <c r="D52" i="6" a="1"/>
  <c r="D52" i="6" s="1"/>
  <c r="G51" i="6" a="1"/>
  <c r="G51" i="6" s="1"/>
  <c r="F51" i="6" a="1"/>
  <c r="F51" i="6" s="1"/>
  <c r="H51" i="6" s="1"/>
  <c r="E51" i="6" a="1"/>
  <c r="E51" i="6" s="1"/>
  <c r="D51" i="6" a="1"/>
  <c r="D51" i="6" s="1"/>
  <c r="G50" i="6" a="1"/>
  <c r="G50" i="6" s="1"/>
  <c r="F50" i="6" a="1"/>
  <c r="F50" i="6" s="1"/>
  <c r="E50" i="6" a="1"/>
  <c r="E50" i="6" s="1"/>
  <c r="D50" i="6" a="1"/>
  <c r="D50" i="6" s="1"/>
  <c r="G49" i="6" a="1"/>
  <c r="G49" i="6" s="1"/>
  <c r="F49" i="6" a="1"/>
  <c r="F49" i="6" s="1"/>
  <c r="H49" i="6" s="1"/>
  <c r="E49" i="6" a="1"/>
  <c r="E49" i="6" s="1"/>
  <c r="D49" i="6" a="1"/>
  <c r="D49" i="6" s="1"/>
  <c r="G48" i="6" a="1"/>
  <c r="G48" i="6" s="1"/>
  <c r="F48" i="6" a="1"/>
  <c r="F48" i="6" s="1"/>
  <c r="E48" i="6" a="1"/>
  <c r="E48" i="6" s="1"/>
  <c r="D48" i="6" a="1"/>
  <c r="D48" i="6" s="1"/>
  <c r="D46" i="6" a="1"/>
  <c r="D46" i="6" s="1"/>
  <c r="D45" i="6" a="1"/>
  <c r="D45" i="6" s="1"/>
  <c r="E43" i="6" a="1"/>
  <c r="E43" i="6" s="1"/>
  <c r="D43" i="6" a="1"/>
  <c r="D43" i="6" s="1"/>
  <c r="E42" i="6" a="1"/>
  <c r="E42" i="6" s="1"/>
  <c r="D42" i="6" a="1"/>
  <c r="D42" i="6" s="1"/>
  <c r="E41" i="6" a="1"/>
  <c r="E41" i="6" s="1"/>
  <c r="D41" i="6" a="1"/>
  <c r="D41" i="6" s="1"/>
  <c r="E40" i="6" a="1"/>
  <c r="E40" i="6" s="1"/>
  <c r="D40" i="6" a="1"/>
  <c r="D40" i="6" s="1"/>
  <c r="E39" i="6" a="1"/>
  <c r="E39" i="6" s="1"/>
  <c r="D39" i="6" a="1"/>
  <c r="D39" i="6" s="1"/>
  <c r="E38" i="6" a="1"/>
  <c r="E38" i="6" s="1"/>
  <c r="D38" i="6" a="1"/>
  <c r="D38" i="6" s="1"/>
  <c r="E37" i="6" a="1"/>
  <c r="E37" i="6" s="1"/>
  <c r="D37" i="6" a="1"/>
  <c r="D37" i="6" s="1"/>
  <c r="D35" i="6" a="1"/>
  <c r="D35" i="6" s="1"/>
  <c r="D34" i="6" a="1"/>
  <c r="D34" i="6" s="1"/>
  <c r="D30" i="6" a="1"/>
  <c r="D30" i="6" s="1"/>
  <c r="D29" i="6" a="1"/>
  <c r="D29" i="6" s="1"/>
  <c r="D28" i="6" a="1"/>
  <c r="D28" i="6" s="1"/>
  <c r="D27" i="6" a="1"/>
  <c r="D27" i="6" s="1"/>
  <c r="D26" i="6"/>
  <c r="D26" i="6" a="1"/>
  <c r="D25" i="6" a="1"/>
  <c r="D25" i="6" s="1"/>
  <c r="D24" i="6" a="1"/>
  <c r="D24" i="6" s="1"/>
  <c r="D23" i="6" a="1"/>
  <c r="D23" i="6" s="1"/>
  <c r="D22" i="6" a="1"/>
  <c r="D22" i="6" s="1"/>
  <c r="D21" i="6" a="1"/>
  <c r="D21" i="6" s="1"/>
  <c r="D19" i="6" a="1"/>
  <c r="D19" i="6" s="1"/>
  <c r="D18" i="6" a="1"/>
  <c r="D18" i="6" s="1"/>
  <c r="F14" i="6" a="1"/>
  <c r="F14" i="6" s="1"/>
  <c r="E14" i="6" a="1"/>
  <c r="E14" i="6" s="1"/>
  <c r="D14" i="6" a="1"/>
  <c r="D14" i="6" s="1"/>
  <c r="F13" i="6" a="1"/>
  <c r="F13" i="6" s="1"/>
  <c r="E13" i="6" a="1"/>
  <c r="E13" i="6" s="1"/>
  <c r="D13" i="6" a="1"/>
  <c r="D13" i="6" s="1"/>
  <c r="F12" i="6" a="1"/>
  <c r="F12" i="6" s="1"/>
  <c r="E12" i="6" a="1"/>
  <c r="E12" i="6" s="1"/>
  <c r="D12" i="6" a="1"/>
  <c r="D12" i="6" s="1"/>
  <c r="F11" i="6" a="1"/>
  <c r="F11" i="6" s="1"/>
  <c r="E11" i="6" a="1"/>
  <c r="E11" i="6" s="1"/>
  <c r="D11" i="6" a="1"/>
  <c r="D11" i="6" s="1"/>
  <c r="F10" i="6" a="1"/>
  <c r="F10" i="6" s="1"/>
  <c r="E10" i="6" a="1"/>
  <c r="E10" i="6" s="1"/>
  <c r="D10" i="6" a="1"/>
  <c r="D10" i="6" s="1"/>
  <c r="F9" i="6" a="1"/>
  <c r="F9" i="6" s="1"/>
  <c r="E9" i="6" a="1"/>
  <c r="E9" i="6" s="1"/>
  <c r="D9" i="6" a="1"/>
  <c r="D9" i="6" s="1"/>
  <c r="F8" i="6" a="1"/>
  <c r="F8" i="6" s="1"/>
  <c r="E8" i="6" a="1"/>
  <c r="E8" i="6" s="1"/>
  <c r="D8" i="6" a="1"/>
  <c r="D8" i="6" s="1"/>
  <c r="F7" i="6" a="1"/>
  <c r="F7" i="6" s="1"/>
  <c r="E7" i="6" a="1"/>
  <c r="E7" i="6" s="1"/>
  <c r="D7" i="6" a="1"/>
  <c r="D7" i="6" s="1"/>
  <c r="D5" i="6" a="1"/>
  <c r="D5" i="6" s="1"/>
  <c r="H50" i="6" l="1"/>
  <c r="H48" i="6"/>
  <c r="H52" i="6"/>
  <c r="H53" i="6"/>
  <c r="C16" i="4" l="1"/>
  <c r="C1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F89DCB-CD77-4E25-A615-F0CC75B80B15}" name="test-fullcam-even" type="4" refreshedVersion="0" background="1">
    <webPr xml="1" sourceData="1" url="C:\Users\PaulKotz\OneDrive - Zero Net Emissions from Agriculture CRC\Documents\test-fullcam-even.xml" htmlTables="1" htmlFormat="all"/>
  </connection>
  <connection id="2" xr16:uid="{19B58FF6-2624-4C55-B996-4F625FEA0F06}" name="test-fullcam-even1" type="4" refreshedVersion="0" background="1">
    <webPr xml="1" sourceData="1" url="C:\Users\PaulKotz\OneDrive - Zero Net Emissions from Agriculture CRC\Documents\test-fullcam-even.xml" htmlTables="1" htmlFormat="all"/>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<sst xmlns="http://schemas.openxmlformats.org/spreadsheetml/2006/main" count="98" uniqueCount="91">
  <si>
    <t>My cool thing</t>
  </si>
  <si>
    <t>FullCAM simulation results</t>
  </si>
  <si>
    <t>tonnes CO2</t>
  </si>
  <si>
    <t>Latitude</t>
  </si>
  <si>
    <t>Longitude</t>
  </si>
  <si>
    <t>Date planted</t>
  </si>
  <si>
    <t>Planting area in hectares</t>
  </si>
  <si>
    <t>Emissions calculation period start date</t>
  </si>
  <si>
    <t>Emissions calculation period end date</t>
  </si>
  <si>
    <t>Carbon captured per hectare</t>
  </si>
  <si>
    <t>tonnes CO2/hectare</t>
  </si>
  <si>
    <t>Total carbon captured</t>
  </si>
  <si>
    <t>Planting name</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</si>
  <si>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</si>
  <si>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</si>
  <si>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</si>
  <si>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</si>
  <si>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</si>
  <si>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</si>
  <si>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</si>
  <si>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</si>
  <si>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</si>
  <si>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</si>
  <si>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</si>
  <si>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</si>
  <si>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</si>
  <si>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</si>
  <si>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</si>
  <si>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</si>
  <si>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</si>
  <si>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</si>
  <si>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</si>
  <si>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</si>
  <si>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</si>
  <si>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</si>
  <si>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</si>
  <si>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</si>
  <si>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</si>
  <si>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</si>
  <si>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</si>
  <si>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</si>
  <si>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</si>
  <si>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</si>
  <si>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</si>
  <si>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</si>
  <si>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</si>
  <si>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</si>
  <si>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</si>
  <si>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</si>
  <si>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</si>
  <si>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</si>
  <si>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</si>
  <si>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</si>
  <si>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</si>
  <si>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</si>
  <si>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</si>
  <si>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</si>
  <si>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</si>
  <si>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</si>
  <si>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</si>
  <si>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</si>
  <si>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</si>
  <si>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</si>
  <si>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</si>
  <si>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</si>
  <si>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</si>
  <si>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</si>
  <si>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</si>
  <si>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</si>
  <si>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</si>
  <si>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</si>
  <si>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</si>
  <si>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</si>
  <si>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</si>
  <si>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</si>
  <si>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</si>
  <si>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</si>
  <si>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</si>
  <si>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</si>
  <si>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Data quality</t>
  </si>
  <si>
    <t>Input</t>
  </si>
  <si>
    <t>Temporal representativeness</t>
  </si>
  <si>
    <t>Spatial resolution</t>
  </si>
  <si>
    <t>Sample size</t>
  </si>
  <si>
    <t>Notes</t>
  </si>
  <si>
    <t>Evidence files</t>
  </si>
  <si>
    <t>Score</t>
  </si>
  <si>
    <t>Input name</t>
  </si>
  <si>
    <t>TR4</t>
  </si>
  <si>
    <t>SR5</t>
  </si>
  <si>
    <t>SS3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</si>
</sst>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C09]dd\-mmmm\-yyyy;@"/>
    <numFmt numFmtId="165" formatCode="d/mm/yyyy;@"/>
  </numFmts>
  <fonts count="18" x14ac:knownFonts="1">
    <font>
      <sz val="12"/>
      <color theme="1"/>
      <name val="Times New Roman"/>
      <family val="2"/>
    </font>
    <font>
      <b/>
      <sz val="12"/>
      <color theme="1"/>
      <name val="Times New Roman"/>
      <family val="1"/>
    </font>
    <font>
      <i/>
      <sz val="12"/>
      <color theme="1"/>
      <name val="Times New Roman"/>
      <family val="1"/>
    </font>
    <font>
      <b/>
      <sz val="18"/>
      <color theme="1"/>
      <name val="Times New Roman"/>
      <family val="1"/>
    </font>
    <font>
      <b/>
      <sz val="12"/>
      <color theme="1" tint="0.14999847407452621"/>
      <name val="Times New Roman"/>
      <family val="1"/>
    </font>
    <font>
      <sz val="12"/>
      <color theme="1" tint="0.14999847407452621"/>
      <name val="Times New Roman"/>
      <family val="1"/>
    </font>
    <font>
      <sz val="10"/>
      <color theme="1" tint="0.34998626667073579"/>
      <name val="Times New Roman"/>
      <family val="1"/>
    </font>
    <font>
      <b/>
      <sz val="20"/>
      <color rgb="FF183C1B"/>
      <name val="Times New Roman"/>
      <family val="1"/>
    </font>
    <font>
      <i/>
      <sz val="12"/>
      <color theme="1" tint="0.499984740745262"/>
      <name val="Times New Roman"/>
      <family val="1"/>
    </font>
    <font>
      <sz val="11"/>
      <color theme="1"/>
      <name val="Aptos Narrow"/>
      <family val="2"/>
      <scheme val="minor"/>
    </font>
    <font>
      <b/>
      <sz val="16"/>
      <color theme="0"/>
      <name val="Times New Roman"/>
      <family val="1"/>
    </font>
    <font>
      <sz val="12"/>
      <color theme="1" tint="0.24994659260841701"/>
      <name val="Times New Roman"/>
      <family val="1"/>
    </font>
    <font>
      <sz val="18"/>
      <color theme="1" tint="0.14996795556505021"/>
      <name val="Times New Roman"/>
      <family val="1"/>
    </font>
    <font>
      <sz val="12"/>
      <color rgb="FF008000"/>
      <name val="Times New Roman"/>
      <family val="1"/>
    </font>
    <font>
      <sz val="12"/>
      <color rgb="FFC44340"/>
      <name val="Times New Roman"/>
      <family val="1"/>
    </font>
    <font>
      <i/>
      <sz val="12"/>
      <color theme="1" tint="0.34998626667073579"/>
      <name val="Times New Roman"/>
      <family val="1"/>
    </font>
    <font>
      <b/>
      <sz val="20"/>
      <color rgb="FFCC6600"/>
      <name val="Times New Roman"/>
      <family val="1"/>
    </font>
    <font>
      <b/>
      <sz val="11"/>
      <color rgb="FF533001"/>
      <name val="Times New Roman"/>
      <family val="1"/>
    </font>
  </fonts>
  <fills count="7">
    <fill>
      <patternFill patternType="none"/>
    </fill>
    <fill>
      <patternFill patternType="gray125"/>
    </fill>
    <fill>
      <patternFill patternType="solid">
        <fgColor theme="0" tint="-4.9989318521683403E-2"/>
        <bgColor indexed="64"/>
      </patternFill>
    </fill>
    <fill>
      <patternFill patternType="solid">
        <fgColor rgb="FF183C1B"/>
        <bgColor indexed="64"/>
      </patternFill>
    </fill>
    <fill>
      <patternFill patternType="solid">
        <fgColor rgb="FF533001"/>
        <bgColor indexed="64"/>
      </patternFill>
    </fill>
    <fill>
      <patternFill patternType="solid">
        <fgColor rgb="FFFFCC66"/>
        <bgColor indexed="64"/>
      </patternFill>
    </fill>
    <fill>
      <gradientFill degree="90">
        <stop position="0">
          <color theme="0"/>
        </stop>
        <stop position="1">
          <color theme="0" tint="-5.0965910824915313E-2"/>
        </stop>
      </gradientFill>
    </fill>
  </fills>
  <borders count="2">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19">
    <xf numFmtId="0" fontId="0" fillId="0" borderId="0"/>
    <xf numFmtId="0" fontId="4" fillId="2" borderId="0">
      <alignment horizontal="left" vertical="center"/>
    </xf>
    <xf numFmtId="164" fontId="5" fillId="0" borderId="1">
      <alignment horizontal="center" vertical="center"/>
    </xf>
    <xf numFmtId="3" fontId="6" fillId="2" borderId="1">
      <alignment horizontal="center" vertical="center"/>
    </xf>
    <xf numFmtId="0" fontId="7" fillId="0" borderId="0"/>
    <xf numFmtId="0" fontId="8" fillId="0" borderId="0">
      <alignment vertical="center"/>
    </xf>
    <xf numFmtId="0" fontId="9" fillId="0" borderId="0"/>
    <xf numFmtId="0" fontId="10" fillId="3" borderId="0">
      <alignment vertical="center"/>
    </xf>
    <xf numFmtId="0" fontId="11" fillId="2" borderId="0">
      <alignment horizontal="left" vertical="center"/>
    </xf>
    <xf numFmtId="0" fontId="12" fillId="2" borderId="0">
      <alignment horizontal="left" vertical="center"/>
    </xf>
    <xf numFmtId="0" fontId="13" fillId="2" borderId="0">
      <alignment vertical="center"/>
    </xf>
    <xf numFmtId="0" fontId="14" fillId="2" borderId="0">
      <alignment horizontal="left" vertical="center"/>
    </xf>
    <xf numFmtId="0" fontId="15" fillId="2" borderId="0">
      <alignment horizontal="left" vertical="center"/>
    </xf>
    <xf numFmtId="0" fontId="16" fillId="0" borderId="0"/>
    <xf numFmtId="0" fontId="10" fillId="4" borderId="0">
      <alignment vertical="center"/>
    </xf>
    <xf numFmtId="0" fontId="17" fillId="5" borderId="0">
      <alignment horizontal="center" vertical="center"/>
      <protection locked="0"/>
    </xf>
    <xf numFmtId="0" fontId="5" fillId="0" borderId="1">
      <alignment horizontal="center" vertical="center"/>
    </xf>
    <xf numFmtId="0" fontId="4" fillId="6" borderId="1">
      <alignment horizontal="center" vertical="center"/>
    </xf>
    <xf numFmtId="0" fontId="6" fillId="2" borderId="1">
      <alignment horizontal="center" vertical="center"/>
    </xf>
  </cellStyleXfs>
  <cellXfs count="29">
    <xf numFmtId="0" fontId="0" fillId="0" borderId="0" xfId="0"/>
    <xf numFmtId="0" fontId="1" fillId="0" borderId="0" xfId="0" applyFont="1"/>
    <xf numFmtId="0" fontId="2" fillId="0" borderId="0" xfId="0" applyFont="1"/>
    <xf numFmtId="15" fontId="0" fillId="0" borderId="0" xfId="0" applyNumberFormat="1"/>
    <xf numFmtId="0" fontId="3" fillId="0" borderId="0" xfId="0" applyFont="1"/>
    <xf numFmtId="0" fontId="5" fillId="2" borderId="0" xfId="1" applyFont="1">
      <alignment horizontal="left" vertical="center"/>
    </xf>
    <xf numFmtId="164" fontId="5" fillId="0" borderId="1" xfId="2">
      <alignment horizontal="center" vertical="center"/>
    </xf>
    <xf numFmtId="165" fontId="6" fillId="2" borderId="1" xfId="3" applyNumberFormat="1">
      <alignment horizontal="center" vertical="center"/>
    </xf>
    <xf numFmtId="0" fontId="7" fillId="0" borderId="0" xfId="4"/>
    <xf numFmtId="0" fontId="8" fillId="0" borderId="0" xfId="5">
      <alignment vertical="center"/>
    </xf>
    <xf numFmtId="0" fontId="9" fillId="0" borderId="0" xfId="6"/>
    <xf numFmtId="0" fontId="4" fillId="0" borderId="0" xfId="1" applyFill="1">
      <alignment horizontal="left" vertical="center"/>
    </xf>
    <xf numFmtId="0" fontId="10" fillId="3" borderId="0" xfId="7">
      <alignment vertical="center"/>
    </xf>
    <xf numFmtId="0" fontId="10" fillId="0" borderId="0" xfId="7" applyFill="1">
      <alignment vertical="center"/>
    </xf>
    <xf numFmtId="0" fontId="4" fillId="2" borderId="0" xfId="1">
      <alignment horizontal="left" vertical="center"/>
    </xf>
    <xf numFmtId="0" fontId="11" fillId="2" borderId="0" xfId="8">
      <alignment horizontal="left" vertical="center"/>
    </xf>
    <xf numFmtId="0" fontId="12" fillId="2" borderId="0" xfId="9">
      <alignment horizontal="left" vertical="center"/>
    </xf>
    <xf numFmtId="0" fontId="0" fillId="0" borderId="0" xfId="8" applyFont="1" applyFill="1">
      <alignment horizontal="left" vertical="center"/>
    </xf>
    <xf numFmtId="0" fontId="13" fillId="2" borderId="0" xfId="10">
      <alignment vertical="center"/>
    </xf>
    <xf numFmtId="0" fontId="14" fillId="2" borderId="0" xfId="11">
      <alignment horizontal="left" vertical="center"/>
    </xf>
    <xf numFmtId="0" fontId="15" fillId="2" borderId="0" xfId="12">
      <alignment horizontal="left" vertical="center"/>
    </xf>
    <xf numFmtId="0" fontId="9" fillId="2" borderId="0" xfId="6" applyFill="1"/>
    <xf numFmtId="0" fontId="0" fillId="0" borderId="0" xfId="1" applyFont="1" applyFill="1">
      <alignment horizontal="left" vertical="center"/>
    </xf>
    <xf numFmtId="0" fontId="16" fillId="0" borderId="0" xfId="13"/>
    <xf numFmtId="0" fontId="10" fillId="4" borderId="0" xfId="14">
      <alignment vertical="center"/>
    </xf>
    <xf numFmtId="0" fontId="17" fillId="5" borderId="0" xfId="15">
      <alignment horizontal="center" vertical="center"/>
      <protection locked="0"/>
    </xf>
    <xf numFmtId="0" fontId="0" fillId="0" borderId="0" xfId="16" applyFont="1" applyBorder="1">
      <alignment horizontal="center" vertical="center"/>
    </xf>
    <xf numFmtId="0" fontId="4" fillId="6" borderId="1" xfId="17">
      <alignment horizontal="center" vertical="center"/>
    </xf>
    <xf numFmtId="0" fontId="6" fillId="2" borderId="1" xfId="18">
      <alignment horizontal="center" vertical="center"/>
    </xf>
  </cellXfs>
  <cellStyles count="19">
    <cellStyle name="Block heading" xfId="9" xr:uid="{6065A2C3-09F5-4515-87ED-A07ECE03B60A}"/>
    <cellStyle name="Content bold" xfId="1" xr:uid="{90EECC7A-90CF-4913-9525-0D57B2C3C25A}"/>
    <cellStyle name="Content normal" xfId="8" xr:uid="{7064D260-35DF-4E40-B005-5927849D5F2D}"/>
    <cellStyle name="Equation source" xfId="10" xr:uid="{A6980CD5-F033-4A4E-A310-20CA2DBA147C}"/>
    <cellStyle name="Information variation" xfId="11" xr:uid="{3DFDDBB8-017E-4A9E-BD36-920C2DA5EB07}"/>
    <cellStyle name="Input date" xfId="2" xr:uid="{2CBAF3EB-BBB3-44B0-B98B-27C0B711C4C8}"/>
    <cellStyle name="Input number general calculated" xfId="18" xr:uid="{17116EAE-73FE-4584-B1D1-DA7A2E1BE7F3}"/>
    <cellStyle name="Input number no decimals calculated" xfId="3" xr:uid="{3E2DE6DD-181A-4A3F-B39E-0927DF0A1DA2}"/>
    <cellStyle name="Input page heading" xfId="13" xr:uid="{1040356A-2362-4675-A6C2-D285FDE9B237}"/>
    <cellStyle name="Input page section heading" xfId="14" xr:uid="{B0C6AFFF-01F0-417A-921C-B83B5F6523C6}"/>
    <cellStyle name="Input select" xfId="17" xr:uid="{5330A20B-6680-4771-B4C8-C6ABDA2A591E}"/>
    <cellStyle name="Input table column header" xfId="15" xr:uid="{9C39E355-B94C-4E3D-B2C2-ACCB276438BC}"/>
    <cellStyle name="Input text" xfId="16" xr:uid="{5F26ED4A-B6DD-42BD-95D5-C01AC860788C}"/>
    <cellStyle name="Normal" xfId="0" builtinId="0"/>
    <cellStyle name="Normal 2" xfId="6" xr:uid="{EE6542E1-CDF9-4701-B44A-AABE5F401092}"/>
    <cellStyle name="Page heading" xfId="4" xr:uid="{5606267B-8272-44F0-B060-3CC8D7791322}"/>
    <cellStyle name="Page section heading" xfId="7" xr:uid="{0C5541E1-B1FC-4A0E-9019-EAF0F6D84C6B}"/>
    <cellStyle name="Page source" xfId="5" xr:uid="{BDB1E337-77B0-445D-A39B-72CE8D02F2A9}"/>
    <cellStyle name="Unit no indent" xfId="12" xr:uid="{1E2A3F46-D52F-45EA-B250-19AA59D3DC20}"/>
  </cellStyles>
  <dxfs count="48">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b val="0"/>
        <i val="0"/>
        <strike val="0"/>
        <condense val="0"/>
        <extend val="0"/>
        <outline val="0"/>
        <shadow val="0"/>
        <u val="none"/>
        <vertAlign val="baseline"/>
        <sz val="11"/>
        <color theme="1"/>
        <name val="Aptos Narrow"/>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s>
  <tableStyles count="2" defaultTableStyle="TableStyleMedium2" defaultPivotStyle="PivotStyleLight16">
    <tableStyle name="Editable table" pivot="0" count="6" xr9:uid="{BB0715A8-E541-48D6-9C7A-67E469073C29}">
      <tableStyleElement type="wholeTable" dxfId="5"/>
      <tableStyleElement type="headerRow" dxfId="4"/>
      <tableStyleElement type="totalRow" dxfId="3"/>
      <tableStyleElement type="firstColumn" dxfId="2"/>
      <tableStyleElement type="firstRowStripe" dxfId="1"/>
      <tableStyleElement type="secondRowStripe" dxfId="0"/>
    </tableStyle>
    <tableStyle name="Equation table" pivot="0" count="6" xr9:uid="{F81B4736-567E-441A-AD84-F5C27A32236A}">
      <tableStyleElement type="wholeTable" dxfId="47"/>
      <tableStyleElement type="headerRow" dxfId="46"/>
      <tableStyleElement type="totalRow" dxfId="45"/>
      <tableStyleElement type="firstColumn" dxfId="44"/>
      <tableStyleElement type="firstRowStripe" dxfId="43"/>
      <tableStyleElement type="secondRowStripe" dxfId="4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connections" Target="connections.xml"/><Relationship Id="rId12" Type="http://schemas.microsoft.com/office/2017/06/relationships/rdRichValue" Target="richData/rdrichvalue.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22/10/relationships/richValueRel" Target="richData/richValueRel.xml"/><Relationship Id="rId5" Type="http://schemas.openxmlformats.org/officeDocument/2006/relationships/externalLink" Target="externalLinks/externalLink2.xml"/><Relationship Id="rId15" Type="http://schemas.openxmlformats.org/officeDocument/2006/relationships/calcChain" Target="calcChain.xml"/><Relationship Id="rId10" Type="http://schemas.openxmlformats.org/officeDocument/2006/relationships/sheetMetadata" Target="metadata.xml"/><Relationship Id="rId19" Type="http://schemas.openxmlformats.org/officeDocument/2006/relationships/customXml" Target="../customXml/item4.xml"/><Relationship Id="rId4" Type="http://schemas.openxmlformats.org/officeDocument/2006/relationships/externalLink" Target="externalLinks/externalLink1.xml"/><Relationship Id="rId9" Type="http://schemas.openxmlformats.org/officeDocument/2006/relationships/sharedStrings" Target="sharedStrings.xml"/><Relationship Id="rId14"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Common_v03.xlsx" TargetMode="External"/><Relationship Id="rId2" Type="http://schemas.openxmlformats.org/officeDocument/2006/relationships/externalLinkPath" Target="file:///C:\htdocs\zneagcrc\GAF-VEERG-Functions\Excel\Common_v03.xlsx" TargetMode="External"/><Relationship Id="rId1" Type="http://schemas.openxmlformats.org/officeDocument/2006/relationships/externalLinkPath" Target="/htdocs/zneagcrc/GAF-VEERG-Functions/Excel/Common_v0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htdocs\zneagcrc\GAF-VEERG-Functions\Excel\Enterprises\Enterprise_CroppingGrains_Template_WIP_v01.xlsx" TargetMode="External"/><Relationship Id="rId1" Type="http://schemas.openxmlformats.org/officeDocument/2006/relationships/externalLinkPath" Target="Enterprise_CroppingGrains_Template_WIP_v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me"/>
      <sheetName val="Input - Data quality"/>
      <sheetName val="Constants - Common"/>
      <sheetName val="Acknowledgements"/>
    </sheetNames>
    <sheetDataSet>
      <sheetData sheetId="0"/>
      <sheetData sheetId="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ome"/>
      <sheetName val="Results"/>
      <sheetName val="Input - Site"/>
      <sheetName val="Input - Enterprise"/>
      <sheetName val="Input - Fert Prod System"/>
      <sheetName val="Input - Data quality"/>
      <sheetName val="Constants - Common"/>
    </sheetNames>
    <sheetDataSet>
      <sheetData sheetId="0"/>
      <sheetData sheetId="1">
        <row r="25">
          <cell r="H25" t="e">
            <v>#NAME?</v>
          </cell>
          <cell r="I25" t="e">
            <v>#NAME?</v>
          </cell>
        </row>
        <row r="39">
          <cell r="E39" t="e">
            <v>#NAME?</v>
          </cell>
          <cell r="F39" t="e">
            <v>#NAME?</v>
          </cell>
        </row>
        <row r="50">
          <cell r="E50">
            <v>0</v>
          </cell>
        </row>
        <row r="56">
          <cell r="E56" t="e">
            <v>#NAME?</v>
          </cell>
          <cell r="F56" t="e">
            <v>#NAME?</v>
          </cell>
        </row>
      </sheetData>
      <sheetData sheetId="2"/>
      <sheetData sheetId="3">
        <row r="12">
          <cell r="E12">
            <v>45658</v>
          </cell>
        </row>
        <row r="18">
          <cell r="E18">
            <v>45962</v>
          </cell>
        </row>
        <row r="19">
          <cell r="E19">
            <v>46112</v>
          </cell>
        </row>
        <row r="32">
          <cell r="E32">
            <v>0.8</v>
          </cell>
        </row>
      </sheetData>
      <sheetData sheetId="4"/>
      <sheetData sheetId="5"/>
      <sheetData sheetId="6"/>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C4E1D2F-185E-4B56-9A04-9422B9FAEAAE}" name="Table_Input_DataQuality" displayName="Table_Input_DataQuality" ref="D6:J7" totalsRowShown="0" headerRowCellStyle="Input table column header">
  <autoFilter ref="D6:J7" xr:uid="{13023411-FAD9-40B6-9366-7826422CBF8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A5B16F9-8C3A-4E71-8E75-E40E63477857}" name="Input"/>
    <tableColumn id="2" xr3:uid="{B36C3A6D-5D2A-411F-8FDF-551B0F91C2B2}" name="Temporal representativeness" dataCellStyle="Input select"/>
    <tableColumn id="3" xr3:uid="{A6FBA595-4E78-4D43-B95A-D7307772AFEE}" name="Spatial resolution" dataCellStyle="Input select"/>
    <tableColumn id="4" xr3:uid="{A2F061E9-0C51-48C7-A233-819FE284ECD7}" name="Sample size" dataCellStyle="Input select"/>
    <tableColumn id="5" xr3:uid="{2E8B5CE6-9BDF-4858-A2F6-C5AE1E37112E}" name="Notes"/>
    <tableColumn id="6" xr3:uid="{4EADE9A3-44EC-401C-9228-5E041AD07075}" name="Evidence files"/>
    <tableColumn id="7" xr3:uid="{B03E4480-1618-4C18-9AFD-9C12B3203028}" name="Score" dataCellStyle="Input number general calculated">
      <calculatedColumnFormula>_xlfn.XLOOKUP(Table_Input_DataQuality[[#This Row],[Temporal representativeness]],[1]!Table_SourceData_DataQuality_TemporalRepresentativeness[ID],[1]!Table_SourceData_DataQuality_TemporalRepresentativeness[Score])+_xlfn.XLOOKUP(Table_Input_DataQuality[[#This Row],[Spatial resolution]],[1]!Table_SourceData_DataQuality_SpatialRepresentativeness[ID],[1]!Table_SourceData_DataQuality_SpatialRepresentativeness[Score])+_xlfn.XLOOKUP(Table_Input_DataQuality[[#This Row],[Sample size]],[1]!Table_SourceData_DataQuality_SampleSize[ID],[1]!Table_SourceData_DataQuality_SampleSize[Score])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EAE884-E3AA-4C6F-B76F-5EC80216329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C2ED6E-9CC3-451B-BB51-1CF60EA95BE7}" name="State/Territory">
      <calculatedColumnFormula array="1">Common_InputFunctions.Utility_DisplayArrayInTable(Common_SourceData.Common_SourceData_AustralianStatesTerritories_Data(),Table_AustralianStates[[#Headers],[State/Territory]],0)</calculatedColumnFormula>
    </tableColumn>
    <tableColumn id="2" xr3:uid="{69FDD198-8517-445D-B48E-3D2F8192DDD6}" name="Common Name">
      <calculatedColumnFormula array="1">Common_InputFunctions.Utility_DisplayArrayInTable(Common_SourceData.Common_SourceData_AustralianStatesTerritories_Data(),Table_AustralianStates[[#Headers],[State/Territory]],0)</calculatedColumnFormula>
    </tableColumn>
    <tableColumn id="3" xr3:uid="{CC167379-513B-4F97-B5CC-453590524E9E}"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E528ABB-A26F-400A-BD77-8DD10E99203E}" name="Table_WASA4Areas" displayName="Table_WASA4Areas" ref="D20:D30" totalsRowShown="0">
  <autoFilter ref="D20:D30" xr:uid="{5FA81339-C6C8-4D36-BEEA-6C4AEDD9E676}">
    <filterColumn colId="0" hiddenButton="1"/>
  </autoFilter>
  <tableColumns count="1">
    <tableColumn id="1" xr3:uid="{2AF04A24-C2E5-40D4-A44B-0AD492D10AAC}"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4E352C-0731-4A89-995E-0577E0F81CAC}" name="Table_GWPData" displayName="Table_GWPData" ref="D36:E43" totalsRowShown="0">
  <autoFilter ref="D36:E43" xr:uid="{B8E87A66-3E41-4AD3-925D-01EE21B43D7A}">
    <filterColumn colId="0" hiddenButton="1"/>
    <filterColumn colId="1" hiddenButton="1"/>
  </autoFilter>
  <tableColumns count="2">
    <tableColumn id="1" xr3:uid="{C1590E77-49BB-4F5F-A3E4-8D21445CC724}" name="Gas">
      <calculatedColumnFormula array="1">Common_InputFunctions.Utility_DisplayArrayInTable(Common_SourceData.Common_SourceData_GWP_Data(), Table_GWPData[[#Headers],[Gas]], 0)</calculatedColumnFormula>
    </tableColumn>
    <tableColumn id="2" xr3:uid="{8424FE5B-0604-45C7-8E88-6E3915DB6C5E}"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E783B8-6109-4CA2-8525-8E3ACAC4A2E2}"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76DDD46-7EB4-4141-ABC3-B1C9EA1E33AC}" name="Gas">
      <calculatedColumnFormula array="1">Common_InputFunctions.Utility_DisplayArrayInTable(Common_SourceData.Common_SourceData_ConvertGasElementalToMolecular_Data(),Table_GasToMolecularConversionFactor[[#Headers],[Gas]], 0)</calculatedColumnFormula>
    </tableColumn>
    <tableColumn id="5" xr3:uid="{641E9CD4-4DD0-4391-A5D8-16A02AA9505D}" name="Conversion factor">
      <calculatedColumnFormula array="1">Common_InputFunctions.Utility_DisplayArrayInTable(Common_SourceData.Common_SourceData_ConvertGasElementalToMolecular_Data(),Table_GasToMolecularConversionFactor[[#Headers],[Gas]], 0)</calculatedColumnFormula>
    </tableColumn>
    <tableColumn id="2" xr3:uid="{6B5D2251-1C02-432C-B625-2A8A6A7B78CC}" name="Conversion factor 1">
      <calculatedColumnFormula array="1">Common_InputFunctions.Utility_DisplayArrayInTable(Common_SourceData.Common_SourceData_ConvertGasElementalToMolecular_Data(),Table_GasToMolecularConversionFactor[[#Headers],[Gas]], 0)</calculatedColumnFormula>
    </tableColumn>
    <tableColumn id="3" xr3:uid="{33221A81-0123-4115-A3DB-31A52379BDD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EC055F7-3C62-4999-8761-A614D18A220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0AAAA7-F92F-42F5-85EE-5E3F3264F356}"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B14D34F-47D9-4E7B-8F67-CFF2BA3972F3}"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3D79397-427F-4BDD-85F7-C446814C4630}" name="MAT"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3" xr3:uid="{513FFB98-589A-4C52-B02E-C13C07167123}" name="MAP"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4" xr3:uid="{851B3A05-D860-4BC9-8FF0-AA7455D1A0B6}" name="Frost days per year"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5" xr3:uid="{111DCB69-2E86-452A-B93A-BB116EFF4325}" name="Elevation"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6" xr3:uid="{EC9B3EBF-3D45-47C7-A0FC-3AAAB728216D}" name="MAP:PET"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7" xr3:uid="{DEE780F3-8FFA-489F-8BF5-29BB91E9B886}" name="Min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8" xr3:uid="{B796F2C1-4462-489B-B059-A97C3CB09E44}" name="Max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9" xr3:uid="{77FF4CA7-BCFB-4B5C-BCB0-CB746D9404FB}" name="Min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0" xr3:uid="{70480799-57AD-475D-8EFB-ECBA87036E18}" name="Max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1" xr3:uid="{F20E603D-FAAB-4E85-8158-CCCAEF0C348A}" name="Min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5" xr3:uid="{1CA64B37-B900-4123-9FA9-9F8F3122E9E6}" name="Max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2" xr3:uid="{7C463F98-D060-4671-AAED-63888110DC70}" name="Min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6" xr3:uid="{DDE870B0-2FB3-449F-A8E3-315A6DD8565C}" name="Max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3" xr3:uid="{B5E2ADB7-D4D8-4A56-B4DC-C29288E8C038}" name="Min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7" xr3:uid="{05917C51-1048-4C05-B02E-F19C0EBAB3ED}" name="Max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669204B-D068-44A2-9480-8A66165B3EAE}"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C09B5C83-2A18-415A-8927-96C97C2B88AA}"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EC38C61-E15D-47AA-A64C-8434A7A2E790}" name="Wet or Dry Zone" totalsRowDxfId="2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CFAC30E-767E-441C-9CAB-02CF9F402801}"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3D3FC7A5-5655-47CF-8CEA-D7AA25457E23}" name="Temperature Zone">
      <calculatedColumnFormula array="1">Common_InputFunctions.Utility_DisplayArrayInTable(Common_SourceData.Common_SourceData_TemperatureZones_Data(),Table_SourceData_TemperatureZones[[#Headers],[Temperature Zone]],0)</calculatedColumnFormula>
    </tableColumn>
    <tableColumn id="2" xr3:uid="{8EB813D0-7500-4271-8891-9B47195294BE}" name="MAT">
      <calculatedColumnFormula array="1">Common_InputFunctions.Utility_DisplayArrayInTable(Common_SourceData.Common_SourceData_TemperatureZones_Data(),Table_SourceData_TemperatureZones[[#Headers],[Temperature Zone]],0)</calculatedColumnFormula>
    </tableColumn>
    <tableColumn id="3" xr3:uid="{F6C5B6B9-2851-4A79-9DA4-B963F74F1A73}" name="Min MAT">
      <calculatedColumnFormula array="1">Common_InputFunctions.Utility_DisplayArrayInTable(Common_SourceData.Common_SourceData_TemperatureZones_Data(),Table_SourceData_TemperatureZones[[#Headers],[Temperature Zone]],0)</calculatedColumnFormula>
    </tableColumn>
    <tableColumn id="4" xr3:uid="{16E5C636-186F-4127-9D67-5061CE148DA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B53211D-6A46-4AAE-B337-B836933DB48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2788624-E238-4310-9AA8-0A882B964680}" name="Rainfall Zone">
      <calculatedColumnFormula array="1">Common_InputFunctions.Utility_DisplayArrayInTable(Common_SourceData.Common_SourceData_RainfallZones_Data(),Table_SourceData_RainfallZones[[#Headers],[Rainfall Zone]],0)</calculatedColumnFormula>
    </tableColumn>
    <tableColumn id="2" xr3:uid="{59BA997A-F6DC-4009-8461-7AB550228F23}" name="Annual rainfall">
      <calculatedColumnFormula array="1">Common_InputFunctions.Utility_DisplayArrayInTable(Common_SourceData.Common_SourceData_RainfallZones_Data(),Table_SourceData_RainfallZones[[#Headers],[Rainfall Zone]],0)</calculatedColumnFormula>
    </tableColumn>
    <tableColumn id="3" xr3:uid="{DB9C46E3-D112-4861-BD27-D94C521ECF35}" name="Min rainfall">
      <calculatedColumnFormula array="1">Common_InputFunctions.Utility_DisplayArrayInTable(Common_SourceData.Common_SourceData_RainfallZones_Data(),Table_SourceData_RainfallZones[[#Headers],[Rainfall Zone]],0)</calculatedColumnFormula>
    </tableColumn>
    <tableColumn id="4" xr3:uid="{0051EE80-A4A4-414E-9CC7-9F2ED58BBBD9}"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FD8A0E-B27E-43DA-A0E4-918FC747A35D}"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8F7E89B4-998D-4DCC-8DB5-EE50FBC9044D}" name="Leaching Zone">
      <calculatedColumnFormula array="1">Common_InputFunctions.Utility_DisplayArrayInTable(Common_SourceData.Common_SourceData_LeachingZones_Data(), Table_SourceData_LeachingZones[[#Headers],[Leaching Zone]], 0)</calculatedColumnFormula>
    </tableColumn>
    <tableColumn id="2" xr3:uid="{7E282AA3-2A6C-4BC2-9C13-583E49B8159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2F8945C-3C7F-437A-87E1-5C474CC552C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E4570706-FF58-499B-9757-DAC9AEA9472D}" name="Data source">
      <calculatedColumnFormula array="1">Common_InputFunctions.Utility_DisplayArrayInTable(Common_SourceData.Common_SourceData_DataScores_Scope3_Data(), Table_SourceData_DataScores_Scope3[[#Headers],[Data source]], 0)</calculatedColumnFormula>
    </tableColumn>
    <tableColumn id="2" xr3:uid="{0C9173D1-10D3-47AC-854D-32275B22BBC9}"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60C9BB3-289E-4BF9-963B-D9E831D692A7}" name="Table_SourceData_FracWET" displayName="Table_SourceData_FracWET" ref="D134:E136" totalsRowShown="0">
  <autoFilter ref="D134:E136" xr:uid="{308E99BE-FE1F-47A4-B2CA-97217277C4E9}">
    <filterColumn colId="0" hiddenButton="1"/>
    <filterColumn colId="1" hiddenButton="1"/>
  </autoFilter>
  <tableColumns count="2">
    <tableColumn id="1" xr3:uid="{A4F762A8-F9FE-4D0C-B506-D39355F3E495}" name="Is in leaching zone">
      <calculatedColumnFormula array="1">Common_InputFunctions.Utility_DisplayArrayInTable(Common_SourceData.Common_SourceData_FracWET_Data(),Table_SourceData_FracWET[[#Headers],[Is in leaching zone]],0)</calculatedColumnFormula>
    </tableColumn>
    <tableColumn id="2" xr3:uid="{08DE5D95-83C8-45AD-A4FC-3CBFDBE7F607}" name="FracWET" dataDxfId="2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E823136-6F0B-4559-B2A4-73793AFF37C3}"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79DC45A-3E8A-4E6F-9D5A-066EBCA06C9A}" name="Production system j">
      <calculatedColumnFormula array="1">Common_InputFunctions.Utility_DisplayArrayInTable(Common_SourceData.Common_SourceData_EFN2O_Data(), Table_SourceData_Common_EFN2O[[#Headers],[Production system j]], 0)</calculatedColumnFormula>
    </tableColumn>
    <tableColumn id="2" xr3:uid="{3227515F-0DDB-4F5E-B078-58944E063222}" name="EFN2O">
      <calculatedColumnFormula array="1">Common_InputFunctions.Utility_DisplayArrayInTable(Common_SourceData.Common_SourceData_EFN2O_Data(), Table_SourceData_Common_EFN2O[[#Headers],[Production system j]], 0)</calculatedColumnFormula>
    </tableColumn>
    <tableColumn id="3" xr3:uid="{33D91403-C1B8-4D05-A289-E972F6D24634}" name="Production system only">
      <calculatedColumnFormula array="1">Common_InputFunctions.Utility_DisplayArrayInTable(Common_SourceData.Common_SourceData_EFN2O_Data(), Table_SourceData_Common_EFN2O[[#Headers],[Production system j]], 0)</calculatedColumnFormula>
    </tableColumn>
    <tableColumn id="4" xr3:uid="{000DD2E9-BE34-4016-A428-5BEDC873739E}" name="Irrigation method">
      <calculatedColumnFormula array="1">Common_InputFunctions.Utility_DisplayArrayInTable(Common_SourceData.Common_SourceData_EFN2O_Data(), Table_SourceData_Common_EFN2O[[#Headers],[Production system j]], 0)</calculatedColumnFormula>
    </tableColumn>
    <tableColumn id="5" xr3:uid="{324279FF-D528-4AF4-A897-6548792A41E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B9FD9DD-AB9D-419C-B101-1DFD2665471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76B8E07-1FA0-4614-BF71-C5ADE4FC4D02}" name="Irrigation type i">
      <calculatedColumnFormula array="1">Common_InputFunctions.Utility_DisplayArrayInTable(Common_SourceData.Common_SourceData_FracWETIrrigation_Data(), Table_SourceData_FracWETIrrigation[[#Headers],[Irrigation type i]], 0)</calculatedColumnFormula>
    </tableColumn>
    <tableColumn id="2" xr3:uid="{33A601DF-5E41-4B94-967E-5711C13EF63D}" name="FracWET" dataDxfId="2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650C529-FB9D-496B-B75E-3D6D5558113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84ACFDA4-3026-4858-A46B-0DB6786BAA5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2AE5D7-1B82-415D-B7E3-8CD68118CDA7}" name="EFPRP" dataDxfId="2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57B77BB-B850-4F16-B437-1DFD53F55C30}"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8AA1117-3BD9-46E8-8AE1-FED06E15DCD7}" name="Month">
      <calculatedColumnFormula array="1">Common_InputFunctions.Utility_DisplayArrayInTable(Common_SourceData.Common_SourceData_MonthsToSeasons_Data(), Table_SourceData_Common_MonthToSeason[[#Headers],[Month]], 0)</calculatedColumnFormula>
    </tableColumn>
    <tableColumn id="2" xr3:uid="{0AEA01EE-06E5-4002-B0B9-07CF152E1D88}" name="Season" dataDxfId="2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5F7AFF8-F888-4630-83A1-BA07EB5F355F}"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83A96DA-8175-4325-80E8-F0902733D255}"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CB521F23-7709-409E-8457-124973047788}" name="MAT (ºC)"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4CFF46D-BCB9-4346-82D8-732B9774B020}" name="Anaerobic lagoon"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C02EB56-DF2A-4DBF-89DB-C60136C41B78}" name="Digester / covered lagoon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A7C14051-C9CF-4AD7-B568-62D0DA4C6C88}" name="Liquid system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9BFB0B87-AF73-4199-A0F4-249625F3E94A}" name="Daily spread"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B4CC1F9-79F9-4225-A482-8D9F2B38607D}" name="Composting (passive windrow)"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67915E4-55C4-4DFE-AC34-7FEF63096ABF}" name="Solid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6A9FA80-890E-4119-B8C6-80060AFA757D}" name="Pit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1E464C9-BB3C-4349-80E5-E040EEFC92D3}" name="Deep litter"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510F327-7673-48CD-949B-4E2593CC88C7}" name="Poultry manure with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ED0BB92-704A-4D5B-915E-B535AA23FFE9}" name="Poultry manure without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7F6B929D-02BF-42F7-A9BF-ECD48D8B5D37}" name="Direct process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29A2829-745F-4D05-93C4-6FD42C67E6D4}" name="Direct application"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4827D74-DE91-4D54-93AF-24C63D8E5FA6}" name="Pasture range and paddock"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A855CCC3-ABEA-4445-8B01-8ED0F1FCCB98}" name="MAT raw"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B3A5C90-13B8-4E18-8FA4-BB68BDBCA5BE}"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77A1EB56-28D9-467A-AF37-B37086F57087}"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AF01B99A-E2BB-4F5D-82E2-8C5B51CF74AF}" name="EFNi &amp; EFN2Oi" dataDxfId="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AF0985D-D7F1-471F-BE9B-96EB85DEE4F5}">
  <we:reference id="WA200003696" version="1.3.0.0" store="Omex" storeType="OMEX"/>
  <we:alternateReferences>
    <we:reference id="WA200003696" version="1.3.0.0" store="WA200003696" storeType="OMEX"/>
  </we:alternateReferences>
  <we:properties>
    <we:property name="projectV0_1-56c6e055-265e-4713-816e-a646dbb708de" value="{&quot;kind&quot;:&quot;AFEJSONBlobNode&quot;,&quot;id&quot;:&quot;{CDB3165D-9942-4FD4-A356-0CB3EECA2EBA}&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printerSettings" Target="../printerSettings/printerSettings1.bin"/><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A2BE2-6618-4872-A066-84342C0AF67F}">
  <dimension ref="B3:D16"/>
  <sheetViews>
    <sheetView workbookViewId="0">
      <selection activeCell="C16" sqref="C16"/>
    </sheetView>
  </sheetViews>
  <sheetFormatPr defaultRowHeight="15.75" x14ac:dyDescent="0.25"/>
  <cols>
    <col min="1" max="1" width="28.25" customWidth="1"/>
    <col min="2" max="2" width="41.75" style="1" customWidth="1"/>
    <col min="3" max="3" width="39.75" customWidth="1"/>
    <col min="4" max="4" width="22.25" customWidth="1"/>
    <col min="5" max="5" width="30.25" customWidth="1"/>
  </cols>
  <sheetData>
    <row r="3" spans="2:4" x14ac:dyDescent="0.25">
      <c r="B3" s="1" t="s">
        <v>3</v>
      </c>
      <c r="C3">
        <v>-33.8688</v>
      </c>
    </row>
    <row r="4" spans="2:4" x14ac:dyDescent="0.25">
      <c r="B4" s="1" t="s">
        <v>4</v>
      </c>
      <c r="C4">
        <v>151.20930000000001</v>
      </c>
    </row>
    <row r="5" spans="2:4" x14ac:dyDescent="0.25">
      <c r="B5" s="1" t="s">
        <v>5</v>
      </c>
      <c r="C5" s="3">
        <v>43831</v>
      </c>
    </row>
    <row r="6" spans="2:4" x14ac:dyDescent="0.25">
      <c r="B6" s="1" t="s">
        <v>12</v>
      </c>
      <c r="C6" t="s">
        <v>0</v>
      </c>
    </row>
    <row r="8" spans="2:4" x14ac:dyDescent="0.25">
      <c r="B8" s="1" t="s">
        <v>6</v>
      </c>
      <c r="C8">
        <v>100</v>
      </c>
    </row>
    <row r="11" spans="2:4" x14ac:dyDescent="0.25">
      <c r="B11" s="5" t="s">
        <v>7</v>
      </c>
      <c r="C11" s="6">
        <v>45292</v>
      </c>
    </row>
    <row r="12" spans="2:4" x14ac:dyDescent="0.25">
      <c r="B12" s="5" t="s">
        <v>8</v>
      </c>
      <c r="C12" s="7">
        <f>DATE(YEAR(C11)+1,MONTH(C11),DAY(C11))-1</f>
        <v>45657</v>
      </c>
    </row>
    <row r="14" spans="2:4" ht="22.5" x14ac:dyDescent="0.3">
      <c r="B14" s="4" t="s">
        <v>1</v>
      </c>
    </row>
    <row r="15" spans="2:4" x14ac:dyDescent="0.25">
      <c r="B15" s="1" t="s">
        <v>9</v>
      </c>
      <c r="C15">
        <v>123</v>
      </c>
      <c r="D15" s="2" t="s">
        <v>10</v>
      </c>
    </row>
    <row r="16" spans="2:4" x14ac:dyDescent="0.25">
      <c r="B16" s="1" t="s">
        <v>11</v>
      </c>
      <c r="C16">
        <f>C8*X_Result_Planting_CarbonCapturedPerHectare</f>
        <v>12300</v>
      </c>
      <c r="D16" s="2"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0AF6D-9069-486F-86F8-B38023044376}">
  <sheetPr>
    <tabColor rgb="FFCC6600"/>
  </sheetPr>
  <dimension ref="C1:M7"/>
  <sheetViews>
    <sheetView showGridLines="0" tabSelected="1" workbookViewId="0">
      <selection activeCell="I18" sqref="I18"/>
    </sheetView>
  </sheetViews>
  <sheetFormatPr defaultRowHeight="15.75" x14ac:dyDescent="0.25"/>
  <cols>
    <col min="1" max="1" width="26.875" style="10" customWidth="1"/>
    <col min="2" max="2" width="4.125" style="10" customWidth="1"/>
    <col min="3" max="3" width="4.125" style="15" customWidth="1"/>
    <col min="4" max="4" width="42.875" style="15" customWidth="1"/>
    <col min="5" max="7" width="26.875" style="15" customWidth="1"/>
    <col min="8" max="8" width="88.625" style="15" customWidth="1"/>
    <col min="9" max="9" width="65.25" style="15" customWidth="1"/>
    <col min="10" max="13" width="26.875" style="15" customWidth="1"/>
    <col min="14" max="14" width="26.875" style="10" customWidth="1"/>
    <col min="15" max="16384" width="9" style="10"/>
  </cols>
  <sheetData>
    <row r="1" spans="3:13" s="23" customFormat="1" ht="25.5" x14ac:dyDescent="0.35">
      <c r="C1" s="23" t="s">
        <v>79</v>
      </c>
    </row>
    <row r="2" spans="3:13" s="9" customFormat="1" x14ac:dyDescent="0.25"/>
    <row r="3" spans="3:13" ht="20.25" x14ac:dyDescent="0.25">
      <c r="C3" s="24"/>
      <c r="D3" s="24"/>
      <c r="E3" s="24"/>
      <c r="F3" s="24"/>
      <c r="G3" s="24"/>
      <c r="H3" s="24"/>
      <c r="I3" s="24"/>
      <c r="J3" s="24"/>
      <c r="K3" s="24"/>
      <c r="L3" s="24"/>
      <c r="M3" s="24"/>
    </row>
    <row r="6" spans="3:13" x14ac:dyDescent="0.25">
      <c r="D6" s="25" t="s">
        <v>80</v>
      </c>
      <c r="E6" s="25" t="s">
        <v>81</v>
      </c>
      <c r="F6" s="25" t="s">
        <v>82</v>
      </c>
      <c r="G6" s="25" t="s">
        <v>83</v>
      </c>
      <c r="H6" s="25" t="s">
        <v>84</v>
      </c>
      <c r="I6" s="25" t="s">
        <v>85</v>
      </c>
      <c r="J6" s="25" t="s">
        <v>86</v>
      </c>
    </row>
    <row r="7" spans="3:13" x14ac:dyDescent="0.25">
      <c r="D7" s="26" t="s">
        <v>87</v>
      </c>
      <c r="E7" s="27" t="s">
        <v>88</v>
      </c>
      <c r="F7" s="27" t="s">
        <v>89</v>
      </c>
      <c r="G7" s="27" t="s">
        <v>90</v>
      </c>
      <c r="H7" s="26"/>
      <c r="I7" s="26"/>
      <c r="J7" s="28">
        <f>_xlfn.XLOOKUP(Table_Input_DataQuality[[#This Row],[Temporal representativeness]],[1]!Table_SourceData_DataQuality_TemporalRepresentativeness[ID],[1]!Table_SourceData_DataQuality_TemporalRepresentativeness[Score])+_xlfn.XLOOKUP(Table_Input_DataQuality[[#This Row],[Spatial resolution]],[1]!Table_SourceData_DataQuality_SpatialRepresentativeness[ID],[1]!Table_SourceData_DataQuality_SpatialRepresentativeness[Score])+_xlfn.XLOOKUP(Table_Input_DataQuality[[#This Row],[Sample size]],[1]!Table_SourceData_DataQuality_SampleSize[ID],[1]!Table_SourceData_DataQuality_SampleSize[Score])</f>
        <v>12</v>
      </c>
    </row>
  </sheetData>
  <dataValidations count="3">
    <dataValidation type="list" allowBlank="1" showInputMessage="1" showErrorMessage="1" sqref="G7" xr:uid="{55B06BCC-92EE-40E9-96B5-52BD30A8679E}">
      <formula1>INDIRECT("Table_SourceData_DataQuality_SampleSize[ID]")</formula1>
    </dataValidation>
    <dataValidation type="list" allowBlank="1" showInputMessage="1" showErrorMessage="1" sqref="F7" xr:uid="{31066E02-D9AC-4AF9-AA7B-2A1D321E9C14}">
      <formula1>INDIRECT("Table_SourceData_DataQuality_SpatialRepresentativeness[ID]")</formula1>
    </dataValidation>
    <dataValidation type="list" allowBlank="1" showInputMessage="1" showErrorMessage="1" sqref="E7" xr:uid="{D7E1FE23-F157-4ED2-B848-454A8FC55D46}">
      <formula1>INDIRECT("Table_SourceData_DataQuality_TemporalRepresentativeness[ID]")</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8088-0800-4A2B-8100-637E09B303F8}">
  <dimension ref="A1:BY259"/>
  <sheetViews>
    <sheetView showGridLines="0" topLeftCell="A77" zoomScale="85" zoomScaleNormal="85" workbookViewId="0">
      <selection activeCell="F95" sqref="F95"/>
    </sheetView>
  </sheetViews>
  <sheetFormatPr defaultColWidth="8" defaultRowHeight="15.75" x14ac:dyDescent="0.25"/>
  <cols>
    <col min="1" max="1" width="26.875" style="11" customWidth="1"/>
    <col min="2" max="2" width="2.375" style="11" customWidth="1"/>
    <col min="3" max="3" width="4.125" style="15" customWidth="1"/>
    <col min="4" max="4" width="42" style="15" customWidth="1"/>
    <col min="5" max="6" width="18.125" style="15" customWidth="1"/>
    <col min="7" max="7" width="26.5" style="15" customWidth="1"/>
    <col min="8" max="9" width="18.125" style="15" customWidth="1"/>
    <col min="10" max="10" width="30" style="15" customWidth="1"/>
    <col min="11" max="13" width="18.125" style="15" customWidth="1"/>
    <col min="14" max="14" width="29" style="15" customWidth="1"/>
    <col min="15" max="15" width="31.875" style="15" customWidth="1"/>
    <col min="16" max="16" width="18.375" style="15" customWidth="1"/>
    <col min="17" max="17" width="18.625" style="15" customWidth="1"/>
    <col min="18" max="18" width="27.25" style="15" customWidth="1"/>
    <col min="19" max="20" width="18.125" style="15" customWidth="1"/>
    <col min="21" max="21" width="4.125" style="15" customWidth="1"/>
    <col min="22" max="33" width="18.125" style="11" customWidth="1"/>
    <col min="34" max="39" width="19.125" style="11" customWidth="1"/>
    <col min="40" max="44" width="18.125" style="11" customWidth="1"/>
    <col min="45" max="65" width="8" style="11"/>
    <col min="66" max="16384" width="8" style="14"/>
  </cols>
  <sheetData>
    <row r="1" spans="1:65" s="8" customFormat="1" ht="30" customHeight="1" x14ac:dyDescent="0.35">
      <c r="A1" s="8" t="e" vm="1">
        <v>#VALUE!</v>
      </c>
      <c r="C1" s="8" t="s">
        <v>13</v>
      </c>
    </row>
    <row r="2" spans="1:65" s="9" customFormat="1" ht="20.100000000000001" customHeight="1" x14ac:dyDescent="0.25"/>
    <row r="3" spans="1:65" ht="20.100000000000001" customHeight="1" x14ac:dyDescent="0.25">
      <c r="A3" s="10"/>
      <c r="C3" s="12"/>
      <c r="D3" s="12"/>
      <c r="E3" s="12"/>
      <c r="F3" s="12"/>
      <c r="G3" s="12"/>
      <c r="H3" s="12"/>
      <c r="I3" s="12"/>
      <c r="J3" s="12"/>
      <c r="K3" s="12"/>
      <c r="L3" s="12"/>
      <c r="M3" s="12"/>
      <c r="N3" s="12"/>
      <c r="O3" s="12"/>
      <c r="P3" s="12"/>
      <c r="Q3" s="12"/>
      <c r="R3" s="12"/>
      <c r="S3" s="12"/>
      <c r="T3" s="12"/>
      <c r="U3" s="12"/>
      <c r="V3" s="13"/>
      <c r="W3" s="13"/>
    </row>
    <row r="4" spans="1:65" ht="20.100000000000001" customHeight="1" x14ac:dyDescent="0.25">
      <c r="A4" s="10"/>
      <c r="BM4" s="14"/>
    </row>
    <row r="5" spans="1:65" ht="20.100000000000001" customHeight="1" x14ac:dyDescent="0.25">
      <c r="A5" s="10"/>
      <c r="D5" s="16" t="str" cm="1">
        <f t="array" ref="D5">Common_SourceData.Common_SourceData_AustralianStatesTerritories_Title()</f>
        <v>Australian states and territories</v>
      </c>
      <c r="BM5" s="14"/>
    </row>
    <row r="6" spans="1:65" ht="20.100000000000001" customHeight="1" x14ac:dyDescent="0.25">
      <c r="A6" s="10"/>
      <c r="D6" s="17" t="s">
        <v>14</v>
      </c>
      <c r="E6" s="17" t="s">
        <v>15</v>
      </c>
      <c r="F6" s="17" t="s">
        <v>16</v>
      </c>
    </row>
    <row r="7" spans="1:65" ht="20.100000000000001" customHeight="1" x14ac:dyDescent="0.25">
      <c r="A7" s="10"/>
      <c r="D7" s="17" t="str" cm="1">
        <f t="array" ref="D7">Common_InputFunctions.Utility_DisplayArrayInTable(Common_SourceData.Common_SourceData_AustralianStatesTerritories_Data(),Table_AustralianStates[[#Headers],[State/Territory]],0)</f>
        <v>New South Wales</v>
      </c>
      <c r="E7" s="17" t="str" cm="1">
        <f t="array" ref="E7">Common_InputFunctions.Utility_DisplayArrayInTable(Common_SourceData.Common_SourceData_AustralianStatesTerritories_Data(),Table_AustralianStates[[#Headers],[State/Territory]],0)</f>
        <v>New South Wales</v>
      </c>
      <c r="F7" s="17" t="str" cm="1">
        <f t="array" ref="F7">Common_InputFunctions.Utility_DisplayArrayInTable(Common_SourceData.Common_SourceData_AustralianStatesTerritories_Data(),Table_AustralianStates[[#Headers],[State/Territory]],0)</f>
        <v>NSW</v>
      </c>
    </row>
    <row r="8" spans="1:65" ht="20.100000000000001" customHeight="1" x14ac:dyDescent="0.25">
      <c r="A8" s="10"/>
      <c r="D8" s="17" t="str" cm="1">
        <f t="array" ref="D8">Common_InputFunctions.Utility_DisplayArrayInTable(Common_SourceData.Common_SourceData_AustralianStatesTerritories_Data(),Table_AustralianStates[[#Headers],[State/Territory]],0)</f>
        <v>Australian Capital Territory</v>
      </c>
      <c r="E8" s="17" t="str" cm="1">
        <f t="array" ref="E8">Common_InputFunctions.Utility_DisplayArrayInTable(Common_SourceData.Common_SourceData_AustralianStatesTerritories_Data(),Table_AustralianStates[[#Headers],[State/Territory]],0)</f>
        <v>ACT</v>
      </c>
      <c r="F8" s="17" t="str" cm="1">
        <f t="array" ref="F8">Common_InputFunctions.Utility_DisplayArrayInTable(Common_SourceData.Common_SourceData_AustralianStatesTerritories_Data(),Table_AustralianStates[[#Headers],[State/Territory]],0)</f>
        <v>ACT</v>
      </c>
    </row>
    <row r="9" spans="1:65" ht="20.100000000000001" customHeight="1" x14ac:dyDescent="0.25">
      <c r="A9" s="10"/>
      <c r="D9" s="17" t="str" cm="1">
        <f t="array" ref="D9">Common_InputFunctions.Utility_DisplayArrayInTable(Common_SourceData.Common_SourceData_AustralianStatesTerritories_Data(),Table_AustralianStates[[#Headers],[State/Territory]],0)</f>
        <v>Victoria</v>
      </c>
      <c r="E9" s="17" t="str" cm="1">
        <f t="array" ref="E9">Common_InputFunctions.Utility_DisplayArrayInTable(Common_SourceData.Common_SourceData_AustralianStatesTerritories_Data(),Table_AustralianStates[[#Headers],[State/Territory]],0)</f>
        <v>Victoria</v>
      </c>
      <c r="F9" s="17" t="str" cm="1">
        <f t="array" ref="F9">Common_InputFunctions.Utility_DisplayArrayInTable(Common_SourceData.Common_SourceData_AustralianStatesTerritories_Data(),Table_AustralianStates[[#Headers],[State/Territory]],0)</f>
        <v>VIC</v>
      </c>
    </row>
    <row r="10" spans="1:65" ht="20.100000000000001" customHeight="1" x14ac:dyDescent="0.25">
      <c r="A10" s="10"/>
      <c r="D10" s="17" t="str" cm="1">
        <f t="array" ref="D10">Common_InputFunctions.Utility_DisplayArrayInTable(Common_SourceData.Common_SourceData_AustralianStatesTerritories_Data(),Table_AustralianStates[[#Headers],[State/Territory]],0)</f>
        <v>Queensland</v>
      </c>
      <c r="E10" s="17" t="str" cm="1">
        <f t="array" ref="E10">Common_InputFunctions.Utility_DisplayArrayInTable(Common_SourceData.Common_SourceData_AustralianStatesTerritories_Data(),Table_AustralianStates[[#Headers],[State/Territory]],0)</f>
        <v>Queensland</v>
      </c>
      <c r="F10" s="17" t="str" cm="1">
        <f t="array" ref="F10">Common_InputFunctions.Utility_DisplayArrayInTable(Common_SourceData.Common_SourceData_AustralianStatesTerritories_Data(),Table_AustralianStates[[#Headers],[State/Territory]],0)</f>
        <v>QLD</v>
      </c>
    </row>
    <row r="11" spans="1:65" ht="20.100000000000001" customHeight="1" x14ac:dyDescent="0.25">
      <c r="A11" s="10"/>
      <c r="D11" s="17" t="str" cm="1">
        <f t="array" ref="D11">Common_InputFunctions.Utility_DisplayArrayInTable(Common_SourceData.Common_SourceData_AustralianStatesTerritories_Data(),Table_AustralianStates[[#Headers],[State/Territory]],0)</f>
        <v>South Australia</v>
      </c>
      <c r="E11" s="17" t="str" cm="1">
        <f t="array" ref="E11">Common_InputFunctions.Utility_DisplayArrayInTable(Common_SourceData.Common_SourceData_AustralianStatesTerritories_Data(),Table_AustralianStates[[#Headers],[State/Territory]],0)</f>
        <v>South Australia</v>
      </c>
      <c r="F11" s="17" t="str" cm="1">
        <f t="array" ref="F11">Common_InputFunctions.Utility_DisplayArrayInTable(Common_SourceData.Common_SourceData_AustralianStatesTerritories_Data(),Table_AustralianStates[[#Headers],[State/Territory]],0)</f>
        <v>SA</v>
      </c>
      <c r="BM11" s="14"/>
    </row>
    <row r="12" spans="1:65" ht="20.100000000000001" customHeight="1" x14ac:dyDescent="0.25">
      <c r="A12" s="10"/>
      <c r="D12" s="17" t="str" cm="1">
        <f t="array" ref="D12">Common_InputFunctions.Utility_DisplayArrayInTable(Common_SourceData.Common_SourceData_AustralianStatesTerritories_Data(),Table_AustralianStates[[#Headers],[State/Territory]],0)</f>
        <v>Western Australia</v>
      </c>
      <c r="E12" s="17" t="str" cm="1">
        <f t="array" ref="E12">Common_InputFunctions.Utility_DisplayArrayInTable(Common_SourceData.Common_SourceData_AustralianStatesTerritories_Data(),Table_AustralianStates[[#Headers],[State/Territory]],0)</f>
        <v>Western Australia</v>
      </c>
      <c r="F12" s="17" t="str" cm="1">
        <f t="array" ref="F12">Common_InputFunctions.Utility_DisplayArrayInTable(Common_SourceData.Common_SourceData_AustralianStatesTerritories_Data(),Table_AustralianStates[[#Headers],[State/Territory]],0)</f>
        <v>WA</v>
      </c>
      <c r="BM12" s="14"/>
    </row>
    <row r="13" spans="1:65" ht="20.100000000000001" customHeight="1" x14ac:dyDescent="0.25">
      <c r="A13" s="10"/>
      <c r="D13" s="17" t="str" cm="1">
        <f t="array" ref="D13">Common_InputFunctions.Utility_DisplayArrayInTable(Common_SourceData.Common_SourceData_AustralianStatesTerritories_Data(),Table_AustralianStates[[#Headers],[State/Territory]],0)</f>
        <v>Tasmania</v>
      </c>
      <c r="E13" s="17" t="str" cm="1">
        <f t="array" ref="E13">Common_InputFunctions.Utility_DisplayArrayInTable(Common_SourceData.Common_SourceData_AustralianStatesTerritories_Data(),Table_AustralianStates[[#Headers],[State/Territory]],0)</f>
        <v>Tasmania</v>
      </c>
      <c r="F13" s="17" t="str" cm="1">
        <f t="array" ref="F13">Common_InputFunctions.Utility_DisplayArrayInTable(Common_SourceData.Common_SourceData_AustralianStatesTerritories_Data(),Table_AustralianStates[[#Headers],[State/Territory]],0)</f>
        <v>TAS</v>
      </c>
    </row>
    <row r="14" spans="1:65" ht="20.100000000000001" customHeight="1" x14ac:dyDescent="0.25">
      <c r="A14" s="10"/>
      <c r="D14" s="17" t="str" cm="1">
        <f t="array" ref="D14">Common_InputFunctions.Utility_DisplayArrayInTable(Common_SourceData.Common_SourceData_AustralianStatesTerritories_Data(),Table_AustralianStates[[#Headers],[State/Territory]],0)</f>
        <v>Northern Territory</v>
      </c>
      <c r="E14" s="17" t="str" cm="1">
        <f t="array" ref="E14">Common_InputFunctions.Utility_DisplayArrayInTable(Common_SourceData.Common_SourceData_AustralianStatesTerritories_Data(),Table_AustralianStates[[#Headers],[State/Territory]],0)</f>
        <v>Northern Territory</v>
      </c>
      <c r="F14" s="17" t="str" cm="1">
        <f t="array" ref="F14">Common_InputFunctions.Utility_DisplayArrayInTable(Common_SourceData.Common_SourceData_AustralianStatesTerritories_Data(),Table_AustralianStates[[#Headers],[State/Territory]],0)</f>
        <v>NT</v>
      </c>
    </row>
    <row r="15" spans="1:65" ht="20.100000000000001" customHeight="1" x14ac:dyDescent="0.25">
      <c r="A15" s="10"/>
    </row>
    <row r="16" spans="1:65" ht="20.100000000000001" customHeight="1" x14ac:dyDescent="0.25">
      <c r="A16" s="10"/>
    </row>
    <row r="17" spans="1:4" ht="20.100000000000001" customHeight="1" x14ac:dyDescent="0.25">
      <c r="A17" s="10"/>
    </row>
    <row r="18" spans="1:4" ht="20.100000000000001" customHeight="1" x14ac:dyDescent="0.25">
      <c r="A18" s="10"/>
      <c r="D18" s="16" t="str" cm="1">
        <f t="array" ref="D18">Common_SourceData.Common_SourceData_WASA4Areas_Title()</f>
        <v>ABS Statistcal Areas Level 4 - Western Australia</v>
      </c>
    </row>
    <row r="19" spans="1:4" ht="20.100000000000001" customHeight="1" x14ac:dyDescent="0.25">
      <c r="A19" s="10"/>
      <c r="D19" s="18" t="str" cm="1">
        <f t="array" ref="D19">Common_SourceData.Common_SourceData_WASA4Areas_Source()</f>
        <v>Australian Bureau of Statistics (ABS) - Statistical Areas Level 2 - 2021 - Shapefile</v>
      </c>
    </row>
    <row r="20" spans="1:4" ht="20.100000000000001" customHeight="1" x14ac:dyDescent="0.25">
      <c r="A20" s="10"/>
      <c r="D20" s="17" t="s">
        <v>17</v>
      </c>
    </row>
    <row r="21" spans="1:4" ht="20.100000000000001" customHeight="1" x14ac:dyDescent="0.25">
      <c r="A21" s="10"/>
      <c r="D21" s="17" t="str" cm="1">
        <f t="array" ref="D21">Common_InputFunctions.Utility_DisplayArrayInTable(Common_SourceData.Common_SourceData_WASA4Areas_Data(), Table_WASA4Areas[[#Headers],[SA 4 Name]], 0)</f>
        <v>Bunbury</v>
      </c>
    </row>
    <row r="22" spans="1:4" ht="20.100000000000001" customHeight="1" x14ac:dyDescent="0.25">
      <c r="A22" s="10"/>
      <c r="D22" s="17" t="str" cm="1">
        <f t="array" ref="D22">Common_InputFunctions.Utility_DisplayArrayInTable(Common_SourceData.Common_SourceData_WASA4Areas_Data(), Table_WASA4Areas[[#Headers],[SA 4 Name]], 0)</f>
        <v>Mandurah</v>
      </c>
    </row>
    <row r="23" spans="1:4" ht="20.100000000000001" customHeight="1" x14ac:dyDescent="0.25">
      <c r="A23" s="10"/>
      <c r="D23" s="17" t="str" cm="1">
        <f t="array" ref="D23">Common_InputFunctions.Utility_DisplayArrayInTable(Common_SourceData.Common_SourceData_WASA4Areas_Data(), Table_WASA4Areas[[#Headers],[SA 4 Name]], 0)</f>
        <v>Perth - Inner</v>
      </c>
    </row>
    <row r="24" spans="1:4" ht="20.100000000000001" customHeight="1" x14ac:dyDescent="0.25">
      <c r="A24" s="10"/>
      <c r="D24" s="17" t="str" cm="1">
        <f t="array" ref="D24">Common_InputFunctions.Utility_DisplayArrayInTable(Common_SourceData.Common_SourceData_WASA4Areas_Data(), Table_WASA4Areas[[#Headers],[SA 4 Name]], 0)</f>
        <v>Perth - North East</v>
      </c>
    </row>
    <row r="25" spans="1:4" ht="20.100000000000001" customHeight="1" x14ac:dyDescent="0.25">
      <c r="A25" s="10"/>
      <c r="D25" s="17" t="str" cm="1">
        <f t="array" ref="D25">Common_InputFunctions.Utility_DisplayArrayInTable(Common_SourceData.Common_SourceData_WASA4Areas_Data(), Table_WASA4Areas[[#Headers],[SA 4 Name]], 0)</f>
        <v>Perth - North West</v>
      </c>
    </row>
    <row r="26" spans="1:4" ht="20.100000000000001" customHeight="1" x14ac:dyDescent="0.25">
      <c r="A26" s="10"/>
      <c r="D26" s="17" t="str" cm="1">
        <f t="array" ref="D26">Common_InputFunctions.Utility_DisplayArrayInTable(Common_SourceData.Common_SourceData_WASA4Areas_Data(), Table_WASA4Areas[[#Headers],[SA 4 Name]], 0)</f>
        <v>Perth - South East</v>
      </c>
    </row>
    <row r="27" spans="1:4" ht="20.100000000000001" customHeight="1" x14ac:dyDescent="0.25">
      <c r="A27" s="10"/>
      <c r="D27" s="17" t="str" cm="1">
        <f t="array" ref="D27">Common_InputFunctions.Utility_DisplayArrayInTable(Common_SourceData.Common_SourceData_WASA4Areas_Data(), Table_WASA4Areas[[#Headers],[SA 4 Name]], 0)</f>
        <v>Perth - South West</v>
      </c>
    </row>
    <row r="28" spans="1:4" ht="20.100000000000001" customHeight="1" x14ac:dyDescent="0.25">
      <c r="A28" s="10"/>
      <c r="D28" s="17" t="str" cm="1">
        <f t="array" ref="D28">Common_InputFunctions.Utility_DisplayArrayInTable(Common_SourceData.Common_SourceData_WASA4Areas_Data(), Table_WASA4Areas[[#Headers],[SA 4 Name]], 0)</f>
        <v>Western Australia - Wheat Belt</v>
      </c>
    </row>
    <row r="29" spans="1:4" ht="20.100000000000001" customHeight="1" x14ac:dyDescent="0.25">
      <c r="A29" s="10"/>
      <c r="D29" s="17" t="str" cm="1">
        <f t="array" ref="D29">Common_InputFunctions.Utility_DisplayArrayInTable(Common_SourceData.Common_SourceData_WASA4Areas_Data(), Table_WASA4Areas[[#Headers],[SA 4 Name]], 0)</f>
        <v>Western Australia - Outback (North)</v>
      </c>
    </row>
    <row r="30" spans="1:4" ht="20.100000000000001" customHeight="1" x14ac:dyDescent="0.25">
      <c r="A30" s="10"/>
      <c r="D30" s="17" t="str" cm="1">
        <f t="array" ref="D30">Common_InputFunctions.Utility_DisplayArrayInTable(Common_SourceData.Common_SourceData_WASA4Areas_Data(), Table_WASA4Areas[[#Headers],[SA 4 Name]], 0)</f>
        <v>Western Australia - Outback (South)</v>
      </c>
    </row>
    <row r="31" spans="1:4" ht="20.100000000000001" customHeight="1" x14ac:dyDescent="0.25">
      <c r="A31" s="10"/>
    </row>
    <row r="32" spans="1:4" ht="20.100000000000001" customHeight="1" x14ac:dyDescent="0.25">
      <c r="A32" s="10"/>
    </row>
    <row r="33" spans="1:8" ht="20.100000000000001" customHeight="1" x14ac:dyDescent="0.25">
      <c r="A33" s="10"/>
    </row>
    <row r="34" spans="1:8" ht="20.100000000000001" customHeight="1" x14ac:dyDescent="0.25">
      <c r="A34" s="10"/>
      <c r="D34" s="16" t="str" cm="1">
        <f t="array" ref="D34">Common_SourceData.Common_SourceData_GWP_Title()</f>
        <v>Global warming potential for greenhouse gases</v>
      </c>
    </row>
    <row r="35" spans="1:8" ht="20.100000000000001" customHeight="1" x14ac:dyDescent="0.25">
      <c r="A35" s="10"/>
      <c r="D35" s="18" t="str" cm="1">
        <f t="array" ref="D35">Common_SourceData.Common_SourceData_GWP_Source()</f>
        <v>XXXXXXX</v>
      </c>
    </row>
    <row r="36" spans="1:8" ht="20.100000000000001" customHeight="1" x14ac:dyDescent="0.25">
      <c r="A36" s="10"/>
      <c r="D36" s="17" t="s">
        <v>18</v>
      </c>
      <c r="E36" s="17" t="s">
        <v>19</v>
      </c>
    </row>
    <row r="37" spans="1:8" ht="20.100000000000001" customHeight="1" x14ac:dyDescent="0.25">
      <c r="A37" s="10"/>
      <c r="D37" s="17" t="str" cm="1">
        <f t="array" ref="D37">Common_InputFunctions.Utility_DisplayArrayInTable(Common_SourceData.Common_SourceData_GWP_Data(), Table_GWPData[[#Headers],[Gas]], 0)</f>
        <v>CO2</v>
      </c>
      <c r="E37" s="17" cm="1">
        <f t="array" ref="E37">Common_InputFunctions.Utility_DisplayArrayInTable(Common_SourceData.Common_SourceData_GWP_Data(), Table_GWPData[[#Headers],[Gas]], 0)</f>
        <v>1</v>
      </c>
    </row>
    <row r="38" spans="1:8" ht="20.100000000000001" customHeight="1" x14ac:dyDescent="0.25">
      <c r="A38" s="10"/>
      <c r="D38" s="17" t="str" cm="1">
        <f t="array" ref="D38">Common_InputFunctions.Utility_DisplayArrayInTable(Common_SourceData.Common_SourceData_GWP_Data(), Table_GWPData[[#Headers],[Gas]], 0)</f>
        <v>CH4</v>
      </c>
      <c r="E38" s="17" cm="1">
        <f t="array" ref="E38">Common_InputFunctions.Utility_DisplayArrayInTable(Common_SourceData.Common_SourceData_GWP_Data(), Table_GWPData[[#Headers],[Gas]], 0)</f>
        <v>28</v>
      </c>
    </row>
    <row r="39" spans="1:8" ht="20.100000000000001" customHeight="1" x14ac:dyDescent="0.25">
      <c r="A39" s="10"/>
      <c r="D39" s="17" t="str" cm="1">
        <f t="array" ref="D39">Common_InputFunctions.Utility_DisplayArrayInTable(Common_SourceData.Common_SourceData_GWP_Data(), Table_GWPData[[#Headers],[Gas]], 0)</f>
        <v>N2O</v>
      </c>
      <c r="E39" s="17" cm="1">
        <f t="array" ref="E39">Common_InputFunctions.Utility_DisplayArrayInTable(Common_SourceData.Common_SourceData_GWP_Data(), Table_GWPData[[#Headers],[Gas]], 0)</f>
        <v>265</v>
      </c>
    </row>
    <row r="40" spans="1:8" ht="20.100000000000001" customHeight="1" x14ac:dyDescent="0.25">
      <c r="A40" s="10"/>
      <c r="D40" s="17" t="str" cm="1">
        <f t="array" ref="D40">Common_InputFunctions.Utility_DisplayArrayInTable(Common_SourceData.Common_SourceData_GWP_Data(), Table_GWPData[[#Headers],[Gas]], 0)</f>
        <v>CF4</v>
      </c>
      <c r="E40" s="17" cm="1">
        <f t="array" ref="E40">Common_InputFunctions.Utility_DisplayArrayInTable(Common_SourceData.Common_SourceData_GWP_Data(), Table_GWPData[[#Headers],[Gas]], 0)</f>
        <v>6630</v>
      </c>
    </row>
    <row r="41" spans="1:8" ht="20.100000000000001" customHeight="1" x14ac:dyDescent="0.25">
      <c r="A41" s="10"/>
      <c r="D41" s="17" t="str" cm="1">
        <f t="array" ref="D41">Common_InputFunctions.Utility_DisplayArrayInTable(Common_SourceData.Common_SourceData_GWP_Data(), Table_GWPData[[#Headers],[Gas]], 0)</f>
        <v>C2F6</v>
      </c>
      <c r="E41" s="17" cm="1">
        <f t="array" ref="E41">Common_InputFunctions.Utility_DisplayArrayInTable(Common_SourceData.Common_SourceData_GWP_Data(), Table_GWPData[[#Headers],[Gas]], 0)</f>
        <v>12200</v>
      </c>
    </row>
    <row r="42" spans="1:8" ht="20.100000000000001" customHeight="1" x14ac:dyDescent="0.25">
      <c r="D42" s="17" t="str" cm="1">
        <f t="array" ref="D42">Common_InputFunctions.Utility_DisplayArrayInTable(Common_SourceData.Common_SourceData_GWP_Data(), Table_GWPData[[#Headers],[Gas]], 0)</f>
        <v>SF6</v>
      </c>
      <c r="E42" s="17" cm="1">
        <f t="array" ref="E42">Common_InputFunctions.Utility_DisplayArrayInTable(Common_SourceData.Common_SourceData_GWP_Data(), Table_GWPData[[#Headers],[Gas]], 0)</f>
        <v>22800</v>
      </c>
    </row>
    <row r="43" spans="1:8" ht="20.100000000000001" customHeight="1" x14ac:dyDescent="0.25">
      <c r="D43" s="17" t="str" cm="1">
        <f t="array" ref="D43">Common_InputFunctions.Utility_DisplayArrayInTable(Common_SourceData.Common_SourceData_GWP_Data(), Table_GWPData[[#Headers],[Gas]], 0)</f>
        <v>NF3</v>
      </c>
      <c r="E43" s="1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16" t="str" cm="1">
        <f t="array" ref="D45">Common_SourceData.Common_SourceData_ConvertGasElementalToMolecular_Title()</f>
        <v>Factor to convert elemental mass of gas to molecular mass</v>
      </c>
    </row>
    <row r="46" spans="1:8" ht="20.100000000000001" customHeight="1" x14ac:dyDescent="0.25">
      <c r="D46" s="18" t="str" cm="1">
        <f t="array" ref="D46">Common_SourceData.Common_SourceData_ConvertGasElementalToMolecular_Source()</f>
        <v>XXXXXXX</v>
      </c>
    </row>
    <row r="47" spans="1:8" ht="20.100000000000001" customHeight="1" x14ac:dyDescent="0.25">
      <c r="D47" s="17" t="s">
        <v>18</v>
      </c>
      <c r="E47" s="17" t="s">
        <v>20</v>
      </c>
      <c r="F47" s="17" t="s">
        <v>21</v>
      </c>
      <c r="G47" s="17" t="s">
        <v>22</v>
      </c>
      <c r="H47" s="17" t="s">
        <v>23</v>
      </c>
    </row>
    <row r="48" spans="1:8" ht="20.100000000000001" customHeight="1" x14ac:dyDescent="0.25">
      <c r="D48" s="17" t="str" cm="1">
        <f t="array" ref="D48">Common_InputFunctions.Utility_DisplayArrayInTable(Common_SourceData.Common_SourceData_ConvertGasElementalToMolecular_Data(),Table_GasToMolecularConversionFactor[[#Headers],[Gas]], 0)</f>
        <v>CO2</v>
      </c>
      <c r="E48" s="17" t="str" cm="1">
        <f t="array" ref="E48">Common_InputFunctions.Utility_DisplayArrayInTable(Common_SourceData.Common_SourceData_ConvertGasElementalToMolecular_Data(),Table_GasToMolecularConversionFactor[[#Headers],[Gas]], 0)</f>
        <v>44/12</v>
      </c>
      <c r="F48" s="17" cm="1">
        <f t="array" ref="F48">Common_InputFunctions.Utility_DisplayArrayInTable(Common_SourceData.Common_SourceData_ConvertGasElementalToMolecular_Data(),Table_GasToMolecularConversionFactor[[#Headers],[Gas]], 0)</f>
        <v>44</v>
      </c>
      <c r="G48" s="17" cm="1">
        <f t="array" ref="G48">Common_InputFunctions.Utility_DisplayArrayInTable(Common_SourceData.Common_SourceData_ConvertGasElementalToMolecular_Data(),Table_GasToMolecularConversionFactor[[#Headers],[Gas]], 0)</f>
        <v>12</v>
      </c>
      <c r="H48" s="17">
        <f>Table_GasToMolecularConversionFactor[[#This Row],[Conversion factor 1]]/Table_GasToMolecularConversionFactor[[#This Row],[Conversion factor 2]]</f>
        <v>3.6666666666666665</v>
      </c>
    </row>
    <row r="49" spans="4:8" ht="20.100000000000001" customHeight="1" x14ac:dyDescent="0.25">
      <c r="D49" s="17" t="str" cm="1">
        <f t="array" ref="D49">Common_InputFunctions.Utility_DisplayArrayInTable(Common_SourceData.Common_SourceData_ConvertGasElementalToMolecular_Data(),Table_GasToMolecularConversionFactor[[#Headers],[Gas]], 0)</f>
        <v>CH4</v>
      </c>
      <c r="E49" s="17" t="str" cm="1">
        <f t="array" ref="E49">Common_InputFunctions.Utility_DisplayArrayInTable(Common_SourceData.Common_SourceData_ConvertGasElementalToMolecular_Data(),Table_GasToMolecularConversionFactor[[#Headers],[Gas]], 0)</f>
        <v>16/12</v>
      </c>
      <c r="F49" s="17" cm="1">
        <f t="array" ref="F49">Common_InputFunctions.Utility_DisplayArrayInTable(Common_SourceData.Common_SourceData_ConvertGasElementalToMolecular_Data(),Table_GasToMolecularConversionFactor[[#Headers],[Gas]], 0)</f>
        <v>16</v>
      </c>
      <c r="G49" s="17" cm="1">
        <f t="array" ref="G49">Common_InputFunctions.Utility_DisplayArrayInTable(Common_SourceData.Common_SourceData_ConvertGasElementalToMolecular_Data(),Table_GasToMolecularConversionFactor[[#Headers],[Gas]], 0)</f>
        <v>12</v>
      </c>
      <c r="H49" s="17">
        <f>Table_GasToMolecularConversionFactor[[#This Row],[Conversion factor 1]]/Table_GasToMolecularConversionFactor[[#This Row],[Conversion factor 2]]</f>
        <v>1.3333333333333333</v>
      </c>
    </row>
    <row r="50" spans="4:8" ht="20.100000000000001" customHeight="1" x14ac:dyDescent="0.25">
      <c r="D50" s="17" t="str" cm="1">
        <f t="array" ref="D50">Common_InputFunctions.Utility_DisplayArrayInTable(Common_SourceData.Common_SourceData_ConvertGasElementalToMolecular_Data(),Table_GasToMolecularConversionFactor[[#Headers],[Gas]], 0)</f>
        <v>N2O</v>
      </c>
      <c r="E50" s="17" t="str" cm="1">
        <f t="array" ref="E50">Common_InputFunctions.Utility_DisplayArrayInTable(Common_SourceData.Common_SourceData_ConvertGasElementalToMolecular_Data(),Table_GasToMolecularConversionFactor[[#Headers],[Gas]], 0)</f>
        <v>44/28</v>
      </c>
      <c r="F50" s="17" cm="1">
        <f t="array" ref="F50">Common_InputFunctions.Utility_DisplayArrayInTable(Common_SourceData.Common_SourceData_ConvertGasElementalToMolecular_Data(),Table_GasToMolecularConversionFactor[[#Headers],[Gas]], 0)</f>
        <v>44</v>
      </c>
      <c r="G50" s="17" cm="1">
        <f t="array" ref="G50">Common_InputFunctions.Utility_DisplayArrayInTable(Common_SourceData.Common_SourceData_ConvertGasElementalToMolecular_Data(),Table_GasToMolecularConversionFactor[[#Headers],[Gas]], 0)</f>
        <v>28</v>
      </c>
      <c r="H50" s="17">
        <f>Table_GasToMolecularConversionFactor[[#This Row],[Conversion factor 1]]/Table_GasToMolecularConversionFactor[[#This Row],[Conversion factor 2]]</f>
        <v>1.5714285714285714</v>
      </c>
    </row>
    <row r="51" spans="4:8" ht="20.100000000000001" customHeight="1" x14ac:dyDescent="0.25">
      <c r="D51" s="17" t="str" cm="1">
        <f t="array" ref="D51">Common_InputFunctions.Utility_DisplayArrayInTable(Common_SourceData.Common_SourceData_ConvertGasElementalToMolecular_Data(),Table_GasToMolecularConversionFactor[[#Headers],[Gas]], 0)</f>
        <v>Nox</v>
      </c>
      <c r="E51" s="17" t="str" cm="1">
        <f t="array" ref="E51">Common_InputFunctions.Utility_DisplayArrayInTable(Common_SourceData.Common_SourceData_ConvertGasElementalToMolecular_Data(),Table_GasToMolecularConversionFactor[[#Headers],[Gas]], 0)</f>
        <v>46/14</v>
      </c>
      <c r="F51" s="17" cm="1">
        <f t="array" ref="F51">Common_InputFunctions.Utility_DisplayArrayInTable(Common_SourceData.Common_SourceData_ConvertGasElementalToMolecular_Data(),Table_GasToMolecularConversionFactor[[#Headers],[Gas]], 0)</f>
        <v>46</v>
      </c>
      <c r="G51" s="17" cm="1">
        <f t="array" ref="G51">Common_InputFunctions.Utility_DisplayArrayInTable(Common_SourceData.Common_SourceData_ConvertGasElementalToMolecular_Data(),Table_GasToMolecularConversionFactor[[#Headers],[Gas]], 0)</f>
        <v>14</v>
      </c>
      <c r="H51" s="17">
        <f>Table_GasToMolecularConversionFactor[[#This Row],[Conversion factor 1]]/Table_GasToMolecularConversionFactor[[#This Row],[Conversion factor 2]]</f>
        <v>3.2857142857142856</v>
      </c>
    </row>
    <row r="52" spans="4:8" ht="20.100000000000001" customHeight="1" x14ac:dyDescent="0.25">
      <c r="D52" s="17" t="str" cm="1">
        <f t="array" ref="D52">Common_InputFunctions.Utility_DisplayArrayInTable(Common_SourceData.Common_SourceData_ConvertGasElementalToMolecular_Data(),Table_GasToMolecularConversionFactor[[#Headers],[Gas]], 0)</f>
        <v>CO</v>
      </c>
      <c r="E52" s="17" t="str" cm="1">
        <f t="array" ref="E52">Common_InputFunctions.Utility_DisplayArrayInTable(Common_SourceData.Common_SourceData_ConvertGasElementalToMolecular_Data(),Table_GasToMolecularConversionFactor[[#Headers],[Gas]], 0)</f>
        <v>28/12</v>
      </c>
      <c r="F52" s="17" cm="1">
        <f t="array" ref="F52">Common_InputFunctions.Utility_DisplayArrayInTable(Common_SourceData.Common_SourceData_ConvertGasElementalToMolecular_Data(),Table_GasToMolecularConversionFactor[[#Headers],[Gas]], 0)</f>
        <v>28</v>
      </c>
      <c r="G52" s="17" cm="1">
        <f t="array" ref="G52">Common_InputFunctions.Utility_DisplayArrayInTable(Common_SourceData.Common_SourceData_ConvertGasElementalToMolecular_Data(),Table_GasToMolecularConversionFactor[[#Headers],[Gas]], 0)</f>
        <v>12</v>
      </c>
      <c r="H52" s="17">
        <f>Table_GasToMolecularConversionFactor[[#This Row],[Conversion factor 1]]/Table_GasToMolecularConversionFactor[[#This Row],[Conversion factor 2]]</f>
        <v>2.3333333333333335</v>
      </c>
    </row>
    <row r="53" spans="4:8" ht="20.100000000000001" customHeight="1" x14ac:dyDescent="0.25">
      <c r="D53" s="17" t="str" cm="1">
        <f t="array" ref="D53">Common_InputFunctions.Utility_DisplayArrayInTable(Common_SourceData.Common_SourceData_ConvertGasElementalToMolecular_Data(),Table_GasToMolecularConversionFactor[[#Headers],[Gas]], 0)</f>
        <v>CO2 Lime</v>
      </c>
      <c r="E53" s="17" t="str" cm="1">
        <f t="array" ref="E53">Common_InputFunctions.Utility_DisplayArrayInTable(Common_SourceData.Common_SourceData_ConvertGasElementalToMolecular_Data(),Table_GasToMolecularConversionFactor[[#Headers],[Gas]], 0)</f>
        <v>44/12</v>
      </c>
      <c r="F53" s="17" cm="1">
        <f t="array" ref="F53">Common_InputFunctions.Utility_DisplayArrayInTable(Common_SourceData.Common_SourceData_ConvertGasElementalToMolecular_Data(),Table_GasToMolecularConversionFactor[[#Headers],[Gas]], 0)</f>
        <v>44</v>
      </c>
      <c r="G53" s="17" cm="1">
        <f t="array" ref="G53">Common_InputFunctions.Utility_DisplayArrayInTable(Common_SourceData.Common_SourceData_ConvertGasElementalToMolecular_Data(),Table_GasToMolecularConversionFactor[[#Headers],[Gas]], 0)</f>
        <v>12</v>
      </c>
      <c r="H53" s="17">
        <f>Table_GasToMolecularConversionFactor[[#This Row],[Conversion factor 1]]/Table_GasToMolecularConversionFactor[[#This Row],[Conversion factor 2]]</f>
        <v>3.6666666666666665</v>
      </c>
    </row>
    <row r="54" spans="4:8" ht="20.100000000000001" customHeight="1" x14ac:dyDescent="0.25">
      <c r="D54" s="17" t="str" cm="1">
        <f t="array" ref="D54">Common_InputFunctions.Utility_DisplayArrayInTable(Common_SourceData.Common_SourceData_ConvertGasElementalToMolecular_Data(),Table_GasToMolecularConversionFactor[[#Headers],[Gas]], 0)</f>
        <v>NMVOC</v>
      </c>
      <c r="E54" s="17" t="str" cm="1">
        <f t="array" ref="E54">Common_InputFunctions.Utility_DisplayArrayInTable(Common_SourceData.Common_SourceData_ConvertGasElementalToMolecular_Data(),Table_GasToMolecularConversionFactor[[#Headers],[Gas]], 0)</f>
        <v>14/12</v>
      </c>
      <c r="F54" s="17" cm="1">
        <f t="array" ref="F54">Common_InputFunctions.Utility_DisplayArrayInTable(Common_SourceData.Common_SourceData_ConvertGasElementalToMolecular_Data(),Table_GasToMolecularConversionFactor[[#Headers],[Gas]], 0)</f>
        <v>14</v>
      </c>
      <c r="G54" s="17" cm="1">
        <f t="array" ref="G54">Common_InputFunctions.Utility_DisplayArrayInTable(Common_SourceData.Common_SourceData_ConvertGasElementalToMolecular_Data(),Table_GasToMolecularConversionFactor[[#Headers],[Gas]], 0)</f>
        <v>12</v>
      </c>
      <c r="H54" s="1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16" t="str" cm="1">
        <f t="array" ref="D57">Common_SourceData.Common_SourceData_WetAndDryZones_Title()</f>
        <v>VEERG Australian wet and dry zones</v>
      </c>
    </row>
    <row r="58" spans="4:8" ht="20.100000000000001" customHeight="1" x14ac:dyDescent="0.25">
      <c r="D58" s="18" t="str" cm="1">
        <f t="array" ref="D58">Common_SourceData.Common_SourceData_WetAndDryZones_Source()</f>
        <v>VEERG 2026: Table 1.2: Translating climate zones to wet and dry zones</v>
      </c>
    </row>
    <row r="59" spans="4:8" ht="20.100000000000001" customHeight="1" x14ac:dyDescent="0.25">
      <c r="D59" s="19" t="str" cm="1">
        <f t="array" ref="D59:D61">"⚠️" &amp; Common_SourceData.Common_SourceData_WetAndDryZones_Variation()</f>
        <v>⚠️VARIATION OF SOURCE DATA:</v>
      </c>
    </row>
    <row r="60" spans="4:8" ht="20.100000000000001" customHeight="1" x14ac:dyDescent="0.25">
      <c r="D60" s="19" t="str">
        <v>⚠️Added warm / cool temperate moist / dry - low frost and high temp classes to accommodate climate scenarios excluded by VEERG criteria.</v>
      </c>
    </row>
    <row r="61" spans="4:8" ht="20.100000000000001" customHeight="1" x14ac:dyDescent="0.25">
      <c r="D61" s="19" t="str">
        <v>⚠️Fixed typo - Changed 'Fry' to 'Dry'.</v>
      </c>
    </row>
    <row r="62" spans="4:8" ht="20.100000000000001" customHeight="1" x14ac:dyDescent="0.25"/>
    <row r="63" spans="4:8" ht="20.100000000000001" customHeight="1" x14ac:dyDescent="0.25">
      <c r="D63" s="17" t="s">
        <v>24</v>
      </c>
      <c r="E63" s="17" t="s">
        <v>25</v>
      </c>
    </row>
    <row r="64" spans="4:8" ht="20.100000000000001" customHeight="1" x14ac:dyDescent="0.25">
      <c r="D64" s="17" t="str" cm="1">
        <f t="array" ref="D64">Common_InputFunctions.Utility_DisplayArrayInTable(Common_SourceData.Common_SourceData_WetAndDryZones_Data(), Table_SourceData_WetDryZones[[#Headers],[Climate zone]], 0)</f>
        <v>Tropical montane</v>
      </c>
      <c r="E64" s="1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17" t="str" cm="1">
        <f t="array" ref="D65">Common_InputFunctions.Utility_DisplayArrayInTable(Common_SourceData.Common_SourceData_WetAndDryZones_Data(), Table_SourceData_WetDryZones[[#Headers],[Climate zone]], 0)</f>
        <v>Tropical wet</v>
      </c>
      <c r="E65" s="1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17" t="str" cm="1">
        <f t="array" ref="D66">Common_InputFunctions.Utility_DisplayArrayInTable(Common_SourceData.Common_SourceData_WetAndDryZones_Data(), Table_SourceData_WetDryZones[[#Headers],[Climate zone]], 0)</f>
        <v>Tropical moist</v>
      </c>
      <c r="E66" s="1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17" t="str" cm="1">
        <f t="array" ref="D67">Common_InputFunctions.Utility_DisplayArrayInTable(Common_SourceData.Common_SourceData_WetAndDryZones_Data(), Table_SourceData_WetDryZones[[#Headers],[Climate zone]], 0)</f>
        <v>Tropical dry</v>
      </c>
      <c r="E67" s="1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17" t="str" cm="1">
        <f t="array" ref="D68">Common_InputFunctions.Utility_DisplayArrayInTable(Common_SourceData.Common_SourceData_WetAndDryZones_Data(), Table_SourceData_WetDryZones[[#Headers],[Climate zone]], 0)</f>
        <v>Warm temperate moist</v>
      </c>
      <c r="E68" s="1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17" t="str" cm="1">
        <f t="array" ref="D69">Common_InputFunctions.Utility_DisplayArrayInTable(Common_SourceData.Common_SourceData_WetAndDryZones_Data(), Table_SourceData_WetDryZones[[#Headers],[Climate zone]], 0)</f>
        <v>Warm temperate dry</v>
      </c>
      <c r="E69" s="1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17" t="str" cm="1">
        <f t="array" ref="D70">Common_InputFunctions.Utility_DisplayArrayInTable(Common_SourceData.Common_SourceData_WetAndDryZones_Data(), Table_SourceData_WetDryZones[[#Headers],[Climate zone]], 0)</f>
        <v>Cool temperate moist</v>
      </c>
      <c r="E70" s="1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17" t="str" cm="1">
        <f t="array" ref="D71">Common_InputFunctions.Utility_DisplayArrayInTable(Common_SourceData.Common_SourceData_WetAndDryZones_Data(), Table_SourceData_WetDryZones[[#Headers],[Climate zone]], 0)</f>
        <v>Cool temperate dry</v>
      </c>
      <c r="E71" s="1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17" t="str" cm="1">
        <f t="array" ref="D72">Common_InputFunctions.Utility_DisplayArrayInTable(Common_SourceData.Common_SourceData_WetAndDryZones_Data(), Table_SourceData_WetDryZones[[#Headers],[Climate zone]], 0)</f>
        <v>Warm temperate moist - low frost</v>
      </c>
      <c r="E72" s="1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17" t="str" cm="1">
        <f t="array" ref="D73">Common_InputFunctions.Utility_DisplayArrayInTable(Common_SourceData.Common_SourceData_WetAndDryZones_Data(), Table_SourceData_WetDryZones[[#Headers],[Climate zone]], 0)</f>
        <v>Warm temperate dry - low frost</v>
      </c>
      <c r="E73" s="1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17" t="str" cm="1">
        <f t="array" ref="D74">Common_InputFunctions.Utility_DisplayArrayInTable(Common_SourceData.Common_SourceData_WetAndDryZones_Data(), Table_SourceData_WetDryZones[[#Headers],[Climate zone]], 0)</f>
        <v>Warm temperate moist - high temp</v>
      </c>
      <c r="E74" s="1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17" t="str" cm="1">
        <f t="array" ref="D75">Common_InputFunctions.Utility_DisplayArrayInTable(Common_SourceData.Common_SourceData_WetAndDryZones_Data(), Table_SourceData_WetDryZones[[#Headers],[Climate zone]], 0)</f>
        <v>Warm temperate dry - high temp</v>
      </c>
      <c r="E75" s="1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17" t="str" cm="1">
        <f t="array" ref="D76">Common_InputFunctions.Utility_DisplayArrayInTable(Common_SourceData.Common_SourceData_WetAndDryZones_Data(), Table_SourceData_WetDryZones[[#Headers],[Climate zone]], 0)</f>
        <v>Cool temperate moist - low frost</v>
      </c>
      <c r="E76" s="1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17" t="str" cm="1">
        <f t="array" ref="D77">Common_InputFunctions.Utility_DisplayArrayInTable(Common_SourceData.Common_SourceData_WetAndDryZones_Data(), Table_SourceData_WetDryZones[[#Headers],[Climate zone]], 0)</f>
        <v>Cool temperate dry - low frost</v>
      </c>
      <c r="E77" s="1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16" t="str" cm="1">
        <f t="array" ref="D81">Common_SourceData.Common_SourceData_ClimateZones_Title()</f>
        <v>VEERG Australian climate zones</v>
      </c>
    </row>
    <row r="82" spans="4:20" ht="20.100000000000001" customHeight="1" x14ac:dyDescent="0.25">
      <c r="D82" s="18" t="str" cm="1">
        <f t="array" ref="D82">Common_SourceData.Common_SourceData_ClimateZones_Source()</f>
        <v>VEERG 2026: Table 1.3: Climate and Rainfall zone classifications and definitions</v>
      </c>
    </row>
    <row r="83" spans="4:20" ht="20.100000000000001" customHeight="1" x14ac:dyDescent="0.25">
      <c r="D83" s="19" t="str" cm="1">
        <f t="array" ref="D83:D87">"⚠️" &amp; Common_SourceData.Common_SourceData_ClimateZones_Variation()</f>
        <v>⚠️VARIATION OF SOURCE DATA:</v>
      </c>
    </row>
    <row r="84" spans="4:20" ht="20.100000000000001" customHeight="1" x14ac:dyDescent="0.25">
      <c r="D84" s="19" t="str">
        <v>⚠️Added warm / cool temperate moist / dry - low frost and high temp classes to accommodate climate scenarios excluded by VEERG criteria.</v>
      </c>
    </row>
    <row r="85" spans="4:20" ht="20.100000000000001" customHeight="1" x14ac:dyDescent="0.25">
      <c r="D85" s="19" t="str">
        <v>⚠️Fixed typo in MAT value for warm temperate dry - changed 10 to 11.</v>
      </c>
    </row>
    <row r="86" spans="4:20" ht="20.100000000000001" customHeight="1" x14ac:dyDescent="0.25">
      <c r="D86" s="19" t="str">
        <v>⚠️Added min and max columns for MAT, MAP, frost days per year, elevation, MAP:PET to calculate zones from real climate data.</v>
      </c>
    </row>
    <row r="87" spans="4:20" ht="20.100000000000001" customHeight="1" x14ac:dyDescent="0.25">
      <c r="D87" s="19" t="str">
        <v>⚠️GAF accepts rainfall as a proxy for precipitation.</v>
      </c>
    </row>
    <row r="88" spans="4:20" ht="20.100000000000001" customHeight="1" x14ac:dyDescent="0.25"/>
    <row r="89" spans="4:20" ht="20.100000000000001" customHeight="1" x14ac:dyDescent="0.25">
      <c r="D89" s="17" t="s">
        <v>24</v>
      </c>
      <c r="E89" s="17" t="s">
        <v>26</v>
      </c>
      <c r="F89" s="17" t="s">
        <v>27</v>
      </c>
      <c r="G89" s="17" t="s">
        <v>28</v>
      </c>
      <c r="H89" s="17" t="s">
        <v>29</v>
      </c>
      <c r="I89" s="17" t="s">
        <v>30</v>
      </c>
      <c r="J89" s="17" t="s">
        <v>31</v>
      </c>
      <c r="K89" s="17" t="s">
        <v>32</v>
      </c>
      <c r="L89" s="17" t="s">
        <v>33</v>
      </c>
      <c r="M89" s="17" t="s">
        <v>34</v>
      </c>
      <c r="N89" s="17" t="s">
        <v>35</v>
      </c>
      <c r="O89" s="17" t="s">
        <v>36</v>
      </c>
      <c r="P89" s="17" t="s">
        <v>37</v>
      </c>
      <c r="Q89" s="17" t="s">
        <v>38</v>
      </c>
      <c r="R89" s="17" t="s">
        <v>39</v>
      </c>
      <c r="S89" s="17" t="s">
        <v>40</v>
      </c>
      <c r="T89" s="17"/>
    </row>
    <row r="90" spans="4:20" ht="20.100000000000001" customHeight="1" x14ac:dyDescent="0.25">
      <c r="D90" s="17" t="str" cm="1">
        <f t="array" ref="D90">Common_InputFunctions.Utility_DisplayArrayInTable(Common_SourceData.Common_SourceData_ClimateZones_Data(), Table_SourceData_ClimateZones[[#Headers],[Climate zone]], 0)</f>
        <v>Tropical montane</v>
      </c>
      <c r="E90" s="17" t="str" cm="1">
        <f t="array" ref="E90">Common_InputFunctions.Utility_DisplayArrayInTable(Common_SourceData.Common_SourceData_ClimateZones_Data(), Table_SourceData_ClimateZones[[#Headers],[Climate zone]], 0)</f>
        <v>&gt; 18 C</v>
      </c>
      <c r="F90" s="17" t="str" cm="1">
        <f t="array" ref="F90">Common_InputFunctions.Utility_DisplayArrayInTable(Common_SourceData.Common_SourceData_ClimateZones_Data(), Table_SourceData_ClimateZones[[#Headers],[Climate zone]], 0)</f>
        <v>Any</v>
      </c>
      <c r="G90" s="17" t="str" cm="1">
        <f t="array" ref="G90">Common_InputFunctions.Utility_DisplayArrayInTable(Common_SourceData.Common_SourceData_ClimateZones_Data(), Table_SourceData_ClimateZones[[#Headers],[Climate zone]], 0)</f>
        <v>≤ 7</v>
      </c>
      <c r="H90" s="17" t="str" cm="1">
        <f t="array" ref="H90">Common_InputFunctions.Utility_DisplayArrayInTable(Common_SourceData.Common_SourceData_ClimateZones_Data(), Table_SourceData_ClimateZones[[#Headers],[Climate zone]], 0)</f>
        <v>&gt; 1000 m</v>
      </c>
      <c r="I90" s="17" t="str" cm="1">
        <f t="array" ref="I90">Common_InputFunctions.Utility_DisplayArrayInTable(Common_SourceData.Common_SourceData_ClimateZones_Data(), Table_SourceData_ClimateZones[[#Headers],[Climate zone]], 0)</f>
        <v>Any</v>
      </c>
      <c r="J90" s="17" cm="1">
        <f t="array" ref="J90">Common_InputFunctions.Utility_DisplayArrayInTable(Common_SourceData.Common_SourceData_ClimateZones_Data(), Table_SourceData_ClimateZones[[#Headers],[Climate zone]], 0)</f>
        <v>18.001000000000001</v>
      </c>
      <c r="K90" s="17" cm="1">
        <f t="array" ref="K90">Common_InputFunctions.Utility_DisplayArrayInTable(Common_SourceData.Common_SourceData_ClimateZones_Data(), Table_SourceData_ClimateZones[[#Headers],[Climate zone]], 0)</f>
        <v>999999</v>
      </c>
      <c r="L90" s="17" cm="1">
        <f t="array" ref="L90">Common_InputFunctions.Utility_DisplayArrayInTable(Common_SourceData.Common_SourceData_ClimateZones_Data(), Table_SourceData_ClimateZones[[#Headers],[Climate zone]], 0)</f>
        <v>-999999</v>
      </c>
      <c r="M90" s="17" cm="1">
        <f t="array" ref="M90">Common_InputFunctions.Utility_DisplayArrayInTable(Common_SourceData.Common_SourceData_ClimateZones_Data(), Table_SourceData_ClimateZones[[#Headers],[Climate zone]], 0)</f>
        <v>999999</v>
      </c>
      <c r="N90" s="17" cm="1">
        <f t="array" ref="N90">Common_InputFunctions.Utility_DisplayArrayInTable(Common_SourceData.Common_SourceData_ClimateZones_Data(), Table_SourceData_ClimateZones[[#Headers],[Climate zone]], 0)</f>
        <v>-999999</v>
      </c>
      <c r="O90" s="17" cm="1">
        <f t="array" ref="O90">Common_InputFunctions.Utility_DisplayArrayInTable(Common_SourceData.Common_SourceData_ClimateZones_Data(), Table_SourceData_ClimateZones[[#Headers],[Climate zone]], 0)</f>
        <v>7</v>
      </c>
      <c r="P90" s="17" cm="1">
        <f t="array" ref="P90">Common_InputFunctions.Utility_DisplayArrayInTable(Common_SourceData.Common_SourceData_ClimateZones_Data(), Table_SourceData_ClimateZones[[#Headers],[Climate zone]], 0)</f>
        <v>1000</v>
      </c>
      <c r="Q90" s="17" cm="1">
        <f t="array" ref="Q90">Common_InputFunctions.Utility_DisplayArrayInTable(Common_SourceData.Common_SourceData_ClimateZones_Data(), Table_SourceData_ClimateZones[[#Headers],[Climate zone]], 0)</f>
        <v>999999</v>
      </c>
      <c r="R90" s="17" cm="1">
        <f t="array" ref="R90">Common_InputFunctions.Utility_DisplayArrayInTable(Common_SourceData.Common_SourceData_ClimateZones_Data(), Table_SourceData_ClimateZones[[#Headers],[Climate zone]], 0)</f>
        <v>-999999</v>
      </c>
      <c r="S90" s="17" cm="1">
        <f t="array" ref="S90">Common_InputFunctions.Utility_DisplayArrayInTable(Common_SourceData.Common_SourceData_ClimateZones_Data(), Table_SourceData_ClimateZones[[#Headers],[Climate zone]], 0)</f>
        <v>999999</v>
      </c>
      <c r="T90" s="17"/>
    </row>
    <row r="91" spans="4:20" ht="20.100000000000001" customHeight="1" x14ac:dyDescent="0.25">
      <c r="D91" s="17" t="str" cm="1">
        <f t="array" ref="D91">Common_InputFunctions.Utility_DisplayArrayInTable(Common_SourceData.Common_SourceData_ClimateZones_Data(), Table_SourceData_ClimateZones[[#Headers],[Climate zone]], 0)</f>
        <v>Tropical wet</v>
      </c>
      <c r="E91" s="17" t="str" cm="1">
        <f t="array" ref="E91">Common_InputFunctions.Utility_DisplayArrayInTable(Common_SourceData.Common_SourceData_ClimateZones_Data(), Table_SourceData_ClimateZones[[#Headers],[Climate zone]], 0)</f>
        <v>&gt; 18 C</v>
      </c>
      <c r="F91" s="17" t="str" cm="1">
        <f t="array" ref="F91">Common_InputFunctions.Utility_DisplayArrayInTable(Common_SourceData.Common_SourceData_ClimateZones_Data(), Table_SourceData_ClimateZones[[#Headers],[Climate zone]], 0)</f>
        <v>&gt; 2000 mm</v>
      </c>
      <c r="G91" s="17" t="str" cm="1">
        <f t="array" ref="G91">Common_InputFunctions.Utility_DisplayArrayInTable(Common_SourceData.Common_SourceData_ClimateZones_Data(), Table_SourceData_ClimateZones[[#Headers],[Climate zone]], 0)</f>
        <v>≤ 7</v>
      </c>
      <c r="H91" s="17" t="str" cm="1">
        <f t="array" ref="H91">Common_InputFunctions.Utility_DisplayArrayInTable(Common_SourceData.Common_SourceData_ClimateZones_Data(), Table_SourceData_ClimateZones[[#Headers],[Climate zone]], 0)</f>
        <v>≤ 1000 m</v>
      </c>
      <c r="I91" s="17" t="str" cm="1">
        <f t="array" ref="I91">Common_InputFunctions.Utility_DisplayArrayInTable(Common_SourceData.Common_SourceData_ClimateZones_Data(), Table_SourceData_ClimateZones[[#Headers],[Climate zone]], 0)</f>
        <v>Any</v>
      </c>
      <c r="J91" s="17" cm="1">
        <f t="array" ref="J91">Common_InputFunctions.Utility_DisplayArrayInTable(Common_SourceData.Common_SourceData_ClimateZones_Data(), Table_SourceData_ClimateZones[[#Headers],[Climate zone]], 0)</f>
        <v>18.001000000000001</v>
      </c>
      <c r="K91" s="17" cm="1">
        <f t="array" ref="K91">Common_InputFunctions.Utility_DisplayArrayInTable(Common_SourceData.Common_SourceData_ClimateZones_Data(), Table_SourceData_ClimateZones[[#Headers],[Climate zone]], 0)</f>
        <v>999999</v>
      </c>
      <c r="L91" s="17" cm="1">
        <f t="array" ref="L91">Common_InputFunctions.Utility_DisplayArrayInTable(Common_SourceData.Common_SourceData_ClimateZones_Data(), Table_SourceData_ClimateZones[[#Headers],[Climate zone]], 0)</f>
        <v>2000.001</v>
      </c>
      <c r="M91" s="17" cm="1">
        <f t="array" ref="M91">Common_InputFunctions.Utility_DisplayArrayInTable(Common_SourceData.Common_SourceData_ClimateZones_Data(), Table_SourceData_ClimateZones[[#Headers],[Climate zone]], 0)</f>
        <v>999999</v>
      </c>
      <c r="N91" s="17" cm="1">
        <f t="array" ref="N91">Common_InputFunctions.Utility_DisplayArrayInTable(Common_SourceData.Common_SourceData_ClimateZones_Data(), Table_SourceData_ClimateZones[[#Headers],[Climate zone]], 0)</f>
        <v>-999999</v>
      </c>
      <c r="O91" s="17" cm="1">
        <f t="array" ref="O91">Common_InputFunctions.Utility_DisplayArrayInTable(Common_SourceData.Common_SourceData_ClimateZones_Data(), Table_SourceData_ClimateZones[[#Headers],[Climate zone]], 0)</f>
        <v>7</v>
      </c>
      <c r="P91" s="17" cm="1">
        <f t="array" ref="P91">Common_InputFunctions.Utility_DisplayArrayInTable(Common_SourceData.Common_SourceData_ClimateZones_Data(), Table_SourceData_ClimateZones[[#Headers],[Climate zone]], 0)</f>
        <v>-999999</v>
      </c>
      <c r="Q91" s="17" cm="1">
        <f t="array" ref="Q91">Common_InputFunctions.Utility_DisplayArrayInTable(Common_SourceData.Common_SourceData_ClimateZones_Data(), Table_SourceData_ClimateZones[[#Headers],[Climate zone]], 0)</f>
        <v>999.99900000000002</v>
      </c>
      <c r="R91" s="17" cm="1">
        <f t="array" ref="R91">Common_InputFunctions.Utility_DisplayArrayInTable(Common_SourceData.Common_SourceData_ClimateZones_Data(), Table_SourceData_ClimateZones[[#Headers],[Climate zone]], 0)</f>
        <v>-999999</v>
      </c>
      <c r="S91" s="17" cm="1">
        <f t="array" ref="S91">Common_InputFunctions.Utility_DisplayArrayInTable(Common_SourceData.Common_SourceData_ClimateZones_Data(), Table_SourceData_ClimateZones[[#Headers],[Climate zone]], 0)</f>
        <v>999999</v>
      </c>
      <c r="T91" s="17"/>
    </row>
    <row r="92" spans="4:20" ht="20.100000000000001" customHeight="1" x14ac:dyDescent="0.25">
      <c r="D92" s="17" t="str" cm="1">
        <f t="array" ref="D92">Common_InputFunctions.Utility_DisplayArrayInTable(Common_SourceData.Common_SourceData_ClimateZones_Data(), Table_SourceData_ClimateZones[[#Headers],[Climate zone]], 0)</f>
        <v>Tropical moist</v>
      </c>
      <c r="E92" s="17" t="str" cm="1">
        <f t="array" ref="E92">Common_InputFunctions.Utility_DisplayArrayInTable(Common_SourceData.Common_SourceData_ClimateZones_Data(), Table_SourceData_ClimateZones[[#Headers],[Climate zone]], 0)</f>
        <v>&gt; 18 C</v>
      </c>
      <c r="F92" s="17" t="str" cm="1">
        <f t="array" ref="F92">Common_InputFunctions.Utility_DisplayArrayInTable(Common_SourceData.Common_SourceData_ClimateZones_Data(), Table_SourceData_ClimateZones[[#Headers],[Climate zone]], 0)</f>
        <v>&gt; 1000 mm - ≤ 2000 mm</v>
      </c>
      <c r="G92" s="17" t="str" cm="1">
        <f t="array" ref="G92">Common_InputFunctions.Utility_DisplayArrayInTable(Common_SourceData.Common_SourceData_ClimateZones_Data(), Table_SourceData_ClimateZones[[#Headers],[Climate zone]], 0)</f>
        <v>≤ 7</v>
      </c>
      <c r="H92" s="17" t="str" cm="1">
        <f t="array" ref="H92">Common_InputFunctions.Utility_DisplayArrayInTable(Common_SourceData.Common_SourceData_ClimateZones_Data(), Table_SourceData_ClimateZones[[#Headers],[Climate zone]], 0)</f>
        <v>≤ 1000 m</v>
      </c>
      <c r="I92" s="17" t="str" cm="1">
        <f t="array" ref="I92">Common_InputFunctions.Utility_DisplayArrayInTable(Common_SourceData.Common_SourceData_ClimateZones_Data(), Table_SourceData_ClimateZones[[#Headers],[Climate zone]], 0)</f>
        <v>Any</v>
      </c>
      <c r="J92" s="17" cm="1">
        <f t="array" ref="J92">Common_InputFunctions.Utility_DisplayArrayInTable(Common_SourceData.Common_SourceData_ClimateZones_Data(), Table_SourceData_ClimateZones[[#Headers],[Climate zone]], 0)</f>
        <v>18.001000000000001</v>
      </c>
      <c r="K92" s="17" cm="1">
        <f t="array" ref="K92">Common_InputFunctions.Utility_DisplayArrayInTable(Common_SourceData.Common_SourceData_ClimateZones_Data(), Table_SourceData_ClimateZones[[#Headers],[Climate zone]], 0)</f>
        <v>999999</v>
      </c>
      <c r="L92" s="17" cm="1">
        <f t="array" ref="L92">Common_InputFunctions.Utility_DisplayArrayInTable(Common_SourceData.Common_SourceData_ClimateZones_Data(), Table_SourceData_ClimateZones[[#Headers],[Climate zone]], 0)</f>
        <v>1000.001</v>
      </c>
      <c r="M92" s="17" cm="1">
        <f t="array" ref="M92">Common_InputFunctions.Utility_DisplayArrayInTable(Common_SourceData.Common_SourceData_ClimateZones_Data(), Table_SourceData_ClimateZones[[#Headers],[Climate zone]], 0)</f>
        <v>2000</v>
      </c>
      <c r="N92" s="17" cm="1">
        <f t="array" ref="N92">Common_InputFunctions.Utility_DisplayArrayInTable(Common_SourceData.Common_SourceData_ClimateZones_Data(), Table_SourceData_ClimateZones[[#Headers],[Climate zone]], 0)</f>
        <v>-999999</v>
      </c>
      <c r="O92" s="17" cm="1">
        <f t="array" ref="O92">Common_InputFunctions.Utility_DisplayArrayInTable(Common_SourceData.Common_SourceData_ClimateZones_Data(), Table_SourceData_ClimateZones[[#Headers],[Climate zone]], 0)</f>
        <v>7</v>
      </c>
      <c r="P92" s="17" cm="1">
        <f t="array" ref="P92">Common_InputFunctions.Utility_DisplayArrayInTable(Common_SourceData.Common_SourceData_ClimateZones_Data(), Table_SourceData_ClimateZones[[#Headers],[Climate zone]], 0)</f>
        <v>-999999</v>
      </c>
      <c r="Q92" s="17" cm="1">
        <f t="array" ref="Q92">Common_InputFunctions.Utility_DisplayArrayInTable(Common_SourceData.Common_SourceData_ClimateZones_Data(), Table_SourceData_ClimateZones[[#Headers],[Climate zone]], 0)</f>
        <v>999.99900000000002</v>
      </c>
      <c r="R92" s="17" cm="1">
        <f t="array" ref="R92">Common_InputFunctions.Utility_DisplayArrayInTable(Common_SourceData.Common_SourceData_ClimateZones_Data(), Table_SourceData_ClimateZones[[#Headers],[Climate zone]], 0)</f>
        <v>-999999</v>
      </c>
      <c r="S92" s="17" cm="1">
        <f t="array" ref="S92">Common_InputFunctions.Utility_DisplayArrayInTable(Common_SourceData.Common_SourceData_ClimateZones_Data(), Table_SourceData_ClimateZones[[#Headers],[Climate zone]], 0)</f>
        <v>999999</v>
      </c>
      <c r="T92" s="17"/>
    </row>
    <row r="93" spans="4:20" ht="20.100000000000001" customHeight="1" x14ac:dyDescent="0.25">
      <c r="D93" s="17" t="str" cm="1">
        <f t="array" ref="D93">Common_InputFunctions.Utility_DisplayArrayInTable(Common_SourceData.Common_SourceData_ClimateZones_Data(), Table_SourceData_ClimateZones[[#Headers],[Climate zone]], 0)</f>
        <v>Tropical dry</v>
      </c>
      <c r="E93" s="17" t="str" cm="1">
        <f t="array" ref="E93">Common_InputFunctions.Utility_DisplayArrayInTable(Common_SourceData.Common_SourceData_ClimateZones_Data(), Table_SourceData_ClimateZones[[#Headers],[Climate zone]], 0)</f>
        <v>&gt; 18 C</v>
      </c>
      <c r="F93" s="17" t="str" cm="1">
        <f t="array" ref="F93">Common_InputFunctions.Utility_DisplayArrayInTable(Common_SourceData.Common_SourceData_ClimateZones_Data(), Table_SourceData_ClimateZones[[#Headers],[Climate zone]], 0)</f>
        <v>≤ 1000 mm</v>
      </c>
      <c r="G93" s="17" t="str" cm="1">
        <f t="array" ref="G93">Common_InputFunctions.Utility_DisplayArrayInTable(Common_SourceData.Common_SourceData_ClimateZones_Data(), Table_SourceData_ClimateZones[[#Headers],[Climate zone]], 0)</f>
        <v>≤ 7</v>
      </c>
      <c r="H93" s="17" t="str" cm="1">
        <f t="array" ref="H93">Common_InputFunctions.Utility_DisplayArrayInTable(Common_SourceData.Common_SourceData_ClimateZones_Data(), Table_SourceData_ClimateZones[[#Headers],[Climate zone]], 0)</f>
        <v>≤ 1000 m</v>
      </c>
      <c r="I93" s="17" t="str" cm="1">
        <f t="array" ref="I93">Common_InputFunctions.Utility_DisplayArrayInTable(Common_SourceData.Common_SourceData_ClimateZones_Data(), Table_SourceData_ClimateZones[[#Headers],[Climate zone]], 0)</f>
        <v>Any</v>
      </c>
      <c r="J93" s="17" cm="1">
        <f t="array" ref="J93">Common_InputFunctions.Utility_DisplayArrayInTable(Common_SourceData.Common_SourceData_ClimateZones_Data(), Table_SourceData_ClimateZones[[#Headers],[Climate zone]], 0)</f>
        <v>18.001000000000001</v>
      </c>
      <c r="K93" s="17" cm="1">
        <f t="array" ref="K93">Common_InputFunctions.Utility_DisplayArrayInTable(Common_SourceData.Common_SourceData_ClimateZones_Data(), Table_SourceData_ClimateZones[[#Headers],[Climate zone]], 0)</f>
        <v>999999</v>
      </c>
      <c r="L93" s="17" cm="1">
        <f t="array" ref="L93">Common_InputFunctions.Utility_DisplayArrayInTable(Common_SourceData.Common_SourceData_ClimateZones_Data(), Table_SourceData_ClimateZones[[#Headers],[Climate zone]], 0)</f>
        <v>-999999</v>
      </c>
      <c r="M93" s="17" cm="1">
        <f t="array" ref="M93">Common_InputFunctions.Utility_DisplayArrayInTable(Common_SourceData.Common_SourceData_ClimateZones_Data(), Table_SourceData_ClimateZones[[#Headers],[Climate zone]], 0)</f>
        <v>1000</v>
      </c>
      <c r="N93" s="17" cm="1">
        <f t="array" ref="N93">Common_InputFunctions.Utility_DisplayArrayInTable(Common_SourceData.Common_SourceData_ClimateZones_Data(), Table_SourceData_ClimateZones[[#Headers],[Climate zone]], 0)</f>
        <v>-999999</v>
      </c>
      <c r="O93" s="17" cm="1">
        <f t="array" ref="O93">Common_InputFunctions.Utility_DisplayArrayInTable(Common_SourceData.Common_SourceData_ClimateZones_Data(), Table_SourceData_ClimateZones[[#Headers],[Climate zone]], 0)</f>
        <v>7</v>
      </c>
      <c r="P93" s="17" cm="1">
        <f t="array" ref="P93">Common_InputFunctions.Utility_DisplayArrayInTable(Common_SourceData.Common_SourceData_ClimateZones_Data(), Table_SourceData_ClimateZones[[#Headers],[Climate zone]], 0)</f>
        <v>-999999</v>
      </c>
      <c r="Q93" s="17" cm="1">
        <f t="array" ref="Q93">Common_InputFunctions.Utility_DisplayArrayInTable(Common_SourceData.Common_SourceData_ClimateZones_Data(), Table_SourceData_ClimateZones[[#Headers],[Climate zone]], 0)</f>
        <v>999.99900000000002</v>
      </c>
      <c r="R93" s="17" cm="1">
        <f t="array" ref="R93">Common_InputFunctions.Utility_DisplayArrayInTable(Common_SourceData.Common_SourceData_ClimateZones_Data(), Table_SourceData_ClimateZones[[#Headers],[Climate zone]], 0)</f>
        <v>-999999</v>
      </c>
      <c r="S93" s="17" cm="1">
        <f t="array" ref="S93">Common_InputFunctions.Utility_DisplayArrayInTable(Common_SourceData.Common_SourceData_ClimateZones_Data(), Table_SourceData_ClimateZones[[#Headers],[Climate zone]], 0)</f>
        <v>999999</v>
      </c>
      <c r="T93" s="17"/>
    </row>
    <row r="94" spans="4:20" ht="20.100000000000001" customHeight="1" x14ac:dyDescent="0.25">
      <c r="D94" s="17" t="str" cm="1">
        <f t="array" ref="D94">Common_InputFunctions.Utility_DisplayArrayInTable(Common_SourceData.Common_SourceData_ClimateZones_Data(), Table_SourceData_ClimateZones[[#Headers],[Climate zone]], 0)</f>
        <v>Warm temperate moist</v>
      </c>
      <c r="E94" s="17" t="str" cm="1">
        <f t="array" ref="E94">Common_InputFunctions.Utility_DisplayArrayInTable(Common_SourceData.Common_SourceData_ClimateZones_Data(), Table_SourceData_ClimateZones[[#Headers],[Climate zone]], 0)</f>
        <v>&gt; 10 C</v>
      </c>
      <c r="F94" s="17" t="str" cm="1">
        <f t="array" ref="F94">Common_InputFunctions.Utility_DisplayArrayInTable(Common_SourceData.Common_SourceData_ClimateZones_Data(), Table_SourceData_ClimateZones[[#Headers],[Climate zone]], 0)</f>
        <v>Any</v>
      </c>
      <c r="G94" s="17" t="str" cm="1">
        <f t="array" ref="G94">Common_InputFunctions.Utility_DisplayArrayInTable(Common_SourceData.Common_SourceData_ClimateZones_Data(), Table_SourceData_ClimateZones[[#Headers],[Climate zone]], 0)</f>
        <v>Any</v>
      </c>
      <c r="H94" s="17" t="str" cm="1">
        <f t="array" ref="H94">Common_InputFunctions.Utility_DisplayArrayInTable(Common_SourceData.Common_SourceData_ClimateZones_Data(), Table_SourceData_ClimateZones[[#Headers],[Climate zone]], 0)</f>
        <v>Any</v>
      </c>
      <c r="I94" s="17" t="str" cm="1">
        <f t="array" ref="I94">Common_InputFunctions.Utility_DisplayArrayInTable(Common_SourceData.Common_SourceData_ClimateZones_Data(), Table_SourceData_ClimateZones[[#Headers],[Climate zone]], 0)</f>
        <v>&gt; 1</v>
      </c>
      <c r="J94" s="17" cm="1">
        <f t="array" ref="J94">Common_InputFunctions.Utility_DisplayArrayInTable(Common_SourceData.Common_SourceData_ClimateZones_Data(), Table_SourceData_ClimateZones[[#Headers],[Climate zone]], 0)</f>
        <v>10.000999999999999</v>
      </c>
      <c r="K94" s="17" cm="1">
        <f t="array" ref="K94">Common_InputFunctions.Utility_DisplayArrayInTable(Common_SourceData.Common_SourceData_ClimateZones_Data(), Table_SourceData_ClimateZones[[#Headers],[Climate zone]], 0)</f>
        <v>999999</v>
      </c>
      <c r="L94" s="17" cm="1">
        <f t="array" ref="L94">Common_InputFunctions.Utility_DisplayArrayInTable(Common_SourceData.Common_SourceData_ClimateZones_Data(), Table_SourceData_ClimateZones[[#Headers],[Climate zone]], 0)</f>
        <v>-999999</v>
      </c>
      <c r="M94" s="17" cm="1">
        <f t="array" ref="M94">Common_InputFunctions.Utility_DisplayArrayInTable(Common_SourceData.Common_SourceData_ClimateZones_Data(), Table_SourceData_ClimateZones[[#Headers],[Climate zone]], 0)</f>
        <v>999999</v>
      </c>
      <c r="N94" s="17" cm="1">
        <f t="array" ref="N94">Common_InputFunctions.Utility_DisplayArrayInTable(Common_SourceData.Common_SourceData_ClimateZones_Data(), Table_SourceData_ClimateZones[[#Headers],[Climate zone]], 0)</f>
        <v>-999999</v>
      </c>
      <c r="O94" s="17" cm="1">
        <f t="array" ref="O94">Common_InputFunctions.Utility_DisplayArrayInTable(Common_SourceData.Common_SourceData_ClimateZones_Data(), Table_SourceData_ClimateZones[[#Headers],[Climate zone]], 0)</f>
        <v>999999</v>
      </c>
      <c r="P94" s="17" cm="1">
        <f t="array" ref="P94">Common_InputFunctions.Utility_DisplayArrayInTable(Common_SourceData.Common_SourceData_ClimateZones_Data(), Table_SourceData_ClimateZones[[#Headers],[Climate zone]], 0)</f>
        <v>-999999</v>
      </c>
      <c r="Q94" s="17" cm="1">
        <f t="array" ref="Q94">Common_InputFunctions.Utility_DisplayArrayInTable(Common_SourceData.Common_SourceData_ClimateZones_Data(), Table_SourceData_ClimateZones[[#Headers],[Climate zone]], 0)</f>
        <v>999999</v>
      </c>
      <c r="R94" s="17" cm="1">
        <f t="array" ref="R94">Common_InputFunctions.Utility_DisplayArrayInTable(Common_SourceData.Common_SourceData_ClimateZones_Data(), Table_SourceData_ClimateZones[[#Headers],[Climate zone]], 0)</f>
        <v>1.0009999999999999</v>
      </c>
      <c r="S94" s="17" cm="1">
        <f t="array" ref="S94">Common_InputFunctions.Utility_DisplayArrayInTable(Common_SourceData.Common_SourceData_ClimateZones_Data(), Table_SourceData_ClimateZones[[#Headers],[Climate zone]], 0)</f>
        <v>999999</v>
      </c>
      <c r="T94" s="17"/>
    </row>
    <row r="95" spans="4:20" ht="20.100000000000001" customHeight="1" x14ac:dyDescent="0.25">
      <c r="D95" s="17" t="str" cm="1">
        <f t="array" ref="D95">Common_InputFunctions.Utility_DisplayArrayInTable(Common_SourceData.Common_SourceData_ClimateZones_Data(), Table_SourceData_ClimateZones[[#Headers],[Climate zone]], 0)</f>
        <v>Warm temperate dry</v>
      </c>
      <c r="E95" s="17" t="str" cm="1">
        <f t="array" ref="E95">Common_InputFunctions.Utility_DisplayArrayInTable(Common_SourceData.Common_SourceData_ClimateZones_Data(), Table_SourceData_ClimateZones[[#Headers],[Climate zone]], 0)</f>
        <v>&gt; 10 C</v>
      </c>
      <c r="F95" s="17" t="str" cm="1">
        <f t="array" ref="F95">Common_InputFunctions.Utility_DisplayArrayInTable(Common_SourceData.Common_SourceData_ClimateZones_Data(), Table_SourceData_ClimateZones[[#Headers],[Climate zone]], 0)</f>
        <v>Any</v>
      </c>
      <c r="G95" s="17" t="str" cm="1">
        <f t="array" ref="G95">Common_InputFunctions.Utility_DisplayArrayInTable(Common_SourceData.Common_SourceData_ClimateZones_Data(), Table_SourceData_ClimateZones[[#Headers],[Climate zone]], 0)</f>
        <v>Any</v>
      </c>
      <c r="H95" s="17" t="str" cm="1">
        <f t="array" ref="H95">Common_InputFunctions.Utility_DisplayArrayInTable(Common_SourceData.Common_SourceData_ClimateZones_Data(), Table_SourceData_ClimateZones[[#Headers],[Climate zone]], 0)</f>
        <v>Any</v>
      </c>
      <c r="I95" s="17" t="str" cm="1">
        <f t="array" ref="I95">Common_InputFunctions.Utility_DisplayArrayInTable(Common_SourceData.Common_SourceData_ClimateZones_Data(), Table_SourceData_ClimateZones[[#Headers],[Climate zone]], 0)</f>
        <v>≤ 1</v>
      </c>
      <c r="J95" s="17" cm="1">
        <f t="array" ref="J95">Common_InputFunctions.Utility_DisplayArrayInTable(Common_SourceData.Common_SourceData_ClimateZones_Data(), Table_SourceData_ClimateZones[[#Headers],[Climate zone]], 0)</f>
        <v>10.000999999999999</v>
      </c>
      <c r="K95" s="17" cm="1">
        <f t="array" ref="K95">Common_InputFunctions.Utility_DisplayArrayInTable(Common_SourceData.Common_SourceData_ClimateZones_Data(), Table_SourceData_ClimateZones[[#Headers],[Climate zone]], 0)</f>
        <v>999999</v>
      </c>
      <c r="L95" s="17" cm="1">
        <f t="array" ref="L95">Common_InputFunctions.Utility_DisplayArrayInTable(Common_SourceData.Common_SourceData_ClimateZones_Data(), Table_SourceData_ClimateZones[[#Headers],[Climate zone]], 0)</f>
        <v>-999999</v>
      </c>
      <c r="M95" s="17" cm="1">
        <f t="array" ref="M95">Common_InputFunctions.Utility_DisplayArrayInTable(Common_SourceData.Common_SourceData_ClimateZones_Data(), Table_SourceData_ClimateZones[[#Headers],[Climate zone]], 0)</f>
        <v>999999</v>
      </c>
      <c r="N95" s="17" cm="1">
        <f t="array" ref="N95">Common_InputFunctions.Utility_DisplayArrayInTable(Common_SourceData.Common_SourceData_ClimateZones_Data(), Table_SourceData_ClimateZones[[#Headers],[Climate zone]], 0)</f>
        <v>-999999</v>
      </c>
      <c r="O95" s="17" cm="1">
        <f t="array" ref="O95">Common_InputFunctions.Utility_DisplayArrayInTable(Common_SourceData.Common_SourceData_ClimateZones_Data(), Table_SourceData_ClimateZones[[#Headers],[Climate zone]], 0)</f>
        <v>999999</v>
      </c>
      <c r="P95" s="17" cm="1">
        <f t="array" ref="P95">Common_InputFunctions.Utility_DisplayArrayInTable(Common_SourceData.Common_SourceData_ClimateZones_Data(), Table_SourceData_ClimateZones[[#Headers],[Climate zone]], 0)</f>
        <v>-999999</v>
      </c>
      <c r="Q95" s="17" cm="1">
        <f t="array" ref="Q95">Common_InputFunctions.Utility_DisplayArrayInTable(Common_SourceData.Common_SourceData_ClimateZones_Data(), Table_SourceData_ClimateZones[[#Headers],[Climate zone]], 0)</f>
        <v>999999</v>
      </c>
      <c r="R95" s="17" cm="1">
        <f t="array" ref="R95">Common_InputFunctions.Utility_DisplayArrayInTable(Common_SourceData.Common_SourceData_ClimateZones_Data(), Table_SourceData_ClimateZones[[#Headers],[Climate zone]], 0)</f>
        <v>-999999</v>
      </c>
      <c r="S95" s="17" cm="1">
        <f t="array" ref="S95">Common_InputFunctions.Utility_DisplayArrayInTable(Common_SourceData.Common_SourceData_ClimateZones_Data(), Table_SourceData_ClimateZones[[#Headers],[Climate zone]], 0)</f>
        <v>1</v>
      </c>
      <c r="T95" s="17"/>
    </row>
    <row r="96" spans="4:20" ht="20.100000000000001" customHeight="1" x14ac:dyDescent="0.25">
      <c r="D96" s="17" t="str" cm="1">
        <f t="array" ref="D96">Common_InputFunctions.Utility_DisplayArrayInTable(Common_SourceData.Common_SourceData_ClimateZones_Data(), Table_SourceData_ClimateZones[[#Headers],[Climate zone]], 0)</f>
        <v>Cool temperate moist</v>
      </c>
      <c r="E96" s="17" t="str" cm="1">
        <f t="array" ref="E96">Common_InputFunctions.Utility_DisplayArrayInTable(Common_SourceData.Common_SourceData_ClimateZones_Data(), Table_SourceData_ClimateZones[[#Headers],[Climate zone]], 0)</f>
        <v>&gt; 0 C - ≤ 10 C</v>
      </c>
      <c r="F96" s="17" t="str" cm="1">
        <f t="array" ref="F96">Common_InputFunctions.Utility_DisplayArrayInTable(Common_SourceData.Common_SourceData_ClimateZones_Data(), Table_SourceData_ClimateZones[[#Headers],[Climate zone]], 0)</f>
        <v>Any</v>
      </c>
      <c r="G96" s="17" t="str" cm="1">
        <f t="array" ref="G96">Common_InputFunctions.Utility_DisplayArrayInTable(Common_SourceData.Common_SourceData_ClimateZones_Data(), Table_SourceData_ClimateZones[[#Headers],[Climate zone]], 0)</f>
        <v>Any</v>
      </c>
      <c r="H96" s="17" t="str" cm="1">
        <f t="array" ref="H96">Common_InputFunctions.Utility_DisplayArrayInTable(Common_SourceData.Common_SourceData_ClimateZones_Data(), Table_SourceData_ClimateZones[[#Headers],[Climate zone]], 0)</f>
        <v>Any</v>
      </c>
      <c r="I96" s="17" t="str" cm="1">
        <f t="array" ref="I96">Common_InputFunctions.Utility_DisplayArrayInTable(Common_SourceData.Common_SourceData_ClimateZones_Data(), Table_SourceData_ClimateZones[[#Headers],[Climate zone]], 0)</f>
        <v>&gt; 1</v>
      </c>
      <c r="J96" s="17" cm="1">
        <f t="array" ref="J96">Common_InputFunctions.Utility_DisplayArrayInTable(Common_SourceData.Common_SourceData_ClimateZones_Data(), Table_SourceData_ClimateZones[[#Headers],[Climate zone]], 0)</f>
        <v>-999999</v>
      </c>
      <c r="K96" s="17" cm="1">
        <f t="array" ref="K96">Common_InputFunctions.Utility_DisplayArrayInTable(Common_SourceData.Common_SourceData_ClimateZones_Data(), Table_SourceData_ClimateZones[[#Headers],[Climate zone]], 0)</f>
        <v>10</v>
      </c>
      <c r="L96" s="17" cm="1">
        <f t="array" ref="L96">Common_InputFunctions.Utility_DisplayArrayInTable(Common_SourceData.Common_SourceData_ClimateZones_Data(), Table_SourceData_ClimateZones[[#Headers],[Climate zone]], 0)</f>
        <v>-999999</v>
      </c>
      <c r="M96" s="17" cm="1">
        <f t="array" ref="M96">Common_InputFunctions.Utility_DisplayArrayInTable(Common_SourceData.Common_SourceData_ClimateZones_Data(), Table_SourceData_ClimateZones[[#Headers],[Climate zone]], 0)</f>
        <v>999999</v>
      </c>
      <c r="N96" s="17" cm="1">
        <f t="array" ref="N96">Common_InputFunctions.Utility_DisplayArrayInTable(Common_SourceData.Common_SourceData_ClimateZones_Data(), Table_SourceData_ClimateZones[[#Headers],[Climate zone]], 0)</f>
        <v>-999999</v>
      </c>
      <c r="O96" s="17" cm="1">
        <f t="array" ref="O96">Common_InputFunctions.Utility_DisplayArrayInTable(Common_SourceData.Common_SourceData_ClimateZones_Data(), Table_SourceData_ClimateZones[[#Headers],[Climate zone]], 0)</f>
        <v>999999</v>
      </c>
      <c r="P96" s="17" cm="1">
        <f t="array" ref="P96">Common_InputFunctions.Utility_DisplayArrayInTable(Common_SourceData.Common_SourceData_ClimateZones_Data(), Table_SourceData_ClimateZones[[#Headers],[Climate zone]], 0)</f>
        <v>-999999</v>
      </c>
      <c r="Q96" s="17" cm="1">
        <f t="array" ref="Q96">Common_InputFunctions.Utility_DisplayArrayInTable(Common_SourceData.Common_SourceData_ClimateZones_Data(), Table_SourceData_ClimateZones[[#Headers],[Climate zone]], 0)</f>
        <v>999999</v>
      </c>
      <c r="R96" s="17" cm="1">
        <f t="array" ref="R96">Common_InputFunctions.Utility_DisplayArrayInTable(Common_SourceData.Common_SourceData_ClimateZones_Data(), Table_SourceData_ClimateZones[[#Headers],[Climate zone]], 0)</f>
        <v>1.0009999999999999</v>
      </c>
      <c r="S96" s="17" cm="1">
        <f t="array" ref="S96">Common_InputFunctions.Utility_DisplayArrayInTable(Common_SourceData.Common_SourceData_ClimateZones_Data(), Table_SourceData_ClimateZones[[#Headers],[Climate zone]], 0)</f>
        <v>999999</v>
      </c>
      <c r="T96" s="17"/>
    </row>
    <row r="97" spans="4:20" ht="20.100000000000001" customHeight="1" x14ac:dyDescent="0.25">
      <c r="D97" s="17" t="str" cm="1">
        <f t="array" ref="D97">Common_InputFunctions.Utility_DisplayArrayInTable(Common_SourceData.Common_SourceData_ClimateZones_Data(), Table_SourceData_ClimateZones[[#Headers],[Climate zone]], 0)</f>
        <v>Cool temperate dry</v>
      </c>
      <c r="E97" s="17" t="str" cm="1">
        <f t="array" ref="E97">Common_InputFunctions.Utility_DisplayArrayInTable(Common_SourceData.Common_SourceData_ClimateZones_Data(), Table_SourceData_ClimateZones[[#Headers],[Climate zone]], 0)</f>
        <v>&gt; 0 C - ≤ 10 C</v>
      </c>
      <c r="F97" s="17" t="str" cm="1">
        <f t="array" ref="F97">Common_InputFunctions.Utility_DisplayArrayInTable(Common_SourceData.Common_SourceData_ClimateZones_Data(), Table_SourceData_ClimateZones[[#Headers],[Climate zone]], 0)</f>
        <v>Any</v>
      </c>
      <c r="G97" s="17" t="str" cm="1">
        <f t="array" ref="G97">Common_InputFunctions.Utility_DisplayArrayInTable(Common_SourceData.Common_SourceData_ClimateZones_Data(), Table_SourceData_ClimateZones[[#Headers],[Climate zone]], 0)</f>
        <v>Any</v>
      </c>
      <c r="H97" s="17" t="str" cm="1">
        <f t="array" ref="H97">Common_InputFunctions.Utility_DisplayArrayInTable(Common_SourceData.Common_SourceData_ClimateZones_Data(), Table_SourceData_ClimateZones[[#Headers],[Climate zone]], 0)</f>
        <v>Any</v>
      </c>
      <c r="I97" s="17" t="str" cm="1">
        <f t="array" ref="I97">Common_InputFunctions.Utility_DisplayArrayInTable(Common_SourceData.Common_SourceData_ClimateZones_Data(), Table_SourceData_ClimateZones[[#Headers],[Climate zone]], 0)</f>
        <v>≤ 1</v>
      </c>
      <c r="J97" s="17" cm="1">
        <f t="array" ref="J97">Common_InputFunctions.Utility_DisplayArrayInTable(Common_SourceData.Common_SourceData_ClimateZones_Data(), Table_SourceData_ClimateZones[[#Headers],[Climate zone]], 0)</f>
        <v>-999999</v>
      </c>
      <c r="K97" s="17" cm="1">
        <f t="array" ref="K97">Common_InputFunctions.Utility_DisplayArrayInTable(Common_SourceData.Common_SourceData_ClimateZones_Data(), Table_SourceData_ClimateZones[[#Headers],[Climate zone]], 0)</f>
        <v>10</v>
      </c>
      <c r="L97" s="17" cm="1">
        <f t="array" ref="L97">Common_InputFunctions.Utility_DisplayArrayInTable(Common_SourceData.Common_SourceData_ClimateZones_Data(), Table_SourceData_ClimateZones[[#Headers],[Climate zone]], 0)</f>
        <v>-999999</v>
      </c>
      <c r="M97" s="17" cm="1">
        <f t="array" ref="M97">Common_InputFunctions.Utility_DisplayArrayInTable(Common_SourceData.Common_SourceData_ClimateZones_Data(), Table_SourceData_ClimateZones[[#Headers],[Climate zone]], 0)</f>
        <v>999999</v>
      </c>
      <c r="N97" s="17" cm="1">
        <f t="array" ref="N97">Common_InputFunctions.Utility_DisplayArrayInTable(Common_SourceData.Common_SourceData_ClimateZones_Data(), Table_SourceData_ClimateZones[[#Headers],[Climate zone]], 0)</f>
        <v>-999999</v>
      </c>
      <c r="O97" s="17" cm="1">
        <f t="array" ref="O97">Common_InputFunctions.Utility_DisplayArrayInTable(Common_SourceData.Common_SourceData_ClimateZones_Data(), Table_SourceData_ClimateZones[[#Headers],[Climate zone]], 0)</f>
        <v>999999</v>
      </c>
      <c r="P97" s="17" cm="1">
        <f t="array" ref="P97">Common_InputFunctions.Utility_DisplayArrayInTable(Common_SourceData.Common_SourceData_ClimateZones_Data(), Table_SourceData_ClimateZones[[#Headers],[Climate zone]], 0)</f>
        <v>-999999</v>
      </c>
      <c r="Q97" s="17" cm="1">
        <f t="array" ref="Q97">Common_InputFunctions.Utility_DisplayArrayInTable(Common_SourceData.Common_SourceData_ClimateZones_Data(), Table_SourceData_ClimateZones[[#Headers],[Climate zone]], 0)</f>
        <v>999999</v>
      </c>
      <c r="R97" s="17" cm="1">
        <f t="array" ref="R97">Common_InputFunctions.Utility_DisplayArrayInTable(Common_SourceData.Common_SourceData_ClimateZones_Data(), Table_SourceData_ClimateZones[[#Headers],[Climate zone]], 0)</f>
        <v>-999999</v>
      </c>
      <c r="S97" s="17" cm="1">
        <f t="array" ref="S97">Common_InputFunctions.Utility_DisplayArrayInTable(Common_SourceData.Common_SourceData_ClimateZones_Data(), Table_SourceData_ClimateZones[[#Headers],[Climate zone]], 0)</f>
        <v>1</v>
      </c>
      <c r="T97" s="17"/>
    </row>
    <row r="98" spans="4:20" ht="20.100000000000001" customHeight="1" x14ac:dyDescent="0.25"/>
    <row r="99" spans="4:20" ht="20.100000000000001" customHeight="1" x14ac:dyDescent="0.25">
      <c r="D99" s="20" t="str" cm="1">
        <f t="array" ref="D99:D102">Common_SourceData.Common_SourceData_ClimateZones_Appendices()</f>
        <v>Note:</v>
      </c>
    </row>
    <row r="100" spans="4:20" ht="20.100000000000001" customHeight="1" x14ac:dyDescent="0.25">
      <c r="D100" s="20" t="str">
        <v>MAT = mean annual temperature</v>
      </c>
    </row>
    <row r="101" spans="4:20" ht="20.100000000000001" customHeight="1" x14ac:dyDescent="0.25">
      <c r="D101" s="20" t="str">
        <v>MAP = mean annual precipitation</v>
      </c>
    </row>
    <row r="102" spans="4:20" ht="20.100000000000001" customHeight="1" x14ac:dyDescent="0.25">
      <c r="D102" s="20" t="str">
        <v>PET = potential evapotranspiration</v>
      </c>
    </row>
    <row r="103" spans="4:20" ht="20.100000000000001" customHeight="1" x14ac:dyDescent="0.25">
      <c r="D103" s="20"/>
    </row>
    <row r="104" spans="4:20" ht="20.100000000000001" customHeight="1" x14ac:dyDescent="0.25"/>
    <row r="105" spans="4:20" ht="20.100000000000001" customHeight="1" x14ac:dyDescent="0.25">
      <c r="D105" s="16" t="str" cm="1">
        <f t="array" ref="D105">Common_SourceData.Common_SourceData_TemperatureZones_Title()</f>
        <v>VEERG Australian temperature zones</v>
      </c>
    </row>
    <row r="106" spans="4:20" ht="20.100000000000001" customHeight="1" x14ac:dyDescent="0.25">
      <c r="D106" s="18" t="str" cm="1">
        <f t="array" ref="D106">Common_SourceData.Common_SourceData_TemperatureZones_Source()</f>
        <v>VEERG 2026: Table 1.3: Climate and Rainfall zone classifications and definitions</v>
      </c>
    </row>
    <row r="107" spans="4:20" ht="20.100000000000001" customHeight="1" x14ac:dyDescent="0.25">
      <c r="D107" s="19"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17" t="s">
        <v>41</v>
      </c>
      <c r="E109" s="17" t="s">
        <v>26</v>
      </c>
      <c r="F109" s="17" t="s">
        <v>42</v>
      </c>
      <c r="G109" s="17" t="s">
        <v>43</v>
      </c>
    </row>
    <row r="110" spans="4:20" ht="20.100000000000001" customHeight="1" x14ac:dyDescent="0.25">
      <c r="D110" s="17" t="str" cm="1">
        <f t="array" ref="D110">Common_InputFunctions.Utility_DisplayArrayInTable(Common_SourceData.Common_SourceData_TemperatureZones_Data(),Table_SourceData_TemperatureZones[[#Headers],[Temperature Zone]],0)</f>
        <v>Warm</v>
      </c>
      <c r="E110" s="17" t="str" cm="1">
        <f t="array" ref="E110">Common_InputFunctions.Utility_DisplayArrayInTable(Common_SourceData.Common_SourceData_TemperatureZones_Data(),Table_SourceData_TemperatureZones[[#Headers],[Temperature Zone]],0)</f>
        <v>≥ 26 C</v>
      </c>
      <c r="F110" s="17" cm="1">
        <f t="array" ref="F110">Common_InputFunctions.Utility_DisplayArrayInTable(Common_SourceData.Common_SourceData_TemperatureZones_Data(),Table_SourceData_TemperatureZones[[#Headers],[Temperature Zone]],0)</f>
        <v>26</v>
      </c>
      <c r="G110" s="17" cm="1">
        <f t="array" ref="G110">Common_InputFunctions.Utility_DisplayArrayInTable(Common_SourceData.Common_SourceData_TemperatureZones_Data(),Table_SourceData_TemperatureZones[[#Headers],[Temperature Zone]],0)</f>
        <v>999999</v>
      </c>
    </row>
    <row r="111" spans="4:20" ht="20.100000000000001" customHeight="1" x14ac:dyDescent="0.25">
      <c r="D111" s="17" t="str" cm="1">
        <f t="array" ref="D111">Common_InputFunctions.Utility_DisplayArrayInTable(Common_SourceData.Common_SourceData_TemperatureZones_Data(),Table_SourceData_TemperatureZones[[#Headers],[Temperature Zone]],0)</f>
        <v>Temperate</v>
      </c>
      <c r="E111" s="17" t="str" cm="1">
        <f t="array" ref="E111">Common_InputFunctions.Utility_DisplayArrayInTable(Common_SourceData.Common_SourceData_TemperatureZones_Data(),Table_SourceData_TemperatureZones[[#Headers],[Temperature Zone]],0)</f>
        <v>15 - 25 C</v>
      </c>
      <c r="F111" s="17" cm="1">
        <f t="array" ref="F111">Common_InputFunctions.Utility_DisplayArrayInTable(Common_SourceData.Common_SourceData_TemperatureZones_Data(),Table_SourceData_TemperatureZones[[#Headers],[Temperature Zone]],0)</f>
        <v>15</v>
      </c>
      <c r="G111" s="1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17" t="str" cm="1">
        <f t="array" ref="D112">Common_InputFunctions.Utility_DisplayArrayInTable(Common_SourceData.Common_SourceData_TemperatureZones_Data(),Table_SourceData_TemperatureZones[[#Headers],[Temperature Zone]],0)</f>
        <v>Cool</v>
      </c>
      <c r="E112" s="17" t="str" cm="1">
        <f t="array" ref="E112">Common_InputFunctions.Utility_DisplayArrayInTable(Common_SourceData.Common_SourceData_TemperatureZones_Data(),Table_SourceData_TemperatureZones[[#Headers],[Temperature Zone]],0)</f>
        <v>≤ 14 C</v>
      </c>
      <c r="F112" s="17" cm="1">
        <f t="array" ref="F112">Common_InputFunctions.Utility_DisplayArrayInTable(Common_SourceData.Common_SourceData_TemperatureZones_Data(),Table_SourceData_TemperatureZones[[#Headers],[Temperature Zone]],0)</f>
        <v>-999999</v>
      </c>
      <c r="G112" s="1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16" t="str" cm="1">
        <f t="array" ref="D115">Common_SourceData.Common_SourceData_RainfallZones_Title()</f>
        <v>VEERG Australian rainfall zones</v>
      </c>
      <c r="BN115" s="11"/>
    </row>
    <row r="116" spans="4:66" ht="20.100000000000001" customHeight="1" x14ac:dyDescent="0.25">
      <c r="D116" s="18" t="str" cm="1">
        <f t="array" ref="D116">Common_SourceData.Common_SourceData_RainfallZones_Source()</f>
        <v>VEERG 2026: Table 1.3: Climate and Rainfall zone classifications and definitions</v>
      </c>
      <c r="BN116" s="11"/>
    </row>
    <row r="117" spans="4:66" ht="20.100000000000001" customHeight="1" x14ac:dyDescent="0.25">
      <c r="D117" s="19" t="str" cm="1">
        <f t="array" ref="D117">"⚠️" &amp; Common_SourceData.Common_SourceData_RainfallZones_Variation()</f>
        <v>⚠️VARIATION OF SOURCE DATA: Added extra Rainfall min and Rainfall max columns to calculate zone from real rainfall data.</v>
      </c>
      <c r="BN117" s="11"/>
    </row>
    <row r="118" spans="4:66" ht="20.100000000000001" customHeight="1" x14ac:dyDescent="0.25">
      <c r="BN118" s="11"/>
    </row>
    <row r="119" spans="4:66" ht="20.100000000000001" customHeight="1" x14ac:dyDescent="0.25">
      <c r="D119" s="17" t="s">
        <v>44</v>
      </c>
      <c r="E119" s="17" t="s">
        <v>45</v>
      </c>
      <c r="F119" s="17" t="s">
        <v>33</v>
      </c>
      <c r="G119" s="17" t="s">
        <v>34</v>
      </c>
      <c r="BN119" s="11"/>
    </row>
    <row r="120" spans="4:66" ht="20.100000000000001" customHeight="1" x14ac:dyDescent="0.25">
      <c r="D120" s="17" t="str" cm="1">
        <f t="array" ref="D120">Common_InputFunctions.Utility_DisplayArrayInTable(Common_SourceData.Common_SourceData_RainfallZones_Data(),Table_SourceData_RainfallZones[[#Headers],[Rainfall Zone]],0)</f>
        <v>High rainfall</v>
      </c>
      <c r="E120" s="17" t="str" cm="1">
        <f t="array" ref="E120">Common_InputFunctions.Utility_DisplayArrayInTable(Common_SourceData.Common_SourceData_RainfallZones_Data(),Table_SourceData_RainfallZones[[#Headers],[Rainfall Zone]],0)</f>
        <v>Annual rainfall &gt; 600mm</v>
      </c>
      <c r="F120" s="17" cm="1">
        <f t="array" ref="F120">Common_InputFunctions.Utility_DisplayArrayInTable(Common_SourceData.Common_SourceData_RainfallZones_Data(),Table_SourceData_RainfallZones[[#Headers],[Rainfall Zone]],0)</f>
        <v>600.00099999999998</v>
      </c>
      <c r="G120" s="17" cm="1">
        <f t="array" ref="G120">Common_InputFunctions.Utility_DisplayArrayInTable(Common_SourceData.Common_SourceData_RainfallZones_Data(),Table_SourceData_RainfallZones[[#Headers],[Rainfall Zone]],0)</f>
        <v>999999</v>
      </c>
      <c r="BN120" s="11"/>
    </row>
    <row r="121" spans="4:66" ht="20.100000000000001" customHeight="1" x14ac:dyDescent="0.25">
      <c r="D121" s="17" t="str" cm="1">
        <f t="array" ref="D121">Common_InputFunctions.Utility_DisplayArrayInTable(Common_SourceData.Common_SourceData_RainfallZones_Data(),Table_SourceData_RainfallZones[[#Headers],[Rainfall Zone]],0)</f>
        <v>Low rainfall</v>
      </c>
      <c r="E121" s="17" t="str" cm="1">
        <f t="array" ref="E121">Common_InputFunctions.Utility_DisplayArrayInTable(Common_SourceData.Common_SourceData_RainfallZones_Data(),Table_SourceData_RainfallZones[[#Headers],[Rainfall Zone]],0)</f>
        <v>Annual rainfall ≤ 600mm</v>
      </c>
      <c r="F121" s="17" cm="1">
        <f t="array" ref="F121">Common_InputFunctions.Utility_DisplayArrayInTable(Common_SourceData.Common_SourceData_RainfallZones_Data(),Table_SourceData_RainfallZones[[#Headers],[Rainfall Zone]],0)</f>
        <v>-999999</v>
      </c>
      <c r="G121" s="17" cm="1">
        <f t="array" ref="G121">Common_InputFunctions.Utility_DisplayArrayInTable(Common_SourceData.Common_SourceData_RainfallZones_Data(),Table_SourceData_RainfallZones[[#Headers],[Rainfall Zone]],0)</f>
        <v>600</v>
      </c>
      <c r="BN121" s="11"/>
    </row>
    <row r="122" spans="4:66" ht="20.100000000000001" customHeight="1" x14ac:dyDescent="0.25">
      <c r="BN122" s="11"/>
    </row>
    <row r="123" spans="4:66" ht="20.100000000000001" customHeight="1" x14ac:dyDescent="0.25"/>
    <row r="124" spans="4:66" ht="20.100000000000001" customHeight="1" x14ac:dyDescent="0.25">
      <c r="D124" s="16" t="str" cm="1">
        <f t="array" ref="D124">Common_SourceData.Common_SourceData_LeachingZones_Title()</f>
        <v>VEERG Australian leaching zones</v>
      </c>
    </row>
    <row r="125" spans="4:66" ht="20.100000000000001" customHeight="1" x14ac:dyDescent="0.25">
      <c r="D125" s="18"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17" t="s">
        <v>46</v>
      </c>
      <c r="E127" s="17" t="s">
        <v>47</v>
      </c>
    </row>
    <row r="128" spans="4:66" ht="20.100000000000001" customHeight="1" x14ac:dyDescent="0.25">
      <c r="D128" s="17" t="str" cm="1">
        <f t="array" ref="D128">Common_InputFunctions.Utility_DisplayArrayInTable(Common_SourceData.Common_SourceData_LeachingZones_Data(), Table_SourceData_LeachingZones[[#Headers],[Leaching Zone]], 0)</f>
        <v>Leaching occurs</v>
      </c>
      <c r="E128" s="1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17" t="str" cm="1">
        <f t="array" ref="D129">Common_InputFunctions.Utility_DisplayArrayInTable(Common_SourceData.Common_SourceData_LeachingZones_Data(), Table_SourceData_LeachingZones[[#Headers],[Leaching Zone]], 0)</f>
        <v>Leaching does not occur</v>
      </c>
      <c r="E129" s="1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16" t="str" cm="1">
        <f t="array" ref="D132">Common_SourceData.Common_SourceData_FracWET_Title()</f>
        <v>Fraction of N that is available for leaching and runoff</v>
      </c>
      <c r="E132" s="21"/>
    </row>
    <row r="133" spans="4:77" ht="20.100000000000001" customHeight="1" x14ac:dyDescent="0.25">
      <c r="D133" s="18" t="str" cm="1">
        <f t="array" ref="D133">Common_SourceData.Common_SourceData_FracWET_Source()</f>
        <v>VEERG 2026:5.5.2.3 Constant Parameters</v>
      </c>
      <c r="E133" s="21"/>
    </row>
    <row r="134" spans="4:77" ht="20.100000000000001" customHeight="1" x14ac:dyDescent="0.25">
      <c r="D134" s="10" t="s">
        <v>48</v>
      </c>
      <c r="E134" s="10" t="s">
        <v>49</v>
      </c>
    </row>
    <row r="135" spans="4:77" ht="20.100000000000001" customHeight="1" x14ac:dyDescent="0.25">
      <c r="D135" s="10" t="str" cm="1">
        <f t="array" ref="D135">Common_InputFunctions.Utility_DisplayArrayInTable(Common_SourceData.Common_SourceData_FracWET_Data(),Table_SourceData_FracWET[[#Headers],[Is in leaching zone]],0)</f>
        <v>Yes - in leaching zone</v>
      </c>
      <c r="E135" s="10" cm="1">
        <f t="array" ref="E135">Common_InputFunctions.Utility_DisplayArrayInTable(Common_SourceData.Common_SourceData_FracWET_Data(),Table_SourceData_FracWET[[#Headers],[Is in leaching zone]],0)</f>
        <v>1</v>
      </c>
    </row>
    <row r="136" spans="4:77" ht="20.100000000000001" customHeight="1" x14ac:dyDescent="0.25">
      <c r="D136" s="15" t="str" cm="1">
        <f t="array" ref="D136">Common_InputFunctions.Utility_DisplayArrayInTable(Common_SourceData.Common_SourceData_FracWET_Data(),Table_SourceData_FracWET[[#Headers],[Is in leaching zone]],0)</f>
        <v>No - not in leaching zone</v>
      </c>
      <c r="E136" s="1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11"/>
      <c r="BO138" s="11"/>
      <c r="BP138" s="11"/>
      <c r="BQ138" s="11"/>
      <c r="BR138" s="11"/>
      <c r="BS138" s="11"/>
      <c r="BT138" s="11"/>
      <c r="BU138" s="11"/>
      <c r="BV138" s="11"/>
      <c r="BW138" s="11"/>
      <c r="BX138" s="11"/>
      <c r="BY138" s="11"/>
    </row>
    <row r="139" spans="4:77" ht="20.100000000000001" customHeight="1" x14ac:dyDescent="0.25">
      <c r="D139" s="16" t="str" cm="1">
        <f t="array" ref="D139">Common_SourceData.Common_SourceData_FracWETIrrigation_Title()</f>
        <v>FracWET for irrigation types</v>
      </c>
      <c r="BN139" s="11"/>
      <c r="BO139" s="11"/>
      <c r="BP139" s="11"/>
      <c r="BQ139" s="11"/>
      <c r="BR139" s="11"/>
      <c r="BS139" s="11"/>
      <c r="BT139" s="11"/>
      <c r="BU139" s="11"/>
      <c r="BV139" s="11"/>
      <c r="BW139" s="11"/>
      <c r="BX139" s="11"/>
      <c r="BY139" s="11"/>
    </row>
    <row r="140" spans="4:77" ht="20.100000000000001" customHeight="1" x14ac:dyDescent="0.25">
      <c r="D140" s="18" t="str" cm="1">
        <f t="array" ref="D140">Common_SourceData.Common_SourceData_FracWETIrrigation_Source()</f>
        <v>VEERG 2026: Chapter 1, section 1.8.2 Leaching, climate and rainfall zones</v>
      </c>
      <c r="BN140" s="11"/>
      <c r="BO140" s="11"/>
      <c r="BP140" s="11"/>
      <c r="BQ140" s="11"/>
      <c r="BR140" s="11"/>
      <c r="BS140" s="11"/>
      <c r="BT140" s="11"/>
      <c r="BU140" s="11"/>
      <c r="BV140" s="11"/>
      <c r="BW140" s="11"/>
      <c r="BX140" s="11"/>
      <c r="BY140" s="11"/>
    </row>
    <row r="141" spans="4:77" ht="20.100000000000001" customHeight="1" x14ac:dyDescent="0.25">
      <c r="D141" s="19" t="str" cm="1">
        <f t="array" ref="D141">Common_SourceData.Common_SourceData_FracWETIrrigation_Variation()</f>
        <v>VARIATION FROM SOURCE DATA: Table created based on VEERG text 'Areas are subject to leaching (i.e., in the leaching zone) when... the land is irrigated (except drip irrigation).'</v>
      </c>
      <c r="BN141" s="11"/>
    </row>
    <row r="142" spans="4:77" ht="20.100000000000001" customHeight="1" x14ac:dyDescent="0.25">
      <c r="D142" s="17" t="s">
        <v>50</v>
      </c>
      <c r="E142" s="17" t="s">
        <v>49</v>
      </c>
      <c r="BN142" s="11"/>
    </row>
    <row r="143" spans="4:77" ht="20.100000000000001" customHeight="1" x14ac:dyDescent="0.25">
      <c r="D143" s="17" t="str" cm="1">
        <f t="array" ref="D143">Common_InputFunctions.Utility_DisplayArrayInTable(Common_SourceData.Common_SourceData_FracWETIrrigation_Data(), Table_SourceData_FracWETIrrigation[[#Headers],[Irrigation type i]], 0)</f>
        <v>Not irrigated</v>
      </c>
      <c r="E143" s="17" cm="1">
        <f t="array" ref="E143">Common_InputFunctions.Utility_DisplayArrayInTable(Common_SourceData.Common_SourceData_FracWETIrrigation_Data(), Table_SourceData_FracWETIrrigation[[#Headers],[Irrigation type i]], 0)</f>
        <v>0</v>
      </c>
      <c r="BN143" s="11"/>
    </row>
    <row r="144" spans="4:77" ht="20.100000000000001" customHeight="1" x14ac:dyDescent="0.25">
      <c r="D144" s="15" t="str" cm="1">
        <f t="array" ref="D144">Common_InputFunctions.Utility_DisplayArrayInTable(Common_SourceData.Common_SourceData_FracWETIrrigation_Data(), Table_SourceData_FracWETIrrigation[[#Headers],[Irrigation type i]], 0)</f>
        <v>Drip irrigation</v>
      </c>
      <c r="E144" s="17" cm="1">
        <f t="array" ref="E144">Common_InputFunctions.Utility_DisplayArrayInTable(Common_SourceData.Common_SourceData_FracWETIrrigation_Data(), Table_SourceData_FracWETIrrigation[[#Headers],[Irrigation type i]], 0)</f>
        <v>0</v>
      </c>
      <c r="BN144" s="11"/>
    </row>
    <row r="145" spans="4:66" ht="20.100000000000001" customHeight="1" x14ac:dyDescent="0.25">
      <c r="D145" s="15" t="str" cm="1">
        <f t="array" ref="D145">Common_InputFunctions.Utility_DisplayArrayInTable(Common_SourceData.Common_SourceData_FracWETIrrigation_Data(), Table_SourceData_FracWETIrrigation[[#Headers],[Irrigation type i]], 0)</f>
        <v>Sprinkler irrigation</v>
      </c>
      <c r="E145" s="17" cm="1">
        <f t="array" ref="E145">Common_InputFunctions.Utility_DisplayArrayInTable(Common_SourceData.Common_SourceData_FracWETIrrigation_Data(), Table_SourceData_FracWETIrrigation[[#Headers],[Irrigation type i]], 0)</f>
        <v>1</v>
      </c>
      <c r="BN145" s="11"/>
    </row>
    <row r="146" spans="4:66" ht="20.100000000000001" customHeight="1" x14ac:dyDescent="0.25">
      <c r="D146" s="15" t="str" cm="1">
        <f t="array" ref="D146">Common_InputFunctions.Utility_DisplayArrayInTable(Common_SourceData.Common_SourceData_FracWETIrrigation_Data(), Table_SourceData_FracWETIrrigation[[#Headers],[Irrigation type i]], 0)</f>
        <v>Surface irrigation</v>
      </c>
      <c r="E146" s="17" cm="1">
        <f t="array" ref="E146">Common_InputFunctions.Utility_DisplayArrayInTable(Common_SourceData.Common_SourceData_FracWETIrrigation_Data(), Table_SourceData_FracWETIrrigation[[#Headers],[Irrigation type i]], 0)</f>
        <v>1</v>
      </c>
      <c r="BN146" s="11"/>
    </row>
    <row r="147" spans="4:66" ht="20.100000000000001" customHeight="1" x14ac:dyDescent="0.25">
      <c r="D147" s="15" t="str" cm="1">
        <f t="array" ref="D147">Common_InputFunctions.Utility_DisplayArrayInTable(Common_SourceData.Common_SourceData_FracWETIrrigation_Data(), Table_SourceData_FracWETIrrigation[[#Headers],[Irrigation type i]], 0)</f>
        <v>Other irrigation</v>
      </c>
      <c r="E147" s="17" cm="1">
        <f t="array" ref="E147">Common_InputFunctions.Utility_DisplayArrayInTable(Common_SourceData.Common_SourceData_FracWETIrrigation_Data(), Table_SourceData_FracWETIrrigation[[#Headers],[Irrigation type i]], 0)</f>
        <v>1</v>
      </c>
      <c r="BN147" s="11"/>
    </row>
    <row r="148" spans="4:66" ht="20.100000000000001" customHeight="1" x14ac:dyDescent="0.25">
      <c r="BN148" s="11"/>
    </row>
    <row r="149" spans="4:66" ht="20.100000000000001" customHeight="1" x14ac:dyDescent="0.25">
      <c r="BN149" s="11"/>
    </row>
    <row r="150" spans="4:66" ht="20.100000000000001" customHeight="1" x14ac:dyDescent="0.25">
      <c r="D150" s="16" t="str" cm="1">
        <f t="array" ref="D150">Common_SourceData.Common_SourceData_DataScores_Scope3_Title()</f>
        <v>Australian data scores for scope 3</v>
      </c>
      <c r="BN150" s="11"/>
    </row>
    <row r="151" spans="4:66" ht="20.100000000000001" customHeight="1" x14ac:dyDescent="0.25">
      <c r="D151" s="18" t="str" cm="1">
        <f t="array" ref="D151">Common_SourceData.Common_SourceData_DataScores_Scope3_Source()</f>
        <v>VEERG 2026: XXXXXXXX</v>
      </c>
      <c r="BN151" s="11"/>
    </row>
    <row r="152" spans="4:66" ht="20.100000000000001" customHeight="1" x14ac:dyDescent="0.25">
      <c r="BN152" s="11"/>
    </row>
    <row r="153" spans="4:66" ht="20.100000000000001" customHeight="1" x14ac:dyDescent="0.25">
      <c r="D153" s="17" t="s">
        <v>51</v>
      </c>
      <c r="E153" s="17" t="s">
        <v>52</v>
      </c>
      <c r="BC153" s="14"/>
      <c r="BD153" s="14"/>
      <c r="BE153" s="14"/>
      <c r="BF153" s="14"/>
      <c r="BG153" s="14"/>
      <c r="BH153" s="14"/>
      <c r="BI153" s="14"/>
      <c r="BJ153" s="14"/>
      <c r="BK153" s="14"/>
      <c r="BL153" s="14"/>
      <c r="BM153" s="14"/>
    </row>
    <row r="154" spans="4:66" ht="20.100000000000001" customHeight="1" x14ac:dyDescent="0.25">
      <c r="D154" s="17" t="str" cm="1">
        <f t="array" ref="D154">Common_InputFunctions.Utility_DisplayArrayInTable(Common_SourceData.Common_SourceData_DataScores_Scope3_Data(), Table_SourceData_DataScores_Scope3[[#Headers],[Data source]], 0)</f>
        <v>International scope 3 database</v>
      </c>
      <c r="E154" s="17" cm="1">
        <f t="array" ref="E154">Common_InputFunctions.Utility_DisplayArrayInTable(Common_SourceData.Common_SourceData_DataScores_Scope3_Data(), Table_SourceData_DataScores_Scope3[[#Headers],[Data source]], 0)</f>
        <v>1</v>
      </c>
      <c r="BC154" s="14"/>
      <c r="BD154" s="14"/>
      <c r="BE154" s="14"/>
      <c r="BF154" s="14"/>
      <c r="BG154" s="14"/>
      <c r="BH154" s="14"/>
      <c r="BI154" s="14"/>
      <c r="BJ154" s="14"/>
      <c r="BK154" s="14"/>
      <c r="BL154" s="14"/>
      <c r="BM154" s="14"/>
    </row>
    <row r="155" spans="4:66" ht="20.100000000000001" customHeight="1" x14ac:dyDescent="0.25">
      <c r="D155" s="17" t="str" cm="1">
        <f t="array" ref="D155">Common_InputFunctions.Utility_DisplayArrayInTable(Common_SourceData.Common_SourceData_DataScores_Scope3_Data(), Table_SourceData_DataScores_Scope3[[#Headers],[Data source]], 0)</f>
        <v>Australian scope 3 database</v>
      </c>
      <c r="E155" s="17" cm="1">
        <f t="array" ref="E155">Common_InputFunctions.Utility_DisplayArrayInTable(Common_SourceData.Common_SourceData_DataScores_Scope3_Data(), Table_SourceData_DataScores_Scope3[[#Headers],[Data source]], 0)</f>
        <v>2</v>
      </c>
      <c r="BC155" s="14"/>
      <c r="BD155" s="14"/>
      <c r="BE155" s="14"/>
      <c r="BF155" s="14"/>
      <c r="BG155" s="14"/>
      <c r="BH155" s="14"/>
      <c r="BI155" s="14"/>
      <c r="BJ155" s="14"/>
      <c r="BK155" s="14"/>
      <c r="BL155" s="14"/>
      <c r="BM155" s="14"/>
    </row>
    <row r="156" spans="4:66" ht="20.100000000000001" customHeight="1" x14ac:dyDescent="0.25">
      <c r="D156" s="17" t="str" cm="1">
        <f t="array" ref="D156">Common_InputFunctions.Utility_DisplayArrayInTable(Common_SourceData.Common_SourceData_DataScores_Scope3_Data(), Table_SourceData_DataScores_Scope3[[#Headers],[Data source]], 0)</f>
        <v>State or regional scope 3 database</v>
      </c>
      <c r="E156" s="17" cm="1">
        <f t="array" ref="E156">Common_InputFunctions.Utility_DisplayArrayInTable(Common_SourceData.Common_SourceData_DataScores_Scope3_Data(), Table_SourceData_DataScores_Scope3[[#Headers],[Data source]], 0)</f>
        <v>3</v>
      </c>
    </row>
    <row r="157" spans="4:66" ht="20.100000000000001" customHeight="1" x14ac:dyDescent="0.25">
      <c r="D157" s="17" t="str" cm="1">
        <f t="array" ref="D157">Common_InputFunctions.Utility_DisplayArrayInTable(Common_SourceData.Common_SourceData_DataScores_Scope3_Data(), Table_SourceData_DataScores_Scope3[[#Headers],[Data source]], 0)</f>
        <v>Emissions intensity calculated from approved method</v>
      </c>
      <c r="E157" s="17" cm="1">
        <f t="array" ref="E157">Common_InputFunctions.Utility_DisplayArrayInTable(Common_SourceData.Common_SourceData_DataScores_Scope3_Data(), Table_SourceData_DataScores_Scope3[[#Headers],[Data source]], 0)</f>
        <v>4</v>
      </c>
    </row>
    <row r="158" spans="4:66" ht="20.100000000000001" customHeight="1" x14ac:dyDescent="0.25">
      <c r="D158" s="17" t="str" cm="1">
        <f t="array" ref="D158">Common_InputFunctions.Utility_DisplayArrayInTable(Common_SourceData.Common_SourceData_DataScores_Scope3_Data(), Table_SourceData_DataScores_Scope3[[#Headers],[Data source]], 0)</f>
        <v>Verified credential matching ISO14067</v>
      </c>
      <c r="E158" s="1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16" t="str" cm="1">
        <f t="array" ref="D161">Common_SourceData.Common_SourceData_FracLEACH_Title()</f>
        <v>Fraction of N that is available for leaching and runoff</v>
      </c>
      <c r="E161" s="21"/>
    </row>
    <row r="162" spans="4:68" ht="20.100000000000001" customHeight="1" x14ac:dyDescent="0.25">
      <c r="D162" s="18" t="str" cm="1">
        <f t="array" ref="D162">Common_SourceData.Common_SourceData_FracLEACH_Source()</f>
        <v>VEERG 2026:5.5.2.3 Constant Parameters</v>
      </c>
      <c r="E162" s="21"/>
    </row>
    <row r="163" spans="4:68" ht="20.100000000000001" customHeight="1" x14ac:dyDescent="0.25">
      <c r="D163" s="18"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11"/>
      <c r="BO165" s="11"/>
      <c r="BP165" s="11"/>
    </row>
    <row r="166" spans="4:68" ht="20.100000000000001" customHeight="1" x14ac:dyDescent="0.25">
      <c r="BN166" s="11"/>
      <c r="BO166" s="11"/>
      <c r="BP166" s="11"/>
    </row>
    <row r="167" spans="4:68" ht="20.100000000000001" customHeight="1" x14ac:dyDescent="0.25">
      <c r="D167" s="16" t="str" cm="1">
        <f t="array" ref="D167">Common_SourceData.Common_SourceData_EFleach_Title()</f>
        <v>Emission factor for nitrogen leaching and runoff</v>
      </c>
      <c r="BN167" s="11"/>
      <c r="BO167" s="11"/>
      <c r="BP167" s="11"/>
    </row>
    <row r="168" spans="4:68" ht="20.100000000000001" customHeight="1" x14ac:dyDescent="0.25">
      <c r="D168" s="18" t="str" cm="1">
        <f t="array" ref="D168">Common_SourceData.Common_SourceData_EFleach_Source()</f>
        <v>VEERG 2026:5.5.2.3 Constant Parameters</v>
      </c>
      <c r="BN168" s="11"/>
      <c r="BO168" s="11"/>
      <c r="BP168" s="11"/>
    </row>
    <row r="169" spans="4:68" ht="20.100000000000001" customHeight="1" x14ac:dyDescent="0.25">
      <c r="D169" s="18" t="str" cm="1">
        <f t="array" ref="D169">Common_SourceData.Common_SourceData_EFleach_NIRReference()</f>
        <v>National Inventory Report Volume 1: Equation 3.D.B_10</v>
      </c>
      <c r="BN169" s="11"/>
      <c r="BO169" s="11"/>
      <c r="BP169" s="11"/>
    </row>
    <row r="170" spans="4:68" ht="20.100000000000001" customHeight="1" x14ac:dyDescent="0.25">
      <c r="D170" s="15" t="str" cm="1">
        <f t="array" ref="D170:E170">Common_SourceData.Common_SourceData_EFleach_Data()</f>
        <v>EFleach</v>
      </c>
      <c r="E170" s="15">
        <v>1.0999999999999999E-2</v>
      </c>
      <c r="BN170" s="11"/>
      <c r="BO170" s="11"/>
      <c r="BP170" s="11"/>
    </row>
    <row r="171" spans="4:68" ht="20.100000000000001" customHeight="1" x14ac:dyDescent="0.25">
      <c r="BN171" s="11"/>
      <c r="BO171" s="11"/>
      <c r="BP171" s="11"/>
    </row>
    <row r="172" spans="4:68" ht="20.100000000000001" customHeight="1" x14ac:dyDescent="0.25">
      <c r="BN172" s="11"/>
      <c r="BO172" s="11"/>
      <c r="BP172" s="11"/>
    </row>
    <row r="173" spans="4:68" ht="20.100000000000001" customHeight="1" x14ac:dyDescent="0.25">
      <c r="D173" s="16" t="str" cm="1">
        <f t="array" ref="D173">Common_SourceData.Common_SourceData_DensityOfMethane_Title()</f>
        <v>p = density of methane</v>
      </c>
      <c r="BN173" s="11"/>
      <c r="BO173" s="11"/>
      <c r="BP173" s="11"/>
    </row>
    <row r="174" spans="4:68" ht="20.100000000000001" customHeight="1" x14ac:dyDescent="0.25">
      <c r="D174" s="18" t="str" cm="1">
        <f t="array" ref="D174">Common_SourceData.Common_SourceData_DensityOfMethane_Source()</f>
        <v>National Inventory Report 2023 Volume 1: Equations 3.B.1a_2, 3.B.1c_2, 3.B.3_1, 3.B.4g_2</v>
      </c>
      <c r="BN174" s="11"/>
      <c r="BO174" s="11"/>
      <c r="BP174" s="11"/>
    </row>
    <row r="175" spans="4:68" ht="20.100000000000001" customHeight="1" x14ac:dyDescent="0.25">
      <c r="D175" s="15" cm="1">
        <f t="array" ref="D175">Common_SourceData.Common_SourceData_DensityOfMethane_Data()</f>
        <v>0.6784</v>
      </c>
      <c r="E175" s="20" t="str" cm="1">
        <f t="array" ref="E175">Common_SourceData.Common_SourceData_DensityOfMethane_Unit()</f>
        <v>kg/m3</v>
      </c>
      <c r="BN175" s="11"/>
      <c r="BO175" s="11"/>
      <c r="BP175" s="11"/>
    </row>
    <row r="176" spans="4:68" ht="20.100000000000001" customHeight="1" x14ac:dyDescent="0.25">
      <c r="BN176" s="11"/>
      <c r="BO176" s="11"/>
      <c r="BP176" s="11"/>
    </row>
    <row r="177" spans="4:68" ht="20.100000000000001" customHeight="1" x14ac:dyDescent="0.25">
      <c r="BN177" s="11"/>
      <c r="BO177" s="11"/>
      <c r="BP177" s="11"/>
    </row>
    <row r="178" spans="4:68" ht="20.100000000000001" customHeight="1" x14ac:dyDescent="0.25">
      <c r="D178" s="16" t="str" cm="1">
        <f t="array" ref="D178">Common_SourceData.Common_SourceData_EFN2O_Title()</f>
        <v>Nitrous oxide emission factors for inorganic fertiliser application</v>
      </c>
      <c r="BN178" s="11"/>
      <c r="BO178" s="11"/>
      <c r="BP178" s="11"/>
    </row>
    <row r="179" spans="4:68" ht="20.100000000000001" customHeight="1" x14ac:dyDescent="0.25">
      <c r="D179" s="18" t="str" cm="1">
        <f t="array" ref="D179">Common_SourceData.Common_SourceData_EFN2O_Source()</f>
        <v>VEERG 2026: Table A.2.2.1</v>
      </c>
      <c r="BN179" s="11"/>
      <c r="BO179" s="11"/>
      <c r="BP179" s="11"/>
    </row>
    <row r="180" spans="4:68" ht="20.100000000000001" customHeight="1" x14ac:dyDescent="0.25">
      <c r="D180" s="20" t="str" cm="1">
        <f t="array" ref="D180">Common_SourceData.Common_SourceData_EFN2O_Unit()</f>
        <v>(kg N2O-N / kg N</v>
      </c>
    </row>
    <row r="181" spans="4:68" ht="20.100000000000001" customHeight="1" x14ac:dyDescent="0.25">
      <c r="D181" s="19" t="str" cm="1">
        <f t="array" ref="D181:D185">Common_SourceData.Common_SourceData_EFN2O_Variation()</f>
        <v>VARIATION OF SOURCE DATA:</v>
      </c>
    </row>
    <row r="182" spans="4:68" ht="20.100000000000001" customHeight="1" x14ac:dyDescent="0.25">
      <c r="D182" s="19" t="str">
        <v>Removed duplicate 'Aquaculture' row.</v>
      </c>
    </row>
    <row r="183" spans="4:68" ht="20.100000000000001" customHeight="1" x14ac:dyDescent="0.25">
      <c r="D183" s="19" t="str">
        <v>Removed asterisks to aid lookup.</v>
      </c>
    </row>
    <row r="184" spans="4:68" ht="20.100000000000001" customHeight="1" x14ac:dyDescent="0.25">
      <c r="D184" s="19" t="str">
        <v>Added 'production system only', 'rainfall zone' and 'irrigation method' columns to aid lookup.</v>
      </c>
    </row>
    <row r="185" spans="4:68" ht="20.100000000000001" customHeight="1" x14ac:dyDescent="0.25">
      <c r="D185" s="19" t="str">
        <v>Duplicated 'non-irrigated pasture' row with same EF for low and high rainfall zones to aid lookup.</v>
      </c>
    </row>
    <row r="186" spans="4:68" ht="20.100000000000001" customHeight="1" x14ac:dyDescent="0.25">
      <c r="D186" s="17" t="s">
        <v>53</v>
      </c>
      <c r="E186" s="17" t="s">
        <v>54</v>
      </c>
      <c r="F186" s="17" t="s">
        <v>55</v>
      </c>
      <c r="G186" s="17" t="s">
        <v>56</v>
      </c>
      <c r="H186" s="17" t="s">
        <v>57</v>
      </c>
    </row>
    <row r="187" spans="4:68" ht="20.100000000000001" customHeight="1" x14ac:dyDescent="0.25">
      <c r="D187" s="17" t="str" cm="1">
        <f t="array" ref="D187">Common_InputFunctions.Utility_DisplayArrayInTable(Common_SourceData.Common_SourceData_EFN2O_Data(), Table_SourceData_Common_EFN2O[[#Headers],[Production system j]], 0)</f>
        <v>Irrigated pasture</v>
      </c>
      <c r="E187" s="17" cm="1">
        <f t="array" ref="E187">Common_InputFunctions.Utility_DisplayArrayInTable(Common_SourceData.Common_SourceData_EFN2O_Data(), Table_SourceData_Common_EFN2O[[#Headers],[Production system j]], 0)</f>
        <v>5.8999999999999999E-3</v>
      </c>
      <c r="F187" s="17" t="str" cm="1">
        <f t="array" ref="F187">Common_InputFunctions.Utility_DisplayArrayInTable(Common_SourceData.Common_SourceData_EFN2O_Data(), Table_SourceData_Common_EFN2O[[#Headers],[Production system j]], 0)</f>
        <v>Pasture</v>
      </c>
      <c r="G187" s="17" t="str" cm="1">
        <f t="array" ref="G187">Common_InputFunctions.Utility_DisplayArrayInTable(Common_SourceData.Common_SourceData_EFN2O_Data(), Table_SourceData_Common_EFN2O[[#Headers],[Production system j]], 0)</f>
        <v>Any</v>
      </c>
      <c r="H187" s="17" t="str" cm="1">
        <f t="array" ref="H187">Common_InputFunctions.Utility_DisplayArrayInTable(Common_SourceData.Common_SourceData_EFN2O_Data(), Table_SourceData_Common_EFN2O[[#Headers],[Production system j]], 0)</f>
        <v>Any</v>
      </c>
    </row>
    <row r="188" spans="4:68" ht="20.100000000000001" customHeight="1" x14ac:dyDescent="0.25">
      <c r="D188" s="17" t="str" cm="1">
        <f t="array" ref="D188">Common_InputFunctions.Utility_DisplayArrayInTable(Common_SourceData.Common_SourceData_EFN2O_Data(), Table_SourceData_Common_EFN2O[[#Headers],[Production system j]], 0)</f>
        <v>Irrigated crop</v>
      </c>
      <c r="E188" s="17" cm="1">
        <f t="array" ref="E188">Common_InputFunctions.Utility_DisplayArrayInTable(Common_SourceData.Common_SourceData_EFN2O_Data(), Table_SourceData_Common_EFN2O[[#Headers],[Production system j]], 0)</f>
        <v>7.0000000000000001E-3</v>
      </c>
      <c r="F188" s="17" t="str" cm="1">
        <f t="array" ref="F188">Common_InputFunctions.Utility_DisplayArrayInTable(Common_SourceData.Common_SourceData_EFN2O_Data(), Table_SourceData_Common_EFN2O[[#Headers],[Production system j]], 0)</f>
        <v>Crop</v>
      </c>
      <c r="G188" s="17" t="str" cm="1">
        <f t="array" ref="G188">Common_InputFunctions.Utility_DisplayArrayInTable(Common_SourceData.Common_SourceData_EFN2O_Data(), Table_SourceData_Common_EFN2O[[#Headers],[Production system j]], 0)</f>
        <v>Any</v>
      </c>
      <c r="H188" s="17" t="str" cm="1">
        <f t="array" ref="H188">Common_InputFunctions.Utility_DisplayArrayInTable(Common_SourceData.Common_SourceData_EFN2O_Data(), Table_SourceData_Common_EFN2O[[#Headers],[Production system j]], 0)</f>
        <v>Any</v>
      </c>
    </row>
    <row r="189" spans="4:68" ht="20.100000000000001" customHeight="1" x14ac:dyDescent="0.25">
      <c r="D189" s="17" t="str" cm="1">
        <f t="array" ref="D189">Common_InputFunctions.Utility_DisplayArrayInTable(Common_SourceData.Common_SourceData_EFN2O_Data(), Table_SourceData_Common_EFN2O[[#Headers],[Production system j]], 0)</f>
        <v>Non-irrigated pasture</v>
      </c>
      <c r="E189" s="17" cm="1">
        <f t="array" ref="E189">Common_InputFunctions.Utility_DisplayArrayInTable(Common_SourceData.Common_SourceData_EFN2O_Data(), Table_SourceData_Common_EFN2O[[#Headers],[Production system j]], 0)</f>
        <v>1.8E-3</v>
      </c>
      <c r="F189" s="17" t="str" cm="1">
        <f t="array" ref="F189">Common_InputFunctions.Utility_DisplayArrayInTable(Common_SourceData.Common_SourceData_EFN2O_Data(), Table_SourceData_Common_EFN2O[[#Headers],[Production system j]], 0)</f>
        <v>Pasture</v>
      </c>
      <c r="G189" s="17" t="str" cm="1">
        <f t="array" ref="G189">Common_InputFunctions.Utility_DisplayArrayInTable(Common_SourceData.Common_SourceData_EFN2O_Data(), Table_SourceData_Common_EFN2O[[#Headers],[Production system j]], 0)</f>
        <v>Not irrigated</v>
      </c>
      <c r="H189" s="1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17" t="str" cm="1">
        <f t="array" ref="D190">Common_InputFunctions.Utility_DisplayArrayInTable(Common_SourceData.Common_SourceData_EFN2O_Data(), Table_SourceData_Common_EFN2O[[#Headers],[Production system j]], 0)</f>
        <v>Non-irrigated pasture</v>
      </c>
      <c r="E190" s="17" cm="1">
        <f t="array" ref="E190">Common_InputFunctions.Utility_DisplayArrayInTable(Common_SourceData.Common_SourceData_EFN2O_Data(), Table_SourceData_Common_EFN2O[[#Headers],[Production system j]], 0)</f>
        <v>1.8E-3</v>
      </c>
      <c r="F190" s="17" t="str" cm="1">
        <f t="array" ref="F190">Common_InputFunctions.Utility_DisplayArrayInTable(Common_SourceData.Common_SourceData_EFN2O_Data(), Table_SourceData_Common_EFN2O[[#Headers],[Production system j]], 0)</f>
        <v>Pasture</v>
      </c>
      <c r="G190" s="17" t="str" cm="1">
        <f t="array" ref="G190">Common_InputFunctions.Utility_DisplayArrayInTable(Common_SourceData.Common_SourceData_EFN2O_Data(), Table_SourceData_Common_EFN2O[[#Headers],[Production system j]], 0)</f>
        <v>Not irrigated</v>
      </c>
      <c r="H190" s="1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17" t="str" cm="1">
        <f t="array" ref="D191">Common_InputFunctions.Utility_DisplayArrayInTable(Common_SourceData.Common_SourceData_EFN2O_Data(), Table_SourceData_Common_EFN2O[[#Headers],[Production system j]], 0)</f>
        <v>Non-irrigated crop (low rainfall)</v>
      </c>
      <c r="E191" s="17" cm="1">
        <f t="array" ref="E191">Common_InputFunctions.Utility_DisplayArrayInTable(Common_SourceData.Common_SourceData_EFN2O_Data(), Table_SourceData_Common_EFN2O[[#Headers],[Production system j]], 0)</f>
        <v>2.8999999999999998E-3</v>
      </c>
      <c r="F191" s="17" t="str" cm="1">
        <f t="array" ref="F191">Common_InputFunctions.Utility_DisplayArrayInTable(Common_SourceData.Common_SourceData_EFN2O_Data(), Table_SourceData_Common_EFN2O[[#Headers],[Production system j]], 0)</f>
        <v>Crop</v>
      </c>
      <c r="G191" s="17" t="str" cm="1">
        <f t="array" ref="G191">Common_InputFunctions.Utility_DisplayArrayInTable(Common_SourceData.Common_SourceData_EFN2O_Data(), Table_SourceData_Common_EFN2O[[#Headers],[Production system j]], 0)</f>
        <v>Not irrigated</v>
      </c>
      <c r="H191" s="1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17" t="str" cm="1">
        <f t="array" ref="D192">Common_InputFunctions.Utility_DisplayArrayInTable(Common_SourceData.Common_SourceData_EFN2O_Data(), Table_SourceData_Common_EFN2O[[#Headers],[Production system j]], 0)</f>
        <v>Non-irrigated crop (high rainfall)</v>
      </c>
      <c r="E192" s="17" cm="1">
        <f t="array" ref="E192">Common_InputFunctions.Utility_DisplayArrayInTable(Common_SourceData.Common_SourceData_EFN2O_Data(), Table_SourceData_Common_EFN2O[[#Headers],[Production system j]], 0)</f>
        <v>8.0000000000000002E-3</v>
      </c>
      <c r="F192" s="17" t="str" cm="1">
        <f t="array" ref="F192">Common_InputFunctions.Utility_DisplayArrayInTable(Common_SourceData.Common_SourceData_EFN2O_Data(), Table_SourceData_Common_EFN2O[[#Headers],[Production system j]], 0)</f>
        <v>Crop</v>
      </c>
      <c r="G192" s="17" t="str" cm="1">
        <f t="array" ref="G192">Common_InputFunctions.Utility_DisplayArrayInTable(Common_SourceData.Common_SourceData_EFN2O_Data(), Table_SourceData_Common_EFN2O[[#Headers],[Production system j]], 0)</f>
        <v>Not irrigated</v>
      </c>
      <c r="H192" s="1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17" t="str" cm="1">
        <f t="array" ref="D193">Common_InputFunctions.Utility_DisplayArrayInTable(Common_SourceData.Common_SourceData_EFN2O_Data(), Table_SourceData_Common_EFN2O[[#Headers],[Production system j]], 0)</f>
        <v>Sugar</v>
      </c>
      <c r="E193" s="17" cm="1">
        <f t="array" ref="E193">Common_InputFunctions.Utility_DisplayArrayInTable(Common_SourceData.Common_SourceData_EFN2O_Data(), Table_SourceData_Common_EFN2O[[#Headers],[Production system j]], 0)</f>
        <v>1.9900000000000001E-2</v>
      </c>
      <c r="F193" s="17" t="str" cm="1">
        <f t="array" ref="F193">Common_InputFunctions.Utility_DisplayArrayInTable(Common_SourceData.Common_SourceData_EFN2O_Data(), Table_SourceData_Common_EFN2O[[#Headers],[Production system j]], 0)</f>
        <v>Sugar</v>
      </c>
      <c r="G193" s="17" t="str" cm="1">
        <f t="array" ref="G193">Common_InputFunctions.Utility_DisplayArrayInTable(Common_SourceData.Common_SourceData_EFN2O_Data(), Table_SourceData_Common_EFN2O[[#Headers],[Production system j]], 0)</f>
        <v>Any</v>
      </c>
      <c r="H193" s="17" t="str" cm="1">
        <f t="array" ref="H193">Common_InputFunctions.Utility_DisplayArrayInTable(Common_SourceData.Common_SourceData_EFN2O_Data(), Table_SourceData_Common_EFN2O[[#Headers],[Production system j]], 0)</f>
        <v>Any</v>
      </c>
    </row>
    <row r="194" spans="4:8" ht="20.100000000000001" customHeight="1" x14ac:dyDescent="0.25">
      <c r="D194" s="17" t="str" cm="1">
        <f t="array" ref="D194">Common_InputFunctions.Utility_DisplayArrayInTable(Common_SourceData.Common_SourceData_EFN2O_Data(), Table_SourceData_Common_EFN2O[[#Headers],[Production system j]], 0)</f>
        <v>Cotton</v>
      </c>
      <c r="E194" s="17" cm="1">
        <f t="array" ref="E194">Common_InputFunctions.Utility_DisplayArrayInTable(Common_SourceData.Common_SourceData_EFN2O_Data(), Table_SourceData_Common_EFN2O[[#Headers],[Production system j]], 0)</f>
        <v>5.3E-3</v>
      </c>
      <c r="F194" s="17" t="str" cm="1">
        <f t="array" ref="F194">Common_InputFunctions.Utility_DisplayArrayInTable(Common_SourceData.Common_SourceData_EFN2O_Data(), Table_SourceData_Common_EFN2O[[#Headers],[Production system j]], 0)</f>
        <v>Cotton</v>
      </c>
      <c r="G194" s="17" t="str" cm="1">
        <f t="array" ref="G194">Common_InputFunctions.Utility_DisplayArrayInTable(Common_SourceData.Common_SourceData_EFN2O_Data(), Table_SourceData_Common_EFN2O[[#Headers],[Production system j]], 0)</f>
        <v>Any</v>
      </c>
      <c r="H194" s="17" t="str" cm="1">
        <f t="array" ref="H194">Common_InputFunctions.Utility_DisplayArrayInTable(Common_SourceData.Common_SourceData_EFN2O_Data(), Table_SourceData_Common_EFN2O[[#Headers],[Production system j]], 0)</f>
        <v>Any</v>
      </c>
    </row>
    <row r="195" spans="4:8" ht="20.100000000000001" customHeight="1" x14ac:dyDescent="0.25">
      <c r="D195" s="17" t="str" cm="1">
        <f t="array" ref="D195">Common_InputFunctions.Utility_DisplayArrayInTable(Common_SourceData.Common_SourceData_EFN2O_Data(), Table_SourceData_Common_EFN2O[[#Headers],[Production system j]], 0)</f>
        <v>Horticultural crops</v>
      </c>
      <c r="E195" s="17" cm="1">
        <f t="array" ref="E195">Common_InputFunctions.Utility_DisplayArrayInTable(Common_SourceData.Common_SourceData_EFN2O_Data(), Table_SourceData_Common_EFN2O[[#Headers],[Production system j]], 0)</f>
        <v>6.4000000000000003E-3</v>
      </c>
      <c r="F195" s="17" t="str" cm="1">
        <f t="array" ref="F195">Common_InputFunctions.Utility_DisplayArrayInTable(Common_SourceData.Common_SourceData_EFN2O_Data(), Table_SourceData_Common_EFN2O[[#Headers],[Production system j]], 0)</f>
        <v>Horticultural crops</v>
      </c>
      <c r="G195" s="17" t="str" cm="1">
        <f t="array" ref="G195">Common_InputFunctions.Utility_DisplayArrayInTable(Common_SourceData.Common_SourceData_EFN2O_Data(), Table_SourceData_Common_EFN2O[[#Headers],[Production system j]], 0)</f>
        <v>Any</v>
      </c>
      <c r="H195" s="17" t="str" cm="1">
        <f t="array" ref="H195">Common_InputFunctions.Utility_DisplayArrayInTable(Common_SourceData.Common_SourceData_EFN2O_Data(), Table_SourceData_Common_EFN2O[[#Headers],[Production system j]], 0)</f>
        <v>Any</v>
      </c>
    </row>
    <row r="196" spans="4:8" ht="20.100000000000001" customHeight="1" x14ac:dyDescent="0.25">
      <c r="D196" s="17" t="str" cm="1">
        <f t="array" ref="D196">Common_InputFunctions.Utility_DisplayArrayInTable(Common_SourceData.Common_SourceData_EFN2O_Data(), Table_SourceData_Common_EFN2O[[#Headers],[Production system j]], 0)</f>
        <v>Rice (continuous flooding)</v>
      </c>
      <c r="E196" s="17" cm="1">
        <f t="array" ref="E196">Common_InputFunctions.Utility_DisplayArrayInTable(Common_SourceData.Common_SourceData_EFN2O_Data(), Table_SourceData_Common_EFN2O[[#Headers],[Production system j]], 0)</f>
        <v>3.0000000000000001E-3</v>
      </c>
      <c r="F196" s="17" t="str" cm="1">
        <f t="array" ref="F196">Common_InputFunctions.Utility_DisplayArrayInTable(Common_SourceData.Common_SourceData_EFN2O_Data(), Table_SourceData_Common_EFN2O[[#Headers],[Production system j]], 0)</f>
        <v>Rice</v>
      </c>
      <c r="G196" s="17" t="str" cm="1">
        <f t="array" ref="G196">Common_InputFunctions.Utility_DisplayArrayInTable(Common_SourceData.Common_SourceData_EFN2O_Data(), Table_SourceData_Common_EFN2O[[#Headers],[Production system j]], 0)</f>
        <v>Continuous flooding</v>
      </c>
      <c r="H196" s="17" t="str" cm="1">
        <f t="array" ref="H196">Common_InputFunctions.Utility_DisplayArrayInTable(Common_SourceData.Common_SourceData_EFN2O_Data(), Table_SourceData_Common_EFN2O[[#Headers],[Production system j]], 0)</f>
        <v>Any</v>
      </c>
    </row>
    <row r="197" spans="4:8" x14ac:dyDescent="0.25">
      <c r="D197" s="17" t="str" cm="1">
        <f t="array" ref="D197">Common_InputFunctions.Utility_DisplayArrayInTable(Common_SourceData.Common_SourceData_EFN2O_Data(), Table_SourceData_Common_EFN2O[[#Headers],[Production system j]], 0)</f>
        <v>Rice (single and multiple drainage, or alternate wetting and drying)</v>
      </c>
      <c r="E197" s="17" cm="1">
        <f t="array" ref="E197">Common_InputFunctions.Utility_DisplayArrayInTable(Common_SourceData.Common_SourceData_EFN2O_Data(), Table_SourceData_Common_EFN2O[[#Headers],[Production system j]], 0)</f>
        <v>5.0000000000000001E-3</v>
      </c>
      <c r="F197" s="17" t="str" cm="1">
        <f t="array" ref="F197">Common_InputFunctions.Utility_DisplayArrayInTable(Common_SourceData.Common_SourceData_EFN2O_Data(), Table_SourceData_Common_EFN2O[[#Headers],[Production system j]], 0)</f>
        <v>Rice</v>
      </c>
      <c r="G197" s="17" t="str" cm="1">
        <f t="array" ref="G197">Common_InputFunctions.Utility_DisplayArrayInTable(Common_SourceData.Common_SourceData_EFN2O_Data(), Table_SourceData_Common_EFN2O[[#Headers],[Production system j]], 0)</f>
        <v>Single and multiple drainage, or alternate wetting and drying</v>
      </c>
      <c r="H197" s="17" t="str" cm="1">
        <f t="array" ref="H197">Common_InputFunctions.Utility_DisplayArrayInTable(Common_SourceData.Common_SourceData_EFN2O_Data(), Table_SourceData_Common_EFN2O[[#Headers],[Production system j]], 0)</f>
        <v>Any</v>
      </c>
    </row>
    <row r="198" spans="4:8" x14ac:dyDescent="0.25">
      <c r="D198" s="17" t="str" cm="1">
        <f t="array" ref="D198">Common_InputFunctions.Utility_DisplayArrayInTable(Common_SourceData.Common_SourceData_EFN2O_Data(), Table_SourceData_Common_EFN2O[[#Headers],[Production system j]], 0)</f>
        <v>Aquaculture</v>
      </c>
      <c r="E198" s="17" cm="1">
        <f t="array" ref="E198">Common_InputFunctions.Utility_DisplayArrayInTable(Common_SourceData.Common_SourceData_EFN2O_Data(), Table_SourceData_Common_EFN2O[[#Headers],[Production system j]], 0)</f>
        <v>2.5999999999999999E-3</v>
      </c>
      <c r="F198" s="17" t="str" cm="1">
        <f t="array" ref="F198">Common_InputFunctions.Utility_DisplayArrayInTable(Common_SourceData.Common_SourceData_EFN2O_Data(), Table_SourceData_Common_EFN2O[[#Headers],[Production system j]], 0)</f>
        <v>Aquaculture</v>
      </c>
      <c r="G198" s="17" t="str" cm="1">
        <f t="array" ref="G198">Common_InputFunctions.Utility_DisplayArrayInTable(Common_SourceData.Common_SourceData_EFN2O_Data(), Table_SourceData_Common_EFN2O[[#Headers],[Production system j]], 0)</f>
        <v>Any</v>
      </c>
      <c r="H198" s="17" t="str" cm="1">
        <f t="array" ref="H198">Common_InputFunctions.Utility_DisplayArrayInTable(Common_SourceData.Common_SourceData_EFN2O_Data(), Table_SourceData_Common_EFN2O[[#Headers],[Production system j]], 0)</f>
        <v>Any</v>
      </c>
    </row>
    <row r="199" spans="4:8" x14ac:dyDescent="0.25">
      <c r="D199" s="17" t="str" cm="1">
        <f t="array" ref="D199">Common_InputFunctions.Utility_DisplayArrayInTable(Common_SourceData.Common_SourceData_EFN2O_Data(), Table_SourceData_Common_EFN2O[[#Headers],[Production system j]], 0)</f>
        <v>Forestry</v>
      </c>
      <c r="E199" s="17" cm="1">
        <f t="array" ref="E199">Common_InputFunctions.Utility_DisplayArrayInTable(Common_SourceData.Common_SourceData_EFN2O_Data(), Table_SourceData_Common_EFN2O[[#Headers],[Production system j]], 0)</f>
        <v>1.8E-3</v>
      </c>
      <c r="F199" s="17" t="str" cm="1">
        <f t="array" ref="F199">Common_InputFunctions.Utility_DisplayArrayInTable(Common_SourceData.Common_SourceData_EFN2O_Data(), Table_SourceData_Common_EFN2O[[#Headers],[Production system j]], 0)</f>
        <v>Forestry</v>
      </c>
      <c r="G199" s="17" t="str" cm="1">
        <f t="array" ref="G199">Common_InputFunctions.Utility_DisplayArrayInTable(Common_SourceData.Common_SourceData_EFN2O_Data(), Table_SourceData_Common_EFN2O[[#Headers],[Production system j]], 0)</f>
        <v>Any</v>
      </c>
      <c r="H199" s="17" t="str" cm="1">
        <f t="array" ref="H199">Common_InputFunctions.Utility_DisplayArrayInTable(Common_SourceData.Common_SourceData_EFN2O_Data(), Table_SourceData_Common_EFN2O[[#Headers],[Production system j]], 0)</f>
        <v>Any</v>
      </c>
    </row>
    <row r="202" spans="4:8" ht="23.25" x14ac:dyDescent="0.25">
      <c r="D202" s="16" t="str" cm="1">
        <f t="array" ref="D202">Common_SourceData.Common_SourceData_EFPastureRangeAndPaddock_Title()</f>
        <v>Emission factor for urine and dung deposited on pasture, range or paddock</v>
      </c>
    </row>
    <row r="203" spans="4:8" x14ac:dyDescent="0.25">
      <c r="D203" s="18" t="str" cm="1">
        <f t="array" ref="D203">Common_SourceData.Common_SourceData_EFPastureRangeAndPaddock_Source()</f>
        <v>VEERG 2026: Table A.2.2.2</v>
      </c>
    </row>
    <row r="204" spans="4:8" x14ac:dyDescent="0.25">
      <c r="D204" s="19" t="str" cm="1">
        <f t="array" ref="D204">Common_SourceData.Common_SourceData_EFPastureRangeAndPaddock_Variation()</f>
        <v>VARIATION FROM SOURCE DATA: Changed 'Dry climate zones' to singular 'Dry climate zone' to aid lookup.</v>
      </c>
    </row>
    <row r="205" spans="4:8" x14ac:dyDescent="0.25">
      <c r="D205" s="20" t="str" cm="1">
        <f t="array" ref="D205">Common_SourceData.Common_SourceData_EFPastureRangeAndPaddock_Unit()</f>
        <v>kg N2O - N / kg N</v>
      </c>
    </row>
    <row r="206" spans="4:8" x14ac:dyDescent="0.25">
      <c r="D206" s="17" t="s">
        <v>24</v>
      </c>
      <c r="E206" s="17" t="s">
        <v>58</v>
      </c>
    </row>
    <row r="207" spans="4:8" x14ac:dyDescent="0.25">
      <c r="D207" s="17" t="str" cm="1">
        <f t="array" ref="D207">Common_InputFunctions.Utility_DisplayArrayInTable(Common_SourceData.Common_SourceData_EFPastureRangeAndPaddock_Data(), Table_SourceData_EFPastureRangeAndPaddock[[#Headers],[Climate zone]], 0)</f>
        <v>Wet climate zone</v>
      </c>
      <c r="E207" s="17" cm="1">
        <f t="array" ref="E207">Common_InputFunctions.Utility_DisplayArrayInTable(Common_SourceData.Common_SourceData_EFPastureRangeAndPaddock_Data(), Table_SourceData_EFPastureRangeAndPaddock[[#Headers],[Climate zone]], 0)</f>
        <v>6.0000000000000001E-3</v>
      </c>
    </row>
    <row r="208" spans="4:8" x14ac:dyDescent="0.25">
      <c r="D208" s="15" t="str" cm="1">
        <f t="array" ref="D208">Common_InputFunctions.Utility_DisplayArrayInTable(Common_SourceData.Common_SourceData_EFPastureRangeAndPaddock_Data(), Table_SourceData_EFPastureRangeAndPaddock[[#Headers],[Climate zone]], 0)</f>
        <v>Dry climate zone</v>
      </c>
      <c r="E208" s="17" cm="1">
        <f t="array" ref="E208">Common_InputFunctions.Utility_DisplayArrayInTable(Common_SourceData.Common_SourceData_EFPastureRangeAndPaddock_Data(), Table_SourceData_EFPastureRangeAndPaddock[[#Headers],[Climate zone]], 0)</f>
        <v>2E-3</v>
      </c>
    </row>
    <row r="211" spans="4:5" x14ac:dyDescent="0.25">
      <c r="D211" s="15" t="str" cm="1">
        <f t="array" ref="D211">Common_SourceData.Common_SourceData_MonthsToSeasons_Title()</f>
        <v>Months to Seasons Mapping</v>
      </c>
    </row>
    <row r="212" spans="4:5" x14ac:dyDescent="0.25">
      <c r="D212" s="17" t="s">
        <v>59</v>
      </c>
      <c r="E212" s="17" t="s">
        <v>60</v>
      </c>
    </row>
    <row r="213" spans="4:5" x14ac:dyDescent="0.25">
      <c r="D213" s="17" t="str" cm="1">
        <f t="array" ref="D213">Common_InputFunctions.Utility_DisplayArrayInTable(Common_SourceData.Common_SourceData_MonthsToSeasons_Data(), Table_SourceData_Common_MonthToSeason[[#Headers],[Month]], 0)</f>
        <v>January</v>
      </c>
      <c r="E213" s="17" t="str" cm="1">
        <f t="array" ref="E213">Common_InputFunctions.Utility_DisplayArrayInTable(Common_SourceData.Common_SourceData_MonthsToSeasons_Data(), Table_SourceData_Common_MonthToSeason[[#Headers],[Month]], 0)</f>
        <v>Summer</v>
      </c>
    </row>
    <row r="214" spans="4:5" x14ac:dyDescent="0.25">
      <c r="D214" s="15" t="str" cm="1">
        <f t="array" ref="D214">Common_InputFunctions.Utility_DisplayArrayInTable(Common_SourceData.Common_SourceData_MonthsToSeasons_Data(), Table_SourceData_Common_MonthToSeason[[#Headers],[Month]], 0)</f>
        <v>February</v>
      </c>
      <c r="E214" s="17" t="str" cm="1">
        <f t="array" ref="E214">Common_InputFunctions.Utility_DisplayArrayInTable(Common_SourceData.Common_SourceData_MonthsToSeasons_Data(), Table_SourceData_Common_MonthToSeason[[#Headers],[Month]], 0)</f>
        <v>Summer</v>
      </c>
    </row>
    <row r="215" spans="4:5" x14ac:dyDescent="0.25">
      <c r="D215" s="15" t="str" cm="1">
        <f t="array" ref="D215">Common_InputFunctions.Utility_DisplayArrayInTable(Common_SourceData.Common_SourceData_MonthsToSeasons_Data(), Table_SourceData_Common_MonthToSeason[[#Headers],[Month]], 0)</f>
        <v>March</v>
      </c>
      <c r="E215" s="17" t="str" cm="1">
        <f t="array" ref="E215">Common_InputFunctions.Utility_DisplayArrayInTable(Common_SourceData.Common_SourceData_MonthsToSeasons_Data(), Table_SourceData_Common_MonthToSeason[[#Headers],[Month]], 0)</f>
        <v>Autumn</v>
      </c>
    </row>
    <row r="216" spans="4:5" x14ac:dyDescent="0.25">
      <c r="D216" s="15" t="str" cm="1">
        <f t="array" ref="D216">Common_InputFunctions.Utility_DisplayArrayInTable(Common_SourceData.Common_SourceData_MonthsToSeasons_Data(), Table_SourceData_Common_MonthToSeason[[#Headers],[Month]], 0)</f>
        <v>April</v>
      </c>
      <c r="E216" s="17" t="str" cm="1">
        <f t="array" ref="E216">Common_InputFunctions.Utility_DisplayArrayInTable(Common_SourceData.Common_SourceData_MonthsToSeasons_Data(), Table_SourceData_Common_MonthToSeason[[#Headers],[Month]], 0)</f>
        <v>Autumn</v>
      </c>
    </row>
    <row r="217" spans="4:5" x14ac:dyDescent="0.25">
      <c r="D217" s="15" t="str" cm="1">
        <f t="array" ref="D217">Common_InputFunctions.Utility_DisplayArrayInTable(Common_SourceData.Common_SourceData_MonthsToSeasons_Data(), Table_SourceData_Common_MonthToSeason[[#Headers],[Month]], 0)</f>
        <v>May</v>
      </c>
      <c r="E217" s="17" t="str" cm="1">
        <f t="array" ref="E217">Common_InputFunctions.Utility_DisplayArrayInTable(Common_SourceData.Common_SourceData_MonthsToSeasons_Data(), Table_SourceData_Common_MonthToSeason[[#Headers],[Month]], 0)</f>
        <v>Autumn</v>
      </c>
    </row>
    <row r="218" spans="4:5" x14ac:dyDescent="0.25">
      <c r="D218" s="15" t="str" cm="1">
        <f t="array" ref="D218">Common_InputFunctions.Utility_DisplayArrayInTable(Common_SourceData.Common_SourceData_MonthsToSeasons_Data(), Table_SourceData_Common_MonthToSeason[[#Headers],[Month]], 0)</f>
        <v>June</v>
      </c>
      <c r="E218" s="17" t="str" cm="1">
        <f t="array" ref="E218">Common_InputFunctions.Utility_DisplayArrayInTable(Common_SourceData.Common_SourceData_MonthsToSeasons_Data(), Table_SourceData_Common_MonthToSeason[[#Headers],[Month]], 0)</f>
        <v>Winter</v>
      </c>
    </row>
    <row r="219" spans="4:5" x14ac:dyDescent="0.25">
      <c r="D219" s="15" t="str" cm="1">
        <f t="array" ref="D219">Common_InputFunctions.Utility_DisplayArrayInTable(Common_SourceData.Common_SourceData_MonthsToSeasons_Data(), Table_SourceData_Common_MonthToSeason[[#Headers],[Month]], 0)</f>
        <v>July</v>
      </c>
      <c r="E219" s="17" t="str" cm="1">
        <f t="array" ref="E219">Common_InputFunctions.Utility_DisplayArrayInTable(Common_SourceData.Common_SourceData_MonthsToSeasons_Data(), Table_SourceData_Common_MonthToSeason[[#Headers],[Month]], 0)</f>
        <v>Winter</v>
      </c>
    </row>
    <row r="220" spans="4:5" x14ac:dyDescent="0.25">
      <c r="D220" s="15" t="str" cm="1">
        <f t="array" ref="D220">Common_InputFunctions.Utility_DisplayArrayInTable(Common_SourceData.Common_SourceData_MonthsToSeasons_Data(), Table_SourceData_Common_MonthToSeason[[#Headers],[Month]], 0)</f>
        <v>August</v>
      </c>
      <c r="E220" s="17" t="str" cm="1">
        <f t="array" ref="E220">Common_InputFunctions.Utility_DisplayArrayInTable(Common_SourceData.Common_SourceData_MonthsToSeasons_Data(), Table_SourceData_Common_MonthToSeason[[#Headers],[Month]], 0)</f>
        <v>Winter</v>
      </c>
    </row>
    <row r="221" spans="4:5" x14ac:dyDescent="0.25">
      <c r="D221" s="15" t="str" cm="1">
        <f t="array" ref="D221">Common_InputFunctions.Utility_DisplayArrayInTable(Common_SourceData.Common_SourceData_MonthsToSeasons_Data(), Table_SourceData_Common_MonthToSeason[[#Headers],[Month]], 0)</f>
        <v>September</v>
      </c>
      <c r="E221" s="17" t="str" cm="1">
        <f t="array" ref="E221">Common_InputFunctions.Utility_DisplayArrayInTable(Common_SourceData.Common_SourceData_MonthsToSeasons_Data(), Table_SourceData_Common_MonthToSeason[[#Headers],[Month]], 0)</f>
        <v>Spring</v>
      </c>
    </row>
    <row r="222" spans="4:5" x14ac:dyDescent="0.25">
      <c r="D222" s="15" t="str" cm="1">
        <f t="array" ref="D222">Common_InputFunctions.Utility_DisplayArrayInTable(Common_SourceData.Common_SourceData_MonthsToSeasons_Data(), Table_SourceData_Common_MonthToSeason[[#Headers],[Month]], 0)</f>
        <v>October</v>
      </c>
      <c r="E222" s="17" t="str" cm="1">
        <f t="array" ref="E222">Common_InputFunctions.Utility_DisplayArrayInTable(Common_SourceData.Common_SourceData_MonthsToSeasons_Data(), Table_SourceData_Common_MonthToSeason[[#Headers],[Month]], 0)</f>
        <v>Spring</v>
      </c>
    </row>
    <row r="223" spans="4:5" x14ac:dyDescent="0.25">
      <c r="D223" s="15" t="str" cm="1">
        <f t="array" ref="D223">Common_InputFunctions.Utility_DisplayArrayInTable(Common_SourceData.Common_SourceData_MonthsToSeasons_Data(), Table_SourceData_Common_MonthToSeason[[#Headers],[Month]], 0)</f>
        <v>November</v>
      </c>
      <c r="E223" s="17" t="str" cm="1">
        <f t="array" ref="E223">Common_InputFunctions.Utility_DisplayArrayInTable(Common_SourceData.Common_SourceData_MonthsToSeasons_Data(), Table_SourceData_Common_MonthToSeason[[#Headers],[Month]], 0)</f>
        <v>Spring</v>
      </c>
    </row>
    <row r="224" spans="4:5" x14ac:dyDescent="0.25">
      <c r="D224" s="15" t="str" cm="1">
        <f t="array" ref="D224">Common_InputFunctions.Utility_DisplayArrayInTable(Common_SourceData.Common_SourceData_MonthsToSeasons_Data(), Table_SourceData_Common_MonthToSeason[[#Headers],[Month]], 0)</f>
        <v>December</v>
      </c>
      <c r="E224" s="17" t="str" cm="1">
        <f t="array" ref="E224">Common_InputFunctions.Utility_DisplayArrayInTable(Common_SourceData.Common_SourceData_MonthsToSeasons_Data(), Table_SourceData_Common_MonthToSeason[[#Headers],[Month]], 0)</f>
        <v>Summer</v>
      </c>
    </row>
    <row r="227" spans="4:19" ht="23.25" x14ac:dyDescent="0.25">
      <c r="D227" s="16" t="str" cm="1">
        <f t="array" ref="D227">Common_SourceData.Common_SourceData_MCFTemperatureZone_Title()</f>
        <v>Manure Management – Methane conversion factor per temperature zone (fraction) (MCFim)</v>
      </c>
    </row>
    <row r="228" spans="4:19" x14ac:dyDescent="0.25">
      <c r="D228" s="18" t="str" cm="1">
        <f t="array" ref="D228">Common_SourceData.Common_SourceData_MCFTemperatureZone_Source()</f>
        <v>VEERG 2026: Table A.1.8.1</v>
      </c>
    </row>
    <row r="229" spans="4:19" x14ac:dyDescent="0.25">
      <c r="D229" s="19"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17" t="s">
        <v>61</v>
      </c>
      <c r="E231" s="17" t="s">
        <v>62</v>
      </c>
      <c r="F231" s="22" t="s">
        <v>63</v>
      </c>
      <c r="G231" s="17" t="s">
        <v>64</v>
      </c>
      <c r="H231" s="17" t="s">
        <v>65</v>
      </c>
      <c r="I231" s="17" t="s">
        <v>66</v>
      </c>
      <c r="J231" s="17" t="s">
        <v>67</v>
      </c>
      <c r="K231" s="17" t="s">
        <v>68</v>
      </c>
      <c r="L231" s="17" t="s">
        <v>69</v>
      </c>
      <c r="M231" s="17" t="s">
        <v>70</v>
      </c>
      <c r="N231" s="17" t="s">
        <v>71</v>
      </c>
      <c r="O231" s="17" t="s">
        <v>72</v>
      </c>
      <c r="P231" s="17" t="s">
        <v>73</v>
      </c>
      <c r="Q231" s="17" t="s">
        <v>74</v>
      </c>
      <c r="R231" s="17" t="s">
        <v>75</v>
      </c>
      <c r="S231" s="17" t="s">
        <v>76</v>
      </c>
    </row>
    <row r="232" spans="4:19" x14ac:dyDescent="0.25">
      <c r="D232" s="17" t="str" cm="1">
        <f t="array" ref="D232">Common_InputFunctions.Utility_DisplayArrayInTable(Common_SourceData.Common_SourceData_MCFTemperatureZone_Data(),Table_SourceData_Common_MCFTemperatureZone[[#Headers],[Temperature zone]],0)</f>
        <v>Cool</v>
      </c>
      <c r="E232" s="17" t="str" cm="1">
        <f t="array" ref="E232">Common_InputFunctions.Utility_DisplayArrayInTable(Common_SourceData.Common_SourceData_MCFTemperatureZone_Data(),Table_SourceData_Common_MCFTemperatureZone[[#Headers],[Temperature zone]],0)</f>
        <v>≤10</v>
      </c>
      <c r="F232" s="17" cm="1">
        <f t="array" ref="F232">Common_InputFunctions.Utility_DisplayArrayInTable(Common_SourceData.Common_SourceData_MCFTemperatureZone_Data(),Table_SourceData_Common_MCFTemperatureZone[[#Headers],[Temperature zone]],0)</f>
        <v>0.66</v>
      </c>
      <c r="G232" s="17" cm="1">
        <f t="array" ref="G232">Common_InputFunctions.Utility_DisplayArrayInTable(Common_SourceData.Common_SourceData_MCFTemperatureZone_Data(),Table_SourceData_Common_MCFTemperatureZone[[#Headers],[Temperature zone]],0)</f>
        <v>0.1</v>
      </c>
      <c r="H232" s="17" cm="1">
        <f t="array" ref="H232">Common_InputFunctions.Utility_DisplayArrayInTable(Common_SourceData.Common_SourceData_MCFTemperatureZone_Data(),Table_SourceData_Common_MCFTemperatureZone[[#Headers],[Temperature zone]],0)</f>
        <v>0.1</v>
      </c>
      <c r="I232" s="17" cm="1">
        <f t="array" ref="I232">Common_InputFunctions.Utility_DisplayArrayInTable(Common_SourceData.Common_SourceData_MCFTemperatureZone_Data(),Table_SourceData_Common_MCFTemperatureZone[[#Headers],[Temperature zone]],0)</f>
        <v>1E-3</v>
      </c>
      <c r="J232" s="17" cm="1">
        <f t="array" ref="J232">Common_InputFunctions.Utility_DisplayArrayInTable(Common_SourceData.Common_SourceData_MCFTemperatureZone_Data(),Table_SourceData_Common_MCFTemperatureZone[[#Headers],[Temperature zone]],0)</f>
        <v>5.0000000000000001E-3</v>
      </c>
      <c r="K232" s="17" cm="1">
        <f t="array" ref="K232">Common_InputFunctions.Utility_DisplayArrayInTable(Common_SourceData.Common_SourceData_MCFTemperatureZone_Data(),Table_SourceData_Common_MCFTemperatureZone[[#Headers],[Temperature zone]],0)</f>
        <v>0.02</v>
      </c>
      <c r="L232" s="17" cm="1">
        <f t="array" ref="L232">Common_InputFunctions.Utility_DisplayArrayInTable(Common_SourceData.Common_SourceData_MCFTemperatureZone_Data(),Table_SourceData_Common_MCFTemperatureZone[[#Headers],[Temperature zone]],0)</f>
        <v>0.03</v>
      </c>
      <c r="M232" s="17" cm="1">
        <f t="array" ref="M232">Common_InputFunctions.Utility_DisplayArrayInTable(Common_SourceData.Common_SourceData_MCFTemperatureZone_Data(),Table_SourceData_Common_MCFTemperatureZone[[#Headers],[Temperature zone]],0)</f>
        <v>0.04</v>
      </c>
      <c r="N232" s="17" cm="1">
        <f t="array" ref="N232">Common_InputFunctions.Utility_DisplayArrayInTable(Common_SourceData.Common_SourceData_MCFTemperatureZone_Data(),Table_SourceData_Common_MCFTemperatureZone[[#Headers],[Temperature zone]],0)</f>
        <v>1.4999999999999999E-2</v>
      </c>
      <c r="O232" s="17" cm="1">
        <f t="array" ref="O232">Common_InputFunctions.Utility_DisplayArrayInTable(Common_SourceData.Common_SourceData_MCFTemperatureZone_Data(),Table_SourceData_Common_MCFTemperatureZone[[#Headers],[Temperature zone]],0)</f>
        <v>1.4999999999999999E-2</v>
      </c>
      <c r="P232" s="17" cm="1">
        <f t="array" ref="P232">Common_InputFunctions.Utility_DisplayArrayInTable(Common_SourceData.Common_SourceData_MCFTemperatureZone_Data(),Table_SourceData_Common_MCFTemperatureZone[[#Headers],[Temperature zone]],0)</f>
        <v>0</v>
      </c>
      <c r="Q232" s="17" cm="1">
        <f t="array" ref="Q232">Common_InputFunctions.Utility_DisplayArrayInTable(Common_SourceData.Common_SourceData_MCFTemperatureZone_Data(),Table_SourceData_Common_MCFTemperatureZone[[#Headers],[Temperature zone]],0)</f>
        <v>0</v>
      </c>
      <c r="R232" s="17" cm="1">
        <f t="array" ref="R232">Common_InputFunctions.Utility_DisplayArrayInTable(Common_SourceData.Common_SourceData_MCFTemperatureZone_Data(),Table_SourceData_Common_MCFTemperatureZone[[#Headers],[Temperature zone]],0)</f>
        <v>4.7000000000000002E-3</v>
      </c>
      <c r="S232" s="17" cm="1">
        <f t="array" ref="S232">Common_InputFunctions.Utility_DisplayArrayInTable(Common_SourceData.Common_SourceData_MCFTemperatureZone_Data(),Table_SourceData_Common_MCFTemperatureZone[[#Headers],[Temperature zone]],0)</f>
        <v>10</v>
      </c>
    </row>
    <row r="233" spans="4:19" x14ac:dyDescent="0.25">
      <c r="D233" s="15" t="str" cm="1">
        <f t="array" ref="D233">Common_InputFunctions.Utility_DisplayArrayInTable(Common_SourceData.Common_SourceData_MCFTemperatureZone_Data(),Table_SourceData_Common_MCFTemperatureZone[[#Headers],[Temperature zone]],0)</f>
        <v>Cool</v>
      </c>
      <c r="E233" s="17" cm="1">
        <f t="array" ref="E233">Common_InputFunctions.Utility_DisplayArrayInTable(Common_SourceData.Common_SourceData_MCFTemperatureZone_Data(),Table_SourceData_Common_MCFTemperatureZone[[#Headers],[Temperature zone]],0)</f>
        <v>11</v>
      </c>
      <c r="F233" s="17" cm="1">
        <f t="array" ref="F233">Common_InputFunctions.Utility_DisplayArrayInTable(Common_SourceData.Common_SourceData_MCFTemperatureZone_Data(),Table_SourceData_Common_MCFTemperatureZone[[#Headers],[Temperature zone]],0)</f>
        <v>0.68</v>
      </c>
      <c r="G233" s="17" cm="1">
        <f t="array" ref="G233">Common_InputFunctions.Utility_DisplayArrayInTable(Common_SourceData.Common_SourceData_MCFTemperatureZone_Data(),Table_SourceData_Common_MCFTemperatureZone[[#Headers],[Temperature zone]],0)</f>
        <v>0.1</v>
      </c>
      <c r="H233" s="17" cm="1">
        <f t="array" ref="H233">Common_InputFunctions.Utility_DisplayArrayInTable(Common_SourceData.Common_SourceData_MCFTemperatureZone_Data(),Table_SourceData_Common_MCFTemperatureZone[[#Headers],[Temperature zone]],0)</f>
        <v>0.11</v>
      </c>
      <c r="I233" s="17" cm="1">
        <f t="array" ref="I233">Common_InputFunctions.Utility_DisplayArrayInTable(Common_SourceData.Common_SourceData_MCFTemperatureZone_Data(),Table_SourceData_Common_MCFTemperatureZone[[#Headers],[Temperature zone]],0)</f>
        <v>1E-3</v>
      </c>
      <c r="J233" s="17" cm="1">
        <f t="array" ref="J233">Common_InputFunctions.Utility_DisplayArrayInTable(Common_SourceData.Common_SourceData_MCFTemperatureZone_Data(),Table_SourceData_Common_MCFTemperatureZone[[#Headers],[Temperature zone]],0)</f>
        <v>5.0000000000000001E-3</v>
      </c>
      <c r="K233" s="17" cm="1">
        <f t="array" ref="K233">Common_InputFunctions.Utility_DisplayArrayInTable(Common_SourceData.Common_SourceData_MCFTemperatureZone_Data(),Table_SourceData_Common_MCFTemperatureZone[[#Headers],[Temperature zone]],0)</f>
        <v>0.02</v>
      </c>
      <c r="L233" s="17" cm="1">
        <f t="array" ref="L233">Common_InputFunctions.Utility_DisplayArrayInTable(Common_SourceData.Common_SourceData_MCFTemperatureZone_Data(),Table_SourceData_Common_MCFTemperatureZone[[#Headers],[Temperature zone]],0)</f>
        <v>0.03</v>
      </c>
      <c r="M233" s="17" cm="1">
        <f t="array" ref="M233">Common_InputFunctions.Utility_DisplayArrayInTable(Common_SourceData.Common_SourceData_MCFTemperatureZone_Data(),Table_SourceData_Common_MCFTemperatureZone[[#Headers],[Temperature zone]],0)</f>
        <v>0.04</v>
      </c>
      <c r="N233" s="17" cm="1">
        <f t="array" ref="N233">Common_InputFunctions.Utility_DisplayArrayInTable(Common_SourceData.Common_SourceData_MCFTemperatureZone_Data(),Table_SourceData_Common_MCFTemperatureZone[[#Headers],[Temperature zone]],0)</f>
        <v>1.4999999999999999E-2</v>
      </c>
      <c r="O233" s="17" cm="1">
        <f t="array" ref="O233">Common_InputFunctions.Utility_DisplayArrayInTable(Common_SourceData.Common_SourceData_MCFTemperatureZone_Data(),Table_SourceData_Common_MCFTemperatureZone[[#Headers],[Temperature zone]],0)</f>
        <v>1.4999999999999999E-2</v>
      </c>
      <c r="P233" s="17" cm="1">
        <f t="array" ref="P233">Common_InputFunctions.Utility_DisplayArrayInTable(Common_SourceData.Common_SourceData_MCFTemperatureZone_Data(),Table_SourceData_Common_MCFTemperatureZone[[#Headers],[Temperature zone]],0)</f>
        <v>0</v>
      </c>
      <c r="Q233" s="17" cm="1">
        <f t="array" ref="Q233">Common_InputFunctions.Utility_DisplayArrayInTable(Common_SourceData.Common_SourceData_MCFTemperatureZone_Data(),Table_SourceData_Common_MCFTemperatureZone[[#Headers],[Temperature zone]],0)</f>
        <v>0</v>
      </c>
      <c r="R233" s="17" cm="1">
        <f t="array" ref="R233">Common_InputFunctions.Utility_DisplayArrayInTable(Common_SourceData.Common_SourceData_MCFTemperatureZone_Data(),Table_SourceData_Common_MCFTemperatureZone[[#Headers],[Temperature zone]],0)</f>
        <v>4.7000000000000002E-3</v>
      </c>
      <c r="S233" s="17" cm="1">
        <f t="array" ref="S233">Common_InputFunctions.Utility_DisplayArrayInTable(Common_SourceData.Common_SourceData_MCFTemperatureZone_Data(),Table_SourceData_Common_MCFTemperatureZone[[#Headers],[Temperature zone]],0)</f>
        <v>11</v>
      </c>
    </row>
    <row r="234" spans="4:19" x14ac:dyDescent="0.25">
      <c r="D234" s="15" t="str" cm="1">
        <f t="array" ref="D234">Common_InputFunctions.Utility_DisplayArrayInTable(Common_SourceData.Common_SourceData_MCFTemperatureZone_Data(),Table_SourceData_Common_MCFTemperatureZone[[#Headers],[Temperature zone]],0)</f>
        <v>Cool</v>
      </c>
      <c r="E234" s="17" cm="1">
        <f t="array" ref="E234">Common_InputFunctions.Utility_DisplayArrayInTable(Common_SourceData.Common_SourceData_MCFTemperatureZone_Data(),Table_SourceData_Common_MCFTemperatureZone[[#Headers],[Temperature zone]],0)</f>
        <v>12</v>
      </c>
      <c r="F234" s="17" cm="1">
        <f t="array" ref="F234">Common_InputFunctions.Utility_DisplayArrayInTable(Common_SourceData.Common_SourceData_MCFTemperatureZone_Data(),Table_SourceData_Common_MCFTemperatureZone[[#Headers],[Temperature zone]],0)</f>
        <v>0.7</v>
      </c>
      <c r="G234" s="17" cm="1">
        <f t="array" ref="G234">Common_InputFunctions.Utility_DisplayArrayInTable(Common_SourceData.Common_SourceData_MCFTemperatureZone_Data(),Table_SourceData_Common_MCFTemperatureZone[[#Headers],[Temperature zone]],0)</f>
        <v>0.1</v>
      </c>
      <c r="H234" s="17" cm="1">
        <f t="array" ref="H234">Common_InputFunctions.Utility_DisplayArrayInTable(Common_SourceData.Common_SourceData_MCFTemperatureZone_Data(),Table_SourceData_Common_MCFTemperatureZone[[#Headers],[Temperature zone]],0)</f>
        <v>0.13</v>
      </c>
      <c r="I234" s="17" cm="1">
        <f t="array" ref="I234">Common_InputFunctions.Utility_DisplayArrayInTable(Common_SourceData.Common_SourceData_MCFTemperatureZone_Data(),Table_SourceData_Common_MCFTemperatureZone[[#Headers],[Temperature zone]],0)</f>
        <v>1E-3</v>
      </c>
      <c r="J234" s="17" cm="1">
        <f t="array" ref="J234">Common_InputFunctions.Utility_DisplayArrayInTable(Common_SourceData.Common_SourceData_MCFTemperatureZone_Data(),Table_SourceData_Common_MCFTemperatureZone[[#Headers],[Temperature zone]],0)</f>
        <v>5.0000000000000001E-3</v>
      </c>
      <c r="K234" s="17" cm="1">
        <f t="array" ref="K234">Common_InputFunctions.Utility_DisplayArrayInTable(Common_SourceData.Common_SourceData_MCFTemperatureZone_Data(),Table_SourceData_Common_MCFTemperatureZone[[#Headers],[Temperature zone]],0)</f>
        <v>0.02</v>
      </c>
      <c r="L234" s="17" cm="1">
        <f t="array" ref="L234">Common_InputFunctions.Utility_DisplayArrayInTable(Common_SourceData.Common_SourceData_MCFTemperatureZone_Data(),Table_SourceData_Common_MCFTemperatureZone[[#Headers],[Temperature zone]],0)</f>
        <v>0.03</v>
      </c>
      <c r="M234" s="17" cm="1">
        <f t="array" ref="M234">Common_InputFunctions.Utility_DisplayArrayInTable(Common_SourceData.Common_SourceData_MCFTemperatureZone_Data(),Table_SourceData_Common_MCFTemperatureZone[[#Headers],[Temperature zone]],0)</f>
        <v>0.04</v>
      </c>
      <c r="N234" s="17" cm="1">
        <f t="array" ref="N234">Common_InputFunctions.Utility_DisplayArrayInTable(Common_SourceData.Common_SourceData_MCFTemperatureZone_Data(),Table_SourceData_Common_MCFTemperatureZone[[#Headers],[Temperature zone]],0)</f>
        <v>1.4999999999999999E-2</v>
      </c>
      <c r="O234" s="17" cm="1">
        <f t="array" ref="O234">Common_InputFunctions.Utility_DisplayArrayInTable(Common_SourceData.Common_SourceData_MCFTemperatureZone_Data(),Table_SourceData_Common_MCFTemperatureZone[[#Headers],[Temperature zone]],0)</f>
        <v>1.4999999999999999E-2</v>
      </c>
      <c r="P234" s="17" cm="1">
        <f t="array" ref="P234">Common_InputFunctions.Utility_DisplayArrayInTable(Common_SourceData.Common_SourceData_MCFTemperatureZone_Data(),Table_SourceData_Common_MCFTemperatureZone[[#Headers],[Temperature zone]],0)</f>
        <v>0</v>
      </c>
      <c r="Q234" s="17" cm="1">
        <f t="array" ref="Q234">Common_InputFunctions.Utility_DisplayArrayInTable(Common_SourceData.Common_SourceData_MCFTemperatureZone_Data(),Table_SourceData_Common_MCFTemperatureZone[[#Headers],[Temperature zone]],0)</f>
        <v>0</v>
      </c>
      <c r="R234" s="17" cm="1">
        <f t="array" ref="R234">Common_InputFunctions.Utility_DisplayArrayInTable(Common_SourceData.Common_SourceData_MCFTemperatureZone_Data(),Table_SourceData_Common_MCFTemperatureZone[[#Headers],[Temperature zone]],0)</f>
        <v>4.7000000000000002E-3</v>
      </c>
      <c r="S234" s="17" cm="1">
        <f t="array" ref="S234">Common_InputFunctions.Utility_DisplayArrayInTable(Common_SourceData.Common_SourceData_MCFTemperatureZone_Data(),Table_SourceData_Common_MCFTemperatureZone[[#Headers],[Temperature zone]],0)</f>
        <v>12</v>
      </c>
    </row>
    <row r="235" spans="4:19" x14ac:dyDescent="0.25">
      <c r="D235" s="15" t="str" cm="1">
        <f t="array" ref="D235">Common_InputFunctions.Utility_DisplayArrayInTable(Common_SourceData.Common_SourceData_MCFTemperatureZone_Data(),Table_SourceData_Common_MCFTemperatureZone[[#Headers],[Temperature zone]],0)</f>
        <v>Cool</v>
      </c>
      <c r="E235" s="17" cm="1">
        <f t="array" ref="E235">Common_InputFunctions.Utility_DisplayArrayInTable(Common_SourceData.Common_SourceData_MCFTemperatureZone_Data(),Table_SourceData_Common_MCFTemperatureZone[[#Headers],[Temperature zone]],0)</f>
        <v>13</v>
      </c>
      <c r="F235" s="17" cm="1">
        <f t="array" ref="F235">Common_InputFunctions.Utility_DisplayArrayInTable(Common_SourceData.Common_SourceData_MCFTemperatureZone_Data(),Table_SourceData_Common_MCFTemperatureZone[[#Headers],[Temperature zone]],0)</f>
        <v>0.71</v>
      </c>
      <c r="G235" s="17" cm="1">
        <f t="array" ref="G235">Common_InputFunctions.Utility_DisplayArrayInTable(Common_SourceData.Common_SourceData_MCFTemperatureZone_Data(),Table_SourceData_Common_MCFTemperatureZone[[#Headers],[Temperature zone]],0)</f>
        <v>0.1</v>
      </c>
      <c r="H235" s="17" cm="1">
        <f t="array" ref="H235">Common_InputFunctions.Utility_DisplayArrayInTable(Common_SourceData.Common_SourceData_MCFTemperatureZone_Data(),Table_SourceData_Common_MCFTemperatureZone[[#Headers],[Temperature zone]],0)</f>
        <v>0.14000000000000001</v>
      </c>
      <c r="I235" s="17" cm="1">
        <f t="array" ref="I235">Common_InputFunctions.Utility_DisplayArrayInTable(Common_SourceData.Common_SourceData_MCFTemperatureZone_Data(),Table_SourceData_Common_MCFTemperatureZone[[#Headers],[Temperature zone]],0)</f>
        <v>1E-3</v>
      </c>
      <c r="J235" s="17" cm="1">
        <f t="array" ref="J235">Common_InputFunctions.Utility_DisplayArrayInTable(Common_SourceData.Common_SourceData_MCFTemperatureZone_Data(),Table_SourceData_Common_MCFTemperatureZone[[#Headers],[Temperature zone]],0)</f>
        <v>5.0000000000000001E-3</v>
      </c>
      <c r="K235" s="17" cm="1">
        <f t="array" ref="K235">Common_InputFunctions.Utility_DisplayArrayInTable(Common_SourceData.Common_SourceData_MCFTemperatureZone_Data(),Table_SourceData_Common_MCFTemperatureZone[[#Headers],[Temperature zone]],0)</f>
        <v>0.02</v>
      </c>
      <c r="L235" s="17" cm="1">
        <f t="array" ref="L235">Common_InputFunctions.Utility_DisplayArrayInTable(Common_SourceData.Common_SourceData_MCFTemperatureZone_Data(),Table_SourceData_Common_MCFTemperatureZone[[#Headers],[Temperature zone]],0)</f>
        <v>0.03</v>
      </c>
      <c r="M235" s="17" cm="1">
        <f t="array" ref="M235">Common_InputFunctions.Utility_DisplayArrayInTable(Common_SourceData.Common_SourceData_MCFTemperatureZone_Data(),Table_SourceData_Common_MCFTemperatureZone[[#Headers],[Temperature zone]],0)</f>
        <v>0.04</v>
      </c>
      <c r="N235" s="17" cm="1">
        <f t="array" ref="N235">Common_InputFunctions.Utility_DisplayArrayInTable(Common_SourceData.Common_SourceData_MCFTemperatureZone_Data(),Table_SourceData_Common_MCFTemperatureZone[[#Headers],[Temperature zone]],0)</f>
        <v>1.4999999999999999E-2</v>
      </c>
      <c r="O235" s="17" cm="1">
        <f t="array" ref="O235">Common_InputFunctions.Utility_DisplayArrayInTable(Common_SourceData.Common_SourceData_MCFTemperatureZone_Data(),Table_SourceData_Common_MCFTemperatureZone[[#Headers],[Temperature zone]],0)</f>
        <v>1.4999999999999999E-2</v>
      </c>
      <c r="P235" s="17" cm="1">
        <f t="array" ref="P235">Common_InputFunctions.Utility_DisplayArrayInTable(Common_SourceData.Common_SourceData_MCFTemperatureZone_Data(),Table_SourceData_Common_MCFTemperatureZone[[#Headers],[Temperature zone]],0)</f>
        <v>0</v>
      </c>
      <c r="Q235" s="17" cm="1">
        <f t="array" ref="Q235">Common_InputFunctions.Utility_DisplayArrayInTable(Common_SourceData.Common_SourceData_MCFTemperatureZone_Data(),Table_SourceData_Common_MCFTemperatureZone[[#Headers],[Temperature zone]],0)</f>
        <v>0</v>
      </c>
      <c r="R235" s="17" cm="1">
        <f t="array" ref="R235">Common_InputFunctions.Utility_DisplayArrayInTable(Common_SourceData.Common_SourceData_MCFTemperatureZone_Data(),Table_SourceData_Common_MCFTemperatureZone[[#Headers],[Temperature zone]],0)</f>
        <v>4.7000000000000002E-3</v>
      </c>
      <c r="S235" s="17" cm="1">
        <f t="array" ref="S235">Common_InputFunctions.Utility_DisplayArrayInTable(Common_SourceData.Common_SourceData_MCFTemperatureZone_Data(),Table_SourceData_Common_MCFTemperatureZone[[#Headers],[Temperature zone]],0)</f>
        <v>13</v>
      </c>
    </row>
    <row r="236" spans="4:19" x14ac:dyDescent="0.25">
      <c r="D236" s="15" t="str" cm="1">
        <f t="array" ref="D236">Common_InputFunctions.Utility_DisplayArrayInTable(Common_SourceData.Common_SourceData_MCFTemperatureZone_Data(),Table_SourceData_Common_MCFTemperatureZone[[#Headers],[Temperature zone]],0)</f>
        <v>Cool</v>
      </c>
      <c r="E236" s="17" cm="1">
        <f t="array" ref="E236">Common_InputFunctions.Utility_DisplayArrayInTable(Common_SourceData.Common_SourceData_MCFTemperatureZone_Data(),Table_SourceData_Common_MCFTemperatureZone[[#Headers],[Temperature zone]],0)</f>
        <v>14</v>
      </c>
      <c r="F236" s="17" cm="1">
        <f t="array" ref="F236">Common_InputFunctions.Utility_DisplayArrayInTable(Common_SourceData.Common_SourceData_MCFTemperatureZone_Data(),Table_SourceData_Common_MCFTemperatureZone[[#Headers],[Temperature zone]],0)</f>
        <v>0.73</v>
      </c>
      <c r="G236" s="17" cm="1">
        <f t="array" ref="G236">Common_InputFunctions.Utility_DisplayArrayInTable(Common_SourceData.Common_SourceData_MCFTemperatureZone_Data(),Table_SourceData_Common_MCFTemperatureZone[[#Headers],[Temperature zone]],0)</f>
        <v>0.1</v>
      </c>
      <c r="H236" s="17" cm="1">
        <f t="array" ref="H236">Common_InputFunctions.Utility_DisplayArrayInTable(Common_SourceData.Common_SourceData_MCFTemperatureZone_Data(),Table_SourceData_Common_MCFTemperatureZone[[#Headers],[Temperature zone]],0)</f>
        <v>0.15</v>
      </c>
      <c r="I236" s="17" cm="1">
        <f t="array" ref="I236">Common_InputFunctions.Utility_DisplayArrayInTable(Common_SourceData.Common_SourceData_MCFTemperatureZone_Data(),Table_SourceData_Common_MCFTemperatureZone[[#Headers],[Temperature zone]],0)</f>
        <v>1E-3</v>
      </c>
      <c r="J236" s="17" cm="1">
        <f t="array" ref="J236">Common_InputFunctions.Utility_DisplayArrayInTable(Common_SourceData.Common_SourceData_MCFTemperatureZone_Data(),Table_SourceData_Common_MCFTemperatureZone[[#Headers],[Temperature zone]],0)</f>
        <v>5.0000000000000001E-3</v>
      </c>
      <c r="K236" s="17" cm="1">
        <f t="array" ref="K236">Common_InputFunctions.Utility_DisplayArrayInTable(Common_SourceData.Common_SourceData_MCFTemperatureZone_Data(),Table_SourceData_Common_MCFTemperatureZone[[#Headers],[Temperature zone]],0)</f>
        <v>0.02</v>
      </c>
      <c r="L236" s="17" cm="1">
        <f t="array" ref="L236">Common_InputFunctions.Utility_DisplayArrayInTable(Common_SourceData.Common_SourceData_MCFTemperatureZone_Data(),Table_SourceData_Common_MCFTemperatureZone[[#Headers],[Temperature zone]],0)</f>
        <v>0.03</v>
      </c>
      <c r="M236" s="17" cm="1">
        <f t="array" ref="M236">Common_InputFunctions.Utility_DisplayArrayInTable(Common_SourceData.Common_SourceData_MCFTemperatureZone_Data(),Table_SourceData_Common_MCFTemperatureZone[[#Headers],[Temperature zone]],0)</f>
        <v>0.04</v>
      </c>
      <c r="N236" s="17" cm="1">
        <f t="array" ref="N236">Common_InputFunctions.Utility_DisplayArrayInTable(Common_SourceData.Common_SourceData_MCFTemperatureZone_Data(),Table_SourceData_Common_MCFTemperatureZone[[#Headers],[Temperature zone]],0)</f>
        <v>1.4999999999999999E-2</v>
      </c>
      <c r="O236" s="17" cm="1">
        <f t="array" ref="O236">Common_InputFunctions.Utility_DisplayArrayInTable(Common_SourceData.Common_SourceData_MCFTemperatureZone_Data(),Table_SourceData_Common_MCFTemperatureZone[[#Headers],[Temperature zone]],0)</f>
        <v>1.4999999999999999E-2</v>
      </c>
      <c r="P236" s="17" cm="1">
        <f t="array" ref="P236">Common_InputFunctions.Utility_DisplayArrayInTable(Common_SourceData.Common_SourceData_MCFTemperatureZone_Data(),Table_SourceData_Common_MCFTemperatureZone[[#Headers],[Temperature zone]],0)</f>
        <v>0</v>
      </c>
      <c r="Q236" s="17" cm="1">
        <f t="array" ref="Q236">Common_InputFunctions.Utility_DisplayArrayInTable(Common_SourceData.Common_SourceData_MCFTemperatureZone_Data(),Table_SourceData_Common_MCFTemperatureZone[[#Headers],[Temperature zone]],0)</f>
        <v>0</v>
      </c>
      <c r="R236" s="17" cm="1">
        <f t="array" ref="R236">Common_InputFunctions.Utility_DisplayArrayInTable(Common_SourceData.Common_SourceData_MCFTemperatureZone_Data(),Table_SourceData_Common_MCFTemperatureZone[[#Headers],[Temperature zone]],0)</f>
        <v>4.7000000000000002E-3</v>
      </c>
      <c r="S236" s="17" cm="1">
        <f t="array" ref="S236">Common_InputFunctions.Utility_DisplayArrayInTable(Common_SourceData.Common_SourceData_MCFTemperatureZone_Data(),Table_SourceData_Common_MCFTemperatureZone[[#Headers],[Temperature zone]],0)</f>
        <v>14</v>
      </c>
    </row>
    <row r="237" spans="4:19" x14ac:dyDescent="0.25">
      <c r="D237" s="15" t="str" cm="1">
        <f t="array" ref="D237">Common_InputFunctions.Utility_DisplayArrayInTable(Common_SourceData.Common_SourceData_MCFTemperatureZone_Data(),Table_SourceData_Common_MCFTemperatureZone[[#Headers],[Temperature zone]],0)</f>
        <v>Temperate</v>
      </c>
      <c r="E237" s="17" cm="1">
        <f t="array" ref="E237">Common_InputFunctions.Utility_DisplayArrayInTable(Common_SourceData.Common_SourceData_MCFTemperatureZone_Data(),Table_SourceData_Common_MCFTemperatureZone[[#Headers],[Temperature zone]],0)</f>
        <v>15</v>
      </c>
      <c r="F237" s="17" cm="1">
        <f t="array" ref="F237">Common_InputFunctions.Utility_DisplayArrayInTable(Common_SourceData.Common_SourceData_MCFTemperatureZone_Data(),Table_SourceData_Common_MCFTemperatureZone[[#Headers],[Temperature zone]],0)</f>
        <v>0.74</v>
      </c>
      <c r="G237" s="17" cm="1">
        <f t="array" ref="G237">Common_InputFunctions.Utility_DisplayArrayInTable(Common_SourceData.Common_SourceData_MCFTemperatureZone_Data(),Table_SourceData_Common_MCFTemperatureZone[[#Headers],[Temperature zone]],0)</f>
        <v>0.1</v>
      </c>
      <c r="H237" s="17" cm="1">
        <f t="array" ref="H237">Common_InputFunctions.Utility_DisplayArrayInTable(Common_SourceData.Common_SourceData_MCFTemperatureZone_Data(),Table_SourceData_Common_MCFTemperatureZone[[#Headers],[Temperature zone]],0)</f>
        <v>0.17</v>
      </c>
      <c r="I237" s="17" cm="1">
        <f t="array" ref="I237">Common_InputFunctions.Utility_DisplayArrayInTable(Common_SourceData.Common_SourceData_MCFTemperatureZone_Data(),Table_SourceData_Common_MCFTemperatureZone[[#Headers],[Temperature zone]],0)</f>
        <v>5.0000000000000001E-3</v>
      </c>
      <c r="J237" s="17" cm="1">
        <f t="array" ref="J237">Common_InputFunctions.Utility_DisplayArrayInTable(Common_SourceData.Common_SourceData_MCFTemperatureZone_Data(),Table_SourceData_Common_MCFTemperatureZone[[#Headers],[Temperature zone]],0)</f>
        <v>0.01</v>
      </c>
      <c r="K237" s="17" cm="1">
        <f t="array" ref="K237">Common_InputFunctions.Utility_DisplayArrayInTable(Common_SourceData.Common_SourceData_MCFTemperatureZone_Data(),Table_SourceData_Common_MCFTemperatureZone[[#Headers],[Temperature zone]],0)</f>
        <v>0.02</v>
      </c>
      <c r="L237" s="17" cm="1">
        <f t="array" ref="L237">Common_InputFunctions.Utility_DisplayArrayInTable(Common_SourceData.Common_SourceData_MCFTemperatureZone_Data(),Table_SourceData_Common_MCFTemperatureZone[[#Headers],[Temperature zone]],0)</f>
        <v>0.03</v>
      </c>
      <c r="M237" s="17" cm="1">
        <f t="array" ref="M237">Common_InputFunctions.Utility_DisplayArrayInTable(Common_SourceData.Common_SourceData_MCFTemperatureZone_Data(),Table_SourceData_Common_MCFTemperatureZone[[#Headers],[Temperature zone]],0)</f>
        <v>0.04</v>
      </c>
      <c r="N237" s="17" cm="1">
        <f t="array" ref="N237">Common_InputFunctions.Utility_DisplayArrayInTable(Common_SourceData.Common_SourceData_MCFTemperatureZone_Data(),Table_SourceData_Common_MCFTemperatureZone[[#Headers],[Temperature zone]],0)</f>
        <v>1.4999999999999999E-2</v>
      </c>
      <c r="O237" s="17" cm="1">
        <f t="array" ref="O237">Common_InputFunctions.Utility_DisplayArrayInTable(Common_SourceData.Common_SourceData_MCFTemperatureZone_Data(),Table_SourceData_Common_MCFTemperatureZone[[#Headers],[Temperature zone]],0)</f>
        <v>1.4999999999999999E-2</v>
      </c>
      <c r="P237" s="17" cm="1">
        <f t="array" ref="P237">Common_InputFunctions.Utility_DisplayArrayInTable(Common_SourceData.Common_SourceData_MCFTemperatureZone_Data(),Table_SourceData_Common_MCFTemperatureZone[[#Headers],[Temperature zone]],0)</f>
        <v>0</v>
      </c>
      <c r="Q237" s="17" cm="1">
        <f t="array" ref="Q237">Common_InputFunctions.Utility_DisplayArrayInTable(Common_SourceData.Common_SourceData_MCFTemperatureZone_Data(),Table_SourceData_Common_MCFTemperatureZone[[#Headers],[Temperature zone]],0)</f>
        <v>0</v>
      </c>
      <c r="R237" s="17" cm="1">
        <f t="array" ref="R237">Common_InputFunctions.Utility_DisplayArrayInTable(Common_SourceData.Common_SourceData_MCFTemperatureZone_Data(),Table_SourceData_Common_MCFTemperatureZone[[#Headers],[Temperature zone]],0)</f>
        <v>4.7000000000000002E-3</v>
      </c>
      <c r="S237" s="17" cm="1">
        <f t="array" ref="S237">Common_InputFunctions.Utility_DisplayArrayInTable(Common_SourceData.Common_SourceData_MCFTemperatureZone_Data(),Table_SourceData_Common_MCFTemperatureZone[[#Headers],[Temperature zone]],0)</f>
        <v>15</v>
      </c>
    </row>
    <row r="238" spans="4:19" x14ac:dyDescent="0.25">
      <c r="D238" s="15" t="str" cm="1">
        <f t="array" ref="D238">Common_InputFunctions.Utility_DisplayArrayInTable(Common_SourceData.Common_SourceData_MCFTemperatureZone_Data(),Table_SourceData_Common_MCFTemperatureZone[[#Headers],[Temperature zone]],0)</f>
        <v>Temperate</v>
      </c>
      <c r="E238" s="17" cm="1">
        <f t="array" ref="E238">Common_InputFunctions.Utility_DisplayArrayInTable(Common_SourceData.Common_SourceData_MCFTemperatureZone_Data(),Table_SourceData_Common_MCFTemperatureZone[[#Headers],[Temperature zone]],0)</f>
        <v>16</v>
      </c>
      <c r="F238" s="17" cm="1">
        <f t="array" ref="F238">Common_InputFunctions.Utility_DisplayArrayInTable(Common_SourceData.Common_SourceData_MCFTemperatureZone_Data(),Table_SourceData_Common_MCFTemperatureZone[[#Headers],[Temperature zone]],0)</f>
        <v>0.75</v>
      </c>
      <c r="G238" s="17" cm="1">
        <f t="array" ref="G238">Common_InputFunctions.Utility_DisplayArrayInTable(Common_SourceData.Common_SourceData_MCFTemperatureZone_Data(),Table_SourceData_Common_MCFTemperatureZone[[#Headers],[Temperature zone]],0)</f>
        <v>0.1</v>
      </c>
      <c r="H238" s="17" cm="1">
        <f t="array" ref="H238">Common_InputFunctions.Utility_DisplayArrayInTable(Common_SourceData.Common_SourceData_MCFTemperatureZone_Data(),Table_SourceData_Common_MCFTemperatureZone[[#Headers],[Temperature zone]],0)</f>
        <v>0.18</v>
      </c>
      <c r="I238" s="17" cm="1">
        <f t="array" ref="I238">Common_InputFunctions.Utility_DisplayArrayInTable(Common_SourceData.Common_SourceData_MCFTemperatureZone_Data(),Table_SourceData_Common_MCFTemperatureZone[[#Headers],[Temperature zone]],0)</f>
        <v>5.0000000000000001E-3</v>
      </c>
      <c r="J238" s="17" cm="1">
        <f t="array" ref="J238">Common_InputFunctions.Utility_DisplayArrayInTable(Common_SourceData.Common_SourceData_MCFTemperatureZone_Data(),Table_SourceData_Common_MCFTemperatureZone[[#Headers],[Temperature zone]],0)</f>
        <v>0.01</v>
      </c>
      <c r="K238" s="17" cm="1">
        <f t="array" ref="K238">Common_InputFunctions.Utility_DisplayArrayInTable(Common_SourceData.Common_SourceData_MCFTemperatureZone_Data(),Table_SourceData_Common_MCFTemperatureZone[[#Headers],[Temperature zone]],0)</f>
        <v>0.02</v>
      </c>
      <c r="L238" s="17" cm="1">
        <f t="array" ref="L238">Common_InputFunctions.Utility_DisplayArrayInTable(Common_SourceData.Common_SourceData_MCFTemperatureZone_Data(),Table_SourceData_Common_MCFTemperatureZone[[#Headers],[Temperature zone]],0)</f>
        <v>0.03</v>
      </c>
      <c r="M238" s="17" cm="1">
        <f t="array" ref="M238">Common_InputFunctions.Utility_DisplayArrayInTable(Common_SourceData.Common_SourceData_MCFTemperatureZone_Data(),Table_SourceData_Common_MCFTemperatureZone[[#Headers],[Temperature zone]],0)</f>
        <v>0.04</v>
      </c>
      <c r="N238" s="17" cm="1">
        <f t="array" ref="N238">Common_InputFunctions.Utility_DisplayArrayInTable(Common_SourceData.Common_SourceData_MCFTemperatureZone_Data(),Table_SourceData_Common_MCFTemperatureZone[[#Headers],[Temperature zone]],0)</f>
        <v>1.4999999999999999E-2</v>
      </c>
      <c r="O238" s="17" cm="1">
        <f t="array" ref="O238">Common_InputFunctions.Utility_DisplayArrayInTable(Common_SourceData.Common_SourceData_MCFTemperatureZone_Data(),Table_SourceData_Common_MCFTemperatureZone[[#Headers],[Temperature zone]],0)</f>
        <v>1.4999999999999999E-2</v>
      </c>
      <c r="P238" s="17" cm="1">
        <f t="array" ref="P238">Common_InputFunctions.Utility_DisplayArrayInTable(Common_SourceData.Common_SourceData_MCFTemperatureZone_Data(),Table_SourceData_Common_MCFTemperatureZone[[#Headers],[Temperature zone]],0)</f>
        <v>0</v>
      </c>
      <c r="Q238" s="17" cm="1">
        <f t="array" ref="Q238">Common_InputFunctions.Utility_DisplayArrayInTable(Common_SourceData.Common_SourceData_MCFTemperatureZone_Data(),Table_SourceData_Common_MCFTemperatureZone[[#Headers],[Temperature zone]],0)</f>
        <v>0</v>
      </c>
      <c r="R238" s="17" cm="1">
        <f t="array" ref="R238">Common_InputFunctions.Utility_DisplayArrayInTable(Common_SourceData.Common_SourceData_MCFTemperatureZone_Data(),Table_SourceData_Common_MCFTemperatureZone[[#Headers],[Temperature zone]],0)</f>
        <v>4.7000000000000002E-3</v>
      </c>
      <c r="S238" s="17" cm="1">
        <f t="array" ref="S238">Common_InputFunctions.Utility_DisplayArrayInTable(Common_SourceData.Common_SourceData_MCFTemperatureZone_Data(),Table_SourceData_Common_MCFTemperatureZone[[#Headers],[Temperature zone]],0)</f>
        <v>16</v>
      </c>
    </row>
    <row r="239" spans="4:19" x14ac:dyDescent="0.25">
      <c r="D239" s="15" t="str" cm="1">
        <f t="array" ref="D239">Common_InputFunctions.Utility_DisplayArrayInTable(Common_SourceData.Common_SourceData_MCFTemperatureZone_Data(),Table_SourceData_Common_MCFTemperatureZone[[#Headers],[Temperature zone]],0)</f>
        <v>Temperate</v>
      </c>
      <c r="E239" s="17" cm="1">
        <f t="array" ref="E239">Common_InputFunctions.Utility_DisplayArrayInTable(Common_SourceData.Common_SourceData_MCFTemperatureZone_Data(),Table_SourceData_Common_MCFTemperatureZone[[#Headers],[Temperature zone]],0)</f>
        <v>17</v>
      </c>
      <c r="F239" s="17" cm="1">
        <f t="array" ref="F239">Common_InputFunctions.Utility_DisplayArrayInTable(Common_SourceData.Common_SourceData_MCFTemperatureZone_Data(),Table_SourceData_Common_MCFTemperatureZone[[#Headers],[Temperature zone]],0)</f>
        <v>0.76</v>
      </c>
      <c r="G239" s="17" cm="1">
        <f t="array" ref="G239">Common_InputFunctions.Utility_DisplayArrayInTable(Common_SourceData.Common_SourceData_MCFTemperatureZone_Data(),Table_SourceData_Common_MCFTemperatureZone[[#Headers],[Temperature zone]],0)</f>
        <v>0.1</v>
      </c>
      <c r="H239" s="17" cm="1">
        <f t="array" ref="H239">Common_InputFunctions.Utility_DisplayArrayInTable(Common_SourceData.Common_SourceData_MCFTemperatureZone_Data(),Table_SourceData_Common_MCFTemperatureZone[[#Headers],[Temperature zone]],0)</f>
        <v>0.2</v>
      </c>
      <c r="I239" s="17" cm="1">
        <f t="array" ref="I239">Common_InputFunctions.Utility_DisplayArrayInTable(Common_SourceData.Common_SourceData_MCFTemperatureZone_Data(),Table_SourceData_Common_MCFTemperatureZone[[#Headers],[Temperature zone]],0)</f>
        <v>5.0000000000000001E-3</v>
      </c>
      <c r="J239" s="17" cm="1">
        <f t="array" ref="J239">Common_InputFunctions.Utility_DisplayArrayInTable(Common_SourceData.Common_SourceData_MCFTemperatureZone_Data(),Table_SourceData_Common_MCFTemperatureZone[[#Headers],[Temperature zone]],0)</f>
        <v>0.01</v>
      </c>
      <c r="K239" s="17" cm="1">
        <f t="array" ref="K239">Common_InputFunctions.Utility_DisplayArrayInTable(Common_SourceData.Common_SourceData_MCFTemperatureZone_Data(),Table_SourceData_Common_MCFTemperatureZone[[#Headers],[Temperature zone]],0)</f>
        <v>0.02</v>
      </c>
      <c r="L239" s="17" cm="1">
        <f t="array" ref="L239">Common_InputFunctions.Utility_DisplayArrayInTable(Common_SourceData.Common_SourceData_MCFTemperatureZone_Data(),Table_SourceData_Common_MCFTemperatureZone[[#Headers],[Temperature zone]],0)</f>
        <v>0.03</v>
      </c>
      <c r="M239" s="17" cm="1">
        <f t="array" ref="M239">Common_InputFunctions.Utility_DisplayArrayInTable(Common_SourceData.Common_SourceData_MCFTemperatureZone_Data(),Table_SourceData_Common_MCFTemperatureZone[[#Headers],[Temperature zone]],0)</f>
        <v>0.04</v>
      </c>
      <c r="N239" s="17" cm="1">
        <f t="array" ref="N239">Common_InputFunctions.Utility_DisplayArrayInTable(Common_SourceData.Common_SourceData_MCFTemperatureZone_Data(),Table_SourceData_Common_MCFTemperatureZone[[#Headers],[Temperature zone]],0)</f>
        <v>1.4999999999999999E-2</v>
      </c>
      <c r="O239" s="17" cm="1">
        <f t="array" ref="O239">Common_InputFunctions.Utility_DisplayArrayInTable(Common_SourceData.Common_SourceData_MCFTemperatureZone_Data(),Table_SourceData_Common_MCFTemperatureZone[[#Headers],[Temperature zone]],0)</f>
        <v>1.4999999999999999E-2</v>
      </c>
      <c r="P239" s="17" cm="1">
        <f t="array" ref="P239">Common_InputFunctions.Utility_DisplayArrayInTable(Common_SourceData.Common_SourceData_MCFTemperatureZone_Data(),Table_SourceData_Common_MCFTemperatureZone[[#Headers],[Temperature zone]],0)</f>
        <v>0</v>
      </c>
      <c r="Q239" s="17" cm="1">
        <f t="array" ref="Q239">Common_InputFunctions.Utility_DisplayArrayInTable(Common_SourceData.Common_SourceData_MCFTemperatureZone_Data(),Table_SourceData_Common_MCFTemperatureZone[[#Headers],[Temperature zone]],0)</f>
        <v>0</v>
      </c>
      <c r="R239" s="17" cm="1">
        <f t="array" ref="R239">Common_InputFunctions.Utility_DisplayArrayInTable(Common_SourceData.Common_SourceData_MCFTemperatureZone_Data(),Table_SourceData_Common_MCFTemperatureZone[[#Headers],[Temperature zone]],0)</f>
        <v>4.7000000000000002E-3</v>
      </c>
      <c r="S239" s="17" cm="1">
        <f t="array" ref="S239">Common_InputFunctions.Utility_DisplayArrayInTable(Common_SourceData.Common_SourceData_MCFTemperatureZone_Data(),Table_SourceData_Common_MCFTemperatureZone[[#Headers],[Temperature zone]],0)</f>
        <v>17</v>
      </c>
    </row>
    <row r="240" spans="4:19" x14ac:dyDescent="0.25">
      <c r="D240" s="15" t="str" cm="1">
        <f t="array" ref="D240">Common_InputFunctions.Utility_DisplayArrayInTable(Common_SourceData.Common_SourceData_MCFTemperatureZone_Data(),Table_SourceData_Common_MCFTemperatureZone[[#Headers],[Temperature zone]],0)</f>
        <v>Temperate</v>
      </c>
      <c r="E240" s="17" cm="1">
        <f t="array" ref="E240">Common_InputFunctions.Utility_DisplayArrayInTable(Common_SourceData.Common_SourceData_MCFTemperatureZone_Data(),Table_SourceData_Common_MCFTemperatureZone[[#Headers],[Temperature zone]],0)</f>
        <v>18</v>
      </c>
      <c r="F240" s="17" cm="1">
        <f t="array" ref="F240">Common_InputFunctions.Utility_DisplayArrayInTable(Common_SourceData.Common_SourceData_MCFTemperatureZone_Data(),Table_SourceData_Common_MCFTemperatureZone[[#Headers],[Temperature zone]],0)</f>
        <v>0.77</v>
      </c>
      <c r="G240" s="17" cm="1">
        <f t="array" ref="G240">Common_InputFunctions.Utility_DisplayArrayInTable(Common_SourceData.Common_SourceData_MCFTemperatureZone_Data(),Table_SourceData_Common_MCFTemperatureZone[[#Headers],[Temperature zone]],0)</f>
        <v>0.1</v>
      </c>
      <c r="H240" s="17" cm="1">
        <f t="array" ref="H240">Common_InputFunctions.Utility_DisplayArrayInTable(Common_SourceData.Common_SourceData_MCFTemperatureZone_Data(),Table_SourceData_Common_MCFTemperatureZone[[#Headers],[Temperature zone]],0)</f>
        <v>0.22</v>
      </c>
      <c r="I240" s="17" cm="1">
        <f t="array" ref="I240">Common_InputFunctions.Utility_DisplayArrayInTable(Common_SourceData.Common_SourceData_MCFTemperatureZone_Data(),Table_SourceData_Common_MCFTemperatureZone[[#Headers],[Temperature zone]],0)</f>
        <v>5.0000000000000001E-3</v>
      </c>
      <c r="J240" s="17" cm="1">
        <f t="array" ref="J240">Common_InputFunctions.Utility_DisplayArrayInTable(Common_SourceData.Common_SourceData_MCFTemperatureZone_Data(),Table_SourceData_Common_MCFTemperatureZone[[#Headers],[Temperature zone]],0)</f>
        <v>0.01</v>
      </c>
      <c r="K240" s="17" cm="1">
        <f t="array" ref="K240">Common_InputFunctions.Utility_DisplayArrayInTable(Common_SourceData.Common_SourceData_MCFTemperatureZone_Data(),Table_SourceData_Common_MCFTemperatureZone[[#Headers],[Temperature zone]],0)</f>
        <v>0.02</v>
      </c>
      <c r="L240" s="17" cm="1">
        <f t="array" ref="L240">Common_InputFunctions.Utility_DisplayArrayInTable(Common_SourceData.Common_SourceData_MCFTemperatureZone_Data(),Table_SourceData_Common_MCFTemperatureZone[[#Headers],[Temperature zone]],0)</f>
        <v>0.03</v>
      </c>
      <c r="M240" s="17" cm="1">
        <f t="array" ref="M240">Common_InputFunctions.Utility_DisplayArrayInTable(Common_SourceData.Common_SourceData_MCFTemperatureZone_Data(),Table_SourceData_Common_MCFTemperatureZone[[#Headers],[Temperature zone]],0)</f>
        <v>0.04</v>
      </c>
      <c r="N240" s="17" cm="1">
        <f t="array" ref="N240">Common_InputFunctions.Utility_DisplayArrayInTable(Common_SourceData.Common_SourceData_MCFTemperatureZone_Data(),Table_SourceData_Common_MCFTemperatureZone[[#Headers],[Temperature zone]],0)</f>
        <v>1.4999999999999999E-2</v>
      </c>
      <c r="O240" s="17" cm="1">
        <f t="array" ref="O240">Common_InputFunctions.Utility_DisplayArrayInTable(Common_SourceData.Common_SourceData_MCFTemperatureZone_Data(),Table_SourceData_Common_MCFTemperatureZone[[#Headers],[Temperature zone]],0)</f>
        <v>1.4999999999999999E-2</v>
      </c>
      <c r="P240" s="17" cm="1">
        <f t="array" ref="P240">Common_InputFunctions.Utility_DisplayArrayInTable(Common_SourceData.Common_SourceData_MCFTemperatureZone_Data(),Table_SourceData_Common_MCFTemperatureZone[[#Headers],[Temperature zone]],0)</f>
        <v>0</v>
      </c>
      <c r="Q240" s="17" cm="1">
        <f t="array" ref="Q240">Common_InputFunctions.Utility_DisplayArrayInTable(Common_SourceData.Common_SourceData_MCFTemperatureZone_Data(),Table_SourceData_Common_MCFTemperatureZone[[#Headers],[Temperature zone]],0)</f>
        <v>0</v>
      </c>
      <c r="R240" s="17" cm="1">
        <f t="array" ref="R240">Common_InputFunctions.Utility_DisplayArrayInTable(Common_SourceData.Common_SourceData_MCFTemperatureZone_Data(),Table_SourceData_Common_MCFTemperatureZone[[#Headers],[Temperature zone]],0)</f>
        <v>4.7000000000000002E-3</v>
      </c>
      <c r="S240" s="17" cm="1">
        <f t="array" ref="S240">Common_InputFunctions.Utility_DisplayArrayInTable(Common_SourceData.Common_SourceData_MCFTemperatureZone_Data(),Table_SourceData_Common_MCFTemperatureZone[[#Headers],[Temperature zone]],0)</f>
        <v>18</v>
      </c>
    </row>
    <row r="241" spans="4:19" x14ac:dyDescent="0.25">
      <c r="D241" s="15" t="str" cm="1">
        <f t="array" ref="D241">Common_InputFunctions.Utility_DisplayArrayInTable(Common_SourceData.Common_SourceData_MCFTemperatureZone_Data(),Table_SourceData_Common_MCFTemperatureZone[[#Headers],[Temperature zone]],0)</f>
        <v>Temperate</v>
      </c>
      <c r="E241" s="17" cm="1">
        <f t="array" ref="E241">Common_InputFunctions.Utility_DisplayArrayInTable(Common_SourceData.Common_SourceData_MCFTemperatureZone_Data(),Table_SourceData_Common_MCFTemperatureZone[[#Headers],[Temperature zone]],0)</f>
        <v>19</v>
      </c>
      <c r="F241" s="17" cm="1">
        <f t="array" ref="F241">Common_InputFunctions.Utility_DisplayArrayInTable(Common_SourceData.Common_SourceData_MCFTemperatureZone_Data(),Table_SourceData_Common_MCFTemperatureZone[[#Headers],[Temperature zone]],0)</f>
        <v>0.77</v>
      </c>
      <c r="G241" s="17" cm="1">
        <f t="array" ref="G241">Common_InputFunctions.Utility_DisplayArrayInTable(Common_SourceData.Common_SourceData_MCFTemperatureZone_Data(),Table_SourceData_Common_MCFTemperatureZone[[#Headers],[Temperature zone]],0)</f>
        <v>0.1</v>
      </c>
      <c r="H241" s="17" cm="1">
        <f t="array" ref="H241">Common_InputFunctions.Utility_DisplayArrayInTable(Common_SourceData.Common_SourceData_MCFTemperatureZone_Data(),Table_SourceData_Common_MCFTemperatureZone[[#Headers],[Temperature zone]],0)</f>
        <v>0.24</v>
      </c>
      <c r="I241" s="17" cm="1">
        <f t="array" ref="I241">Common_InputFunctions.Utility_DisplayArrayInTable(Common_SourceData.Common_SourceData_MCFTemperatureZone_Data(),Table_SourceData_Common_MCFTemperatureZone[[#Headers],[Temperature zone]],0)</f>
        <v>5.0000000000000001E-3</v>
      </c>
      <c r="J241" s="17" cm="1">
        <f t="array" ref="J241">Common_InputFunctions.Utility_DisplayArrayInTable(Common_SourceData.Common_SourceData_MCFTemperatureZone_Data(),Table_SourceData_Common_MCFTemperatureZone[[#Headers],[Temperature zone]],0)</f>
        <v>0.01</v>
      </c>
      <c r="K241" s="17" cm="1">
        <f t="array" ref="K241">Common_InputFunctions.Utility_DisplayArrayInTable(Common_SourceData.Common_SourceData_MCFTemperatureZone_Data(),Table_SourceData_Common_MCFTemperatureZone[[#Headers],[Temperature zone]],0)</f>
        <v>0.02</v>
      </c>
      <c r="L241" s="17" cm="1">
        <f t="array" ref="L241">Common_InputFunctions.Utility_DisplayArrayInTable(Common_SourceData.Common_SourceData_MCFTemperatureZone_Data(),Table_SourceData_Common_MCFTemperatureZone[[#Headers],[Temperature zone]],0)</f>
        <v>0.03</v>
      </c>
      <c r="M241" s="17" cm="1">
        <f t="array" ref="M241">Common_InputFunctions.Utility_DisplayArrayInTable(Common_SourceData.Common_SourceData_MCFTemperatureZone_Data(),Table_SourceData_Common_MCFTemperatureZone[[#Headers],[Temperature zone]],0)</f>
        <v>0.04</v>
      </c>
      <c r="N241" s="17" cm="1">
        <f t="array" ref="N241">Common_InputFunctions.Utility_DisplayArrayInTable(Common_SourceData.Common_SourceData_MCFTemperatureZone_Data(),Table_SourceData_Common_MCFTemperatureZone[[#Headers],[Temperature zone]],0)</f>
        <v>1.4999999999999999E-2</v>
      </c>
      <c r="O241" s="17" cm="1">
        <f t="array" ref="O241">Common_InputFunctions.Utility_DisplayArrayInTable(Common_SourceData.Common_SourceData_MCFTemperatureZone_Data(),Table_SourceData_Common_MCFTemperatureZone[[#Headers],[Temperature zone]],0)</f>
        <v>1.4999999999999999E-2</v>
      </c>
      <c r="P241" s="17" cm="1">
        <f t="array" ref="P241">Common_InputFunctions.Utility_DisplayArrayInTable(Common_SourceData.Common_SourceData_MCFTemperatureZone_Data(),Table_SourceData_Common_MCFTemperatureZone[[#Headers],[Temperature zone]],0)</f>
        <v>0</v>
      </c>
      <c r="Q241" s="17" cm="1">
        <f t="array" ref="Q241">Common_InputFunctions.Utility_DisplayArrayInTable(Common_SourceData.Common_SourceData_MCFTemperatureZone_Data(),Table_SourceData_Common_MCFTemperatureZone[[#Headers],[Temperature zone]],0)</f>
        <v>0</v>
      </c>
      <c r="R241" s="17" cm="1">
        <f t="array" ref="R241">Common_InputFunctions.Utility_DisplayArrayInTable(Common_SourceData.Common_SourceData_MCFTemperatureZone_Data(),Table_SourceData_Common_MCFTemperatureZone[[#Headers],[Temperature zone]],0)</f>
        <v>4.7000000000000002E-3</v>
      </c>
      <c r="S241" s="17" cm="1">
        <f t="array" ref="S241">Common_InputFunctions.Utility_DisplayArrayInTable(Common_SourceData.Common_SourceData_MCFTemperatureZone_Data(),Table_SourceData_Common_MCFTemperatureZone[[#Headers],[Temperature zone]],0)</f>
        <v>19</v>
      </c>
    </row>
    <row r="242" spans="4:19" x14ac:dyDescent="0.25">
      <c r="D242" s="15" t="str" cm="1">
        <f t="array" ref="D242">Common_InputFunctions.Utility_DisplayArrayInTable(Common_SourceData.Common_SourceData_MCFTemperatureZone_Data(),Table_SourceData_Common_MCFTemperatureZone[[#Headers],[Temperature zone]],0)</f>
        <v>Temperate</v>
      </c>
      <c r="E242" s="17" cm="1">
        <f t="array" ref="E242">Common_InputFunctions.Utility_DisplayArrayInTable(Common_SourceData.Common_SourceData_MCFTemperatureZone_Data(),Table_SourceData_Common_MCFTemperatureZone[[#Headers],[Temperature zone]],0)</f>
        <v>20</v>
      </c>
      <c r="F242" s="17" cm="1">
        <f t="array" ref="F242">Common_InputFunctions.Utility_DisplayArrayInTable(Common_SourceData.Common_SourceData_MCFTemperatureZone_Data(),Table_SourceData_Common_MCFTemperatureZone[[#Headers],[Temperature zone]],0)</f>
        <v>0.78</v>
      </c>
      <c r="G242" s="17" cm="1">
        <f t="array" ref="G242">Common_InputFunctions.Utility_DisplayArrayInTable(Common_SourceData.Common_SourceData_MCFTemperatureZone_Data(),Table_SourceData_Common_MCFTemperatureZone[[#Headers],[Temperature zone]],0)</f>
        <v>0.1</v>
      </c>
      <c r="H242" s="17" cm="1">
        <f t="array" ref="H242">Common_InputFunctions.Utility_DisplayArrayInTable(Common_SourceData.Common_SourceData_MCFTemperatureZone_Data(),Table_SourceData_Common_MCFTemperatureZone[[#Headers],[Temperature zone]],0)</f>
        <v>0.26</v>
      </c>
      <c r="I242" s="17" cm="1">
        <f t="array" ref="I242">Common_InputFunctions.Utility_DisplayArrayInTable(Common_SourceData.Common_SourceData_MCFTemperatureZone_Data(),Table_SourceData_Common_MCFTemperatureZone[[#Headers],[Temperature zone]],0)</f>
        <v>5.0000000000000001E-3</v>
      </c>
      <c r="J242" s="17" cm="1">
        <f t="array" ref="J242">Common_InputFunctions.Utility_DisplayArrayInTable(Common_SourceData.Common_SourceData_MCFTemperatureZone_Data(),Table_SourceData_Common_MCFTemperatureZone[[#Headers],[Temperature zone]],0)</f>
        <v>0.01</v>
      </c>
      <c r="K242" s="17" cm="1">
        <f t="array" ref="K242">Common_InputFunctions.Utility_DisplayArrayInTable(Common_SourceData.Common_SourceData_MCFTemperatureZone_Data(),Table_SourceData_Common_MCFTemperatureZone[[#Headers],[Temperature zone]],0)</f>
        <v>0.02</v>
      </c>
      <c r="L242" s="17" cm="1">
        <f t="array" ref="L242">Common_InputFunctions.Utility_DisplayArrayInTable(Common_SourceData.Common_SourceData_MCFTemperatureZone_Data(),Table_SourceData_Common_MCFTemperatureZone[[#Headers],[Temperature zone]],0)</f>
        <v>0.03</v>
      </c>
      <c r="M242" s="17" cm="1">
        <f t="array" ref="M242">Common_InputFunctions.Utility_DisplayArrayInTable(Common_SourceData.Common_SourceData_MCFTemperatureZone_Data(),Table_SourceData_Common_MCFTemperatureZone[[#Headers],[Temperature zone]],0)</f>
        <v>0.04</v>
      </c>
      <c r="N242" s="17" cm="1">
        <f t="array" ref="N242">Common_InputFunctions.Utility_DisplayArrayInTable(Common_SourceData.Common_SourceData_MCFTemperatureZone_Data(),Table_SourceData_Common_MCFTemperatureZone[[#Headers],[Temperature zone]],0)</f>
        <v>1.4999999999999999E-2</v>
      </c>
      <c r="O242" s="17" cm="1">
        <f t="array" ref="O242">Common_InputFunctions.Utility_DisplayArrayInTable(Common_SourceData.Common_SourceData_MCFTemperatureZone_Data(),Table_SourceData_Common_MCFTemperatureZone[[#Headers],[Temperature zone]],0)</f>
        <v>1.4999999999999999E-2</v>
      </c>
      <c r="P242" s="17" cm="1">
        <f t="array" ref="P242">Common_InputFunctions.Utility_DisplayArrayInTable(Common_SourceData.Common_SourceData_MCFTemperatureZone_Data(),Table_SourceData_Common_MCFTemperatureZone[[#Headers],[Temperature zone]],0)</f>
        <v>0</v>
      </c>
      <c r="Q242" s="17" cm="1">
        <f t="array" ref="Q242">Common_InputFunctions.Utility_DisplayArrayInTable(Common_SourceData.Common_SourceData_MCFTemperatureZone_Data(),Table_SourceData_Common_MCFTemperatureZone[[#Headers],[Temperature zone]],0)</f>
        <v>0</v>
      </c>
      <c r="R242" s="17" cm="1">
        <f t="array" ref="R242">Common_InputFunctions.Utility_DisplayArrayInTable(Common_SourceData.Common_SourceData_MCFTemperatureZone_Data(),Table_SourceData_Common_MCFTemperatureZone[[#Headers],[Temperature zone]],0)</f>
        <v>4.7000000000000002E-3</v>
      </c>
      <c r="S242" s="17" cm="1">
        <f t="array" ref="S242">Common_InputFunctions.Utility_DisplayArrayInTable(Common_SourceData.Common_SourceData_MCFTemperatureZone_Data(),Table_SourceData_Common_MCFTemperatureZone[[#Headers],[Temperature zone]],0)</f>
        <v>20</v>
      </c>
    </row>
    <row r="243" spans="4:19" x14ac:dyDescent="0.25">
      <c r="D243" s="15" t="str" cm="1">
        <f t="array" ref="D243">Common_InputFunctions.Utility_DisplayArrayInTable(Common_SourceData.Common_SourceData_MCFTemperatureZone_Data(),Table_SourceData_Common_MCFTemperatureZone[[#Headers],[Temperature zone]],0)</f>
        <v>Temperate</v>
      </c>
      <c r="E243" s="17" cm="1">
        <f t="array" ref="E243">Common_InputFunctions.Utility_DisplayArrayInTable(Common_SourceData.Common_SourceData_MCFTemperatureZone_Data(),Table_SourceData_Common_MCFTemperatureZone[[#Headers],[Temperature zone]],0)</f>
        <v>21</v>
      </c>
      <c r="F243" s="17" cm="1">
        <f t="array" ref="F243">Common_InputFunctions.Utility_DisplayArrayInTable(Common_SourceData.Common_SourceData_MCFTemperatureZone_Data(),Table_SourceData_Common_MCFTemperatureZone[[#Headers],[Temperature zone]],0)</f>
        <v>0.78</v>
      </c>
      <c r="G243" s="17" cm="1">
        <f t="array" ref="G243">Common_InputFunctions.Utility_DisplayArrayInTable(Common_SourceData.Common_SourceData_MCFTemperatureZone_Data(),Table_SourceData_Common_MCFTemperatureZone[[#Headers],[Temperature zone]],0)</f>
        <v>0.1</v>
      </c>
      <c r="H243" s="17" cm="1">
        <f t="array" ref="H243">Common_InputFunctions.Utility_DisplayArrayInTable(Common_SourceData.Common_SourceData_MCFTemperatureZone_Data(),Table_SourceData_Common_MCFTemperatureZone[[#Headers],[Temperature zone]],0)</f>
        <v>0.28999999999999998</v>
      </c>
      <c r="I243" s="17" cm="1">
        <f t="array" ref="I243">Common_InputFunctions.Utility_DisplayArrayInTable(Common_SourceData.Common_SourceData_MCFTemperatureZone_Data(),Table_SourceData_Common_MCFTemperatureZone[[#Headers],[Temperature zone]],0)</f>
        <v>5.0000000000000001E-3</v>
      </c>
      <c r="J243" s="17" cm="1">
        <f t="array" ref="J243">Common_InputFunctions.Utility_DisplayArrayInTable(Common_SourceData.Common_SourceData_MCFTemperatureZone_Data(),Table_SourceData_Common_MCFTemperatureZone[[#Headers],[Temperature zone]],0)</f>
        <v>0.01</v>
      </c>
      <c r="K243" s="17" cm="1">
        <f t="array" ref="K243">Common_InputFunctions.Utility_DisplayArrayInTable(Common_SourceData.Common_SourceData_MCFTemperatureZone_Data(),Table_SourceData_Common_MCFTemperatureZone[[#Headers],[Temperature zone]],0)</f>
        <v>0.02</v>
      </c>
      <c r="L243" s="17" cm="1">
        <f t="array" ref="L243">Common_InputFunctions.Utility_DisplayArrayInTable(Common_SourceData.Common_SourceData_MCFTemperatureZone_Data(),Table_SourceData_Common_MCFTemperatureZone[[#Headers],[Temperature zone]],0)</f>
        <v>0.03</v>
      </c>
      <c r="M243" s="17" cm="1">
        <f t="array" ref="M243">Common_InputFunctions.Utility_DisplayArrayInTable(Common_SourceData.Common_SourceData_MCFTemperatureZone_Data(),Table_SourceData_Common_MCFTemperatureZone[[#Headers],[Temperature zone]],0)</f>
        <v>0.04</v>
      </c>
      <c r="N243" s="17" cm="1">
        <f t="array" ref="N243">Common_InputFunctions.Utility_DisplayArrayInTable(Common_SourceData.Common_SourceData_MCFTemperatureZone_Data(),Table_SourceData_Common_MCFTemperatureZone[[#Headers],[Temperature zone]],0)</f>
        <v>1.4999999999999999E-2</v>
      </c>
      <c r="O243" s="17" cm="1">
        <f t="array" ref="O243">Common_InputFunctions.Utility_DisplayArrayInTable(Common_SourceData.Common_SourceData_MCFTemperatureZone_Data(),Table_SourceData_Common_MCFTemperatureZone[[#Headers],[Temperature zone]],0)</f>
        <v>1.4999999999999999E-2</v>
      </c>
      <c r="P243" s="17" cm="1">
        <f t="array" ref="P243">Common_InputFunctions.Utility_DisplayArrayInTable(Common_SourceData.Common_SourceData_MCFTemperatureZone_Data(),Table_SourceData_Common_MCFTemperatureZone[[#Headers],[Temperature zone]],0)</f>
        <v>0</v>
      </c>
      <c r="Q243" s="17" cm="1">
        <f t="array" ref="Q243">Common_InputFunctions.Utility_DisplayArrayInTable(Common_SourceData.Common_SourceData_MCFTemperatureZone_Data(),Table_SourceData_Common_MCFTemperatureZone[[#Headers],[Temperature zone]],0)</f>
        <v>0</v>
      </c>
      <c r="R243" s="17" cm="1">
        <f t="array" ref="R243">Common_InputFunctions.Utility_DisplayArrayInTable(Common_SourceData.Common_SourceData_MCFTemperatureZone_Data(),Table_SourceData_Common_MCFTemperatureZone[[#Headers],[Temperature zone]],0)</f>
        <v>4.7000000000000002E-3</v>
      </c>
      <c r="S243" s="17" cm="1">
        <f t="array" ref="S243">Common_InputFunctions.Utility_DisplayArrayInTable(Common_SourceData.Common_SourceData_MCFTemperatureZone_Data(),Table_SourceData_Common_MCFTemperatureZone[[#Headers],[Temperature zone]],0)</f>
        <v>21</v>
      </c>
    </row>
    <row r="244" spans="4:19" x14ac:dyDescent="0.25">
      <c r="D244" s="15" t="str" cm="1">
        <f t="array" ref="D244">Common_InputFunctions.Utility_DisplayArrayInTable(Common_SourceData.Common_SourceData_MCFTemperatureZone_Data(),Table_SourceData_Common_MCFTemperatureZone[[#Headers],[Temperature zone]],0)</f>
        <v>Temperate</v>
      </c>
      <c r="E244" s="17" cm="1">
        <f t="array" ref="E244">Common_InputFunctions.Utility_DisplayArrayInTable(Common_SourceData.Common_SourceData_MCFTemperatureZone_Data(),Table_SourceData_Common_MCFTemperatureZone[[#Headers],[Temperature zone]],0)</f>
        <v>22</v>
      </c>
      <c r="F244" s="17" cm="1">
        <f t="array" ref="F244">Common_InputFunctions.Utility_DisplayArrayInTable(Common_SourceData.Common_SourceData_MCFTemperatureZone_Data(),Table_SourceData_Common_MCFTemperatureZone[[#Headers],[Temperature zone]],0)</f>
        <v>0.78</v>
      </c>
      <c r="G244" s="17" cm="1">
        <f t="array" ref="G244">Common_InputFunctions.Utility_DisplayArrayInTable(Common_SourceData.Common_SourceData_MCFTemperatureZone_Data(),Table_SourceData_Common_MCFTemperatureZone[[#Headers],[Temperature zone]],0)</f>
        <v>0.1</v>
      </c>
      <c r="H244" s="17" cm="1">
        <f t="array" ref="H244">Common_InputFunctions.Utility_DisplayArrayInTable(Common_SourceData.Common_SourceData_MCFTemperatureZone_Data(),Table_SourceData_Common_MCFTemperatureZone[[#Headers],[Temperature zone]],0)</f>
        <v>0.31</v>
      </c>
      <c r="I244" s="17" cm="1">
        <f t="array" ref="I244">Common_InputFunctions.Utility_DisplayArrayInTable(Common_SourceData.Common_SourceData_MCFTemperatureZone_Data(),Table_SourceData_Common_MCFTemperatureZone[[#Headers],[Temperature zone]],0)</f>
        <v>5.0000000000000001E-3</v>
      </c>
      <c r="J244" s="17" cm="1">
        <f t="array" ref="J244">Common_InputFunctions.Utility_DisplayArrayInTable(Common_SourceData.Common_SourceData_MCFTemperatureZone_Data(),Table_SourceData_Common_MCFTemperatureZone[[#Headers],[Temperature zone]],0)</f>
        <v>0.01</v>
      </c>
      <c r="K244" s="17" cm="1">
        <f t="array" ref="K244">Common_InputFunctions.Utility_DisplayArrayInTable(Common_SourceData.Common_SourceData_MCFTemperatureZone_Data(),Table_SourceData_Common_MCFTemperatureZone[[#Headers],[Temperature zone]],0)</f>
        <v>0.02</v>
      </c>
      <c r="L244" s="17" cm="1">
        <f t="array" ref="L244">Common_InputFunctions.Utility_DisplayArrayInTable(Common_SourceData.Common_SourceData_MCFTemperatureZone_Data(),Table_SourceData_Common_MCFTemperatureZone[[#Headers],[Temperature zone]],0)</f>
        <v>0.03</v>
      </c>
      <c r="M244" s="17" cm="1">
        <f t="array" ref="M244">Common_InputFunctions.Utility_DisplayArrayInTable(Common_SourceData.Common_SourceData_MCFTemperatureZone_Data(),Table_SourceData_Common_MCFTemperatureZone[[#Headers],[Temperature zone]],0)</f>
        <v>0.04</v>
      </c>
      <c r="N244" s="17" cm="1">
        <f t="array" ref="N244">Common_InputFunctions.Utility_DisplayArrayInTable(Common_SourceData.Common_SourceData_MCFTemperatureZone_Data(),Table_SourceData_Common_MCFTemperatureZone[[#Headers],[Temperature zone]],0)</f>
        <v>1.4999999999999999E-2</v>
      </c>
      <c r="O244" s="17" cm="1">
        <f t="array" ref="O244">Common_InputFunctions.Utility_DisplayArrayInTable(Common_SourceData.Common_SourceData_MCFTemperatureZone_Data(),Table_SourceData_Common_MCFTemperatureZone[[#Headers],[Temperature zone]],0)</f>
        <v>1.4999999999999999E-2</v>
      </c>
      <c r="P244" s="17" cm="1">
        <f t="array" ref="P244">Common_InputFunctions.Utility_DisplayArrayInTable(Common_SourceData.Common_SourceData_MCFTemperatureZone_Data(),Table_SourceData_Common_MCFTemperatureZone[[#Headers],[Temperature zone]],0)</f>
        <v>0</v>
      </c>
      <c r="Q244" s="17" cm="1">
        <f t="array" ref="Q244">Common_InputFunctions.Utility_DisplayArrayInTable(Common_SourceData.Common_SourceData_MCFTemperatureZone_Data(),Table_SourceData_Common_MCFTemperatureZone[[#Headers],[Temperature zone]],0)</f>
        <v>0</v>
      </c>
      <c r="R244" s="17" cm="1">
        <f t="array" ref="R244">Common_InputFunctions.Utility_DisplayArrayInTable(Common_SourceData.Common_SourceData_MCFTemperatureZone_Data(),Table_SourceData_Common_MCFTemperatureZone[[#Headers],[Temperature zone]],0)</f>
        <v>4.7000000000000002E-3</v>
      </c>
      <c r="S244" s="17" cm="1">
        <f t="array" ref="S244">Common_InputFunctions.Utility_DisplayArrayInTable(Common_SourceData.Common_SourceData_MCFTemperatureZone_Data(),Table_SourceData_Common_MCFTemperatureZone[[#Headers],[Temperature zone]],0)</f>
        <v>22</v>
      </c>
    </row>
    <row r="245" spans="4:19" x14ac:dyDescent="0.25">
      <c r="D245" s="15" t="str" cm="1">
        <f t="array" ref="D245">Common_InputFunctions.Utility_DisplayArrayInTable(Common_SourceData.Common_SourceData_MCFTemperatureZone_Data(),Table_SourceData_Common_MCFTemperatureZone[[#Headers],[Temperature zone]],0)</f>
        <v>Temperate</v>
      </c>
      <c r="E245" s="17" cm="1">
        <f t="array" ref="E245">Common_InputFunctions.Utility_DisplayArrayInTable(Common_SourceData.Common_SourceData_MCFTemperatureZone_Data(),Table_SourceData_Common_MCFTemperatureZone[[#Headers],[Temperature zone]],0)</f>
        <v>23</v>
      </c>
      <c r="F245" s="17" cm="1">
        <f t="array" ref="F245">Common_InputFunctions.Utility_DisplayArrayInTable(Common_SourceData.Common_SourceData_MCFTemperatureZone_Data(),Table_SourceData_Common_MCFTemperatureZone[[#Headers],[Temperature zone]],0)</f>
        <v>0.79</v>
      </c>
      <c r="G245" s="17" cm="1">
        <f t="array" ref="G245">Common_InputFunctions.Utility_DisplayArrayInTable(Common_SourceData.Common_SourceData_MCFTemperatureZone_Data(),Table_SourceData_Common_MCFTemperatureZone[[#Headers],[Temperature zone]],0)</f>
        <v>0.1</v>
      </c>
      <c r="H245" s="17" cm="1">
        <f t="array" ref="H245">Common_InputFunctions.Utility_DisplayArrayInTable(Common_SourceData.Common_SourceData_MCFTemperatureZone_Data(),Table_SourceData_Common_MCFTemperatureZone[[#Headers],[Temperature zone]],0)</f>
        <v>0.34</v>
      </c>
      <c r="I245" s="17" cm="1">
        <f t="array" ref="I245">Common_InputFunctions.Utility_DisplayArrayInTable(Common_SourceData.Common_SourceData_MCFTemperatureZone_Data(),Table_SourceData_Common_MCFTemperatureZone[[#Headers],[Temperature zone]],0)</f>
        <v>5.0000000000000001E-3</v>
      </c>
      <c r="J245" s="17" cm="1">
        <f t="array" ref="J245">Common_InputFunctions.Utility_DisplayArrayInTable(Common_SourceData.Common_SourceData_MCFTemperatureZone_Data(),Table_SourceData_Common_MCFTemperatureZone[[#Headers],[Temperature zone]],0)</f>
        <v>0.01</v>
      </c>
      <c r="K245" s="17" cm="1">
        <f t="array" ref="K245">Common_InputFunctions.Utility_DisplayArrayInTable(Common_SourceData.Common_SourceData_MCFTemperatureZone_Data(),Table_SourceData_Common_MCFTemperatureZone[[#Headers],[Temperature zone]],0)</f>
        <v>0.02</v>
      </c>
      <c r="L245" s="17" cm="1">
        <f t="array" ref="L245">Common_InputFunctions.Utility_DisplayArrayInTable(Common_SourceData.Common_SourceData_MCFTemperatureZone_Data(),Table_SourceData_Common_MCFTemperatureZone[[#Headers],[Temperature zone]],0)</f>
        <v>0.03</v>
      </c>
      <c r="M245" s="17" cm="1">
        <f t="array" ref="M245">Common_InputFunctions.Utility_DisplayArrayInTable(Common_SourceData.Common_SourceData_MCFTemperatureZone_Data(),Table_SourceData_Common_MCFTemperatureZone[[#Headers],[Temperature zone]],0)</f>
        <v>0.04</v>
      </c>
      <c r="N245" s="17" cm="1">
        <f t="array" ref="N245">Common_InputFunctions.Utility_DisplayArrayInTable(Common_SourceData.Common_SourceData_MCFTemperatureZone_Data(),Table_SourceData_Common_MCFTemperatureZone[[#Headers],[Temperature zone]],0)</f>
        <v>1.4999999999999999E-2</v>
      </c>
      <c r="O245" s="17" cm="1">
        <f t="array" ref="O245">Common_InputFunctions.Utility_DisplayArrayInTable(Common_SourceData.Common_SourceData_MCFTemperatureZone_Data(),Table_SourceData_Common_MCFTemperatureZone[[#Headers],[Temperature zone]],0)</f>
        <v>1.4999999999999999E-2</v>
      </c>
      <c r="P245" s="17" cm="1">
        <f t="array" ref="P245">Common_InputFunctions.Utility_DisplayArrayInTable(Common_SourceData.Common_SourceData_MCFTemperatureZone_Data(),Table_SourceData_Common_MCFTemperatureZone[[#Headers],[Temperature zone]],0)</f>
        <v>0</v>
      </c>
      <c r="Q245" s="17" cm="1">
        <f t="array" ref="Q245">Common_InputFunctions.Utility_DisplayArrayInTable(Common_SourceData.Common_SourceData_MCFTemperatureZone_Data(),Table_SourceData_Common_MCFTemperatureZone[[#Headers],[Temperature zone]],0)</f>
        <v>0</v>
      </c>
      <c r="R245" s="17" cm="1">
        <f t="array" ref="R245">Common_InputFunctions.Utility_DisplayArrayInTable(Common_SourceData.Common_SourceData_MCFTemperatureZone_Data(),Table_SourceData_Common_MCFTemperatureZone[[#Headers],[Temperature zone]],0)</f>
        <v>4.7000000000000002E-3</v>
      </c>
      <c r="S245" s="17" cm="1">
        <f t="array" ref="S245">Common_InputFunctions.Utility_DisplayArrayInTable(Common_SourceData.Common_SourceData_MCFTemperatureZone_Data(),Table_SourceData_Common_MCFTemperatureZone[[#Headers],[Temperature zone]],0)</f>
        <v>23</v>
      </c>
    </row>
    <row r="246" spans="4:19" x14ac:dyDescent="0.25">
      <c r="D246" s="15" t="str" cm="1">
        <f t="array" ref="D246">Common_InputFunctions.Utility_DisplayArrayInTable(Common_SourceData.Common_SourceData_MCFTemperatureZone_Data(),Table_SourceData_Common_MCFTemperatureZone[[#Headers],[Temperature zone]],0)</f>
        <v>Temperate</v>
      </c>
      <c r="E246" s="17" cm="1">
        <f t="array" ref="E246">Common_InputFunctions.Utility_DisplayArrayInTable(Common_SourceData.Common_SourceData_MCFTemperatureZone_Data(),Table_SourceData_Common_MCFTemperatureZone[[#Headers],[Temperature zone]],0)</f>
        <v>24</v>
      </c>
      <c r="F246" s="17" cm="1">
        <f t="array" ref="F246">Common_InputFunctions.Utility_DisplayArrayInTable(Common_SourceData.Common_SourceData_MCFTemperatureZone_Data(),Table_SourceData_Common_MCFTemperatureZone[[#Headers],[Temperature zone]],0)</f>
        <v>0.79</v>
      </c>
      <c r="G246" s="17" cm="1">
        <f t="array" ref="G246">Common_InputFunctions.Utility_DisplayArrayInTable(Common_SourceData.Common_SourceData_MCFTemperatureZone_Data(),Table_SourceData_Common_MCFTemperatureZone[[#Headers],[Temperature zone]],0)</f>
        <v>0.1</v>
      </c>
      <c r="H246" s="17" cm="1">
        <f t="array" ref="H246">Common_InputFunctions.Utility_DisplayArrayInTable(Common_SourceData.Common_SourceData_MCFTemperatureZone_Data(),Table_SourceData_Common_MCFTemperatureZone[[#Headers],[Temperature zone]],0)</f>
        <v>0.37</v>
      </c>
      <c r="I246" s="17" cm="1">
        <f t="array" ref="I246">Common_InputFunctions.Utility_DisplayArrayInTable(Common_SourceData.Common_SourceData_MCFTemperatureZone_Data(),Table_SourceData_Common_MCFTemperatureZone[[#Headers],[Temperature zone]],0)</f>
        <v>5.0000000000000001E-3</v>
      </c>
      <c r="J246" s="17" cm="1">
        <f t="array" ref="J246">Common_InputFunctions.Utility_DisplayArrayInTable(Common_SourceData.Common_SourceData_MCFTemperatureZone_Data(),Table_SourceData_Common_MCFTemperatureZone[[#Headers],[Temperature zone]],0)</f>
        <v>0.01</v>
      </c>
      <c r="K246" s="17" cm="1">
        <f t="array" ref="K246">Common_InputFunctions.Utility_DisplayArrayInTable(Common_SourceData.Common_SourceData_MCFTemperatureZone_Data(),Table_SourceData_Common_MCFTemperatureZone[[#Headers],[Temperature zone]],0)</f>
        <v>0.02</v>
      </c>
      <c r="L246" s="17" cm="1">
        <f t="array" ref="L246">Common_InputFunctions.Utility_DisplayArrayInTable(Common_SourceData.Common_SourceData_MCFTemperatureZone_Data(),Table_SourceData_Common_MCFTemperatureZone[[#Headers],[Temperature zone]],0)</f>
        <v>0.03</v>
      </c>
      <c r="M246" s="17" cm="1">
        <f t="array" ref="M246">Common_InputFunctions.Utility_DisplayArrayInTable(Common_SourceData.Common_SourceData_MCFTemperatureZone_Data(),Table_SourceData_Common_MCFTemperatureZone[[#Headers],[Temperature zone]],0)</f>
        <v>0.04</v>
      </c>
      <c r="N246" s="17" cm="1">
        <f t="array" ref="N246">Common_InputFunctions.Utility_DisplayArrayInTable(Common_SourceData.Common_SourceData_MCFTemperatureZone_Data(),Table_SourceData_Common_MCFTemperatureZone[[#Headers],[Temperature zone]],0)</f>
        <v>1.4999999999999999E-2</v>
      </c>
      <c r="O246" s="17" cm="1">
        <f t="array" ref="O246">Common_InputFunctions.Utility_DisplayArrayInTable(Common_SourceData.Common_SourceData_MCFTemperatureZone_Data(),Table_SourceData_Common_MCFTemperatureZone[[#Headers],[Temperature zone]],0)</f>
        <v>1.4999999999999999E-2</v>
      </c>
      <c r="P246" s="17" cm="1">
        <f t="array" ref="P246">Common_InputFunctions.Utility_DisplayArrayInTable(Common_SourceData.Common_SourceData_MCFTemperatureZone_Data(),Table_SourceData_Common_MCFTemperatureZone[[#Headers],[Temperature zone]],0)</f>
        <v>0</v>
      </c>
      <c r="Q246" s="17" cm="1">
        <f t="array" ref="Q246">Common_InputFunctions.Utility_DisplayArrayInTable(Common_SourceData.Common_SourceData_MCFTemperatureZone_Data(),Table_SourceData_Common_MCFTemperatureZone[[#Headers],[Temperature zone]],0)</f>
        <v>0</v>
      </c>
      <c r="R246" s="17" cm="1">
        <f t="array" ref="R246">Common_InputFunctions.Utility_DisplayArrayInTable(Common_SourceData.Common_SourceData_MCFTemperatureZone_Data(),Table_SourceData_Common_MCFTemperatureZone[[#Headers],[Temperature zone]],0)</f>
        <v>4.7000000000000002E-3</v>
      </c>
      <c r="S246" s="17" cm="1">
        <f t="array" ref="S246">Common_InputFunctions.Utility_DisplayArrayInTable(Common_SourceData.Common_SourceData_MCFTemperatureZone_Data(),Table_SourceData_Common_MCFTemperatureZone[[#Headers],[Temperature zone]],0)</f>
        <v>24</v>
      </c>
    </row>
    <row r="247" spans="4:19" x14ac:dyDescent="0.25">
      <c r="D247" s="15" t="str" cm="1">
        <f t="array" ref="D247">Common_InputFunctions.Utility_DisplayArrayInTable(Common_SourceData.Common_SourceData_MCFTemperatureZone_Data(),Table_SourceData_Common_MCFTemperatureZone[[#Headers],[Temperature zone]],0)</f>
        <v>Temperate</v>
      </c>
      <c r="E247" s="17" cm="1">
        <f t="array" ref="E247">Common_InputFunctions.Utility_DisplayArrayInTable(Common_SourceData.Common_SourceData_MCFTemperatureZone_Data(),Table_SourceData_Common_MCFTemperatureZone[[#Headers],[Temperature zone]],0)</f>
        <v>25</v>
      </c>
      <c r="F247" s="17" cm="1">
        <f t="array" ref="F247">Common_InputFunctions.Utility_DisplayArrayInTable(Common_SourceData.Common_SourceData_MCFTemperatureZone_Data(),Table_SourceData_Common_MCFTemperatureZone[[#Headers],[Temperature zone]],0)</f>
        <v>0.79</v>
      </c>
      <c r="G247" s="17" cm="1">
        <f t="array" ref="G247">Common_InputFunctions.Utility_DisplayArrayInTable(Common_SourceData.Common_SourceData_MCFTemperatureZone_Data(),Table_SourceData_Common_MCFTemperatureZone[[#Headers],[Temperature zone]],0)</f>
        <v>0.1</v>
      </c>
      <c r="H247" s="17" cm="1">
        <f t="array" ref="H247">Common_InputFunctions.Utility_DisplayArrayInTable(Common_SourceData.Common_SourceData_MCFTemperatureZone_Data(),Table_SourceData_Common_MCFTemperatureZone[[#Headers],[Temperature zone]],0)</f>
        <v>0.41</v>
      </c>
      <c r="I247" s="17" cm="1">
        <f t="array" ref="I247">Common_InputFunctions.Utility_DisplayArrayInTable(Common_SourceData.Common_SourceData_MCFTemperatureZone_Data(),Table_SourceData_Common_MCFTemperatureZone[[#Headers],[Temperature zone]],0)</f>
        <v>5.0000000000000001E-3</v>
      </c>
      <c r="J247" s="17" cm="1">
        <f t="array" ref="J247">Common_InputFunctions.Utility_DisplayArrayInTable(Common_SourceData.Common_SourceData_MCFTemperatureZone_Data(),Table_SourceData_Common_MCFTemperatureZone[[#Headers],[Temperature zone]],0)</f>
        <v>0.01</v>
      </c>
      <c r="K247" s="17" cm="1">
        <f t="array" ref="K247">Common_InputFunctions.Utility_DisplayArrayInTable(Common_SourceData.Common_SourceData_MCFTemperatureZone_Data(),Table_SourceData_Common_MCFTemperatureZone[[#Headers],[Temperature zone]],0)</f>
        <v>0.02</v>
      </c>
      <c r="L247" s="17" cm="1">
        <f t="array" ref="L247">Common_InputFunctions.Utility_DisplayArrayInTable(Common_SourceData.Common_SourceData_MCFTemperatureZone_Data(),Table_SourceData_Common_MCFTemperatureZone[[#Headers],[Temperature zone]],0)</f>
        <v>0.03</v>
      </c>
      <c r="M247" s="17" cm="1">
        <f t="array" ref="M247">Common_InputFunctions.Utility_DisplayArrayInTable(Common_SourceData.Common_SourceData_MCFTemperatureZone_Data(),Table_SourceData_Common_MCFTemperatureZone[[#Headers],[Temperature zone]],0)</f>
        <v>0.04</v>
      </c>
      <c r="N247" s="17" cm="1">
        <f t="array" ref="N247">Common_InputFunctions.Utility_DisplayArrayInTable(Common_SourceData.Common_SourceData_MCFTemperatureZone_Data(),Table_SourceData_Common_MCFTemperatureZone[[#Headers],[Temperature zone]],0)</f>
        <v>1.4999999999999999E-2</v>
      </c>
      <c r="O247" s="17" cm="1">
        <f t="array" ref="O247">Common_InputFunctions.Utility_DisplayArrayInTable(Common_SourceData.Common_SourceData_MCFTemperatureZone_Data(),Table_SourceData_Common_MCFTemperatureZone[[#Headers],[Temperature zone]],0)</f>
        <v>1.4999999999999999E-2</v>
      </c>
      <c r="P247" s="17" cm="1">
        <f t="array" ref="P247">Common_InputFunctions.Utility_DisplayArrayInTable(Common_SourceData.Common_SourceData_MCFTemperatureZone_Data(),Table_SourceData_Common_MCFTemperatureZone[[#Headers],[Temperature zone]],0)</f>
        <v>0</v>
      </c>
      <c r="Q247" s="17" cm="1">
        <f t="array" ref="Q247">Common_InputFunctions.Utility_DisplayArrayInTable(Common_SourceData.Common_SourceData_MCFTemperatureZone_Data(),Table_SourceData_Common_MCFTemperatureZone[[#Headers],[Temperature zone]],0)</f>
        <v>0</v>
      </c>
      <c r="R247" s="17" cm="1">
        <f t="array" ref="R247">Common_InputFunctions.Utility_DisplayArrayInTable(Common_SourceData.Common_SourceData_MCFTemperatureZone_Data(),Table_SourceData_Common_MCFTemperatureZone[[#Headers],[Temperature zone]],0)</f>
        <v>4.7000000000000002E-3</v>
      </c>
      <c r="S247" s="17" cm="1">
        <f t="array" ref="S247">Common_InputFunctions.Utility_DisplayArrayInTable(Common_SourceData.Common_SourceData_MCFTemperatureZone_Data(),Table_SourceData_Common_MCFTemperatureZone[[#Headers],[Temperature zone]],0)</f>
        <v>25</v>
      </c>
    </row>
    <row r="248" spans="4:19" x14ac:dyDescent="0.25">
      <c r="D248" s="15" t="str" cm="1">
        <f t="array" ref="D248">Common_InputFunctions.Utility_DisplayArrayInTable(Common_SourceData.Common_SourceData_MCFTemperatureZone_Data(),Table_SourceData_Common_MCFTemperatureZone[[#Headers],[Temperature zone]],0)</f>
        <v>Warm</v>
      </c>
      <c r="E248" s="17" cm="1">
        <f t="array" ref="E248">Common_InputFunctions.Utility_DisplayArrayInTable(Common_SourceData.Common_SourceData_MCFTemperatureZone_Data(),Table_SourceData_Common_MCFTemperatureZone[[#Headers],[Temperature zone]],0)</f>
        <v>26</v>
      </c>
      <c r="F248" s="17" cm="1">
        <f t="array" ref="F248">Common_InputFunctions.Utility_DisplayArrayInTable(Common_SourceData.Common_SourceData_MCFTemperatureZone_Data(),Table_SourceData_Common_MCFTemperatureZone[[#Headers],[Temperature zone]],0)</f>
        <v>0.79</v>
      </c>
      <c r="G248" s="17" cm="1">
        <f t="array" ref="G248">Common_InputFunctions.Utility_DisplayArrayInTable(Common_SourceData.Common_SourceData_MCFTemperatureZone_Data(),Table_SourceData_Common_MCFTemperatureZone[[#Headers],[Temperature zone]],0)</f>
        <v>0.1</v>
      </c>
      <c r="H248" s="17" cm="1">
        <f t="array" ref="H248">Common_InputFunctions.Utility_DisplayArrayInTable(Common_SourceData.Common_SourceData_MCFTemperatureZone_Data(),Table_SourceData_Common_MCFTemperatureZone[[#Headers],[Temperature zone]],0)</f>
        <v>0.44</v>
      </c>
      <c r="I248" s="17" cm="1">
        <f t="array" ref="I248">Common_InputFunctions.Utility_DisplayArrayInTable(Common_SourceData.Common_SourceData_MCFTemperatureZone_Data(),Table_SourceData_Common_MCFTemperatureZone[[#Headers],[Temperature zone]],0)</f>
        <v>0.01</v>
      </c>
      <c r="J248" s="17" cm="1">
        <f t="array" ref="J248">Common_InputFunctions.Utility_DisplayArrayInTable(Common_SourceData.Common_SourceData_MCFTemperatureZone_Data(),Table_SourceData_Common_MCFTemperatureZone[[#Headers],[Temperature zone]],0)</f>
        <v>1.4999999999999999E-2</v>
      </c>
      <c r="K248" s="17" cm="1">
        <f t="array" ref="K248">Common_InputFunctions.Utility_DisplayArrayInTable(Common_SourceData.Common_SourceData_MCFTemperatureZone_Data(),Table_SourceData_Common_MCFTemperatureZone[[#Headers],[Temperature zone]],0)</f>
        <v>0.02</v>
      </c>
      <c r="L248" s="17" cm="1">
        <f t="array" ref="L248">Common_InputFunctions.Utility_DisplayArrayInTable(Common_SourceData.Common_SourceData_MCFTemperatureZone_Data(),Table_SourceData_Common_MCFTemperatureZone[[#Headers],[Temperature zone]],0)</f>
        <v>0.03</v>
      </c>
      <c r="M248" s="17" cm="1">
        <f t="array" ref="M248">Common_InputFunctions.Utility_DisplayArrayInTable(Common_SourceData.Common_SourceData_MCFTemperatureZone_Data(),Table_SourceData_Common_MCFTemperatureZone[[#Headers],[Temperature zone]],0)</f>
        <v>0.04</v>
      </c>
      <c r="N248" s="17" cm="1">
        <f t="array" ref="N248">Common_InputFunctions.Utility_DisplayArrayInTable(Common_SourceData.Common_SourceData_MCFTemperatureZone_Data(),Table_SourceData_Common_MCFTemperatureZone[[#Headers],[Temperature zone]],0)</f>
        <v>1.4999999999999999E-2</v>
      </c>
      <c r="O248" s="17" cm="1">
        <f t="array" ref="O248">Common_InputFunctions.Utility_DisplayArrayInTable(Common_SourceData.Common_SourceData_MCFTemperatureZone_Data(),Table_SourceData_Common_MCFTemperatureZone[[#Headers],[Temperature zone]],0)</f>
        <v>1.4999999999999999E-2</v>
      </c>
      <c r="P248" s="17" cm="1">
        <f t="array" ref="P248">Common_InputFunctions.Utility_DisplayArrayInTable(Common_SourceData.Common_SourceData_MCFTemperatureZone_Data(),Table_SourceData_Common_MCFTemperatureZone[[#Headers],[Temperature zone]],0)</f>
        <v>0</v>
      </c>
      <c r="Q248" s="17" cm="1">
        <f t="array" ref="Q248">Common_InputFunctions.Utility_DisplayArrayInTable(Common_SourceData.Common_SourceData_MCFTemperatureZone_Data(),Table_SourceData_Common_MCFTemperatureZone[[#Headers],[Temperature zone]],0)</f>
        <v>0</v>
      </c>
      <c r="R248" s="17" cm="1">
        <f t="array" ref="R248">Common_InputFunctions.Utility_DisplayArrayInTable(Common_SourceData.Common_SourceData_MCFTemperatureZone_Data(),Table_SourceData_Common_MCFTemperatureZone[[#Headers],[Temperature zone]],0)</f>
        <v>4.7000000000000002E-3</v>
      </c>
      <c r="S248" s="17" cm="1">
        <f t="array" ref="S248">Common_InputFunctions.Utility_DisplayArrayInTable(Common_SourceData.Common_SourceData_MCFTemperatureZone_Data(),Table_SourceData_Common_MCFTemperatureZone[[#Headers],[Temperature zone]],0)</f>
        <v>26</v>
      </c>
    </row>
    <row r="249" spans="4:19" x14ac:dyDescent="0.25">
      <c r="D249" s="15" t="str" cm="1">
        <f t="array" ref="D249">Common_InputFunctions.Utility_DisplayArrayInTable(Common_SourceData.Common_SourceData_MCFTemperatureZone_Data(),Table_SourceData_Common_MCFTemperatureZone[[#Headers],[Temperature zone]],0)</f>
        <v>Warm</v>
      </c>
      <c r="E249" s="17" cm="1">
        <f t="array" ref="E249">Common_InputFunctions.Utility_DisplayArrayInTable(Common_SourceData.Common_SourceData_MCFTemperatureZone_Data(),Table_SourceData_Common_MCFTemperatureZone[[#Headers],[Temperature zone]],0)</f>
        <v>27</v>
      </c>
      <c r="F249" s="17" cm="1">
        <f t="array" ref="F249">Common_InputFunctions.Utility_DisplayArrayInTable(Common_SourceData.Common_SourceData_MCFTemperatureZone_Data(),Table_SourceData_Common_MCFTemperatureZone[[#Headers],[Temperature zone]],0)</f>
        <v>0.8</v>
      </c>
      <c r="G249" s="17" cm="1">
        <f t="array" ref="G249">Common_InputFunctions.Utility_DisplayArrayInTable(Common_SourceData.Common_SourceData_MCFTemperatureZone_Data(),Table_SourceData_Common_MCFTemperatureZone[[#Headers],[Temperature zone]],0)</f>
        <v>0.1</v>
      </c>
      <c r="H249" s="17" cm="1">
        <f t="array" ref="H249">Common_InputFunctions.Utility_DisplayArrayInTable(Common_SourceData.Common_SourceData_MCFTemperatureZone_Data(),Table_SourceData_Common_MCFTemperatureZone[[#Headers],[Temperature zone]],0)</f>
        <v>0.48</v>
      </c>
      <c r="I249" s="17" cm="1">
        <f t="array" ref="I249">Common_InputFunctions.Utility_DisplayArrayInTable(Common_SourceData.Common_SourceData_MCFTemperatureZone_Data(),Table_SourceData_Common_MCFTemperatureZone[[#Headers],[Temperature zone]],0)</f>
        <v>0.01</v>
      </c>
      <c r="J249" s="17" cm="1">
        <f t="array" ref="J249">Common_InputFunctions.Utility_DisplayArrayInTable(Common_SourceData.Common_SourceData_MCFTemperatureZone_Data(),Table_SourceData_Common_MCFTemperatureZone[[#Headers],[Temperature zone]],0)</f>
        <v>1.4999999999999999E-2</v>
      </c>
      <c r="K249" s="17" cm="1">
        <f t="array" ref="K249">Common_InputFunctions.Utility_DisplayArrayInTable(Common_SourceData.Common_SourceData_MCFTemperatureZone_Data(),Table_SourceData_Common_MCFTemperatureZone[[#Headers],[Temperature zone]],0)</f>
        <v>0.02</v>
      </c>
      <c r="L249" s="17" cm="1">
        <f t="array" ref="L249">Common_InputFunctions.Utility_DisplayArrayInTable(Common_SourceData.Common_SourceData_MCFTemperatureZone_Data(),Table_SourceData_Common_MCFTemperatureZone[[#Headers],[Temperature zone]],0)</f>
        <v>0.03</v>
      </c>
      <c r="M249" s="17" cm="1">
        <f t="array" ref="M249">Common_InputFunctions.Utility_DisplayArrayInTable(Common_SourceData.Common_SourceData_MCFTemperatureZone_Data(),Table_SourceData_Common_MCFTemperatureZone[[#Headers],[Temperature zone]],0)</f>
        <v>0.04</v>
      </c>
      <c r="N249" s="17" cm="1">
        <f t="array" ref="N249">Common_InputFunctions.Utility_DisplayArrayInTable(Common_SourceData.Common_SourceData_MCFTemperatureZone_Data(),Table_SourceData_Common_MCFTemperatureZone[[#Headers],[Temperature zone]],0)</f>
        <v>1.4999999999999999E-2</v>
      </c>
      <c r="O249" s="17" cm="1">
        <f t="array" ref="O249">Common_InputFunctions.Utility_DisplayArrayInTable(Common_SourceData.Common_SourceData_MCFTemperatureZone_Data(),Table_SourceData_Common_MCFTemperatureZone[[#Headers],[Temperature zone]],0)</f>
        <v>1.4999999999999999E-2</v>
      </c>
      <c r="P249" s="17" cm="1">
        <f t="array" ref="P249">Common_InputFunctions.Utility_DisplayArrayInTable(Common_SourceData.Common_SourceData_MCFTemperatureZone_Data(),Table_SourceData_Common_MCFTemperatureZone[[#Headers],[Temperature zone]],0)</f>
        <v>0</v>
      </c>
      <c r="Q249" s="17" cm="1">
        <f t="array" ref="Q249">Common_InputFunctions.Utility_DisplayArrayInTable(Common_SourceData.Common_SourceData_MCFTemperatureZone_Data(),Table_SourceData_Common_MCFTemperatureZone[[#Headers],[Temperature zone]],0)</f>
        <v>0</v>
      </c>
      <c r="R249" s="17" cm="1">
        <f t="array" ref="R249">Common_InputFunctions.Utility_DisplayArrayInTable(Common_SourceData.Common_SourceData_MCFTemperatureZone_Data(),Table_SourceData_Common_MCFTemperatureZone[[#Headers],[Temperature zone]],0)</f>
        <v>4.7000000000000002E-3</v>
      </c>
      <c r="S249" s="17" cm="1">
        <f t="array" ref="S249">Common_InputFunctions.Utility_DisplayArrayInTable(Common_SourceData.Common_SourceData_MCFTemperatureZone_Data(),Table_SourceData_Common_MCFTemperatureZone[[#Headers],[Temperature zone]],0)</f>
        <v>27</v>
      </c>
    </row>
    <row r="250" spans="4:19" x14ac:dyDescent="0.25">
      <c r="D250" s="15" t="str" cm="1">
        <f t="array" ref="D250">Common_InputFunctions.Utility_DisplayArrayInTable(Common_SourceData.Common_SourceData_MCFTemperatureZone_Data(),Table_SourceData_Common_MCFTemperatureZone[[#Headers],[Temperature zone]],0)</f>
        <v>Warm</v>
      </c>
      <c r="E250" s="17" t="str" cm="1">
        <f t="array" ref="E250">Common_InputFunctions.Utility_DisplayArrayInTable(Common_SourceData.Common_SourceData_MCFTemperatureZone_Data(),Table_SourceData_Common_MCFTemperatureZone[[#Headers],[Temperature zone]],0)</f>
        <v>≥28</v>
      </c>
      <c r="F250" s="17" cm="1">
        <f t="array" ref="F250">Common_InputFunctions.Utility_DisplayArrayInTable(Common_SourceData.Common_SourceData_MCFTemperatureZone_Data(),Table_SourceData_Common_MCFTemperatureZone[[#Headers],[Temperature zone]],0)</f>
        <v>0.8</v>
      </c>
      <c r="G250" s="17" cm="1">
        <f t="array" ref="G250">Common_InputFunctions.Utility_DisplayArrayInTable(Common_SourceData.Common_SourceData_MCFTemperatureZone_Data(),Table_SourceData_Common_MCFTemperatureZone[[#Headers],[Temperature zone]],0)</f>
        <v>0.1</v>
      </c>
      <c r="H250" s="17" cm="1">
        <f t="array" ref="H250">Common_InputFunctions.Utility_DisplayArrayInTable(Common_SourceData.Common_SourceData_MCFTemperatureZone_Data(),Table_SourceData_Common_MCFTemperatureZone[[#Headers],[Temperature zone]],0)</f>
        <v>0.5</v>
      </c>
      <c r="I250" s="17" cm="1">
        <f t="array" ref="I250">Common_InputFunctions.Utility_DisplayArrayInTable(Common_SourceData.Common_SourceData_MCFTemperatureZone_Data(),Table_SourceData_Common_MCFTemperatureZone[[#Headers],[Temperature zone]],0)</f>
        <v>0.01</v>
      </c>
      <c r="J250" s="17" cm="1">
        <f t="array" ref="J250">Common_InputFunctions.Utility_DisplayArrayInTable(Common_SourceData.Common_SourceData_MCFTemperatureZone_Data(),Table_SourceData_Common_MCFTemperatureZone[[#Headers],[Temperature zone]],0)</f>
        <v>1.4999999999999999E-2</v>
      </c>
      <c r="K250" s="17" cm="1">
        <f t="array" ref="K250">Common_InputFunctions.Utility_DisplayArrayInTable(Common_SourceData.Common_SourceData_MCFTemperatureZone_Data(),Table_SourceData_Common_MCFTemperatureZone[[#Headers],[Temperature zone]],0)</f>
        <v>0.02</v>
      </c>
      <c r="L250" s="17" cm="1">
        <f t="array" ref="L250">Common_InputFunctions.Utility_DisplayArrayInTable(Common_SourceData.Common_SourceData_MCFTemperatureZone_Data(),Table_SourceData_Common_MCFTemperatureZone[[#Headers],[Temperature zone]],0)</f>
        <v>0.03</v>
      </c>
      <c r="M250" s="17" cm="1">
        <f t="array" ref="M250">Common_InputFunctions.Utility_DisplayArrayInTable(Common_SourceData.Common_SourceData_MCFTemperatureZone_Data(),Table_SourceData_Common_MCFTemperatureZone[[#Headers],[Temperature zone]],0)</f>
        <v>0.04</v>
      </c>
      <c r="N250" s="17" cm="1">
        <f t="array" ref="N250">Common_InputFunctions.Utility_DisplayArrayInTable(Common_SourceData.Common_SourceData_MCFTemperatureZone_Data(),Table_SourceData_Common_MCFTemperatureZone[[#Headers],[Temperature zone]],0)</f>
        <v>1.4999999999999999E-2</v>
      </c>
      <c r="O250" s="17" cm="1">
        <f t="array" ref="O250">Common_InputFunctions.Utility_DisplayArrayInTable(Common_SourceData.Common_SourceData_MCFTemperatureZone_Data(),Table_SourceData_Common_MCFTemperatureZone[[#Headers],[Temperature zone]],0)</f>
        <v>1.4999999999999999E-2</v>
      </c>
      <c r="P250" s="17" cm="1">
        <f t="array" ref="P250">Common_InputFunctions.Utility_DisplayArrayInTable(Common_SourceData.Common_SourceData_MCFTemperatureZone_Data(),Table_SourceData_Common_MCFTemperatureZone[[#Headers],[Temperature zone]],0)</f>
        <v>0</v>
      </c>
      <c r="Q250" s="17" cm="1">
        <f t="array" ref="Q250">Common_InputFunctions.Utility_DisplayArrayInTable(Common_SourceData.Common_SourceData_MCFTemperatureZone_Data(),Table_SourceData_Common_MCFTemperatureZone[[#Headers],[Temperature zone]],0)</f>
        <v>0</v>
      </c>
      <c r="R250" s="17" cm="1">
        <f t="array" ref="R250">Common_InputFunctions.Utility_DisplayArrayInTable(Common_SourceData.Common_SourceData_MCFTemperatureZone_Data(),Table_SourceData_Common_MCFTemperatureZone[[#Headers],[Temperature zone]],0)</f>
        <v>4.7000000000000002E-3</v>
      </c>
      <c r="S250" s="17" cm="1">
        <f t="array" ref="S250">Common_InputFunctions.Utility_DisplayArrayInTable(Common_SourceData.Common_SourceData_MCFTemperatureZone_Data(),Table_SourceData_Common_MCFTemperatureZone[[#Headers],[Temperature zone]],0)</f>
        <v>28</v>
      </c>
    </row>
    <row r="253" spans="4:19" ht="23.25" x14ac:dyDescent="0.25">
      <c r="D253" s="16" t="str" cm="1">
        <f t="array" ref="D253">Common_SourceData.Common_SourceData_EFOrganicFertiliserAndCropResidues_Title()</f>
        <v>Emission factor for organic fertiliser and crop residues returned to the soil</v>
      </c>
    </row>
    <row r="254" spans="4:19" x14ac:dyDescent="0.25">
      <c r="D254" s="18" t="str" cm="1">
        <f t="array" ref="D254">Common_SourceData.Common_SourceData_EFOrganicFertiliserAndCropResidues_Source()</f>
        <v>VEERG 2026: Table A.2.1.4</v>
      </c>
    </row>
    <row r="255" spans="4:19" x14ac:dyDescent="0.25">
      <c r="D255" s="15" t="str" cm="1">
        <f t="array" ref="D255">Common_SourceData.Common_SourceData_EFOrganicFertiliserAndCropResidues_Variable()</f>
        <v>EFNi &amp; EFN2Oi</v>
      </c>
    </row>
    <row r="256" spans="4:19" x14ac:dyDescent="0.25">
      <c r="D256" s="20" t="str" cm="1">
        <f t="array" ref="D256">Common_SourceData.Common_SourceData_EFOrganicFertiliserAndCropResidues_Unit()</f>
        <v>kg N2O - N / kg N</v>
      </c>
    </row>
    <row r="257" spans="4:5" x14ac:dyDescent="0.25">
      <c r="D257" s="17" t="s">
        <v>77</v>
      </c>
      <c r="E257" s="17" t="s">
        <v>78</v>
      </c>
    </row>
    <row r="258" spans="4:5" x14ac:dyDescent="0.25">
      <c r="D258" s="17" t="str" cm="1">
        <f t="array" ref="D258">Common_InputFunctions.Utility_DisplayArrayInTable(Common_SourceData.Common_SourceData_EFOrganicFertiliserAndCropResidues_Data(), Table_SourceData_Common_EFOrganicFertCropResidues[[#Headers],[Climate Zone]], 0)</f>
        <v>Wet climate zone</v>
      </c>
      <c r="E258" s="1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5" t="str" cm="1">
        <f t="array" ref="D259">Common_InputFunctions.Utility_DisplayArrayInTable(Common_SourceData.Common_SourceData_EFOrganicFertiliserAndCropResidues_Data(), Table_SourceData_Common_EFOrganicFertCropResidues[[#Headers],[Climate Zone]], 0)</f>
        <v>Dry climate zone</v>
      </c>
      <c r="E259" s="1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cgBvAHcAcwAsAEkARgAoAG4APQAwACwAXAAiAFwAIgAsAEgAUwBUAEEAQwBLACgAcwB0AGEAcgB0AHMAVABlAHgAdAAgACYAIABcACIAIAB0AG8AIABcACIAIAAmACAAZQBuAGQAcwBUAGUAeAB0ACAAJgAgAHQAYQBnACkAKQAsAFwAbgAgACAAIAAgACAAIAAgACAAcgBvAHcAcwBcAG4AIAAgACAAIAApAFwAbgApADsAXABu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VAHQAaQBsAGkAdAB5AF8AQwBvAG4AdgBlAHIAdABTAHQAYQB0AGUAQwBvAG0AbQBvAG4ATgBhAG0AZQBUAG8AQQBiAGIAcgBlAHYAaQBhAHQAaQBvAG4AXABuAD0ATABBAE0AQgBEAEEAKABcAG4AIAAgACAAIABTAHQAYQB0AGUAQwBvAG0AbQBvAG4ATgBhAG0AZQAsAFwAbgAgACAAIAAgAFMAdABhAHQAZQBDAG8AbQBtAG8AbgBOAGEAbQBlAEEAcgByAGEAeQAsACAAUwB0AGEAdABlAEEAYgBiAHIAZQB2AGkAYQB0AGkAbwBuAEEAcgByAGEAeQAsAFwAbgAgACAAIAAgAFgATABPAE8ASwBVAFAAKABTAHQAYQB0AGUAQwBvAG0AbQBvAG4ATgBhAG0AZQAsACAAUwB0AGEAdABlAEMAbwBtAG0AbwBuAE4AYQBtAGUAQQByAHIAYQB5ACwAIABTAHQAYQB0AGUAQQBiAGIAcgBlAHYAaQBhAHQAaQBvAG4AQQByAHIAYQB5ACwAIABcACIAXAAiACkAXABuACkAOwBcAG4AXABuAFUAdABpAGwAaQB0AHkAXwBTAG8AdQByAGMAZQBIAHkAcABlAHIAbABpAG4Aaw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CcAXAAiACAAJgAgAHMAaAAgACYAIABcACIAJwAhAFwAIgAgAC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CYAIABhAGQAZAByAFwAbgAgACAAKQBcAG4AKQA7AFwAbgBcAG4AVQB0AGkAbABpAHQAeQBfAEQAaQBzAHAAbABhAHkAQQByAGcAdQBtAGUAbgB0AHMAXwAxAF8AMgBcAG4APQBMAEEATQBCAEQAQQAoAFwAbgAgACAAIAAgAEEAcgBnAHUAbQBlAG4AdABzAEEAcgByAGEAeQAsAFwAbgAgACAAIAAgAEMASABPAE8AUwBFAEMATwBMAFMAKABBAHIAZwB1AG0AZQBuAHQAcwBBAHIAcgBhAHkALAAgADEALAAgADIAKQBcAG4AKQA7AFwAbgBcAG4AVQB0AGkAbABpAHQAeQBfAEQAaQBzAHAAbABhAHkAQQByAGcAdQBtAGUAbgB0AHMAXwAzAF8ANABcAG4APQBMAEEATQBCAEQAQQAoAFwAbgAgACAAIAAgAEEAcgBnAHUAbQBlAG4AdABzAEEAcgByAGEAeQAsAFwAbgAgACAAIAAgAEMASABPAE8AUwBFAEMATwBMAFMAKABBAHIAZwB1AG0AZQBuAHQAcwBBAHIAcgBhAHkALAAgADMALAAgADQAKQBcAG4AKQA7AFwAbgBcAG4AQwBvAG0AbQBvAG4AXwBHAGUAdABNAEMARgBUAGUAbQBwAGUAcgBhAHQAdQByAGUAWgBvAG4AZQBcAG4APQBMAEEATQBCAEQAQQAoAFwAbgAgACAAIAAgAFQAZQBtAHAAZQByAGEAdAB1AHIAZQAsACAATQBNAFMALAAgAFQAZQBtAHAAZQByAGEAdAB1AHIAZQBBAHIAcgBhAHkALAAgAE0ATQBTAEEAcgByAGEAeQAsACAAUgBlAHQAdQByAG4AQQByAHIAYQB5ACwAXABuACAAIAAgACAAWABMAE8ATwBLAFUAUAAoAFwAbgAgACAAIAAgACAAIAAgACAATQBFAEQASQBBAE4AKABcAG4AIAAgACAAIAAgACAAIAAgACAAIAAgACAAVABlAG0AcABlAHIAYQB0AHUAcgBl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CYAIABcACIAIABcACIAIAAm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NA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1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AnAEEAcQB1AGEAYwB1AGwAdAB1AHIAZQAnACAAcgBvAHcALgBcACIAOwBcAG4AIAAgACAAIAAgACAAIAAgACAAIABcACIAUgBlAG0AbwB2AGUAZAAgAGEAcwB0AGUAcgBpAHMAawBzACAAdABvACAAYQBpAGQAIABsAG8AbwBrAHUAcAAuAFwAIgA7AFwAbgAgACAAIAAgACAAIAAgACAAIAAgAFwAIgBBAGQAZABlAGQAIAAnAHAAcgBvAGQAdQBjAHQAaQBvAG4AIABzAHkAcwB0AGUAbQAgAG8AbgBsAHkAJwAsACAAJwByAGEAaQBuAGYAYQBsAGwAIAB6AG8AbgBlACcAIABhAG4AZAAgACcAaQByAHIAaQBnAGEAdABpAG8AbgAgAG0AZQB0AGgAbwBkACcAIABjAG8AbAB1AG0AbgBzACAAdABvACAAYQBpAGQAIABsAG8AbwBrAHUAcAAuAFwAIgA7AFwAbgAgACAAIAAgACAAIAAgACAAIAAgAFwAIgBEAHUAcABsAGkAYwBhAHQAZQBkACAAJwBuAG8AbgAtAGkAcgByAGkAZwBhAHQAZQBkACAAcABhAHMAdAB1AHIAZQAn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JwBEAHIAeQAgAGMAbABpAG0AYQB0AGUAIAB6AG8AbgBlAHMAJwAgAHQAbwAgAHMAaQBuAGcAdQBsAGEAcgAgACcARAByAHkAIABjAGwAaQBtAGEAdABlACAAegBvAG4AZQAn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PA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JwBQAG8AdQBsAHQAcgB5ACAAdwBpAHQAaAAgAGEAbgBkACAAdwBpAHQAaABvAHUAdAAgAGwAaQB0AHQAZQByACcAIABjAG8AbAB1AG0AbgAgAHcAaQB0AGgAIABzAGUAcABhAHIAYQB0AGUAIABOAEkAUgAgAGQAZQBmAGkAbgBpAHQAaQBvAG4AcwAgAHQAbwAgAGEAaQBkACAAbABvAG8AawB1AHAALgAgAEEAZABkAGUAZAAgACcATQBBAFQAIAByAGEAdwAn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C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Am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BdACwAIgBwAHIAbwBqAGUAYwB0AE4AYQBtAGUAcwAiADoAWw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TAG8AdQByAGMAZQBIAHkAcABlAHIAbABpAG4AawBEAGkAZgBmAGUAcgBlAG4AdABTAGgAZQBlAHQ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XwBJAG4AcAB1AHQARgB1AG4AYwB0AGkAbwBuAHMALgBVAHQAaQBsAGkAdAB5AF8AUgBlAHMAdQBsAHQAcwBJAHQAZQBtAEYAcgBvAG0ARQBxAHUAYQB0AGkAbwBuAFQAaQB0AGwAZQBBAG4AZABTAG8AdQByAGMAZQAiACw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0AQwBGAFQAZQBtAHAAZQByAGEAdAB1AHIAZQBaAG8AbgBlAF8AVABpAHQAbABlACIALAAiAEMAbwBtAG0AbwBuAF8AUwBvAHUAcgBjAGUARABhAHQAYQAuAEMAbwBtAG0AbwBuAF8AUwBvAHUAcgBjAGUARABhAHQAYQBfAE0AQwBGAFQAZQBtAHAAZQByAGEAdAB1AHIAZQBaAG8AbgBlAF8AVQBuAGkAdAAiACwAIgBDAG8AbQBtAG8AbgBfAFMAbwB1AHIAYwBlAEQAYQB0AGEALgBDAG8AbQBtAG8AbgBfAFMAbwB1AHIAYwBlAEQAYQB0AGEAXwBNAEMARgBUAGUAbQBwAGUAcgBhAHQAdQByAGUAWgBvAG4AZQBfAFMAbwB1AHIAYwBlACIALAAiAEMAbwBtAG0AbwBuAF8AUwBvAHUAcgBjAGUARABhAHQAYQAuAEMAbwBtAG0AbwBuAF8AUwBvAHUAcgBjAGUARABhAHQAYQBfAE0AQwBGAFQAZQBtAHAAZQByAGEAdAB1AHIAZQBaAG8AbgBlAF8ARABhAHQAYQAiACwAIgBDAG8AbQBtAG8AbgBfAFMAbwB1AHIAYwBlAEQAYQB0AGEALgBDAG8AbQBtAG8AbgBfAFMAbwB1AHIAYwBlAEQAYQB0AGEAXwBNAEMARgBUAGUAbQBwAGUAcgBhAHQAdQByAGUAWgBvAG4AZQ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1A2AC3-1ADA-41F8-AB99-DE5FD8AAAF20}">
  <ds:schemaRefs>
    <ds:schemaRef ds:uri="http://schemas.microsoft.com/sharepoint/v3/contenttype/forms"/>
  </ds:schemaRefs>
</ds:datastoreItem>
</file>

<file path=customXml/itemProps2.xml><?xml version="1.0" encoding="utf-8"?>
<ds:datastoreItem xmlns:ds="http://schemas.openxmlformats.org/officeDocument/2006/customXml" ds:itemID="{32F9B851-3A8E-4BE9-8FD0-9CF81F575938}">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CDB3165D-9942-4FD4-A356-0CB3EECA2EBA}">
  <ds:schemaRefs>
    <ds:schemaRef ds:uri="http://schemas.advancedformulaenvironment.officeapps.live.com/afejsonblob/1.0"/>
  </ds:schemaRefs>
</ds:datastoreItem>
</file>

<file path=customXml/itemProps4.xml><?xml version="1.0" encoding="utf-8"?>
<ds:datastoreItem xmlns:ds="http://schemas.openxmlformats.org/officeDocument/2006/customXml" ds:itemID="{025C6F40-9188-4CB0-AF00-56A1D1AE2E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Input - Planting</vt:lpstr>
      <vt:lpstr>Input - Data quality</vt:lpstr>
      <vt:lpstr>Constants - Common</vt:lpstr>
      <vt:lpstr>X_Cell_Planting_Latitude</vt:lpstr>
      <vt:lpstr>X_Cell_Planting_Longitude</vt:lpstr>
      <vt:lpstr>X_Cell_Planting_PlantingAreaInHectares</vt:lpstr>
      <vt:lpstr>X_Cell_Planting_PlantingDate</vt:lpstr>
      <vt:lpstr>X_Cell_Planting_PlantingName</vt:lpstr>
      <vt:lpstr>X_Cell_Site_EndDate</vt:lpstr>
      <vt:lpstr>X_Cell_Site_StartDate</vt:lpstr>
      <vt:lpstr>X_Result_Planting_CarbonCapturedPerHectare</vt:lpstr>
      <vt:lpstr>X_Result_Planting_CarbonCapturedTotalArea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2025-12-03T00:40:40Z</dcterms:created>
  <dcterms:modified xsi:type="dcterms:W3CDTF">2026-08-05T06:04:29Z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