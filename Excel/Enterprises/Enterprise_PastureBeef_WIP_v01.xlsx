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5A61CDB-5BCA-4939-BA43-8ADF2AF6EAAF}" xr6:coauthVersionLast="47" xr6:coauthVersionMax="47" xr10:uidLastSave="{00000000-0000-0000-0000-000000000000}"/>
  <bookViews>
    <workbookView xWindow="2040" yWindow="1050" windowWidth="36255" windowHeight="19140"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29">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9">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29">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9">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RIGHT(_xlpm.Cell,LEN(_xlpm.Cell)-FIND(", ",_xlpm.Cell))
)</definedName>
    <definedName name="Fuel_InputFunctions.Fuel_GetStationaryFuelString" localSheetId="24">_xlfn.LAMBDA(_xlpm.Cell,
    RIGHT(_xlpm.Cell,LEN(_xlpm.Cell)-FIND(", ",_xlpm.Cell))
)</definedName>
    <definedName name="Fuel_InputFunctions.Fuel_GetStationaryFuelString" localSheetId="31">_xlfn.LAMBDA(_xlpm.Cell,
    RIGHT(_xlpm.Cell,LEN(_xlpm.Cell)-FIND(", ",_xlpm.Cell))
)</definedName>
    <definedName name="Fuel_InputFunctions.Fuel_GetStationaryFuelString" localSheetId="8">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2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2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2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2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2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'[1]6.3.1'!$D$44:$E$46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'[1]6.3.1'!$D$23:$I$25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'[1]6.3.1'!$N$23:$S$23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2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8">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2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8">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3">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8">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3">_xlfn.LAMBDA(_xlpm.E_N2O,_xlpm.E_ad,_xlpm.E_leach,
    _xlpm.E_N2O + _xlpm.E_ad + _xlpm.E_leach
  )</definedName>
    <definedName name="Scope3_Equations.VEERG_15_13_1_3__1_EmissionsFromSolidWasteTreatmentFacility" localSheetId="24">_xlfn.LAMBDA(_xlpm.E_N2O,_xlpm.E_ad,_xlpm.E_leach,
    _xlpm.E_N2O + _xlpm.E_ad + _xlpm.E_leach
  )</definedName>
    <definedName name="Scope3_Equations.VEERG_15_13_1_3__1_EmissionsFromSolidWasteTreatmentFacility" localSheetId="31">_xlfn.LAMBDA(_xlpm.E_N2O,_xlpm.E_ad,_xlpm.E_leach,
    _xlpm.E_N2O + _xlpm.E_ad + _xlpm.E_leach
  )</definedName>
    <definedName name="Scope3_Equations.VEERG_15_13_1_3__1_EmissionsFromSolidWasteTreatmentFacility" localSheetId="8">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'[2]6.1.1'!$E$42</definedName>
    <definedName name="VEERG_6_1_1_1__1__NitrousOxideEmissionsFromCropResidues_Result_Method2">'[2]6.1.1'!$N$77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'[3]6.3.1'!$E$48</definedName>
    <definedName name="VEERG_6_3_1_1__1__LeachingAndRunoffEmissionsCropAndPastureResidue_CropOnly_Result_Method2">'[3]6.3.1'!$O$48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'[1]6.3.1'!$E$48</definedName>
    <definedName name="VEERG_6_3_1_1__1__LeachingAndRunoffEmissionsCropAndPastureResidue_Result_Method2" localSheetId="22">'6.3.1.1-2 Leach runoff pasture'!$O$48</definedName>
    <definedName name="VEERG_6_3_1_1__1__LeachingAndRunoffEmissionsCropAndPastureResidue_Result_Method2">'[1]6.3.1'!$O$48</definedName>
    <definedName name="VEERG_6_4_1_1__1__MethaneEmissionsFromBurningOfCropResidues_Result_Method1">'[4]6.4.1'!$E$62</definedName>
    <definedName name="VEERG_6_4_1_1__2__NitrousOxideEmissionsFromBurningOfCropResidues_Result_Method1">'[4]6.4.1'!$E$39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'[5]Input - Crop'!$E$13</definedName>
    <definedName name="X_Cell_Crop_AverageWeightPerBale">'[5]Input - Crop'!$E$34</definedName>
    <definedName name="X_Cell_Crop_CropPurpose">'[5]Input - Crop'!$E$10</definedName>
    <definedName name="X_Cell_Crop_CropType">'[5]Input - Crop'!$E$9</definedName>
    <definedName name="X_Cell_Crop_IrrigationMethod">'[5]Input - Crop'!$E$11</definedName>
    <definedName name="X_Cell_Crop_NumberOfBales">'[5]Input - Crop'!$E$35</definedName>
    <definedName name="X_Cell_Crop_PercentResidueBaled">'[5]Input - Crop'!$E$33</definedName>
    <definedName name="X_Cell_Crop_PercentResidueBurned">'[5]Input - Crop'!$E$43</definedName>
    <definedName name="X_Cell_Crop_PercentResidueGrazed">'[5]Input - Crop'!$E$39</definedName>
    <definedName name="X_Cell_Crop_TotalProductionOfCrop">'[5]Input - Crop'!$E$22</definedName>
    <definedName name="X_Cell_Crop_YieldPerHectare">'[5]Input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U22" i="77"/>
  <c r="G21" i="77"/>
  <c r="F21" i="77"/>
  <c r="E21" i="77"/>
  <c r="D21" i="77"/>
  <c r="D32" i="97"/>
  <c r="D25" i="97"/>
  <c r="F39" i="96"/>
  <c r="M39" i="96" s="1" a="1"/>
  <c r="M39" i="96" s="1"/>
  <c r="D37" i="96"/>
  <c r="D34" i="96"/>
  <c r="D33" i="96"/>
  <c r="D25" i="96"/>
  <c r="D75" i="90"/>
  <c r="D74" i="90"/>
  <c r="D73" i="90"/>
  <c r="D72" i="90"/>
  <c r="D71" i="90"/>
  <c r="D70" i="90"/>
  <c r="D69" i="90"/>
  <c r="D68" i="90"/>
  <c r="D134" i="89" a="1"/>
  <c r="D134" i="89" s="1"/>
  <c r="D102" i="89" a="1"/>
  <c r="D102" i="89" s="1"/>
  <c r="G25" i="88" a="1"/>
  <c r="G25" i="88" s="1"/>
  <c r="F25" i="88" a="1"/>
  <c r="F25" i="88" s="1"/>
  <c r="D25" i="88" a="1"/>
  <c r="D25" i="88" s="1"/>
  <c r="H20" i="87" a="1"/>
  <c r="H20" i="87" s="1"/>
  <c r="E20" i="87" a="1"/>
  <c r="E20" i="87" s="1"/>
  <c r="D20" i="87" a="1"/>
  <c r="D20" i="87" s="1"/>
  <c r="N82" i="85" a="1"/>
  <c r="N82" i="85" s="1"/>
  <c r="N77" i="85" a="1"/>
  <c r="N77" i="85" s="1"/>
  <c r="W54" i="85"/>
  <c r="W53" i="85"/>
  <c r="N50" i="85" a="1"/>
  <c r="N50" i="85" s="1"/>
  <c r="N45" i="85" a="1"/>
  <c r="N45" i="85" s="1"/>
  <c r="I148" i="81"/>
  <c r="G87" i="81"/>
  <c r="F87" i="81"/>
  <c r="E87" i="81"/>
  <c r="D87"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F33" i="80"/>
  <c r="E33" i="80"/>
  <c r="F32" i="80"/>
  <c r="E32" i="80"/>
  <c r="F31" i="80"/>
  <c r="E31" i="80"/>
  <c r="F30" i="80"/>
  <c r="E30" i="80"/>
  <c r="H25" i="80"/>
  <c r="G25" i="80"/>
  <c r="F25" i="80"/>
  <c r="E25" i="80"/>
  <c r="H24" i="80"/>
  <c r="G24" i="80"/>
  <c r="F24" i="80"/>
  <c r="E24" i="80"/>
  <c r="H23" i="80"/>
  <c r="G23" i="80"/>
  <c r="F23" i="80"/>
  <c r="E23" i="80"/>
  <c r="H22" i="80"/>
  <c r="G22" i="80"/>
  <c r="F22" i="80"/>
  <c r="E22" i="80"/>
  <c r="E30" i="92"/>
  <c r="E29" i="92"/>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J200" i="76" a="1"/>
  <c r="J200" i="76" s="1"/>
  <c r="J199" i="76" a="1"/>
  <c r="J199" i="76" s="1"/>
  <c r="J198" i="76" a="1"/>
  <c r="J198" i="76" s="1"/>
  <c r="J197" i="76" a="1"/>
  <c r="J197" i="76" s="1"/>
  <c r="J196" i="76" a="1"/>
  <c r="J196" i="76" s="1"/>
  <c r="J195" i="76" a="1"/>
  <c r="J195" i="76" s="1"/>
  <c r="J194" i="76" a="1"/>
  <c r="J194" i="76" s="1"/>
  <c r="J193" i="76" a="1"/>
  <c r="J193" i="76" s="1"/>
  <c r="J192" i="76" a="1"/>
  <c r="J192" i="76" s="1"/>
  <c r="J200" i="79" a="1"/>
  <c r="J200" i="79" s="1"/>
  <c r="J199" i="79" a="1"/>
  <c r="J199" i="79" s="1"/>
  <c r="J198" i="79" a="1"/>
  <c r="J198" i="79" s="1"/>
  <c r="J197" i="79" a="1"/>
  <c r="J197" i="79" s="1"/>
  <c r="J196" i="79" a="1"/>
  <c r="J196" i="79" s="1"/>
  <c r="J195" i="79" a="1"/>
  <c r="J195" i="79" s="1"/>
  <c r="J194" i="79" a="1"/>
  <c r="J194" i="79" s="1"/>
  <c r="J193" i="79" a="1"/>
  <c r="J193" i="79" s="1"/>
  <c r="J192" i="79" a="1"/>
  <c r="J192" i="79" s="1"/>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c r="D47" i="103" a="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E19" i="99"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c r="L20" i="102" a="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P48" i="101" s="1"/>
  <c r="E33" i="101" a="1"/>
  <c r="E33" i="101" s="1"/>
  <c r="D29" i="101" a="1"/>
  <c r="D29" i="101" s="1"/>
  <c r="D28" i="101" a="1"/>
  <c r="D28" i="101" s="1"/>
  <c r="G25" i="101"/>
  <c r="F25" i="10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R13" i="100" a="1"/>
  <c r="R13" i="100" s="1"/>
  <c r="N13" i="100" a="1"/>
  <c r="N13" i="100" s="1"/>
  <c r="J13" i="100"/>
  <c r="H13" i="100" a="1"/>
  <c r="H13" i="100" s="1"/>
  <c r="D13" i="100" a="1"/>
  <c r="D13" i="100" s="1"/>
  <c r="E11" i="100" a="1"/>
  <c r="E11" i="100" s="1"/>
  <c r="E10" i="100" a="1"/>
  <c r="E10" i="100" s="1"/>
  <c r="D6" i="100" a="1"/>
  <c r="D6" i="100" s="1"/>
  <c r="D5" i="100" a="1"/>
  <c r="D5" i="100" s="1"/>
  <c r="E139" i="98"/>
  <c r="F40" i="97" s="1"/>
  <c r="G138" i="98"/>
  <c r="F32" i="96" s="1"/>
  <c r="E138" i="98"/>
  <c r="F39" i="97" s="1"/>
  <c r="G137" i="98"/>
  <c r="F31" i="96" s="1"/>
  <c r="E137" i="98"/>
  <c r="F38" i="97" s="1"/>
  <c r="D137" i="98"/>
  <c r="F31" i="97" s="1"/>
  <c r="G136" i="98"/>
  <c r="F30" i="96" s="1"/>
  <c r="E136" i="98"/>
  <c r="F37" i="97" s="1"/>
  <c r="D136" i="98"/>
  <c r="F30" i="97" s="1"/>
  <c r="G135" i="98"/>
  <c r="F29" i="96" s="1"/>
  <c r="E135" i="98"/>
  <c r="F36" i="97" s="1"/>
  <c r="D135" i="98"/>
  <c r="F29" i="97" s="1"/>
  <c r="G134" i="98"/>
  <c r="F28" i="96" s="1"/>
  <c r="E134" i="98"/>
  <c r="F35" i="97" s="1"/>
  <c r="D134" i="98"/>
  <c r="F28" i="97" s="1"/>
  <c r="G133" i="98"/>
  <c r="F27" i="96" s="1"/>
  <c r="F133" i="98"/>
  <c r="F36" i="96" s="1"/>
  <c r="E133" i="98"/>
  <c r="F34" i="97" s="1"/>
  <c r="D133" i="98"/>
  <c r="F27" i="97" s="1"/>
  <c r="I132" i="98"/>
  <c r="F38" i="96" s="1"/>
  <c r="G132" i="98"/>
  <c r="F26" i="96" s="1"/>
  <c r="F132" i="98"/>
  <c r="F35" i="96" s="1"/>
  <c r="E132" i="98"/>
  <c r="F33" i="97" s="1"/>
  <c r="D132" i="98"/>
  <c r="F26" i="97" s="1"/>
  <c r="I131" i="98"/>
  <c r="F37" i="96" s="1"/>
  <c r="H131" i="98"/>
  <c r="F33" i="96" s="1"/>
  <c r="G131" i="98"/>
  <c r="F25" i="96" s="1"/>
  <c r="F131" i="98"/>
  <c r="F34" i="96" s="1"/>
  <c r="E131" i="98"/>
  <c r="F32" i="97" s="1"/>
  <c r="D131" i="98"/>
  <c r="F25" i="97" s="1"/>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E40" i="97" s="1"/>
  <c r="J103" i="98" a="1"/>
  <c r="J103" i="98" s="1"/>
  <c r="I103" i="98" a="1"/>
  <c r="I103" i="98" s="1"/>
  <c r="H103" i="98" a="1"/>
  <c r="H103" i="98" s="1"/>
  <c r="G103" i="98" a="1"/>
  <c r="G103" i="98" s="1"/>
  <c r="F103" i="98" a="1"/>
  <c r="F103" i="98" s="1"/>
  <c r="E103" i="98" a="1"/>
  <c r="E103" i="98" s="1"/>
  <c r="D103" i="98" a="1"/>
  <c r="D103" i="98" s="1"/>
  <c r="E39" i="97"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E38" i="97"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E30" i="97" s="1"/>
  <c r="K74" i="98" a="1"/>
  <c r="K74" i="98" s="1"/>
  <c r="J74" i="98" a="1"/>
  <c r="J74" i="98" s="1"/>
  <c r="I74" i="98" a="1"/>
  <c r="I74" i="98" s="1"/>
  <c r="H74" i="98" a="1"/>
  <c r="H74" i="98" s="1"/>
  <c r="G74" i="98" a="1"/>
  <c r="G74" i="98" s="1"/>
  <c r="F74" i="98" a="1"/>
  <c r="F74" i="98" s="1"/>
  <c r="E74" i="98" a="1"/>
  <c r="E74" i="98" s="1"/>
  <c r="D74" i="98" a="1"/>
  <c r="D74" i="98" s="1"/>
  <c r="E36" i="97" s="1"/>
  <c r="K73" i="98" a="1"/>
  <c r="K73" i="98" s="1"/>
  <c r="J73" i="98" a="1"/>
  <c r="J73" i="98" s="1"/>
  <c r="I73" i="98" a="1"/>
  <c r="I73" i="98" s="1"/>
  <c r="H73" i="98" a="1"/>
  <c r="H73" i="98" s="1"/>
  <c r="G73" i="98" a="1"/>
  <c r="G73" i="98" s="1"/>
  <c r="F73" i="98" a="1"/>
  <c r="F73" i="98" s="1"/>
  <c r="E73" i="98" a="1"/>
  <c r="E73" i="98" s="1"/>
  <c r="D73" i="98" a="1"/>
  <c r="D73" i="98" s="1"/>
  <c r="E35" i="97"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E27" i="97"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E33" i="97"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E25" i="97"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E39" i="96"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E36" i="96" s="1"/>
  <c r="D30" i="98" a="1"/>
  <c r="D30" i="98" s="1"/>
  <c r="L29" i="98" a="1"/>
  <c r="L29" i="98" s="1"/>
  <c r="K29" i="98" a="1"/>
  <c r="K29" i="98" s="1"/>
  <c r="J29" i="98" a="1"/>
  <c r="J29" i="98" s="1"/>
  <c r="I29" i="98" a="1"/>
  <c r="I29" i="98" s="1"/>
  <c r="H29" i="98" a="1"/>
  <c r="H29" i="98" s="1"/>
  <c r="G29" i="98" a="1"/>
  <c r="G29" i="98" s="1"/>
  <c r="F29" i="98" a="1"/>
  <c r="F29" i="98" s="1"/>
  <c r="E29" i="98" a="1"/>
  <c r="E29" i="98" s="1"/>
  <c r="E35" i="96" s="1"/>
  <c r="D29" i="98" a="1"/>
  <c r="D29" i="98" s="1"/>
  <c r="L28" i="98" a="1"/>
  <c r="L28" i="98" s="1"/>
  <c r="K28" i="98" a="1"/>
  <c r="K28" i="98" s="1"/>
  <c r="J28" i="98" a="1"/>
  <c r="J28" i="98" s="1"/>
  <c r="I28" i="98" a="1"/>
  <c r="I28" i="98" s="1"/>
  <c r="H28" i="98" a="1"/>
  <c r="H28" i="98" s="1"/>
  <c r="G28" i="98" a="1"/>
  <c r="G28" i="98" s="1"/>
  <c r="F28" i="98" a="1"/>
  <c r="F28" i="98" s="1"/>
  <c r="E28" i="98" a="1"/>
  <c r="E28" i="98" s="1"/>
  <c r="E34" i="96"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E32" i="96" s="1"/>
  <c r="D17" i="98" a="1"/>
  <c r="D17" i="98" s="1"/>
  <c r="L16" i="98" a="1"/>
  <c r="L16" i="98" s="1"/>
  <c r="K16" i="98" a="1"/>
  <c r="K16" i="98" s="1"/>
  <c r="J16" i="98" a="1"/>
  <c r="J16" i="98" s="1"/>
  <c r="I16" i="98" a="1"/>
  <c r="I16" i="98" s="1"/>
  <c r="H16" i="98" a="1"/>
  <c r="H16" i="98" s="1"/>
  <c r="G16" i="98" a="1"/>
  <c r="G16" i="98" s="1"/>
  <c r="F16" i="98" a="1"/>
  <c r="F16" i="98" s="1"/>
  <c r="E16" i="98" a="1"/>
  <c r="E16" i="98" s="1"/>
  <c r="E31" i="96" s="1"/>
  <c r="D16" i="98" a="1"/>
  <c r="D16" i="98" s="1"/>
  <c r="L15" i="98" a="1"/>
  <c r="L15" i="98" s="1"/>
  <c r="K15" i="98" a="1"/>
  <c r="K15" i="98" s="1"/>
  <c r="J15" i="98" a="1"/>
  <c r="J15" i="98" s="1"/>
  <c r="I15" i="98" a="1"/>
  <c r="I15" i="98" s="1"/>
  <c r="H15" i="98" a="1"/>
  <c r="H15" i="98" s="1"/>
  <c r="G15" i="98" a="1"/>
  <c r="G15" i="98" s="1"/>
  <c r="F15" i="98" a="1"/>
  <c r="F15" i="98" s="1"/>
  <c r="E15" i="98" a="1"/>
  <c r="E15" i="98" s="1"/>
  <c r="E30" i="96" s="1"/>
  <c r="D15" i="98" a="1"/>
  <c r="D15" i="98" s="1"/>
  <c r="L14" i="98" a="1"/>
  <c r="L14" i="98" s="1"/>
  <c r="K14" i="98" a="1"/>
  <c r="K14" i="98" s="1"/>
  <c r="J14" i="98" a="1"/>
  <c r="J14" i="98" s="1"/>
  <c r="I14" i="98" a="1"/>
  <c r="I14" i="98" s="1"/>
  <c r="H14" i="98" a="1"/>
  <c r="H14" i="98" s="1"/>
  <c r="G14" i="98" a="1"/>
  <c r="G14" i="98" s="1"/>
  <c r="F14" i="98" a="1"/>
  <c r="F14" i="98" s="1"/>
  <c r="E14" i="98" a="1"/>
  <c r="E14" i="98" s="1"/>
  <c r="E29" i="96" s="1"/>
  <c r="D14" i="98" a="1"/>
  <c r="D14" i="98" s="1"/>
  <c r="L13" i="98" a="1"/>
  <c r="L13" i="98" s="1"/>
  <c r="K13" i="98" a="1"/>
  <c r="K13" i="98" s="1"/>
  <c r="J13" i="98" a="1"/>
  <c r="J13" i="98" s="1"/>
  <c r="I13" i="98" a="1"/>
  <c r="I13" i="98" s="1"/>
  <c r="H13" i="98" a="1"/>
  <c r="H13" i="98" s="1"/>
  <c r="G13" i="98" a="1"/>
  <c r="G13" i="98" s="1"/>
  <c r="F13" i="98" a="1"/>
  <c r="F13" i="98" s="1"/>
  <c r="E13" i="98" a="1"/>
  <c r="E13" i="98" s="1"/>
  <c r="E28" i="96" s="1"/>
  <c r="D13" i="98" a="1"/>
  <c r="D13" i="98" s="1"/>
  <c r="L12" i="98" a="1"/>
  <c r="L12" i="98" s="1"/>
  <c r="K12" i="98" a="1"/>
  <c r="K12" i="98" s="1"/>
  <c r="J12" i="98" a="1"/>
  <c r="J12" i="98" s="1"/>
  <c r="I12" i="98" a="1"/>
  <c r="I12" i="98" s="1"/>
  <c r="H12" i="98" a="1"/>
  <c r="H12" i="98" s="1"/>
  <c r="G12" i="98" a="1"/>
  <c r="G12" i="98" s="1"/>
  <c r="F12" i="98" a="1"/>
  <c r="F12" i="98" s="1"/>
  <c r="E12" i="98" a="1"/>
  <c r="E12" i="98" s="1"/>
  <c r="E27" i="96" s="1"/>
  <c r="D12" i="98" a="1"/>
  <c r="D12" i="98" s="1"/>
  <c r="L11" i="98" a="1"/>
  <c r="L11" i="98" s="1"/>
  <c r="K11" i="98" a="1"/>
  <c r="K11" i="98" s="1"/>
  <c r="J11" i="98" a="1"/>
  <c r="J11" i="98" s="1"/>
  <c r="I11" i="98" a="1"/>
  <c r="I11" i="98" s="1"/>
  <c r="H11" i="98" a="1"/>
  <c r="H11" i="98" s="1"/>
  <c r="G11" i="98" a="1"/>
  <c r="G11" i="98" s="1"/>
  <c r="F11" i="98" a="1"/>
  <c r="F11" i="98" s="1"/>
  <c r="E11" i="98" a="1"/>
  <c r="E11" i="98" s="1"/>
  <c r="E33" i="96" s="1"/>
  <c r="D11" i="98" a="1"/>
  <c r="D11" i="98" s="1"/>
  <c r="L10" i="98" a="1"/>
  <c r="L10" i="98" s="1"/>
  <c r="K10" i="98" a="1"/>
  <c r="K10" i="98" s="1"/>
  <c r="J10" i="98" a="1"/>
  <c r="J10" i="98" s="1"/>
  <c r="I10" i="98" a="1"/>
  <c r="I10" i="98" s="1"/>
  <c r="H10" i="98" a="1"/>
  <c r="H10" i="98" s="1"/>
  <c r="G10" i="98" a="1"/>
  <c r="G10" i="98" s="1"/>
  <c r="F10" i="98" a="1"/>
  <c r="F10" i="98" s="1"/>
  <c r="E10" i="98" a="1"/>
  <c r="E10" i="98" s="1"/>
  <c r="H39" i="96" s="1" a="1"/>
  <c r="H39" i="96" s="1"/>
  <c r="D10" i="98" a="1"/>
  <c r="D10" i="98" s="1"/>
  <c r="D8" i="98" a="1"/>
  <c r="D8" i="98" s="1"/>
  <c r="D7" i="98" a="1"/>
  <c r="D7" i="98" s="1"/>
  <c r="D6" i="98" a="1"/>
  <c r="D6" i="98" s="1"/>
  <c r="D5" i="98" a="1"/>
  <c r="D5" i="98" s="1"/>
  <c r="D34" i="97"/>
  <c r="D27"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54" i="96"/>
  <c r="D48" i="96"/>
  <c r="D39" i="96"/>
  <c r="D36" i="96"/>
  <c r="D32" i="96"/>
  <c r="D31" i="96"/>
  <c r="D30" i="96"/>
  <c r="D29" i="96"/>
  <c r="D28" i="96"/>
  <c r="D27" i="96"/>
  <c r="D26"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F6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J36" i="93" s="1" a="1"/>
  <c r="J36" i="93"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2" i="93"/>
  <c r="J31" i="93"/>
  <c r="H31" i="93" a="1"/>
  <c r="H31" i="93" s="1"/>
  <c r="D31" i="93" a="1"/>
  <c r="D31" i="93" s="1"/>
  <c r="E29" i="93" a="1"/>
  <c r="E29" i="93" s="1"/>
  <c r="F39" i="93" s="1"/>
  <c r="E28" i="93" a="1"/>
  <c r="E28" i="93" s="1"/>
  <c r="D24" i="93" a="1"/>
  <c r="D24" i="93" s="1"/>
  <c r="D23" i="93" a="1"/>
  <c r="D23" i="93" s="1"/>
  <c r="D22" i="93" a="1"/>
  <c r="D22" i="93" s="1"/>
  <c r="I16" i="93"/>
  <c r="I14" i="93"/>
  <c r="G14" i="93" a="1"/>
  <c r="G14" i="93" s="1"/>
  <c r="D14" i="93" a="1"/>
  <c r="D14" i="93" s="1"/>
  <c r="E12" i="93" a="1"/>
  <c r="E12" i="93" s="1"/>
  <c r="F18" i="93" s="1"/>
  <c r="E11" i="93" a="1"/>
  <c r="E11" i="93" s="1"/>
  <c r="D7" i="93" a="1"/>
  <c r="D7" i="93" s="1"/>
  <c r="D6" i="93" a="1"/>
  <c r="D6" i="93" s="1"/>
  <c r="D5" i="93" a="1"/>
  <c r="D5" i="93" s="1"/>
  <c r="H48" i="92"/>
  <c r="E48" i="92"/>
  <c r="H47" i="92"/>
  <c r="E47" i="92"/>
  <c r="I46" i="92"/>
  <c r="H46" i="92"/>
  <c r="E46" i="92"/>
  <c r="H39" i="92"/>
  <c r="I38" i="92"/>
  <c r="H38" i="92"/>
  <c r="H37" i="92"/>
  <c r="I37" i="92"/>
  <c r="I48" i="92"/>
  <c r="E16" i="92"/>
  <c r="E22" i="92" s="1"/>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J91" i="90" s="1"/>
  <c r="D83" i="91" a="1"/>
  <c r="D83" i="91" s="1"/>
  <c r="D82" i="91" a="1"/>
  <c r="D82" i="91" s="1"/>
  <c r="D81" i="91" a="1"/>
  <c r="D81" i="91" s="1"/>
  <c r="F78" i="91" a="1"/>
  <c r="F78" i="91" s="1"/>
  <c r="E78" i="91" a="1"/>
  <c r="E78" i="91" s="1"/>
  <c r="I57" i="90" s="1"/>
  <c r="D78" i="91" a="1"/>
  <c r="D78" i="91" s="1"/>
  <c r="D77" i="91" a="1"/>
  <c r="D77" i="91" s="1"/>
  <c r="D76" i="91" a="1"/>
  <c r="D76" i="91" s="1"/>
  <c r="F73" i="91" a="1"/>
  <c r="F73" i="91" s="1"/>
  <c r="E73" i="91" a="1"/>
  <c r="E73" i="91" s="1"/>
  <c r="I97" i="89" s="1"/>
  <c r="D73" i="91" a="1"/>
  <c r="D73" i="91" s="1"/>
  <c r="D72" i="91" a="1"/>
  <c r="D72" i="91" s="1"/>
  <c r="D71" i="91" a="1"/>
  <c r="D71" i="91" s="1"/>
  <c r="F68" i="91" a="1"/>
  <c r="F68" i="91" s="1"/>
  <c r="E68" i="91" a="1"/>
  <c r="E68" i="91" s="1"/>
  <c r="D68" i="91" a="1"/>
  <c r="D68" i="91" s="1"/>
  <c r="F67" i="91" a="1"/>
  <c r="F67" i="91" s="1"/>
  <c r="I19" i="88" s="1"/>
  <c r="E67" i="91" a="1"/>
  <c r="E67" i="91" s="1"/>
  <c r="I18" i="88" s="1"/>
  <c r="D67" i="91" a="1"/>
  <c r="D67" i="91" s="1"/>
  <c r="F66" i="91" a="1"/>
  <c r="F66" i="91" s="1"/>
  <c r="I16" i="88" s="1"/>
  <c r="E66" i="91" a="1"/>
  <c r="E66" i="91" s="1"/>
  <c r="I15" i="88" s="1"/>
  <c r="D66" i="91" a="1"/>
  <c r="D66" i="91" s="1"/>
  <c r="D64" i="91" a="1"/>
  <c r="D64" i="91" s="1"/>
  <c r="D63" i="91" a="1"/>
  <c r="D63" i="91" s="1"/>
  <c r="F60" i="91" a="1"/>
  <c r="F60" i="91" s="1"/>
  <c r="E60" i="91" a="1"/>
  <c r="E60" i="91" s="1"/>
  <c r="I50" i="86"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D67" i="90"/>
  <c r="D66" i="90"/>
  <c r="D65" i="90"/>
  <c r="I60" i="90"/>
  <c r="I59" i="90"/>
  <c r="I58" i="90"/>
  <c r="I55" i="90" a="1"/>
  <c r="I55" i="90" s="1"/>
  <c r="G55" i="90" a="1"/>
  <c r="G55" i="90" s="1"/>
  <c r="D55" i="90" a="1"/>
  <c r="D55" i="90" s="1"/>
  <c r="E53" i="90" a="1"/>
  <c r="E53" i="90" s="1"/>
  <c r="F77" i="90" s="1"/>
  <c r="E52" i="90" a="1"/>
  <c r="E52" i="90" s="1"/>
  <c r="D48" i="90" a="1"/>
  <c r="D48" i="90" s="1"/>
  <c r="D47" i="90" a="1"/>
  <c r="D47" i="90" s="1"/>
  <c r="I18" i="90"/>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8" i="89"/>
  <c r="I127" i="89"/>
  <c r="I124" i="89" a="1"/>
  <c r="I124" i="89" s="1"/>
  <c r="G124" i="89" a="1"/>
  <c r="G124" i="89" s="1"/>
  <c r="D124" i="89" a="1"/>
  <c r="D124" i="89" s="1"/>
  <c r="E122" i="89" a="1"/>
  <c r="E122" i="89" s="1"/>
  <c r="F146" i="89" s="1"/>
  <c r="E121" i="89" a="1"/>
  <c r="E121" i="89" s="1"/>
  <c r="D117" i="89" a="1"/>
  <c r="D117" i="89" s="1"/>
  <c r="D116" i="89" a="1"/>
  <c r="D116"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3" i="89"/>
  <c r="J52" i="89"/>
  <c r="J49" i="89" a="1"/>
  <c r="J49" i="89" s="1"/>
  <c r="H49" i="89" a="1"/>
  <c r="H49" i="89" s="1"/>
  <c r="D49" i="89" a="1"/>
  <c r="D49" i="89" s="1"/>
  <c r="E47" i="89" a="1"/>
  <c r="E47" i="89" s="1"/>
  <c r="F79"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3" i="85"/>
  <c r="S71" i="85"/>
  <c r="S70" i="85"/>
  <c r="S67" i="85" a="1"/>
  <c r="S67" i="85" s="1"/>
  <c r="Q67" i="85" a="1"/>
  <c r="Q67" i="85" s="1"/>
  <c r="M67" i="85" a="1"/>
  <c r="M67" i="85" s="1"/>
  <c r="N65" i="85" a="1"/>
  <c r="N65" i="85" s="1"/>
  <c r="N64" i="85" a="1"/>
  <c r="N64" i="85" s="1"/>
  <c r="M59" i="85" a="1"/>
  <c r="M59" i="85" s="1"/>
  <c r="M58" i="85" a="1"/>
  <c r="M58" i="85" s="1"/>
  <c r="V54" i="85" a="1"/>
  <c r="V54" i="85" s="1"/>
  <c r="T54" i="85"/>
  <c r="U54" i="85" s="1"/>
  <c r="S54" i="85" a="1"/>
  <c r="S54" i="85" s="1"/>
  <c r="R54" i="85" a="1"/>
  <c r="R54" i="85" s="1"/>
  <c r="Q54" i="85"/>
  <c r="I54" i="85"/>
  <c r="V53" i="85" a="1"/>
  <c r="V53" i="85" s="1"/>
  <c r="T53" i="85"/>
  <c r="U53" i="85" s="1"/>
  <c r="S53" i="85" a="1"/>
  <c r="S53" i="85" s="1"/>
  <c r="R53" i="85" a="1"/>
  <c r="R53" i="85" s="1"/>
  <c r="Q53" i="85"/>
  <c r="I53" i="85"/>
  <c r="I52" i="85"/>
  <c r="I49" i="85" a="1"/>
  <c r="I49" i="85" s="1"/>
  <c r="G49" i="85" a="1"/>
  <c r="G49" i="85" s="1"/>
  <c r="D49" i="85" a="1"/>
  <c r="D49" i="85" s="1"/>
  <c r="E47" i="85" a="1"/>
  <c r="E47" i="85" s="1"/>
  <c r="F80" i="85" s="1"/>
  <c r="E46" i="85" a="1"/>
  <c r="E46" i="85" s="1"/>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H50" i="84"/>
  <c r="I50" i="84" s="1"/>
  <c r="G50" i="84"/>
  <c r="J50" i="84" s="1"/>
  <c r="H49" i="84"/>
  <c r="I49" i="84" s="1"/>
  <c r="G49" i="84"/>
  <c r="J49" i="84" s="1"/>
  <c r="I48" i="84"/>
  <c r="H48" i="84"/>
  <c r="G20" i="87" s="1" a="1"/>
  <c r="G20" i="87" s="1"/>
  <c r="G48" i="84"/>
  <c r="J48" i="84" s="1"/>
  <c r="K39" i="84"/>
  <c r="F39" i="84"/>
  <c r="G39" i="84" s="1"/>
  <c r="K38" i="84"/>
  <c r="F38" i="84"/>
  <c r="G38" i="84" s="1"/>
  <c r="K37" i="84"/>
  <c r="F37" i="84"/>
  <c r="G37" i="84" s="1"/>
  <c r="E25" i="88" s="1" a="1"/>
  <c r="E25" i="88" s="1"/>
  <c r="F28" i="84"/>
  <c r="G28" i="84" s="1"/>
  <c r="F27" i="84"/>
  <c r="G27" i="84" s="1"/>
  <c r="G26" i="84"/>
  <c r="F26" i="84"/>
  <c r="P50" i="85" s="1" a="1"/>
  <c r="P50" i="85" s="1"/>
  <c r="H22" i="84"/>
  <c r="H21" i="84"/>
  <c r="H20" i="84"/>
  <c r="H19" i="84"/>
  <c r="H18" i="84"/>
  <c r="P45" i="85" s="1" a="1"/>
  <c r="P45" i="85"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J14"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U232" i="81"/>
  <c r="D231" i="81" a="1"/>
  <c r="D231" i="81" s="1"/>
  <c r="U227" i="81"/>
  <c r="U226" i="81"/>
  <c r="U225" i="81"/>
  <c r="U224" i="81"/>
  <c r="H224" i="81"/>
  <c r="D224" i="81" a="1"/>
  <c r="D224" i="81" s="1"/>
  <c r="U223" i="81"/>
  <c r="U222" i="81"/>
  <c r="E222" i="81" a="1"/>
  <c r="E222" i="81" s="1"/>
  <c r="U221" i="81"/>
  <c r="E221" i="81" a="1"/>
  <c r="E221" i="81" s="1"/>
  <c r="U220" i="81"/>
  <c r="U219" i="81"/>
  <c r="U218" i="81"/>
  <c r="U217" i="81"/>
  <c r="D217" i="81" a="1"/>
  <c r="D217" i="81" s="1"/>
  <c r="V216" i="81" a="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U181" i="81"/>
  <c r="E181" i="81" a="1"/>
  <c r="E181" i="81" s="1"/>
  <c r="U180" i="81"/>
  <c r="D177" i="81" a="1"/>
  <c r="D177" i="81" s="1"/>
  <c r="D176" i="81" a="1"/>
  <c r="D176" i="81" s="1"/>
  <c r="U175" i="81"/>
  <c r="U174" i="81"/>
  <c r="U173" i="81"/>
  <c r="U172" i="81"/>
  <c r="U171" i="81"/>
  <c r="U170" i="81"/>
  <c r="U169" i="81"/>
  <c r="U168" i="81"/>
  <c r="U167" i="81"/>
  <c r="U166" i="81"/>
  <c r="U165" i="81"/>
  <c r="U164" i="81"/>
  <c r="E164" i="81" a="1"/>
  <c r="E164" i="81" s="1"/>
  <c r="E163" i="81" a="1"/>
  <c r="E163" i="81" s="1"/>
  <c r="E162" i="81" a="1"/>
  <c r="E162" i="81" s="1"/>
  <c r="E161" i="81" a="1"/>
  <c r="E161" i="81" s="1"/>
  <c r="U151" i="81" a="1"/>
  <c r="U151" i="81" s="1"/>
  <c r="U147" i="81"/>
  <c r="I147" i="8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U120" i="81"/>
  <c r="D120" i="8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AF142" i="81" s="1"/>
  <c r="U108" i="81"/>
  <c r="E108" i="81" a="1"/>
  <c r="E108" i="81" s="1"/>
  <c r="U107" i="81"/>
  <c r="U106" i="81"/>
  <c r="U105" i="81"/>
  <c r="U104" i="81"/>
  <c r="U103" i="81"/>
  <c r="D103" i="81" a="1"/>
  <c r="D103" i="81" s="1"/>
  <c r="U102" i="81"/>
  <c r="D102" i="81" a="1"/>
  <c r="D102" i="81" s="1"/>
  <c r="U101" i="81"/>
  <c r="U100" i="81"/>
  <c r="D98" i="81"/>
  <c r="D97" i="81"/>
  <c r="D96" i="81"/>
  <c r="D95" i="81"/>
  <c r="U87" i="81" a="1"/>
  <c r="U87" i="81" s="1"/>
  <c r="U83" i="81"/>
  <c r="U82" i="81"/>
  <c r="I82" i="81"/>
  <c r="U81" i="81"/>
  <c r="U80" i="81"/>
  <c r="U79" i="81"/>
  <c r="I79" i="81" a="1"/>
  <c r="I79" i="81" s="1"/>
  <c r="U78" i="81"/>
  <c r="I78" i="81" a="1"/>
  <c r="I78" i="81" s="1"/>
  <c r="G78" i="81" a="1"/>
  <c r="G78" i="81" s="1"/>
  <c r="D78" i="81" a="1"/>
  <c r="D78" i="81" s="1"/>
  <c r="U77" i="81"/>
  <c r="U76" i="81"/>
  <c r="E76" i="81" a="1"/>
  <c r="E76"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U20" i="81"/>
  <c r="D20" i="81"/>
  <c r="H15"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F249" i="80" a="1"/>
  <c r="F249" i="80" s="1"/>
  <c r="W246" i="80"/>
  <c r="X274" i="80" s="1"/>
  <c r="D246" i="80" a="1"/>
  <c r="D246" i="80" s="1"/>
  <c r="W245" i="80"/>
  <c r="X273" i="80" s="1"/>
  <c r="W244" i="80"/>
  <c r="W243" i="80"/>
  <c r="X271" i="80" s="1"/>
  <c r="W242" i="80"/>
  <c r="X258" i="80" s="1"/>
  <c r="W241" i="80"/>
  <c r="X269" i="80" s="1"/>
  <c r="W240" i="80"/>
  <c r="X268" i="80" s="1"/>
  <c r="W239" i="80"/>
  <c r="W238" i="80"/>
  <c r="X266" i="80" s="1"/>
  <c r="W237" i="80"/>
  <c r="X265" i="80" s="1"/>
  <c r="W236" i="80"/>
  <c r="X264" i="80" s="1"/>
  <c r="W235" i="80"/>
  <c r="X251" i="80" s="1"/>
  <c r="W230" i="80"/>
  <c r="W229" i="80"/>
  <c r="W228" i="80"/>
  <c r="W227" i="80"/>
  <c r="E227" i="80" a="1"/>
  <c r="E227" i="80" s="1"/>
  <c r="W226" i="80"/>
  <c r="W225" i="80"/>
  <c r="W224" i="80"/>
  <c r="W223" i="80"/>
  <c r="W222" i="80"/>
  <c r="W221" i="80"/>
  <c r="W220" i="80"/>
  <c r="X219" i="80" a="1"/>
  <c r="W219" i="80"/>
  <c r="E219" i="80" a="1"/>
  <c r="E219" i="80" s="1"/>
  <c r="I214" i="80" a="1"/>
  <c r="I214" i="80" s="1"/>
  <c r="I213" i="80" a="1"/>
  <c r="I213" i="80" s="1"/>
  <c r="I212" i="80" a="1"/>
  <c r="I212" i="80" s="1"/>
  <c r="G212" i="80" a="1"/>
  <c r="G212" i="80" s="1"/>
  <c r="D212" i="80" a="1"/>
  <c r="D212" i="80" s="1"/>
  <c r="E210" i="80" a="1"/>
  <c r="E210" i="80" s="1"/>
  <c r="P241"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AI181" i="80" s="1"/>
  <c r="E151" i="80" a="1"/>
  <c r="E151" i="80" s="1"/>
  <c r="D147" i="80" a="1"/>
  <c r="D147" i="80" s="1"/>
  <c r="D146" i="80" a="1"/>
  <c r="D146" i="80" s="1"/>
  <c r="W126" i="80"/>
  <c r="W142" i="80" s="1"/>
  <c r="W125" i="80"/>
  <c r="W141" i="80" s="1"/>
  <c r="W124" i="80"/>
  <c r="W140" i="80" s="1"/>
  <c r="X186" i="80" s="1"/>
  <c r="W123" i="80"/>
  <c r="W139" i="80" s="1"/>
  <c r="X185" i="80" s="1"/>
  <c r="W122" i="80"/>
  <c r="W138" i="80" s="1"/>
  <c r="W121" i="80"/>
  <c r="W137" i="80" s="1"/>
  <c r="W120" i="80"/>
  <c r="W136" i="80" s="1"/>
  <c r="X182" i="80" s="1"/>
  <c r="W119" i="80"/>
  <c r="W135" i="80" s="1"/>
  <c r="X193" i="80" s="1"/>
  <c r="W118" i="80"/>
  <c r="W134" i="80" s="1"/>
  <c r="X192" i="80" s="1"/>
  <c r="W117" i="80"/>
  <c r="W133" i="80" s="1"/>
  <c r="W116" i="80"/>
  <c r="W132" i="80" s="1"/>
  <c r="W115" i="80"/>
  <c r="W131" i="80" s="1"/>
  <c r="I109" i="80" a="1"/>
  <c r="I109" i="80" s="1"/>
  <c r="I108" i="80" a="1"/>
  <c r="I108" i="80" s="1"/>
  <c r="G108" i="80" a="1"/>
  <c r="G108" i="80" s="1"/>
  <c r="D108" i="80" a="1"/>
  <c r="D108" i="80" s="1"/>
  <c r="E106" i="80" a="1"/>
  <c r="E106"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D68" i="80"/>
  <c r="W67" i="80"/>
  <c r="W66" i="80"/>
  <c r="W65" i="80"/>
  <c r="W64" i="80"/>
  <c r="W63" i="80"/>
  <c r="W62" i="80"/>
  <c r="W61" i="80"/>
  <c r="W60" i="80"/>
  <c r="W55" i="80"/>
  <c r="D55" i="80"/>
  <c r="W54" i="80"/>
  <c r="D54" i="80"/>
  <c r="W53" i="80"/>
  <c r="D53" i="80"/>
  <c r="W52" i="80"/>
  <c r="D52" i="80"/>
  <c r="W51" i="80"/>
  <c r="W50" i="80"/>
  <c r="W49" i="80"/>
  <c r="W48" i="80"/>
  <c r="W47" i="80"/>
  <c r="I47" i="80" a="1"/>
  <c r="I47" i="80" s="1"/>
  <c r="W46" i="80"/>
  <c r="I46" i="80" a="1"/>
  <c r="I46" i="80" s="1"/>
  <c r="W45" i="80"/>
  <c r="I45" i="80" a="1"/>
  <c r="I45" i="80" s="1"/>
  <c r="G45" i="80" a="1"/>
  <c r="G45" i="80" s="1"/>
  <c r="D45" i="80" a="1"/>
  <c r="D45" i="80" s="1"/>
  <c r="W44" i="80"/>
  <c r="E43" i="80" a="1"/>
  <c r="E43" i="80" s="1"/>
  <c r="E42" i="80" a="1"/>
  <c r="E42" i="80" s="1"/>
  <c r="W39" i="80"/>
  <c r="W38" i="80"/>
  <c r="D38" i="80" a="1"/>
  <c r="D38" i="80" s="1"/>
  <c r="W37" i="80"/>
  <c r="D37" i="80" a="1"/>
  <c r="D37" i="80" s="1"/>
  <c r="W36" i="80"/>
  <c r="W35" i="80"/>
  <c r="W34" i="80"/>
  <c r="W33" i="80"/>
  <c r="H33" i="80"/>
  <c r="W32" i="80"/>
  <c r="G32" i="80"/>
  <c r="W31" i="80"/>
  <c r="W30" i="80"/>
  <c r="W29" i="80"/>
  <c r="W28" i="80"/>
  <c r="J16" i="80"/>
  <c r="J15" i="80" s="1" a="1"/>
  <c r="J15" i="80" s="1"/>
  <c r="J13" i="80" a="1"/>
  <c r="J13" i="80" s="1"/>
  <c r="H13" i="80" a="1"/>
  <c r="H13" i="80" s="1"/>
  <c r="D13" i="80" a="1"/>
  <c r="D13" i="80" s="1"/>
  <c r="E11" i="80" a="1"/>
  <c r="E11" i="80" s="1"/>
  <c r="E10" i="80" a="1"/>
  <c r="E10" i="80" s="1"/>
  <c r="D6" i="80" a="1"/>
  <c r="D6" i="80" s="1"/>
  <c r="D5" i="80" a="1"/>
  <c r="D5" i="80" s="1"/>
  <c r="I216" i="79"/>
  <c r="I215" i="79"/>
  <c r="I214" i="79"/>
  <c r="I213" i="79"/>
  <c r="I212" i="79"/>
  <c r="I211" i="79"/>
  <c r="I210" i="79"/>
  <c r="I209" i="79"/>
  <c r="I208" i="79"/>
  <c r="I207" i="79"/>
  <c r="D172" i="79"/>
  <c r="D171" i="79"/>
  <c r="D170" i="79"/>
  <c r="D169" i="79"/>
  <c r="D168" i="79"/>
  <c r="D167" i="79"/>
  <c r="D166" i="79"/>
  <c r="D165" i="79"/>
  <c r="D164" i="79"/>
  <c r="D163" i="79"/>
  <c r="D162" i="79"/>
  <c r="D161" i="79"/>
  <c r="D150" i="79"/>
  <c r="D149" i="79"/>
  <c r="D148" i="79"/>
  <c r="D147" i="79"/>
  <c r="D146" i="79"/>
  <c r="D145" i="79"/>
  <c r="D144" i="79"/>
  <c r="D143" i="79"/>
  <c r="D142" i="79"/>
  <c r="D141" i="79"/>
  <c r="D140" i="79"/>
  <c r="D139" i="79"/>
  <c r="G128" i="79"/>
  <c r="F128" i="79"/>
  <c r="E128" i="79"/>
  <c r="D125" i="79"/>
  <c r="K124" i="79"/>
  <c r="J124" i="79"/>
  <c r="K123" i="79"/>
  <c r="J123" i="79"/>
  <c r="K122" i="79"/>
  <c r="M123" i="79" s="1"/>
  <c r="J122" i="79"/>
  <c r="K121" i="79"/>
  <c r="J121" i="79"/>
  <c r="E121" i="79"/>
  <c r="D127" i="79" s="1"/>
  <c r="E120" i="79"/>
  <c r="D126" i="79" s="1"/>
  <c r="M114" i="79"/>
  <c r="L114" i="79"/>
  <c r="M113" i="79"/>
  <c r="L113" i="79"/>
  <c r="M112" i="79"/>
  <c r="L112" i="79"/>
  <c r="M111" i="79"/>
  <c r="L111"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N34" i="79" s="1"/>
  <c r="D33" i="79"/>
  <c r="N33" i="79" s="1"/>
  <c r="D32" i="79"/>
  <c r="L32" i="79" s="1"/>
  <c r="D31" i="79"/>
  <c r="I31" i="79" s="1"/>
  <c r="D30" i="79"/>
  <c r="M30" i="79" s="1"/>
  <c r="D29" i="79"/>
  <c r="L29" i="79" s="1"/>
  <c r="D28" i="79"/>
  <c r="N28" i="79" s="1"/>
  <c r="D27" i="79"/>
  <c r="N27" i="79" s="1"/>
  <c r="D26" i="79"/>
  <c r="L26" i="79" s="1"/>
  <c r="D25" i="79"/>
  <c r="E25" i="79" s="1"/>
  <c r="D24" i="79"/>
  <c r="N24" i="79" s="1"/>
  <c r="D23" i="79"/>
  <c r="M23" i="79" s="1"/>
  <c r="E7" i="79"/>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I15" i="83"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I155" i="80" s="1"/>
  <c r="D427" i="78" a="1"/>
  <c r="D427" i="78" s="1"/>
  <c r="D426" i="78" a="1"/>
  <c r="D426" i="78" s="1"/>
  <c r="D425" i="78" a="1"/>
  <c r="D425" i="78" s="1"/>
  <c r="D424" i="78" a="1"/>
  <c r="D424" i="78" s="1"/>
  <c r="D422" i="78" a="1"/>
  <c r="D422" i="78" s="1"/>
  <c r="I110" i="80"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M369"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L367" i="78" s="1"/>
  <c r="J356" i="78" a="1"/>
  <c r="J356" i="78" s="1"/>
  <c r="K367" i="78" s="1"/>
  <c r="I356" i="78" a="1"/>
  <c r="I356"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M366" i="78" s="1"/>
  <c r="J355" i="78" a="1"/>
  <c r="J355" i="78" s="1"/>
  <c r="K366" i="78" s="1"/>
  <c r="I355" i="78" a="1"/>
  <c r="I355"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J352" i="78" a="1"/>
  <c r="J352" i="78" s="1"/>
  <c r="K363" i="78" s="1"/>
  <c r="I352" i="78" a="1"/>
  <c r="I352"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L362" i="78" s="1"/>
  <c r="J351" i="78" a="1"/>
  <c r="J351" i="78" s="1"/>
  <c r="K362" i="78" s="1"/>
  <c r="I351" i="78" a="1"/>
  <c r="I351" i="78" s="1"/>
  <c r="I362"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O117" i="78" s="1"/>
  <c r="L46" i="78" a="1"/>
  <c r="L46" i="78" s="1"/>
  <c r="M117" i="78" s="1"/>
  <c r="K46" i="78" a="1"/>
  <c r="K46"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L115"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O111"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N108" i="78" s="1"/>
  <c r="L37" i="78" a="1"/>
  <c r="L37" i="78" s="1"/>
  <c r="M108" i="78" s="1"/>
  <c r="K37" i="78" a="1"/>
  <c r="K37" i="78" s="1"/>
  <c r="K108"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N105"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L101"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K99"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K97"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L95"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H21" i="78" a="1"/>
  <c r="H21" i="78" s="1"/>
  <c r="G21" i="78" a="1"/>
  <c r="G21" i="78" s="1"/>
  <c r="F21" i="78" a="1"/>
  <c r="F21" i="78" s="1"/>
  <c r="E21" i="78" a="1"/>
  <c r="E21" i="78" s="1"/>
  <c r="D21" i="78" a="1"/>
  <c r="D21" i="78" s="1"/>
  <c r="O20" i="78"/>
  <c r="M20" i="78" a="1"/>
  <c r="M20" i="78" s="1"/>
  <c r="L20" i="78" a="1"/>
  <c r="L20" i="78" s="1"/>
  <c r="K20" i="78" a="1"/>
  <c r="K20" i="78" s="1"/>
  <c r="K87" i="78" s="1"/>
  <c r="J20" i="78" a="1"/>
  <c r="J20" i="78" s="1"/>
  <c r="J87" i="78" s="1"/>
  <c r="I20" i="78" a="1"/>
  <c r="I20" i="78" s="1"/>
  <c r="H20" i="78" a="1"/>
  <c r="H20" i="78" s="1"/>
  <c r="G20" i="78" a="1"/>
  <c r="G20" i="78" s="1"/>
  <c r="F20" i="78" a="1"/>
  <c r="F20" i="78" s="1"/>
  <c r="E20" i="78" a="1"/>
  <c r="E20" i="78" s="1"/>
  <c r="D20" i="78" a="1"/>
  <c r="D20" i="78" s="1"/>
  <c r="O19" i="78"/>
  <c r="M19" i="78" a="1"/>
  <c r="M19" i="78" s="1"/>
  <c r="L19" i="78" a="1"/>
  <c r="L19" i="78" s="1"/>
  <c r="K19" i="78" a="1"/>
  <c r="K19" i="78" s="1"/>
  <c r="J19" i="78" a="1"/>
  <c r="J19" i="78" s="1"/>
  <c r="I19" i="78" a="1"/>
  <c r="I19" i="78" s="1"/>
  <c r="H19" i="78" a="1"/>
  <c r="H19" i="78" s="1"/>
  <c r="G19" i="78" a="1"/>
  <c r="G19" i="78" s="1"/>
  <c r="G90"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44" i="77"/>
  <c r="U160" i="77" s="1"/>
  <c r="U143" i="77"/>
  <c r="U159" i="77" s="1"/>
  <c r="U142" i="77"/>
  <c r="U158" i="77" s="1"/>
  <c r="U141" i="77"/>
  <c r="U157" i="77" s="1"/>
  <c r="U140" i="77"/>
  <c r="U156" i="77" s="1"/>
  <c r="U139" i="77"/>
  <c r="U155" i="77" s="1"/>
  <c r="U138" i="77"/>
  <c r="U154" i="77" s="1"/>
  <c r="U137" i="77"/>
  <c r="U153" i="77" s="1"/>
  <c r="U136" i="77"/>
  <c r="U152" i="77" s="1"/>
  <c r="U135" i="77"/>
  <c r="U151" i="77" s="1"/>
  <c r="U134" i="77"/>
  <c r="U150" i="77" s="1"/>
  <c r="U133" i="77"/>
  <c r="U149" i="77" s="1"/>
  <c r="F133" i="77" a="1"/>
  <c r="F133" i="77" s="1"/>
  <c r="D130" i="77" a="1"/>
  <c r="D130" i="77" s="1"/>
  <c r="U128" i="77"/>
  <c r="U127" i="77"/>
  <c r="U126" i="77"/>
  <c r="U125" i="77"/>
  <c r="U124" i="77"/>
  <c r="U123" i="77"/>
  <c r="U122" i="77"/>
  <c r="U121" i="77"/>
  <c r="U120" i="77"/>
  <c r="U119" i="77"/>
  <c r="U118" i="77"/>
  <c r="V117" i="77" a="1"/>
  <c r="V117" i="77" s="1"/>
  <c r="U117" i="77"/>
  <c r="E115" i="77" a="1"/>
  <c r="U112" i="77" a="1"/>
  <c r="U112" i="77" s="1"/>
  <c r="U108" i="77"/>
  <c r="U107" i="77"/>
  <c r="E107" i="77" a="1"/>
  <c r="E107" i="77" s="1"/>
  <c r="U106" i="77"/>
  <c r="U105" i="77"/>
  <c r="U104" i="77"/>
  <c r="U103" i="77"/>
  <c r="U102" i="77"/>
  <c r="I102" i="77" a="1"/>
  <c r="I102" i="77" s="1"/>
  <c r="U101" i="77"/>
  <c r="I101" i="77" a="1"/>
  <c r="I101" i="77" s="1"/>
  <c r="U100" i="77"/>
  <c r="I100" i="77" a="1"/>
  <c r="I100" i="77" s="1"/>
  <c r="G100" i="77" a="1"/>
  <c r="AF117" i="77" s="1"/>
  <c r="D100" i="77" a="1"/>
  <c r="D100" i="77" s="1"/>
  <c r="U99" i="77"/>
  <c r="U98" i="77"/>
  <c r="E98" i="77" a="1"/>
  <c r="E98" i="77" s="1"/>
  <c r="F128" i="77" s="1"/>
  <c r="U97" i="77"/>
  <c r="E97" i="77" a="1"/>
  <c r="E97" i="77" s="1"/>
  <c r="D93" i="77" a="1"/>
  <c r="D93" i="77" s="1"/>
  <c r="U92" i="77" a="1"/>
  <c r="U92" i="77" s="1"/>
  <c r="D92" i="77" a="1"/>
  <c r="D92" i="77" s="1"/>
  <c r="U87" i="77"/>
  <c r="U86" i="77"/>
  <c r="U85" i="77"/>
  <c r="U84" i="77"/>
  <c r="U83" i="77"/>
  <c r="U82" i="77"/>
  <c r="U81" i="77"/>
  <c r="U80" i="77"/>
  <c r="I80" i="77" a="1"/>
  <c r="I80" i="77" s="1"/>
  <c r="G80" i="77" a="1"/>
  <c r="G80" i="77" s="1"/>
  <c r="D80" i="77" a="1"/>
  <c r="D80" i="77" s="1"/>
  <c r="U79" i="77"/>
  <c r="U78" i="77"/>
  <c r="E78" i="77" a="1"/>
  <c r="E78" i="77" s="1"/>
  <c r="U77" i="77"/>
  <c r="E77" i="77" a="1"/>
  <c r="E77" i="77" s="1"/>
  <c r="U76" i="77"/>
  <c r="D72" i="77" a="1"/>
  <c r="D72" i="77" s="1"/>
  <c r="U71" i="77"/>
  <c r="D71" i="77" a="1"/>
  <c r="D71" i="77" s="1"/>
  <c r="U70" i="77"/>
  <c r="U69" i="77"/>
  <c r="U68" i="77"/>
  <c r="U67" i="77"/>
  <c r="U66" i="77"/>
  <c r="U65" i="77"/>
  <c r="U64" i="77"/>
  <c r="U63" i="77"/>
  <c r="U62" i="77"/>
  <c r="U61" i="77"/>
  <c r="U60" i="77"/>
  <c r="D59" i="77"/>
  <c r="D58" i="77"/>
  <c r="D57" i="77"/>
  <c r="D56" i="77"/>
  <c r="U55" i="77"/>
  <c r="U54" i="77"/>
  <c r="U53" i="77"/>
  <c r="U52" i="77"/>
  <c r="U51" i="77"/>
  <c r="D51" i="77"/>
  <c r="U50" i="77"/>
  <c r="D50" i="77"/>
  <c r="U49" i="77"/>
  <c r="D49" i="77"/>
  <c r="U48" i="77"/>
  <c r="D48" i="77"/>
  <c r="U47" i="77"/>
  <c r="U46" i="77"/>
  <c r="U45" i="77"/>
  <c r="U44" i="77"/>
  <c r="I43" i="77" a="1"/>
  <c r="I43" i="77" s="1"/>
  <c r="I42" i="77" a="1"/>
  <c r="I42" i="77" s="1"/>
  <c r="I41" i="77" a="1"/>
  <c r="I41" i="77" s="1"/>
  <c r="G41" i="77" a="1"/>
  <c r="G41" i="77" s="1"/>
  <c r="D41" i="77" a="1"/>
  <c r="D41" i="77" s="1"/>
  <c r="U39" i="77"/>
  <c r="E39" i="77" a="1"/>
  <c r="E39" i="77" s="1"/>
  <c r="U38" i="77"/>
  <c r="E38" i="77" a="1"/>
  <c r="E38" i="77" s="1"/>
  <c r="U37" i="77"/>
  <c r="G37" i="77" a="1"/>
  <c r="G37" i="77" s="1"/>
  <c r="U36" i="77"/>
  <c r="U35" i="77"/>
  <c r="U34" i="77"/>
  <c r="V34" i="77" s="1" a="1"/>
  <c r="V34" i="77" s="1"/>
  <c r="W34" i="77" s="1" a="1"/>
  <c r="W34" i="77" s="1"/>
  <c r="D34" i="77" a="1"/>
  <c r="D34" i="77" s="1"/>
  <c r="U33" i="77"/>
  <c r="V33" i="77" s="1" a="1"/>
  <c r="V33" i="77" s="1"/>
  <c r="W33" i="77" s="1" a="1"/>
  <c r="W33" i="77" s="1"/>
  <c r="AB33" i="77" s="1" a="1"/>
  <c r="AB33" i="77" s="1"/>
  <c r="D33" i="77" a="1"/>
  <c r="D33" i="77" s="1"/>
  <c r="U32" i="77"/>
  <c r="V32" i="77" s="1" a="1"/>
  <c r="V32" i="77" s="1"/>
  <c r="W32" i="77" s="1" a="1"/>
  <c r="W32" i="77" s="1"/>
  <c r="U31" i="77"/>
  <c r="U30" i="77"/>
  <c r="U29" i="77"/>
  <c r="E29" i="77" a="1"/>
  <c r="E29" i="77" s="1"/>
  <c r="F29" i="77" s="1" a="1"/>
  <c r="F29" i="77" s="1"/>
  <c r="U28" i="77"/>
  <c r="V28" i="77" s="1" a="1"/>
  <c r="V28" i="77" s="1"/>
  <c r="W28" i="77" s="1" a="1"/>
  <c r="W28" i="77" s="1"/>
  <c r="AB28" i="77" s="1" a="1"/>
  <c r="AB28" i="77" s="1"/>
  <c r="J16" i="77"/>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D170" i="76"/>
  <c r="D169" i="76"/>
  <c r="D168" i="76"/>
  <c r="D167" i="76"/>
  <c r="D166" i="76"/>
  <c r="D165" i="76"/>
  <c r="D164" i="76"/>
  <c r="D163" i="76"/>
  <c r="D162" i="76"/>
  <c r="D161" i="76"/>
  <c r="D150" i="76"/>
  <c r="D149" i="76"/>
  <c r="D148" i="76"/>
  <c r="D147" i="76"/>
  <c r="D146" i="76"/>
  <c r="D145" i="76"/>
  <c r="D144" i="76"/>
  <c r="D143" i="76"/>
  <c r="D142" i="76"/>
  <c r="D141" i="76"/>
  <c r="D140" i="76"/>
  <c r="D139" i="76"/>
  <c r="G128" i="76"/>
  <c r="F128" i="76"/>
  <c r="E128" i="76"/>
  <c r="D126" i="76"/>
  <c r="D125" i="76"/>
  <c r="D128" i="76" s="1"/>
  <c r="K124" i="76"/>
  <c r="M121" i="76" s="1"/>
  <c r="J124" i="76"/>
  <c r="K123" i="76"/>
  <c r="J123" i="76"/>
  <c r="M122" i="76"/>
  <c r="K122" i="76"/>
  <c r="L122" i="76" s="1"/>
  <c r="J122" i="76"/>
  <c r="K121" i="76"/>
  <c r="L121" i="76" s="1"/>
  <c r="J121" i="76"/>
  <c r="E121" i="76"/>
  <c r="D127" i="76" s="1"/>
  <c r="E120" i="76"/>
  <c r="V22" i="77" s="1"/>
  <c r="M114" i="76"/>
  <c r="L114" i="76"/>
  <c r="M113" i="76"/>
  <c r="L113" i="76"/>
  <c r="M112" i="76"/>
  <c r="L112" i="76"/>
  <c r="M111" i="76"/>
  <c r="L111" i="76"/>
  <c r="D111" i="76"/>
  <c r="D100" i="76"/>
  <c r="D99" i="76"/>
  <c r="D98" i="76"/>
  <c r="D97" i="76"/>
  <c r="D96" i="76"/>
  <c r="D95" i="76"/>
  <c r="D94" i="76"/>
  <c r="D93" i="76"/>
  <c r="D92" i="76"/>
  <c r="D91" i="76"/>
  <c r="D90" i="76"/>
  <c r="D89" i="76"/>
  <c r="D78" i="76"/>
  <c r="D77" i="76"/>
  <c r="D76" i="76"/>
  <c r="D75" i="76"/>
  <c r="D74" i="76"/>
  <c r="D73" i="76"/>
  <c r="D72" i="76"/>
  <c r="D71" i="76"/>
  <c r="D70" i="76"/>
  <c r="D69" i="76"/>
  <c r="D68" i="76"/>
  <c r="D67" i="76"/>
  <c r="D56" i="76"/>
  <c r="D55" i="76"/>
  <c r="D54" i="76"/>
  <c r="D53" i="76"/>
  <c r="D52" i="76"/>
  <c r="D51" i="76"/>
  <c r="D50" i="76"/>
  <c r="D49" i="76"/>
  <c r="D48" i="76"/>
  <c r="D47" i="76"/>
  <c r="D46" i="76"/>
  <c r="D45" i="76"/>
  <c r="D34" i="76"/>
  <c r="D33" i="76"/>
  <c r="G33" i="76" s="1"/>
  <c r="D32" i="76"/>
  <c r="G32" i="76" s="1"/>
  <c r="D31" i="76"/>
  <c r="J31" i="76" s="1"/>
  <c r="D30" i="76"/>
  <c r="F30" i="76" s="1"/>
  <c r="D29" i="76"/>
  <c r="I29" i="76" s="1"/>
  <c r="D28" i="76"/>
  <c r="I28" i="76" s="1"/>
  <c r="D27" i="76"/>
  <c r="F27" i="76" s="1"/>
  <c r="D26" i="76"/>
  <c r="D25" i="76"/>
  <c r="D24" i="76"/>
  <c r="J24" i="76" s="1"/>
  <c r="D23" i="76"/>
  <c r="H23" i="76" s="1"/>
  <c r="E7" i="76"/>
  <c r="E29" i="72"/>
  <c r="E7" i="82" a="1"/>
  <c r="E7" i="87" a="1"/>
  <c r="E8" i="93" a="1"/>
  <c r="E30" i="101" a="1"/>
  <c r="E7" i="90" a="1"/>
  <c r="E178" i="81" a="1"/>
  <c r="E7" i="101" a="1"/>
  <c r="E43" i="89" a="1"/>
  <c r="E101" i="80" a="1"/>
  <c r="E90" i="89" a="1"/>
  <c r="E7" i="96" a="1"/>
  <c r="E35" i="77" a="1"/>
  <c r="E7" i="81" a="1"/>
  <c r="L8" i="97" a="1"/>
  <c r="E7" i="97" a="1"/>
  <c r="E7" i="86" a="1"/>
  <c r="E42" i="81" a="1"/>
  <c r="E83" i="90" a="1"/>
  <c r="E43" i="86" a="1"/>
  <c r="E148" i="80" a="1"/>
  <c r="E136" i="81" a="1"/>
  <c r="E206" i="80" a="1"/>
  <c r="E38" i="87" a="1"/>
  <c r="E27" i="100" a="1"/>
  <c r="E7" i="83" a="1"/>
  <c r="O27" i="100" a="1"/>
  <c r="E118" i="89" a="1"/>
  <c r="E22" i="82" a="1"/>
  <c r="E39" i="80" a="1"/>
  <c r="E218" i="81" a="1"/>
  <c r="L7" i="96" a="1"/>
  <c r="E7" i="88" a="1"/>
  <c r="E42" i="85" a="1"/>
  <c r="E26" i="83" a="1"/>
  <c r="E94" i="77" a="1"/>
  <c r="E104" i="81" a="1"/>
  <c r="E73" i="77" a="1"/>
  <c r="E7" i="100" a="1"/>
  <c r="E7" i="85" a="1"/>
  <c r="E49" i="90" a="1"/>
  <c r="N60" i="85" a="1"/>
  <c r="E25" i="93" a="1"/>
  <c r="E7" i="89" a="1"/>
  <c r="E22" i="72" l="1"/>
  <c r="F163" i="81" a="1"/>
  <c r="F163" i="81" s="1"/>
  <c r="I30" i="97"/>
  <c r="H30" i="97"/>
  <c r="G30" i="97"/>
  <c r="K30" i="97"/>
  <c r="J30" i="97"/>
  <c r="J39" i="97"/>
  <c r="I39" i="97"/>
  <c r="H39" i="97"/>
  <c r="G39" i="97"/>
  <c r="M36" i="96" a="1"/>
  <c r="M36" i="96" s="1"/>
  <c r="L36" i="96" a="1"/>
  <c r="L36" i="96" s="1"/>
  <c r="M39" i="97" a="1"/>
  <c r="M39" i="97" s="1"/>
  <c r="X92" i="81"/>
  <c r="Z22" i="80"/>
  <c r="L25" i="97" a="1"/>
  <c r="L25" i="97" s="1"/>
  <c r="M25" i="97" a="1"/>
  <c r="M25" i="97" s="1"/>
  <c r="M27" i="96" a="1"/>
  <c r="M27" i="96" s="1"/>
  <c r="L27" i="96" a="1"/>
  <c r="L27" i="96" s="1"/>
  <c r="P27" i="96" s="1" a="1"/>
  <c r="P27" i="96" s="1"/>
  <c r="M32" i="96" a="1"/>
  <c r="M32" i="96" s="1"/>
  <c r="L32" i="96" a="1"/>
  <c r="L32" i="96" s="1"/>
  <c r="M123" i="76"/>
  <c r="M124" i="76"/>
  <c r="I22" i="87" a="1"/>
  <c r="I22" i="87" s="1"/>
  <c r="I33" i="97"/>
  <c r="H33" i="97"/>
  <c r="G33" i="97"/>
  <c r="K33" i="97"/>
  <c r="J33" i="97"/>
  <c r="K38" i="97"/>
  <c r="J38" i="97"/>
  <c r="I38" i="97"/>
  <c r="H38" i="97"/>
  <c r="G38" i="97"/>
  <c r="M32" i="97" a="1"/>
  <c r="M32" i="97" s="1"/>
  <c r="M28" i="97" a="1"/>
  <c r="M28" i="97" s="1"/>
  <c r="M40" i="97" a="1"/>
  <c r="M40" i="97" s="1"/>
  <c r="U22" i="84" a="1"/>
  <c r="U22" i="84" s="1"/>
  <c r="X21" i="84"/>
  <c r="J21" i="84" a="1"/>
  <c r="J21" i="84" s="1"/>
  <c r="M20" i="84" a="1"/>
  <c r="M20" i="84" s="1"/>
  <c r="P19" i="84" a="1"/>
  <c r="P19" i="84" s="1"/>
  <c r="S18" i="84" a="1"/>
  <c r="S18" i="84" s="1"/>
  <c r="T22" i="84" a="1"/>
  <c r="T22" i="84" s="1"/>
  <c r="W21" i="84"/>
  <c r="G21" i="84"/>
  <c r="I21" i="84" s="1"/>
  <c r="L20" i="84" a="1"/>
  <c r="L20" i="84" s="1"/>
  <c r="O19" i="84" a="1"/>
  <c r="O19" i="84" s="1"/>
  <c r="R18" i="84" a="1"/>
  <c r="R18" i="84" s="1"/>
  <c r="S22" i="84" a="1"/>
  <c r="S22" i="84" s="1"/>
  <c r="F21" i="84"/>
  <c r="K20" i="84" a="1"/>
  <c r="K20" i="84" s="1"/>
  <c r="N19" i="84" a="1"/>
  <c r="N19" i="84" s="1"/>
  <c r="Q18" i="84" a="1"/>
  <c r="Q18" i="84" s="1"/>
  <c r="R22" i="84" a="1"/>
  <c r="R22" i="84" s="1"/>
  <c r="U21" i="84" a="1"/>
  <c r="U21" i="84" s="1"/>
  <c r="X20" i="84"/>
  <c r="J20" i="84" a="1"/>
  <c r="J20" i="84" s="1"/>
  <c r="M19" i="84" a="1"/>
  <c r="M19" i="84" s="1"/>
  <c r="P18" i="84" a="1"/>
  <c r="P18" i="84" s="1"/>
  <c r="Q22" i="84" a="1"/>
  <c r="Q22" i="84" s="1"/>
  <c r="T21" i="84" a="1"/>
  <c r="T21" i="84" s="1"/>
  <c r="W20" i="84"/>
  <c r="G20" i="84"/>
  <c r="L19" i="84" a="1"/>
  <c r="L19" i="84" s="1"/>
  <c r="O18" i="84" a="1"/>
  <c r="O18" i="84" s="1"/>
  <c r="P22" i="84" a="1"/>
  <c r="P22" i="84" s="1"/>
  <c r="S21" i="84" a="1"/>
  <c r="S21" i="84" s="1"/>
  <c r="F20" i="84"/>
  <c r="K19" i="84" a="1"/>
  <c r="K19" i="84" s="1"/>
  <c r="N18" i="84" a="1"/>
  <c r="N18" i="84" s="1"/>
  <c r="O22" i="84" a="1"/>
  <c r="O22" i="84" s="1"/>
  <c r="R21" i="84" a="1"/>
  <c r="R21" i="84" s="1"/>
  <c r="U20" i="84" a="1"/>
  <c r="U20" i="84" s="1"/>
  <c r="X19" i="84"/>
  <c r="J19" i="84" a="1"/>
  <c r="J19" i="84" s="1"/>
  <c r="M18" i="84" a="1"/>
  <c r="M18" i="84" s="1"/>
  <c r="N22" i="84" a="1"/>
  <c r="N22" i="84" s="1"/>
  <c r="Q21" i="84" a="1"/>
  <c r="Q21" i="84" s="1"/>
  <c r="T20" i="84" a="1"/>
  <c r="T20" i="84" s="1"/>
  <c r="W19" i="84"/>
  <c r="G19" i="84"/>
  <c r="L18" i="84" a="1"/>
  <c r="L18" i="84" s="1"/>
  <c r="M22" i="84" a="1"/>
  <c r="M22" i="84" s="1"/>
  <c r="P21" i="84" a="1"/>
  <c r="P21" i="84" s="1"/>
  <c r="S20" i="84" a="1"/>
  <c r="S20" i="84" s="1"/>
  <c r="F19" i="84"/>
  <c r="K18" i="84" a="1"/>
  <c r="K18" i="84" s="1"/>
  <c r="L22" i="84" a="1"/>
  <c r="L22" i="84" s="1"/>
  <c r="O21" i="84" a="1"/>
  <c r="O21" i="84" s="1"/>
  <c r="R20" i="84" a="1"/>
  <c r="R20" i="84" s="1"/>
  <c r="U19" i="84" a="1"/>
  <c r="U19" i="84" s="1"/>
  <c r="X18" i="84"/>
  <c r="J18" i="84" a="1"/>
  <c r="J18" i="84" s="1"/>
  <c r="K22" i="84" a="1"/>
  <c r="K22" i="84" s="1"/>
  <c r="N21" i="84" a="1"/>
  <c r="N21" i="84" s="1"/>
  <c r="Q20" i="84" a="1"/>
  <c r="Q20" i="84" s="1"/>
  <c r="T19" i="84" a="1"/>
  <c r="T19" i="84" s="1"/>
  <c r="W18" i="84"/>
  <c r="G18" i="84"/>
  <c r="X22" i="84"/>
  <c r="J22" i="84" a="1"/>
  <c r="J22" i="84" s="1"/>
  <c r="M21" i="84" a="1"/>
  <c r="M21" i="84" s="1"/>
  <c r="P20" i="84" a="1"/>
  <c r="P20" i="84" s="1"/>
  <c r="S19" i="84" a="1"/>
  <c r="S19" i="84" s="1"/>
  <c r="F18" i="84"/>
  <c r="W22" i="84"/>
  <c r="G22" i="84"/>
  <c r="L21" i="84" a="1"/>
  <c r="L21" i="84" s="1"/>
  <c r="O20" i="84" a="1"/>
  <c r="O20" i="84" s="1"/>
  <c r="R19" i="84" a="1"/>
  <c r="R19" i="84" s="1"/>
  <c r="U18" i="84" a="1"/>
  <c r="U18" i="84" s="1"/>
  <c r="F22" i="84"/>
  <c r="K21" i="84" a="1"/>
  <c r="K21" i="84" s="1"/>
  <c r="N20" i="84" a="1"/>
  <c r="N20" i="84" s="1"/>
  <c r="Q19" i="84" a="1"/>
  <c r="Q19" i="84" s="1"/>
  <c r="T18" i="84" a="1"/>
  <c r="T18" i="84" s="1"/>
  <c r="W22" i="80"/>
  <c r="U92" i="81"/>
  <c r="E68" i="90"/>
  <c r="E105" i="89"/>
  <c r="L34" i="96" a="1"/>
  <c r="L34" i="96" s="1"/>
  <c r="P34" i="96" s="1" a="1"/>
  <c r="P34" i="96" s="1"/>
  <c r="M34" i="96" a="1"/>
  <c r="M34" i="96" s="1"/>
  <c r="M35" i="97" a="1"/>
  <c r="M35" i="97" s="1"/>
  <c r="I81" i="81" a="1"/>
  <c r="I81" i="81" s="1"/>
  <c r="F164" i="81" a="1"/>
  <c r="F164" i="81" s="1"/>
  <c r="L163" i="81" a="1"/>
  <c r="L163" i="81" s="1"/>
  <c r="H163" i="81" a="1"/>
  <c r="H163" i="81" s="1"/>
  <c r="J15" i="77" a="1"/>
  <c r="J15" i="77" s="1"/>
  <c r="J14" i="77" a="1"/>
  <c r="J14" i="77" s="1"/>
  <c r="V108" i="81" a="1"/>
  <c r="V108" i="81" s="1"/>
  <c r="D35" i="84"/>
  <c r="E69" i="90"/>
  <c r="E106" i="89"/>
  <c r="F106" i="89" s="1" a="1"/>
  <c r="F106" i="89" s="1"/>
  <c r="E138" i="89" s="1"/>
  <c r="K25" i="97"/>
  <c r="J25" i="97"/>
  <c r="I25" i="97"/>
  <c r="H25" i="97"/>
  <c r="G25" i="97"/>
  <c r="M25" i="96" a="1"/>
  <c r="M25" i="96" s="1"/>
  <c r="L25" i="96" a="1"/>
  <c r="L25" i="96" s="1"/>
  <c r="L28" i="96" a="1"/>
  <c r="L28" i="96" s="1"/>
  <c r="M28" i="96" a="1"/>
  <c r="M28" i="96" s="1"/>
  <c r="E109" i="89"/>
  <c r="F109" i="89" s="1" a="1"/>
  <c r="F109" i="89" s="1"/>
  <c r="E141" i="89" s="1"/>
  <c r="E72" i="90"/>
  <c r="L123" i="76"/>
  <c r="X22" i="80"/>
  <c r="V92" i="81"/>
  <c r="E70" i="90"/>
  <c r="E107" i="89"/>
  <c r="F107" i="89" s="1" a="1"/>
  <c r="F107" i="89" s="1"/>
  <c r="E139" i="89" s="1"/>
  <c r="M33" i="96" a="1"/>
  <c r="M33" i="96" s="1"/>
  <c r="M29" i="97" a="1"/>
  <c r="M29" i="97" s="1"/>
  <c r="E71" i="90"/>
  <c r="E108" i="89"/>
  <c r="F108" i="89" s="1" a="1"/>
  <c r="F108" i="89" s="1"/>
  <c r="E140" i="89" s="1"/>
  <c r="H27" i="97"/>
  <c r="G27" i="97"/>
  <c r="K27" i="97"/>
  <c r="Q27" i="97" s="1" a="1"/>
  <c r="Q27" i="97" s="1"/>
  <c r="J27" i="97"/>
  <c r="I27" i="97"/>
  <c r="J36" i="97"/>
  <c r="I36" i="97"/>
  <c r="H36" i="97"/>
  <c r="G36" i="97"/>
  <c r="K36" i="97"/>
  <c r="L37" i="96" a="1"/>
  <c r="L37" i="96" s="1"/>
  <c r="M37" i="96" a="1"/>
  <c r="M37" i="96" s="1"/>
  <c r="M36" i="97" a="1"/>
  <c r="M36" i="97" s="1"/>
  <c r="J40" i="97"/>
  <c r="I40" i="97"/>
  <c r="H40" i="97"/>
  <c r="G40" i="97"/>
  <c r="M26" i="97" a="1"/>
  <c r="M26" i="97" s="1"/>
  <c r="M29" i="96" a="1"/>
  <c r="M29" i="96" s="1"/>
  <c r="L29" i="96" a="1"/>
  <c r="L29" i="96" s="1"/>
  <c r="O29" i="96" s="1" a="1"/>
  <c r="O29" i="96" s="1"/>
  <c r="M33" i="97" a="1"/>
  <c r="M33" i="97" s="1"/>
  <c r="M30" i="97" a="1"/>
  <c r="M30" i="97" s="1"/>
  <c r="E20" i="99"/>
  <c r="T14" i="100"/>
  <c r="W92" i="81"/>
  <c r="Y22" i="80"/>
  <c r="M35" i="96" a="1"/>
  <c r="M35" i="96" s="1"/>
  <c r="M37" i="97" a="1"/>
  <c r="M37" i="97" s="1"/>
  <c r="M26" i="96" a="1"/>
  <c r="M26" i="96" s="1"/>
  <c r="M30" i="96" a="1"/>
  <c r="M30" i="96" s="1"/>
  <c r="L30" i="96" a="1"/>
  <c r="L30" i="96" s="1"/>
  <c r="M38" i="96" a="1"/>
  <c r="M38" i="96" s="1"/>
  <c r="M31" i="97" a="1"/>
  <c r="M31" i="97" s="1"/>
  <c r="D128" i="79"/>
  <c r="U93" i="81"/>
  <c r="V109" i="81" s="1" a="1"/>
  <c r="V109" i="81" s="1"/>
  <c r="W23" i="80"/>
  <c r="X32" i="80" s="1" a="1"/>
  <c r="X32" i="80" s="1"/>
  <c r="Y32" i="80" s="1" a="1"/>
  <c r="Y32" i="80" s="1"/>
  <c r="E110" i="89"/>
  <c r="F110" i="89" s="1" a="1"/>
  <c r="F110" i="89" s="1"/>
  <c r="E142" i="89" s="1"/>
  <c r="E73" i="90"/>
  <c r="E112" i="89"/>
  <c r="F112" i="89" s="1" a="1"/>
  <c r="F112" i="89" s="1"/>
  <c r="E144" i="89" s="1"/>
  <c r="E75" i="90"/>
  <c r="M122" i="79"/>
  <c r="X31" i="80" a="1"/>
  <c r="X31" i="80" s="1"/>
  <c r="Y31" i="80" s="1" a="1"/>
  <c r="Y31" i="80" s="1"/>
  <c r="D19" i="86" a="1"/>
  <c r="D58" i="86" a="1"/>
  <c r="D58" i="86" s="1"/>
  <c r="D19" i="85" a="1"/>
  <c r="D60" i="85" a="1"/>
  <c r="D60" i="85" s="1"/>
  <c r="P28" i="84"/>
  <c r="P27" i="84"/>
  <c r="D23" i="90" a="1"/>
  <c r="D23" i="90" s="1"/>
  <c r="P26" i="84"/>
  <c r="D59" i="89" a="1"/>
  <c r="D59" i="89" s="1"/>
  <c r="D19" i="89" a="1"/>
  <c r="K35" i="97"/>
  <c r="J35" i="97"/>
  <c r="I35" i="97"/>
  <c r="H35" i="97"/>
  <c r="G35" i="97"/>
  <c r="M27" i="97" a="1"/>
  <c r="M27" i="97" s="1"/>
  <c r="L27" i="97" a="1"/>
  <c r="L27" i="97" s="1"/>
  <c r="M38" i="97" a="1"/>
  <c r="M38" i="97" s="1"/>
  <c r="E111" i="89"/>
  <c r="F111" i="89" s="1" a="1"/>
  <c r="F111" i="89" s="1"/>
  <c r="E143" i="89" s="1"/>
  <c r="E74" i="90"/>
  <c r="L121" i="79"/>
  <c r="M34" i="97" a="1"/>
  <c r="M34" i="97" s="1"/>
  <c r="L34" i="97" a="1"/>
  <c r="L34" i="97" s="1"/>
  <c r="M31" i="96" a="1"/>
  <c r="M31" i="96" s="1"/>
  <c r="L31" i="96" a="1"/>
  <c r="L31" i="96" s="1"/>
  <c r="I21" i="95"/>
  <c r="F20" i="87" a="1"/>
  <c r="F20" i="87" s="1"/>
  <c r="H27" i="96" a="1"/>
  <c r="H27" i="96" s="1"/>
  <c r="I30" i="96" a="1"/>
  <c r="I30" i="96" s="1"/>
  <c r="I33" i="96" a="1"/>
  <c r="I33" i="96" s="1"/>
  <c r="I36" i="96" a="1"/>
  <c r="I36" i="96" s="1"/>
  <c r="I39" i="96" a="1"/>
  <c r="I39" i="96" s="1"/>
  <c r="E29" i="97"/>
  <c r="E32" i="97"/>
  <c r="I15" i="93" a="1"/>
  <c r="I15" i="93" s="1"/>
  <c r="E18" i="93" s="1" a="1"/>
  <c r="E18" i="93" s="1"/>
  <c r="E26" i="13" s="1" a="1"/>
  <c r="E26" i="13" s="1"/>
  <c r="F26" i="13" s="1"/>
  <c r="I26" i="13" s="1"/>
  <c r="I27" i="96" a="1"/>
  <c r="I27" i="96" s="1"/>
  <c r="J30" i="96" a="1"/>
  <c r="J30" i="96" s="1"/>
  <c r="J33" i="96" a="1"/>
  <c r="J33" i="96" s="1"/>
  <c r="J36" i="96" a="1"/>
  <c r="J36" i="96" s="1"/>
  <c r="E38" i="96"/>
  <c r="J39" i="96" a="1"/>
  <c r="J39" i="96" s="1"/>
  <c r="E26" i="97"/>
  <c r="I15" i="90"/>
  <c r="E26" i="96"/>
  <c r="K26" i="96" s="1" a="1"/>
  <c r="K26" i="96" s="1"/>
  <c r="J27" i="96" a="1"/>
  <c r="J27" i="96" s="1"/>
  <c r="K30" i="96" a="1"/>
  <c r="K30" i="96" s="1"/>
  <c r="G32" i="96" a="1"/>
  <c r="G32" i="96" s="1"/>
  <c r="K33" i="96" a="1"/>
  <c r="K33" i="96" s="1"/>
  <c r="K36" i="96" a="1"/>
  <c r="K36" i="96" s="1"/>
  <c r="K39" i="96" a="1"/>
  <c r="K39" i="96" s="1"/>
  <c r="K27" i="96" a="1"/>
  <c r="K27" i="96" s="1"/>
  <c r="G29" i="96" a="1"/>
  <c r="G29" i="96" s="1"/>
  <c r="H32" i="96" a="1"/>
  <c r="H32" i="96" s="1"/>
  <c r="G35" i="96" a="1"/>
  <c r="G35" i="96" s="1"/>
  <c r="G38" i="96" a="1"/>
  <c r="G38" i="96" s="1"/>
  <c r="L39" i="96" a="1"/>
  <c r="L39" i="96" s="1"/>
  <c r="P39" i="96" s="1" a="1"/>
  <c r="P39" i="96" s="1"/>
  <c r="E37" i="97"/>
  <c r="J191" i="76" a="1"/>
  <c r="J191" i="76" s="1"/>
  <c r="H29" i="96" a="1"/>
  <c r="H29" i="96" s="1"/>
  <c r="I32" i="96" a="1"/>
  <c r="I32" i="96" s="1"/>
  <c r="H35" i="96" a="1"/>
  <c r="H35" i="96" s="1"/>
  <c r="H38" i="96" a="1"/>
  <c r="H38" i="96" s="1"/>
  <c r="E31" i="97"/>
  <c r="E34" i="97"/>
  <c r="I29" i="96" a="1"/>
  <c r="I29" i="96" s="1"/>
  <c r="J32" i="96" a="1"/>
  <c r="J32" i="96" s="1"/>
  <c r="I35" i="96" a="1"/>
  <c r="I35" i="96" s="1"/>
  <c r="I38" i="96" a="1"/>
  <c r="I38" i="96" s="1"/>
  <c r="E28" i="97"/>
  <c r="J29" i="96" a="1"/>
  <c r="J29" i="96" s="1"/>
  <c r="K32" i="96" a="1"/>
  <c r="K32" i="96" s="1"/>
  <c r="J35" i="96" a="1"/>
  <c r="J35" i="96" s="1"/>
  <c r="E37" i="96"/>
  <c r="H37" i="96" s="1" a="1"/>
  <c r="H37" i="96" s="1"/>
  <c r="J38" i="96" a="1"/>
  <c r="J38" i="96" s="1"/>
  <c r="E25" i="96"/>
  <c r="K29" i="96" a="1"/>
  <c r="K29" i="96" s="1"/>
  <c r="G31" i="96" a="1"/>
  <c r="G31" i="96" s="1"/>
  <c r="K35" i="96" a="1"/>
  <c r="K35" i="96" s="1"/>
  <c r="K38" i="96" a="1"/>
  <c r="K38" i="96" s="1"/>
  <c r="G28" i="96" a="1"/>
  <c r="G28" i="96" s="1"/>
  <c r="H31" i="96" a="1"/>
  <c r="H31" i="96" s="1"/>
  <c r="N31" i="96" s="1" a="1"/>
  <c r="N31" i="96" s="1"/>
  <c r="G34" i="96" a="1"/>
  <c r="G34" i="96" s="1"/>
  <c r="G37" i="96" a="1"/>
  <c r="G37" i="96" s="1"/>
  <c r="G25" i="96" a="1"/>
  <c r="G25" i="96" s="1"/>
  <c r="H28" i="96" a="1"/>
  <c r="H28" i="96" s="1"/>
  <c r="I31" i="96" a="1"/>
  <c r="I31" i="96" s="1"/>
  <c r="H34" i="96" a="1"/>
  <c r="H34" i="96" s="1"/>
  <c r="J14" i="100" a="1"/>
  <c r="J14" i="100" s="1"/>
  <c r="H25" i="96" a="1"/>
  <c r="H25" i="96" s="1"/>
  <c r="I28" i="96" a="1"/>
  <c r="I28" i="96" s="1"/>
  <c r="J31" i="96" a="1"/>
  <c r="J31" i="96" s="1"/>
  <c r="I34" i="96" a="1"/>
  <c r="I34" i="96" s="1"/>
  <c r="I25" i="96" a="1"/>
  <c r="I25" i="96" s="1"/>
  <c r="J28" i="96" a="1"/>
  <c r="J28" i="96" s="1"/>
  <c r="P28" i="96" s="1" a="1"/>
  <c r="P28" i="96" s="1"/>
  <c r="K31" i="96" a="1"/>
  <c r="K31" i="96" s="1"/>
  <c r="J34" i="96" a="1"/>
  <c r="J34" i="96" s="1"/>
  <c r="J37" i="96" a="1"/>
  <c r="J37" i="96" s="1"/>
  <c r="L123" i="79"/>
  <c r="J25" i="96" a="1"/>
  <c r="J25" i="96" s="1"/>
  <c r="K28" i="96" a="1"/>
  <c r="K28" i="96" s="1"/>
  <c r="G30" i="96" a="1"/>
  <c r="G30" i="96" s="1"/>
  <c r="G33" i="96" a="1"/>
  <c r="G33" i="96" s="1"/>
  <c r="K34" i="96" a="1"/>
  <c r="K34" i="96" s="1"/>
  <c r="G36" i="96" a="1"/>
  <c r="G36" i="96" s="1"/>
  <c r="G39" i="96" a="1"/>
  <c r="G39" i="96" s="1"/>
  <c r="L124" i="79"/>
  <c r="V111" i="81" a="1"/>
  <c r="V111" i="81" s="1"/>
  <c r="K25" i="96" a="1"/>
  <c r="K25" i="96" s="1"/>
  <c r="G27" i="96" a="1"/>
  <c r="G27" i="96" s="1"/>
  <c r="H30" i="96" a="1"/>
  <c r="H30" i="96" s="1"/>
  <c r="H33" i="96" a="1"/>
  <c r="H33" i="96" s="1"/>
  <c r="H36" i="96" a="1"/>
  <c r="H36" i="96" s="1"/>
  <c r="K39" i="97" a="1"/>
  <c r="K39" i="97" s="1"/>
  <c r="H164" i="81" a="1"/>
  <c r="H164" i="81" s="1"/>
  <c r="L164" i="81" a="1"/>
  <c r="L164" i="81" s="1"/>
  <c r="F161" i="81" a="1"/>
  <c r="F161" i="81" s="1"/>
  <c r="H161" i="81" a="1"/>
  <c r="H161" i="81" s="1"/>
  <c r="I80" i="81" a="1"/>
  <c r="I80" i="81" s="1"/>
  <c r="L161" i="81" a="1"/>
  <c r="L161" i="81" s="1"/>
  <c r="F162" i="81" a="1"/>
  <c r="F162" i="81" s="1"/>
  <c r="H162" i="81" a="1"/>
  <c r="H162" i="81" s="1"/>
  <c r="L162" i="81" a="1"/>
  <c r="L162" i="81" s="1"/>
  <c r="J14" i="80" a="1"/>
  <c r="J14" i="80" s="1"/>
  <c r="J15" i="100" a="1"/>
  <c r="J15" i="100" s="1"/>
  <c r="J16" i="100" a="1"/>
  <c r="J16" i="100" s="1"/>
  <c r="J17" i="100" a="1"/>
  <c r="J17" i="100" s="1"/>
  <c r="K40" i="97" a="1"/>
  <c r="K40" i="97" s="1"/>
  <c r="I20" i="87" a="1"/>
  <c r="I20" i="87" s="1"/>
  <c r="H31" i="80"/>
  <c r="E7" i="101"/>
  <c r="E30" i="101"/>
  <c r="F48" i="101"/>
  <c r="E27" i="100"/>
  <c r="O27" i="100"/>
  <c r="E7" i="100"/>
  <c r="E7" i="97"/>
  <c r="L8" i="97"/>
  <c r="F50" i="97"/>
  <c r="D39" i="97"/>
  <c r="L39" i="97" s="1" a="1"/>
  <c r="L39" i="97" s="1"/>
  <c r="D42" i="97"/>
  <c r="D30" i="97"/>
  <c r="L30" i="97" s="1" a="1"/>
  <c r="L30" i="97" s="1"/>
  <c r="D37" i="97"/>
  <c r="L37" i="97" s="1" a="1"/>
  <c r="L37" i="97" s="1"/>
  <c r="F51" i="97"/>
  <c r="F43" i="97"/>
  <c r="D28" i="97"/>
  <c r="D35" i="97"/>
  <c r="L35" i="97" s="1" a="1"/>
  <c r="L35" i="97" s="1"/>
  <c r="F52" i="97"/>
  <c r="F44" i="97"/>
  <c r="D26" i="97"/>
  <c r="L26" i="97" s="1" a="1"/>
  <c r="L26" i="97" s="1"/>
  <c r="D33" i="97"/>
  <c r="L33" i="97" s="1" a="1"/>
  <c r="L33" i="97" s="1"/>
  <c r="F55" i="97"/>
  <c r="F45" i="97"/>
  <c r="D31" i="97"/>
  <c r="L31" i="97" s="1" a="1"/>
  <c r="L31" i="97" s="1"/>
  <c r="D40" i="97"/>
  <c r="L40" i="97" s="1" a="1"/>
  <c r="L40" i="97" s="1"/>
  <c r="F56" i="97"/>
  <c r="D38" i="97"/>
  <c r="L38" i="97" s="1" a="1"/>
  <c r="L38" i="97" s="1"/>
  <c r="F46" i="97"/>
  <c r="D29" i="97"/>
  <c r="L29" i="97" s="1" a="1"/>
  <c r="L29" i="97" s="1"/>
  <c r="D36" i="97"/>
  <c r="L36" i="97" s="1" a="1"/>
  <c r="L36" i="97" s="1"/>
  <c r="D48" i="97"/>
  <c r="F57" i="97"/>
  <c r="F49" i="97"/>
  <c r="E7" i="96"/>
  <c r="L7" i="96"/>
  <c r="Q28" i="96" a="1"/>
  <c r="Q28" i="96" s="1"/>
  <c r="P29" i="96" a="1"/>
  <c r="P29" i="96" s="1"/>
  <c r="O27" i="96" a="1"/>
  <c r="O27" i="96" s="1"/>
  <c r="Q27" i="96" a="1"/>
  <c r="Q27" i="96" s="1"/>
  <c r="F44" i="96"/>
  <c r="F63" i="96"/>
  <c r="Q32" i="96" a="1"/>
  <c r="Q32" i="96" s="1"/>
  <c r="Q34" i="96" a="1"/>
  <c r="Q34" i="96" s="1"/>
  <c r="D38" i="96"/>
  <c r="L38" i="96" s="1" a="1"/>
  <c r="L38" i="96" s="1"/>
  <c r="Q39" i="96" a="1"/>
  <c r="Q39" i="96" s="1"/>
  <c r="F45" i="96"/>
  <c r="F55" i="96"/>
  <c r="F64" i="96"/>
  <c r="N39" i="96" a="1"/>
  <c r="N39" i="96" s="1"/>
  <c r="F46" i="96"/>
  <c r="F56" i="96"/>
  <c r="F67" i="96"/>
  <c r="F57" i="96"/>
  <c r="F49" i="96"/>
  <c r="F68" i="96"/>
  <c r="N37" i="96" a="1"/>
  <c r="N37" i="96" s="1"/>
  <c r="F58" i="96"/>
  <c r="F50" i="96"/>
  <c r="D60" i="96"/>
  <c r="D35" i="96"/>
  <c r="L35" i="96" s="1" a="1"/>
  <c r="L35" i="96" s="1"/>
  <c r="P36" i="96" a="1"/>
  <c r="P36" i="96" s="1"/>
  <c r="D42" i="96"/>
  <c r="F69" i="96"/>
  <c r="N27" i="96" a="1"/>
  <c r="N27" i="96" s="1"/>
  <c r="F51" i="96"/>
  <c r="F61" i="96"/>
  <c r="F43" i="96"/>
  <c r="F70" i="96"/>
  <c r="F52" i="96"/>
  <c r="I19" i="95"/>
  <c r="L26" i="96" s="1" a="1"/>
  <c r="L26" i="96" s="1"/>
  <c r="E39" i="93" a="1"/>
  <c r="E39" i="93" s="1"/>
  <c r="E27" i="13" s="1" a="1"/>
  <c r="E27" i="13" s="1"/>
  <c r="I20" i="95"/>
  <c r="L33" i="96" s="1" a="1"/>
  <c r="L33" i="96" s="1"/>
  <c r="Q33" i="96" s="1" a="1"/>
  <c r="Q33" i="96" s="1"/>
  <c r="E52" i="96" s="1"/>
  <c r="I18" i="95"/>
  <c r="L32" i="97" s="1" a="1"/>
  <c r="L32" i="97" s="1"/>
  <c r="I17" i="95"/>
  <c r="E25" i="93"/>
  <c r="E8" i="93"/>
  <c r="I39" i="92"/>
  <c r="E41" i="92" s="1"/>
  <c r="J34" i="93" s="1"/>
  <c r="I47" i="92"/>
  <c r="E50" i="92" s="1"/>
  <c r="J35" i="93" s="1"/>
  <c r="E83" i="90"/>
  <c r="E49" i="90"/>
  <c r="E7" i="90"/>
  <c r="E43" i="89"/>
  <c r="E7" i="89"/>
  <c r="E118" i="89"/>
  <c r="E90" i="89"/>
  <c r="F105" i="89" a="1"/>
  <c r="F105" i="89" s="1"/>
  <c r="E137" i="89" s="1"/>
  <c r="G59" i="89"/>
  <c r="E7" i="88"/>
  <c r="E38" i="87"/>
  <c r="E7" i="87"/>
  <c r="I21" i="87" a="1"/>
  <c r="I21" i="87" s="1"/>
  <c r="E7" i="86"/>
  <c r="E43" i="86"/>
  <c r="F78" i="86"/>
  <c r="F58" i="86"/>
  <c r="F60" i="85"/>
  <c r="O88" i="85"/>
  <c r="E7" i="85"/>
  <c r="E42" i="85"/>
  <c r="N60" i="85"/>
  <c r="V36" i="77" a="1"/>
  <c r="V36" i="77" s="1"/>
  <c r="W36" i="77" s="1" a="1"/>
  <c r="W36" i="77" s="1"/>
  <c r="AC36" i="77" s="1" a="1"/>
  <c r="AC36" i="77" s="1"/>
  <c r="G27" i="79"/>
  <c r="E26" i="83"/>
  <c r="E7" i="83"/>
  <c r="O36" i="83"/>
  <c r="F36" i="83"/>
  <c r="O20" i="83"/>
  <c r="F20" i="83"/>
  <c r="X252" i="80"/>
  <c r="W109" i="81" a="1"/>
  <c r="W109" i="81" s="1"/>
  <c r="AC109" i="81" s="1" a="1"/>
  <c r="AC109" i="81" s="1"/>
  <c r="P235" i="80"/>
  <c r="X261" i="80"/>
  <c r="E7" i="82"/>
  <c r="E22" i="82"/>
  <c r="AH83" i="80"/>
  <c r="AF63" i="81" s="1"/>
  <c r="AH82" i="80"/>
  <c r="AF62" i="81" s="1"/>
  <c r="AH79" i="80"/>
  <c r="AF59" i="81" s="1"/>
  <c r="O87" i="80"/>
  <c r="O57" i="81" s="1"/>
  <c r="AH86" i="80"/>
  <c r="AF66" i="81" s="1"/>
  <c r="AH106" i="81"/>
  <c r="AH110" i="81"/>
  <c r="AH105" i="81"/>
  <c r="AH111" i="81"/>
  <c r="P35" i="82"/>
  <c r="F35" i="82"/>
  <c r="AF38" i="81"/>
  <c r="O36" i="81"/>
  <c r="X254" i="80"/>
  <c r="V103" i="81" a="1"/>
  <c r="V103" i="81" s="1"/>
  <c r="W103" i="81" s="1" a="1"/>
  <c r="W103" i="81" s="1"/>
  <c r="AC103" i="81" s="1" a="1"/>
  <c r="AC103" i="81" s="1"/>
  <c r="E24" i="79"/>
  <c r="AF137" i="81"/>
  <c r="X181" i="80"/>
  <c r="X34" i="80" a="1"/>
  <c r="X34" i="80" s="1"/>
  <c r="Y34" i="80" s="1" a="1"/>
  <c r="Y34" i="80" s="1"/>
  <c r="AE34" i="80" s="1" a="1"/>
  <c r="AE34" i="80" s="1"/>
  <c r="AC32" i="80" a="1"/>
  <c r="AC32" i="80" s="1"/>
  <c r="W111" i="81" a="1"/>
  <c r="W111" i="81" s="1"/>
  <c r="O129" i="81"/>
  <c r="X194" i="80"/>
  <c r="AF139" i="81"/>
  <c r="AF144" i="81"/>
  <c r="O130" i="81"/>
  <c r="E136" i="81"/>
  <c r="E42" i="81"/>
  <c r="E7" i="81"/>
  <c r="E104" i="81"/>
  <c r="E178" i="81"/>
  <c r="E218" i="81"/>
  <c r="S33" i="80"/>
  <c r="AJ34" i="80"/>
  <c r="AJ29" i="80"/>
  <c r="S32" i="80"/>
  <c r="AF82" i="81"/>
  <c r="AF76" i="81"/>
  <c r="AF79" i="81"/>
  <c r="AF81" i="81"/>
  <c r="AF74" i="81"/>
  <c r="AF72" i="81"/>
  <c r="AF77" i="81"/>
  <c r="AF83" i="81"/>
  <c r="AF80" i="81"/>
  <c r="AF78" i="81"/>
  <c r="AF73" i="81"/>
  <c r="O65" i="81"/>
  <c r="AF75" i="81"/>
  <c r="O64" i="81"/>
  <c r="O62" i="81"/>
  <c r="O63" i="81"/>
  <c r="AF202" i="81"/>
  <c r="AF197" i="81"/>
  <c r="AF200" i="81"/>
  <c r="AF205" i="81"/>
  <c r="AF203" i="81"/>
  <c r="AF198" i="81"/>
  <c r="O171" i="81"/>
  <c r="AF196" i="81"/>
  <c r="AF204" i="81"/>
  <c r="AF201" i="81"/>
  <c r="O170" i="81"/>
  <c r="O169" i="81"/>
  <c r="O172" i="81"/>
  <c r="AF206" i="81"/>
  <c r="AF199" i="81"/>
  <c r="AF42" i="81"/>
  <c r="E96" i="81" a="1"/>
  <c r="E96" i="81" s="1"/>
  <c r="F96" i="81" s="1" a="1"/>
  <c r="F96" i="81" s="1"/>
  <c r="E98" i="81" a="1"/>
  <c r="E98" i="81" s="1"/>
  <c r="F98" i="81" s="1" a="1"/>
  <c r="F98" i="81" s="1"/>
  <c r="J98" i="81" s="1" a="1"/>
  <c r="J98" i="81" s="1"/>
  <c r="AF259" i="81"/>
  <c r="AF252" i="81"/>
  <c r="O210" i="81"/>
  <c r="O208" i="81"/>
  <c r="AF257" i="81"/>
  <c r="AF250" i="81"/>
  <c r="O207" i="81"/>
  <c r="AF255" i="81"/>
  <c r="AF248" i="81"/>
  <c r="AF256" i="81"/>
  <c r="AF249" i="81"/>
  <c r="AF254" i="81"/>
  <c r="AF258" i="81"/>
  <c r="AF251" i="81"/>
  <c r="O209" i="81"/>
  <c r="F212" i="81"/>
  <c r="W261" i="81"/>
  <c r="AF253" i="81"/>
  <c r="X262" i="80"/>
  <c r="AH102" i="81"/>
  <c r="N367" i="78"/>
  <c r="F24" i="79"/>
  <c r="AF40" i="81"/>
  <c r="AH109" i="81"/>
  <c r="G24" i="79"/>
  <c r="F244" i="80"/>
  <c r="X263" i="80"/>
  <c r="O33" i="81"/>
  <c r="AF46" i="81"/>
  <c r="W108" i="81" a="1"/>
  <c r="W108" i="81" s="1"/>
  <c r="H24" i="79"/>
  <c r="K24" i="79"/>
  <c r="AF47" i="81"/>
  <c r="AF44" i="81"/>
  <c r="AF45" i="81"/>
  <c r="AF39" i="81"/>
  <c r="AF37" i="81"/>
  <c r="O35" i="81"/>
  <c r="AF43" i="81"/>
  <c r="M24" i="79"/>
  <c r="M34" i="79"/>
  <c r="X257" i="80"/>
  <c r="AF36" i="81"/>
  <c r="AH100" i="81"/>
  <c r="AF41" i="81"/>
  <c r="E97" i="81" a="1"/>
  <c r="E97" i="81" s="1"/>
  <c r="F97" i="81" s="1" a="1"/>
  <c r="F97" i="81" s="1"/>
  <c r="J97" i="81" s="1" a="1"/>
  <c r="J97" i="81" s="1"/>
  <c r="J25" i="79"/>
  <c r="AH103" i="81"/>
  <c r="AH107" i="81"/>
  <c r="AH104" i="81"/>
  <c r="Q98" i="81"/>
  <c r="AH108" i="81"/>
  <c r="Q95" i="81"/>
  <c r="Q96" i="81"/>
  <c r="AH101" i="81"/>
  <c r="X259" i="80"/>
  <c r="Q97" i="81"/>
  <c r="O34" i="81"/>
  <c r="E95" i="81" a="1"/>
  <c r="E95" i="81" s="1"/>
  <c r="AF207" i="81"/>
  <c r="V104" i="81" a="1"/>
  <c r="V104" i="81" s="1"/>
  <c r="W104" i="81" s="1" a="1"/>
  <c r="W104" i="81" s="1"/>
  <c r="V182" i="81" a="1"/>
  <c r="V182" i="81" s="1"/>
  <c r="AF138" i="81"/>
  <c r="W267" i="81"/>
  <c r="F229" i="81"/>
  <c r="V186" i="81" a="1"/>
  <c r="V186" i="81" s="1"/>
  <c r="V189" i="81" a="1"/>
  <c r="V189" i="81" s="1"/>
  <c r="V187" i="81" a="1"/>
  <c r="V187" i="81" s="1"/>
  <c r="V190" i="81" a="1"/>
  <c r="V190" i="81" s="1"/>
  <c r="V185" i="81" a="1"/>
  <c r="V185" i="81" s="1"/>
  <c r="V183" i="81" a="1"/>
  <c r="V183" i="81" s="1"/>
  <c r="V191" i="81" a="1"/>
  <c r="V191" i="81" s="1"/>
  <c r="V181" i="81" a="1"/>
  <c r="V181" i="81" s="1"/>
  <c r="V184" i="81" a="1"/>
  <c r="V184" i="81" s="1"/>
  <c r="V188" i="81" a="1"/>
  <c r="V188" i="81" s="1"/>
  <c r="V101" i="81" a="1"/>
  <c r="V101" i="81" s="1"/>
  <c r="W101" i="81" s="1" a="1"/>
  <c r="W101" i="81" s="1"/>
  <c r="AF136" i="81"/>
  <c r="AF147" i="81"/>
  <c r="V110" i="81" a="1"/>
  <c r="V110" i="81" s="1"/>
  <c r="AF145" i="81"/>
  <c r="AF140" i="81"/>
  <c r="AF143" i="81"/>
  <c r="O128" i="81"/>
  <c r="AF141" i="81"/>
  <c r="V100" i="81" a="1"/>
  <c r="V100" i="81" s="1"/>
  <c r="V105" i="81" a="1"/>
  <c r="V105" i="81" s="1"/>
  <c r="W105" i="81" s="1" a="1"/>
  <c r="W105" i="81" s="1"/>
  <c r="AB105" i="81" s="1" a="1"/>
  <c r="AB105" i="81" s="1"/>
  <c r="O127" i="81"/>
  <c r="AF146" i="81"/>
  <c r="E191" i="81"/>
  <c r="V216" i="81"/>
  <c r="E39" i="80"/>
  <c r="E148" i="80"/>
  <c r="E101" i="80"/>
  <c r="E206" i="80"/>
  <c r="H30" i="80"/>
  <c r="X190" i="80"/>
  <c r="X178" i="80"/>
  <c r="X179" i="80"/>
  <c r="X191" i="80"/>
  <c r="AH138" i="80"/>
  <c r="O132" i="80"/>
  <c r="AH142" i="80"/>
  <c r="O134" i="80"/>
  <c r="AH135" i="80"/>
  <c r="AH131" i="80"/>
  <c r="AH133" i="80"/>
  <c r="AH139" i="80"/>
  <c r="AH132" i="80"/>
  <c r="O131" i="80"/>
  <c r="AH134" i="80"/>
  <c r="O133" i="80"/>
  <c r="AH140" i="80"/>
  <c r="AH136" i="80"/>
  <c r="AH141" i="80"/>
  <c r="AH137" i="80"/>
  <c r="X195" i="80"/>
  <c r="X183" i="80"/>
  <c r="AE31" i="80" a="1"/>
  <c r="AE31" i="80" s="1"/>
  <c r="AD31" i="80" a="1"/>
  <c r="AD31" i="80" s="1"/>
  <c r="H32" i="80"/>
  <c r="L32" i="80" s="1" a="1"/>
  <c r="L32" i="80" s="1"/>
  <c r="L24" i="79"/>
  <c r="J24" i="79"/>
  <c r="M26" i="79"/>
  <c r="S30" i="80"/>
  <c r="AC31" i="80" a="1"/>
  <c r="AC31" i="80" s="1"/>
  <c r="X39" i="80" a="1"/>
  <c r="X39" i="80" s="1"/>
  <c r="Y39" i="80" s="1" a="1"/>
  <c r="Y39" i="80" s="1"/>
  <c r="AD39" i="80" s="1" a="1"/>
  <c r="AD39" i="80" s="1"/>
  <c r="AH76" i="80"/>
  <c r="AF56" i="81" s="1"/>
  <c r="AH81" i="80"/>
  <c r="AF61" i="81" s="1"/>
  <c r="AJ35" i="80"/>
  <c r="X38" i="80" a="1"/>
  <c r="X38" i="80" s="1"/>
  <c r="Y38" i="80" s="1" a="1"/>
  <c r="Y38" i="80" s="1"/>
  <c r="AD38" i="80" s="1" a="1"/>
  <c r="AD38" i="80" s="1"/>
  <c r="O86" i="80"/>
  <c r="O56" i="81" s="1"/>
  <c r="AI188" i="80"/>
  <c r="AI193" i="80"/>
  <c r="AI196" i="80"/>
  <c r="AI199" i="80"/>
  <c r="AI195" i="80"/>
  <c r="AI180" i="80"/>
  <c r="AI194" i="80"/>
  <c r="P178" i="80"/>
  <c r="AI186" i="80"/>
  <c r="AI192" i="80"/>
  <c r="AI191" i="80"/>
  <c r="AI185" i="80"/>
  <c r="AI183" i="80"/>
  <c r="AI190" i="80"/>
  <c r="AI189" i="80"/>
  <c r="AI177" i="80"/>
  <c r="P183" i="80"/>
  <c r="P180" i="80"/>
  <c r="AI200" i="80"/>
  <c r="AI198" i="80"/>
  <c r="AI187" i="80"/>
  <c r="AI182" i="80"/>
  <c r="AI179" i="80"/>
  <c r="P177" i="80"/>
  <c r="P179" i="80"/>
  <c r="X196" i="80"/>
  <c r="X184" i="80"/>
  <c r="X197" i="80"/>
  <c r="AJ31" i="80"/>
  <c r="AH77" i="80"/>
  <c r="AF57" i="81" s="1"/>
  <c r="AH84" i="80"/>
  <c r="AF64" i="81" s="1"/>
  <c r="P184" i="80"/>
  <c r="AI197" i="80"/>
  <c r="L364" i="78"/>
  <c r="AJ28" i="80"/>
  <c r="AJ33" i="80"/>
  <c r="X199" i="80"/>
  <c r="X187" i="80"/>
  <c r="X200" i="80"/>
  <c r="X188" i="80"/>
  <c r="AI178" i="80"/>
  <c r="X180" i="80"/>
  <c r="P181" i="80"/>
  <c r="X198" i="80"/>
  <c r="H25" i="79"/>
  <c r="X29" i="80" a="1"/>
  <c r="X29" i="80" s="1"/>
  <c r="Y29" i="80" s="1" a="1"/>
  <c r="Y29" i="80" s="1"/>
  <c r="AD29" i="80" s="1" a="1"/>
  <c r="AD29" i="80" s="1"/>
  <c r="S31" i="80"/>
  <c r="AJ39" i="80"/>
  <c r="AH80" i="80"/>
  <c r="AF60" i="81" s="1"/>
  <c r="O85" i="80"/>
  <c r="O55" i="81" s="1"/>
  <c r="X189" i="80"/>
  <c r="X177" i="80"/>
  <c r="P182" i="80"/>
  <c r="I25" i="79"/>
  <c r="G34" i="79"/>
  <c r="AD32" i="80" a="1"/>
  <c r="AD32" i="80" s="1"/>
  <c r="AJ38" i="80"/>
  <c r="AE32" i="80" a="1"/>
  <c r="AE32" i="80" s="1"/>
  <c r="AJ37" i="80"/>
  <c r="AI184" i="80"/>
  <c r="N25" i="79"/>
  <c r="X28" i="80" a="1"/>
  <c r="X28" i="80" s="1"/>
  <c r="Y28" i="80" s="1" a="1"/>
  <c r="Y28" i="80" s="1"/>
  <c r="AC28" i="80" s="1" a="1"/>
  <c r="AC28" i="80" s="1"/>
  <c r="AJ30" i="80"/>
  <c r="AJ36" i="80"/>
  <c r="AJ32" i="80"/>
  <c r="O84" i="80"/>
  <c r="O54" i="81" s="1"/>
  <c r="AH85" i="80"/>
  <c r="AF65" i="81" s="1"/>
  <c r="AH78" i="80"/>
  <c r="AF58" i="81" s="1"/>
  <c r="AH87" i="80"/>
  <c r="AF67" i="81" s="1"/>
  <c r="P236" i="80"/>
  <c r="AI252" i="80"/>
  <c r="X260" i="80"/>
  <c r="X272" i="80"/>
  <c r="AI255" i="80"/>
  <c r="X255" i="80"/>
  <c r="X267" i="80"/>
  <c r="X219" i="80"/>
  <c r="AI272" i="80"/>
  <c r="AI258" i="80"/>
  <c r="AI261" i="80"/>
  <c r="AI264" i="80"/>
  <c r="P239" i="80"/>
  <c r="AI267" i="80"/>
  <c r="AI253" i="80"/>
  <c r="P242" i="80"/>
  <c r="AI270" i="80"/>
  <c r="AI273" i="80"/>
  <c r="AI259" i="80"/>
  <c r="AI262" i="80"/>
  <c r="P237" i="80"/>
  <c r="AI265" i="80"/>
  <c r="AI251" i="80"/>
  <c r="P240" i="80"/>
  <c r="AI268" i="80"/>
  <c r="AI254" i="80"/>
  <c r="AI271" i="80"/>
  <c r="AI257" i="80"/>
  <c r="AI274" i="80"/>
  <c r="AI260" i="80"/>
  <c r="AI263" i="80"/>
  <c r="P238" i="80"/>
  <c r="AI266" i="80"/>
  <c r="AI269" i="80"/>
  <c r="AI256" i="80"/>
  <c r="X256" i="80"/>
  <c r="X270" i="80"/>
  <c r="X253" i="80"/>
  <c r="J368" i="78"/>
  <c r="N26" i="79"/>
  <c r="F29" i="79"/>
  <c r="J31" i="79"/>
  <c r="G29" i="79"/>
  <c r="L31" i="79"/>
  <c r="N23" i="76"/>
  <c r="K25" i="79"/>
  <c r="E27" i="79"/>
  <c r="H29" i="79"/>
  <c r="M31" i="79"/>
  <c r="F23" i="76"/>
  <c r="F27" i="79"/>
  <c r="I29" i="79"/>
  <c r="N31" i="79"/>
  <c r="E26" i="79"/>
  <c r="H27" i="79"/>
  <c r="E30" i="79"/>
  <c r="F26" i="79"/>
  <c r="I27" i="79"/>
  <c r="F30" i="79"/>
  <c r="E33" i="79"/>
  <c r="G26" i="79"/>
  <c r="J27" i="79"/>
  <c r="G30" i="79"/>
  <c r="H26" i="79"/>
  <c r="K27" i="79"/>
  <c r="I30" i="79"/>
  <c r="E34" i="79"/>
  <c r="I23" i="76"/>
  <c r="I26" i="79"/>
  <c r="L27" i="79"/>
  <c r="J30" i="79"/>
  <c r="J365" i="78"/>
  <c r="J26" i="79"/>
  <c r="M27" i="79"/>
  <c r="K30" i="79"/>
  <c r="H34" i="79"/>
  <c r="K26" i="79"/>
  <c r="L30" i="79"/>
  <c r="I34" i="79"/>
  <c r="F25" i="79"/>
  <c r="N30" i="79"/>
  <c r="J34" i="79"/>
  <c r="O123" i="79"/>
  <c r="N123" i="79"/>
  <c r="F33" i="79"/>
  <c r="N23" i="79"/>
  <c r="M32" i="79"/>
  <c r="G25" i="79"/>
  <c r="E29" i="79"/>
  <c r="H30" i="79"/>
  <c r="K31" i="79"/>
  <c r="N32" i="79"/>
  <c r="F34" i="79"/>
  <c r="M121" i="79"/>
  <c r="N121" i="79" s="1"/>
  <c r="F23" i="79"/>
  <c r="I24" i="79"/>
  <c r="L25" i="79"/>
  <c r="G28" i="79"/>
  <c r="J29" i="79"/>
  <c r="E32" i="79"/>
  <c r="H33" i="79"/>
  <c r="K34" i="79"/>
  <c r="M124" i="79"/>
  <c r="E23" i="79"/>
  <c r="G33" i="79"/>
  <c r="G23" i="79"/>
  <c r="M25" i="79"/>
  <c r="H28" i="79"/>
  <c r="K29" i="79"/>
  <c r="F32" i="79"/>
  <c r="I33" i="79"/>
  <c r="L34" i="79"/>
  <c r="L122" i="79"/>
  <c r="F28" i="79"/>
  <c r="I23" i="79"/>
  <c r="J28" i="79"/>
  <c r="M29" i="79"/>
  <c r="E31" i="79"/>
  <c r="H32" i="79"/>
  <c r="K33" i="79"/>
  <c r="J23" i="79"/>
  <c r="K28" i="79"/>
  <c r="N29" i="79"/>
  <c r="F31" i="79"/>
  <c r="I32" i="79"/>
  <c r="L33" i="79"/>
  <c r="K23" i="79"/>
  <c r="L28" i="79"/>
  <c r="G31" i="79"/>
  <c r="J32" i="79"/>
  <c r="M33" i="79"/>
  <c r="G32" i="79"/>
  <c r="J33" i="79"/>
  <c r="L23" i="79"/>
  <c r="M28" i="79"/>
  <c r="H31" i="79"/>
  <c r="K32" i="79"/>
  <c r="E28" i="79"/>
  <c r="H23" i="79"/>
  <c r="I28" i="79"/>
  <c r="G100" i="77"/>
  <c r="O115" i="77" s="1"/>
  <c r="G34" i="76"/>
  <c r="I34" i="76"/>
  <c r="I367" i="78"/>
  <c r="J367" i="78"/>
  <c r="I363" i="78"/>
  <c r="J363" i="78"/>
  <c r="J366" i="78"/>
  <c r="I366" i="78"/>
  <c r="E25" i="76"/>
  <c r="L25" i="76"/>
  <c r="K25" i="76"/>
  <c r="J25" i="76"/>
  <c r="N25" i="76"/>
  <c r="O85" i="77"/>
  <c r="AF97" i="77"/>
  <c r="N31" i="76"/>
  <c r="I25" i="76"/>
  <c r="N364" i="78"/>
  <c r="J369" i="78"/>
  <c r="J362" i="78"/>
  <c r="M367" i="78"/>
  <c r="L100" i="78"/>
  <c r="K100" i="78"/>
  <c r="L107" i="78"/>
  <c r="K107" i="78"/>
  <c r="P109" i="78"/>
  <c r="N109" i="78"/>
  <c r="O109" i="78"/>
  <c r="N110" i="78"/>
  <c r="P110" i="78"/>
  <c r="O110" i="78"/>
  <c r="K105" i="78"/>
  <c r="L105" i="78"/>
  <c r="K117" i="78"/>
  <c r="L117" i="78"/>
  <c r="L98" i="78"/>
  <c r="K98" i="78"/>
  <c r="P106" i="78"/>
  <c r="N106" i="78"/>
  <c r="O106" i="78"/>
  <c r="H92" i="78"/>
  <c r="H88" i="78"/>
  <c r="P97" i="78"/>
  <c r="O97" i="78"/>
  <c r="N97" i="78"/>
  <c r="M92" i="78"/>
  <c r="M88" i="78"/>
  <c r="L86" i="78"/>
  <c r="L90" i="78"/>
  <c r="K90" i="78"/>
  <c r="K86" i="78"/>
  <c r="G89" i="78"/>
  <c r="G93" i="78"/>
  <c r="L96" i="78"/>
  <c r="K96" i="78"/>
  <c r="P100" i="78"/>
  <c r="O100" i="78"/>
  <c r="N100" i="78"/>
  <c r="K106" i="78"/>
  <c r="L106" i="78"/>
  <c r="P107" i="78"/>
  <c r="O107" i="78"/>
  <c r="N107" i="78"/>
  <c r="O98" i="78"/>
  <c r="P98" i="78"/>
  <c r="N98" i="78"/>
  <c r="N99" i="78"/>
  <c r="O99" i="78"/>
  <c r="P99" i="78"/>
  <c r="I92" i="78"/>
  <c r="I88" i="78"/>
  <c r="I91" i="78"/>
  <c r="I87" i="78"/>
  <c r="J92" i="78"/>
  <c r="J88" i="78"/>
  <c r="P94" i="78"/>
  <c r="O94" i="78"/>
  <c r="N94" i="78"/>
  <c r="P104" i="78"/>
  <c r="N104" i="78"/>
  <c r="O104" i="78"/>
  <c r="H89" i="78"/>
  <c r="H93" i="78"/>
  <c r="N96" i="78"/>
  <c r="O96" i="78"/>
  <c r="P96" i="78"/>
  <c r="K94" i="78"/>
  <c r="L94" i="78"/>
  <c r="H87" i="78"/>
  <c r="H91" i="78"/>
  <c r="P95" i="78"/>
  <c r="N95" i="78"/>
  <c r="O95" i="78"/>
  <c r="H224" i="78"/>
  <c r="H228" i="78"/>
  <c r="H90" i="78"/>
  <c r="H86" i="78"/>
  <c r="L88" i="78"/>
  <c r="K92" i="78"/>
  <c r="L92" i="78"/>
  <c r="K88" i="78"/>
  <c r="M93" i="78"/>
  <c r="M89" i="78"/>
  <c r="K103" i="78"/>
  <c r="L103" i="78"/>
  <c r="L104" i="78"/>
  <c r="K104" i="78"/>
  <c r="O93" i="78"/>
  <c r="O89" i="78"/>
  <c r="P93" i="78"/>
  <c r="N93" i="78"/>
  <c r="P89" i="78"/>
  <c r="N89" i="78"/>
  <c r="K102" i="78"/>
  <c r="L102" i="78"/>
  <c r="L111" i="78"/>
  <c r="K111" i="78"/>
  <c r="J86" i="78"/>
  <c r="J90" i="78"/>
  <c r="P92" i="78"/>
  <c r="O88" i="78"/>
  <c r="N88" i="78"/>
  <c r="N92" i="78"/>
  <c r="O92" i="78"/>
  <c r="P88" i="78"/>
  <c r="O103" i="78"/>
  <c r="P103" i="78"/>
  <c r="N103" i="78"/>
  <c r="F102" i="78"/>
  <c r="J191" i="79" s="1" a="1"/>
  <c r="J191" i="79" s="1"/>
  <c r="F106" i="78"/>
  <c r="L112" i="78"/>
  <c r="K112" i="78"/>
  <c r="L113" i="78"/>
  <c r="K113" i="78"/>
  <c r="K114" i="78"/>
  <c r="L114" i="78"/>
  <c r="L116" i="78"/>
  <c r="K116" i="78"/>
  <c r="I89" i="78"/>
  <c r="I93" i="78"/>
  <c r="G91" i="78"/>
  <c r="G87" i="78"/>
  <c r="M90" i="78"/>
  <c r="M86" i="78"/>
  <c r="M87" i="78"/>
  <c r="M91" i="78"/>
  <c r="N102" i="78"/>
  <c r="P102" i="78"/>
  <c r="O102" i="78"/>
  <c r="K109" i="78"/>
  <c r="L109" i="78"/>
  <c r="K110" i="78"/>
  <c r="L110" i="78"/>
  <c r="P113" i="78"/>
  <c r="N113" i="78"/>
  <c r="O113" i="78"/>
  <c r="N116" i="78"/>
  <c r="O116" i="78"/>
  <c r="P116" i="78"/>
  <c r="J93" i="78"/>
  <c r="J89" i="78"/>
  <c r="I86" i="78"/>
  <c r="I90" i="78"/>
  <c r="O90" i="78"/>
  <c r="P86" i="78"/>
  <c r="P90" i="78"/>
  <c r="O86" i="78"/>
  <c r="N86" i="78"/>
  <c r="N90" i="78"/>
  <c r="P87" i="78"/>
  <c r="N87" i="78"/>
  <c r="P91" i="78"/>
  <c r="N91" i="78"/>
  <c r="O91" i="78"/>
  <c r="O87" i="78"/>
  <c r="O101" i="78"/>
  <c r="P101" i="78"/>
  <c r="N101" i="78"/>
  <c r="P223" i="78"/>
  <c r="P227" i="78"/>
  <c r="O223" i="78"/>
  <c r="O227" i="78"/>
  <c r="N223" i="78"/>
  <c r="N227" i="78"/>
  <c r="M226" i="78"/>
  <c r="M230" i="78"/>
  <c r="L97" i="78"/>
  <c r="F225" i="78"/>
  <c r="F229" i="78"/>
  <c r="P226" i="78"/>
  <c r="P230" i="78"/>
  <c r="O226" i="78"/>
  <c r="O230" i="78"/>
  <c r="N226" i="78"/>
  <c r="N230" i="78"/>
  <c r="L237" i="78"/>
  <c r="K237" i="78"/>
  <c r="L244" i="78"/>
  <c r="K244" i="78"/>
  <c r="K101" i="78"/>
  <c r="F223" i="78"/>
  <c r="F227" i="78"/>
  <c r="L235" i="78"/>
  <c r="K235" i="78"/>
  <c r="N246" i="78"/>
  <c r="P246" i="78"/>
  <c r="O246" i="78"/>
  <c r="F224" i="78"/>
  <c r="F228" i="78"/>
  <c r="O233" i="78"/>
  <c r="N233" i="78"/>
  <c r="P233" i="78"/>
  <c r="P237" i="78"/>
  <c r="O237" i="78"/>
  <c r="N237" i="78"/>
  <c r="J91" i="78"/>
  <c r="J147" i="78" s="1"/>
  <c r="F230" i="78"/>
  <c r="F226" i="78"/>
  <c r="H225" i="78"/>
  <c r="H229" i="78"/>
  <c r="P234" i="78"/>
  <c r="O234" i="78"/>
  <c r="N234" i="78"/>
  <c r="P114" i="78"/>
  <c r="N114" i="78"/>
  <c r="K95" i="78"/>
  <c r="O105" i="78"/>
  <c r="L108" i="78"/>
  <c r="O114" i="78"/>
  <c r="H223" i="78"/>
  <c r="H227" i="78"/>
  <c r="P105" i="78"/>
  <c r="O115" i="78"/>
  <c r="N115" i="78"/>
  <c r="J224" i="78"/>
  <c r="J228" i="78"/>
  <c r="J225" i="78"/>
  <c r="J229" i="78"/>
  <c r="L240" i="78"/>
  <c r="K240" i="78"/>
  <c r="L249" i="78"/>
  <c r="K249" i="78"/>
  <c r="P112" i="78"/>
  <c r="N112" i="78"/>
  <c r="L99" i="78"/>
  <c r="L224" i="78"/>
  <c r="L228" i="78"/>
  <c r="K224" i="78"/>
  <c r="K228" i="78"/>
  <c r="K89" i="78"/>
  <c r="L93" i="78"/>
  <c r="K93" i="78"/>
  <c r="L89" i="78"/>
  <c r="L91" i="78"/>
  <c r="L87" i="78"/>
  <c r="K91" i="78"/>
  <c r="P111" i="78"/>
  <c r="N111" i="78"/>
  <c r="G86" i="78"/>
  <c r="G146" i="78" s="1"/>
  <c r="K115" i="78"/>
  <c r="J223" i="78"/>
  <c r="J227" i="78"/>
  <c r="M224" i="78"/>
  <c r="M228" i="78"/>
  <c r="L225" i="78"/>
  <c r="L229" i="78"/>
  <c r="K225" i="78"/>
  <c r="K229" i="78"/>
  <c r="I226" i="78"/>
  <c r="I230" i="78"/>
  <c r="N240" i="78"/>
  <c r="P240" i="78"/>
  <c r="O240" i="78"/>
  <c r="K241" i="78"/>
  <c r="L241" i="78"/>
  <c r="O108" i="78"/>
  <c r="P108" i="78"/>
  <c r="G92" i="78"/>
  <c r="G88" i="78"/>
  <c r="P115" i="78"/>
  <c r="N228" i="78"/>
  <c r="P224" i="78"/>
  <c r="O224" i="78"/>
  <c r="P228" i="78"/>
  <c r="N224" i="78"/>
  <c r="O228" i="78"/>
  <c r="P117" i="78"/>
  <c r="N117" i="78"/>
  <c r="O112" i="78"/>
  <c r="K227" i="78"/>
  <c r="L223" i="78"/>
  <c r="K223" i="78"/>
  <c r="L227" i="78"/>
  <c r="L238" i="78"/>
  <c r="K238" i="78"/>
  <c r="P239" i="78"/>
  <c r="O239" i="78"/>
  <c r="N239" i="78"/>
  <c r="L247" i="78"/>
  <c r="K247" i="78"/>
  <c r="L231" i="78"/>
  <c r="K231" i="78"/>
  <c r="P248" i="78"/>
  <c r="O248" i="78"/>
  <c r="N248" i="78"/>
  <c r="I223" i="78"/>
  <c r="I227" i="78"/>
  <c r="G224" i="78"/>
  <c r="G228" i="78"/>
  <c r="P225" i="78"/>
  <c r="P229" i="78"/>
  <c r="O225" i="78"/>
  <c r="O229" i="78"/>
  <c r="N225" i="78"/>
  <c r="N229" i="78"/>
  <c r="P253" i="78"/>
  <c r="O253" i="78"/>
  <c r="N253" i="78"/>
  <c r="K254" i="78"/>
  <c r="L254" i="78"/>
  <c r="L226" i="78"/>
  <c r="L230" i="78"/>
  <c r="K226" i="78"/>
  <c r="K230" i="78"/>
  <c r="L246" i="78"/>
  <c r="K246" i="78"/>
  <c r="N249" i="78"/>
  <c r="P249" i="78"/>
  <c r="O249" i="78"/>
  <c r="K250" i="78"/>
  <c r="L250" i="78"/>
  <c r="P241" i="78"/>
  <c r="O241" i="78"/>
  <c r="N241" i="78"/>
  <c r="P245" i="78"/>
  <c r="O245" i="78"/>
  <c r="N245" i="78"/>
  <c r="I228" i="78"/>
  <c r="I224" i="78"/>
  <c r="G225" i="78"/>
  <c r="G229" i="78"/>
  <c r="L234" i="78"/>
  <c r="K234" i="78"/>
  <c r="L251" i="78"/>
  <c r="K251" i="78"/>
  <c r="P254" i="78"/>
  <c r="O254" i="78"/>
  <c r="N254" i="78"/>
  <c r="M223" i="78"/>
  <c r="M227" i="78"/>
  <c r="N242" i="78"/>
  <c r="P242" i="78"/>
  <c r="O242" i="78"/>
  <c r="L243" i="78"/>
  <c r="K243" i="78"/>
  <c r="I225" i="78"/>
  <c r="I229" i="78"/>
  <c r="G226" i="78"/>
  <c r="G230" i="78"/>
  <c r="P247" i="78"/>
  <c r="O247" i="78"/>
  <c r="N247" i="78"/>
  <c r="N251" i="78"/>
  <c r="P251" i="78"/>
  <c r="O251" i="78"/>
  <c r="L252" i="78"/>
  <c r="K252" i="78"/>
  <c r="L232" i="78"/>
  <c r="K232" i="78"/>
  <c r="P243" i="78"/>
  <c r="O243" i="78"/>
  <c r="N243" i="78"/>
  <c r="G223" i="78"/>
  <c r="G227" i="78"/>
  <c r="H226" i="78"/>
  <c r="H230" i="78"/>
  <c r="P231" i="78"/>
  <c r="O231" i="78"/>
  <c r="N231" i="78"/>
  <c r="L236" i="78"/>
  <c r="K236" i="78"/>
  <c r="L253" i="78"/>
  <c r="K253" i="78"/>
  <c r="P244" i="78"/>
  <c r="O244" i="78"/>
  <c r="N244" i="78"/>
  <c r="P252" i="78"/>
  <c r="O252" i="78"/>
  <c r="N252" i="78"/>
  <c r="M229" i="78"/>
  <c r="M225" i="78"/>
  <c r="L233" i="78"/>
  <c r="K233" i="78"/>
  <c r="P236" i="78"/>
  <c r="O236" i="78"/>
  <c r="N236" i="78"/>
  <c r="P250" i="78"/>
  <c r="O250" i="78"/>
  <c r="N250" i="78"/>
  <c r="J226" i="78"/>
  <c r="J230" i="78"/>
  <c r="P232" i="78"/>
  <c r="O232" i="78"/>
  <c r="N232" i="78"/>
  <c r="P235" i="78"/>
  <c r="O235" i="78"/>
  <c r="N235" i="78"/>
  <c r="P238" i="78"/>
  <c r="O238" i="78"/>
  <c r="N238" i="78"/>
  <c r="L239" i="78"/>
  <c r="K239" i="78"/>
  <c r="L242" i="78"/>
  <c r="K242" i="78"/>
  <c r="K245" i="78"/>
  <c r="L245" i="78"/>
  <c r="L248" i="78"/>
  <c r="K248" i="78"/>
  <c r="L366" i="78"/>
  <c r="J364" i="78"/>
  <c r="N366" i="78"/>
  <c r="L369" i="78"/>
  <c r="N368" i="78"/>
  <c r="M368" i="78"/>
  <c r="L368" i="78"/>
  <c r="N369" i="78"/>
  <c r="M365" i="78"/>
  <c r="N365" i="78"/>
  <c r="L365" i="78"/>
  <c r="M363" i="78"/>
  <c r="N363" i="78"/>
  <c r="N362" i="78"/>
  <c r="M362" i="78"/>
  <c r="L363" i="78"/>
  <c r="E35" i="77"/>
  <c r="E94" i="77"/>
  <c r="E73" i="77"/>
  <c r="AH34" i="77"/>
  <c r="AH35" i="77"/>
  <c r="Q29" i="77"/>
  <c r="AH29" i="77"/>
  <c r="AH38" i="77"/>
  <c r="Q27" i="77"/>
  <c r="AH36" i="77"/>
  <c r="Q26" i="77"/>
  <c r="AH31" i="77"/>
  <c r="AH37" i="77"/>
  <c r="AH30" i="77"/>
  <c r="AH39" i="77"/>
  <c r="Q28" i="77"/>
  <c r="AH32" i="77"/>
  <c r="AH28" i="77"/>
  <c r="AH33" i="77"/>
  <c r="AF78" i="77"/>
  <c r="AF87" i="77"/>
  <c r="AF86" i="77"/>
  <c r="AF85" i="77"/>
  <c r="AF84" i="77"/>
  <c r="AF82" i="77"/>
  <c r="O67" i="77"/>
  <c r="AF79" i="77"/>
  <c r="AF83" i="77"/>
  <c r="AF77" i="77"/>
  <c r="O64" i="77"/>
  <c r="AF76" i="77"/>
  <c r="O66" i="77"/>
  <c r="O65" i="77"/>
  <c r="AF80" i="77"/>
  <c r="AF81" i="77"/>
  <c r="E26" i="77" a="1"/>
  <c r="E26" i="77" s="1"/>
  <c r="F26" i="77" s="1" a="1"/>
  <c r="F26" i="77" s="1"/>
  <c r="J26" i="77" s="1" a="1"/>
  <c r="J26" i="77" s="1"/>
  <c r="E28" i="77" a="1"/>
  <c r="E28" i="77" s="1"/>
  <c r="F28" i="77" s="1" a="1"/>
  <c r="F28" i="77" s="1"/>
  <c r="L28" i="77" s="1" a="1"/>
  <c r="L28" i="77" s="1"/>
  <c r="E27" i="77" a="1"/>
  <c r="E27" i="77" s="1"/>
  <c r="F27" i="77" s="1" a="1"/>
  <c r="F27" i="77" s="1"/>
  <c r="L29" i="77" a="1"/>
  <c r="L29" i="77" s="1"/>
  <c r="AC32" i="77" a="1"/>
  <c r="AC32" i="77" s="1"/>
  <c r="AB32" i="77" a="1"/>
  <c r="AB32" i="77" s="1"/>
  <c r="F34" i="76"/>
  <c r="L34" i="76"/>
  <c r="K34" i="76"/>
  <c r="N34" i="76"/>
  <c r="J34" i="76"/>
  <c r="M34" i="76"/>
  <c r="H34" i="76"/>
  <c r="V35" i="77" a="1"/>
  <c r="V35" i="77" s="1"/>
  <c r="W35" i="77" s="1" a="1"/>
  <c r="W35" i="77" s="1"/>
  <c r="K29" i="77" a="1"/>
  <c r="K29" i="77" s="1"/>
  <c r="AF149" i="77"/>
  <c r="O123" i="77"/>
  <c r="J28" i="76"/>
  <c r="J29" i="77" a="1"/>
  <c r="J29" i="77" s="1"/>
  <c r="E24" i="76"/>
  <c r="AA28" i="77" a="1"/>
  <c r="AA28" i="77" s="1"/>
  <c r="AA34" i="77" a="1"/>
  <c r="AA34" i="77" s="1"/>
  <c r="F25" i="76"/>
  <c r="E31" i="76"/>
  <c r="V31" i="77" a="1"/>
  <c r="V31" i="77" s="1"/>
  <c r="W31" i="77" s="1" a="1"/>
  <c r="W31" i="77" s="1"/>
  <c r="AB31" i="77" s="1" a="1"/>
  <c r="AB31" i="77" s="1"/>
  <c r="AA33" i="77" a="1"/>
  <c r="AA33" i="77" s="1"/>
  <c r="H25" i="76"/>
  <c r="M31" i="76"/>
  <c r="AA32" i="77" a="1"/>
  <c r="AA32" i="77" s="1"/>
  <c r="AB34" i="77" a="1"/>
  <c r="AB34" i="77" s="1"/>
  <c r="V39" i="77" a="1"/>
  <c r="V39" i="77" s="1"/>
  <c r="W39" i="77" s="1" a="1"/>
  <c r="W39" i="77" s="1"/>
  <c r="AB39" i="77" s="1" a="1"/>
  <c r="AB39" i="77" s="1"/>
  <c r="V30" i="77" a="1"/>
  <c r="V30" i="77" s="1"/>
  <c r="W30" i="77" s="1" a="1"/>
  <c r="W30" i="77" s="1"/>
  <c r="AC34" i="77" a="1"/>
  <c r="AC34" i="77" s="1"/>
  <c r="V38" i="77" a="1"/>
  <c r="V38" i="77" s="1"/>
  <c r="W38" i="77" s="1" a="1"/>
  <c r="W38" i="77" s="1"/>
  <c r="AC28" i="77" a="1"/>
  <c r="AC28" i="77" s="1"/>
  <c r="AC33" i="77" a="1"/>
  <c r="AC33" i="77" s="1"/>
  <c r="V37" i="77" a="1"/>
  <c r="V37" i="77" s="1"/>
  <c r="W37" i="77" s="1" a="1"/>
  <c r="W37" i="77" s="1"/>
  <c r="AA37" i="77" s="1" a="1"/>
  <c r="AA37" i="77" s="1"/>
  <c r="E115" i="77"/>
  <c r="V29" i="77" a="1"/>
  <c r="V29" i="77" s="1"/>
  <c r="W29" i="77" s="1" a="1"/>
  <c r="W29" i="77" s="1"/>
  <c r="O107" i="77"/>
  <c r="H29" i="76"/>
  <c r="L31" i="76"/>
  <c r="J29" i="76"/>
  <c r="G24" i="76"/>
  <c r="I24" i="76"/>
  <c r="G30" i="76"/>
  <c r="M32" i="76"/>
  <c r="M29" i="76"/>
  <c r="E28" i="76"/>
  <c r="J33" i="76"/>
  <c r="E32" i="76"/>
  <c r="L29" i="76"/>
  <c r="E30" i="76"/>
  <c r="K24" i="76"/>
  <c r="I30" i="76"/>
  <c r="G28" i="76"/>
  <c r="L30" i="76"/>
  <c r="E34" i="76"/>
  <c r="F24" i="76"/>
  <c r="H24" i="76"/>
  <c r="L24" i="76"/>
  <c r="J30" i="76"/>
  <c r="M24" i="76"/>
  <c r="F28" i="76"/>
  <c r="K30" i="76"/>
  <c r="N24" i="76"/>
  <c r="M30" i="76"/>
  <c r="K27" i="76"/>
  <c r="J27" i="76"/>
  <c r="I27" i="76"/>
  <c r="H27" i="76"/>
  <c r="E27" i="76"/>
  <c r="M27" i="76"/>
  <c r="N122" i="76"/>
  <c r="O122" i="76" s="1"/>
  <c r="G27" i="76"/>
  <c r="L27" i="76"/>
  <c r="N27" i="76"/>
  <c r="N28" i="76"/>
  <c r="M28" i="76"/>
  <c r="K28" i="76"/>
  <c r="L28" i="76"/>
  <c r="H28" i="76"/>
  <c r="L32" i="76"/>
  <c r="I32" i="76"/>
  <c r="H32" i="76"/>
  <c r="K32" i="76"/>
  <c r="J32" i="76"/>
  <c r="F32" i="76"/>
  <c r="N32" i="76"/>
  <c r="N123" i="76"/>
  <c r="O123" i="76" s="1"/>
  <c r="H26" i="76"/>
  <c r="G26" i="76"/>
  <c r="E26" i="76"/>
  <c r="F26" i="76"/>
  <c r="J26" i="76"/>
  <c r="K26" i="76"/>
  <c r="E33" i="76"/>
  <c r="L124" i="76"/>
  <c r="N29" i="76"/>
  <c r="K29" i="76"/>
  <c r="E29" i="76"/>
  <c r="L26" i="76"/>
  <c r="N121" i="76"/>
  <c r="O121" i="76" s="1"/>
  <c r="I26" i="76"/>
  <c r="K33" i="76"/>
  <c r="N33" i="76"/>
  <c r="M33" i="76"/>
  <c r="L33" i="76"/>
  <c r="I33" i="76"/>
  <c r="F33" i="76"/>
  <c r="M23" i="76"/>
  <c r="J23" i="76"/>
  <c r="L23" i="76"/>
  <c r="K23" i="76"/>
  <c r="G23" i="76"/>
  <c r="M26" i="76"/>
  <c r="F29" i="76"/>
  <c r="E23" i="76"/>
  <c r="N26" i="76"/>
  <c r="G29" i="76"/>
  <c r="I31" i="76"/>
  <c r="H31" i="76"/>
  <c r="G31" i="76"/>
  <c r="F31" i="76"/>
  <c r="K31" i="76"/>
  <c r="H33" i="76"/>
  <c r="G25" i="76"/>
  <c r="H30" i="76"/>
  <c r="M25" i="76"/>
  <c r="N30" i="76"/>
  <c r="F41" i="13"/>
  <c r="F40" i="13"/>
  <c r="E41" i="13"/>
  <c r="E40" i="13"/>
  <c r="D37" i="13" a="1"/>
  <c r="D37" i="13" s="1"/>
  <c r="F37" i="13" s="1"/>
  <c r="D48" i="13" a="1"/>
  <c r="D48" i="13" s="1"/>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X172" i="80"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78"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H25" i="101"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N69" i="76" s="1"/>
  <c r="D7" i="74" a="1"/>
  <c r="D7" i="74" s="1"/>
  <c r="D5" i="74" a="1"/>
  <c r="D5" i="74" s="1"/>
  <c r="E20" i="72"/>
  <c r="O50" i="85" l="1" a="1"/>
  <c r="R52" i="85" s="1" a="1"/>
  <c r="R52" i="85" s="1"/>
  <c r="Q29" i="96" a="1"/>
  <c r="Q29" i="96" s="1"/>
  <c r="L28" i="97" a="1"/>
  <c r="L28" i="97" s="1"/>
  <c r="I56" i="90"/>
  <c r="E148" i="79"/>
  <c r="G77" i="79"/>
  <c r="L150" i="79"/>
  <c r="J71" i="79"/>
  <c r="E165" i="79"/>
  <c r="G94" i="79"/>
  <c r="F169" i="79"/>
  <c r="F94" i="79"/>
  <c r="M164" i="79"/>
  <c r="K92" i="79"/>
  <c r="J167" i="79"/>
  <c r="J92" i="79"/>
  <c r="I147" i="79"/>
  <c r="E71" i="79"/>
  <c r="N149" i="79"/>
  <c r="K169" i="79"/>
  <c r="K148" i="76"/>
  <c r="G72" i="76"/>
  <c r="H96" i="76"/>
  <c r="I148" i="76"/>
  <c r="L96" i="76"/>
  <c r="L67" i="76"/>
  <c r="M78" i="76"/>
  <c r="H97" i="76"/>
  <c r="E148" i="76"/>
  <c r="N72" i="76"/>
  <c r="K140" i="76"/>
  <c r="G96" i="79"/>
  <c r="N62" i="79"/>
  <c r="F144" i="79"/>
  <c r="J168" i="79"/>
  <c r="M84" i="79"/>
  <c r="I164" i="79"/>
  <c r="H97" i="79"/>
  <c r="F71" i="76"/>
  <c r="I91" i="76"/>
  <c r="E166" i="76"/>
  <c r="M61" i="76"/>
  <c r="K61" i="76"/>
  <c r="I84" i="76"/>
  <c r="F28" i="81"/>
  <c r="I84" i="79"/>
  <c r="N163" i="79"/>
  <c r="E67" i="90"/>
  <c r="E104" i="89"/>
  <c r="F104" i="89" s="1" a="1"/>
  <c r="F104" i="89" s="1"/>
  <c r="E136" i="89" s="1"/>
  <c r="I14" i="90"/>
  <c r="K146" i="79"/>
  <c r="M75" i="79"/>
  <c r="J146" i="79"/>
  <c r="F70" i="79"/>
  <c r="K163" i="79"/>
  <c r="M92" i="79"/>
  <c r="L167" i="79"/>
  <c r="L92" i="79"/>
  <c r="E162" i="79"/>
  <c r="G91" i="79"/>
  <c r="F166" i="79"/>
  <c r="F91" i="79"/>
  <c r="K144" i="79"/>
  <c r="K69" i="79"/>
  <c r="J148" i="79"/>
  <c r="F171" i="79"/>
  <c r="G147" i="76"/>
  <c r="M70" i="76"/>
  <c r="J93" i="76"/>
  <c r="G144" i="76"/>
  <c r="F171" i="76"/>
  <c r="K169" i="76"/>
  <c r="I77" i="76"/>
  <c r="N95" i="76"/>
  <c r="K146" i="76"/>
  <c r="K96" i="76"/>
  <c r="G139" i="76"/>
  <c r="M71" i="79"/>
  <c r="L146" i="79"/>
  <c r="L134" i="79"/>
  <c r="J165" i="79"/>
  <c r="I83" i="79"/>
  <c r="I156" i="79"/>
  <c r="I157" i="76"/>
  <c r="H67" i="76"/>
  <c r="K86" i="76"/>
  <c r="F158" i="76"/>
  <c r="N146" i="76"/>
  <c r="L168" i="76"/>
  <c r="E83" i="76"/>
  <c r="J67" i="79"/>
  <c r="G167" i="79"/>
  <c r="G145" i="79"/>
  <c r="E73" i="79"/>
  <c r="F145" i="79"/>
  <c r="L68" i="79"/>
  <c r="G162" i="79"/>
  <c r="I91" i="79"/>
  <c r="H166" i="79"/>
  <c r="H78" i="79"/>
  <c r="I150" i="79"/>
  <c r="M89" i="79"/>
  <c r="L164" i="79"/>
  <c r="L89" i="79"/>
  <c r="G143" i="79"/>
  <c r="G68" i="79"/>
  <c r="F147" i="79"/>
  <c r="H148" i="79"/>
  <c r="M145" i="76"/>
  <c r="I69" i="76"/>
  <c r="F92" i="76"/>
  <c r="I141" i="76"/>
  <c r="H168" i="76"/>
  <c r="G168" i="76"/>
  <c r="E76" i="76"/>
  <c r="F93" i="76"/>
  <c r="E141" i="76"/>
  <c r="E165" i="76"/>
  <c r="K99" i="76"/>
  <c r="I64" i="79"/>
  <c r="M165" i="79"/>
  <c r="H133" i="79"/>
  <c r="F158" i="79"/>
  <c r="F69" i="79"/>
  <c r="M142" i="79"/>
  <c r="E149" i="76"/>
  <c r="J62" i="76"/>
  <c r="E78" i="76"/>
  <c r="J147" i="76"/>
  <c r="F68" i="76"/>
  <c r="N90" i="76"/>
  <c r="M62" i="76"/>
  <c r="J141" i="79"/>
  <c r="M143" i="79"/>
  <c r="G70" i="79"/>
  <c r="L143" i="79"/>
  <c r="H67" i="79"/>
  <c r="K150" i="79"/>
  <c r="E90" i="79"/>
  <c r="J163" i="79"/>
  <c r="F74" i="79"/>
  <c r="E149" i="79"/>
  <c r="G78" i="79"/>
  <c r="H163" i="79"/>
  <c r="N73" i="79"/>
  <c r="M141" i="79"/>
  <c r="N172" i="79"/>
  <c r="L145" i="79"/>
  <c r="L94" i="79"/>
  <c r="I144" i="76"/>
  <c r="E68" i="76"/>
  <c r="L90" i="76"/>
  <c r="E140" i="76"/>
  <c r="J165" i="76"/>
  <c r="M166" i="76"/>
  <c r="I70" i="76"/>
  <c r="L91" i="76"/>
  <c r="G97" i="76"/>
  <c r="K163" i="76"/>
  <c r="I75" i="76"/>
  <c r="E63" i="79"/>
  <c r="G144" i="79"/>
  <c r="N98" i="79"/>
  <c r="F143" i="79"/>
  <c r="M63" i="79"/>
  <c r="M139" i="79"/>
  <c r="E146" i="76"/>
  <c r="F163" i="76"/>
  <c r="E70" i="76"/>
  <c r="L143" i="76"/>
  <c r="M171" i="76"/>
  <c r="M167" i="76"/>
  <c r="N142" i="76"/>
  <c r="N147" i="79"/>
  <c r="N144" i="79"/>
  <c r="I100" i="79"/>
  <c r="J157" i="79"/>
  <c r="I96" i="79"/>
  <c r="J91" i="76"/>
  <c r="D170" i="74"/>
  <c r="I33" i="83"/>
  <c r="J37" i="101"/>
  <c r="L148" i="79"/>
  <c r="E141" i="79"/>
  <c r="M68" i="79"/>
  <c r="H142" i="79"/>
  <c r="H147" i="79"/>
  <c r="G149" i="79"/>
  <c r="I78" i="79"/>
  <c r="J150" i="79"/>
  <c r="L72" i="79"/>
  <c r="K147" i="79"/>
  <c r="M76" i="79"/>
  <c r="N161" i="79"/>
  <c r="F71" i="79"/>
  <c r="E139" i="79"/>
  <c r="F170" i="79"/>
  <c r="N94" i="79"/>
  <c r="H93" i="79"/>
  <c r="E143" i="76"/>
  <c r="L172" i="76"/>
  <c r="H76" i="76"/>
  <c r="I100" i="76"/>
  <c r="H161" i="76"/>
  <c r="I165" i="76"/>
  <c r="K67" i="76"/>
  <c r="L78" i="76"/>
  <c r="M95" i="76"/>
  <c r="M140" i="76"/>
  <c r="E74" i="76"/>
  <c r="I172" i="79"/>
  <c r="G141" i="79"/>
  <c r="F85" i="79"/>
  <c r="N97" i="79"/>
  <c r="F141" i="79"/>
  <c r="I89" i="79"/>
  <c r="K95" i="76"/>
  <c r="M148" i="76"/>
  <c r="F172" i="76"/>
  <c r="N84" i="76"/>
  <c r="N136" i="76"/>
  <c r="H143" i="76"/>
  <c r="F156" i="76"/>
  <c r="J77" i="79"/>
  <c r="E76" i="79"/>
  <c r="G63" i="79"/>
  <c r="J96" i="79"/>
  <c r="J134" i="76"/>
  <c r="N29" i="96" a="1"/>
  <c r="N29" i="96" s="1"/>
  <c r="G172" i="79"/>
  <c r="E100" i="79"/>
  <c r="I67" i="79"/>
  <c r="J139" i="79"/>
  <c r="N70" i="79"/>
  <c r="M147" i="79"/>
  <c r="E77" i="79"/>
  <c r="L147" i="79"/>
  <c r="H71" i="79"/>
  <c r="G146" i="79"/>
  <c r="I75" i="79"/>
  <c r="N148" i="79"/>
  <c r="L69" i="79"/>
  <c r="M100" i="79"/>
  <c r="I69" i="79"/>
  <c r="K172" i="79"/>
  <c r="N91" i="79"/>
  <c r="G140" i="76"/>
  <c r="J168" i="76"/>
  <c r="L70" i="76"/>
  <c r="E99" i="76"/>
  <c r="H148" i="76"/>
  <c r="K162" i="76"/>
  <c r="N170" i="76"/>
  <c r="H77" i="76"/>
  <c r="I94" i="76"/>
  <c r="I72" i="76"/>
  <c r="K72" i="76"/>
  <c r="N162" i="79"/>
  <c r="G136" i="79"/>
  <c r="M156" i="79"/>
  <c r="J83" i="79"/>
  <c r="J156" i="79"/>
  <c r="K63" i="79"/>
  <c r="E64" i="76"/>
  <c r="I95" i="76"/>
  <c r="I155" i="76"/>
  <c r="H63" i="76"/>
  <c r="F90" i="76"/>
  <c r="N92" i="76"/>
  <c r="L133" i="76"/>
  <c r="N68" i="79"/>
  <c r="E89" i="79"/>
  <c r="D19" i="89"/>
  <c r="F19" i="89" s="1" a="1"/>
  <c r="F19" i="89" s="1"/>
  <c r="G19" i="89" s="1" a="1"/>
  <c r="G19" i="89" s="1"/>
  <c r="F31" i="89" a="1"/>
  <c r="F31" i="89" s="1"/>
  <c r="G31" i="89" s="1" a="1"/>
  <c r="G31" i="89" s="1"/>
  <c r="F24" i="89" a="1"/>
  <c r="F24" i="89" s="1"/>
  <c r="G24" i="89" s="1" a="1"/>
  <c r="G24" i="89" s="1"/>
  <c r="F37" i="89" a="1"/>
  <c r="F37" i="89" s="1"/>
  <c r="G37" i="89" s="1" a="1"/>
  <c r="G37" i="89" s="1"/>
  <c r="F30" i="89" a="1"/>
  <c r="F30" i="89" s="1"/>
  <c r="G30" i="89" s="1" a="1"/>
  <c r="G30" i="89" s="1"/>
  <c r="F23" i="89" a="1"/>
  <c r="F23" i="89" s="1"/>
  <c r="G23" i="89" s="1" a="1"/>
  <c r="G23" i="89" s="1"/>
  <c r="F36" i="89" a="1"/>
  <c r="F36" i="89" s="1"/>
  <c r="G36" i="89" s="1" a="1"/>
  <c r="G36" i="89" s="1"/>
  <c r="F29" i="89" a="1"/>
  <c r="F29" i="89" s="1"/>
  <c r="G29" i="89" s="1" a="1"/>
  <c r="G29" i="89" s="1"/>
  <c r="F22" i="89" a="1"/>
  <c r="F22" i="89" s="1"/>
  <c r="G22" i="89" s="1" a="1"/>
  <c r="G22" i="89" s="1"/>
  <c r="F35" i="89" a="1"/>
  <c r="F35" i="89" s="1"/>
  <c r="G35" i="89" s="1" a="1"/>
  <c r="G35" i="89" s="1"/>
  <c r="F28" i="89" a="1"/>
  <c r="F28" i="89" s="1"/>
  <c r="G28" i="89" s="1" a="1"/>
  <c r="G28" i="89" s="1"/>
  <c r="F21" i="89" a="1"/>
  <c r="F21" i="89" s="1"/>
  <c r="G21" i="89" s="1" a="1"/>
  <c r="G21" i="89" s="1"/>
  <c r="F34" i="89" a="1"/>
  <c r="F34" i="89" s="1"/>
  <c r="G34" i="89" s="1" a="1"/>
  <c r="G34" i="89" s="1"/>
  <c r="F27" i="89" a="1"/>
  <c r="F27" i="89" s="1"/>
  <c r="G27" i="89" s="1" a="1"/>
  <c r="G27" i="89" s="1"/>
  <c r="F20" i="89" a="1"/>
  <c r="F20" i="89" s="1"/>
  <c r="G20" i="89" s="1" a="1"/>
  <c r="G20" i="89" s="1"/>
  <c r="F33" i="89" a="1"/>
  <c r="F33" i="89" s="1"/>
  <c r="G33" i="89" s="1" a="1"/>
  <c r="G33" i="89" s="1"/>
  <c r="F26" i="89" a="1"/>
  <c r="F26" i="89" s="1"/>
  <c r="G26" i="89" s="1" a="1"/>
  <c r="G26" i="89" s="1"/>
  <c r="F32" i="89" a="1"/>
  <c r="F32" i="89" s="1"/>
  <c r="G32" i="89" s="1" a="1"/>
  <c r="G32" i="89" s="1"/>
  <c r="F25" i="89" a="1"/>
  <c r="F25" i="89" s="1"/>
  <c r="G25" i="89" s="1" a="1"/>
  <c r="G25" i="89" s="1"/>
  <c r="N76" i="79"/>
  <c r="K141" i="79"/>
  <c r="E72" i="79"/>
  <c r="F148" i="79"/>
  <c r="V20" i="84"/>
  <c r="I20" i="84"/>
  <c r="N83" i="76"/>
  <c r="I169" i="79"/>
  <c r="K98" i="79"/>
  <c r="F150" i="79"/>
  <c r="J98" i="79"/>
  <c r="F68" i="79"/>
  <c r="I146" i="79"/>
  <c r="G74" i="79"/>
  <c r="H146" i="79"/>
  <c r="N69" i="79"/>
  <c r="M144" i="79"/>
  <c r="E74" i="79"/>
  <c r="L144" i="79"/>
  <c r="H68" i="79"/>
  <c r="I99" i="79"/>
  <c r="M67" i="79"/>
  <c r="M169" i="79"/>
  <c r="J90" i="79"/>
  <c r="K100" i="76"/>
  <c r="F167" i="76"/>
  <c r="H69" i="76"/>
  <c r="I93" i="76"/>
  <c r="H141" i="76"/>
  <c r="G161" i="76"/>
  <c r="L166" i="76"/>
  <c r="N75" i="76"/>
  <c r="G90" i="76"/>
  <c r="J163" i="76"/>
  <c r="J28" i="81"/>
  <c r="J158" i="79"/>
  <c r="M134" i="79"/>
  <c r="I155" i="79"/>
  <c r="J76" i="79"/>
  <c r="N142" i="79"/>
  <c r="G62" i="79"/>
  <c r="K62" i="76"/>
  <c r="M86" i="76"/>
  <c r="K147" i="76"/>
  <c r="N61" i="76"/>
  <c r="F86" i="76"/>
  <c r="J84" i="76"/>
  <c r="L89" i="76"/>
  <c r="L161" i="76"/>
  <c r="H99" i="79"/>
  <c r="F78" i="76"/>
  <c r="L158" i="79"/>
  <c r="F136" i="76"/>
  <c r="Q43" i="100"/>
  <c r="G247" i="80"/>
  <c r="G43" i="100"/>
  <c r="P91" i="85"/>
  <c r="G83" i="85"/>
  <c r="P39" i="83"/>
  <c r="Z279" i="80"/>
  <c r="G97" i="90"/>
  <c r="G39" i="83"/>
  <c r="X164" i="77"/>
  <c r="Q38" i="82"/>
  <c r="G131" i="77"/>
  <c r="Q51" i="101"/>
  <c r="G53" i="87"/>
  <c r="G38" i="82"/>
  <c r="G51" i="101"/>
  <c r="X270" i="81"/>
  <c r="G82" i="89"/>
  <c r="G232" i="81"/>
  <c r="G149" i="89"/>
  <c r="K166" i="79"/>
  <c r="G97" i="79"/>
  <c r="E68" i="79"/>
  <c r="F97" i="79"/>
  <c r="K93" i="79"/>
  <c r="E145" i="79"/>
  <c r="I71" i="79"/>
  <c r="J143" i="79"/>
  <c r="J68" i="79"/>
  <c r="I143" i="79"/>
  <c r="K72" i="79"/>
  <c r="J140" i="79"/>
  <c r="H92" i="79"/>
  <c r="E98" i="79"/>
  <c r="I145" i="79"/>
  <c r="M149" i="79"/>
  <c r="L67" i="79"/>
  <c r="G99" i="76"/>
  <c r="J161" i="76"/>
  <c r="N140" i="76"/>
  <c r="E92" i="76"/>
  <c r="H100" i="76"/>
  <c r="M146" i="76"/>
  <c r="H165" i="76"/>
  <c r="N68" i="76"/>
  <c r="G77" i="76"/>
  <c r="F162" i="76"/>
  <c r="E28" i="81"/>
  <c r="F157" i="79"/>
  <c r="K86" i="79"/>
  <c r="G140" i="79"/>
  <c r="J73" i="79"/>
  <c r="N139" i="79"/>
  <c r="H167" i="79"/>
  <c r="J164" i="76"/>
  <c r="I85" i="76"/>
  <c r="K144" i="76"/>
  <c r="J171" i="76"/>
  <c r="G75" i="76"/>
  <c r="J68" i="76"/>
  <c r="L85" i="76"/>
  <c r="E75" i="79"/>
  <c r="O50" i="85"/>
  <c r="W50" i="85" s="1"/>
  <c r="S51" i="85" a="1"/>
  <c r="S51" i="85" s="1"/>
  <c r="T51" i="85"/>
  <c r="N78" i="76"/>
  <c r="E83" i="79"/>
  <c r="F64" i="79"/>
  <c r="H62" i="76"/>
  <c r="D8" i="78"/>
  <c r="I29" i="82"/>
  <c r="I50" i="85"/>
  <c r="J50" i="89"/>
  <c r="I125" i="89"/>
  <c r="G165" i="79"/>
  <c r="M95" i="79"/>
  <c r="F172" i="79"/>
  <c r="L95" i="79"/>
  <c r="G92" i="79"/>
  <c r="G142" i="79"/>
  <c r="E70" i="79"/>
  <c r="F142" i="79"/>
  <c r="F67" i="79"/>
  <c r="E142" i="79"/>
  <c r="G71" i="79"/>
  <c r="F139" i="79"/>
  <c r="K171" i="79"/>
  <c r="K96" i="79"/>
  <c r="I171" i="79"/>
  <c r="E147" i="79"/>
  <c r="L150" i="76"/>
  <c r="M97" i="76"/>
  <c r="F147" i="76"/>
  <c r="H74" i="76"/>
  <c r="K90" i="76"/>
  <c r="N98" i="76"/>
  <c r="K142" i="76"/>
  <c r="N163" i="76"/>
  <c r="G172" i="76"/>
  <c r="M75" i="76"/>
  <c r="J150" i="76"/>
  <c r="N134" i="79"/>
  <c r="G85" i="79"/>
  <c r="E136" i="79"/>
  <c r="J62" i="79"/>
  <c r="L135" i="79"/>
  <c r="H161" i="79"/>
  <c r="H140" i="76"/>
  <c r="E84" i="76"/>
  <c r="I140" i="76"/>
  <c r="N168" i="76"/>
  <c r="H163" i="76"/>
  <c r="H64" i="76"/>
  <c r="H84" i="76"/>
  <c r="F75" i="79"/>
  <c r="I135" i="79"/>
  <c r="N133" i="79"/>
  <c r="F85" i="76"/>
  <c r="W52" i="85"/>
  <c r="M163" i="79"/>
  <c r="I94" i="79"/>
  <c r="L170" i="79"/>
  <c r="H94" i="79"/>
  <c r="M90" i="79"/>
  <c r="I139" i="79"/>
  <c r="K68" i="79"/>
  <c r="L140" i="79"/>
  <c r="L93" i="79"/>
  <c r="K140" i="79"/>
  <c r="E67" i="79"/>
  <c r="N100" i="79"/>
  <c r="M168" i="79"/>
  <c r="M93" i="79"/>
  <c r="G147" i="79"/>
  <c r="K145" i="79"/>
  <c r="M172" i="76"/>
  <c r="I96" i="76"/>
  <c r="H144" i="76"/>
  <c r="K172" i="76"/>
  <c r="M74" i="76"/>
  <c r="F96" i="76"/>
  <c r="G100" i="76"/>
  <c r="N150" i="76"/>
  <c r="E168" i="76"/>
  <c r="E73" i="76"/>
  <c r="H139" i="76"/>
  <c r="K158" i="79"/>
  <c r="H85" i="79"/>
  <c r="M83" i="79"/>
  <c r="G133" i="79"/>
  <c r="I168" i="79"/>
  <c r="L100" i="79"/>
  <c r="H156" i="79"/>
  <c r="J76" i="76"/>
  <c r="M63" i="76"/>
  <c r="I86" i="76"/>
  <c r="G155" i="76"/>
  <c r="I156" i="76"/>
  <c r="J61" i="76"/>
  <c r="H68" i="76"/>
  <c r="G26" i="96" a="1"/>
  <c r="G26" i="96" s="1"/>
  <c r="N26" i="96" s="1" a="1"/>
  <c r="N26" i="96" s="1"/>
  <c r="J26" i="96" a="1"/>
  <c r="J26" i="96" s="1"/>
  <c r="H26" i="96" a="1"/>
  <c r="H26" i="96" s="1"/>
  <c r="G164" i="79"/>
  <c r="J144" i="79"/>
  <c r="F63" i="76"/>
  <c r="I162" i="79"/>
  <c r="E93" i="79"/>
  <c r="H169" i="79"/>
  <c r="J91" i="79"/>
  <c r="E172" i="79"/>
  <c r="M99" i="79"/>
  <c r="G67" i="79"/>
  <c r="H139" i="79"/>
  <c r="M171" i="79"/>
  <c r="G139" i="79"/>
  <c r="N90" i="79"/>
  <c r="J99" i="79"/>
  <c r="I167" i="79"/>
  <c r="I92" i="79"/>
  <c r="M145" i="79"/>
  <c r="M94" i="79"/>
  <c r="E170" i="76"/>
  <c r="M90" i="76"/>
  <c r="J141" i="76"/>
  <c r="G171" i="76"/>
  <c r="E72" i="76"/>
  <c r="H93" i="76"/>
  <c r="I97" i="76"/>
  <c r="J149" i="76"/>
  <c r="K166" i="76"/>
  <c r="M68" i="76"/>
  <c r="L99" i="76"/>
  <c r="G157" i="79"/>
  <c r="N83" i="79"/>
  <c r="G64" i="79"/>
  <c r="M98" i="79"/>
  <c r="I165" i="79"/>
  <c r="J89" i="79"/>
  <c r="E150" i="79"/>
  <c r="I170" i="76"/>
  <c r="G170" i="76"/>
  <c r="E85" i="76"/>
  <c r="I147" i="76"/>
  <c r="E155" i="76"/>
  <c r="L170" i="76"/>
  <c r="F64" i="76"/>
  <c r="H145" i="79"/>
  <c r="K37" i="97"/>
  <c r="Q37" i="97" s="1" a="1"/>
  <c r="Q37" i="97" s="1"/>
  <c r="J37" i="97"/>
  <c r="I37" i="97"/>
  <c r="H37" i="97"/>
  <c r="G37" i="97"/>
  <c r="M61" i="79"/>
  <c r="N158" i="79"/>
  <c r="N64" i="76"/>
  <c r="N145" i="76"/>
  <c r="H133" i="76"/>
  <c r="J63" i="76"/>
  <c r="L61" i="76"/>
  <c r="F93" i="79"/>
  <c r="E180" i="79"/>
  <c r="E165" i="80" s="1"/>
  <c r="G161" i="79"/>
  <c r="L68" i="76"/>
  <c r="N156" i="76"/>
  <c r="N141" i="76"/>
  <c r="J158" i="76"/>
  <c r="N169" i="76"/>
  <c r="J149" i="79"/>
  <c r="F164" i="79"/>
  <c r="M146" i="79"/>
  <c r="L141" i="79"/>
  <c r="I157" i="79"/>
  <c r="N166" i="79"/>
  <c r="N95" i="79"/>
  <c r="E77" i="76"/>
  <c r="N89" i="79"/>
  <c r="L141" i="76"/>
  <c r="F135" i="76"/>
  <c r="G64" i="76"/>
  <c r="G149" i="76"/>
  <c r="N85" i="76"/>
  <c r="K171" i="76"/>
  <c r="M93" i="76"/>
  <c r="H83" i="76"/>
  <c r="K164" i="76"/>
  <c r="G86" i="76"/>
  <c r="N171" i="76"/>
  <c r="H134" i="76"/>
  <c r="N94" i="76"/>
  <c r="I134" i="76"/>
  <c r="F150" i="76"/>
  <c r="M141" i="76"/>
  <c r="G67" i="76"/>
  <c r="M155" i="76"/>
  <c r="N86" i="76"/>
  <c r="F75" i="76"/>
  <c r="K89" i="76"/>
  <c r="J162" i="79"/>
  <c r="N136" i="79"/>
  <c r="K84" i="79"/>
  <c r="G168" i="79"/>
  <c r="L97" i="79"/>
  <c r="N71" i="76"/>
  <c r="F133" i="76"/>
  <c r="H85" i="76"/>
  <c r="L134" i="76"/>
  <c r="H94" i="76"/>
  <c r="N155" i="79"/>
  <c r="E134" i="79"/>
  <c r="L133" i="79"/>
  <c r="M136" i="79"/>
  <c r="F156" i="79"/>
  <c r="N150" i="79"/>
  <c r="F89" i="79"/>
  <c r="F168" i="79"/>
  <c r="N165" i="76"/>
  <c r="J136" i="76"/>
  <c r="I68" i="76"/>
  <c r="G156" i="76"/>
  <c r="N89" i="76"/>
  <c r="F143" i="76"/>
  <c r="I99" i="76"/>
  <c r="L84" i="76"/>
  <c r="M168" i="76"/>
  <c r="E91" i="76"/>
  <c r="L93" i="76"/>
  <c r="L135" i="76"/>
  <c r="L148" i="76"/>
  <c r="M135" i="76"/>
  <c r="G62" i="76"/>
  <c r="M144" i="76"/>
  <c r="E71" i="76"/>
  <c r="G157" i="76"/>
  <c r="J92" i="76"/>
  <c r="N139" i="76"/>
  <c r="K92" i="76"/>
  <c r="F62" i="79"/>
  <c r="L142" i="79"/>
  <c r="G89" i="79"/>
  <c r="F67" i="76"/>
  <c r="I97" i="79"/>
  <c r="L147" i="76"/>
  <c r="G169" i="76"/>
  <c r="N96" i="79"/>
  <c r="K149" i="79"/>
  <c r="N86" i="79"/>
  <c r="K85" i="79"/>
  <c r="L136" i="79"/>
  <c r="E156" i="79"/>
  <c r="F73" i="79"/>
  <c r="G100" i="79"/>
  <c r="G74" i="76"/>
  <c r="N171" i="79"/>
  <c r="H71" i="76"/>
  <c r="J157" i="76"/>
  <c r="M89" i="76"/>
  <c r="H167" i="76"/>
  <c r="L136" i="76"/>
  <c r="E63" i="76"/>
  <c r="I146" i="76"/>
  <c r="F134" i="76"/>
  <c r="F170" i="76"/>
  <c r="E139" i="76"/>
  <c r="L69" i="76"/>
  <c r="L156" i="76"/>
  <c r="M69" i="76"/>
  <c r="M156" i="76"/>
  <c r="M83" i="76"/>
  <c r="H166" i="76"/>
  <c r="I92" i="76"/>
  <c r="F61" i="76"/>
  <c r="F142" i="76"/>
  <c r="G61" i="76"/>
  <c r="G142" i="76"/>
  <c r="F83" i="79"/>
  <c r="H164" i="79"/>
  <c r="K135" i="79"/>
  <c r="L63" i="79"/>
  <c r="F155" i="79"/>
  <c r="I76" i="79"/>
  <c r="K161" i="79"/>
  <c r="F133" i="79"/>
  <c r="K62" i="79"/>
  <c r="E144" i="79"/>
  <c r="F136" i="79"/>
  <c r="K77" i="79"/>
  <c r="M162" i="79"/>
  <c r="L86" i="79"/>
  <c r="K61" i="79"/>
  <c r="I141" i="79"/>
  <c r="L28" i="81"/>
  <c r="M164" i="76"/>
  <c r="N164" i="76"/>
  <c r="K75" i="76"/>
  <c r="I74" i="76"/>
  <c r="I142" i="76"/>
  <c r="M170" i="76"/>
  <c r="J94" i="76"/>
  <c r="F161" i="76"/>
  <c r="K74" i="76"/>
  <c r="G141" i="76"/>
  <c r="E171" i="76"/>
  <c r="J97" i="76"/>
  <c r="L169" i="76"/>
  <c r="K77" i="76"/>
  <c r="K145" i="76"/>
  <c r="F77" i="76"/>
  <c r="L97" i="76"/>
  <c r="H171" i="76"/>
  <c r="E95" i="76"/>
  <c r="E163" i="76"/>
  <c r="J145" i="79"/>
  <c r="I148" i="79"/>
  <c r="H171" i="79"/>
  <c r="J171" i="79"/>
  <c r="G95" i="79"/>
  <c r="M161" i="79"/>
  <c r="H75" i="79"/>
  <c r="N141" i="79"/>
  <c r="J170" i="76"/>
  <c r="L144" i="76"/>
  <c r="N135" i="76"/>
  <c r="F135" i="79"/>
  <c r="M85" i="79"/>
  <c r="J85" i="79"/>
  <c r="K136" i="79"/>
  <c r="J70" i="79"/>
  <c r="L139" i="79"/>
  <c r="J169" i="79"/>
  <c r="L73" i="76"/>
  <c r="L92" i="76"/>
  <c r="N166" i="76"/>
  <c r="K136" i="76"/>
  <c r="J71" i="76"/>
  <c r="L157" i="76"/>
  <c r="K84" i="76"/>
  <c r="N167" i="76"/>
  <c r="F155" i="76"/>
  <c r="H75" i="76"/>
  <c r="E158" i="76"/>
  <c r="F91" i="76"/>
  <c r="J69" i="76"/>
  <c r="G91" i="76"/>
  <c r="E180" i="76"/>
  <c r="G133" i="76"/>
  <c r="E61" i="76"/>
  <c r="E142" i="76"/>
  <c r="H78" i="76"/>
  <c r="L158" i="76"/>
  <c r="I78" i="76"/>
  <c r="M158" i="76"/>
  <c r="J100" i="79"/>
  <c r="G73" i="79"/>
  <c r="M157" i="79"/>
  <c r="L84" i="79"/>
  <c r="H168" i="79"/>
  <c r="M97" i="79"/>
  <c r="N63" i="79"/>
  <c r="H155" i="79"/>
  <c r="K83" i="79"/>
  <c r="K165" i="79"/>
  <c r="H158" i="79"/>
  <c r="E99" i="79"/>
  <c r="N170" i="79"/>
  <c r="H136" i="79"/>
  <c r="M77" i="79"/>
  <c r="E163" i="79"/>
  <c r="M76" i="76"/>
  <c r="N76" i="76"/>
  <c r="M99" i="76"/>
  <c r="J72" i="76"/>
  <c r="K91" i="76"/>
  <c r="I149" i="76"/>
  <c r="L71" i="76"/>
  <c r="L139" i="76"/>
  <c r="F168" i="76"/>
  <c r="I90" i="76"/>
  <c r="G148" i="76"/>
  <c r="H73" i="76"/>
  <c r="F144" i="76"/>
  <c r="N99" i="76"/>
  <c r="M94" i="76"/>
  <c r="M162" i="76"/>
  <c r="J73" i="76"/>
  <c r="L166" i="79"/>
  <c r="F157" i="76"/>
  <c r="J86" i="76"/>
  <c r="L83" i="76"/>
  <c r="H69" i="79"/>
  <c r="K64" i="79"/>
  <c r="I63" i="79"/>
  <c r="F63" i="79"/>
  <c r="G84" i="79"/>
  <c r="J94" i="79"/>
  <c r="M28" i="81"/>
  <c r="H99" i="76"/>
  <c r="N97" i="76"/>
  <c r="L95" i="76"/>
  <c r="I61" i="76"/>
  <c r="G143" i="76"/>
  <c r="F83" i="76"/>
  <c r="G163" i="76"/>
  <c r="E86" i="76"/>
  <c r="L171" i="76"/>
  <c r="J156" i="76"/>
  <c r="I83" i="76"/>
  <c r="L164" i="76"/>
  <c r="F94" i="76"/>
  <c r="H147" i="76"/>
  <c r="G94" i="76"/>
  <c r="H72" i="76"/>
  <c r="K134" i="76"/>
  <c r="I62" i="76"/>
  <c r="E145" i="76"/>
  <c r="F84" i="76"/>
  <c r="I167" i="76"/>
  <c r="G84" i="76"/>
  <c r="J167" i="76"/>
  <c r="F134" i="79"/>
  <c r="G76" i="79"/>
  <c r="I161" i="79"/>
  <c r="F86" i="79"/>
  <c r="F100" i="79"/>
  <c r="E133" i="79"/>
  <c r="G69" i="79"/>
  <c r="L156" i="79"/>
  <c r="E85" i="79"/>
  <c r="K168" i="79"/>
  <c r="L162" i="79"/>
  <c r="I133" i="79"/>
  <c r="J61" i="79"/>
  <c r="H141" i="79"/>
  <c r="E84" i="79"/>
  <c r="M166" i="79"/>
  <c r="M96" i="76"/>
  <c r="N96" i="76"/>
  <c r="I139" i="76"/>
  <c r="N73" i="76"/>
  <c r="E93" i="76"/>
  <c r="M150" i="76"/>
  <c r="F73" i="76"/>
  <c r="F141" i="76"/>
  <c r="J169" i="76"/>
  <c r="M91" i="76"/>
  <c r="K149" i="76"/>
  <c r="L74" i="76"/>
  <c r="J145" i="76"/>
  <c r="H162" i="76"/>
  <c r="G96" i="76"/>
  <c r="G164" i="76"/>
  <c r="N74" i="76"/>
  <c r="L145" i="76"/>
  <c r="K73" i="76"/>
  <c r="K141" i="76"/>
  <c r="I171" i="76"/>
  <c r="J172" i="79"/>
  <c r="F92" i="79"/>
  <c r="E170" i="79"/>
  <c r="M73" i="79"/>
  <c r="I140" i="79"/>
  <c r="G170" i="79"/>
  <c r="N93" i="79"/>
  <c r="H150" i="79"/>
  <c r="F95" i="76"/>
  <c r="N91" i="76"/>
  <c r="N147" i="76"/>
  <c r="H158" i="76"/>
  <c r="M64" i="79"/>
  <c r="M133" i="79"/>
  <c r="H157" i="79"/>
  <c r="J89" i="76"/>
  <c r="J142" i="79"/>
  <c r="N77" i="79"/>
  <c r="F149" i="76"/>
  <c r="G135" i="76"/>
  <c r="H135" i="76"/>
  <c r="E90" i="76"/>
  <c r="J135" i="76"/>
  <c r="E94" i="76"/>
  <c r="J83" i="76"/>
  <c r="E62" i="76"/>
  <c r="F169" i="76"/>
  <c r="E157" i="76"/>
  <c r="G136" i="76"/>
  <c r="H136" i="76"/>
  <c r="K85" i="76"/>
  <c r="J84" i="79"/>
  <c r="E86" i="79"/>
  <c r="H62" i="79"/>
  <c r="J164" i="79"/>
  <c r="E140" i="79"/>
  <c r="G93" i="79"/>
  <c r="I70" i="79"/>
  <c r="L83" i="79"/>
  <c r="M62" i="79"/>
  <c r="I158" i="79"/>
  <c r="J133" i="79"/>
  <c r="M86" i="79"/>
  <c r="I28" i="81"/>
  <c r="G150" i="76"/>
  <c r="I98" i="76"/>
  <c r="I67" i="76"/>
  <c r="K139" i="76"/>
  <c r="J67" i="76"/>
  <c r="J142" i="76"/>
  <c r="E69" i="76"/>
  <c r="M139" i="76"/>
  <c r="F69" i="76"/>
  <c r="L149" i="76"/>
  <c r="I73" i="76"/>
  <c r="E147" i="76"/>
  <c r="F72" i="76"/>
  <c r="J148" i="76"/>
  <c r="I89" i="76"/>
  <c r="E150" i="76"/>
  <c r="N146" i="79"/>
  <c r="G171" i="79"/>
  <c r="K148" i="79"/>
  <c r="K76" i="79"/>
  <c r="E146" i="79"/>
  <c r="J72" i="79"/>
  <c r="H143" i="79"/>
  <c r="F95" i="79"/>
  <c r="I95" i="79"/>
  <c r="I163" i="79"/>
  <c r="J75" i="79"/>
  <c r="F149" i="79"/>
  <c r="M72" i="79"/>
  <c r="M140" i="79"/>
  <c r="K170" i="79"/>
  <c r="L75" i="79"/>
  <c r="H149" i="79"/>
  <c r="K71" i="79"/>
  <c r="K139" i="79"/>
  <c r="E168" i="79"/>
  <c r="N149" i="76"/>
  <c r="H91" i="76"/>
  <c r="J64" i="76"/>
  <c r="F70" i="76"/>
  <c r="H172" i="79"/>
  <c r="E164" i="79"/>
  <c r="L85" i="79"/>
  <c r="E62" i="79"/>
  <c r="N77" i="76"/>
  <c r="N158" i="76"/>
  <c r="K157" i="76"/>
  <c r="H146" i="76"/>
  <c r="I135" i="76"/>
  <c r="J143" i="76"/>
  <c r="G134" i="76"/>
  <c r="H86" i="76"/>
  <c r="M64" i="76"/>
  <c r="J96" i="76"/>
  <c r="H169" i="76"/>
  <c r="K158" i="76"/>
  <c r="N148" i="76"/>
  <c r="K133" i="76"/>
  <c r="H89" i="79"/>
  <c r="K97" i="79"/>
  <c r="H73" i="79"/>
  <c r="H165" i="79"/>
  <c r="G155" i="79"/>
  <c r="J134" i="79"/>
  <c r="I77" i="79"/>
  <c r="J86" i="79"/>
  <c r="K70" i="79"/>
  <c r="E171" i="79"/>
  <c r="H144" i="79"/>
  <c r="G99" i="79"/>
  <c r="K28" i="81"/>
  <c r="F74" i="76"/>
  <c r="K150" i="76"/>
  <c r="G70" i="76"/>
  <c r="M143" i="76"/>
  <c r="H70" i="76"/>
  <c r="H145" i="76"/>
  <c r="M71" i="76"/>
  <c r="E144" i="76"/>
  <c r="F76" i="76"/>
  <c r="L162" i="76"/>
  <c r="G76" i="76"/>
  <c r="M149" i="76"/>
  <c r="L77" i="76"/>
  <c r="H164" i="76"/>
  <c r="G92" i="76"/>
  <c r="I164" i="76"/>
  <c r="L149" i="79"/>
  <c r="L90" i="79"/>
  <c r="M172" i="79"/>
  <c r="K89" i="79"/>
  <c r="M148" i="79"/>
  <c r="L76" i="79"/>
  <c r="F146" i="79"/>
  <c r="I68" i="79"/>
  <c r="G98" i="79"/>
  <c r="G166" i="79"/>
  <c r="H91" i="79"/>
  <c r="F162" i="79"/>
  <c r="K75" i="79"/>
  <c r="K143" i="79"/>
  <c r="N67" i="79"/>
  <c r="J78" i="79"/>
  <c r="H162" i="79"/>
  <c r="I74" i="79"/>
  <c r="I142" i="79"/>
  <c r="M170" i="79"/>
  <c r="N144" i="76"/>
  <c r="N72" i="79"/>
  <c r="G135" i="79"/>
  <c r="H63" i="79"/>
  <c r="E167" i="79"/>
  <c r="H61" i="76"/>
  <c r="K167" i="76"/>
  <c r="M161" i="76"/>
  <c r="H149" i="76"/>
  <c r="M136" i="76"/>
  <c r="J146" i="76"/>
  <c r="K135" i="76"/>
  <c r="N100" i="76"/>
  <c r="L76" i="76"/>
  <c r="K63" i="76"/>
  <c r="E181" i="76"/>
  <c r="J166" i="76"/>
  <c r="N155" i="76"/>
  <c r="E135" i="76"/>
  <c r="J97" i="79"/>
  <c r="K100" i="79"/>
  <c r="H76" i="79"/>
  <c r="E61" i="79"/>
  <c r="K156" i="79"/>
  <c r="N135" i="79"/>
  <c r="I86" i="79"/>
  <c r="E95" i="79"/>
  <c r="K74" i="79"/>
  <c r="L91" i="79"/>
  <c r="L155" i="79"/>
  <c r="K133" i="79"/>
  <c r="E172" i="80"/>
  <c r="J75" i="76"/>
  <c r="G162" i="76"/>
  <c r="K71" i="76"/>
  <c r="G145" i="76"/>
  <c r="J74" i="76"/>
  <c r="L146" i="76"/>
  <c r="G73" i="76"/>
  <c r="I145" i="76"/>
  <c r="J77" i="76"/>
  <c r="F164" i="76"/>
  <c r="G89" i="76"/>
  <c r="I161" i="76"/>
  <c r="H89" i="76"/>
  <c r="L165" i="76"/>
  <c r="K93" i="76"/>
  <c r="M165" i="76"/>
  <c r="L169" i="79"/>
  <c r="J93" i="79"/>
  <c r="I90" i="79"/>
  <c r="E91" i="79"/>
  <c r="G150" i="79"/>
  <c r="F78" i="79"/>
  <c r="J147" i="79"/>
  <c r="M69" i="79"/>
  <c r="L86" i="76"/>
  <c r="G72" i="79"/>
  <c r="L64" i="79"/>
  <c r="K157" i="79"/>
  <c r="G156" i="79"/>
  <c r="L62" i="76"/>
  <c r="K170" i="76"/>
  <c r="L167" i="76"/>
  <c r="H156" i="76"/>
  <c r="I143" i="76"/>
  <c r="N157" i="76"/>
  <c r="K143" i="76"/>
  <c r="F139" i="76"/>
  <c r="K83" i="76"/>
  <c r="E67" i="76"/>
  <c r="I166" i="76"/>
  <c r="H170" i="76"/>
  <c r="H157" i="76"/>
  <c r="I136" i="76"/>
  <c r="J135" i="79"/>
  <c r="G134" i="79"/>
  <c r="H83" i="79"/>
  <c r="I62" i="79"/>
  <c r="E158" i="79"/>
  <c r="F140" i="79"/>
  <c r="K94" i="79"/>
  <c r="L63" i="76"/>
  <c r="F72" i="79"/>
  <c r="J140" i="76"/>
  <c r="H96" i="79"/>
  <c r="J64" i="79"/>
  <c r="E181" i="79"/>
  <c r="E166" i="80" s="1"/>
  <c r="F84" i="79"/>
  <c r="N92" i="79"/>
  <c r="J78" i="76"/>
  <c r="I71" i="76"/>
  <c r="N62" i="76"/>
  <c r="J144" i="76"/>
  <c r="M157" i="76"/>
  <c r="H92" i="76"/>
  <c r="K156" i="76"/>
  <c r="H155" i="76"/>
  <c r="E133" i="76"/>
  <c r="G85" i="76"/>
  <c r="G78" i="76"/>
  <c r="N63" i="76"/>
  <c r="L100" i="76"/>
  <c r="E156" i="76"/>
  <c r="L157" i="79"/>
  <c r="E155" i="79"/>
  <c r="H134" i="79"/>
  <c r="I73" i="79"/>
  <c r="F61" i="79"/>
  <c r="L161" i="79"/>
  <c r="K134" i="79"/>
  <c r="H140" i="79"/>
  <c r="E96" i="79"/>
  <c r="L70" i="79"/>
  <c r="N165" i="79"/>
  <c r="M155" i="79"/>
  <c r="G98" i="76"/>
  <c r="L140" i="76"/>
  <c r="N161" i="76"/>
  <c r="K78" i="76"/>
  <c r="I162" i="76"/>
  <c r="H90" i="76"/>
  <c r="J162" i="76"/>
  <c r="E89" i="76"/>
  <c r="E164" i="76"/>
  <c r="L94" i="76"/>
  <c r="J172" i="76"/>
  <c r="K97" i="76"/>
  <c r="M169" i="76"/>
  <c r="L155" i="76"/>
  <c r="F62" i="76"/>
  <c r="M158" i="79"/>
  <c r="L62" i="79"/>
  <c r="L61" i="79"/>
  <c r="H100" i="79"/>
  <c r="H142" i="76"/>
  <c r="E98" i="76"/>
  <c r="F98" i="76"/>
  <c r="M73" i="76"/>
  <c r="N93" i="76"/>
  <c r="K69" i="76"/>
  <c r="L64" i="76"/>
  <c r="N70" i="76"/>
  <c r="G158" i="76"/>
  <c r="M147" i="76"/>
  <c r="I133" i="76"/>
  <c r="J133" i="76"/>
  <c r="G68" i="76"/>
  <c r="H72" i="79"/>
  <c r="K67" i="79"/>
  <c r="N140" i="79"/>
  <c r="N157" i="79"/>
  <c r="I134" i="79"/>
  <c r="N84" i="79"/>
  <c r="G61" i="79"/>
  <c r="G158" i="79"/>
  <c r="L168" i="79"/>
  <c r="K155" i="79"/>
  <c r="F96" i="79"/>
  <c r="M74" i="79"/>
  <c r="G28" i="81"/>
  <c r="E162" i="76"/>
  <c r="M72" i="76"/>
  <c r="L163" i="76"/>
  <c r="K98" i="76"/>
  <c r="I169" i="76"/>
  <c r="L98" i="76"/>
  <c r="H172" i="76"/>
  <c r="M98" i="76"/>
  <c r="I172" i="76"/>
  <c r="L142" i="76"/>
  <c r="K70" i="76"/>
  <c r="M142" i="76"/>
  <c r="N67" i="76"/>
  <c r="J155" i="76"/>
  <c r="G166" i="76"/>
  <c r="H135" i="79"/>
  <c r="K142" i="79"/>
  <c r="F167" i="79"/>
  <c r="H70" i="79"/>
  <c r="H77" i="79"/>
  <c r="D28" i="81"/>
  <c r="F146" i="76"/>
  <c r="M133" i="76"/>
  <c r="N133" i="76"/>
  <c r="G83" i="76"/>
  <c r="J99" i="76"/>
  <c r="M84" i="76"/>
  <c r="K76" i="76"/>
  <c r="N172" i="76"/>
  <c r="F166" i="76"/>
  <c r="K155" i="76"/>
  <c r="M134" i="76"/>
  <c r="N134" i="76"/>
  <c r="G71" i="76"/>
  <c r="F76" i="79"/>
  <c r="G83" i="79"/>
  <c r="N164" i="79"/>
  <c r="J161" i="79"/>
  <c r="M135" i="79"/>
  <c r="H86" i="79"/>
  <c r="E64" i="79"/>
  <c r="K162" i="79"/>
  <c r="I61" i="79"/>
  <c r="E157" i="79"/>
  <c r="F99" i="79"/>
  <c r="I85" i="79"/>
  <c r="H28" i="81"/>
  <c r="I163" i="76"/>
  <c r="E97" i="76"/>
  <c r="F165" i="76"/>
  <c r="E100" i="76"/>
  <c r="E171" i="80"/>
  <c r="E161" i="79"/>
  <c r="K91" i="79"/>
  <c r="J166" i="79"/>
  <c r="F90" i="79"/>
  <c r="G169" i="79"/>
  <c r="I98" i="79"/>
  <c r="N145" i="79"/>
  <c r="L99" i="79"/>
  <c r="I170" i="79"/>
  <c r="K99" i="79"/>
  <c r="L171" i="79"/>
  <c r="F98" i="79"/>
  <c r="E166" i="79"/>
  <c r="E78" i="79"/>
  <c r="M70" i="79"/>
  <c r="I93" i="79"/>
  <c r="K168" i="76"/>
  <c r="M77" i="76"/>
  <c r="F140" i="76"/>
  <c r="I168" i="76"/>
  <c r="G69" i="76"/>
  <c r="J90" i="76"/>
  <c r="E96" i="76"/>
  <c r="F148" i="76"/>
  <c r="G165" i="76"/>
  <c r="J139" i="76"/>
  <c r="H98" i="76"/>
  <c r="I144" i="79"/>
  <c r="L77" i="79"/>
  <c r="L165" i="79"/>
  <c r="K73" i="79"/>
  <c r="E143" i="79"/>
  <c r="E69" i="79"/>
  <c r="N85" i="79"/>
  <c r="F145" i="76"/>
  <c r="I158" i="76"/>
  <c r="I63" i="76"/>
  <c r="M100" i="76"/>
  <c r="E134" i="76"/>
  <c r="G146" i="76"/>
  <c r="H90" i="79"/>
  <c r="I26" i="96" a="1"/>
  <c r="I26" i="96" s="1"/>
  <c r="O26" i="96" s="1" a="1"/>
  <c r="O26" i="96" s="1"/>
  <c r="K26" i="97"/>
  <c r="Q26" i="97" s="1" a="1"/>
  <c r="Q26" i="97" s="1"/>
  <c r="J26" i="97"/>
  <c r="P26" i="97" s="1" a="1"/>
  <c r="P26" i="97" s="1"/>
  <c r="I26" i="97"/>
  <c r="H26" i="97"/>
  <c r="G26" i="97"/>
  <c r="O26" i="97" s="1" a="1"/>
  <c r="O26" i="97" s="1"/>
  <c r="F161" i="79"/>
  <c r="J136" i="79"/>
  <c r="G148" i="79"/>
  <c r="M78" i="79"/>
  <c r="L98" i="79"/>
  <c r="I20" i="88"/>
  <c r="I51" i="86"/>
  <c r="J92" i="90"/>
  <c r="I34" i="83"/>
  <c r="V232" i="81" a="1"/>
  <c r="V232" i="81" s="1"/>
  <c r="V133" i="77" a="1"/>
  <c r="X235" i="80" a="1"/>
  <c r="X171" i="80"/>
  <c r="M150" i="79"/>
  <c r="G90" i="79"/>
  <c r="F165" i="79"/>
  <c r="F77" i="79"/>
  <c r="M167" i="79"/>
  <c r="E97" i="79"/>
  <c r="J69" i="79"/>
  <c r="H98" i="79"/>
  <c r="E169" i="79"/>
  <c r="M96" i="79"/>
  <c r="H170" i="79"/>
  <c r="L96" i="79"/>
  <c r="K164" i="79"/>
  <c r="G75" i="79"/>
  <c r="L172" i="79"/>
  <c r="E92" i="79"/>
  <c r="G167" i="76"/>
  <c r="I76" i="76"/>
  <c r="J100" i="76"/>
  <c r="E167" i="76"/>
  <c r="M67" i="76"/>
  <c r="F89" i="76"/>
  <c r="K94" i="76"/>
  <c r="N143" i="76"/>
  <c r="M163" i="76"/>
  <c r="F97" i="76"/>
  <c r="L72" i="76"/>
  <c r="I136" i="79"/>
  <c r="L74" i="79"/>
  <c r="N156" i="79"/>
  <c r="N167" i="79"/>
  <c r="M91" i="79"/>
  <c r="N99" i="79"/>
  <c r="N64" i="79"/>
  <c r="J95" i="76"/>
  <c r="E136" i="76"/>
  <c r="E172" i="76"/>
  <c r="K64" i="76"/>
  <c r="K68" i="76"/>
  <c r="M92" i="76"/>
  <c r="N162" i="76"/>
  <c r="K28" i="97"/>
  <c r="Q28" i="97" s="1" a="1"/>
  <c r="Q28" i="97" s="1"/>
  <c r="J28" i="97"/>
  <c r="I28" i="97"/>
  <c r="H28" i="97"/>
  <c r="G28" i="97"/>
  <c r="O28" i="97" s="1" a="1"/>
  <c r="O28" i="97" s="1"/>
  <c r="N71" i="79"/>
  <c r="N61" i="79"/>
  <c r="F163" i="79"/>
  <c r="N78" i="79"/>
  <c r="N74" i="79"/>
  <c r="D164" i="74"/>
  <c r="J15" i="101"/>
  <c r="E32" i="87"/>
  <c r="K44" i="87" s="1"/>
  <c r="E66" i="90"/>
  <c r="E103" i="89"/>
  <c r="F103" i="89" s="1" a="1"/>
  <c r="F103" i="89" s="1"/>
  <c r="E135" i="89" s="1"/>
  <c r="I14" i="83"/>
  <c r="I149" i="79"/>
  <c r="K78" i="79"/>
  <c r="L163" i="79"/>
  <c r="H74" i="79"/>
  <c r="I166" i="79"/>
  <c r="K95" i="79"/>
  <c r="J170" i="79"/>
  <c r="J95" i="79"/>
  <c r="K167" i="79"/>
  <c r="E94" i="79"/>
  <c r="N168" i="79"/>
  <c r="H95" i="79"/>
  <c r="G163" i="79"/>
  <c r="I72" i="79"/>
  <c r="N169" i="79"/>
  <c r="K90" i="79"/>
  <c r="K161" i="76"/>
  <c r="E75" i="76"/>
  <c r="F99" i="76"/>
  <c r="K165" i="76"/>
  <c r="H150" i="76"/>
  <c r="J70" i="76"/>
  <c r="G93" i="76"/>
  <c r="F100" i="76"/>
  <c r="E161" i="76"/>
  <c r="L75" i="76"/>
  <c r="I150" i="76"/>
  <c r="E135" i="79"/>
  <c r="H64" i="79"/>
  <c r="J155" i="79"/>
  <c r="N143" i="79"/>
  <c r="G86" i="79"/>
  <c r="N75" i="79"/>
  <c r="J63" i="79"/>
  <c r="J85" i="76"/>
  <c r="G95" i="76"/>
  <c r="E169" i="76"/>
  <c r="G63" i="76"/>
  <c r="I64" i="76"/>
  <c r="M85" i="76"/>
  <c r="J98" i="76"/>
  <c r="L73" i="79"/>
  <c r="L71" i="79"/>
  <c r="H84" i="79"/>
  <c r="H61" i="79"/>
  <c r="L78" i="79"/>
  <c r="J74" i="79"/>
  <c r="H95" i="76"/>
  <c r="K29" i="97"/>
  <c r="J29" i="97"/>
  <c r="I29" i="97"/>
  <c r="H29" i="97"/>
  <c r="G29" i="97"/>
  <c r="X33" i="80" a="1"/>
  <c r="X33" i="80" s="1"/>
  <c r="Y33" i="80" s="1" a="1"/>
  <c r="Y33" i="80" s="1"/>
  <c r="X36" i="80" a="1"/>
  <c r="X36" i="80" s="1"/>
  <c r="X35" i="80" a="1"/>
  <c r="X35" i="80" s="1"/>
  <c r="X37" i="80" a="1"/>
  <c r="X37" i="80" s="1"/>
  <c r="Y37" i="80" s="1" a="1"/>
  <c r="Y37" i="80" s="1"/>
  <c r="AD37" i="80" s="1" a="1"/>
  <c r="AD37" i="80" s="1"/>
  <c r="V180" i="81" a="1"/>
  <c r="V180" i="81" s="1"/>
  <c r="X30" i="80" a="1"/>
  <c r="X30" i="80" s="1"/>
  <c r="Y30" i="80" s="1" a="1"/>
  <c r="Y30" i="80" s="1"/>
  <c r="I37" i="96" a="1"/>
  <c r="I37" i="96" s="1"/>
  <c r="O37" i="96" s="1" a="1"/>
  <c r="O37" i="96" s="1"/>
  <c r="V19" i="84"/>
  <c r="I19" i="84"/>
  <c r="K37" i="96" a="1"/>
  <c r="K37" i="96" s="1"/>
  <c r="Q37" i="96" s="1" a="1"/>
  <c r="Q37" i="96" s="1"/>
  <c r="I22" i="84"/>
  <c r="V22" i="84"/>
  <c r="E65" i="90"/>
  <c r="F65" i="90" s="1" a="1"/>
  <c r="F65" i="90" s="1"/>
  <c r="E102" i="89"/>
  <c r="F102" i="89" s="1" a="1"/>
  <c r="F102" i="89" s="1"/>
  <c r="E134" i="89" s="1"/>
  <c r="D19" i="86"/>
  <c r="F19" i="86" s="1" a="1"/>
  <c r="F19" i="86" s="1"/>
  <c r="F32" i="86" a="1"/>
  <c r="F32" i="86" s="1"/>
  <c r="F25" i="86" a="1"/>
  <c r="F25" i="86" s="1"/>
  <c r="F31" i="86" a="1"/>
  <c r="F31" i="86" s="1"/>
  <c r="F24" i="86" a="1"/>
  <c r="F24" i="86" s="1"/>
  <c r="F37" i="86" a="1"/>
  <c r="F37" i="86" s="1"/>
  <c r="F30" i="86" a="1"/>
  <c r="F30" i="86" s="1"/>
  <c r="F23" i="86" a="1"/>
  <c r="F23" i="86" s="1"/>
  <c r="F36" i="86" a="1"/>
  <c r="F36" i="86" s="1"/>
  <c r="F29" i="86" a="1"/>
  <c r="F29" i="86" s="1"/>
  <c r="F22" i="86" a="1"/>
  <c r="F22" i="86" s="1"/>
  <c r="F35" i="86" a="1"/>
  <c r="F35" i="86" s="1"/>
  <c r="F28" i="86" a="1"/>
  <c r="F28" i="86" s="1"/>
  <c r="F21" i="86" a="1"/>
  <c r="F21" i="86" s="1"/>
  <c r="F34" i="86" a="1"/>
  <c r="F34" i="86" s="1"/>
  <c r="F27" i="86" a="1"/>
  <c r="F27" i="86" s="1"/>
  <c r="F20" i="86" a="1"/>
  <c r="F20" i="86" s="1"/>
  <c r="F33" i="86" a="1"/>
  <c r="F33" i="86" s="1"/>
  <c r="F26" i="86" a="1"/>
  <c r="F26" i="86" s="1"/>
  <c r="K32" i="97"/>
  <c r="J32" i="97"/>
  <c r="I32" i="97"/>
  <c r="H32" i="97"/>
  <c r="G32" i="97"/>
  <c r="V107" i="81" a="1"/>
  <c r="V107" i="81" s="1"/>
  <c r="W107" i="81" s="1" a="1"/>
  <c r="W107" i="81" s="1"/>
  <c r="AA107" i="81" s="1" a="1"/>
  <c r="AA107" i="81" s="1"/>
  <c r="V102" i="81" a="1"/>
  <c r="V102" i="81" s="1"/>
  <c r="W102" i="81" s="1" a="1"/>
  <c r="W102" i="81" s="1"/>
  <c r="V106" i="81" a="1"/>
  <c r="V106" i="81" s="1"/>
  <c r="W106" i="81" s="1" a="1"/>
  <c r="W106" i="81" s="1"/>
  <c r="K34" i="97"/>
  <c r="Q34" i="97" s="1" a="1"/>
  <c r="Q34" i="97" s="1"/>
  <c r="J34" i="97"/>
  <c r="P34" i="97" s="1" a="1"/>
  <c r="P34" i="97" s="1"/>
  <c r="I34" i="97"/>
  <c r="H34" i="97"/>
  <c r="G34" i="97"/>
  <c r="D19" i="85"/>
  <c r="F19" i="85" s="1" a="1"/>
  <c r="F19" i="85" s="1"/>
  <c r="F33" i="85" a="1"/>
  <c r="F33" i="85" s="1"/>
  <c r="F26" i="85" a="1"/>
  <c r="F26" i="85" s="1"/>
  <c r="F32" i="85" a="1"/>
  <c r="F32" i="85" s="1"/>
  <c r="F25" i="85" a="1"/>
  <c r="F25" i="85" s="1"/>
  <c r="F31" i="85" a="1"/>
  <c r="F31" i="85" s="1"/>
  <c r="F24" i="85" a="1"/>
  <c r="F24" i="85" s="1"/>
  <c r="F37" i="85" a="1"/>
  <c r="F37" i="85" s="1"/>
  <c r="F30" i="85" a="1"/>
  <c r="F30" i="85" s="1"/>
  <c r="F23" i="85" a="1"/>
  <c r="F23" i="85" s="1"/>
  <c r="F36" i="85" a="1"/>
  <c r="F36" i="85" s="1"/>
  <c r="F29" i="85" a="1"/>
  <c r="F29" i="85" s="1"/>
  <c r="F22" i="85" a="1"/>
  <c r="F22" i="85" s="1"/>
  <c r="F35" i="85" a="1"/>
  <c r="F35" i="85" s="1"/>
  <c r="F28" i="85" a="1"/>
  <c r="F28" i="85" s="1"/>
  <c r="F21" i="85" a="1"/>
  <c r="F21" i="85" s="1"/>
  <c r="F34" i="85" a="1"/>
  <c r="F34" i="85" s="1"/>
  <c r="F27" i="85" a="1"/>
  <c r="F27" i="85" s="1"/>
  <c r="F20" i="85" a="1"/>
  <c r="F20" i="85" s="1"/>
  <c r="K31" i="97"/>
  <c r="J31" i="97"/>
  <c r="I31" i="97"/>
  <c r="H31" i="97"/>
  <c r="G31" i="97"/>
  <c r="V18" i="84"/>
  <c r="I18" i="84"/>
  <c r="V21" i="84"/>
  <c r="AC183" i="81" a="1"/>
  <c r="AC183" i="81" s="1"/>
  <c r="Y183" i="81" a="1"/>
  <c r="Y183" i="81" s="1"/>
  <c r="W183" i="81" a="1"/>
  <c r="W183" i="81" s="1"/>
  <c r="W184" i="81" a="1"/>
  <c r="W184" i="81" s="1"/>
  <c r="AC184" i="81" a="1"/>
  <c r="AC184" i="81" s="1"/>
  <c r="Y184" i="81" a="1"/>
  <c r="Y184" i="81" s="1"/>
  <c r="AC181" i="81" a="1"/>
  <c r="AC181" i="81" s="1"/>
  <c r="Y181" i="81" a="1"/>
  <c r="Y181" i="81" s="1"/>
  <c r="W181" i="81" a="1"/>
  <c r="W181" i="81" s="1"/>
  <c r="AC185" i="81" a="1"/>
  <c r="AC185" i="81" s="1"/>
  <c r="Y185" i="81" a="1"/>
  <c r="Y185" i="81" s="1"/>
  <c r="W185" i="81" a="1"/>
  <c r="W185" i="81" s="1"/>
  <c r="W182" i="81" a="1"/>
  <c r="W182" i="81" s="1"/>
  <c r="Y182" i="81" a="1"/>
  <c r="Y182" i="81" s="1"/>
  <c r="AC182" i="81" a="1"/>
  <c r="AC182" i="81" s="1"/>
  <c r="AC190" i="81" a="1"/>
  <c r="AC190" i="81" s="1"/>
  <c r="Y190" i="81" a="1"/>
  <c r="Y190" i="81" s="1"/>
  <c r="W190" i="81" a="1"/>
  <c r="W190" i="81" s="1"/>
  <c r="W187" i="81" a="1"/>
  <c r="W187" i="81" s="1"/>
  <c r="AC187" i="81" a="1"/>
  <c r="AC187" i="81" s="1"/>
  <c r="Y187" i="81" a="1"/>
  <c r="Y187" i="81" s="1"/>
  <c r="AC189" i="81" a="1"/>
  <c r="AC189" i="81" s="1"/>
  <c r="Y189" i="81" a="1"/>
  <c r="Y189" i="81" s="1"/>
  <c r="W189" i="81" a="1"/>
  <c r="W189" i="81" s="1"/>
  <c r="Y188" i="81" a="1"/>
  <c r="Y188" i="81" s="1"/>
  <c r="AC188" i="81" a="1"/>
  <c r="AC188" i="81" s="1"/>
  <c r="W188" i="81" a="1"/>
  <c r="W188" i="81" s="1"/>
  <c r="AC186" i="81" a="1"/>
  <c r="AC186" i="81" s="1"/>
  <c r="Y186" i="81" a="1"/>
  <c r="Y186" i="81" s="1"/>
  <c r="W186" i="81" a="1"/>
  <c r="W186" i="81" s="1"/>
  <c r="Y191" i="81" a="1"/>
  <c r="Y191" i="81" s="1"/>
  <c r="W191" i="81" a="1"/>
  <c r="W191" i="81" s="1"/>
  <c r="AC191" i="81" a="1"/>
  <c r="AC191" i="81" s="1"/>
  <c r="F69" i="90" a="1"/>
  <c r="F69" i="90" s="1"/>
  <c r="F68" i="90" a="1"/>
  <c r="F68" i="90" s="1"/>
  <c r="F70" i="90" a="1"/>
  <c r="F70" i="90" s="1"/>
  <c r="F67" i="90" a="1"/>
  <c r="F67" i="90" s="1"/>
  <c r="F73" i="90" a="1"/>
  <c r="F73" i="90" s="1"/>
  <c r="F71" i="90" a="1"/>
  <c r="F71" i="90" s="1"/>
  <c r="O39" i="96" a="1"/>
  <c r="O39" i="96" s="1"/>
  <c r="O34" i="96" a="1"/>
  <c r="O34" i="96" s="1"/>
  <c r="Q36" i="96" a="1"/>
  <c r="Q36" i="96" s="1"/>
  <c r="N34" i="96" a="1"/>
  <c r="N34" i="96" s="1"/>
  <c r="N33" i="96" a="1"/>
  <c r="N33" i="96" s="1"/>
  <c r="E49" i="96" s="1"/>
  <c r="N32" i="96" a="1"/>
  <c r="N32" i="96" s="1"/>
  <c r="O31" i="96" a="1"/>
  <c r="O31" i="96" s="1"/>
  <c r="O32" i="96" a="1"/>
  <c r="O32" i="96" s="1"/>
  <c r="P32" i="96" a="1"/>
  <c r="P32" i="96" s="1"/>
  <c r="AA36" i="77" a="1"/>
  <c r="AA36" i="77" s="1"/>
  <c r="AB36" i="77" a="1"/>
  <c r="AB36" i="77" s="1"/>
  <c r="O21" i="100" a="1"/>
  <c r="O21" i="100" s="1"/>
  <c r="Q39" i="97" a="1"/>
  <c r="Q39" i="97" s="1"/>
  <c r="E21" i="100" a="1"/>
  <c r="E21" i="100" s="1"/>
  <c r="Q38" i="97" a="1"/>
  <c r="Q38" i="97" s="1"/>
  <c r="P35" i="97" a="1"/>
  <c r="P35" i="97" s="1"/>
  <c r="O35" i="97" a="1"/>
  <c r="O35" i="97" s="1"/>
  <c r="N35" i="97" a="1"/>
  <c r="N35" i="97" s="1"/>
  <c r="Q35" i="97" a="1"/>
  <c r="Q35" i="97" s="1"/>
  <c r="P37" i="97" a="1"/>
  <c r="P37" i="97" s="1"/>
  <c r="O37" i="97" a="1"/>
  <c r="O37" i="97" s="1"/>
  <c r="N37" i="97" a="1"/>
  <c r="N37" i="97" s="1"/>
  <c r="P30" i="97" a="1"/>
  <c r="P30" i="97" s="1"/>
  <c r="O30" i="97" a="1"/>
  <c r="O30" i="97" s="1"/>
  <c r="N30" i="97" a="1"/>
  <c r="N30" i="97" s="1"/>
  <c r="Q30" i="97" a="1"/>
  <c r="Q30" i="97" s="1"/>
  <c r="O34" i="97" a="1"/>
  <c r="O34" i="97" s="1"/>
  <c r="N34" i="97" a="1"/>
  <c r="N34" i="97" s="1"/>
  <c r="P40" i="97" a="1"/>
  <c r="P40" i="97" s="1"/>
  <c r="O40" i="97" a="1"/>
  <c r="O40" i="97" s="1"/>
  <c r="N40" i="97" a="1"/>
  <c r="N40" i="97" s="1"/>
  <c r="P33" i="97" a="1"/>
  <c r="P33" i="97" s="1"/>
  <c r="O33" i="97" a="1"/>
  <c r="O33" i="97" s="1"/>
  <c r="N33" i="97" a="1"/>
  <c r="N33" i="97" s="1"/>
  <c r="O27" i="97" a="1"/>
  <c r="O27" i="97" s="1"/>
  <c r="N27" i="97" a="1"/>
  <c r="N27" i="97" s="1"/>
  <c r="P27" i="97" a="1"/>
  <c r="P27" i="97" s="1"/>
  <c r="P39" i="97" a="1"/>
  <c r="P39" i="97" s="1"/>
  <c r="O39" i="97" a="1"/>
  <c r="O39" i="97" s="1"/>
  <c r="N39" i="97" a="1"/>
  <c r="N39" i="97" s="1"/>
  <c r="N32" i="97" a="1"/>
  <c r="N32" i="97" s="1"/>
  <c r="Q32" i="97" a="1"/>
  <c r="Q32" i="97" s="1"/>
  <c r="P32" i="97" a="1"/>
  <c r="P32" i="97" s="1"/>
  <c r="O32" i="97" a="1"/>
  <c r="O32" i="97" s="1"/>
  <c r="N26" i="97" a="1"/>
  <c r="N26" i="97" s="1"/>
  <c r="Q40" i="97" a="1"/>
  <c r="Q40" i="97" s="1"/>
  <c r="Q33" i="97" a="1"/>
  <c r="Q33" i="97" s="1"/>
  <c r="P36" i="97" a="1"/>
  <c r="P36" i="97" s="1"/>
  <c r="O36" i="97" a="1"/>
  <c r="O36" i="97" s="1"/>
  <c r="N36" i="97" a="1"/>
  <c r="N36" i="97" s="1"/>
  <c r="Q36" i="97" a="1"/>
  <c r="Q36" i="97" s="1"/>
  <c r="P28" i="97" a="1"/>
  <c r="P28" i="97" s="1"/>
  <c r="N28" i="97" a="1"/>
  <c r="N28" i="97" s="1"/>
  <c r="N25" i="97" a="1"/>
  <c r="N25" i="97" s="1"/>
  <c r="Q25" i="97" a="1"/>
  <c r="Q25" i="97" s="1"/>
  <c r="P25" i="97" a="1"/>
  <c r="P25" i="97" s="1"/>
  <c r="O25" i="97" a="1"/>
  <c r="O25" i="97" s="1"/>
  <c r="P38" i="97" a="1"/>
  <c r="P38" i="97" s="1"/>
  <c r="O38" i="97" a="1"/>
  <c r="O38" i="97" s="1"/>
  <c r="N38" i="97" a="1"/>
  <c r="N38" i="97" s="1"/>
  <c r="N36" i="96" a="1"/>
  <c r="N36" i="96" s="1"/>
  <c r="P37" i="96" a="1"/>
  <c r="P37" i="96" s="1"/>
  <c r="Q25" i="96" a="1"/>
  <c r="Q25" i="96" s="1"/>
  <c r="P25" i="96" a="1"/>
  <c r="P25" i="96" s="1"/>
  <c r="O25" i="96" a="1"/>
  <c r="O25" i="96" s="1"/>
  <c r="N25" i="96" a="1"/>
  <c r="N25" i="96" s="1"/>
  <c r="O36" i="96" a="1"/>
  <c r="O36" i="96" s="1"/>
  <c r="P31" i="96" a="1"/>
  <c r="P31" i="96" s="1"/>
  <c r="Q31" i="96" a="1"/>
  <c r="Q31" i="96" s="1"/>
  <c r="N35" i="96" a="1"/>
  <c r="N35" i="96" s="1"/>
  <c r="Q35" i="96" a="1"/>
  <c r="Q35" i="96" s="1"/>
  <c r="P35" i="96" a="1"/>
  <c r="P35" i="96" s="1"/>
  <c r="E57" i="96" s="1"/>
  <c r="O35" i="96" a="1"/>
  <c r="O35" i="96" s="1"/>
  <c r="O33" i="96" a="1"/>
  <c r="O33" i="96" s="1"/>
  <c r="E50" i="96" s="1"/>
  <c r="N28" i="96" a="1"/>
  <c r="N28" i="96" s="1"/>
  <c r="P30" i="96" a="1"/>
  <c r="P30" i="96" s="1"/>
  <c r="O30" i="96" a="1"/>
  <c r="O30" i="96" s="1"/>
  <c r="N30" i="96" a="1"/>
  <c r="N30" i="96" s="1"/>
  <c r="P33" i="96" a="1"/>
  <c r="P33" i="96" s="1"/>
  <c r="E51" i="96" s="1"/>
  <c r="O28" i="96" a="1"/>
  <c r="O28" i="96" s="1"/>
  <c r="Q38" i="96" a="1"/>
  <c r="Q38" i="96" s="1"/>
  <c r="P38" i="96" a="1"/>
  <c r="P38" i="96" s="1"/>
  <c r="O38" i="96" a="1"/>
  <c r="O38" i="96" s="1"/>
  <c r="N38" i="96" a="1"/>
  <c r="N38" i="96" s="1"/>
  <c r="E61" i="96" s="1"/>
  <c r="Q30" i="96" a="1"/>
  <c r="Q30" i="96" s="1"/>
  <c r="AB109" i="81" a="1"/>
  <c r="AB109" i="81" s="1"/>
  <c r="AD34" i="80" a="1"/>
  <c r="AD34" i="80" s="1"/>
  <c r="F95" i="81" a="1"/>
  <c r="F95" i="81" s="1"/>
  <c r="L95" i="81" s="1" a="1"/>
  <c r="L95" i="81" s="1"/>
  <c r="W100" i="81" a="1"/>
  <c r="W100" i="81" s="1"/>
  <c r="AB100" i="81" s="1" a="1"/>
  <c r="AB100" i="81" s="1"/>
  <c r="Q50" i="85"/>
  <c r="AC34" i="80" a="1"/>
  <c r="AC34" i="80" s="1"/>
  <c r="AA109" i="81" a="1"/>
  <c r="AA109" i="81" s="1"/>
  <c r="AF133" i="77"/>
  <c r="AC39" i="80" a="1"/>
  <c r="AC39" i="80" s="1"/>
  <c r="W110" i="81" a="1"/>
  <c r="W110" i="81" s="1"/>
  <c r="AC110" i="81" s="1" a="1"/>
  <c r="AC110" i="81" s="1"/>
  <c r="H146" i="78"/>
  <c r="K28" i="77" a="1"/>
  <c r="K28" i="77" s="1"/>
  <c r="Y35" i="80" a="1"/>
  <c r="Y35" i="80" s="1"/>
  <c r="AD35" i="80" s="1" a="1"/>
  <c r="AD35" i="80" s="1"/>
  <c r="AC111" i="81" a="1"/>
  <c r="AC111" i="81" s="1"/>
  <c r="AB111" i="81" a="1"/>
  <c r="AB111" i="81" s="1"/>
  <c r="AA111" i="81" a="1"/>
  <c r="AA111" i="81" s="1"/>
  <c r="AB103" i="81" a="1"/>
  <c r="AB103" i="81" s="1"/>
  <c r="AA103" i="81" a="1"/>
  <c r="AA103" i="81" s="1"/>
  <c r="M32" i="80" a="1"/>
  <c r="M32" i="80" s="1"/>
  <c r="AC38" i="80" a="1"/>
  <c r="AC38" i="80" s="1"/>
  <c r="AE38" i="80" a="1"/>
  <c r="AE38" i="80" s="1"/>
  <c r="K96" i="81" a="1"/>
  <c r="K96" i="81" s="1"/>
  <c r="J96" i="81" a="1"/>
  <c r="J96" i="81" s="1"/>
  <c r="K98" i="81" a="1"/>
  <c r="K98" i="81" s="1"/>
  <c r="AC108" i="81" a="1"/>
  <c r="AC108" i="81" s="1"/>
  <c r="AB108" i="81" a="1"/>
  <c r="AB108" i="81" s="1"/>
  <c r="AA108" i="81" a="1"/>
  <c r="AA108" i="81" s="1"/>
  <c r="AC105" i="81" a="1"/>
  <c r="AC105" i="81" s="1"/>
  <c r="AA105" i="81" a="1"/>
  <c r="AA105" i="81" s="1"/>
  <c r="AB101" i="81" a="1"/>
  <c r="AB101" i="81" s="1"/>
  <c r="AA101" i="81" a="1"/>
  <c r="AA101" i="81" s="1"/>
  <c r="AC101" i="81" a="1"/>
  <c r="AC101" i="81" s="1"/>
  <c r="L98" i="81" a="1"/>
  <c r="L98" i="81" s="1"/>
  <c r="AE39" i="80" a="1"/>
  <c r="AE39" i="80" s="1"/>
  <c r="L97" i="81" a="1"/>
  <c r="L97" i="81" s="1"/>
  <c r="K97" i="81" a="1"/>
  <c r="K97" i="81" s="1"/>
  <c r="AC104" i="81" a="1"/>
  <c r="AC104" i="81" s="1"/>
  <c r="AB104" i="81" a="1"/>
  <c r="AB104" i="81" s="1"/>
  <c r="AA104" i="81" a="1"/>
  <c r="AA104" i="81" s="1"/>
  <c r="L96" i="81" a="1"/>
  <c r="L96" i="81" s="1"/>
  <c r="AC37" i="80" a="1"/>
  <c r="AC37" i="80" s="1"/>
  <c r="AE37" i="80" a="1"/>
  <c r="AE37" i="80" s="1"/>
  <c r="N32" i="80" a="1"/>
  <c r="N32" i="80" s="1"/>
  <c r="G30" i="80"/>
  <c r="G147" i="78"/>
  <c r="I149" i="78"/>
  <c r="AC29" i="80" a="1"/>
  <c r="AC29" i="80" s="1"/>
  <c r="AE29" i="80" a="1"/>
  <c r="AE29" i="80" s="1"/>
  <c r="Y36" i="80" a="1"/>
  <c r="Y36" i="80" s="1"/>
  <c r="AE28" i="80" a="1"/>
  <c r="AE28" i="80" s="1"/>
  <c r="AD28" i="80" a="1"/>
  <c r="AD28" i="80" s="1"/>
  <c r="G33" i="80"/>
  <c r="G31" i="80"/>
  <c r="O121" i="79"/>
  <c r="N124" i="79"/>
  <c r="O124" i="79" s="1"/>
  <c r="N122" i="79"/>
  <c r="O122" i="79" s="1"/>
  <c r="K148" i="78"/>
  <c r="I147" i="78"/>
  <c r="K147" i="78"/>
  <c r="G149" i="78"/>
  <c r="M147" i="78"/>
  <c r="J146" i="78"/>
  <c r="L146" i="78"/>
  <c r="G148" i="78"/>
  <c r="L147" i="78"/>
  <c r="M146" i="78"/>
  <c r="M149" i="78"/>
  <c r="H147" i="78"/>
  <c r="J148" i="78"/>
  <c r="M148" i="78"/>
  <c r="N146" i="78"/>
  <c r="N149" i="78"/>
  <c r="I148" i="78"/>
  <c r="K149" i="78"/>
  <c r="O146" i="78"/>
  <c r="P149" i="78"/>
  <c r="L148" i="78"/>
  <c r="H148" i="78"/>
  <c r="N147" i="78"/>
  <c r="L149" i="78"/>
  <c r="P146" i="78"/>
  <c r="H149" i="78"/>
  <c r="P147" i="78"/>
  <c r="O149" i="78"/>
  <c r="N148" i="78"/>
  <c r="I146" i="78"/>
  <c r="O148" i="78"/>
  <c r="K146" i="78"/>
  <c r="P148" i="78"/>
  <c r="O147" i="78"/>
  <c r="J149" i="78"/>
  <c r="K27" i="77" a="1"/>
  <c r="K27" i="77" s="1"/>
  <c r="L27" i="77" a="1"/>
  <c r="L27" i="77" s="1"/>
  <c r="AA35" i="77" a="1"/>
  <c r="AA35" i="77" s="1"/>
  <c r="AB35" i="77" a="1"/>
  <c r="AB35" i="77" s="1"/>
  <c r="AC39" i="77" a="1"/>
  <c r="AC39" i="77" s="1"/>
  <c r="AA39" i="77" a="1"/>
  <c r="AA39" i="77" s="1"/>
  <c r="AC35" i="77" a="1"/>
  <c r="AC35" i="77" s="1"/>
  <c r="AC31" i="77" a="1"/>
  <c r="AC31" i="77" s="1"/>
  <c r="L26" i="77" a="1"/>
  <c r="L26" i="77" s="1"/>
  <c r="K26" i="77" a="1"/>
  <c r="K26" i="77" s="1"/>
  <c r="J28" i="77" a="1"/>
  <c r="J28" i="77" s="1"/>
  <c r="J27" i="77" a="1"/>
  <c r="J27" i="77" s="1"/>
  <c r="AC37" i="77" a="1"/>
  <c r="AC37" i="77" s="1"/>
  <c r="AB37" i="77" a="1"/>
  <c r="AB37" i="77" s="1"/>
  <c r="AA31" i="77" a="1"/>
  <c r="AA31" i="77" s="1"/>
  <c r="AB29" i="77" a="1"/>
  <c r="AB29" i="77" s="1"/>
  <c r="AC29" i="77" a="1"/>
  <c r="AC29" i="77" s="1"/>
  <c r="AA29" i="77" a="1"/>
  <c r="AA29" i="77" s="1"/>
  <c r="AC38" i="77" a="1"/>
  <c r="AC38" i="77" s="1"/>
  <c r="AA38" i="77" a="1"/>
  <c r="AA38" i="77" s="1"/>
  <c r="AB38" i="77" a="1"/>
  <c r="AB38" i="77" s="1"/>
  <c r="AC30" i="77" a="1"/>
  <c r="AC30" i="77" s="1"/>
  <c r="AA30" i="77" a="1"/>
  <c r="AA30" i="77" s="1"/>
  <c r="AB30" i="77" a="1"/>
  <c r="AB30" i="77" s="1"/>
  <c r="F27" i="13"/>
  <c r="I27" i="13" s="1"/>
  <c r="H27" i="13"/>
  <c r="H26" i="13"/>
  <c r="E22" i="75"/>
  <c r="N124" i="76"/>
  <c r="O124" i="76"/>
  <c r="E19" i="75"/>
  <c r="E20" i="75"/>
  <c r="E21" i="75" s="1"/>
  <c r="E37" i="13"/>
  <c r="E39" i="13"/>
  <c r="F39" i="13"/>
  <c r="H54" i="74"/>
  <c r="H51" i="74"/>
  <c r="H49" i="74"/>
  <c r="F62" i="13"/>
  <c r="H53" i="74"/>
  <c r="H48" i="74"/>
  <c r="H52" i="74"/>
  <c r="H50" i="74"/>
  <c r="S69" i="85" s="1"/>
  <c r="Q52" i="85" l="1"/>
  <c r="W51" i="85"/>
  <c r="S50" i="85" a="1"/>
  <c r="S50" i="85" s="1"/>
  <c r="T50" i="85"/>
  <c r="U50" i="85" s="1"/>
  <c r="O45" i="85" a="1"/>
  <c r="S46" i="85" s="1" a="1"/>
  <c r="S46" i="85" s="1"/>
  <c r="R50" i="85" a="1"/>
  <c r="R50" i="85" s="1"/>
  <c r="T52" i="85"/>
  <c r="U52" i="85" s="1"/>
  <c r="S52" i="85" a="1"/>
  <c r="S52" i="85" s="1"/>
  <c r="Q51" i="85"/>
  <c r="R51" i="85" a="1"/>
  <c r="R51" i="85" s="1"/>
  <c r="Q29" i="97" a="1"/>
  <c r="Q29" i="97" s="1"/>
  <c r="P29" i="97" a="1"/>
  <c r="P29" i="97" s="1"/>
  <c r="O29" i="97" a="1"/>
  <c r="O29" i="97" s="1"/>
  <c r="N29" i="97" a="1"/>
  <c r="N29" i="97" s="1"/>
  <c r="J37" i="100"/>
  <c r="J34" i="100" s="1" a="1"/>
  <c r="J34" i="100" s="1"/>
  <c r="K48" i="87"/>
  <c r="K45" i="87" s="1"/>
  <c r="H227" i="81"/>
  <c r="H225" i="81" s="1"/>
  <c r="I129" i="89"/>
  <c r="S74" i="85"/>
  <c r="S68" i="85" s="1" a="1"/>
  <c r="S68" i="85" s="1"/>
  <c r="I55" i="85"/>
  <c r="J54" i="89"/>
  <c r="I33" i="82"/>
  <c r="V164" i="81" a="1"/>
  <c r="V164" i="81" s="1"/>
  <c r="AC33" i="80" a="1"/>
  <c r="AC33" i="80" s="1"/>
  <c r="AE33" i="80" a="1"/>
  <c r="AE33" i="80" s="1"/>
  <c r="AD33" i="80" a="1"/>
  <c r="AD33" i="80" s="1"/>
  <c r="O31" i="97" a="1"/>
  <c r="O31" i="97" s="1"/>
  <c r="E44" i="97" s="1"/>
  <c r="N31" i="97" a="1"/>
  <c r="N31" i="97" s="1"/>
  <c r="E43" i="97" s="1"/>
  <c r="Q31" i="97" a="1"/>
  <c r="Q31" i="97" s="1"/>
  <c r="E46" i="97" s="1"/>
  <c r="P31" i="97" a="1"/>
  <c r="P31" i="97" s="1"/>
  <c r="E45" i="97" s="1"/>
  <c r="Y276" i="80"/>
  <c r="X235" i="80"/>
  <c r="AB106" i="81" a="1"/>
  <c r="AB106" i="81" s="1"/>
  <c r="AC106" i="81" a="1"/>
  <c r="AC106" i="81" s="1"/>
  <c r="AA106" i="81" a="1"/>
  <c r="AA106" i="81" s="1"/>
  <c r="X115" i="80" a="1"/>
  <c r="X115" i="80" s="1"/>
  <c r="X44" i="80" a="1"/>
  <c r="V20" i="81" a="1"/>
  <c r="V44" i="77" a="1"/>
  <c r="E23" i="72"/>
  <c r="F66" i="13" s="1"/>
  <c r="E56" i="77" a="1"/>
  <c r="E56" i="77" s="1"/>
  <c r="E119" i="81" a="1"/>
  <c r="E119" i="81" s="1"/>
  <c r="E68" i="80" a="1"/>
  <c r="E68" i="80" s="1"/>
  <c r="AC102" i="81" a="1"/>
  <c r="AC102" i="81" s="1"/>
  <c r="AB102" i="81" a="1"/>
  <c r="AB102" i="81" s="1"/>
  <c r="AA102" i="81" a="1"/>
  <c r="AA102" i="81" s="1"/>
  <c r="W161" i="77"/>
  <c r="V133" i="77"/>
  <c r="J35" i="100"/>
  <c r="V51" i="85" a="1"/>
  <c r="V51" i="85" s="1"/>
  <c r="U51" i="85"/>
  <c r="V60" i="77" a="1"/>
  <c r="V60" i="77" s="1"/>
  <c r="V120" i="81" a="1"/>
  <c r="V120" i="81" s="1"/>
  <c r="X60" i="80" a="1"/>
  <c r="X60" i="80" s="1"/>
  <c r="F66" i="90" a="1"/>
  <c r="F66" i="90" s="1"/>
  <c r="F75" i="90" a="1"/>
  <c r="F75" i="90" s="1"/>
  <c r="F72" i="90" a="1"/>
  <c r="F72" i="90" s="1"/>
  <c r="F74" i="90" a="1"/>
  <c r="F74" i="90" s="1"/>
  <c r="H25" i="88" a="1"/>
  <c r="H25" i="88" s="1"/>
  <c r="H27" i="88" a="1"/>
  <c r="H27" i="88" s="1"/>
  <c r="H26" i="88" a="1"/>
  <c r="H26" i="88" s="1"/>
  <c r="H28" i="88" a="1"/>
  <c r="H28" i="88" s="1"/>
  <c r="H29" i="88" a="1"/>
  <c r="H29" i="88" s="1"/>
  <c r="E115" i="80" a="1"/>
  <c r="E115" i="80" s="1"/>
  <c r="Q26" i="96" a="1"/>
  <c r="Q26" i="96" s="1"/>
  <c r="H226" i="81"/>
  <c r="P26" i="96" a="1"/>
  <c r="P26" i="96" s="1"/>
  <c r="J51" i="89"/>
  <c r="AC107" i="81" a="1"/>
  <c r="AC107" i="81" s="1"/>
  <c r="J38" i="101"/>
  <c r="I30" i="82"/>
  <c r="I126" i="89"/>
  <c r="F139" i="89" s="1" a="1"/>
  <c r="F139" i="89" s="1"/>
  <c r="AD30" i="80" a="1"/>
  <c r="AD30" i="80" s="1"/>
  <c r="AC30" i="80" a="1"/>
  <c r="AC30" i="80" s="1"/>
  <c r="AE30" i="80" a="1"/>
  <c r="AE30" i="80" s="1"/>
  <c r="AC180" i="81" a="1"/>
  <c r="AC180" i="81" s="1"/>
  <c r="W180" i="81" a="1"/>
  <c r="W180" i="81" s="1"/>
  <c r="Y180" i="81" a="1"/>
  <c r="Y180" i="81" s="1"/>
  <c r="E20" i="81" a="1"/>
  <c r="E48" i="77" a="1"/>
  <c r="E52" i="80" a="1"/>
  <c r="I51" i="85"/>
  <c r="K46" i="87"/>
  <c r="E50" i="87" s="1" a="1"/>
  <c r="E50" i="87" s="1"/>
  <c r="AB107" i="81" a="1"/>
  <c r="AB107" i="81" s="1"/>
  <c r="E33" i="86" a="1"/>
  <c r="E33" i="86" s="1"/>
  <c r="G33" i="86" s="1" a="1"/>
  <c r="G33" i="86" s="1"/>
  <c r="E72" i="86" s="1" a="1"/>
  <c r="E72" i="86" s="1"/>
  <c r="E26" i="86" a="1"/>
  <c r="E26" i="86" s="1"/>
  <c r="G26" i="86" s="1" a="1"/>
  <c r="G26" i="86" s="1"/>
  <c r="E65" i="86" s="1" a="1"/>
  <c r="E65" i="86" s="1"/>
  <c r="E19" i="86" a="1"/>
  <c r="E19" i="86" s="1"/>
  <c r="G19" i="86" s="1" a="1"/>
  <c r="G19" i="86" s="1"/>
  <c r="E58" i="86" s="1" a="1"/>
  <c r="E58" i="86" s="1"/>
  <c r="E33" i="85" a="1"/>
  <c r="E33" i="85" s="1"/>
  <c r="G33" i="85" s="1" a="1"/>
  <c r="G33" i="85" s="1"/>
  <c r="E26" i="85" a="1"/>
  <c r="E26" i="85" s="1"/>
  <c r="G26" i="85" s="1" a="1"/>
  <c r="G26" i="85" s="1"/>
  <c r="E19" i="85" a="1"/>
  <c r="E19" i="85" s="1"/>
  <c r="G19" i="85" s="1" a="1"/>
  <c r="G19" i="85" s="1"/>
  <c r="E32" i="86" a="1"/>
  <c r="E32" i="86" s="1"/>
  <c r="G32" i="86" s="1" a="1"/>
  <c r="G32" i="86" s="1"/>
  <c r="E71" i="86" s="1" a="1"/>
  <c r="E71" i="86" s="1"/>
  <c r="E25" i="86" a="1"/>
  <c r="E25" i="86" s="1"/>
  <c r="G25" i="86" s="1" a="1"/>
  <c r="G25" i="86" s="1"/>
  <c r="E64" i="86" s="1" a="1"/>
  <c r="E64" i="86" s="1"/>
  <c r="E32" i="85" a="1"/>
  <c r="E32" i="85" s="1"/>
  <c r="G32" i="85" s="1" a="1"/>
  <c r="G32" i="85" s="1"/>
  <c r="E25" i="85" a="1"/>
  <c r="E25" i="85" s="1"/>
  <c r="G25" i="85" s="1" a="1"/>
  <c r="G25" i="85" s="1"/>
  <c r="E31" i="86" a="1"/>
  <c r="E31" i="86" s="1"/>
  <c r="G31" i="86" s="1" a="1"/>
  <c r="G31" i="86" s="1"/>
  <c r="E70" i="86" s="1" a="1"/>
  <c r="E70" i="86" s="1"/>
  <c r="E24" i="86" a="1"/>
  <c r="E24" i="86" s="1"/>
  <c r="G24" i="86" s="1" a="1"/>
  <c r="G24" i="86" s="1"/>
  <c r="E63" i="86" s="1" a="1"/>
  <c r="E63" i="86" s="1"/>
  <c r="E31" i="85" a="1"/>
  <c r="E31" i="85" s="1"/>
  <c r="G31" i="85" s="1" a="1"/>
  <c r="G31" i="85" s="1"/>
  <c r="E24" i="85" a="1"/>
  <c r="E24" i="85" s="1"/>
  <c r="G24" i="85" s="1" a="1"/>
  <c r="G24" i="85" s="1"/>
  <c r="E37" i="86" a="1"/>
  <c r="E37" i="86" s="1"/>
  <c r="G37" i="86" s="1" a="1"/>
  <c r="G37" i="86" s="1"/>
  <c r="E76" i="86" s="1" a="1"/>
  <c r="E76" i="86" s="1"/>
  <c r="E30" i="86" a="1"/>
  <c r="E30" i="86" s="1"/>
  <c r="G30" i="86" s="1" a="1"/>
  <c r="G30" i="86" s="1"/>
  <c r="E69" i="86" s="1" a="1"/>
  <c r="E69" i="86" s="1"/>
  <c r="E23" i="86" a="1"/>
  <c r="E23" i="86" s="1"/>
  <c r="G23" i="86" s="1" a="1"/>
  <c r="G23" i="86" s="1"/>
  <c r="E62" i="86" s="1" a="1"/>
  <c r="E62" i="86" s="1"/>
  <c r="E37" i="85" a="1"/>
  <c r="E37" i="85" s="1"/>
  <c r="G37" i="85" s="1" a="1"/>
  <c r="G37" i="85" s="1"/>
  <c r="E30" i="85" a="1"/>
  <c r="E30" i="85" s="1"/>
  <c r="G30" i="85" s="1" a="1"/>
  <c r="G30" i="85" s="1"/>
  <c r="E23" i="85" a="1"/>
  <c r="E23" i="85" s="1"/>
  <c r="G23" i="85" s="1" a="1"/>
  <c r="G23" i="85" s="1"/>
  <c r="E36" i="86" a="1"/>
  <c r="E36" i="86" s="1"/>
  <c r="G36" i="86" s="1" a="1"/>
  <c r="G36" i="86" s="1"/>
  <c r="E75" i="86" s="1" a="1"/>
  <c r="E75" i="86" s="1"/>
  <c r="E29" i="86" a="1"/>
  <c r="E29" i="86" s="1"/>
  <c r="G29" i="86" s="1" a="1"/>
  <c r="G29" i="86" s="1"/>
  <c r="E68" i="86" s="1" a="1"/>
  <c r="E68" i="86" s="1"/>
  <c r="E22" i="86" a="1"/>
  <c r="E22" i="86" s="1"/>
  <c r="G22" i="86" s="1" a="1"/>
  <c r="G22" i="86" s="1"/>
  <c r="E61" i="86" s="1" a="1"/>
  <c r="E61" i="86" s="1"/>
  <c r="E36" i="85" a="1"/>
  <c r="E36" i="85" s="1"/>
  <c r="G36" i="85" s="1" a="1"/>
  <c r="G36" i="85" s="1"/>
  <c r="E29" i="85" a="1"/>
  <c r="E29" i="85" s="1"/>
  <c r="G29" i="85" s="1" a="1"/>
  <c r="G29" i="85" s="1"/>
  <c r="E22" i="85" a="1"/>
  <c r="E22" i="85" s="1"/>
  <c r="G22" i="85" s="1" a="1"/>
  <c r="G22" i="85" s="1"/>
  <c r="E35" i="86" a="1"/>
  <c r="E35" i="86" s="1"/>
  <c r="G35" i="86" s="1" a="1"/>
  <c r="G35" i="86" s="1"/>
  <c r="E74" i="86" s="1" a="1"/>
  <c r="E74" i="86" s="1"/>
  <c r="E28" i="86" a="1"/>
  <c r="E28" i="86" s="1"/>
  <c r="G28" i="86" s="1" a="1"/>
  <c r="G28" i="86" s="1"/>
  <c r="E67" i="86" s="1" a="1"/>
  <c r="E67" i="86" s="1"/>
  <c r="E21" i="86" a="1"/>
  <c r="E21" i="86" s="1"/>
  <c r="G21" i="86" s="1" a="1"/>
  <c r="G21" i="86" s="1"/>
  <c r="E60" i="86" s="1" a="1"/>
  <c r="E60" i="86" s="1"/>
  <c r="E35" i="85" a="1"/>
  <c r="E35" i="85" s="1"/>
  <c r="G35" i="85" s="1" a="1"/>
  <c r="G35" i="85" s="1"/>
  <c r="E28" i="85" a="1"/>
  <c r="E28" i="85" s="1"/>
  <c r="G28" i="85" s="1" a="1"/>
  <c r="G28" i="85" s="1"/>
  <c r="E21" i="85" a="1"/>
  <c r="E21" i="85" s="1"/>
  <c r="G21" i="85" s="1" a="1"/>
  <c r="G21" i="85" s="1"/>
  <c r="E34" i="86" a="1"/>
  <c r="E34" i="86" s="1"/>
  <c r="G34" i="86" s="1" a="1"/>
  <c r="G34" i="86" s="1"/>
  <c r="E73" i="86" s="1" a="1"/>
  <c r="E73" i="86" s="1"/>
  <c r="E27" i="86" a="1"/>
  <c r="E27" i="86" s="1"/>
  <c r="G27" i="86" s="1" a="1"/>
  <c r="G27" i="86" s="1"/>
  <c r="E66" i="86" s="1" a="1"/>
  <c r="E66" i="86" s="1"/>
  <c r="E20" i="86" a="1"/>
  <c r="E20" i="86" s="1"/>
  <c r="G20" i="86" s="1" a="1"/>
  <c r="G20" i="86" s="1"/>
  <c r="E59" i="86" s="1" a="1"/>
  <c r="E59" i="86" s="1"/>
  <c r="E34" i="85" a="1"/>
  <c r="E34" i="85" s="1"/>
  <c r="G34" i="85" s="1" a="1"/>
  <c r="G34" i="85" s="1"/>
  <c r="E27" i="85" a="1"/>
  <c r="E27" i="85" s="1"/>
  <c r="G27" i="85" s="1" a="1"/>
  <c r="G27" i="85" s="1"/>
  <c r="E20" i="85" a="1"/>
  <c r="E20" i="85" s="1"/>
  <c r="G20" i="85" s="1" a="1"/>
  <c r="G20" i="85" s="1"/>
  <c r="E153" i="81" a="1"/>
  <c r="E153" i="81" s="1"/>
  <c r="E24" i="72"/>
  <c r="F67" i="13" s="1"/>
  <c r="J33" i="100"/>
  <c r="E25" i="101"/>
  <c r="I25" i="101" s="1" a="1"/>
  <c r="I25" i="101" s="1"/>
  <c r="D46" i="101" s="1"/>
  <c r="T33" i="100"/>
  <c r="O40" i="100" s="1" a="1"/>
  <c r="O40" i="100" s="1"/>
  <c r="Q42" i="100" s="1"/>
  <c r="O45" i="100" s="1" a="1"/>
  <c r="O45" i="100" s="1"/>
  <c r="O25" i="101"/>
  <c r="S25" i="101" s="1" a="1"/>
  <c r="S25" i="101" s="1"/>
  <c r="N46" i="101" s="1"/>
  <c r="E62" i="96"/>
  <c r="E58" i="96"/>
  <c r="F18" i="13" a="1"/>
  <c r="F18" i="13" s="1"/>
  <c r="I18" i="13" s="1" a="1"/>
  <c r="I18" i="13" s="1"/>
  <c r="E64" i="96"/>
  <c r="E55" i="96"/>
  <c r="E43" i="96"/>
  <c r="E46" i="96"/>
  <c r="E63" i="96"/>
  <c r="E56" i="96"/>
  <c r="E50" i="97"/>
  <c r="E51" i="97"/>
  <c r="E52" i="97"/>
  <c r="E49" i="97"/>
  <c r="E44" i="96"/>
  <c r="E45" i="96"/>
  <c r="AA100" i="81" a="1"/>
  <c r="AA100" i="81" s="1"/>
  <c r="AC100" i="81" a="1"/>
  <c r="AC100" i="81" s="1"/>
  <c r="AA110" i="81" a="1"/>
  <c r="AA110" i="81" s="1"/>
  <c r="AB110" i="81" a="1"/>
  <c r="AB110" i="81" s="1"/>
  <c r="AC35" i="80" a="1"/>
  <c r="AC35" i="80" s="1"/>
  <c r="J95" i="81" a="1"/>
  <c r="J95" i="81" s="1"/>
  <c r="K95" i="81" a="1"/>
  <c r="K95" i="81" s="1"/>
  <c r="AE35" i="80" a="1"/>
  <c r="AE35" i="80" s="1"/>
  <c r="N33" i="80" a="1"/>
  <c r="N33" i="80" s="1"/>
  <c r="M33" i="80" a="1"/>
  <c r="M33" i="80" s="1"/>
  <c r="L33" i="80" a="1"/>
  <c r="L33" i="80" s="1"/>
  <c r="AD36" i="80" a="1"/>
  <c r="AD36" i="80" s="1"/>
  <c r="AC36" i="80" a="1"/>
  <c r="AC36" i="80" s="1"/>
  <c r="AE36" i="80" a="1"/>
  <c r="AE36" i="80" s="1"/>
  <c r="N30" i="80" a="1"/>
  <c r="N30" i="80" s="1"/>
  <c r="M30" i="80" a="1"/>
  <c r="M30" i="80" s="1"/>
  <c r="L30" i="80" a="1"/>
  <c r="L30" i="80" s="1"/>
  <c r="N31" i="80" a="1"/>
  <c r="N31" i="80" s="1"/>
  <c r="M31" i="80" a="1"/>
  <c r="M31" i="80" s="1"/>
  <c r="L31" i="80" a="1"/>
  <c r="L31" i="80" s="1"/>
  <c r="O45" i="85" l="1"/>
  <c r="V50" i="85" a="1"/>
  <c r="V50" i="85" s="1"/>
  <c r="W47" i="85"/>
  <c r="V46" i="85" a="1"/>
  <c r="V46" i="85" s="1"/>
  <c r="Q47" i="85"/>
  <c r="R49" i="85" a="1"/>
  <c r="R49" i="85" s="1"/>
  <c r="W48" i="85"/>
  <c r="O80" i="85" s="1" a="1"/>
  <c r="O80" i="85" s="1"/>
  <c r="P80" i="85" s="1" a="1"/>
  <c r="P80" i="85" s="1"/>
  <c r="T46" i="85"/>
  <c r="U46" i="85" s="1"/>
  <c r="E77" i="90"/>
  <c r="J90" i="90" s="1"/>
  <c r="E78" i="86"/>
  <c r="E13" i="13" s="1" a="1"/>
  <c r="E13" i="13" s="1"/>
  <c r="H13" i="13" s="1"/>
  <c r="W49" i="85"/>
  <c r="O81" i="85" s="1" a="1"/>
  <c r="O81" i="85" s="1"/>
  <c r="Q46" i="85"/>
  <c r="S47" i="85" a="1"/>
  <c r="S47" i="85" s="1"/>
  <c r="R47" i="85" a="1"/>
  <c r="R47" i="85" s="1"/>
  <c r="V52" i="85" a="1"/>
  <c r="V52" i="85" s="1"/>
  <c r="T47" i="85"/>
  <c r="U47" i="85" s="1"/>
  <c r="R48" i="85" a="1"/>
  <c r="R48" i="85" s="1"/>
  <c r="Q48" i="85"/>
  <c r="S49" i="85" a="1"/>
  <c r="S49" i="85" s="1"/>
  <c r="T49" i="85"/>
  <c r="U49" i="85" s="1"/>
  <c r="T48" i="85"/>
  <c r="U48" i="85" s="1"/>
  <c r="S48" i="85" a="1"/>
  <c r="S48" i="85" s="1"/>
  <c r="R46" i="85" a="1"/>
  <c r="R46" i="85" s="1"/>
  <c r="Q49" i="85"/>
  <c r="W46" i="85"/>
  <c r="O79" i="85" s="1" a="1"/>
  <c r="O79" i="85" s="1"/>
  <c r="P79" i="85" s="1" a="1"/>
  <c r="P79" i="85" s="1"/>
  <c r="V47" i="85" a="1"/>
  <c r="V47" i="85" s="1"/>
  <c r="J87" i="80" a="1"/>
  <c r="J87" i="80" s="1"/>
  <c r="J134" i="80" s="1" a="1"/>
  <c r="J134" i="80" s="1"/>
  <c r="K184" i="80" s="1" a="1"/>
  <c r="K184" i="80" s="1"/>
  <c r="K242" i="80" s="1" a="1"/>
  <c r="K242" i="80" s="1"/>
  <c r="I86" i="80" a="1"/>
  <c r="I86" i="80" s="1"/>
  <c r="I133" i="80" s="1" a="1"/>
  <c r="I133" i="80" s="1"/>
  <c r="J179" i="80" s="1" a="1"/>
  <c r="J179" i="80" s="1"/>
  <c r="J237" i="80" s="1" a="1"/>
  <c r="J237" i="80" s="1"/>
  <c r="Z84" i="77" a="1"/>
  <c r="Z84" i="77" s="1"/>
  <c r="Z105" i="77" s="1" a="1"/>
  <c r="Z105" i="77" s="1"/>
  <c r="Z157" i="77" s="1" a="1"/>
  <c r="Z157" i="77" s="1"/>
  <c r="AA78" i="77" a="1"/>
  <c r="AA78" i="77" s="1"/>
  <c r="AA99" i="77" s="1" a="1"/>
  <c r="AA99" i="77" s="1"/>
  <c r="AA151" i="77" s="1" a="1"/>
  <c r="AA151" i="77" s="1"/>
  <c r="AC87" i="80" a="1"/>
  <c r="AC87" i="80" s="1"/>
  <c r="AC142" i="80" s="1" a="1"/>
  <c r="AC142" i="80" s="1"/>
  <c r="AD188" i="80" s="1" a="1"/>
  <c r="AD188" i="80" s="1"/>
  <c r="AD262" i="80" s="1" a="1"/>
  <c r="AD262" i="80" s="1"/>
  <c r="H84" i="80" a="1"/>
  <c r="H84" i="80" s="1"/>
  <c r="J86" i="80" a="1"/>
  <c r="J86" i="80" s="1"/>
  <c r="J133" i="80" s="1" a="1"/>
  <c r="J133" i="80" s="1"/>
  <c r="J85" i="80" a="1"/>
  <c r="J85" i="80" s="1"/>
  <c r="J132" i="80" s="1" a="1"/>
  <c r="J132" i="80" s="1"/>
  <c r="AC84" i="80" a="1"/>
  <c r="AC84" i="80" s="1"/>
  <c r="AC139" i="80" s="1" a="1"/>
  <c r="AC139" i="80" s="1"/>
  <c r="AD197" i="80" s="1" a="1"/>
  <c r="AD197" i="80" s="1"/>
  <c r="AD271" i="80" s="1" a="1"/>
  <c r="AD271" i="80" s="1"/>
  <c r="H87" i="80" a="1"/>
  <c r="H87" i="80" s="1"/>
  <c r="H134" i="80" s="1" a="1"/>
  <c r="H134" i="80" s="1"/>
  <c r="I184" i="80" s="1" a="1"/>
  <c r="I184" i="80" s="1"/>
  <c r="I242" i="80" s="1" a="1"/>
  <c r="I242" i="80" s="1"/>
  <c r="I87" i="80" a="1"/>
  <c r="I87" i="80" s="1"/>
  <c r="I134" i="80" s="1" a="1"/>
  <c r="I134" i="80" s="1"/>
  <c r="J184" i="80" s="1" a="1"/>
  <c r="J184" i="80" s="1"/>
  <c r="J242" i="80" s="1" a="1"/>
  <c r="J242" i="80" s="1"/>
  <c r="AC78" i="80" a="1"/>
  <c r="AC78" i="80" s="1"/>
  <c r="AC133" i="80" s="1" a="1"/>
  <c r="AC133" i="80" s="1"/>
  <c r="AD191" i="80" s="1" a="1"/>
  <c r="AD191" i="80" s="1"/>
  <c r="AD265" i="80" s="1" a="1"/>
  <c r="AD265" i="80" s="1"/>
  <c r="AA77" i="80" a="1"/>
  <c r="AA77" i="80" s="1"/>
  <c r="AA132" i="80" s="1" a="1"/>
  <c r="AA132" i="80" s="1"/>
  <c r="AB82" i="80" a="1"/>
  <c r="AB82" i="80" s="1"/>
  <c r="AB137" i="80" s="1" a="1"/>
  <c r="AB137" i="80" s="1"/>
  <c r="AA84" i="80" a="1"/>
  <c r="AA84" i="80" s="1"/>
  <c r="AA139" i="80" s="1" a="1"/>
  <c r="AA139" i="80" s="1"/>
  <c r="AB185" i="80" s="1" a="1"/>
  <c r="AB185" i="80" s="1"/>
  <c r="AB259" i="80" s="1" a="1"/>
  <c r="AB259" i="80" s="1"/>
  <c r="AA85" i="80" a="1"/>
  <c r="AA85" i="80" s="1"/>
  <c r="AA140" i="80" s="1" a="1"/>
  <c r="AA140" i="80" s="1"/>
  <c r="AB198" i="80" s="1" a="1"/>
  <c r="AB198" i="80" s="1"/>
  <c r="AB272" i="80" s="1" a="1"/>
  <c r="AB272" i="80" s="1"/>
  <c r="H85" i="80" a="1"/>
  <c r="H85" i="80" s="1"/>
  <c r="I85" i="80" a="1"/>
  <c r="I85" i="80" s="1"/>
  <c r="AA81" i="80" a="1"/>
  <c r="AA81" i="80" s="1"/>
  <c r="AA136" i="80" s="1" a="1"/>
  <c r="AA136" i="80" s="1"/>
  <c r="AB182" i="80" s="1" a="1"/>
  <c r="AB182" i="80" s="1"/>
  <c r="AB256" i="80" s="1" a="1"/>
  <c r="AB256" i="80" s="1"/>
  <c r="AA82" i="80" a="1"/>
  <c r="AA82" i="80" s="1"/>
  <c r="AA137" i="80" s="1" a="1"/>
  <c r="AA137" i="80" s="1"/>
  <c r="AB183" i="80" s="1" a="1"/>
  <c r="AB183" i="80" s="1"/>
  <c r="AB257" i="80" s="1" a="1"/>
  <c r="AB257" i="80" s="1"/>
  <c r="H65" i="77" a="1"/>
  <c r="H65" i="77" s="1"/>
  <c r="H86" i="77" s="1" a="1"/>
  <c r="H86" i="77" s="1"/>
  <c r="H124" i="77" s="1" a="1"/>
  <c r="H124" i="77" s="1"/>
  <c r="I84" i="80" a="1"/>
  <c r="I84" i="80" s="1"/>
  <c r="I131" i="80" s="1" a="1"/>
  <c r="I131" i="80" s="1"/>
  <c r="J181" i="80" s="1" a="1"/>
  <c r="J181" i="80" s="1"/>
  <c r="J239" i="80" s="1" a="1"/>
  <c r="J239" i="80" s="1"/>
  <c r="J84" i="80" a="1"/>
  <c r="J84" i="80" s="1"/>
  <c r="J131" i="80" s="1" a="1"/>
  <c r="J131" i="80" s="1"/>
  <c r="E14" i="13" a="1"/>
  <c r="E14" i="13" s="1"/>
  <c r="G52" i="87"/>
  <c r="E55" i="87" s="1" a="1"/>
  <c r="E55" i="87" s="1"/>
  <c r="E60" i="85" a="1"/>
  <c r="E60" i="85" s="1"/>
  <c r="E19" i="89"/>
  <c r="H19" i="89" s="1" a="1"/>
  <c r="H19" i="89" s="1"/>
  <c r="E59" i="89" s="1"/>
  <c r="F59" i="89" s="1" a="1"/>
  <c r="F59" i="89" s="1"/>
  <c r="E23" i="90"/>
  <c r="F23" i="90" s="1" a="1"/>
  <c r="F23" i="90" s="1"/>
  <c r="E31" i="90"/>
  <c r="F31" i="90" s="1" a="1"/>
  <c r="F31" i="90" s="1"/>
  <c r="E27" i="89"/>
  <c r="H27" i="89" s="1" a="1"/>
  <c r="H27" i="89" s="1"/>
  <c r="E67" i="89" s="1"/>
  <c r="F67" i="89" s="1" a="1"/>
  <c r="F67" i="89" s="1"/>
  <c r="E68" i="85" a="1"/>
  <c r="E68" i="85" s="1"/>
  <c r="I66" i="77" a="1"/>
  <c r="I66" i="77" s="1"/>
  <c r="I87" i="77" s="1" a="1"/>
  <c r="I87" i="77" s="1"/>
  <c r="I125" i="77" s="1" a="1"/>
  <c r="I125" i="77" s="1"/>
  <c r="J65" i="77" a="1"/>
  <c r="J65" i="77" s="1"/>
  <c r="J86" i="77" s="1" a="1"/>
  <c r="J86" i="77" s="1"/>
  <c r="J124" i="77" s="1" a="1"/>
  <c r="J124" i="77" s="1"/>
  <c r="Z83" i="77" a="1"/>
  <c r="Z83" i="77" s="1"/>
  <c r="Z104" i="77" s="1" a="1"/>
  <c r="Z104" i="77" s="1"/>
  <c r="Z156" i="77" s="1" a="1"/>
  <c r="Z156" i="77" s="1"/>
  <c r="E67" i="85" a="1"/>
  <c r="E67" i="85" s="1"/>
  <c r="E26" i="89"/>
  <c r="H26" i="89" s="1" a="1"/>
  <c r="H26" i="89" s="1"/>
  <c r="E66" i="89" s="1"/>
  <c r="F66" i="89" s="1" a="1"/>
  <c r="F66" i="89" s="1"/>
  <c r="E30" i="90"/>
  <c r="F30" i="90" s="1" a="1"/>
  <c r="F30" i="90" s="1"/>
  <c r="Y78" i="77" a="1"/>
  <c r="Y78" i="77" s="1"/>
  <c r="Y99" i="77" s="1" a="1"/>
  <c r="Y99" i="77" s="1"/>
  <c r="Y151" i="77" s="1" a="1"/>
  <c r="Y151" i="77" s="1"/>
  <c r="AD86" i="80" a="1"/>
  <c r="AD86" i="80" s="1"/>
  <c r="AD141" i="80" s="1" a="1"/>
  <c r="AD141" i="80" s="1"/>
  <c r="AG84" i="80" a="1"/>
  <c r="AG84" i="80" s="1"/>
  <c r="AG139" i="80" s="1" a="1"/>
  <c r="AG139" i="80" s="1"/>
  <c r="AD81" i="80" a="1"/>
  <c r="AD81" i="80" s="1"/>
  <c r="AD136" i="80" s="1" a="1"/>
  <c r="AD136" i="80" s="1"/>
  <c r="AF81" i="80" a="1"/>
  <c r="AF81" i="80" s="1"/>
  <c r="AF136" i="80" s="1" a="1"/>
  <c r="AF136" i="80" s="1"/>
  <c r="X86" i="80" a="1"/>
  <c r="X86" i="80" s="1"/>
  <c r="X141" i="80" s="1" a="1"/>
  <c r="X141" i="80" s="1"/>
  <c r="AE78" i="80" a="1"/>
  <c r="AE78" i="80" s="1"/>
  <c r="AE133" i="80" s="1" a="1"/>
  <c r="AE133" i="80" s="1"/>
  <c r="AD78" i="80" a="1"/>
  <c r="AD78" i="80" s="1"/>
  <c r="AD133" i="80" s="1" a="1"/>
  <c r="AD133" i="80" s="1"/>
  <c r="AD82" i="80" a="1"/>
  <c r="AD82" i="80" s="1"/>
  <c r="AD137" i="80" s="1" a="1"/>
  <c r="AD137" i="80" s="1"/>
  <c r="Z84" i="80" a="1"/>
  <c r="Z84" i="80" s="1"/>
  <c r="Z139" i="80" s="1" a="1"/>
  <c r="Z139" i="80" s="1"/>
  <c r="Y82" i="80" a="1"/>
  <c r="Y82" i="80" s="1"/>
  <c r="Y137" i="80" s="1" a="1"/>
  <c r="Y137" i="80" s="1"/>
  <c r="AE87" i="80" a="1"/>
  <c r="AE87" i="80" s="1"/>
  <c r="AE142" i="80" s="1" a="1"/>
  <c r="AE142" i="80" s="1"/>
  <c r="AE83" i="80" a="1"/>
  <c r="AE83" i="80" s="1"/>
  <c r="AE138" i="80" s="1" a="1"/>
  <c r="AE138" i="80" s="1"/>
  <c r="AD83" i="80" a="1"/>
  <c r="AD83" i="80" s="1"/>
  <c r="AD138" i="80" s="1" a="1"/>
  <c r="AD138" i="80" s="1"/>
  <c r="X87" i="80" a="1"/>
  <c r="X87" i="80" s="1"/>
  <c r="X142" i="80" s="1" a="1"/>
  <c r="X142" i="80" s="1"/>
  <c r="Z87" i="80" a="1"/>
  <c r="Z87" i="80" s="1"/>
  <c r="Z142" i="80" s="1" a="1"/>
  <c r="Z142" i="80" s="1"/>
  <c r="AG80" i="80" a="1"/>
  <c r="AG80" i="80" s="1"/>
  <c r="AG135" i="80" s="1" a="1"/>
  <c r="AG135" i="80" s="1"/>
  <c r="X44" i="80"/>
  <c r="X76" i="80" s="1" a="1"/>
  <c r="X76" i="80" s="1"/>
  <c r="X131" i="80" s="1" a="1"/>
  <c r="X131" i="80" s="1"/>
  <c r="AE84" i="80" a="1"/>
  <c r="AE84" i="80" s="1"/>
  <c r="AE139" i="80" s="1" a="1"/>
  <c r="AE139" i="80" s="1"/>
  <c r="AF77" i="80" a="1"/>
  <c r="AF77" i="80" s="1"/>
  <c r="AF132" i="80" s="1" a="1"/>
  <c r="AF132" i="80" s="1"/>
  <c r="X85" i="80" a="1"/>
  <c r="X85" i="80" s="1"/>
  <c r="X140" i="80" s="1" a="1"/>
  <c r="X140" i="80" s="1"/>
  <c r="X79" i="80" a="1"/>
  <c r="X79" i="80" s="1"/>
  <c r="X134" i="80" s="1" a="1"/>
  <c r="X134" i="80" s="1"/>
  <c r="Z80" i="80" a="1"/>
  <c r="Z80" i="80" s="1"/>
  <c r="Z135" i="80" s="1" a="1"/>
  <c r="Z135" i="80" s="1"/>
  <c r="Z83" i="80" a="1"/>
  <c r="Z83" i="80" s="1"/>
  <c r="Z138" i="80" s="1" a="1"/>
  <c r="Z138" i="80" s="1"/>
  <c r="Z77" i="80" a="1"/>
  <c r="Z77" i="80" s="1"/>
  <c r="Z132" i="80" s="1" a="1"/>
  <c r="Z132" i="80" s="1"/>
  <c r="AE80" i="80" a="1"/>
  <c r="AE80" i="80" s="1"/>
  <c r="AE135" i="80" s="1" a="1"/>
  <c r="AE135" i="80" s="1"/>
  <c r="AD76" i="80" a="1"/>
  <c r="AD76" i="80" s="1"/>
  <c r="AD131" i="80" s="1" a="1"/>
  <c r="AD131" i="80" s="1"/>
  <c r="Z81" i="80" a="1"/>
  <c r="Z81" i="80" s="1"/>
  <c r="Z136" i="80" s="1" a="1"/>
  <c r="Z136" i="80" s="1"/>
  <c r="AD79" i="80" a="1"/>
  <c r="AD79" i="80" s="1"/>
  <c r="AD134" i="80" s="1" a="1"/>
  <c r="AD134" i="80" s="1"/>
  <c r="Z78" i="80" a="1"/>
  <c r="Z78" i="80" s="1"/>
  <c r="Z133" i="80" s="1" a="1"/>
  <c r="Z133" i="80" s="1"/>
  <c r="Y78" i="80" a="1"/>
  <c r="Y78" i="80" s="1"/>
  <c r="Y133" i="80" s="1" a="1"/>
  <c r="Y133" i="80" s="1"/>
  <c r="AF78" i="80" a="1"/>
  <c r="AF78" i="80" s="1"/>
  <c r="AF133" i="80" s="1" a="1"/>
  <c r="AF133" i="80" s="1"/>
  <c r="AG81" i="80" a="1"/>
  <c r="AG81" i="80" s="1"/>
  <c r="AG136" i="80" s="1" a="1"/>
  <c r="AG136" i="80" s="1"/>
  <c r="Z79" i="80" a="1"/>
  <c r="Z79" i="80" s="1"/>
  <c r="Z134" i="80" s="1" a="1"/>
  <c r="Z134" i="80" s="1"/>
  <c r="AE77" i="80" a="1"/>
  <c r="AE77" i="80" s="1"/>
  <c r="AE132" i="80" s="1" a="1"/>
  <c r="AE132" i="80" s="1"/>
  <c r="AF84" i="80" a="1"/>
  <c r="AF84" i="80" s="1"/>
  <c r="AF139" i="80" s="1" a="1"/>
  <c r="AF139" i="80" s="1"/>
  <c r="X83" i="80" a="1"/>
  <c r="X83" i="80" s="1"/>
  <c r="X138" i="80" s="1" a="1"/>
  <c r="X138" i="80" s="1"/>
  <c r="AD80" i="80" a="1"/>
  <c r="AD80" i="80" s="1"/>
  <c r="AD135" i="80" s="1" a="1"/>
  <c r="AD135" i="80" s="1"/>
  <c r="Y76" i="80" a="1"/>
  <c r="Y76" i="80" s="1"/>
  <c r="Y131" i="80" s="1" a="1"/>
  <c r="Y131" i="80" s="1"/>
  <c r="X81" i="80" a="1"/>
  <c r="X81" i="80" s="1"/>
  <c r="X136" i="80" s="1" a="1"/>
  <c r="X136" i="80" s="1"/>
  <c r="AE82" i="80" a="1"/>
  <c r="AE82" i="80" s="1"/>
  <c r="AE137" i="80" s="1" a="1"/>
  <c r="AE137" i="80" s="1"/>
  <c r="X77" i="80" a="1"/>
  <c r="X77" i="80" s="1"/>
  <c r="X132" i="80" s="1" a="1"/>
  <c r="X132" i="80" s="1"/>
  <c r="AF76" i="80" a="1"/>
  <c r="AF76" i="80" s="1"/>
  <c r="AF131" i="80" s="1" a="1"/>
  <c r="AF131" i="80" s="1"/>
  <c r="X80" i="80" a="1"/>
  <c r="X80" i="80" s="1"/>
  <c r="X135" i="80" s="1" a="1"/>
  <c r="X135" i="80" s="1"/>
  <c r="AF83" i="80" a="1"/>
  <c r="AF83" i="80" s="1"/>
  <c r="AF138" i="80" s="1" a="1"/>
  <c r="AF138" i="80" s="1"/>
  <c r="Y79" i="80" a="1"/>
  <c r="Y79" i="80" s="1"/>
  <c r="Y134" i="80" s="1" a="1"/>
  <c r="Y134" i="80" s="1"/>
  <c r="Y84" i="80" a="1"/>
  <c r="Y84" i="80" s="1"/>
  <c r="Y139" i="80" s="1" a="1"/>
  <c r="Y139" i="80" s="1"/>
  <c r="AG86" i="80" a="1"/>
  <c r="AG86" i="80" s="1"/>
  <c r="AG141" i="80" s="1" a="1"/>
  <c r="AG141" i="80" s="1"/>
  <c r="Y83" i="80" a="1"/>
  <c r="Y83" i="80" s="1"/>
  <c r="Y138" i="80" s="1" a="1"/>
  <c r="Y138" i="80" s="1"/>
  <c r="AD85" i="80" a="1"/>
  <c r="AD85" i="80" s="1"/>
  <c r="AD140" i="80" s="1" a="1"/>
  <c r="AD140" i="80" s="1"/>
  <c r="AF80" i="80" a="1"/>
  <c r="AF80" i="80" s="1"/>
  <c r="AF135" i="80" s="1" a="1"/>
  <c r="AF135" i="80" s="1"/>
  <c r="AG85" i="80" a="1"/>
  <c r="AG85" i="80" s="1"/>
  <c r="AG140" i="80" s="1" a="1"/>
  <c r="AG140" i="80" s="1"/>
  <c r="Z86" i="80" a="1"/>
  <c r="Z86" i="80" s="1"/>
  <c r="Z141" i="80" s="1" a="1"/>
  <c r="Z141" i="80" s="1"/>
  <c r="AG79" i="80" a="1"/>
  <c r="AG79" i="80" s="1"/>
  <c r="AG134" i="80" s="1" a="1"/>
  <c r="AG134" i="80" s="1"/>
  <c r="Z82" i="80" a="1"/>
  <c r="Z82" i="80" s="1"/>
  <c r="Z137" i="80" s="1" a="1"/>
  <c r="Z137" i="80" s="1"/>
  <c r="Y87" i="80" a="1"/>
  <c r="Y87" i="80" s="1"/>
  <c r="Y142" i="80" s="1" a="1"/>
  <c r="Y142" i="80" s="1"/>
  <c r="AF79" i="80" a="1"/>
  <c r="AF79" i="80" s="1"/>
  <c r="AF134" i="80" s="1" a="1"/>
  <c r="AF134" i="80" s="1"/>
  <c r="AG76" i="80" a="1"/>
  <c r="AG76" i="80" s="1"/>
  <c r="AG131" i="80" s="1" a="1"/>
  <c r="AG131" i="80" s="1"/>
  <c r="AD77" i="80" a="1"/>
  <c r="AD77" i="80" s="1"/>
  <c r="AD132" i="80" s="1" a="1"/>
  <c r="AD132" i="80" s="1"/>
  <c r="X84" i="80" a="1"/>
  <c r="X84" i="80" s="1"/>
  <c r="X139" i="80" s="1" a="1"/>
  <c r="X139" i="80" s="1"/>
  <c r="AE76" i="80" a="1"/>
  <c r="AE76" i="80" s="1"/>
  <c r="AE131" i="80" s="1" a="1"/>
  <c r="AE131" i="80" s="1"/>
  <c r="Y86" i="80" a="1"/>
  <c r="Y86" i="80" s="1"/>
  <c r="Y141" i="80" s="1" a="1"/>
  <c r="Y141" i="80" s="1"/>
  <c r="AG78" i="80" a="1"/>
  <c r="AG78" i="80" s="1"/>
  <c r="AG133" i="80" s="1" a="1"/>
  <c r="AG133" i="80" s="1"/>
  <c r="AF85" i="80" a="1"/>
  <c r="AF85" i="80" s="1"/>
  <c r="AF140" i="80" s="1" a="1"/>
  <c r="AF140" i="80" s="1"/>
  <c r="X78" i="80" a="1"/>
  <c r="X78" i="80" s="1"/>
  <c r="X133" i="80" s="1" a="1"/>
  <c r="X133" i="80" s="1"/>
  <c r="Z85" i="80" a="1"/>
  <c r="Z85" i="80" s="1"/>
  <c r="Z140" i="80" s="1" a="1"/>
  <c r="Z140" i="80" s="1"/>
  <c r="X82" i="80" a="1"/>
  <c r="X82" i="80" s="1"/>
  <c r="X137" i="80" s="1" a="1"/>
  <c r="X137" i="80" s="1"/>
  <c r="Y80" i="80" a="1"/>
  <c r="Y80" i="80" s="1"/>
  <c r="Y135" i="80" s="1" a="1"/>
  <c r="Y135" i="80" s="1"/>
  <c r="AE79" i="80" a="1"/>
  <c r="AE79" i="80" s="1"/>
  <c r="AE134" i="80" s="1" a="1"/>
  <c r="AE134" i="80" s="1"/>
  <c r="AD87" i="80" a="1"/>
  <c r="AD87" i="80" s="1"/>
  <c r="AD142" i="80" s="1" a="1"/>
  <c r="AD142" i="80" s="1"/>
  <c r="AG87" i="80" a="1"/>
  <c r="AG87" i="80" s="1"/>
  <c r="AG142" i="80" s="1" a="1"/>
  <c r="AG142" i="80" s="1"/>
  <c r="Y85" i="80" a="1"/>
  <c r="Y85" i="80" s="1"/>
  <c r="Y140" i="80" s="1" a="1"/>
  <c r="Y140" i="80" s="1"/>
  <c r="Y77" i="80" a="1"/>
  <c r="Y77" i="80" s="1"/>
  <c r="Y132" i="80" s="1" a="1"/>
  <c r="Y132" i="80" s="1"/>
  <c r="AG83" i="80" a="1"/>
  <c r="AG83" i="80" s="1"/>
  <c r="AG138" i="80" s="1" a="1"/>
  <c r="AG138" i="80" s="1"/>
  <c r="Z76" i="80" a="1"/>
  <c r="Z76" i="80" s="1"/>
  <c r="Z131" i="80" s="1" a="1"/>
  <c r="Z131" i="80" s="1"/>
  <c r="Y81" i="80" a="1"/>
  <c r="Y81" i="80" s="1"/>
  <c r="Y136" i="80" s="1" a="1"/>
  <c r="Y136" i="80" s="1"/>
  <c r="AD84" i="80" a="1"/>
  <c r="AD84" i="80" s="1"/>
  <c r="AD139" i="80" s="1" a="1"/>
  <c r="AD139" i="80" s="1"/>
  <c r="AF86" i="80" a="1"/>
  <c r="AF86" i="80" s="1"/>
  <c r="AF141" i="80" s="1" a="1"/>
  <c r="AF141" i="80" s="1"/>
  <c r="AE86" i="80" a="1"/>
  <c r="AE86" i="80" s="1"/>
  <c r="AE141" i="80" s="1" a="1"/>
  <c r="AE141" i="80" s="1"/>
  <c r="AE81" i="80" a="1"/>
  <c r="AE81" i="80" s="1"/>
  <c r="AE136" i="80" s="1" a="1"/>
  <c r="AE136" i="80" s="1"/>
  <c r="AE85" i="80" a="1"/>
  <c r="AE85" i="80" s="1"/>
  <c r="AE140" i="80" s="1" a="1"/>
  <c r="AE140" i="80" s="1"/>
  <c r="AG77" i="80" a="1"/>
  <c r="AG77" i="80" s="1"/>
  <c r="AG132" i="80" s="1" a="1"/>
  <c r="AG132" i="80" s="1"/>
  <c r="AG82" i="80" a="1"/>
  <c r="AG82" i="80" s="1"/>
  <c r="AG137" i="80" s="1" a="1"/>
  <c r="AG137" i="80" s="1"/>
  <c r="AF82" i="80" a="1"/>
  <c r="AF82" i="80" s="1"/>
  <c r="AF137" i="80" s="1" a="1"/>
  <c r="AF137" i="80" s="1"/>
  <c r="AF87" i="80" a="1"/>
  <c r="AF87" i="80" s="1"/>
  <c r="AF142" i="80" s="1" a="1"/>
  <c r="AF142" i="80" s="1"/>
  <c r="AC82" i="80" a="1"/>
  <c r="AC82" i="80" s="1"/>
  <c r="AC137" i="80" s="1" a="1"/>
  <c r="AC137" i="80" s="1"/>
  <c r="AB87" i="80" a="1"/>
  <c r="AB87" i="80" s="1"/>
  <c r="AB142" i="80" s="1" a="1"/>
  <c r="AB142" i="80" s="1"/>
  <c r="AA76" i="80" a="1"/>
  <c r="AA76" i="80" s="1"/>
  <c r="AA131" i="80" s="1" a="1"/>
  <c r="AA131" i="80" s="1"/>
  <c r="AB86" i="80" a="1"/>
  <c r="AB86" i="80" s="1"/>
  <c r="AB141" i="80" s="1" a="1"/>
  <c r="AB141" i="80" s="1"/>
  <c r="AB79" i="80" a="1"/>
  <c r="AB79" i="80" s="1"/>
  <c r="AB134" i="80" s="1" a="1"/>
  <c r="AB134" i="80" s="1"/>
  <c r="AB77" i="80" a="1"/>
  <c r="AB77" i="80" s="1"/>
  <c r="AB132" i="80" s="1" a="1"/>
  <c r="AB132" i="80" s="1"/>
  <c r="AC80" i="80" a="1"/>
  <c r="AC80" i="80" s="1"/>
  <c r="AC135" i="80" s="1" a="1"/>
  <c r="AC135" i="80" s="1"/>
  <c r="AC79" i="80" a="1"/>
  <c r="AC79" i="80" s="1"/>
  <c r="AC134" i="80" s="1" a="1"/>
  <c r="AC134" i="80" s="1"/>
  <c r="AA80" i="80" a="1"/>
  <c r="AA80" i="80" s="1"/>
  <c r="AA135" i="80" s="1" a="1"/>
  <c r="AA135" i="80" s="1"/>
  <c r="AA79" i="80" a="1"/>
  <c r="AA79" i="80" s="1"/>
  <c r="AA134" i="80" s="1" a="1"/>
  <c r="AA134" i="80" s="1"/>
  <c r="AB80" i="80" a="1"/>
  <c r="AB80" i="80" s="1"/>
  <c r="AB135" i="80" s="1" a="1"/>
  <c r="AB135" i="80" s="1"/>
  <c r="Y77" i="77" a="1"/>
  <c r="Y77" i="77" s="1"/>
  <c r="Y98" i="77" s="1" a="1"/>
  <c r="Y98" i="77" s="1"/>
  <c r="Y150" i="77" s="1" a="1"/>
  <c r="Y150" i="77" s="1"/>
  <c r="E25" i="90"/>
  <c r="F25" i="90" s="1" a="1"/>
  <c r="F25" i="90" s="1"/>
  <c r="E21" i="89"/>
  <c r="H21" i="89" s="1" a="1"/>
  <c r="H21" i="89" s="1"/>
  <c r="E61" i="89" s="1"/>
  <c r="F61" i="89" s="1" a="1"/>
  <c r="F61" i="89" s="1"/>
  <c r="E62" i="85" a="1"/>
  <c r="E62" i="85" s="1"/>
  <c r="E41" i="90"/>
  <c r="F41" i="90" s="1" a="1"/>
  <c r="F41" i="90" s="1"/>
  <c r="E37" i="89"/>
  <c r="H37" i="89" s="1" a="1"/>
  <c r="H37" i="89" s="1"/>
  <c r="E77" i="89" s="1"/>
  <c r="F77" i="89" s="1" a="1"/>
  <c r="F77" i="89" s="1"/>
  <c r="E78" i="85" a="1"/>
  <c r="E78" i="85" s="1"/>
  <c r="E33" i="89"/>
  <c r="H33" i="89" s="1" a="1"/>
  <c r="H33" i="89" s="1"/>
  <c r="E73" i="89" s="1"/>
  <c r="F73" i="89" s="1" a="1"/>
  <c r="F73" i="89" s="1"/>
  <c r="E37" i="90"/>
  <c r="F37" i="90" s="1" a="1"/>
  <c r="F37" i="90" s="1"/>
  <c r="E74" i="85" a="1"/>
  <c r="E74" i="85" s="1"/>
  <c r="AA78" i="80" a="1"/>
  <c r="AA78" i="80" s="1"/>
  <c r="AA133" i="80" s="1" a="1"/>
  <c r="AA133" i="80" s="1"/>
  <c r="AC86" i="80" a="1"/>
  <c r="AC86" i="80" s="1"/>
  <c r="AC141" i="80" s="1" a="1"/>
  <c r="AC141" i="80" s="1"/>
  <c r="AB81" i="80" a="1"/>
  <c r="AB81" i="80" s="1"/>
  <c r="AB136" i="80" s="1" a="1"/>
  <c r="AB136" i="80" s="1"/>
  <c r="R45" i="85" a="1"/>
  <c r="R45" i="85" s="1"/>
  <c r="W45" i="85"/>
  <c r="O77" i="85" s="1" a="1"/>
  <c r="O77" i="85" s="1"/>
  <c r="T45" i="85"/>
  <c r="Q45" i="85"/>
  <c r="S45" i="85" a="1"/>
  <c r="S45" i="85" s="1"/>
  <c r="E27" i="90"/>
  <c r="F27" i="90" s="1" a="1"/>
  <c r="F27" i="90" s="1"/>
  <c r="E23" i="89"/>
  <c r="H23" i="89" s="1" a="1"/>
  <c r="H23" i="89" s="1"/>
  <c r="E63" i="89" s="1"/>
  <c r="F63" i="89" s="1" a="1"/>
  <c r="F63" i="89" s="1"/>
  <c r="E64" i="85" a="1"/>
  <c r="E64" i="85" s="1"/>
  <c r="E71" i="85" a="1"/>
  <c r="E71" i="85" s="1"/>
  <c r="E34" i="90"/>
  <c r="F34" i="90" s="1" a="1"/>
  <c r="F34" i="90" s="1"/>
  <c r="E30" i="89"/>
  <c r="H30" i="89" s="1" a="1"/>
  <c r="H30" i="89" s="1"/>
  <c r="E70" i="89" s="1"/>
  <c r="F70" i="89" s="1" a="1"/>
  <c r="F70" i="89" s="1"/>
  <c r="AC83" i="80" a="1"/>
  <c r="AC83" i="80" s="1"/>
  <c r="AC138" i="80" s="1" a="1"/>
  <c r="AC138" i="80" s="1"/>
  <c r="AD184" i="80" s="1" a="1"/>
  <c r="AD184" i="80" s="1"/>
  <c r="AD258" i="80" s="1" a="1"/>
  <c r="AD258" i="80" s="1"/>
  <c r="O46" i="101" a="1"/>
  <c r="O46" i="101" s="1"/>
  <c r="O48" i="101" s="1"/>
  <c r="Q50" i="101" s="1"/>
  <c r="O53" i="101" s="1" a="1"/>
  <c r="O53" i="101" s="1"/>
  <c r="E69" i="85" a="1"/>
  <c r="E69" i="85" s="1"/>
  <c r="E28" i="89"/>
  <c r="H28" i="89" s="1" a="1"/>
  <c r="H28" i="89" s="1"/>
  <c r="E68" i="89" s="1"/>
  <c r="F68" i="89" s="1" a="1"/>
  <c r="F68" i="89" s="1"/>
  <c r="E32" i="90"/>
  <c r="F32" i="90" s="1" a="1"/>
  <c r="F32" i="90" s="1"/>
  <c r="AB83" i="80" a="1"/>
  <c r="AB83" i="80" s="1"/>
  <c r="AB138" i="80" s="1" a="1"/>
  <c r="AB138" i="80" s="1"/>
  <c r="AB78" i="80" a="1"/>
  <c r="AB78" i="80" s="1"/>
  <c r="AB133" i="80" s="1" a="1"/>
  <c r="AB133" i="80" s="1"/>
  <c r="Z78" i="77" a="1"/>
  <c r="Z78" i="77" s="1"/>
  <c r="Z99" i="77" s="1" a="1"/>
  <c r="Z99" i="77" s="1"/>
  <c r="Z151" i="77" s="1" a="1"/>
  <c r="Z151" i="77" s="1"/>
  <c r="Y79" i="77" a="1"/>
  <c r="Y79" i="77" s="1"/>
  <c r="Y100" i="77" s="1" a="1"/>
  <c r="Y100" i="77" s="1"/>
  <c r="Y152" i="77" s="1" a="1"/>
  <c r="Y152" i="77" s="1"/>
  <c r="AB85" i="80" a="1"/>
  <c r="AB85" i="80" s="1"/>
  <c r="AB140" i="80" s="1" a="1"/>
  <c r="AB140" i="80" s="1"/>
  <c r="AC81" i="80" a="1"/>
  <c r="AC81" i="80" s="1"/>
  <c r="AC136" i="80" s="1" a="1"/>
  <c r="AC136" i="80" s="1"/>
  <c r="E75" i="85" a="1"/>
  <c r="E75" i="85" s="1"/>
  <c r="E38" i="90"/>
  <c r="F38" i="90" s="1" a="1"/>
  <c r="F38" i="90" s="1"/>
  <c r="E34" i="89"/>
  <c r="H34" i="89" s="1" a="1"/>
  <c r="H34" i="89" s="1"/>
  <c r="E74" i="89" s="1"/>
  <c r="F74" i="89" s="1" a="1"/>
  <c r="F74" i="89" s="1"/>
  <c r="Z85" i="77" a="1"/>
  <c r="Z85" i="77" s="1"/>
  <c r="Z106" i="77" s="1" a="1"/>
  <c r="Z106" i="77" s="1"/>
  <c r="Z158" i="77" s="1" a="1"/>
  <c r="Z158" i="77" s="1"/>
  <c r="E39" i="90"/>
  <c r="F39" i="90" s="1" a="1"/>
  <c r="F39" i="90" s="1"/>
  <c r="E35" i="89"/>
  <c r="H35" i="89" s="1" a="1"/>
  <c r="H35" i="89" s="1"/>
  <c r="E75" i="89" s="1"/>
  <c r="F75" i="89" s="1" a="1"/>
  <c r="F75" i="89" s="1"/>
  <c r="E76" i="85" a="1"/>
  <c r="E76" i="85" s="1"/>
  <c r="AA87" i="77" a="1"/>
  <c r="AA87" i="77" s="1"/>
  <c r="AA108" i="77" s="1" a="1"/>
  <c r="AA108" i="77" s="1"/>
  <c r="AA160" i="77" s="1" a="1"/>
  <c r="AA160" i="77" s="1"/>
  <c r="Y84" i="77" a="1"/>
  <c r="Y84" i="77" s="1"/>
  <c r="Y105" i="77" s="1" a="1"/>
  <c r="Y105" i="77" s="1"/>
  <c r="Y157" i="77" s="1" a="1"/>
  <c r="Y157" i="77" s="1"/>
  <c r="I65" i="77" a="1"/>
  <c r="I65" i="77" s="1"/>
  <c r="I86" i="77" s="1" a="1"/>
  <c r="I86" i="77" s="1"/>
  <c r="I124" i="77" s="1" a="1"/>
  <c r="I124" i="77" s="1"/>
  <c r="E31" i="88"/>
  <c r="E15" i="13" s="1" a="1"/>
  <c r="E15" i="13" s="1"/>
  <c r="AA86" i="77" a="1"/>
  <c r="AA86" i="77" s="1"/>
  <c r="AA107" i="77" s="1" a="1"/>
  <c r="AA107" i="77" s="1"/>
  <c r="AA159" i="77" s="1" a="1"/>
  <c r="AA159" i="77" s="1"/>
  <c r="F134" i="89" a="1"/>
  <c r="F134" i="89" s="1"/>
  <c r="AB84" i="80" a="1"/>
  <c r="AB84" i="80" s="1"/>
  <c r="AB139" i="80" s="1" a="1"/>
  <c r="AB139" i="80" s="1"/>
  <c r="AC185" i="80" s="1" a="1"/>
  <c r="AC185" i="80" s="1"/>
  <c r="AC259" i="80" s="1" a="1"/>
  <c r="AC259" i="80" s="1"/>
  <c r="E40" i="100" a="1"/>
  <c r="E40" i="100" s="1"/>
  <c r="E65" i="85" a="1"/>
  <c r="E65" i="85" s="1"/>
  <c r="E28" i="90"/>
  <c r="F28" i="90" s="1" a="1"/>
  <c r="F28" i="90" s="1"/>
  <c r="E24" i="89"/>
  <c r="H24" i="89" s="1" a="1"/>
  <c r="H24" i="89" s="1"/>
  <c r="E64" i="89" s="1"/>
  <c r="F64" i="89" s="1" a="1"/>
  <c r="F64" i="89" s="1"/>
  <c r="AB76" i="80" a="1"/>
  <c r="AB76" i="80" s="1"/>
  <c r="AB131" i="80" s="1" a="1"/>
  <c r="AB131" i="80" s="1"/>
  <c r="AA86" i="80" a="1"/>
  <c r="AA86" i="80" s="1"/>
  <c r="AA141" i="80" s="1" a="1"/>
  <c r="AA141" i="80" s="1"/>
  <c r="AC77" i="80" a="1"/>
  <c r="AC77" i="80" s="1"/>
  <c r="AC132" i="80" s="1" a="1"/>
  <c r="AC132" i="80" s="1"/>
  <c r="AA87" i="80" a="1"/>
  <c r="AA87" i="80" s="1"/>
  <c r="AA142" i="80" s="1" a="1"/>
  <c r="AA142" i="80" s="1"/>
  <c r="E73" i="85" a="1"/>
  <c r="E73" i="85" s="1"/>
  <c r="E36" i="90"/>
  <c r="F36" i="90" s="1" a="1"/>
  <c r="F36" i="90" s="1"/>
  <c r="E32" i="89"/>
  <c r="H32" i="89" s="1" a="1"/>
  <c r="H32" i="89" s="1"/>
  <c r="E72" i="89" s="1"/>
  <c r="F72" i="89" s="1" a="1"/>
  <c r="F72" i="89" s="1"/>
  <c r="AA79" i="77" a="1"/>
  <c r="AA79" i="77" s="1"/>
  <c r="AA100" i="77" s="1" a="1"/>
  <c r="AA100" i="77" s="1"/>
  <c r="AA152" i="77" s="1" a="1"/>
  <c r="AA152" i="77" s="1"/>
  <c r="W81" i="77" a="1"/>
  <c r="W81" i="77" s="1"/>
  <c r="W102" i="77" s="1" a="1"/>
  <c r="W102" i="77" s="1"/>
  <c r="W154" i="77" s="1" a="1"/>
  <c r="W154" i="77" s="1"/>
  <c r="W78" i="77" a="1"/>
  <c r="W78" i="77" s="1"/>
  <c r="W99" i="77" s="1" a="1"/>
  <c r="W99" i="77" s="1"/>
  <c r="W151" i="77" s="1" a="1"/>
  <c r="W151" i="77" s="1"/>
  <c r="AB84" i="77" a="1"/>
  <c r="AB84" i="77" s="1"/>
  <c r="AB105" i="77" s="1" a="1"/>
  <c r="AB105" i="77" s="1"/>
  <c r="AB157" i="77" s="1" a="1"/>
  <c r="AB157" i="77" s="1"/>
  <c r="Z81" i="77" a="1"/>
  <c r="Z81" i="77" s="1"/>
  <c r="Z102" i="77" s="1" a="1"/>
  <c r="Z102" i="77" s="1"/>
  <c r="Z154" i="77" s="1" a="1"/>
  <c r="Z154" i="77" s="1"/>
  <c r="V80" i="77" a="1"/>
  <c r="V80" i="77" s="1"/>
  <c r="V101" i="77" s="1" a="1"/>
  <c r="V101" i="77" s="1"/>
  <c r="V153" i="77" s="1" a="1"/>
  <c r="V153" i="77" s="1"/>
  <c r="AE78" i="77" a="1"/>
  <c r="AE78" i="77" s="1"/>
  <c r="AE99" i="77" s="1" a="1"/>
  <c r="AE99" i="77" s="1"/>
  <c r="AE151" i="77" s="1" a="1"/>
  <c r="AE151" i="77" s="1"/>
  <c r="AB77" i="77" a="1"/>
  <c r="AB77" i="77" s="1"/>
  <c r="AB98" i="77" s="1" a="1"/>
  <c r="AB98" i="77" s="1"/>
  <c r="AB150" i="77" s="1" a="1"/>
  <c r="AB150" i="77" s="1"/>
  <c r="AC85" i="77" a="1"/>
  <c r="AC85" i="77" s="1"/>
  <c r="AC106" i="77" s="1" a="1"/>
  <c r="AC106" i="77" s="1"/>
  <c r="AC158" i="77" s="1" a="1"/>
  <c r="AC158" i="77" s="1"/>
  <c r="X80" i="77" a="1"/>
  <c r="X80" i="77" s="1"/>
  <c r="X101" i="77" s="1" a="1"/>
  <c r="X101" i="77" s="1"/>
  <c r="X153" i="77" s="1" a="1"/>
  <c r="X153" i="77" s="1"/>
  <c r="X78" i="77" a="1"/>
  <c r="X78" i="77" s="1"/>
  <c r="X99" i="77" s="1" a="1"/>
  <c r="X99" i="77" s="1"/>
  <c r="X151" i="77" s="1" a="1"/>
  <c r="X151" i="77" s="1"/>
  <c r="AD82" i="77" a="1"/>
  <c r="AD82" i="77" s="1"/>
  <c r="AD103" i="77" s="1" a="1"/>
  <c r="AD103" i="77" s="1"/>
  <c r="AD155" i="77" s="1" a="1"/>
  <c r="AD155" i="77" s="1"/>
  <c r="AE87" i="77" a="1"/>
  <c r="AE87" i="77" s="1"/>
  <c r="AE108" i="77" s="1" a="1"/>
  <c r="AE108" i="77" s="1"/>
  <c r="AE160" i="77" s="1" a="1"/>
  <c r="AE160" i="77" s="1"/>
  <c r="Z76" i="77" a="1"/>
  <c r="Z76" i="77" s="1"/>
  <c r="Z97" i="77" s="1" a="1"/>
  <c r="Z97" i="77" s="1"/>
  <c r="Z149" i="77" s="1" a="1"/>
  <c r="Z149" i="77" s="1"/>
  <c r="AB82" i="77" a="1"/>
  <c r="AB82" i="77" s="1"/>
  <c r="AB103" i="77" s="1" a="1"/>
  <c r="AB103" i="77" s="1"/>
  <c r="AB155" i="77" s="1" a="1"/>
  <c r="AB155" i="77" s="1"/>
  <c r="AD79" i="77" a="1"/>
  <c r="AD79" i="77" s="1"/>
  <c r="AD100" i="77" s="1" a="1"/>
  <c r="AD100" i="77" s="1"/>
  <c r="AD152" i="77" s="1" a="1"/>
  <c r="AD152" i="77" s="1"/>
  <c r="W80" i="77" a="1"/>
  <c r="W80" i="77" s="1"/>
  <c r="W101" i="77" s="1" a="1"/>
  <c r="W101" i="77" s="1"/>
  <c r="W153" i="77" s="1" a="1"/>
  <c r="W153" i="77" s="1"/>
  <c r="W87" i="77" a="1"/>
  <c r="W87" i="77" s="1"/>
  <c r="W108" i="77" s="1" a="1"/>
  <c r="W108" i="77" s="1"/>
  <c r="W160" i="77" s="1" a="1"/>
  <c r="W160" i="77" s="1"/>
  <c r="X87" i="77" a="1"/>
  <c r="X87" i="77" s="1"/>
  <c r="X108" i="77" s="1" a="1"/>
  <c r="X108" i="77" s="1"/>
  <c r="X160" i="77" s="1" a="1"/>
  <c r="X160" i="77" s="1"/>
  <c r="AD84" i="77" a="1"/>
  <c r="AD84" i="77" s="1"/>
  <c r="AD105" i="77" s="1" a="1"/>
  <c r="AD105" i="77" s="1"/>
  <c r="AD157" i="77" s="1" a="1"/>
  <c r="AD157" i="77" s="1"/>
  <c r="AE79" i="77" a="1"/>
  <c r="AE79" i="77" s="1"/>
  <c r="AE100" i="77" s="1" a="1"/>
  <c r="AE100" i="77" s="1"/>
  <c r="AE152" i="77" s="1" a="1"/>
  <c r="AE152" i="77" s="1"/>
  <c r="AB78" i="77" a="1"/>
  <c r="AB78" i="77" s="1"/>
  <c r="AB99" i="77" s="1" a="1"/>
  <c r="AB99" i="77" s="1"/>
  <c r="AB151" i="77" s="1" a="1"/>
  <c r="AB151" i="77" s="1"/>
  <c r="AE76" i="77" a="1"/>
  <c r="AE76" i="77" s="1"/>
  <c r="AE97" i="77" s="1" a="1"/>
  <c r="AE97" i="77" s="1"/>
  <c r="AE149" i="77" s="1" a="1"/>
  <c r="AE149" i="77" s="1"/>
  <c r="X79" i="77" a="1"/>
  <c r="X79" i="77" s="1"/>
  <c r="X100" i="77" s="1" a="1"/>
  <c r="X100" i="77" s="1"/>
  <c r="X152" i="77" s="1" a="1"/>
  <c r="X152" i="77" s="1"/>
  <c r="AE80" i="77" a="1"/>
  <c r="AE80" i="77" s="1"/>
  <c r="AE101" i="77" s="1" a="1"/>
  <c r="AE101" i="77" s="1"/>
  <c r="AE153" i="77" s="1" a="1"/>
  <c r="AE153" i="77" s="1"/>
  <c r="V79" i="77" a="1"/>
  <c r="V79" i="77" s="1"/>
  <c r="V100" i="77" s="1" a="1"/>
  <c r="V100" i="77" s="1"/>
  <c r="V152" i="77" s="1" a="1"/>
  <c r="V152" i="77" s="1"/>
  <c r="AD83" i="77" a="1"/>
  <c r="AD83" i="77" s="1"/>
  <c r="AD104" i="77" s="1" a="1"/>
  <c r="AD104" i="77" s="1"/>
  <c r="AD156" i="77" s="1" a="1"/>
  <c r="AD156" i="77" s="1"/>
  <c r="AE86" i="77" a="1"/>
  <c r="AE86" i="77" s="1"/>
  <c r="AE107" i="77" s="1" a="1"/>
  <c r="AE107" i="77" s="1"/>
  <c r="AE159" i="77" s="1" a="1"/>
  <c r="AE159" i="77" s="1"/>
  <c r="W84" i="77" a="1"/>
  <c r="W84" i="77" s="1"/>
  <c r="W105" i="77" s="1" a="1"/>
  <c r="W105" i="77" s="1"/>
  <c r="W157" i="77" s="1" a="1"/>
  <c r="W157" i="77" s="1"/>
  <c r="AC78" i="77" a="1"/>
  <c r="AC78" i="77" s="1"/>
  <c r="AC99" i="77" s="1" a="1"/>
  <c r="AC99" i="77" s="1"/>
  <c r="AC151" i="77" s="1" a="1"/>
  <c r="AC151" i="77" s="1"/>
  <c r="AD77" i="77" a="1"/>
  <c r="AD77" i="77" s="1"/>
  <c r="AD98" i="77" s="1" a="1"/>
  <c r="AD98" i="77" s="1"/>
  <c r="AD150" i="77" s="1" a="1"/>
  <c r="AD150" i="77" s="1"/>
  <c r="AD87" i="77" a="1"/>
  <c r="AD87" i="77" s="1"/>
  <c r="AD108" i="77" s="1" a="1"/>
  <c r="AD108" i="77" s="1"/>
  <c r="AD160" i="77" s="1" a="1"/>
  <c r="AD160" i="77" s="1"/>
  <c r="V84" i="77" a="1"/>
  <c r="V84" i="77" s="1"/>
  <c r="V105" i="77" s="1" a="1"/>
  <c r="V105" i="77" s="1"/>
  <c r="V157" i="77" s="1" a="1"/>
  <c r="V157" i="77" s="1"/>
  <c r="W83" i="77" a="1"/>
  <c r="W83" i="77" s="1"/>
  <c r="W104" i="77" s="1" a="1"/>
  <c r="W104" i="77" s="1"/>
  <c r="W156" i="77" s="1" a="1"/>
  <c r="W156" i="77" s="1"/>
  <c r="X86" i="77" a="1"/>
  <c r="X86" i="77" s="1"/>
  <c r="X107" i="77" s="1" a="1"/>
  <c r="X107" i="77" s="1"/>
  <c r="X159" i="77" s="1" a="1"/>
  <c r="X159" i="77" s="1"/>
  <c r="AE82" i="77" a="1"/>
  <c r="AE82" i="77" s="1"/>
  <c r="AE103" i="77" s="1" a="1"/>
  <c r="AE103" i="77" s="1"/>
  <c r="AE155" i="77" s="1" a="1"/>
  <c r="AE155" i="77" s="1"/>
  <c r="AE77" i="77" a="1"/>
  <c r="AE77" i="77" s="1"/>
  <c r="AE98" i="77" s="1" a="1"/>
  <c r="AE98" i="77" s="1"/>
  <c r="AE150" i="77" s="1" a="1"/>
  <c r="AE150" i="77" s="1"/>
  <c r="W76" i="77" a="1"/>
  <c r="W76" i="77" s="1"/>
  <c r="W97" i="77" s="1" a="1"/>
  <c r="W97" i="77" s="1"/>
  <c r="W149" i="77" s="1" a="1"/>
  <c r="W149" i="77" s="1"/>
  <c r="AD86" i="77" a="1"/>
  <c r="AD86" i="77" s="1"/>
  <c r="AD107" i="77" s="1" a="1"/>
  <c r="AD107" i="77" s="1"/>
  <c r="AD159" i="77" s="1" a="1"/>
  <c r="AD159" i="77" s="1"/>
  <c r="AE81" i="77" a="1"/>
  <c r="AE81" i="77" s="1"/>
  <c r="AE102" i="77" s="1" a="1"/>
  <c r="AE102" i="77" s="1"/>
  <c r="AE154" i="77" s="1" a="1"/>
  <c r="AE154" i="77" s="1"/>
  <c r="AE85" i="77" a="1"/>
  <c r="AE85" i="77" s="1"/>
  <c r="AE106" i="77" s="1" a="1"/>
  <c r="AE106" i="77" s="1"/>
  <c r="AE158" i="77" s="1" a="1"/>
  <c r="AE158" i="77" s="1"/>
  <c r="AE83" i="77" a="1"/>
  <c r="AE83" i="77" s="1"/>
  <c r="AE104" i="77" s="1" a="1"/>
  <c r="AE104" i="77" s="1"/>
  <c r="AE156" i="77" s="1" a="1"/>
  <c r="AE156" i="77" s="1"/>
  <c r="X76" i="77" a="1"/>
  <c r="X76" i="77" s="1"/>
  <c r="X97" i="77" s="1" a="1"/>
  <c r="X97" i="77" s="1"/>
  <c r="X149" i="77" s="1" a="1"/>
  <c r="X149" i="77" s="1"/>
  <c r="W85" i="77" a="1"/>
  <c r="W85" i="77" s="1"/>
  <c r="W106" i="77" s="1" a="1"/>
  <c r="W106" i="77" s="1"/>
  <c r="W158" i="77" s="1" a="1"/>
  <c r="W158" i="77" s="1"/>
  <c r="V78" i="77" a="1"/>
  <c r="V78" i="77" s="1"/>
  <c r="V99" i="77" s="1" a="1"/>
  <c r="V99" i="77" s="1"/>
  <c r="V151" i="77" s="1" a="1"/>
  <c r="V151" i="77" s="1"/>
  <c r="X81" i="77" a="1"/>
  <c r="X81" i="77" s="1"/>
  <c r="X102" i="77" s="1" a="1"/>
  <c r="X102" i="77" s="1"/>
  <c r="X154" i="77" s="1" a="1"/>
  <c r="X154" i="77" s="1"/>
  <c r="X85" i="77" a="1"/>
  <c r="X85" i="77" s="1"/>
  <c r="X106" i="77" s="1" a="1"/>
  <c r="X106" i="77" s="1"/>
  <c r="X158" i="77" s="1" a="1"/>
  <c r="X158" i="77" s="1"/>
  <c r="V87" i="77" a="1"/>
  <c r="V87" i="77" s="1"/>
  <c r="V108" i="77" s="1" a="1"/>
  <c r="V108" i="77" s="1"/>
  <c r="V160" i="77" s="1" a="1"/>
  <c r="V160" i="77" s="1"/>
  <c r="AC84" i="77" a="1"/>
  <c r="AC84" i="77" s="1"/>
  <c r="AC105" i="77" s="1" a="1"/>
  <c r="AC105" i="77" s="1"/>
  <c r="AC157" i="77" s="1" a="1"/>
  <c r="AC157" i="77" s="1"/>
  <c r="W82" i="77" a="1"/>
  <c r="W82" i="77" s="1"/>
  <c r="W103" i="77" s="1" a="1"/>
  <c r="W103" i="77" s="1"/>
  <c r="W155" i="77" s="1" a="1"/>
  <c r="W155" i="77" s="1"/>
  <c r="AB76" i="77" a="1"/>
  <c r="AB76" i="77" s="1"/>
  <c r="AB97" i="77" s="1" a="1"/>
  <c r="AB97" i="77" s="1"/>
  <c r="AB149" i="77" s="1" a="1"/>
  <c r="AB149" i="77" s="1"/>
  <c r="AB80" i="77" a="1"/>
  <c r="AB80" i="77" s="1"/>
  <c r="AB101" i="77" s="1" a="1"/>
  <c r="AB101" i="77" s="1"/>
  <c r="AB153" i="77" s="1" a="1"/>
  <c r="AB153" i="77" s="1"/>
  <c r="AE84" i="77" a="1"/>
  <c r="AE84" i="77" s="1"/>
  <c r="AE105" i="77" s="1" a="1"/>
  <c r="AE105" i="77" s="1"/>
  <c r="AE157" i="77" s="1" a="1"/>
  <c r="AE157" i="77" s="1"/>
  <c r="AB86" i="77" a="1"/>
  <c r="AB86" i="77" s="1"/>
  <c r="AB107" i="77" s="1" a="1"/>
  <c r="AB107" i="77" s="1"/>
  <c r="AB159" i="77" s="1" a="1"/>
  <c r="AB159" i="77" s="1"/>
  <c r="V85" i="77" a="1"/>
  <c r="V85" i="77" s="1"/>
  <c r="V106" i="77" s="1" a="1"/>
  <c r="V106" i="77" s="1"/>
  <c r="V158" i="77" s="1" a="1"/>
  <c r="V158" i="77" s="1"/>
  <c r="AC87" i="77" a="1"/>
  <c r="AC87" i="77" s="1"/>
  <c r="AC108" i="77" s="1" a="1"/>
  <c r="AC108" i="77" s="1"/>
  <c r="AC160" i="77" s="1" a="1"/>
  <c r="AC160" i="77" s="1"/>
  <c r="AC86" i="77" a="1"/>
  <c r="AC86" i="77" s="1"/>
  <c r="AC107" i="77" s="1" a="1"/>
  <c r="AC107" i="77" s="1"/>
  <c r="AC159" i="77" s="1" a="1"/>
  <c r="AC159" i="77" s="1"/>
  <c r="AB79" i="77" a="1"/>
  <c r="AB79" i="77" s="1"/>
  <c r="AB100" i="77" s="1" a="1"/>
  <c r="AB100" i="77" s="1"/>
  <c r="AB152" i="77" s="1" a="1"/>
  <c r="AB152" i="77" s="1"/>
  <c r="X84" i="77" a="1"/>
  <c r="X84" i="77" s="1"/>
  <c r="X105" i="77" s="1" a="1"/>
  <c r="X105" i="77" s="1"/>
  <c r="X157" i="77" s="1" a="1"/>
  <c r="X157" i="77" s="1"/>
  <c r="AB81" i="77" a="1"/>
  <c r="AB81" i="77" s="1"/>
  <c r="AB102" i="77" s="1" a="1"/>
  <c r="AB102" i="77" s="1"/>
  <c r="AB154" i="77" s="1" a="1"/>
  <c r="AB154" i="77" s="1"/>
  <c r="AD76" i="77" a="1"/>
  <c r="AD76" i="77" s="1"/>
  <c r="AD97" i="77" s="1" a="1"/>
  <c r="AD97" i="77" s="1"/>
  <c r="AD149" i="77" s="1" a="1"/>
  <c r="AD149" i="77" s="1"/>
  <c r="X83" i="77" a="1"/>
  <c r="X83" i="77" s="1"/>
  <c r="X104" i="77" s="1" a="1"/>
  <c r="X104" i="77" s="1"/>
  <c r="X156" i="77" s="1" a="1"/>
  <c r="X156" i="77" s="1"/>
  <c r="AD80" i="77" a="1"/>
  <c r="AD80" i="77" s="1"/>
  <c r="AD101" i="77" s="1" a="1"/>
  <c r="AD101" i="77" s="1"/>
  <c r="AD153" i="77" s="1" a="1"/>
  <c r="AD153" i="77" s="1"/>
  <c r="V44" i="77"/>
  <c r="V76" i="77" s="1" a="1"/>
  <c r="V76" i="77" s="1"/>
  <c r="V97" i="77" s="1" a="1"/>
  <c r="V97" i="77" s="1"/>
  <c r="V149" i="77" s="1" a="1"/>
  <c r="V149" i="77" s="1"/>
  <c r="AB83" i="77" a="1"/>
  <c r="AB83" i="77" s="1"/>
  <c r="AB104" i="77" s="1" a="1"/>
  <c r="AB104" i="77" s="1"/>
  <c r="AB156" i="77" s="1" a="1"/>
  <c r="AB156" i="77" s="1"/>
  <c r="W77" i="77" a="1"/>
  <c r="W77" i="77" s="1"/>
  <c r="W98" i="77" s="1" a="1"/>
  <c r="W98" i="77" s="1"/>
  <c r="W150" i="77" s="1" a="1"/>
  <c r="W150" i="77" s="1"/>
  <c r="W86" i="77" a="1"/>
  <c r="W86" i="77" s="1"/>
  <c r="W107" i="77" s="1" a="1"/>
  <c r="W107" i="77" s="1"/>
  <c r="W159" i="77" s="1" a="1"/>
  <c r="W159" i="77" s="1"/>
  <c r="AC76" i="77" a="1"/>
  <c r="AC76" i="77" s="1"/>
  <c r="AC97" i="77" s="1" a="1"/>
  <c r="AC97" i="77" s="1"/>
  <c r="AC149" i="77" s="1" a="1"/>
  <c r="AC149" i="77" s="1"/>
  <c r="W79" i="77" a="1"/>
  <c r="W79" i="77" s="1"/>
  <c r="W100" i="77" s="1" a="1"/>
  <c r="W100" i="77" s="1"/>
  <c r="W152" i="77" s="1" a="1"/>
  <c r="W152" i="77" s="1"/>
  <c r="AB87" i="77" a="1"/>
  <c r="AB87" i="77" s="1"/>
  <c r="AB108" i="77" s="1" a="1"/>
  <c r="AB108" i="77" s="1"/>
  <c r="AB160" i="77" s="1" a="1"/>
  <c r="AB160" i="77" s="1"/>
  <c r="AC83" i="77" a="1"/>
  <c r="AC83" i="77" s="1"/>
  <c r="AC104" i="77" s="1" a="1"/>
  <c r="AC104" i="77" s="1"/>
  <c r="AC156" i="77" s="1" a="1"/>
  <c r="AC156" i="77" s="1"/>
  <c r="AC81" i="77" a="1"/>
  <c r="AC81" i="77" s="1"/>
  <c r="AC102" i="77" s="1" a="1"/>
  <c r="AC102" i="77" s="1"/>
  <c r="AC154" i="77" s="1" a="1"/>
  <c r="AC154" i="77" s="1"/>
  <c r="AD85" i="77" a="1"/>
  <c r="AD85" i="77" s="1"/>
  <c r="AD106" i="77" s="1" a="1"/>
  <c r="AD106" i="77" s="1"/>
  <c r="AD158" i="77" s="1" a="1"/>
  <c r="AD158" i="77" s="1"/>
  <c r="V82" i="77" a="1"/>
  <c r="V82" i="77" s="1"/>
  <c r="V103" i="77" s="1" a="1"/>
  <c r="V103" i="77" s="1"/>
  <c r="V155" i="77" s="1" a="1"/>
  <c r="V155" i="77" s="1"/>
  <c r="X82" i="77" a="1"/>
  <c r="X82" i="77" s="1"/>
  <c r="X103" i="77" s="1" a="1"/>
  <c r="X103" i="77" s="1"/>
  <c r="X155" i="77" s="1" a="1"/>
  <c r="X155" i="77" s="1"/>
  <c r="X77" i="77" a="1"/>
  <c r="X77" i="77" s="1"/>
  <c r="X98" i="77" s="1" a="1"/>
  <c r="X98" i="77" s="1"/>
  <c r="X150" i="77" s="1" a="1"/>
  <c r="X150" i="77" s="1"/>
  <c r="V83" i="77" a="1"/>
  <c r="V83" i="77" s="1"/>
  <c r="V104" i="77" s="1" a="1"/>
  <c r="V104" i="77" s="1"/>
  <c r="V156" i="77" s="1" a="1"/>
  <c r="V156" i="77" s="1"/>
  <c r="V81" i="77" a="1"/>
  <c r="V81" i="77" s="1"/>
  <c r="V102" i="77" s="1" a="1"/>
  <c r="V102" i="77" s="1"/>
  <c r="V154" i="77" s="1" a="1"/>
  <c r="V154" i="77" s="1"/>
  <c r="AC82" i="77" a="1"/>
  <c r="AC82" i="77" s="1"/>
  <c r="AC103" i="77" s="1" a="1"/>
  <c r="AC103" i="77" s="1"/>
  <c r="AC155" i="77" s="1" a="1"/>
  <c r="AC155" i="77" s="1"/>
  <c r="V86" i="77" a="1"/>
  <c r="V86" i="77" s="1"/>
  <c r="V107" i="77" s="1" a="1"/>
  <c r="V107" i="77" s="1"/>
  <c r="V159" i="77" s="1" a="1"/>
  <c r="V159" i="77" s="1"/>
  <c r="AC79" i="77" a="1"/>
  <c r="AC79" i="77" s="1"/>
  <c r="AC100" i="77" s="1" a="1"/>
  <c r="AC100" i="77" s="1"/>
  <c r="AC152" i="77" s="1" a="1"/>
  <c r="AC152" i="77" s="1"/>
  <c r="AC80" i="77" a="1"/>
  <c r="AC80" i="77" s="1"/>
  <c r="AC101" i="77" s="1" a="1"/>
  <c r="AC101" i="77" s="1"/>
  <c r="AC153" i="77" s="1" a="1"/>
  <c r="AC153" i="77" s="1"/>
  <c r="AD81" i="77" a="1"/>
  <c r="AD81" i="77" s="1"/>
  <c r="AD102" i="77" s="1" a="1"/>
  <c r="AD102" i="77" s="1"/>
  <c r="AD154" i="77" s="1" a="1"/>
  <c r="AD154" i="77" s="1"/>
  <c r="AD78" i="77" a="1"/>
  <c r="AD78" i="77" s="1"/>
  <c r="AD99" i="77" s="1" a="1"/>
  <c r="AD99" i="77" s="1"/>
  <c r="AD151" i="77" s="1" a="1"/>
  <c r="AD151" i="77" s="1"/>
  <c r="V77" i="77" a="1"/>
  <c r="V77" i="77" s="1"/>
  <c r="V98" i="77" s="1" a="1"/>
  <c r="V98" i="77" s="1"/>
  <c r="V150" i="77" s="1" a="1"/>
  <c r="V150" i="77" s="1"/>
  <c r="AB85" i="77" a="1"/>
  <c r="AB85" i="77" s="1"/>
  <c r="AB106" i="77" s="1" a="1"/>
  <c r="AB106" i="77" s="1"/>
  <c r="AB158" i="77" s="1" a="1"/>
  <c r="AB158" i="77" s="1"/>
  <c r="AC77" i="77" a="1"/>
  <c r="AC77" i="77" s="1"/>
  <c r="AC98" i="77" s="1" a="1"/>
  <c r="AC98" i="77" s="1"/>
  <c r="AC150" i="77" s="1" a="1"/>
  <c r="AC150" i="77" s="1"/>
  <c r="Y85" i="77" a="1"/>
  <c r="Y85" i="77" s="1"/>
  <c r="Y106" i="77" s="1" a="1"/>
  <c r="Y106" i="77" s="1"/>
  <c r="Y158" i="77" s="1" a="1"/>
  <c r="Y158" i="77" s="1"/>
  <c r="AA76" i="77" a="1"/>
  <c r="AA76" i="77" s="1"/>
  <c r="AA97" i="77" s="1" a="1"/>
  <c r="AA97" i="77" s="1"/>
  <c r="AA149" i="77" s="1" a="1"/>
  <c r="AA149" i="77" s="1"/>
  <c r="Y81" i="77" a="1"/>
  <c r="Y81" i="77" s="1"/>
  <c r="Y102" i="77" s="1" a="1"/>
  <c r="Y102" i="77" s="1"/>
  <c r="Y154" i="77" s="1" a="1"/>
  <c r="Y154" i="77" s="1"/>
  <c r="Z79" i="77" a="1"/>
  <c r="Z79" i="77" s="1"/>
  <c r="Z100" i="77" s="1" a="1"/>
  <c r="Z100" i="77" s="1"/>
  <c r="Z152" i="77" s="1" a="1"/>
  <c r="Z152" i="77" s="1"/>
  <c r="AA82" i="77" a="1"/>
  <c r="AA82" i="77" s="1"/>
  <c r="AA103" i="77" s="1" a="1"/>
  <c r="AA103" i="77" s="1"/>
  <c r="AA155" i="77" s="1" a="1"/>
  <c r="AA155" i="77" s="1"/>
  <c r="Z87" i="77" a="1"/>
  <c r="Z87" i="77" s="1"/>
  <c r="Z108" i="77" s="1" a="1"/>
  <c r="Z108" i="77" s="1"/>
  <c r="Z160" i="77" s="1" a="1"/>
  <c r="Z160" i="77" s="1"/>
  <c r="AA80" i="77" a="1"/>
  <c r="AA80" i="77" s="1"/>
  <c r="AA101" i="77" s="1" a="1"/>
  <c r="AA101" i="77" s="1"/>
  <c r="AA153" i="77" s="1" a="1"/>
  <c r="AA153" i="77" s="1"/>
  <c r="Y82" i="77" a="1"/>
  <c r="Y82" i="77" s="1"/>
  <c r="Y103" i="77" s="1" a="1"/>
  <c r="Y103" i="77" s="1"/>
  <c r="Y155" i="77" s="1" a="1"/>
  <c r="Y155" i="77" s="1"/>
  <c r="Z82" i="77" a="1"/>
  <c r="Z82" i="77" s="1"/>
  <c r="Z103" i="77" s="1" a="1"/>
  <c r="Z103" i="77" s="1"/>
  <c r="Z155" i="77" s="1" a="1"/>
  <c r="Z155" i="77" s="1"/>
  <c r="Y76" i="77" a="1"/>
  <c r="Y76" i="77" s="1"/>
  <c r="Y97" i="77" s="1" a="1"/>
  <c r="Y97" i="77" s="1"/>
  <c r="Y149" i="77" s="1" a="1"/>
  <c r="Y149" i="77" s="1"/>
  <c r="Z80" i="77" a="1"/>
  <c r="Z80" i="77" s="1"/>
  <c r="Z101" i="77" s="1" a="1"/>
  <c r="Z101" i="77" s="1"/>
  <c r="Z153" i="77" s="1" a="1"/>
  <c r="Z153" i="77" s="1"/>
  <c r="AA84" i="77" a="1"/>
  <c r="AA84" i="77" s="1"/>
  <c r="AA105" i="77" s="1" a="1"/>
  <c r="AA105" i="77" s="1"/>
  <c r="AA157" i="77" s="1" a="1"/>
  <c r="AA157" i="77" s="1"/>
  <c r="AA81" i="77" a="1"/>
  <c r="AA81" i="77" s="1"/>
  <c r="AA102" i="77" s="1" a="1"/>
  <c r="AA102" i="77" s="1"/>
  <c r="AA154" i="77" s="1" a="1"/>
  <c r="AA154" i="77" s="1"/>
  <c r="Y80" i="77" a="1"/>
  <c r="Y80" i="77" s="1"/>
  <c r="Y101" i="77" s="1" a="1"/>
  <c r="Y101" i="77" s="1"/>
  <c r="Y153" i="77" s="1" a="1"/>
  <c r="Y153" i="77" s="1"/>
  <c r="V49" i="85" a="1"/>
  <c r="V49" i="85" s="1"/>
  <c r="J64" i="77" a="1"/>
  <c r="J64" i="77" s="1"/>
  <c r="J85" i="77" s="1" a="1"/>
  <c r="J85" i="77" s="1"/>
  <c r="J123" i="77" s="1" a="1"/>
  <c r="J123" i="77" s="1"/>
  <c r="I132" i="80" a="1"/>
  <c r="I132" i="80" s="1"/>
  <c r="J178" i="80" s="1" a="1"/>
  <c r="J178" i="80" s="1"/>
  <c r="J236" i="80" s="1" a="1"/>
  <c r="J236" i="80" s="1"/>
  <c r="Y87" i="77" a="1"/>
  <c r="Y87" i="77" s="1"/>
  <c r="Y108" i="77" s="1" a="1"/>
  <c r="Y108" i="77" s="1"/>
  <c r="Y160" i="77" s="1" a="1"/>
  <c r="Y160" i="77" s="1"/>
  <c r="E35" i="90"/>
  <c r="F35" i="90" s="1" a="1"/>
  <c r="F35" i="90" s="1"/>
  <c r="E31" i="89"/>
  <c r="H31" i="89" s="1" a="1"/>
  <c r="H31" i="89" s="1"/>
  <c r="E71" i="89" s="1"/>
  <c r="F71" i="89" s="1" a="1"/>
  <c r="F71" i="89" s="1"/>
  <c r="E72" i="85" a="1"/>
  <c r="E72" i="85" s="1"/>
  <c r="L85" i="80" a="1"/>
  <c r="L85" i="80" s="1"/>
  <c r="L132" i="80" s="1" a="1"/>
  <c r="L132" i="80" s="1"/>
  <c r="E85" i="80" a="1"/>
  <c r="E85" i="80" s="1"/>
  <c r="E132" i="80" s="1" a="1"/>
  <c r="E132" i="80" s="1"/>
  <c r="K87" i="80" a="1"/>
  <c r="K87" i="80" s="1"/>
  <c r="K134" i="80" s="1" a="1"/>
  <c r="K134" i="80" s="1"/>
  <c r="L84" i="80" a="1"/>
  <c r="L84" i="80" s="1"/>
  <c r="L131" i="80" s="1" a="1"/>
  <c r="L131" i="80" s="1"/>
  <c r="G85" i="80" a="1"/>
  <c r="G85" i="80" s="1"/>
  <c r="G132" i="80" s="1" a="1"/>
  <c r="G132" i="80" s="1"/>
  <c r="M85" i="80" a="1"/>
  <c r="M85" i="80" s="1"/>
  <c r="M132" i="80" s="1" a="1"/>
  <c r="M132" i="80" s="1"/>
  <c r="K86" i="80" a="1"/>
  <c r="K86" i="80" s="1"/>
  <c r="K133" i="80" s="1" a="1"/>
  <c r="K133" i="80" s="1"/>
  <c r="E52" i="80"/>
  <c r="E84" i="80" s="1" a="1"/>
  <c r="E84" i="80" s="1"/>
  <c r="E131" i="80" s="1" a="1"/>
  <c r="E131" i="80" s="1"/>
  <c r="F84" i="80" a="1"/>
  <c r="F84" i="80" s="1"/>
  <c r="F131" i="80" s="1" a="1"/>
  <c r="F131" i="80" s="1"/>
  <c r="E86" i="80" a="1"/>
  <c r="E86" i="80" s="1"/>
  <c r="E133" i="80" s="1" a="1"/>
  <c r="E133" i="80" s="1"/>
  <c r="K84" i="80" a="1"/>
  <c r="K84" i="80" s="1"/>
  <c r="K131" i="80" s="1" a="1"/>
  <c r="K131" i="80" s="1"/>
  <c r="N84" i="80" a="1"/>
  <c r="N84" i="80" s="1"/>
  <c r="N131" i="80" s="1" a="1"/>
  <c r="N131" i="80" s="1"/>
  <c r="M87" i="80" a="1"/>
  <c r="M87" i="80" s="1"/>
  <c r="M134" i="80" s="1" a="1"/>
  <c r="M134" i="80" s="1"/>
  <c r="F85" i="80" a="1"/>
  <c r="F85" i="80" s="1"/>
  <c r="F132" i="80" s="1" a="1"/>
  <c r="F132" i="80" s="1"/>
  <c r="M84" i="80" a="1"/>
  <c r="M84" i="80" s="1"/>
  <c r="M131" i="80" s="1" a="1"/>
  <c r="M131" i="80" s="1"/>
  <c r="M86" i="80" a="1"/>
  <c r="M86" i="80" s="1"/>
  <c r="M133" i="80" s="1" a="1"/>
  <c r="M133" i="80" s="1"/>
  <c r="E87" i="80" a="1"/>
  <c r="E87" i="80" s="1"/>
  <c r="E134" i="80" s="1" a="1"/>
  <c r="E134" i="80" s="1"/>
  <c r="N85" i="80" a="1"/>
  <c r="N85" i="80" s="1"/>
  <c r="N132" i="80" s="1" a="1"/>
  <c r="N132" i="80" s="1"/>
  <c r="L86" i="80" a="1"/>
  <c r="L86" i="80" s="1"/>
  <c r="L133" i="80" s="1" a="1"/>
  <c r="L133" i="80" s="1"/>
  <c r="L87" i="80" a="1"/>
  <c r="L87" i="80" s="1"/>
  <c r="L134" i="80" s="1" a="1"/>
  <c r="L134" i="80" s="1"/>
  <c r="G84" i="80" a="1"/>
  <c r="G84" i="80" s="1"/>
  <c r="G131" i="80" s="1" a="1"/>
  <c r="G131" i="80" s="1"/>
  <c r="F87" i="80" a="1"/>
  <c r="F87" i="80" s="1"/>
  <c r="F134" i="80" s="1" a="1"/>
  <c r="F134" i="80" s="1"/>
  <c r="G87" i="80" a="1"/>
  <c r="G87" i="80" s="1"/>
  <c r="G134" i="80" s="1" a="1"/>
  <c r="G134" i="80" s="1"/>
  <c r="K85" i="80" a="1"/>
  <c r="K85" i="80" s="1"/>
  <c r="K132" i="80" s="1" a="1"/>
  <c r="K132" i="80" s="1"/>
  <c r="F86" i="80" a="1"/>
  <c r="F86" i="80" s="1"/>
  <c r="F133" i="80" s="1" a="1"/>
  <c r="F133" i="80" s="1"/>
  <c r="N86" i="80" a="1"/>
  <c r="N86" i="80" s="1"/>
  <c r="N133" i="80" s="1" a="1"/>
  <c r="N133" i="80" s="1"/>
  <c r="G86" i="80" a="1"/>
  <c r="G86" i="80" s="1"/>
  <c r="G133" i="80" s="1" a="1"/>
  <c r="G133" i="80" s="1"/>
  <c r="N87" i="80" a="1"/>
  <c r="N87" i="80" s="1"/>
  <c r="N134" i="80" s="1" a="1"/>
  <c r="N134" i="80" s="1"/>
  <c r="H86" i="80" a="1"/>
  <c r="H86" i="80" s="1"/>
  <c r="H133" i="80" s="1" a="1"/>
  <c r="H133" i="80" s="1"/>
  <c r="AC76" i="80" a="1"/>
  <c r="AC76" i="80" s="1"/>
  <c r="AC131" i="80" s="1" a="1"/>
  <c r="AC131" i="80" s="1"/>
  <c r="Y83" i="77" a="1"/>
  <c r="Y83" i="77" s="1"/>
  <c r="Y104" i="77" s="1" a="1"/>
  <c r="Y104" i="77" s="1"/>
  <c r="Y156" i="77" s="1" a="1"/>
  <c r="Y156" i="77" s="1"/>
  <c r="V20" i="81"/>
  <c r="V36" i="81" s="1" a="1"/>
  <c r="V36" i="81" s="1"/>
  <c r="Z42" i="81" a="1"/>
  <c r="Z42" i="81" s="1"/>
  <c r="X46" i="81" a="1"/>
  <c r="X46" i="81" s="1"/>
  <c r="AC42" i="81" a="1"/>
  <c r="AC42" i="81" s="1"/>
  <c r="AE46" i="81" a="1"/>
  <c r="AE46" i="81" s="1"/>
  <c r="X47" i="81" a="1"/>
  <c r="X47" i="81" s="1"/>
  <c r="X42" i="81" a="1"/>
  <c r="X42" i="81" s="1"/>
  <c r="AB38" i="81" a="1"/>
  <c r="AB38" i="81" s="1"/>
  <c r="X45" i="81" a="1"/>
  <c r="X45" i="81" s="1"/>
  <c r="X40" i="81" a="1"/>
  <c r="X40" i="81" s="1"/>
  <c r="X41" i="81" a="1"/>
  <c r="X41" i="81" s="1"/>
  <c r="X39" i="81" a="1"/>
  <c r="X39" i="81" s="1"/>
  <c r="X43" i="81" a="1"/>
  <c r="X43" i="81" s="1"/>
  <c r="X36" i="81" a="1"/>
  <c r="X36" i="81" s="1"/>
  <c r="V37" i="81" a="1"/>
  <c r="V37" i="81" s="1"/>
  <c r="X38" i="81" a="1"/>
  <c r="X38" i="81" s="1"/>
  <c r="X37" i="81" a="1"/>
  <c r="X37" i="81" s="1"/>
  <c r="AA45" i="81" a="1"/>
  <c r="AA45" i="81" s="1"/>
  <c r="X44" i="81" a="1"/>
  <c r="X44" i="81" s="1"/>
  <c r="AE45" i="81" a="1"/>
  <c r="AE45" i="81" s="1"/>
  <c r="Z40" i="81" a="1"/>
  <c r="Z40" i="81" s="1"/>
  <c r="Y40" i="81" a="1"/>
  <c r="Y40" i="81" s="1"/>
  <c r="Y39" i="81" a="1"/>
  <c r="Y39" i="81" s="1"/>
  <c r="AC40" i="81" a="1"/>
  <c r="AC40" i="81" s="1"/>
  <c r="W46" i="81" a="1"/>
  <c r="W46" i="81" s="1"/>
  <c r="AA41" i="81" a="1"/>
  <c r="AA41" i="81" s="1"/>
  <c r="AB46" i="81" a="1"/>
  <c r="AB46" i="81" s="1"/>
  <c r="AC38" i="81" a="1"/>
  <c r="AC38" i="81" s="1"/>
  <c r="AE38" i="81" a="1"/>
  <c r="AE38" i="81" s="1"/>
  <c r="AB40" i="81" a="1"/>
  <c r="AB40" i="81" s="1"/>
  <c r="AA38" i="81" a="1"/>
  <c r="AA38" i="81" s="1"/>
  <c r="AA39" i="81" a="1"/>
  <c r="AA39" i="81" s="1"/>
  <c r="AC43" i="81" a="1"/>
  <c r="AC43" i="81" s="1"/>
  <c r="AE44" i="81" a="1"/>
  <c r="AE44" i="81" s="1"/>
  <c r="AD44" i="81" a="1"/>
  <c r="AD44" i="81" s="1"/>
  <c r="AB44" i="81" a="1"/>
  <c r="AB44" i="81" s="1"/>
  <c r="AB39" i="81" a="1"/>
  <c r="AB39" i="81" s="1"/>
  <c r="AD40" i="81" a="1"/>
  <c r="AD40" i="81" s="1"/>
  <c r="AB47" i="81" a="1"/>
  <c r="AB47" i="81" s="1"/>
  <c r="Y44" i="81" a="1"/>
  <c r="Y44" i="81" s="1"/>
  <c r="W36" i="81" a="1"/>
  <c r="W36" i="81" s="1"/>
  <c r="AD46" i="81" a="1"/>
  <c r="AD46" i="81" s="1"/>
  <c r="AC39" i="81" a="1"/>
  <c r="AC39" i="81" s="1"/>
  <c r="AB42" i="81" a="1"/>
  <c r="AB42" i="81" s="1"/>
  <c r="W37" i="81" a="1"/>
  <c r="W37" i="81" s="1"/>
  <c r="AE43" i="81" a="1"/>
  <c r="AE43" i="81" s="1"/>
  <c r="Y41" i="81" a="1"/>
  <c r="Y41" i="81" s="1"/>
  <c r="AB36" i="81" a="1"/>
  <c r="AB36" i="81" s="1"/>
  <c r="W47" i="81" a="1"/>
  <c r="W47" i="81" s="1"/>
  <c r="Y43" i="81" a="1"/>
  <c r="Y43" i="81" s="1"/>
  <c r="Y42" i="81" a="1"/>
  <c r="Y42" i="81" s="1"/>
  <c r="AA47" i="81" a="1"/>
  <c r="AA47" i="81" s="1"/>
  <c r="V44" i="81" a="1"/>
  <c r="V44" i="81" s="1"/>
  <c r="V47" i="81" a="1"/>
  <c r="V47" i="81" s="1"/>
  <c r="AB45" i="81" a="1"/>
  <c r="AB45" i="81" s="1"/>
  <c r="W40" i="81" a="1"/>
  <c r="W40" i="81" s="1"/>
  <c r="V45" i="81" a="1"/>
  <c r="V45" i="81" s="1"/>
  <c r="AE41" i="81" a="1"/>
  <c r="AE41" i="81" s="1"/>
  <c r="W45" i="81" a="1"/>
  <c r="W45" i="81" s="1"/>
  <c r="Y47" i="81" a="1"/>
  <c r="Y47" i="81" s="1"/>
  <c r="Y38" i="81" a="1"/>
  <c r="Y38" i="81" s="1"/>
  <c r="AD42" i="81" a="1"/>
  <c r="AD42" i="81" s="1"/>
  <c r="Y37" i="81" a="1"/>
  <c r="Y37" i="81" s="1"/>
  <c r="AD45" i="81" a="1"/>
  <c r="AD45" i="81" s="1"/>
  <c r="Y36" i="81" a="1"/>
  <c r="Y36" i="81" s="1"/>
  <c r="AC36" i="81" a="1"/>
  <c r="AC36" i="81" s="1"/>
  <c r="Z38" i="81" a="1"/>
  <c r="Z38" i="81" s="1"/>
  <c r="Z45" i="81" a="1"/>
  <c r="Z45" i="81" s="1"/>
  <c r="AD38" i="81" a="1"/>
  <c r="AD38" i="81" s="1"/>
  <c r="AE40" i="81" a="1"/>
  <c r="AE40" i="81" s="1"/>
  <c r="AB37" i="81" a="1"/>
  <c r="AB37" i="81" s="1"/>
  <c r="AE37" i="81" a="1"/>
  <c r="AE37" i="81" s="1"/>
  <c r="W42" i="81" a="1"/>
  <c r="W42" i="81" s="1"/>
  <c r="V46" i="81" a="1"/>
  <c r="V46" i="81" s="1"/>
  <c r="W39" i="81" a="1"/>
  <c r="W39" i="81" s="1"/>
  <c r="AA46" i="81" a="1"/>
  <c r="AA46" i="81" s="1"/>
  <c r="AE42" i="81" a="1"/>
  <c r="AE42" i="81" s="1"/>
  <c r="AA40" i="81" a="1"/>
  <c r="AA40" i="81" s="1"/>
  <c r="AC47" i="81" a="1"/>
  <c r="AC47" i="81" s="1"/>
  <c r="AE36" i="81" a="1"/>
  <c r="AE36" i="81" s="1"/>
  <c r="Z47" i="81" a="1"/>
  <c r="Z47" i="81" s="1"/>
  <c r="Z41" i="81" a="1"/>
  <c r="Z41" i="81" s="1"/>
  <c r="AA43" i="81" a="1"/>
  <c r="AA43" i="81" s="1"/>
  <c r="W44" i="81" a="1"/>
  <c r="W44" i="81" s="1"/>
  <c r="Y46" i="81" a="1"/>
  <c r="Y46" i="81" s="1"/>
  <c r="Z43" i="81" a="1"/>
  <c r="Z43" i="81" s="1"/>
  <c r="AD43" i="81" a="1"/>
  <c r="AD43" i="81" s="1"/>
  <c r="AB43" i="81" a="1"/>
  <c r="AB43" i="81" s="1"/>
  <c r="AD47" i="81" a="1"/>
  <c r="AD47" i="81" s="1"/>
  <c r="V41" i="81" a="1"/>
  <c r="V41" i="81" s="1"/>
  <c r="AC44" i="81" a="1"/>
  <c r="AC44" i="81" s="1"/>
  <c r="Z37" i="81" a="1"/>
  <c r="Z37" i="81" s="1"/>
  <c r="V43" i="81" a="1"/>
  <c r="V43" i="81" s="1"/>
  <c r="V40" i="81" a="1"/>
  <c r="V40" i="81" s="1"/>
  <c r="W41" i="81" a="1"/>
  <c r="W41" i="81" s="1"/>
  <c r="V38" i="81" a="1"/>
  <c r="V38" i="81" s="1"/>
  <c r="Z46" i="81" a="1"/>
  <c r="Z46" i="81" s="1"/>
  <c r="Y45" i="81" a="1"/>
  <c r="Y45" i="81" s="1"/>
  <c r="AA36" i="81" a="1"/>
  <c r="AA36" i="81" s="1"/>
  <c r="W43" i="81" a="1"/>
  <c r="W43" i="81" s="1"/>
  <c r="Z39" i="81" a="1"/>
  <c r="Z39" i="81" s="1"/>
  <c r="AD39" i="81" a="1"/>
  <c r="AD39" i="81" s="1"/>
  <c r="Z36" i="81" a="1"/>
  <c r="Z36" i="81" s="1"/>
  <c r="Z44" i="81" a="1"/>
  <c r="Z44" i="81" s="1"/>
  <c r="W38" i="81" a="1"/>
  <c r="W38" i="81" s="1"/>
  <c r="AA37" i="81" a="1"/>
  <c r="AA37" i="81" s="1"/>
  <c r="AA44" i="81" a="1"/>
  <c r="AA44" i="81" s="1"/>
  <c r="AD41" i="81" a="1"/>
  <c r="AD41" i="81" s="1"/>
  <c r="V42" i="81" a="1"/>
  <c r="V42" i="81" s="1"/>
  <c r="AA42" i="81" a="1"/>
  <c r="AA42" i="81" s="1"/>
  <c r="AB41" i="81" a="1"/>
  <c r="AB41" i="81" s="1"/>
  <c r="AC46" i="81" a="1"/>
  <c r="AC46" i="81" s="1"/>
  <c r="AD37" i="81" a="1"/>
  <c r="AD37" i="81" s="1"/>
  <c r="AC45" i="81" a="1"/>
  <c r="AC45" i="81" s="1"/>
  <c r="V39" i="81" a="1"/>
  <c r="V39" i="81" s="1"/>
  <c r="AC41" i="81" a="1"/>
  <c r="AC41" i="81" s="1"/>
  <c r="AE39" i="81" a="1"/>
  <c r="AE39" i="81" s="1"/>
  <c r="AC37" i="81" a="1"/>
  <c r="AC37" i="81" s="1"/>
  <c r="AE47" i="81" a="1"/>
  <c r="AE47" i="81" s="1"/>
  <c r="AD36" i="81" a="1"/>
  <c r="AD36" i="81" s="1"/>
  <c r="E63" i="85" a="1"/>
  <c r="E63" i="85" s="1"/>
  <c r="E26" i="90"/>
  <c r="F26" i="90" s="1" a="1"/>
  <c r="F26" i="90" s="1"/>
  <c r="E22" i="89"/>
  <c r="H22" i="89" s="1" a="1"/>
  <c r="H22" i="89" s="1"/>
  <c r="E62" i="89" s="1"/>
  <c r="F62" i="89" s="1" a="1"/>
  <c r="F62" i="89" s="1"/>
  <c r="AA83" i="77" a="1"/>
  <c r="AA83" i="77" s="1"/>
  <c r="AA104" i="77" s="1" a="1"/>
  <c r="AA104" i="77" s="1"/>
  <c r="AA156" i="77" s="1" a="1"/>
  <c r="AA156" i="77" s="1"/>
  <c r="E65" i="77" a="1"/>
  <c r="E65" i="77" s="1"/>
  <c r="E86" i="77" s="1" a="1"/>
  <c r="E86" i="77" s="1"/>
  <c r="E124" i="77" s="1" a="1"/>
  <c r="E124" i="77" s="1"/>
  <c r="K66" i="77" a="1"/>
  <c r="K66" i="77" s="1"/>
  <c r="K87" i="77" s="1" a="1"/>
  <c r="K87" i="77" s="1"/>
  <c r="K125" i="77" s="1" a="1"/>
  <c r="K125" i="77" s="1"/>
  <c r="L67" i="77" a="1"/>
  <c r="L67" i="77" s="1"/>
  <c r="L88" i="77" s="1" a="1"/>
  <c r="L88" i="77" s="1"/>
  <c r="L126" i="77" s="1" a="1"/>
  <c r="L126" i="77" s="1"/>
  <c r="N67" i="77" a="1"/>
  <c r="N67" i="77" s="1"/>
  <c r="N88" i="77" s="1" a="1"/>
  <c r="N88" i="77" s="1"/>
  <c r="N126" i="77" s="1" a="1"/>
  <c r="N126" i="77" s="1"/>
  <c r="M66" i="77" a="1"/>
  <c r="M66" i="77" s="1"/>
  <c r="M87" i="77" s="1" a="1"/>
  <c r="M87" i="77" s="1"/>
  <c r="M125" i="77" s="1" a="1"/>
  <c r="M125" i="77" s="1"/>
  <c r="E67" i="77" a="1"/>
  <c r="E67" i="77" s="1"/>
  <c r="E88" i="77" s="1" a="1"/>
  <c r="E88" i="77" s="1"/>
  <c r="E126" i="77" s="1" a="1"/>
  <c r="E126" i="77" s="1"/>
  <c r="N66" i="77" a="1"/>
  <c r="N66" i="77" s="1"/>
  <c r="N87" i="77" s="1" a="1"/>
  <c r="N87" i="77" s="1"/>
  <c r="N125" i="77" s="1" a="1"/>
  <c r="N125" i="77" s="1"/>
  <c r="M65" i="77" a="1"/>
  <c r="M65" i="77" s="1"/>
  <c r="M86" i="77" s="1" a="1"/>
  <c r="M86" i="77" s="1"/>
  <c r="M124" i="77" s="1" a="1"/>
  <c r="M124" i="77" s="1"/>
  <c r="K67" i="77" a="1"/>
  <c r="K67" i="77" s="1"/>
  <c r="K88" i="77" s="1" a="1"/>
  <c r="K88" i="77" s="1"/>
  <c r="K126" i="77" s="1" a="1"/>
  <c r="K126" i="77" s="1"/>
  <c r="F65" i="77" a="1"/>
  <c r="F65" i="77" s="1"/>
  <c r="F86" i="77" s="1" a="1"/>
  <c r="F86" i="77" s="1"/>
  <c r="F124" i="77" s="1" a="1"/>
  <c r="F124" i="77" s="1"/>
  <c r="G67" i="77" a="1"/>
  <c r="G67" i="77" s="1"/>
  <c r="G88" i="77" s="1" a="1"/>
  <c r="G88" i="77" s="1"/>
  <c r="G126" i="77" s="1" a="1"/>
  <c r="G126" i="77" s="1"/>
  <c r="L64" i="77" a="1"/>
  <c r="L64" i="77" s="1"/>
  <c r="L85" i="77" s="1" a="1"/>
  <c r="L85" i="77" s="1"/>
  <c r="L123" i="77" s="1" a="1"/>
  <c r="L123" i="77" s="1"/>
  <c r="L66" i="77" a="1"/>
  <c r="L66" i="77" s="1"/>
  <c r="L87" i="77" s="1" a="1"/>
  <c r="L87" i="77" s="1"/>
  <c r="L125" i="77" s="1" a="1"/>
  <c r="L125" i="77" s="1"/>
  <c r="N64" i="77" a="1"/>
  <c r="N64" i="77" s="1"/>
  <c r="N85" i="77" s="1" a="1"/>
  <c r="N85" i="77" s="1"/>
  <c r="N123" i="77" s="1" a="1"/>
  <c r="N123" i="77" s="1"/>
  <c r="K65" i="77" a="1"/>
  <c r="K65" i="77" s="1"/>
  <c r="K86" i="77" s="1" a="1"/>
  <c r="K86" i="77" s="1"/>
  <c r="K124" i="77" s="1" a="1"/>
  <c r="K124" i="77" s="1"/>
  <c r="E66" i="77" a="1"/>
  <c r="E66" i="77" s="1"/>
  <c r="E87" i="77" s="1" a="1"/>
  <c r="E87" i="77" s="1"/>
  <c r="E125" i="77" s="1" a="1"/>
  <c r="E125" i="77" s="1"/>
  <c r="L65" i="77" a="1"/>
  <c r="L65" i="77" s="1"/>
  <c r="L86" i="77" s="1" a="1"/>
  <c r="L86" i="77" s="1"/>
  <c r="L124" i="77" s="1" a="1"/>
  <c r="L124" i="77" s="1"/>
  <c r="M64" i="77" a="1"/>
  <c r="M64" i="77" s="1"/>
  <c r="M85" i="77" s="1" a="1"/>
  <c r="M85" i="77" s="1"/>
  <c r="M123" i="77" s="1" a="1"/>
  <c r="M123" i="77" s="1"/>
  <c r="G64" i="77" a="1"/>
  <c r="G64" i="77" s="1"/>
  <c r="G85" i="77" s="1" a="1"/>
  <c r="G85" i="77" s="1"/>
  <c r="G123" i="77" s="1" a="1"/>
  <c r="G123" i="77" s="1"/>
  <c r="F64" i="77" a="1"/>
  <c r="F64" i="77" s="1"/>
  <c r="F85" i="77" s="1" a="1"/>
  <c r="F85" i="77" s="1"/>
  <c r="F123" i="77" s="1" a="1"/>
  <c r="F123" i="77" s="1"/>
  <c r="M67" i="77" a="1"/>
  <c r="M67" i="77" s="1"/>
  <c r="M88" i="77" s="1" a="1"/>
  <c r="M88" i="77" s="1"/>
  <c r="M126" i="77" s="1" a="1"/>
  <c r="M126" i="77" s="1"/>
  <c r="F67" i="77" a="1"/>
  <c r="F67" i="77" s="1"/>
  <c r="F88" i="77" s="1" a="1"/>
  <c r="F88" i="77" s="1"/>
  <c r="F126" i="77" s="1" a="1"/>
  <c r="F126" i="77" s="1"/>
  <c r="G66" i="77" a="1"/>
  <c r="G66" i="77" s="1"/>
  <c r="G87" i="77" s="1" a="1"/>
  <c r="G87" i="77" s="1"/>
  <c r="G125" i="77" s="1" a="1"/>
  <c r="G125" i="77" s="1"/>
  <c r="N65" i="77" a="1"/>
  <c r="N65" i="77" s="1"/>
  <c r="N86" i="77" s="1" a="1"/>
  <c r="N86" i="77" s="1"/>
  <c r="N124" i="77" s="1" a="1"/>
  <c r="N124" i="77" s="1"/>
  <c r="G65" i="77" a="1"/>
  <c r="G65" i="77" s="1"/>
  <c r="G86" i="77" s="1" a="1"/>
  <c r="G86" i="77" s="1"/>
  <c r="G124" i="77" s="1" a="1"/>
  <c r="G124" i="77" s="1"/>
  <c r="E48" i="77"/>
  <c r="E64" i="77" s="1" a="1"/>
  <c r="E64" i="77" s="1"/>
  <c r="E85" i="77" s="1" a="1"/>
  <c r="E85" i="77" s="1"/>
  <c r="E123" i="77" s="1" a="1"/>
  <c r="E123" i="77" s="1"/>
  <c r="K64" i="77" a="1"/>
  <c r="K64" i="77" s="1"/>
  <c r="K85" i="77" s="1" a="1"/>
  <c r="K85" i="77" s="1"/>
  <c r="K123" i="77" s="1" a="1"/>
  <c r="K123" i="77" s="1"/>
  <c r="F66" i="77" a="1"/>
  <c r="F66" i="77" s="1"/>
  <c r="F87" i="77" s="1" a="1"/>
  <c r="F87" i="77" s="1"/>
  <c r="F125" i="77" s="1" a="1"/>
  <c r="F125" i="77" s="1"/>
  <c r="J67" i="77" a="1"/>
  <c r="J67" i="77" s="1"/>
  <c r="J88" i="77" s="1" a="1"/>
  <c r="J88" i="77" s="1"/>
  <c r="J126" i="77" s="1" a="1"/>
  <c r="J126" i="77" s="1"/>
  <c r="I67" i="77" a="1"/>
  <c r="I67" i="77" s="1"/>
  <c r="I88" i="77" s="1" a="1"/>
  <c r="I88" i="77" s="1"/>
  <c r="I126" i="77" s="1" a="1"/>
  <c r="I126" i="77" s="1"/>
  <c r="H64" i="77" a="1"/>
  <c r="H64" i="77" s="1"/>
  <c r="H85" i="77" s="1" a="1"/>
  <c r="H85" i="77" s="1"/>
  <c r="H123" i="77" s="1" a="1"/>
  <c r="H123" i="77" s="1"/>
  <c r="H67" i="77" a="1"/>
  <c r="H67" i="77" s="1"/>
  <c r="H88" i="77" s="1" a="1"/>
  <c r="H88" i="77" s="1"/>
  <c r="H126" i="77" s="1" a="1"/>
  <c r="H126" i="77" s="1"/>
  <c r="J66" i="77" a="1"/>
  <c r="J66" i="77" s="1"/>
  <c r="J87" i="77" s="1" a="1"/>
  <c r="J87" i="77" s="1"/>
  <c r="J125" i="77" s="1" a="1"/>
  <c r="J125" i="77" s="1"/>
  <c r="AA77" i="77" a="1"/>
  <c r="AA77" i="77" s="1"/>
  <c r="AA98" i="77" s="1" a="1"/>
  <c r="AA98" i="77" s="1"/>
  <c r="AA150" i="77" s="1" a="1"/>
  <c r="AA150" i="77" s="1"/>
  <c r="O82" i="85" a="1"/>
  <c r="O82" i="85" s="1"/>
  <c r="P82" i="85" s="1" a="1"/>
  <c r="P82" i="85" s="1"/>
  <c r="O83" i="85" a="1"/>
  <c r="O83" i="85" s="1"/>
  <c r="P83" i="85" s="1" a="1"/>
  <c r="P83" i="85" s="1"/>
  <c r="O84" i="85" a="1"/>
  <c r="O84" i="85" s="1"/>
  <c r="P84" i="85" s="1" a="1"/>
  <c r="P84" i="85" s="1"/>
  <c r="O86" i="85" a="1"/>
  <c r="O86" i="85" s="1"/>
  <c r="P86" i="85" s="1" a="1"/>
  <c r="P86" i="85" s="1"/>
  <c r="O85" i="85" a="1"/>
  <c r="O85" i="85" s="1"/>
  <c r="P85" i="85" s="1" a="1"/>
  <c r="P85" i="85" s="1"/>
  <c r="H131" i="80" a="1"/>
  <c r="H131" i="80" s="1"/>
  <c r="I177" i="80" s="1" a="1"/>
  <c r="I177" i="80" s="1"/>
  <c r="I235" i="80" s="1" a="1"/>
  <c r="I235" i="80" s="1"/>
  <c r="H132" i="80" a="1"/>
  <c r="H132" i="80" s="1"/>
  <c r="I178" i="80" s="1" a="1"/>
  <c r="I178" i="80" s="1"/>
  <c r="I236" i="80" s="1" a="1"/>
  <c r="I236" i="80" s="1"/>
  <c r="F141" i="89" a="1"/>
  <c r="F141" i="89" s="1"/>
  <c r="F143" i="89" a="1"/>
  <c r="F143" i="89" s="1"/>
  <c r="F144" i="89" a="1"/>
  <c r="F144" i="89" s="1"/>
  <c r="F140" i="89" a="1"/>
  <c r="F140" i="89" s="1"/>
  <c r="F137" i="89" a="1"/>
  <c r="F137" i="89" s="1"/>
  <c r="F136" i="89" a="1"/>
  <c r="F136" i="89" s="1"/>
  <c r="F135" i="89" a="1"/>
  <c r="F135" i="89" s="1"/>
  <c r="F138" i="89" a="1"/>
  <c r="F138" i="89" s="1"/>
  <c r="F142" i="89" a="1"/>
  <c r="F142" i="89" s="1"/>
  <c r="AA83" i="80" a="1"/>
  <c r="AA83" i="80" s="1"/>
  <c r="AA138" i="80" s="1" a="1"/>
  <c r="AA138" i="80" s="1"/>
  <c r="AB196" i="80" s="1" a="1"/>
  <c r="AB196" i="80" s="1"/>
  <c r="AB270" i="80" s="1" a="1"/>
  <c r="AB270" i="80" s="1"/>
  <c r="E33" i="90"/>
  <c r="F33" i="90" s="1" a="1"/>
  <c r="F33" i="90" s="1"/>
  <c r="E29" i="89"/>
  <c r="H29" i="89" s="1" a="1"/>
  <c r="H29" i="89" s="1"/>
  <c r="E69" i="89" s="1"/>
  <c r="F69" i="89" s="1" a="1"/>
  <c r="F69" i="89" s="1"/>
  <c r="E70" i="85" a="1"/>
  <c r="E70" i="85" s="1"/>
  <c r="Y86" i="77" a="1"/>
  <c r="Y86" i="77" s="1"/>
  <c r="Y107" i="77" s="1" a="1"/>
  <c r="Y107" i="77" s="1"/>
  <c r="Y159" i="77" s="1" a="1"/>
  <c r="Y159" i="77" s="1"/>
  <c r="G33" i="81" a="1"/>
  <c r="G33" i="81" s="1"/>
  <c r="F34" i="81" a="1"/>
  <c r="F34" i="81" s="1"/>
  <c r="G36" i="81" a="1"/>
  <c r="G36" i="81" s="1"/>
  <c r="E20" i="81"/>
  <c r="E33" i="81" s="1" a="1"/>
  <c r="E33" i="81" s="1"/>
  <c r="M33" i="81" a="1"/>
  <c r="M33" i="81" s="1"/>
  <c r="H36" i="81" a="1"/>
  <c r="H36" i="81" s="1"/>
  <c r="G35" i="81" a="1"/>
  <c r="G35" i="81" s="1"/>
  <c r="G34" i="81" a="1"/>
  <c r="G34" i="81" s="1"/>
  <c r="H35" i="81" a="1"/>
  <c r="H35" i="81" s="1"/>
  <c r="E36" i="81" a="1"/>
  <c r="E36" i="81" s="1"/>
  <c r="F33" i="81" a="1"/>
  <c r="F33" i="81" s="1"/>
  <c r="K36" i="81" a="1"/>
  <c r="K36" i="81" s="1"/>
  <c r="L35" i="81" a="1"/>
  <c r="L35" i="81" s="1"/>
  <c r="N33" i="81" a="1"/>
  <c r="N33" i="81" s="1"/>
  <c r="M34" i="81" a="1"/>
  <c r="M34" i="81" s="1"/>
  <c r="N34" i="81" a="1"/>
  <c r="N34" i="81" s="1"/>
  <c r="H33" i="81" a="1"/>
  <c r="H33" i="81" s="1"/>
  <c r="L34" i="81" a="1"/>
  <c r="L34" i="81" s="1"/>
  <c r="F36" i="81" a="1"/>
  <c r="F36" i="81" s="1"/>
  <c r="F35" i="81" a="1"/>
  <c r="F35" i="81" s="1"/>
  <c r="N35" i="81" a="1"/>
  <c r="N35" i="81" s="1"/>
  <c r="I36" i="81" a="1"/>
  <c r="I36" i="81" s="1"/>
  <c r="K35" i="81" a="1"/>
  <c r="K35" i="81" s="1"/>
  <c r="K34" i="81" a="1"/>
  <c r="K34" i="81" s="1"/>
  <c r="M36" i="81" a="1"/>
  <c r="M36" i="81" s="1"/>
  <c r="M35" i="81" a="1"/>
  <c r="M35" i="81" s="1"/>
  <c r="K33" i="81" a="1"/>
  <c r="K33" i="81" s="1"/>
  <c r="I33" i="81" a="1"/>
  <c r="I33" i="81" s="1"/>
  <c r="N36" i="81" a="1"/>
  <c r="N36" i="81" s="1"/>
  <c r="I35" i="81" a="1"/>
  <c r="I35" i="81" s="1"/>
  <c r="L36" i="81" a="1"/>
  <c r="L36" i="81" s="1"/>
  <c r="H34" i="81" a="1"/>
  <c r="H34" i="81" s="1"/>
  <c r="J36" i="81" a="1"/>
  <c r="J36" i="81" s="1"/>
  <c r="E35" i="81" a="1"/>
  <c r="E35" i="81" s="1"/>
  <c r="J35" i="81" a="1"/>
  <c r="J35" i="81" s="1"/>
  <c r="J34" i="81" a="1"/>
  <c r="J34" i="81" s="1"/>
  <c r="L33" i="81" a="1"/>
  <c r="L33" i="81" s="1"/>
  <c r="E34" i="81" a="1"/>
  <c r="E34" i="81" s="1"/>
  <c r="J33" i="81" a="1"/>
  <c r="J33" i="81" s="1"/>
  <c r="I34" i="81" a="1"/>
  <c r="I34" i="81" s="1"/>
  <c r="AC85" i="80" a="1"/>
  <c r="AC85" i="80" s="1"/>
  <c r="AC140" i="80" s="1" a="1"/>
  <c r="AC140" i="80" s="1"/>
  <c r="H66" i="77" a="1"/>
  <c r="H66" i="77" s="1"/>
  <c r="H87" i="77" s="1" a="1"/>
  <c r="H87" i="77" s="1"/>
  <c r="H125" i="77" s="1" a="1"/>
  <c r="H125" i="77" s="1"/>
  <c r="Z77" i="77" a="1"/>
  <c r="Z77" i="77" s="1"/>
  <c r="Z98" i="77" s="1" a="1"/>
  <c r="Z98" i="77" s="1"/>
  <c r="Z150" i="77" s="1" a="1"/>
  <c r="Z150" i="77" s="1"/>
  <c r="AA85" i="77" a="1"/>
  <c r="AA85" i="77" s="1"/>
  <c r="AA106" i="77" s="1" a="1"/>
  <c r="AA106" i="77" s="1"/>
  <c r="AA158" i="77" s="1" a="1"/>
  <c r="AA158" i="77" s="1"/>
  <c r="E46" i="101" a="1"/>
  <c r="E46" i="101" s="1"/>
  <c r="E48" i="101" s="1"/>
  <c r="E24" i="90"/>
  <c r="F24" i="90" s="1" a="1"/>
  <c r="F24" i="90" s="1"/>
  <c r="E20" i="89"/>
  <c r="H20" i="89" s="1" a="1"/>
  <c r="H20" i="89" s="1"/>
  <c r="E60" i="89" s="1"/>
  <c r="F60" i="89" s="1" a="1"/>
  <c r="F60" i="89" s="1"/>
  <c r="E61" i="85" a="1"/>
  <c r="E61" i="85" s="1"/>
  <c r="E40" i="90"/>
  <c r="F40" i="90" s="1" a="1"/>
  <c r="F40" i="90" s="1"/>
  <c r="E36" i="89"/>
  <c r="H36" i="89" s="1" a="1"/>
  <c r="H36" i="89" s="1"/>
  <c r="E76" i="89" s="1"/>
  <c r="F76" i="89" s="1" a="1"/>
  <c r="F76" i="89" s="1"/>
  <c r="E77" i="85" a="1"/>
  <c r="E77" i="85" s="1"/>
  <c r="E29" i="90"/>
  <c r="F29" i="90" s="1" a="1"/>
  <c r="F29" i="90" s="1"/>
  <c r="E25" i="89"/>
  <c r="H25" i="89" s="1" a="1"/>
  <c r="H25" i="89" s="1"/>
  <c r="E65" i="89" s="1"/>
  <c r="F65" i="89" s="1" a="1"/>
  <c r="F65" i="89" s="1"/>
  <c r="E66" i="85" a="1"/>
  <c r="E66" i="85" s="1"/>
  <c r="Z86" i="77" a="1"/>
  <c r="Z86" i="77" s="1"/>
  <c r="Z107" i="77" s="1" a="1"/>
  <c r="Z107" i="77" s="1"/>
  <c r="Z159" i="77" s="1" a="1"/>
  <c r="Z159" i="77" s="1"/>
  <c r="I64" i="77" a="1"/>
  <c r="I64" i="77" s="1"/>
  <c r="I85" i="77" s="1" a="1"/>
  <c r="I85" i="77" s="1"/>
  <c r="I123" i="77" s="1" a="1"/>
  <c r="I123" i="77" s="1"/>
  <c r="G50" i="101"/>
  <c r="E53" i="101" s="1" a="1"/>
  <c r="E53" i="101" s="1"/>
  <c r="E19" i="13" a="1"/>
  <c r="E19" i="13" s="1"/>
  <c r="H19" i="13" s="1" a="1"/>
  <c r="H19" i="13" s="1"/>
  <c r="E70" i="96"/>
  <c r="E67" i="96"/>
  <c r="E20" i="13" s="1" a="1"/>
  <c r="E20" i="13" s="1"/>
  <c r="F20" i="13" s="1"/>
  <c r="I20" i="13" s="1"/>
  <c r="E69" i="96"/>
  <c r="E22" i="13" s="1" a="1"/>
  <c r="E22" i="13" s="1"/>
  <c r="F22" i="13" s="1"/>
  <c r="I22" i="13" s="1" a="1"/>
  <c r="I22" i="13" s="1"/>
  <c r="E68" i="96"/>
  <c r="E21" i="13" s="1" a="1"/>
  <c r="E21" i="13" s="1"/>
  <c r="F21" i="13" s="1"/>
  <c r="I21" i="13" s="1" a="1"/>
  <c r="I21" i="13" s="1"/>
  <c r="E55" i="97"/>
  <c r="E23" i="13" s="1" a="1"/>
  <c r="E23" i="13" s="1"/>
  <c r="E58" i="97"/>
  <c r="E57" i="97"/>
  <c r="E25" i="13" s="1" a="1"/>
  <c r="E25" i="13" s="1"/>
  <c r="E56" i="97"/>
  <c r="E24" i="13" s="1" a="1"/>
  <c r="E24" i="13" s="1"/>
  <c r="V48" i="85" l="1" a="1"/>
  <c r="V48" i="85" s="1"/>
  <c r="P81" i="85" a="1"/>
  <c r="P81" i="85" s="1"/>
  <c r="F13" i="13"/>
  <c r="I13" i="13" s="1"/>
  <c r="O78" i="85" a="1"/>
  <c r="O78" i="85" s="1"/>
  <c r="P78" i="85" s="1" a="1"/>
  <c r="P78" i="85" s="1"/>
  <c r="E43" i="90"/>
  <c r="J89" i="90" s="1"/>
  <c r="E94" i="90" s="1" a="1"/>
  <c r="E94" i="90" s="1"/>
  <c r="G96" i="90" s="1"/>
  <c r="E99" i="90" s="1" a="1"/>
  <c r="E99" i="90" s="1"/>
  <c r="P77" i="85" a="1"/>
  <c r="P77" i="85" s="1"/>
  <c r="AB194" i="80" a="1"/>
  <c r="AB194" i="80" s="1"/>
  <c r="AB268" i="80" s="1" a="1"/>
  <c r="AB268" i="80" s="1"/>
  <c r="J183" i="80" a="1"/>
  <c r="J183" i="80" s="1"/>
  <c r="J241" i="80" s="1" a="1"/>
  <c r="J241" i="80" s="1"/>
  <c r="AD200" i="80" a="1"/>
  <c r="AD200" i="80" s="1"/>
  <c r="AD274" i="80" s="1" a="1"/>
  <c r="AD274" i="80" s="1"/>
  <c r="AD185" i="80" a="1"/>
  <c r="AD185" i="80" s="1"/>
  <c r="AD259" i="80" s="1" a="1"/>
  <c r="AD259" i="80" s="1"/>
  <c r="AC197" i="80" a="1"/>
  <c r="AC197" i="80" s="1"/>
  <c r="AC271" i="80" s="1" a="1"/>
  <c r="AC271" i="80" s="1"/>
  <c r="J180" i="80" a="1"/>
  <c r="J180" i="80" s="1"/>
  <c r="J238" i="80" s="1" a="1"/>
  <c r="J238" i="80" s="1"/>
  <c r="AB186" i="80" a="1"/>
  <c r="AB186" i="80" s="1"/>
  <c r="AB260" i="80" s="1" a="1"/>
  <c r="AB260" i="80" s="1"/>
  <c r="AB197" i="80" a="1"/>
  <c r="AB197" i="80" s="1"/>
  <c r="AB271" i="80" s="1" a="1"/>
  <c r="AB271" i="80" s="1"/>
  <c r="AD179" i="80" a="1"/>
  <c r="AD179" i="80" s="1"/>
  <c r="AD253" i="80" s="1" a="1"/>
  <c r="AD253" i="80" s="1"/>
  <c r="K182" i="80" a="1"/>
  <c r="K182" i="80" s="1"/>
  <c r="K240" i="80" s="1" a="1"/>
  <c r="K240" i="80" s="1"/>
  <c r="K178" i="80" a="1"/>
  <c r="K178" i="80" s="1"/>
  <c r="K236" i="80" s="1" a="1"/>
  <c r="K236" i="80" s="1"/>
  <c r="K177" i="80" a="1"/>
  <c r="K177" i="80" s="1"/>
  <c r="K235" i="80" s="1" a="1"/>
  <c r="K235" i="80" s="1"/>
  <c r="K181" i="80" a="1"/>
  <c r="K181" i="80" s="1"/>
  <c r="K239" i="80" s="1" a="1"/>
  <c r="K239" i="80" s="1"/>
  <c r="AB195" i="80" a="1"/>
  <c r="AB195" i="80" s="1"/>
  <c r="AB269" i="80" s="1" a="1"/>
  <c r="AB269" i="80" s="1"/>
  <c r="J182" i="80" a="1"/>
  <c r="J182" i="80" s="1"/>
  <c r="J240" i="80" s="1" a="1"/>
  <c r="J240" i="80" s="1"/>
  <c r="F19" i="13" a="1"/>
  <c r="F19" i="13" s="1"/>
  <c r="I19" i="13" s="1" a="1"/>
  <c r="I19" i="13" s="1"/>
  <c r="AD196" i="80" a="1"/>
  <c r="AD196" i="80" s="1"/>
  <c r="AD270" i="80" s="1" a="1"/>
  <c r="AD270" i="80" s="1"/>
  <c r="AC195" i="80" a="1"/>
  <c r="AC195" i="80" s="1"/>
  <c r="AC269" i="80" s="1" a="1"/>
  <c r="AC269" i="80" s="1"/>
  <c r="AC183" i="80" a="1"/>
  <c r="AC183" i="80" s="1"/>
  <c r="AC257" i="80" s="1" a="1"/>
  <c r="AC257" i="80" s="1"/>
  <c r="I182" i="80" a="1"/>
  <c r="I182" i="80" s="1"/>
  <c r="I240" i="80" s="1" a="1"/>
  <c r="I240" i="80" s="1"/>
  <c r="AB178" i="80" a="1"/>
  <c r="AB178" i="80" s="1"/>
  <c r="AB252" i="80" s="1" a="1"/>
  <c r="AB252" i="80" s="1"/>
  <c r="AB190" i="80" a="1"/>
  <c r="AB190" i="80" s="1"/>
  <c r="AB264" i="80" s="1" a="1"/>
  <c r="AB264" i="80" s="1"/>
  <c r="AA199" i="80" a="1"/>
  <c r="AA199" i="80" s="1"/>
  <c r="AA273" i="80" s="1" a="1"/>
  <c r="AA273" i="80" s="1"/>
  <c r="AA187" i="80" a="1"/>
  <c r="AA187" i="80" s="1"/>
  <c r="AA261" i="80" s="1" a="1"/>
  <c r="AA261" i="80" s="1"/>
  <c r="E128" i="77"/>
  <c r="O177" i="80" a="1"/>
  <c r="O177" i="80" s="1"/>
  <c r="O235" i="80" s="1" a="1"/>
  <c r="O235" i="80" s="1"/>
  <c r="O181" i="80" a="1"/>
  <c r="O181" i="80" s="1"/>
  <c r="O239" i="80" s="1" a="1"/>
  <c r="O239" i="80" s="1"/>
  <c r="AC199" i="80" a="1"/>
  <c r="AC199" i="80" s="1"/>
  <c r="AC273" i="80" s="1" a="1"/>
  <c r="AC273" i="80" s="1"/>
  <c r="AC187" i="80" a="1"/>
  <c r="AC187" i="80" s="1"/>
  <c r="AC261" i="80" s="1" a="1"/>
  <c r="AC261" i="80" s="1"/>
  <c r="AH182" i="80" a="1"/>
  <c r="AH182" i="80" s="1"/>
  <c r="AH256" i="80" s="1" a="1"/>
  <c r="AH256" i="80" s="1"/>
  <c r="AH194" i="80" a="1"/>
  <c r="AH194" i="80" s="1"/>
  <c r="AH268" i="80" s="1" a="1"/>
  <c r="AH268" i="80" s="1"/>
  <c r="AB200" i="80" a="1"/>
  <c r="AB200" i="80" s="1"/>
  <c r="AB274" i="80" s="1" a="1"/>
  <c r="AB274" i="80" s="1"/>
  <c r="AB188" i="80" a="1"/>
  <c r="AB188" i="80" s="1"/>
  <c r="AB262" i="80" s="1" a="1"/>
  <c r="AB262" i="80" s="1"/>
  <c r="V161" i="77"/>
  <c r="X163" i="77" s="1"/>
  <c r="V166" i="77" s="1" a="1"/>
  <c r="V166" i="77" s="1"/>
  <c r="M180" i="80" a="1"/>
  <c r="M180" i="80" s="1"/>
  <c r="M238" i="80" s="1" a="1"/>
  <c r="M238" i="80" s="1"/>
  <c r="M184" i="80" a="1"/>
  <c r="M184" i="80" s="1"/>
  <c r="M242" i="80" s="1" a="1"/>
  <c r="M242" i="80" s="1"/>
  <c r="N182" i="80" a="1"/>
  <c r="N182" i="80" s="1"/>
  <c r="N240" i="80" s="1" a="1"/>
  <c r="N240" i="80" s="1"/>
  <c r="N178" i="80" a="1"/>
  <c r="N178" i="80" s="1"/>
  <c r="N236" i="80" s="1" a="1"/>
  <c r="N236" i="80" s="1"/>
  <c r="AH195" i="80" a="1"/>
  <c r="AH195" i="80" s="1"/>
  <c r="AH269" i="80" s="1" a="1"/>
  <c r="AH269" i="80" s="1"/>
  <c r="AH183" i="80" a="1"/>
  <c r="AH183" i="80" s="1"/>
  <c r="AH257" i="80" s="1" a="1"/>
  <c r="AH257" i="80" s="1"/>
  <c r="AF192" i="80" a="1"/>
  <c r="AF192" i="80" s="1"/>
  <c r="AF266" i="80" s="1" a="1"/>
  <c r="AF266" i="80" s="1"/>
  <c r="AF180" i="80" a="1"/>
  <c r="AF180" i="80" s="1"/>
  <c r="AF254" i="80" s="1" a="1"/>
  <c r="AF254" i="80" s="1"/>
  <c r="AA195" i="80" a="1"/>
  <c r="AA195" i="80" s="1"/>
  <c r="AA269" i="80" s="1" a="1"/>
  <c r="AA269" i="80" s="1"/>
  <c r="AA183" i="80" a="1"/>
  <c r="AA183" i="80" s="1"/>
  <c r="AA257" i="80" s="1" a="1"/>
  <c r="AA257" i="80" s="1"/>
  <c r="AF195" i="80" a="1"/>
  <c r="AF195" i="80" s="1"/>
  <c r="AF269" i="80" s="1" a="1"/>
  <c r="AF269" i="80" s="1"/>
  <c r="AF183" i="80" a="1"/>
  <c r="AF183" i="80" s="1"/>
  <c r="AF257" i="80" s="1" a="1"/>
  <c r="AF257" i="80" s="1"/>
  <c r="AE189" i="80" a="1"/>
  <c r="AE189" i="80" s="1"/>
  <c r="AE263" i="80" s="1" a="1"/>
  <c r="AE263" i="80" s="1"/>
  <c r="AE177" i="80" a="1"/>
  <c r="AE177" i="80" s="1"/>
  <c r="AE251" i="80" s="1" a="1"/>
  <c r="AE251" i="80" s="1"/>
  <c r="AF196" i="80" a="1"/>
  <c r="AF196" i="80" s="1"/>
  <c r="AF270" i="80" s="1" a="1"/>
  <c r="AF270" i="80" s="1"/>
  <c r="AF184" i="80" a="1"/>
  <c r="AF184" i="80" s="1"/>
  <c r="AF258" i="80" s="1" a="1"/>
  <c r="AF258" i="80" s="1"/>
  <c r="Y183" i="80" a="1"/>
  <c r="Y183" i="80" s="1"/>
  <c r="Y257" i="80" s="1" a="1"/>
  <c r="Y257" i="80" s="1"/>
  <c r="Y195" i="80" a="1"/>
  <c r="Y195" i="80" s="1"/>
  <c r="Y269" i="80" s="1" a="1"/>
  <c r="Y269" i="80" s="1"/>
  <c r="G179" i="80" a="1"/>
  <c r="G179" i="80" s="1"/>
  <c r="G237" i="80" s="1" a="1"/>
  <c r="G237" i="80" s="1"/>
  <c r="G183" i="80" a="1"/>
  <c r="G183" i="80" s="1"/>
  <c r="G241" i="80" s="1" a="1"/>
  <c r="G241" i="80" s="1"/>
  <c r="E25" i="72"/>
  <c r="F64" i="13" s="1"/>
  <c r="M183" i="80" a="1"/>
  <c r="M183" i="80" s="1"/>
  <c r="M241" i="80" s="1" a="1"/>
  <c r="M241" i="80" s="1"/>
  <c r="M179" i="80" a="1"/>
  <c r="M179" i="80" s="1"/>
  <c r="M237" i="80" s="1" a="1"/>
  <c r="M237" i="80" s="1"/>
  <c r="H182" i="80" a="1"/>
  <c r="H182" i="80" s="1"/>
  <c r="H240" i="80" s="1" a="1"/>
  <c r="H240" i="80" s="1"/>
  <c r="H178" i="80" a="1"/>
  <c r="H178" i="80" s="1"/>
  <c r="H236" i="80" s="1" a="1"/>
  <c r="H236" i="80" s="1"/>
  <c r="AC181" i="80" a="1"/>
  <c r="AC181" i="80" s="1"/>
  <c r="AC255" i="80" s="1" a="1"/>
  <c r="AC255" i="80" s="1"/>
  <c r="AC193" i="80" a="1"/>
  <c r="AC193" i="80" s="1"/>
  <c r="AC267" i="80" s="1" a="1"/>
  <c r="AC267" i="80" s="1"/>
  <c r="AH178" i="80" a="1"/>
  <c r="AH178" i="80" s="1"/>
  <c r="AH252" i="80" s="1" a="1"/>
  <c r="AH252" i="80" s="1"/>
  <c r="AH190" i="80" a="1"/>
  <c r="AH190" i="80" s="1"/>
  <c r="AH264" i="80" s="1" a="1"/>
  <c r="AH264" i="80" s="1"/>
  <c r="Z181" i="80" a="1"/>
  <c r="Z181" i="80" s="1"/>
  <c r="Z255" i="80" s="1" a="1"/>
  <c r="Z255" i="80" s="1"/>
  <c r="Z193" i="80" a="1"/>
  <c r="Z193" i="80" s="1"/>
  <c r="Z267" i="80" s="1" a="1"/>
  <c r="Z267" i="80" s="1"/>
  <c r="AH192" i="80" a="1"/>
  <c r="AH192" i="80" s="1"/>
  <c r="AH266" i="80" s="1" a="1"/>
  <c r="AH266" i="80" s="1"/>
  <c r="AH180" i="80" a="1"/>
  <c r="AH180" i="80" s="1"/>
  <c r="AH254" i="80" s="1" a="1"/>
  <c r="AH254" i="80" s="1"/>
  <c r="Y194" i="80" a="1"/>
  <c r="Y194" i="80" s="1"/>
  <c r="Y268" i="80" s="1" a="1"/>
  <c r="Y268" i="80" s="1"/>
  <c r="Y182" i="80" a="1"/>
  <c r="Y182" i="80" s="1"/>
  <c r="Y256" i="80" s="1" a="1"/>
  <c r="Y256" i="80" s="1"/>
  <c r="AF193" i="80" a="1"/>
  <c r="AF193" i="80" s="1"/>
  <c r="AF267" i="80" s="1" a="1"/>
  <c r="AF267" i="80" s="1"/>
  <c r="AF181" i="80" a="1"/>
  <c r="AF181" i="80" s="1"/>
  <c r="AF255" i="80" s="1" a="1"/>
  <c r="AF255" i="80" s="1"/>
  <c r="AF188" i="80" a="1"/>
  <c r="AF188" i="80" s="1"/>
  <c r="AF262" i="80" s="1" a="1"/>
  <c r="AF262" i="80" s="1"/>
  <c r="AF200" i="80" a="1"/>
  <c r="AF200" i="80" s="1"/>
  <c r="AF274" i="80" s="1" a="1"/>
  <c r="AF274" i="80" s="1"/>
  <c r="AA178" i="80" a="1"/>
  <c r="AA178" i="80" s="1"/>
  <c r="AA252" i="80" s="1" a="1"/>
  <c r="AA252" i="80" s="1"/>
  <c r="AA190" i="80" a="1"/>
  <c r="AA190" i="80" s="1"/>
  <c r="AA264" i="80" s="1" a="1"/>
  <c r="AA264" i="80" s="1"/>
  <c r="Z195" i="80" a="1"/>
  <c r="Z195" i="80" s="1"/>
  <c r="Z269" i="80" s="1" a="1"/>
  <c r="Z269" i="80" s="1"/>
  <c r="Z183" i="80" a="1"/>
  <c r="Z183" i="80" s="1"/>
  <c r="Z257" i="80" s="1" a="1"/>
  <c r="Z257" i="80" s="1"/>
  <c r="AA185" i="80" a="1"/>
  <c r="AA185" i="80" s="1"/>
  <c r="AA259" i="80" s="1" a="1"/>
  <c r="AA259" i="80" s="1"/>
  <c r="AA197" i="80" a="1"/>
  <c r="AA197" i="80" s="1"/>
  <c r="AA271" i="80" s="1" a="1"/>
  <c r="AA271" i="80" s="1"/>
  <c r="AF198" i="80" a="1"/>
  <c r="AF198" i="80" s="1"/>
  <c r="AF272" i="80" s="1" a="1"/>
  <c r="AF272" i="80" s="1"/>
  <c r="AF186" i="80" a="1"/>
  <c r="AF186" i="80" s="1"/>
  <c r="AF260" i="80" s="1" a="1"/>
  <c r="AF260" i="80" s="1"/>
  <c r="F184" i="80" a="1"/>
  <c r="F184" i="80" s="1"/>
  <c r="F242" i="80" s="1" a="1"/>
  <c r="F242" i="80" s="1"/>
  <c r="F180" i="80" a="1"/>
  <c r="F180" i="80" s="1"/>
  <c r="F238" i="80" s="1" a="1"/>
  <c r="F238" i="80" s="1"/>
  <c r="AB193" i="80" a="1"/>
  <c r="AB193" i="80" s="1"/>
  <c r="AB267" i="80" s="1" a="1"/>
  <c r="AB267" i="80" s="1"/>
  <c r="AB181" i="80" a="1"/>
  <c r="AB181" i="80" s="1"/>
  <c r="AB255" i="80" s="1" a="1"/>
  <c r="AB255" i="80" s="1"/>
  <c r="AA198" i="80" a="1"/>
  <c r="AA198" i="80" s="1"/>
  <c r="AA272" i="80" s="1" a="1"/>
  <c r="AA272" i="80" s="1"/>
  <c r="AA186" i="80" a="1"/>
  <c r="AA186" i="80" s="1"/>
  <c r="AA260" i="80" s="1" a="1"/>
  <c r="AA260" i="80" s="1"/>
  <c r="AA196" i="80" a="1"/>
  <c r="AA196" i="80" s="1"/>
  <c r="AA270" i="80" s="1" a="1"/>
  <c r="AA270" i="80" s="1"/>
  <c r="AA184" i="80" a="1"/>
  <c r="AA184" i="80" s="1"/>
  <c r="AA258" i="80" s="1" a="1"/>
  <c r="AA258" i="80" s="1"/>
  <c r="N183" i="80" a="1"/>
  <c r="N183" i="80" s="1"/>
  <c r="N241" i="80" s="1" a="1"/>
  <c r="N241" i="80" s="1"/>
  <c r="N179" i="80" a="1"/>
  <c r="N179" i="80" s="1"/>
  <c r="N237" i="80" s="1" a="1"/>
  <c r="N237" i="80" s="1"/>
  <c r="AF199" i="80" a="1"/>
  <c r="AF199" i="80" s="1"/>
  <c r="AF273" i="80" s="1" a="1"/>
  <c r="AF273" i="80" s="1"/>
  <c r="AF187" i="80" a="1"/>
  <c r="AF187" i="80" s="1"/>
  <c r="AF261" i="80" s="1" a="1"/>
  <c r="AF261" i="80" s="1"/>
  <c r="AG193" i="80" a="1"/>
  <c r="AG193" i="80" s="1"/>
  <c r="AG267" i="80" s="1" a="1"/>
  <c r="AG267" i="80" s="1"/>
  <c r="AG181" i="80" a="1"/>
  <c r="AG181" i="80" s="1"/>
  <c r="AG255" i="80" s="1" a="1"/>
  <c r="AG255" i="80" s="1"/>
  <c r="Y184" i="80" a="1"/>
  <c r="Y184" i="80" s="1"/>
  <c r="Y258" i="80" s="1" a="1"/>
  <c r="Y258" i="80" s="1"/>
  <c r="Y196" i="80" a="1"/>
  <c r="Y196" i="80" s="1"/>
  <c r="Y270" i="80" s="1" a="1"/>
  <c r="Y270" i="80" s="1"/>
  <c r="AA193" i="80" a="1"/>
  <c r="AA193" i="80" s="1"/>
  <c r="AA267" i="80" s="1" a="1"/>
  <c r="AA267" i="80" s="1"/>
  <c r="AA181" i="80" a="1"/>
  <c r="AA181" i="80" s="1"/>
  <c r="AA255" i="80" s="1" a="1"/>
  <c r="AA255" i="80" s="1"/>
  <c r="AE183" i="80" a="1"/>
  <c r="AE183" i="80" s="1"/>
  <c r="AE257" i="80" s="1" a="1"/>
  <c r="AE257" i="80" s="1"/>
  <c r="AE195" i="80" a="1"/>
  <c r="AE195" i="80" s="1"/>
  <c r="AE269" i="80" s="1" a="1"/>
  <c r="AE269" i="80" s="1"/>
  <c r="M181" i="80" a="1"/>
  <c r="M181" i="80" s="1"/>
  <c r="M239" i="80" s="1" a="1"/>
  <c r="M239" i="80" s="1"/>
  <c r="M177" i="80" a="1"/>
  <c r="M177" i="80" s="1"/>
  <c r="M235" i="80" s="1" a="1"/>
  <c r="M235" i="80" s="1"/>
  <c r="E18" i="13" a="1"/>
  <c r="E18" i="13" s="1"/>
  <c r="H18" i="13" s="1" a="1"/>
  <c r="H18" i="13" s="1"/>
  <c r="G42" i="100"/>
  <c r="E45" i="100" s="1" a="1"/>
  <c r="E45" i="100" s="1"/>
  <c r="AB180" i="80" a="1"/>
  <c r="AB180" i="80" s="1"/>
  <c r="AB254" i="80" s="1" a="1"/>
  <c r="AB254" i="80" s="1"/>
  <c r="AB192" i="80" a="1"/>
  <c r="AB192" i="80" s="1"/>
  <c r="AB266" i="80" s="1" a="1"/>
  <c r="AB266" i="80" s="1"/>
  <c r="AH198" i="80" a="1"/>
  <c r="AH198" i="80" s="1"/>
  <c r="AH272" i="80" s="1" a="1"/>
  <c r="AH272" i="80" s="1"/>
  <c r="AH186" i="80" a="1"/>
  <c r="AH186" i="80" s="1"/>
  <c r="AH260" i="80" s="1" a="1"/>
  <c r="AH260" i="80" s="1"/>
  <c r="AB191" i="80" a="1"/>
  <c r="AB191" i="80" s="1"/>
  <c r="AB265" i="80" s="1" a="1"/>
  <c r="AB265" i="80" s="1"/>
  <c r="AB179" i="80" a="1"/>
  <c r="AB179" i="80" s="1"/>
  <c r="AB253" i="80" s="1" a="1"/>
  <c r="AB253" i="80" s="1"/>
  <c r="Y191" i="80" a="1"/>
  <c r="Y191" i="80" s="1"/>
  <c r="Y265" i="80" s="1" a="1"/>
  <c r="Y265" i="80" s="1"/>
  <c r="Y179" i="80" a="1"/>
  <c r="Y179" i="80" s="1"/>
  <c r="Y253" i="80" s="1" a="1"/>
  <c r="Y253" i="80" s="1"/>
  <c r="K180" i="80" a="1"/>
  <c r="K180" i="80" s="1"/>
  <c r="K238" i="80" s="1" a="1"/>
  <c r="K238" i="80" s="1"/>
  <c r="AB184" i="80" a="1"/>
  <c r="AB184" i="80" s="1"/>
  <c r="AB258" i="80" s="1" a="1"/>
  <c r="AB258" i="80" s="1"/>
  <c r="I179" i="80" a="1"/>
  <c r="I179" i="80" s="1"/>
  <c r="I237" i="80" s="1" a="1"/>
  <c r="I237" i="80" s="1"/>
  <c r="I183" i="80" a="1"/>
  <c r="I183" i="80" s="1"/>
  <c r="I241" i="80" s="1" a="1"/>
  <c r="I241" i="80" s="1"/>
  <c r="N181" i="80" a="1"/>
  <c r="N181" i="80" s="1"/>
  <c r="N239" i="80" s="1" a="1"/>
  <c r="N239" i="80" s="1"/>
  <c r="N177" i="80" a="1"/>
  <c r="N177" i="80" s="1"/>
  <c r="N235" i="80" s="1" a="1"/>
  <c r="N235" i="80" s="1"/>
  <c r="M178" i="80" a="1"/>
  <c r="M178" i="80" s="1"/>
  <c r="M236" i="80" s="1" a="1"/>
  <c r="M236" i="80" s="1"/>
  <c r="M182" i="80" a="1"/>
  <c r="M182" i="80" s="1"/>
  <c r="M240" i="80" s="1" a="1"/>
  <c r="M240" i="80" s="1"/>
  <c r="E146" i="89"/>
  <c r="AD194" i="80" a="1"/>
  <c r="AD194" i="80" s="1"/>
  <c r="AD268" i="80" s="1" a="1"/>
  <c r="AD268" i="80" s="1"/>
  <c r="AD182" i="80" a="1"/>
  <c r="AD182" i="80" s="1"/>
  <c r="AD256" i="80" s="1" a="1"/>
  <c r="AD256" i="80" s="1"/>
  <c r="AD193" i="80" a="1"/>
  <c r="AD193" i="80" s="1"/>
  <c r="AD267" i="80" s="1" a="1"/>
  <c r="AD267" i="80" s="1"/>
  <c r="AD181" i="80" a="1"/>
  <c r="AD181" i="80" s="1"/>
  <c r="AD255" i="80" s="1" a="1"/>
  <c r="AD255" i="80" s="1"/>
  <c r="AG187" i="80" a="1"/>
  <c r="AG187" i="80" s="1"/>
  <c r="AG261" i="80" s="1" a="1"/>
  <c r="AG261" i="80" s="1"/>
  <c r="AG199" i="80" a="1"/>
  <c r="AG199" i="80" s="1"/>
  <c r="AG273" i="80" s="1" a="1"/>
  <c r="AG273" i="80" s="1"/>
  <c r="AG198" i="80" a="1"/>
  <c r="AG198" i="80" s="1"/>
  <c r="AG272" i="80" s="1" a="1"/>
  <c r="AG272" i="80" s="1"/>
  <c r="AG186" i="80" a="1"/>
  <c r="AG186" i="80" s="1"/>
  <c r="AG260" i="80" s="1" a="1"/>
  <c r="AG260" i="80" s="1"/>
  <c r="AE186" i="80" a="1"/>
  <c r="AE186" i="80" s="1"/>
  <c r="AE260" i="80" s="1" a="1"/>
  <c r="AE260" i="80" s="1"/>
  <c r="AE198" i="80" a="1"/>
  <c r="AE198" i="80" s="1"/>
  <c r="AE272" i="80" s="1" a="1"/>
  <c r="AE272" i="80" s="1"/>
  <c r="AG197" i="80" a="1"/>
  <c r="AG197" i="80" s="1"/>
  <c r="AG271" i="80" s="1" a="1"/>
  <c r="AG271" i="80" s="1"/>
  <c r="AG185" i="80" a="1"/>
  <c r="AG185" i="80" s="1"/>
  <c r="AG259" i="80" s="1" a="1"/>
  <c r="AG259" i="80" s="1"/>
  <c r="Y192" i="80" a="1"/>
  <c r="Y192" i="80" s="1"/>
  <c r="Y266" i="80" s="1" a="1"/>
  <c r="Y266" i="80" s="1"/>
  <c r="Y180" i="80" a="1"/>
  <c r="Y180" i="80" s="1"/>
  <c r="Y254" i="80" s="1" a="1"/>
  <c r="Y254" i="80" s="1"/>
  <c r="AE179" i="80" a="1"/>
  <c r="AE179" i="80" s="1"/>
  <c r="AE253" i="80" s="1" a="1"/>
  <c r="AE253" i="80" s="1"/>
  <c r="AE191" i="80" a="1"/>
  <c r="AE191" i="80" s="1"/>
  <c r="AE265" i="80" s="1" a="1"/>
  <c r="AE265" i="80" s="1"/>
  <c r="O178" i="80" a="1"/>
  <c r="O178" i="80" s="1"/>
  <c r="O236" i="80" s="1" a="1"/>
  <c r="O236" i="80" s="1"/>
  <c r="O182" i="80" a="1"/>
  <c r="O182" i="80" s="1"/>
  <c r="O240" i="80" s="1" a="1"/>
  <c r="O240" i="80" s="1"/>
  <c r="AC182" i="80" a="1"/>
  <c r="AC182" i="80" s="1"/>
  <c r="AC256" i="80" s="1" a="1"/>
  <c r="AC256" i="80" s="1"/>
  <c r="AC194" i="80" a="1"/>
  <c r="AC194" i="80" s="1"/>
  <c r="AC268" i="80" s="1" a="1"/>
  <c r="AC268" i="80" s="1"/>
  <c r="L184" i="80" a="1"/>
  <c r="L184" i="80" s="1"/>
  <c r="L242" i="80" s="1" a="1"/>
  <c r="L242" i="80" s="1"/>
  <c r="L180" i="80" a="1"/>
  <c r="L180" i="80" s="1"/>
  <c r="L238" i="80" s="1" a="1"/>
  <c r="L238" i="80" s="1"/>
  <c r="AD199" i="80" a="1"/>
  <c r="AD199" i="80" s="1"/>
  <c r="AD273" i="80" s="1" a="1"/>
  <c r="AD273" i="80" s="1"/>
  <c r="AD187" i="80" a="1"/>
  <c r="AD187" i="80" s="1"/>
  <c r="AD261" i="80" s="1" a="1"/>
  <c r="AD261" i="80" s="1"/>
  <c r="AF194" i="80" a="1"/>
  <c r="AF194" i="80" s="1"/>
  <c r="AF268" i="80" s="1" a="1"/>
  <c r="AF268" i="80" s="1"/>
  <c r="AF182" i="80" a="1"/>
  <c r="AF182" i="80" s="1"/>
  <c r="AF256" i="80" s="1" a="1"/>
  <c r="AF256" i="80" s="1"/>
  <c r="AE181" i="80" a="1"/>
  <c r="AE181" i="80" s="1"/>
  <c r="AE255" i="80" s="1" a="1"/>
  <c r="AE255" i="80" s="1"/>
  <c r="AE193" i="80" a="1"/>
  <c r="AE193" i="80" s="1"/>
  <c r="AE267" i="80" s="1" a="1"/>
  <c r="AE267" i="80" s="1"/>
  <c r="AD189" i="80" a="1"/>
  <c r="AD189" i="80" s="1"/>
  <c r="AD263" i="80" s="1" a="1"/>
  <c r="AD263" i="80" s="1"/>
  <c r="AD177" i="80" a="1"/>
  <c r="AD177" i="80" s="1"/>
  <c r="AD251" i="80" s="1" a="1"/>
  <c r="AD251" i="80" s="1"/>
  <c r="F182" i="80" a="1"/>
  <c r="F182" i="80" s="1"/>
  <c r="F240" i="80" s="1" a="1"/>
  <c r="F240" i="80" s="1"/>
  <c r="F178" i="80" a="1"/>
  <c r="F178" i="80" s="1"/>
  <c r="F236" i="80" s="1" a="1"/>
  <c r="F236" i="80" s="1"/>
  <c r="AD192" i="80" a="1"/>
  <c r="AD192" i="80" s="1"/>
  <c r="AD266" i="80" s="1" a="1"/>
  <c r="AD266" i="80" s="1"/>
  <c r="AD180" i="80" a="1"/>
  <c r="AD180" i="80" s="1"/>
  <c r="AD254" i="80" s="1" a="1"/>
  <c r="AD254" i="80" s="1"/>
  <c r="J177" i="80" a="1"/>
  <c r="J177" i="80" s="1"/>
  <c r="J235" i="80" s="1" a="1"/>
  <c r="J235" i="80" s="1"/>
  <c r="O184" i="80" a="1"/>
  <c r="O184" i="80" s="1"/>
  <c r="O242" i="80" s="1" a="1"/>
  <c r="O242" i="80" s="1"/>
  <c r="O180" i="80" a="1"/>
  <c r="O180" i="80" s="1"/>
  <c r="O238" i="80" s="1" a="1"/>
  <c r="O238" i="80" s="1"/>
  <c r="G178" i="80" a="1"/>
  <c r="G178" i="80" s="1"/>
  <c r="G236" i="80" s="1" a="1"/>
  <c r="G236" i="80" s="1"/>
  <c r="G182" i="80" a="1"/>
  <c r="G182" i="80" s="1"/>
  <c r="G240" i="80" s="1" a="1"/>
  <c r="G240" i="80" s="1"/>
  <c r="AC198" i="80" a="1"/>
  <c r="AC198" i="80" s="1"/>
  <c r="AC272" i="80" s="1" a="1"/>
  <c r="AC272" i="80" s="1"/>
  <c r="AC186" i="80" a="1"/>
  <c r="AC186" i="80" s="1"/>
  <c r="AC260" i="80" s="1" a="1"/>
  <c r="AC260" i="80" s="1"/>
  <c r="AC178" i="80" a="1"/>
  <c r="AC178" i="80" s="1"/>
  <c r="AC252" i="80" s="1" a="1"/>
  <c r="AC252" i="80" s="1"/>
  <c r="AC190" i="80" a="1"/>
  <c r="AC190" i="80" s="1"/>
  <c r="AC264" i="80" s="1" a="1"/>
  <c r="AC264" i="80" s="1"/>
  <c r="AE197" i="80" a="1"/>
  <c r="AE197" i="80" s="1"/>
  <c r="AE271" i="80" s="1" a="1"/>
  <c r="AE271" i="80" s="1"/>
  <c r="AE185" i="80" a="1"/>
  <c r="AE185" i="80" s="1"/>
  <c r="AE259" i="80" s="1" a="1"/>
  <c r="AE259" i="80" s="1"/>
  <c r="AH179" i="80" a="1"/>
  <c r="AH179" i="80" s="1"/>
  <c r="AH253" i="80" s="1" a="1"/>
  <c r="AH253" i="80" s="1"/>
  <c r="AH191" i="80" a="1"/>
  <c r="AH191" i="80" s="1"/>
  <c r="AH265" i="80" s="1" a="1"/>
  <c r="AH265" i="80" s="1"/>
  <c r="Z184" i="80" a="1"/>
  <c r="Z184" i="80" s="1"/>
  <c r="Z258" i="80" s="1" a="1"/>
  <c r="Z258" i="80" s="1"/>
  <c r="Z196" i="80" a="1"/>
  <c r="Z196" i="80" s="1"/>
  <c r="Z270" i="80" s="1" a="1"/>
  <c r="Z270" i="80" s="1"/>
  <c r="AF190" i="80" a="1"/>
  <c r="AF190" i="80" s="1"/>
  <c r="AF264" i="80" s="1" a="1"/>
  <c r="AF264" i="80" s="1"/>
  <c r="AF178" i="80" a="1"/>
  <c r="AF178" i="80" s="1"/>
  <c r="AF252" i="80" s="1" a="1"/>
  <c r="AF252" i="80" s="1"/>
  <c r="Y198" i="80" a="1"/>
  <c r="Y198" i="80" s="1"/>
  <c r="Y272" i="80" s="1" a="1"/>
  <c r="Y272" i="80" s="1"/>
  <c r="Y186" i="80" a="1"/>
  <c r="Y186" i="80" s="1"/>
  <c r="Y260" i="80" s="1" a="1"/>
  <c r="Y260" i="80" s="1"/>
  <c r="AF179" i="80" a="1"/>
  <c r="AF179" i="80" s="1"/>
  <c r="AF253" i="80" s="1" a="1"/>
  <c r="AF253" i="80" s="1"/>
  <c r="AF191" i="80" a="1"/>
  <c r="AF191" i="80" s="1"/>
  <c r="AF265" i="80" s="1" a="1"/>
  <c r="AF265" i="80" s="1"/>
  <c r="H179" i="80" a="1"/>
  <c r="H179" i="80" s="1"/>
  <c r="H237" i="80" s="1" a="1"/>
  <c r="H237" i="80" s="1"/>
  <c r="H183" i="80" a="1"/>
  <c r="H183" i="80" s="1"/>
  <c r="H241" i="80" s="1" a="1"/>
  <c r="H241" i="80" s="1"/>
  <c r="N180" i="80" a="1"/>
  <c r="N180" i="80" s="1"/>
  <c r="N238" i="80" s="1" a="1"/>
  <c r="N238" i="80" s="1"/>
  <c r="N184" i="80" a="1"/>
  <c r="N184" i="80" s="1"/>
  <c r="N242" i="80" s="1" a="1"/>
  <c r="N242" i="80" s="1"/>
  <c r="F15" i="13"/>
  <c r="I15" i="13" s="1"/>
  <c r="H15" i="13"/>
  <c r="AC180" i="80" a="1"/>
  <c r="AC180" i="80" s="1"/>
  <c r="AC254" i="80" s="1" a="1"/>
  <c r="AC254" i="80" s="1"/>
  <c r="AC192" i="80" a="1"/>
  <c r="AC192" i="80" s="1"/>
  <c r="AC266" i="80" s="1" a="1"/>
  <c r="AC266" i="80" s="1"/>
  <c r="Z182" i="80" a="1"/>
  <c r="Z182" i="80" s="1"/>
  <c r="Z256" i="80" s="1" a="1"/>
  <c r="Z256" i="80" s="1"/>
  <c r="Z194" i="80" a="1"/>
  <c r="Z194" i="80" s="1"/>
  <c r="Z268" i="80" s="1" a="1"/>
  <c r="Z268" i="80" s="1"/>
  <c r="Z187" i="80" a="1"/>
  <c r="Z187" i="80" s="1"/>
  <c r="Z261" i="80" s="1" a="1"/>
  <c r="Z261" i="80" s="1"/>
  <c r="Z199" i="80" a="1"/>
  <c r="Z199" i="80" s="1"/>
  <c r="Z273" i="80" s="1" a="1"/>
  <c r="Z273" i="80" s="1"/>
  <c r="AH187" i="80" a="1"/>
  <c r="AH187" i="80" s="1"/>
  <c r="AH261" i="80" s="1" a="1"/>
  <c r="AH261" i="80" s="1"/>
  <c r="AH199" i="80" a="1"/>
  <c r="AH199" i="80" s="1"/>
  <c r="AH273" i="80" s="1" a="1"/>
  <c r="AH273" i="80" s="1"/>
  <c r="AA180" i="80" a="1"/>
  <c r="AA180" i="80" s="1"/>
  <c r="AA254" i="80" s="1" a="1"/>
  <c r="AA254" i="80" s="1"/>
  <c r="AA192" i="80" a="1"/>
  <c r="AA192" i="80" s="1"/>
  <c r="AA266" i="80" s="1" a="1"/>
  <c r="AA266" i="80" s="1"/>
  <c r="AG190" i="80" a="1"/>
  <c r="AG190" i="80" s="1"/>
  <c r="AG264" i="80" s="1" a="1"/>
  <c r="AG264" i="80" s="1"/>
  <c r="AG178" i="80" a="1"/>
  <c r="AG178" i="80" s="1"/>
  <c r="AG252" i="80" s="1" a="1"/>
  <c r="AG252" i="80" s="1"/>
  <c r="Y199" i="80" a="1"/>
  <c r="Y199" i="80" s="1"/>
  <c r="Y273" i="80" s="1" a="1"/>
  <c r="Y273" i="80" s="1"/>
  <c r="Y187" i="80" a="1"/>
  <c r="Y187" i="80" s="1"/>
  <c r="Y261" i="80" s="1" a="1"/>
  <c r="Y261" i="80" s="1"/>
  <c r="L182" i="80" a="1"/>
  <c r="L182" i="80" s="1"/>
  <c r="L240" i="80" s="1" a="1"/>
  <c r="L240" i="80" s="1"/>
  <c r="L178" i="80" a="1"/>
  <c r="L178" i="80" s="1"/>
  <c r="L236" i="80" s="1" a="1"/>
  <c r="L236" i="80" s="1"/>
  <c r="F183" i="80" a="1"/>
  <c r="F183" i="80" s="1"/>
  <c r="F241" i="80" s="1" a="1"/>
  <c r="F241" i="80" s="1"/>
  <c r="F179" i="80" a="1"/>
  <c r="F179" i="80" s="1"/>
  <c r="F237" i="80" s="1" a="1"/>
  <c r="F237" i="80" s="1"/>
  <c r="AD178" i="80" a="1"/>
  <c r="AD178" i="80" s="1"/>
  <c r="AD252" i="80" s="1" a="1"/>
  <c r="AD252" i="80" s="1"/>
  <c r="AD190" i="80" a="1"/>
  <c r="AD190" i="80" s="1"/>
  <c r="AD264" i="80" s="1" a="1"/>
  <c r="AD264" i="80" s="1"/>
  <c r="AC184" i="80" a="1"/>
  <c r="AC184" i="80" s="1"/>
  <c r="AC258" i="80" s="1" a="1"/>
  <c r="AC258" i="80" s="1"/>
  <c r="AC196" i="80" a="1"/>
  <c r="AC196" i="80" s="1"/>
  <c r="AC270" i="80" s="1" a="1"/>
  <c r="AC270" i="80" s="1"/>
  <c r="AC200" i="80" a="1"/>
  <c r="AC200" i="80" s="1"/>
  <c r="AC274" i="80" s="1" a="1"/>
  <c r="AC274" i="80" s="1"/>
  <c r="AC188" i="80" a="1"/>
  <c r="AC188" i="80" s="1"/>
  <c r="AC262" i="80" s="1" a="1"/>
  <c r="AC262" i="80" s="1"/>
  <c r="Z190" i="80" a="1"/>
  <c r="Z190" i="80" s="1"/>
  <c r="Z264" i="80" s="1" a="1"/>
  <c r="Z264" i="80" s="1"/>
  <c r="Z178" i="80" a="1"/>
  <c r="Z178" i="80" s="1"/>
  <c r="Z252" i="80" s="1" a="1"/>
  <c r="Z252" i="80" s="1"/>
  <c r="AE178" i="80" a="1"/>
  <c r="AE178" i="80" s="1"/>
  <c r="AE252" i="80" s="1" a="1"/>
  <c r="AE252" i="80" s="1"/>
  <c r="AE190" i="80" a="1"/>
  <c r="AE190" i="80" s="1"/>
  <c r="AE264" i="80" s="1" a="1"/>
  <c r="AE264" i="80" s="1"/>
  <c r="AG184" i="80" a="1"/>
  <c r="AG184" i="80" s="1"/>
  <c r="AG258" i="80" s="1" a="1"/>
  <c r="AG258" i="80" s="1"/>
  <c r="AG196" i="80" a="1"/>
  <c r="AG196" i="80" s="1"/>
  <c r="AG270" i="80" s="1" a="1"/>
  <c r="AG270" i="80" s="1"/>
  <c r="Z191" i="80" a="1"/>
  <c r="Z191" i="80" s="1"/>
  <c r="Z265" i="80" s="1" a="1"/>
  <c r="Z265" i="80" s="1"/>
  <c r="Z179" i="80" a="1"/>
  <c r="Z179" i="80" s="1"/>
  <c r="Z253" i="80" s="1" a="1"/>
  <c r="Z253" i="80" s="1"/>
  <c r="AH193" i="80" a="1"/>
  <c r="AH193" i="80" s="1"/>
  <c r="AH267" i="80" s="1" a="1"/>
  <c r="AH267" i="80" s="1"/>
  <c r="AH181" i="80" a="1"/>
  <c r="AH181" i="80" s="1"/>
  <c r="AH255" i="80" s="1" a="1"/>
  <c r="AH255" i="80" s="1"/>
  <c r="AH197" i="80" a="1"/>
  <c r="AH197" i="80" s="1"/>
  <c r="AH271" i="80" s="1" a="1"/>
  <c r="AH271" i="80" s="1"/>
  <c r="AH185" i="80" a="1"/>
  <c r="AH185" i="80" s="1"/>
  <c r="AH259" i="80" s="1" a="1"/>
  <c r="AH259" i="80" s="1"/>
  <c r="E79" i="89"/>
  <c r="G81" i="89" s="1"/>
  <c r="E84" i="89" s="1" a="1"/>
  <c r="E84" i="89" s="1"/>
  <c r="E26" i="72"/>
  <c r="F63" i="13" s="1"/>
  <c r="G63" i="13" s="1"/>
  <c r="O179" i="80" a="1"/>
  <c r="O179" i="80" s="1"/>
  <c r="O237" i="80" s="1" a="1"/>
  <c r="O237" i="80" s="1"/>
  <c r="O183" i="80" a="1"/>
  <c r="O183" i="80" s="1"/>
  <c r="O241" i="80" s="1" a="1"/>
  <c r="O241" i="80" s="1"/>
  <c r="AA189" i="80" a="1"/>
  <c r="AA189" i="80" s="1"/>
  <c r="AA263" i="80" s="1" a="1"/>
  <c r="AA263" i="80" s="1"/>
  <c r="AA177" i="80" a="1"/>
  <c r="AA177" i="80" s="1"/>
  <c r="AA251" i="80" s="1" a="1"/>
  <c r="AA251" i="80" s="1"/>
  <c r="Z197" i="80" a="1"/>
  <c r="Z197" i="80" s="1"/>
  <c r="Z271" i="80" s="1" a="1"/>
  <c r="Z271" i="80" s="1"/>
  <c r="Z185" i="80" a="1"/>
  <c r="Z185" i="80" s="1"/>
  <c r="Z259" i="80" s="1" a="1"/>
  <c r="Z259" i="80" s="1"/>
  <c r="AG194" i="80" a="1"/>
  <c r="AG194" i="80" s="1"/>
  <c r="AG268" i="80" s="1" a="1"/>
  <c r="AG268" i="80" s="1"/>
  <c r="AG182" i="80" a="1"/>
  <c r="AG182" i="80" s="1"/>
  <c r="AG256" i="80" s="1" a="1"/>
  <c r="AG256" i="80" s="1"/>
  <c r="I181" i="80" a="1"/>
  <c r="I181" i="80" s="1"/>
  <c r="I239" i="80" s="1" a="1"/>
  <c r="I239" i="80" s="1"/>
  <c r="L177" i="80" a="1"/>
  <c r="L177" i="80" s="1"/>
  <c r="L235" i="80" s="1" a="1"/>
  <c r="L235" i="80" s="1"/>
  <c r="L181" i="80" a="1"/>
  <c r="L181" i="80" s="1"/>
  <c r="L239" i="80" s="1" a="1"/>
  <c r="L239" i="80" s="1"/>
  <c r="AB189" i="80" a="1"/>
  <c r="AB189" i="80" s="1"/>
  <c r="AB263" i="80" s="1" a="1"/>
  <c r="AB263" i="80" s="1"/>
  <c r="AB177" i="80" a="1"/>
  <c r="AB177" i="80" s="1"/>
  <c r="AB251" i="80" s="1" a="1"/>
  <c r="AB251" i="80" s="1"/>
  <c r="Y185" i="80" a="1"/>
  <c r="Y185" i="80" s="1"/>
  <c r="Y259" i="80" s="1" a="1"/>
  <c r="Y259" i="80" s="1"/>
  <c r="Y197" i="80" a="1"/>
  <c r="Y197" i="80" s="1"/>
  <c r="Y271" i="80" s="1" a="1"/>
  <c r="Y271" i="80" s="1"/>
  <c r="AG191" i="80" a="1"/>
  <c r="AG191" i="80" s="1"/>
  <c r="AG265" i="80" s="1" a="1"/>
  <c r="AG265" i="80" s="1"/>
  <c r="AG179" i="80" a="1"/>
  <c r="AG179" i="80" s="1"/>
  <c r="AG253" i="80" s="1" a="1"/>
  <c r="AG253" i="80" s="1"/>
  <c r="AE182" i="80" a="1"/>
  <c r="AE182" i="80" s="1"/>
  <c r="AE256" i="80" s="1" a="1"/>
  <c r="AE256" i="80" s="1"/>
  <c r="AE194" i="80" a="1"/>
  <c r="AE194" i="80" s="1"/>
  <c r="AE268" i="80" s="1" a="1"/>
  <c r="AE268" i="80" s="1"/>
  <c r="I180" i="80" a="1"/>
  <c r="I180" i="80" s="1"/>
  <c r="I238" i="80" s="1" a="1"/>
  <c r="I238" i="80" s="1"/>
  <c r="H180" i="80" a="1"/>
  <c r="H180" i="80" s="1"/>
  <c r="H238" i="80" s="1" a="1"/>
  <c r="H238" i="80" s="1"/>
  <c r="H184" i="80" a="1"/>
  <c r="H184" i="80" s="1"/>
  <c r="H242" i="80" s="1" a="1"/>
  <c r="H242" i="80" s="1"/>
  <c r="G177" i="80" a="1"/>
  <c r="G177" i="80" s="1"/>
  <c r="G235" i="80" s="1" a="1"/>
  <c r="G235" i="80" s="1"/>
  <c r="G181" i="80" a="1"/>
  <c r="G181" i="80" s="1"/>
  <c r="G239" i="80" s="1" a="1"/>
  <c r="G239" i="80" s="1"/>
  <c r="AB199" i="80" a="1"/>
  <c r="AB199" i="80" s="1"/>
  <c r="AB273" i="80" s="1" a="1"/>
  <c r="AB273" i="80" s="1"/>
  <c r="AB187" i="80" a="1"/>
  <c r="AB187" i="80" s="1"/>
  <c r="AB261" i="80" s="1" a="1"/>
  <c r="AB261" i="80" s="1"/>
  <c r="AD183" i="80" a="1"/>
  <c r="AD183" i="80" s="1"/>
  <c r="AD257" i="80" s="1" a="1"/>
  <c r="AD257" i="80" s="1"/>
  <c r="AD195" i="80" a="1"/>
  <c r="AD195" i="80" s="1"/>
  <c r="AD269" i="80" s="1" a="1"/>
  <c r="AD269" i="80" s="1"/>
  <c r="Z186" i="80" a="1"/>
  <c r="Z186" i="80" s="1"/>
  <c r="Z260" i="80" s="1" a="1"/>
  <c r="Z260" i="80" s="1"/>
  <c r="Z198" i="80" a="1"/>
  <c r="Z198" i="80" s="1"/>
  <c r="Z272" i="80" s="1" a="1"/>
  <c r="Z272" i="80" s="1"/>
  <c r="AH189" i="80" a="1"/>
  <c r="AH189" i="80" s="1"/>
  <c r="AH263" i="80" s="1" a="1"/>
  <c r="AH263" i="80" s="1"/>
  <c r="AH177" i="80" a="1"/>
  <c r="AH177" i="80" s="1"/>
  <c r="AH251" i="80" s="1" a="1"/>
  <c r="AH251" i="80" s="1"/>
  <c r="Y193" i="80" a="1"/>
  <c r="Y193" i="80" s="1"/>
  <c r="Y267" i="80" s="1" a="1"/>
  <c r="Y267" i="80" s="1"/>
  <c r="Y181" i="80" a="1"/>
  <c r="Y181" i="80" s="1"/>
  <c r="Y255" i="80" s="1" a="1"/>
  <c r="Y255" i="80" s="1"/>
  <c r="AA179" i="80" a="1"/>
  <c r="AA179" i="80" s="1"/>
  <c r="AA253" i="80" s="1" a="1"/>
  <c r="AA253" i="80" s="1"/>
  <c r="AA191" i="80" a="1"/>
  <c r="AA191" i="80" s="1"/>
  <c r="AA265" i="80" s="1" a="1"/>
  <c r="AA265" i="80" s="1"/>
  <c r="AA188" i="80" a="1"/>
  <c r="AA188" i="80" s="1"/>
  <c r="AA262" i="80" s="1" a="1"/>
  <c r="AA262" i="80" s="1"/>
  <c r="AA200" i="80" a="1"/>
  <c r="AA200" i="80" s="1"/>
  <c r="AA274" i="80" s="1" a="1"/>
  <c r="AA274" i="80" s="1"/>
  <c r="AE199" i="80" a="1"/>
  <c r="AE199" i="80" s="1"/>
  <c r="AE273" i="80" s="1" a="1"/>
  <c r="AE273" i="80" s="1"/>
  <c r="AE187" i="80" a="1"/>
  <c r="AE187" i="80" s="1"/>
  <c r="AE261" i="80" s="1" a="1"/>
  <c r="AE261" i="80" s="1"/>
  <c r="E80" i="85"/>
  <c r="Z177" i="80" a="1"/>
  <c r="Z177" i="80" s="1"/>
  <c r="Z251" i="80" s="1" a="1"/>
  <c r="Z251" i="80" s="1"/>
  <c r="Z189" i="80" a="1"/>
  <c r="Z189" i="80" s="1"/>
  <c r="Z263" i="80" s="1" a="1"/>
  <c r="Z263" i="80" s="1"/>
  <c r="AF189" i="80" a="1"/>
  <c r="AF189" i="80" s="1"/>
  <c r="AF263" i="80" s="1" a="1"/>
  <c r="AF263" i="80" s="1"/>
  <c r="AF177" i="80" a="1"/>
  <c r="AF177" i="80" s="1"/>
  <c r="AF251" i="80" s="1" a="1"/>
  <c r="AF251" i="80" s="1"/>
  <c r="AF197" i="80" a="1"/>
  <c r="AF197" i="80" s="1"/>
  <c r="AF271" i="80" s="1" a="1"/>
  <c r="AF271" i="80" s="1"/>
  <c r="AF185" i="80" a="1"/>
  <c r="AF185" i="80" s="1"/>
  <c r="AF259" i="80" s="1" a="1"/>
  <c r="AF259" i="80" s="1"/>
  <c r="AC191" i="80" a="1"/>
  <c r="AC191" i="80" s="1"/>
  <c r="AC265" i="80" s="1" a="1"/>
  <c r="AC265" i="80" s="1"/>
  <c r="AC179" i="80" a="1"/>
  <c r="AC179" i="80" s="1"/>
  <c r="AC253" i="80" s="1" a="1"/>
  <c r="AC253" i="80" s="1"/>
  <c r="AH184" i="80" a="1"/>
  <c r="AH184" i="80" s="1"/>
  <c r="AH258" i="80" s="1" a="1"/>
  <c r="AH258" i="80" s="1"/>
  <c r="AH196" i="80" a="1"/>
  <c r="AH196" i="80" s="1"/>
  <c r="AH270" i="80" s="1" a="1"/>
  <c r="AH270" i="80" s="1"/>
  <c r="Z180" i="80" a="1"/>
  <c r="Z180" i="80" s="1"/>
  <c r="Z254" i="80" s="1" a="1"/>
  <c r="Z254" i="80" s="1"/>
  <c r="Z192" i="80" a="1"/>
  <c r="Z192" i="80" s="1"/>
  <c r="Z266" i="80" s="1" a="1"/>
  <c r="Z266" i="80" s="1"/>
  <c r="Y177" i="80" a="1"/>
  <c r="Y177" i="80" s="1"/>
  <c r="Y251" i="80" s="1" a="1"/>
  <c r="Y251" i="80" s="1"/>
  <c r="Y189" i="80" a="1"/>
  <c r="Y189" i="80" s="1"/>
  <c r="Y263" i="80" s="1" a="1"/>
  <c r="Y263" i="80" s="1"/>
  <c r="G180" i="80" a="1"/>
  <c r="G180" i="80" s="1"/>
  <c r="G238" i="80" s="1" a="1"/>
  <c r="G238" i="80" s="1"/>
  <c r="G184" i="80" a="1"/>
  <c r="G184" i="80" s="1"/>
  <c r="G242" i="80" s="1" a="1"/>
  <c r="G242" i="80" s="1"/>
  <c r="F181" i="80" a="1"/>
  <c r="F181" i="80" s="1"/>
  <c r="F239" i="80" s="1" a="1"/>
  <c r="F239" i="80" s="1"/>
  <c r="F177" i="80" a="1"/>
  <c r="F177" i="80" s="1"/>
  <c r="F235" i="80" s="1" a="1"/>
  <c r="F235" i="80" s="1"/>
  <c r="K183" i="80" a="1"/>
  <c r="K183" i="80" s="1"/>
  <c r="K241" i="80" s="1" a="1"/>
  <c r="K241" i="80" s="1"/>
  <c r="K179" i="80" a="1"/>
  <c r="K179" i="80" s="1"/>
  <c r="K237" i="80" s="1" a="1"/>
  <c r="K237" i="80" s="1"/>
  <c r="AC177" i="80" a="1"/>
  <c r="AC177" i="80" s="1"/>
  <c r="AC251" i="80" s="1" a="1"/>
  <c r="AC251" i="80" s="1"/>
  <c r="AC189" i="80" a="1"/>
  <c r="AC189" i="80" s="1"/>
  <c r="AC263" i="80" s="1" a="1"/>
  <c r="AC263" i="80" s="1"/>
  <c r="AG188" i="80" a="1"/>
  <c r="AG188" i="80" s="1"/>
  <c r="AG262" i="80" s="1" a="1"/>
  <c r="AG262" i="80" s="1"/>
  <c r="AG200" i="80" a="1"/>
  <c r="AG200" i="80" s="1"/>
  <c r="AG274" i="80" s="1" a="1"/>
  <c r="AG274" i="80" s="1"/>
  <c r="AH188" i="80" a="1"/>
  <c r="AH188" i="80" s="1"/>
  <c r="AH262" i="80" s="1" a="1"/>
  <c r="AH262" i="80" s="1"/>
  <c r="AH200" i="80" a="1"/>
  <c r="AH200" i="80" s="1"/>
  <c r="AH274" i="80" s="1" a="1"/>
  <c r="AH274" i="80" s="1"/>
  <c r="AG180" i="80" a="1"/>
  <c r="AG180" i="80" s="1"/>
  <c r="AG254" i="80" s="1" a="1"/>
  <c r="AG254" i="80" s="1"/>
  <c r="AG192" i="80" a="1"/>
  <c r="AG192" i="80" s="1"/>
  <c r="AG266" i="80" s="1" a="1"/>
  <c r="AG266" i="80" s="1"/>
  <c r="AG189" i="80" a="1"/>
  <c r="AG189" i="80" s="1"/>
  <c r="AG263" i="80" s="1" a="1"/>
  <c r="AG263" i="80" s="1"/>
  <c r="AG177" i="80" a="1"/>
  <c r="AG177" i="80" s="1"/>
  <c r="AG251" i="80" s="1" a="1"/>
  <c r="AG251" i="80" s="1"/>
  <c r="AE192" i="80" a="1"/>
  <c r="AE192" i="80" s="1"/>
  <c r="AE266" i="80" s="1" a="1"/>
  <c r="AE266" i="80" s="1"/>
  <c r="AE180" i="80" a="1"/>
  <c r="AE180" i="80" s="1"/>
  <c r="AE254" i="80" s="1" a="1"/>
  <c r="AE254" i="80" s="1"/>
  <c r="Y188" i="80" a="1"/>
  <c r="Y188" i="80" s="1"/>
  <c r="Y262" i="80" s="1" a="1"/>
  <c r="Y262" i="80" s="1"/>
  <c r="Y200" i="80" a="1"/>
  <c r="Y200" i="80" s="1"/>
  <c r="Y274" i="80" s="1" a="1"/>
  <c r="Y274" i="80" s="1"/>
  <c r="AD186" i="80" a="1"/>
  <c r="AD186" i="80" s="1"/>
  <c r="AD260" i="80" s="1" a="1"/>
  <c r="AD260" i="80" s="1"/>
  <c r="AD198" i="80" a="1"/>
  <c r="AD198" i="80" s="1"/>
  <c r="AD272" i="80" s="1" a="1"/>
  <c r="AD272" i="80" s="1"/>
  <c r="H181" i="80" a="1"/>
  <c r="H181" i="80" s="1"/>
  <c r="H239" i="80" s="1" a="1"/>
  <c r="H239" i="80" s="1"/>
  <c r="H177" i="80" a="1"/>
  <c r="H177" i="80" s="1"/>
  <c r="H235" i="80" s="1" a="1"/>
  <c r="H235" i="80" s="1"/>
  <c r="L183" i="80" a="1"/>
  <c r="L183" i="80" s="1"/>
  <c r="L241" i="80" s="1" a="1"/>
  <c r="L241" i="80" s="1"/>
  <c r="L179" i="80" a="1"/>
  <c r="L179" i="80" s="1"/>
  <c r="L237" i="80" s="1" a="1"/>
  <c r="L237" i="80" s="1"/>
  <c r="V45" i="85" a="1"/>
  <c r="V45" i="85" s="1"/>
  <c r="U45" i="85"/>
  <c r="AG195" i="80" a="1"/>
  <c r="AG195" i="80" s="1"/>
  <c r="AG269" i="80" s="1" a="1"/>
  <c r="AG269" i="80" s="1"/>
  <c r="AG183" i="80" a="1"/>
  <c r="AG183" i="80" s="1"/>
  <c r="AG257" i="80" s="1" a="1"/>
  <c r="AG257" i="80" s="1"/>
  <c r="AE200" i="80" a="1"/>
  <c r="AE200" i="80" s="1"/>
  <c r="AE274" i="80" s="1" a="1"/>
  <c r="AE274" i="80" s="1"/>
  <c r="AE188" i="80" a="1"/>
  <c r="AE188" i="80" s="1"/>
  <c r="AE262" i="80" s="1" a="1"/>
  <c r="AE262" i="80" s="1"/>
  <c r="Z200" i="80" a="1"/>
  <c r="Z200" i="80" s="1"/>
  <c r="Z274" i="80" s="1" a="1"/>
  <c r="Z274" i="80" s="1"/>
  <c r="Z188" i="80" a="1"/>
  <c r="Z188" i="80" s="1"/>
  <c r="Z262" i="80" s="1" a="1"/>
  <c r="Z262" i="80" s="1"/>
  <c r="Y190" i="80" a="1"/>
  <c r="Y190" i="80" s="1"/>
  <c r="Y264" i="80" s="1" a="1"/>
  <c r="Y264" i="80" s="1"/>
  <c r="Y178" i="80" a="1"/>
  <c r="Y178" i="80" s="1"/>
  <c r="Y252" i="80" s="1" a="1"/>
  <c r="Y252" i="80" s="1"/>
  <c r="AA194" i="80" a="1"/>
  <c r="AA194" i="80" s="1"/>
  <c r="AA268" i="80" s="1" a="1"/>
  <c r="AA268" i="80" s="1"/>
  <c r="AA182" i="80" a="1"/>
  <c r="AA182" i="80" s="1"/>
  <c r="AA256" i="80" s="1" a="1"/>
  <c r="AA256" i="80" s="1"/>
  <c r="AE196" i="80" a="1"/>
  <c r="AE196" i="80" s="1"/>
  <c r="AE270" i="80" s="1" a="1"/>
  <c r="AE270" i="80" s="1"/>
  <c r="AE184" i="80" a="1"/>
  <c r="AE184" i="80" s="1"/>
  <c r="AE258" i="80" s="1" a="1"/>
  <c r="AE258" i="80" s="1"/>
  <c r="F14" i="13"/>
  <c r="I14" i="13" s="1" a="1"/>
  <c r="I14" i="13" s="1"/>
  <c r="H14" i="13" a="1"/>
  <c r="H14" i="13" s="1"/>
  <c r="H22" i="13" a="1"/>
  <c r="H22" i="13" s="1"/>
  <c r="H20" i="13"/>
  <c r="H21" i="13" a="1"/>
  <c r="H21" i="13" s="1"/>
  <c r="F24" i="13"/>
  <c r="I24" i="13" s="1" a="1"/>
  <c r="I24" i="13" s="1"/>
  <c r="H24" i="13" a="1"/>
  <c r="H24" i="13" s="1"/>
  <c r="F25" i="13"/>
  <c r="I25" i="13" s="1" a="1"/>
  <c r="I25" i="13" s="1"/>
  <c r="H25" i="13" a="1"/>
  <c r="H25" i="13" s="1"/>
  <c r="H23" i="13"/>
  <c r="F23" i="13"/>
  <c r="I23" i="13" s="1"/>
  <c r="N88" i="85" l="1"/>
  <c r="E17" i="13" a="1"/>
  <c r="E17" i="13" s="1"/>
  <c r="F17" i="13" s="1"/>
  <c r="I17" i="13" s="1" a="1"/>
  <c r="I17" i="13" s="1"/>
  <c r="E244" i="80"/>
  <c r="G246" i="80" s="1"/>
  <c r="E249" i="80" s="1" a="1"/>
  <c r="E249" i="80" s="1"/>
  <c r="X276" i="80"/>
  <c r="Z278" i="80" s="1"/>
  <c r="X281" i="80" s="1" a="1"/>
  <c r="X281" i="80" s="1"/>
  <c r="P90" i="85"/>
  <c r="N93" i="85" s="1" a="1"/>
  <c r="N93" i="85" s="1"/>
  <c r="F12" i="13" a="1"/>
  <c r="F12" i="13" s="1"/>
  <c r="I12" i="13" s="1" a="1"/>
  <c r="I12" i="13" s="1"/>
  <c r="E12" i="13" a="1"/>
  <c r="E12" i="13" s="1"/>
  <c r="H12" i="13" s="1" a="1"/>
  <c r="H12" i="13" s="1"/>
  <c r="G82" i="85"/>
  <c r="E85" i="85" s="1" a="1"/>
  <c r="E85" i="85" s="1"/>
  <c r="G130" i="77"/>
  <c r="E133" i="77" s="1" a="1"/>
  <c r="E133" i="77" s="1"/>
  <c r="E7" i="13" a="1"/>
  <c r="E7" i="13" s="1"/>
  <c r="H7" i="13" s="1" a="1"/>
  <c r="H7" i="13" s="1"/>
  <c r="G148" i="89"/>
  <c r="E151" i="89" s="1" a="1"/>
  <c r="E151" i="89" s="1"/>
  <c r="E16" i="13" a="1"/>
  <c r="E16" i="13" s="1"/>
  <c r="G62" i="13"/>
  <c r="H17" i="13" l="1" a="1"/>
  <c r="H17" i="13" s="1"/>
  <c r="F16" i="13"/>
  <c r="I16" i="13" s="1" a="1"/>
  <c r="I16" i="13" s="1"/>
  <c r="H16" i="13" a="1"/>
  <c r="H16" i="13" s="1"/>
  <c r="AC59" i="81"/>
  <c r="V63" i="81"/>
  <c r="V57" i="81"/>
  <c r="Y60" i="81"/>
  <c r="Y58" i="81"/>
  <c r="X67" i="81"/>
  <c r="AC64" i="81"/>
  <c r="Z58" i="81"/>
  <c r="AC58" i="81"/>
  <c r="Z63" i="81"/>
  <c r="Z57" i="81"/>
  <c r="AE65"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E65" i="81" l="1" a="1"/>
  <c r="E65" i="81" s="1"/>
  <c r="E130" i="81" s="1" a="1"/>
  <c r="E130" i="81" s="1"/>
  <c r="E172" i="81" s="1" a="1"/>
  <c r="E172" i="81" s="1"/>
  <c r="E210" i="81" s="1" a="1"/>
  <c r="E210" i="81" s="1"/>
  <c r="AC65" i="81"/>
  <c r="Y63" i="81"/>
  <c r="W77" i="81" a="1"/>
  <c r="W77" i="81" s="1"/>
  <c r="W141" i="81" s="1" a="1"/>
  <c r="W141" i="81" s="1"/>
  <c r="W201" i="81" s="1" a="1"/>
  <c r="W201" i="81" s="1"/>
  <c r="W253" i="81" s="1" a="1"/>
  <c r="W253" i="81" s="1"/>
  <c r="AC74" i="81" a="1"/>
  <c r="AC74" i="81" s="1"/>
  <c r="AC138" i="81" s="1" a="1"/>
  <c r="AC138" i="81" s="1"/>
  <c r="AC198" i="81" s="1" a="1"/>
  <c r="AC198" i="81" s="1"/>
  <c r="AC250" i="81" s="1" a="1"/>
  <c r="AC250"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AC80" i="81" a="1"/>
  <c r="AC80" i="81" s="1"/>
  <c r="AC144" i="81" s="1" a="1"/>
  <c r="AC144" i="81" s="1"/>
  <c r="AC204" i="81" s="1" a="1"/>
  <c r="AC204" i="81" s="1"/>
  <c r="AC256" i="81" s="1" a="1"/>
  <c r="AC256"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X83" i="81" a="1"/>
  <c r="X83" i="81" s="1"/>
  <c r="X147" i="81" s="1" a="1"/>
  <c r="X147" i="81" s="1"/>
  <c r="X207" i="81" s="1" a="1"/>
  <c r="X207" i="81" s="1"/>
  <c r="X259" i="81" s="1" a="1"/>
  <c r="X259" i="81" s="1"/>
  <c r="N65" i="81" a="1"/>
  <c r="N65" i="81" s="1"/>
  <c r="N130" i="81" s="1" a="1"/>
  <c r="N130" i="81" s="1"/>
  <c r="N172" i="81" s="1" a="1"/>
  <c r="N172" i="81" s="1"/>
  <c r="N210" i="81" s="1" a="1"/>
  <c r="N210" i="81" s="1"/>
  <c r="W66" i="81"/>
  <c r="W81" i="81" a="1"/>
  <c r="W81" i="81" s="1"/>
  <c r="W145" i="81" s="1" a="1"/>
  <c r="W145" i="81" s="1"/>
  <c r="W205" i="81" s="1" a="1"/>
  <c r="W205" i="81" s="1"/>
  <c r="W257" i="81" s="1" a="1"/>
  <c r="W257" i="81" s="1"/>
  <c r="J56" i="81"/>
  <c r="G63" i="81" a="1"/>
  <c r="G63" i="81" s="1"/>
  <c r="G128" i="81" s="1" a="1"/>
  <c r="G128" i="81" s="1"/>
  <c r="G170" i="81" s="1" a="1"/>
  <c r="G170" i="81" s="1"/>
  <c r="G208" i="81" s="1" a="1"/>
  <c r="G208" i="81" s="1"/>
  <c r="M62" i="81" a="1"/>
  <c r="M62" i="81" s="1"/>
  <c r="M127" i="81" s="1" a="1"/>
  <c r="M127" i="81" s="1"/>
  <c r="M169" i="81" s="1" a="1"/>
  <c r="M169" i="81" s="1"/>
  <c r="M207" i="81" s="1" a="1"/>
  <c r="M207" i="81" s="1"/>
  <c r="V76" i="81" a="1"/>
  <c r="V76" i="81" s="1"/>
  <c r="V140" i="81" s="1" a="1"/>
  <c r="V140" i="81" s="1"/>
  <c r="V200" i="81" s="1" a="1"/>
  <c r="V200" i="81" s="1"/>
  <c r="V252" i="81" s="1" a="1"/>
  <c r="V252" i="81" s="1"/>
  <c r="AC61" i="81"/>
  <c r="W76" i="81" a="1"/>
  <c r="W76" i="81" s="1"/>
  <c r="W140" i="81" s="1" a="1"/>
  <c r="W140" i="81" s="1"/>
  <c r="W200" i="81" s="1" a="1"/>
  <c r="W200" i="81" s="1"/>
  <c r="W252" i="81" s="1" a="1"/>
  <c r="W252" i="81" s="1"/>
  <c r="AE56" i="8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X82" i="81" a="1"/>
  <c r="X82" i="81" s="1"/>
  <c r="X146" i="81" s="1" a="1"/>
  <c r="X146" i="81" s="1"/>
  <c r="X206" i="81" s="1" a="1"/>
  <c r="X206" i="81" s="1"/>
  <c r="X258" i="81" s="1" a="1"/>
  <c r="X258" i="81" s="1"/>
  <c r="AE81" i="81" a="1"/>
  <c r="AE81" i="81" s="1"/>
  <c r="AE145" i="81" s="1" a="1"/>
  <c r="AE145" i="81" s="1"/>
  <c r="AE205" i="81" s="1" a="1"/>
  <c r="AE205" i="81" s="1"/>
  <c r="AE257" i="81" s="1" a="1"/>
  <c r="AE257" i="81" s="1"/>
  <c r="Y74" i="81" a="1"/>
  <c r="Y74" i="81" s="1"/>
  <c r="Y138" i="81" s="1" a="1"/>
  <c r="Y138" i="81" s="1"/>
  <c r="Y198" i="81" s="1" a="1"/>
  <c r="Y198" i="81" s="1"/>
  <c r="Y250" i="81" s="1" a="1"/>
  <c r="Y250" i="81" s="1"/>
  <c r="L64" i="81" a="1"/>
  <c r="L64" i="81" s="1"/>
  <c r="L129" i="81" s="1" a="1"/>
  <c r="L129" i="81" s="1"/>
  <c r="L171" i="81" s="1" a="1"/>
  <c r="L171" i="81" s="1"/>
  <c r="L209" i="81" s="1" a="1"/>
  <c r="L209" i="81" s="1"/>
  <c r="J63" i="81" a="1"/>
  <c r="J63" i="81" s="1"/>
  <c r="J128" i="81" s="1" a="1"/>
  <c r="J128" i="81" s="1"/>
  <c r="J170" i="81" s="1" a="1"/>
  <c r="J170" i="81" s="1"/>
  <c r="J208" i="81" s="1" a="1"/>
  <c r="J208" i="81" s="1"/>
  <c r="H64" i="81" a="1"/>
  <c r="H64" i="81" s="1"/>
  <c r="H129" i="81" s="1" a="1"/>
  <c r="H129" i="81" s="1"/>
  <c r="H171" i="81" s="1" a="1"/>
  <c r="H171" i="81" s="1"/>
  <c r="H209" i="81" s="1" a="1"/>
  <c r="H209" i="81" s="1"/>
  <c r="J65" i="81" a="1"/>
  <c r="J65" i="81" s="1"/>
  <c r="J130" i="81" s="1" a="1"/>
  <c r="J130" i="81" s="1"/>
  <c r="J172" i="81" s="1" a="1"/>
  <c r="J172" i="81" s="1"/>
  <c r="J210" i="81" s="1" a="1"/>
  <c r="J210"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E54" i="81"/>
  <c r="K55" i="81"/>
  <c r="F63" i="81" a="1"/>
  <c r="F63" i="81" s="1"/>
  <c r="F128" i="81" s="1" a="1"/>
  <c r="F128" i="81" s="1"/>
  <c r="F170" i="81" s="1" a="1"/>
  <c r="F170" i="81" s="1"/>
  <c r="F208" i="81" s="1" a="1"/>
  <c r="F208" i="81" s="1"/>
  <c r="AE57" i="81"/>
  <c r="AB60"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M63" i="81" a="1"/>
  <c r="M63" i="81" s="1"/>
  <c r="M128" i="81" s="1" a="1"/>
  <c r="M128" i="81" s="1"/>
  <c r="M170" i="81" s="1" a="1"/>
  <c r="M170" i="81" s="1"/>
  <c r="M208" i="81" s="1" a="1"/>
  <c r="M208"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Z73" i="81" a="1"/>
  <c r="Z73" i="81" s="1"/>
  <c r="Z137" i="81" s="1" a="1"/>
  <c r="Z137" i="81" s="1"/>
  <c r="Z197" i="81" s="1" a="1"/>
  <c r="Z197" i="81" s="1"/>
  <c r="Z249" i="81" s="1" a="1"/>
  <c r="Z249" i="81" s="1"/>
  <c r="Y76" i="81" a="1"/>
  <c r="Y76" i="81" s="1"/>
  <c r="Y140" i="81" s="1" a="1"/>
  <c r="Y140" i="81" s="1"/>
  <c r="Y200" i="81" s="1" a="1"/>
  <c r="Y200" i="81" s="1"/>
  <c r="Y252" i="81" s="1" a="1"/>
  <c r="Y252" i="81" s="1"/>
  <c r="J62" i="81" a="1"/>
  <c r="J62" i="81" s="1"/>
  <c r="J127" i="81" s="1" a="1"/>
  <c r="J127" i="81" s="1"/>
  <c r="J169" i="81" s="1" a="1"/>
  <c r="J169" i="81" s="1"/>
  <c r="J207" i="81" s="1" a="1"/>
  <c r="J207" i="81" s="1"/>
  <c r="G62" i="81" a="1"/>
  <c r="G62" i="81" s="1"/>
  <c r="G127" i="81" s="1" a="1"/>
  <c r="G127" i="81" s="1"/>
  <c r="G169" i="81" s="1" a="1"/>
  <c r="G169" i="81" s="1"/>
  <c r="G207" i="81" s="1" a="1"/>
  <c r="G207" i="81" s="1"/>
  <c r="G56" i="81"/>
  <c r="L63" i="81" a="1"/>
  <c r="L63" i="81" s="1"/>
  <c r="L128" i="81" s="1" a="1"/>
  <c r="L128" i="81" s="1"/>
  <c r="L170" i="81" s="1" a="1"/>
  <c r="L170" i="81" s="1"/>
  <c r="L208" i="81" s="1" a="1"/>
  <c r="L208" i="81" s="1"/>
  <c r="K57" i="8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V82" i="81" a="1"/>
  <c r="V82" i="81" s="1"/>
  <c r="V146" i="81" s="1" a="1"/>
  <c r="V146" i="81" s="1"/>
  <c r="V206" i="81" s="1" a="1"/>
  <c r="V206" i="81" s="1"/>
  <c r="V258" i="81" s="1" a="1"/>
  <c r="V258" i="81" s="1"/>
  <c r="X79" i="81" a="1"/>
  <c r="X79" i="81" s="1"/>
  <c r="X143" i="81" s="1" a="1"/>
  <c r="X143" i="81" s="1"/>
  <c r="X203" i="81" s="1" a="1"/>
  <c r="X203" i="81" s="1"/>
  <c r="X255" i="81" s="1" a="1"/>
  <c r="X255" i="81" s="1"/>
  <c r="W59" i="81"/>
  <c r="F64" i="81" a="1"/>
  <c r="F64" i="81" s="1"/>
  <c r="F129" i="81" s="1" a="1"/>
  <c r="F129" i="81" s="1"/>
  <c r="F171" i="81" s="1" a="1"/>
  <c r="F171" i="81" s="1"/>
  <c r="F209" i="81" s="1" a="1"/>
  <c r="F209" i="81" s="1"/>
  <c r="Y59" i="81"/>
  <c r="K62" i="81" a="1"/>
  <c r="K62" i="81" s="1"/>
  <c r="K127" i="81" s="1" a="1"/>
  <c r="K127" i="81" s="1"/>
  <c r="K169" i="81" s="1" a="1"/>
  <c r="K169" i="81" s="1"/>
  <c r="K207" i="81" s="1" a="1"/>
  <c r="K207"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AC63" i="81"/>
  <c r="X73" i="81" a="1"/>
  <c r="X73" i="81" s="1"/>
  <c r="X137" i="81" s="1" a="1"/>
  <c r="X137" i="81" s="1"/>
  <c r="X197" i="81" s="1" a="1"/>
  <c r="X197" i="81" s="1"/>
  <c r="X249" i="81" s="1" a="1"/>
  <c r="X249" i="81" s="1"/>
  <c r="Y64" i="81"/>
  <c r="W74" i="81" a="1"/>
  <c r="W74" i="81" s="1"/>
  <c r="W138" i="81" s="1" a="1"/>
  <c r="W138" i="81" s="1"/>
  <c r="W198" i="81" s="1" a="1"/>
  <c r="W198" i="81" s="1"/>
  <c r="W250" i="81" s="1" a="1"/>
  <c r="W250" i="81" s="1"/>
  <c r="Z79" i="81" a="1"/>
  <c r="Z79" i="81" s="1"/>
  <c r="Z143" i="81" s="1" a="1"/>
  <c r="Z143" i="81" s="1"/>
  <c r="Z203" i="81" s="1" a="1"/>
  <c r="Z203" i="81" s="1"/>
  <c r="Z255" i="81" s="1" a="1"/>
  <c r="Z255" i="81" s="1"/>
  <c r="V73" i="81" a="1"/>
  <c r="V73" i="81" s="1"/>
  <c r="V137" i="81" s="1" a="1"/>
  <c r="V137" i="81" s="1"/>
  <c r="V197" i="81" s="1" a="1"/>
  <c r="V197" i="81" s="1"/>
  <c r="V249" i="81" s="1" a="1"/>
  <c r="V249" i="81" s="1"/>
  <c r="H65" i="81" a="1"/>
  <c r="H65" i="81" s="1"/>
  <c r="H130" i="81" s="1" a="1"/>
  <c r="H130" i="81" s="1"/>
  <c r="H172" i="81" s="1" a="1"/>
  <c r="H172" i="81" s="1"/>
  <c r="H210" i="81" s="1" a="1"/>
  <c r="H210"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4" i="81" a="1"/>
  <c r="X74" i="81" s="1"/>
  <c r="X138" i="81" s="1" a="1"/>
  <c r="X138" i="81" s="1"/>
  <c r="X198" i="81" s="1" a="1"/>
  <c r="X198" i="81" s="1"/>
  <c r="X250" i="81" s="1" a="1"/>
  <c r="X250" i="81" s="1"/>
  <c r="G57" i="81"/>
  <c r="AA67" i="81"/>
  <c r="AD65" i="81"/>
  <c r="Z64" i="81"/>
  <c r="AC83" i="81" a="1"/>
  <c r="AC83" i="81" s="1"/>
  <c r="AC147" i="81" s="1" a="1"/>
  <c r="AC147" i="81" s="1"/>
  <c r="AC207" i="81" s="1" a="1"/>
  <c r="AC207" i="81" s="1"/>
  <c r="AC259" i="81" s="1" a="1"/>
  <c r="AC259" i="81" s="1"/>
  <c r="V79" i="81" a="1"/>
  <c r="V79" i="81" s="1"/>
  <c r="V143" i="81" s="1" a="1"/>
  <c r="V143" i="81" s="1"/>
  <c r="V203" i="81" s="1" a="1"/>
  <c r="V203" i="81" s="1"/>
  <c r="V255" i="81" s="1" a="1"/>
  <c r="V255"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Z74" i="81" a="1"/>
  <c r="Z74" i="81" s="1"/>
  <c r="Z138" i="81" s="1" a="1"/>
  <c r="Z138" i="81" s="1"/>
  <c r="Z198" i="81" s="1" a="1"/>
  <c r="Z198" i="81" s="1"/>
  <c r="Z250" i="81" s="1" a="1"/>
  <c r="Z250" i="81" s="1"/>
  <c r="AC75" i="81" a="1"/>
  <c r="AC75" i="81" s="1"/>
  <c r="AC139" i="81" s="1" a="1"/>
  <c r="AC139" i="81" s="1"/>
  <c r="AC199" i="81" s="1" a="1"/>
  <c r="AC199" i="81" s="1"/>
  <c r="AC251" i="81" s="1" a="1"/>
  <c r="AC251" i="81" s="1"/>
  <c r="F62" i="81" a="1"/>
  <c r="F62" i="81" s="1"/>
  <c r="F127" i="81" s="1" a="1"/>
  <c r="F127" i="81" s="1"/>
  <c r="F169" i="81" s="1" a="1"/>
  <c r="F169" i="81" s="1"/>
  <c r="F207" i="81" s="1" a="1"/>
  <c r="F207" i="81" s="1"/>
  <c r="AD59" i="81"/>
  <c r="X81" i="81" a="1"/>
  <c r="X81" i="81" s="1"/>
  <c r="X145" i="81" s="1" a="1"/>
  <c r="X145" i="81" s="1"/>
  <c r="X205" i="81" s="1" a="1"/>
  <c r="X205" i="81" s="1"/>
  <c r="X257" i="81" s="1" a="1"/>
  <c r="X257" i="81" s="1"/>
  <c r="K64" i="81" a="1"/>
  <c r="K64" i="81" s="1"/>
  <c r="K129" i="81" s="1" a="1"/>
  <c r="K129" i="81" s="1"/>
  <c r="K171" i="81" s="1" a="1"/>
  <c r="K171" i="81" s="1"/>
  <c r="K209" i="81" s="1" a="1"/>
  <c r="K209" i="81" s="1"/>
  <c r="E64" i="81" a="1"/>
  <c r="E64" i="81" s="1"/>
  <c r="E129" i="81" s="1" a="1"/>
  <c r="E129" i="81" s="1"/>
  <c r="E171" i="81" s="1" a="1"/>
  <c r="E171" i="81" s="1"/>
  <c r="E209" i="81" s="1" a="1"/>
  <c r="E209" i="81" s="1"/>
  <c r="X77" i="81" a="1"/>
  <c r="X77" i="81" s="1"/>
  <c r="X141" i="81" s="1" a="1"/>
  <c r="X141" i="81" s="1"/>
  <c r="X201" i="81" s="1" a="1"/>
  <c r="X201" i="81" s="1"/>
  <c r="X253" i="81" s="1" a="1"/>
  <c r="X253" i="81" s="1"/>
  <c r="M64" i="81" a="1"/>
  <c r="M64" i="81" s="1"/>
  <c r="M129" i="81" s="1" a="1"/>
  <c r="M129" i="81" s="1"/>
  <c r="M171" i="81" s="1" a="1"/>
  <c r="M171" i="81" s="1"/>
  <c r="M209" i="81" s="1" a="1"/>
  <c r="M209" i="81" s="1"/>
  <c r="AD62" i="81"/>
  <c r="W72" i="81" a="1"/>
  <c r="W72" i="81" s="1"/>
  <c r="W136" i="81" s="1" a="1"/>
  <c r="W136" i="81" s="1"/>
  <c r="W196" i="81" s="1" a="1"/>
  <c r="W196" i="81" s="1"/>
  <c r="W248" i="81" s="1" a="1"/>
  <c r="W248" i="81" s="1"/>
  <c r="M65" i="81" a="1"/>
  <c r="M65" i="81" s="1"/>
  <c r="M130" i="81" s="1" a="1"/>
  <c r="M130" i="81" s="1"/>
  <c r="M172" i="81" s="1" a="1"/>
  <c r="M172" i="81" s="1"/>
  <c r="M210" i="81" s="1" a="1"/>
  <c r="M210" i="81" s="1"/>
  <c r="H63" i="81" a="1"/>
  <c r="H63" i="81" s="1"/>
  <c r="H128" i="81" s="1" a="1"/>
  <c r="H128" i="81" s="1"/>
  <c r="H170" i="81" s="1" a="1"/>
  <c r="H170" i="81" s="1"/>
  <c r="H208" i="81" s="1" a="1"/>
  <c r="H20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D75" i="81" l="1" a="1"/>
  <c r="AD75" i="81" s="1"/>
  <c r="AD139" i="81" s="1" a="1"/>
  <c r="AD139" i="81" s="1"/>
  <c r="AD199" i="81" s="1" a="1"/>
  <c r="AD199" i="81" s="1"/>
  <c r="AD251" i="81" s="1" a="1"/>
  <c r="AD251" i="81" s="1"/>
  <c r="W75" i="81" a="1"/>
  <c r="W75" i="81" s="1"/>
  <c r="W139" i="81" s="1" a="1"/>
  <c r="W139" i="81" s="1"/>
  <c r="W199" i="81" s="1" a="1"/>
  <c r="W199" i="81" s="1"/>
  <c r="W251" i="81" s="1" a="1"/>
  <c r="W251" i="81" s="1"/>
  <c r="E62" i="81" a="1"/>
  <c r="E62" i="81" s="1"/>
  <c r="E127" i="81" s="1" a="1"/>
  <c r="E127" i="81" s="1"/>
  <c r="E169" i="81" s="1" a="1"/>
  <c r="E169" i="81" s="1"/>
  <c r="E207" i="81" s="1" a="1"/>
  <c r="E207" i="81" s="1"/>
  <c r="W73" i="81" a="1"/>
  <c r="W73" i="81" s="1"/>
  <c r="W137" i="81" s="1" a="1"/>
  <c r="W137" i="81" s="1"/>
  <c r="W197" i="81" s="1" a="1"/>
  <c r="W197" i="81" s="1"/>
  <c r="W249" i="81" s="1" a="1"/>
  <c r="W249" i="81" s="1"/>
  <c r="AD78" i="81" a="1"/>
  <c r="AD78" i="81" s="1"/>
  <c r="AD142" i="81" s="1" a="1"/>
  <c r="AD142" i="81" s="1"/>
  <c r="AD202" i="81" s="1" a="1"/>
  <c r="AD202" i="81" s="1"/>
  <c r="AD254" i="81" s="1" a="1"/>
  <c r="AD254" i="81" s="1"/>
  <c r="Z80" i="81" a="1"/>
  <c r="Z80" i="81" s="1"/>
  <c r="Z144" i="81" s="1" a="1"/>
  <c r="Z144" i="81" s="1"/>
  <c r="Z204" i="81" s="1" a="1"/>
  <c r="Z204" i="81" s="1"/>
  <c r="Z256" i="81" s="1" a="1"/>
  <c r="Z256" i="81" s="1"/>
  <c r="V75" i="81" a="1"/>
  <c r="V75" i="81" s="1"/>
  <c r="V139" i="81" s="1" a="1"/>
  <c r="V139" i="81" s="1"/>
  <c r="V199" i="81" s="1" a="1"/>
  <c r="V199" i="81" s="1"/>
  <c r="V251" i="81" s="1" a="1"/>
  <c r="V251" i="81" s="1"/>
  <c r="AC79" i="81" a="1"/>
  <c r="AC79" i="81" s="1"/>
  <c r="AC143" i="81" s="1" a="1"/>
  <c r="AC143" i="81" s="1"/>
  <c r="AC203" i="81" s="1" a="1"/>
  <c r="AC203" i="81" s="1"/>
  <c r="AC255" i="81" s="1" a="1"/>
  <c r="AC255" i="81" s="1"/>
  <c r="Z76" i="81" a="1"/>
  <c r="Z76" i="81" s="1"/>
  <c r="Z140" i="81" s="1" a="1"/>
  <c r="Z140" i="81" s="1"/>
  <c r="Z200" i="81" s="1" a="1"/>
  <c r="Z200" i="81" s="1"/>
  <c r="Z252" i="81" s="1" a="1"/>
  <c r="Z252" i="81" s="1"/>
  <c r="AB72" i="81" a="1"/>
  <c r="AB72" i="81" s="1"/>
  <c r="AB136" i="81" s="1" a="1"/>
  <c r="AB136" i="81" s="1"/>
  <c r="AB196" i="81" s="1" a="1"/>
  <c r="AB196" i="81" s="1"/>
  <c r="AB248" i="81" s="1" a="1"/>
  <c r="AB248" i="81" s="1"/>
  <c r="AA76" i="81" a="1"/>
  <c r="AA76" i="81" s="1"/>
  <c r="AA140" i="81" s="1" a="1"/>
  <c r="AA140" i="81" s="1"/>
  <c r="AA200" i="81" s="1" a="1"/>
  <c r="AA200" i="81" s="1"/>
  <c r="AA252" i="81" s="1" a="1"/>
  <c r="AA252" i="81" s="1"/>
  <c r="AA74" i="81" a="1"/>
  <c r="AA74" i="81" s="1"/>
  <c r="AA138" i="81" s="1" a="1"/>
  <c r="AA138" i="81" s="1"/>
  <c r="AA198" i="81" s="1" a="1"/>
  <c r="AA198" i="81" s="1"/>
  <c r="AA250" i="81" s="1" a="1"/>
  <c r="AA250" i="81" s="1"/>
  <c r="Y78" i="81" a="1"/>
  <c r="Y78" i="81" s="1"/>
  <c r="Y142" i="81" s="1" a="1"/>
  <c r="Y142" i="81" s="1"/>
  <c r="Y202" i="81" s="1" a="1"/>
  <c r="Y202" i="81" s="1"/>
  <c r="Y254" i="81" s="1" a="1"/>
  <c r="Y254" i="81" s="1"/>
  <c r="W83" i="81" a="1"/>
  <c r="W83" i="81" s="1"/>
  <c r="W147" i="81" s="1" a="1"/>
  <c r="W147" i="81" s="1"/>
  <c r="W207" i="81" s="1" a="1"/>
  <c r="W207" i="81" s="1"/>
  <c r="W259" i="81" s="1" a="1"/>
  <c r="W259" i="81" s="1"/>
  <c r="V72" i="81" a="1"/>
  <c r="V72" i="81" s="1"/>
  <c r="V136" i="81" s="1" a="1"/>
  <c r="V136" i="81" s="1"/>
  <c r="V196" i="81" s="1" a="1"/>
  <c r="V196" i="81" s="1"/>
  <c r="V248" i="81" s="1" a="1"/>
  <c r="V248" i="81" s="1"/>
  <c r="AD81" i="81" a="1"/>
  <c r="AD81" i="81" s="1"/>
  <c r="AD145" i="81" s="1" a="1"/>
  <c r="AD145" i="81" s="1"/>
  <c r="AD205" i="81" s="1" a="1"/>
  <c r="AD205" i="81" s="1"/>
  <c r="AD257" i="81" s="1" a="1"/>
  <c r="AD257" i="81" s="1"/>
  <c r="AE82" i="81" a="1"/>
  <c r="AE82" i="81" s="1"/>
  <c r="AE146" i="81" s="1" a="1"/>
  <c r="AE146" i="81" s="1"/>
  <c r="AE206" i="81" s="1" a="1"/>
  <c r="AE206" i="81" s="1"/>
  <c r="AE258" i="81" s="1" a="1"/>
  <c r="AE258" i="81" s="1"/>
  <c r="AB78" i="81" a="1"/>
  <c r="AB78" i="81" s="1"/>
  <c r="AB142" i="81" s="1" a="1"/>
  <c r="AB142" i="81" s="1"/>
  <c r="AB202" i="81" s="1" a="1"/>
  <c r="AB202" i="81" s="1"/>
  <c r="AB254" i="81" s="1" a="1"/>
  <c r="AB254" i="81" s="1"/>
  <c r="Z83" i="81" a="1"/>
  <c r="Z83" i="81" s="1"/>
  <c r="Z147" i="81" s="1" a="1"/>
  <c r="Z147" i="81" s="1"/>
  <c r="Z207" i="81" s="1" a="1"/>
  <c r="Z207" i="81" s="1"/>
  <c r="Z259" i="81" s="1" a="1"/>
  <c r="Z259" i="81" s="1"/>
  <c r="Z78" i="81" a="1"/>
  <c r="Z78" i="81" s="1"/>
  <c r="Z142" i="81" s="1" a="1"/>
  <c r="Z142" i="81" s="1"/>
  <c r="Z202" i="81" s="1" a="1"/>
  <c r="Z202" i="81" s="1"/>
  <c r="Z254" i="81" s="1" a="1"/>
  <c r="Z254" i="81" s="1"/>
  <c r="AA83" i="81" a="1"/>
  <c r="AA83" i="81" s="1"/>
  <c r="AA147" i="81" s="1" a="1"/>
  <c r="AA147" i="81" s="1"/>
  <c r="AA207" i="81" s="1" a="1"/>
  <c r="AA207" i="81" s="1"/>
  <c r="AA259" i="81" s="1" a="1"/>
  <c r="AA259" i="81" s="1"/>
  <c r="AB76" i="81" a="1"/>
  <c r="AB76" i="81" s="1"/>
  <c r="AB140" i="81" s="1" a="1"/>
  <c r="AB140" i="81" s="1"/>
  <c r="AB200" i="81" s="1" a="1"/>
  <c r="AB200" i="81" s="1"/>
  <c r="AB252" i="81" s="1" a="1"/>
  <c r="AB252" i="81" s="1"/>
  <c r="J64" i="81" a="1"/>
  <c r="J64" i="81" s="1"/>
  <c r="J129" i="81" s="1" a="1"/>
  <c r="J129" i="81" s="1"/>
  <c r="J171" i="81" s="1" a="1"/>
  <c r="J171" i="81" s="1"/>
  <c r="J209" i="81" s="1" a="1"/>
  <c r="J209" i="81" s="1"/>
  <c r="AD73" i="81" a="1"/>
  <c r="AD73" i="81" s="1"/>
  <c r="AD137" i="81" s="1" a="1"/>
  <c r="AD137" i="81" s="1"/>
  <c r="AD197" i="81" s="1" a="1"/>
  <c r="AD197" i="81" s="1"/>
  <c r="AD249" i="81" s="1" a="1"/>
  <c r="AD249" i="81" s="1"/>
  <c r="AD79" i="81" a="1"/>
  <c r="AD79" i="81" s="1"/>
  <c r="AD143" i="81" s="1" a="1"/>
  <c r="AD143" i="81" s="1"/>
  <c r="AD203" i="81" s="1" a="1"/>
  <c r="AD203" i="81" s="1"/>
  <c r="AD255" i="81" s="1" a="1"/>
  <c r="AD255" i="81" s="1"/>
  <c r="X76" i="81" a="1"/>
  <c r="X76" i="81" s="1"/>
  <c r="X140" i="81" s="1" a="1"/>
  <c r="X140" i="81" s="1"/>
  <c r="X200" i="81" s="1" a="1"/>
  <c r="X200" i="81" s="1"/>
  <c r="X252" i="81" s="1" a="1"/>
  <c r="X252" i="81" s="1"/>
  <c r="AA81" i="81" a="1"/>
  <c r="AA81" i="81" s="1"/>
  <c r="AA145" i="81" s="1" a="1"/>
  <c r="AA145" i="81" s="1"/>
  <c r="AA205" i="81" s="1" a="1"/>
  <c r="AA205" i="81" s="1"/>
  <c r="AA257" i="81" s="1" a="1"/>
  <c r="AA257" i="81" s="1"/>
  <c r="G65" i="81" a="1"/>
  <c r="G65" i="81" s="1"/>
  <c r="G130" i="81" s="1" a="1"/>
  <c r="G130" i="81" s="1"/>
  <c r="G172" i="81" s="1" a="1"/>
  <c r="G172" i="81" s="1"/>
  <c r="G210" i="81" s="1" a="1"/>
  <c r="G210" i="81" s="1"/>
  <c r="K65" i="81" a="1"/>
  <c r="K65" i="81" s="1"/>
  <c r="K130" i="81" s="1" a="1"/>
  <c r="K130" i="81" s="1"/>
  <c r="K172" i="81" s="1" a="1"/>
  <c r="K172" i="81" s="1"/>
  <c r="K210" i="81" s="1" a="1"/>
  <c r="K210" i="81" s="1"/>
  <c r="Y73" i="81" a="1"/>
  <c r="Y73" i="81" s="1"/>
  <c r="Y137" i="81" s="1" a="1"/>
  <c r="Y137" i="81" s="1"/>
  <c r="Y197" i="81" s="1" a="1"/>
  <c r="Y197" i="81" s="1"/>
  <c r="Y249" i="81" s="1" a="1"/>
  <c r="Y249" i="81" s="1"/>
  <c r="AE73" i="81" a="1"/>
  <c r="AE73" i="81" s="1"/>
  <c r="AE137" i="81" s="1" a="1"/>
  <c r="AE137" i="81" s="1"/>
  <c r="AE197" i="81" s="1" a="1"/>
  <c r="AE197" i="81" s="1"/>
  <c r="AE249" i="81" s="1" a="1"/>
  <c r="AE249" i="81" s="1"/>
  <c r="V80" i="81" a="1"/>
  <c r="V80" i="81" s="1"/>
  <c r="V144" i="81" s="1" a="1"/>
  <c r="V144" i="81" s="1"/>
  <c r="V204" i="81" s="1" a="1"/>
  <c r="V204" i="81" s="1"/>
  <c r="V256" i="81" s="1" a="1"/>
  <c r="V256" i="81" s="1"/>
  <c r="AE72" i="81" a="1"/>
  <c r="AE72" i="81" s="1"/>
  <c r="AE136" i="81" s="1" a="1"/>
  <c r="AE136" i="81" s="1"/>
  <c r="AE196" i="81" s="1" a="1"/>
  <c r="AE196" i="81" s="1"/>
  <c r="AE248" i="81" s="1" a="1"/>
  <c r="AE248" i="81" s="1"/>
  <c r="AB77" i="81" a="1"/>
  <c r="AB77" i="81" s="1"/>
  <c r="AB141" i="81" s="1" a="1"/>
  <c r="AB141" i="81" s="1"/>
  <c r="AB201" i="81" s="1" a="1"/>
  <c r="AB201" i="81" s="1"/>
  <c r="AB253" i="81" s="1" a="1"/>
  <c r="AB253" i="81" s="1"/>
  <c r="AA73" i="81" a="1"/>
  <c r="AA73" i="81" s="1"/>
  <c r="AA137" i="81" s="1" a="1"/>
  <c r="AA137" i="81" s="1"/>
  <c r="AA197" i="81" s="1" a="1"/>
  <c r="AA197" i="81" s="1"/>
  <c r="AA249" i="81" s="1" a="1"/>
  <c r="AA249" i="81" s="1"/>
  <c r="Y79" i="81" a="1"/>
  <c r="Y79" i="81" s="1"/>
  <c r="Y143" i="81" s="1" a="1"/>
  <c r="Y143" i="81" s="1"/>
  <c r="Y203" i="81" s="1" a="1"/>
  <c r="Y203" i="81" s="1"/>
  <c r="Y255" i="81" s="1" a="1"/>
  <c r="Y255" i="81" s="1"/>
  <c r="AA75" i="81" a="1"/>
  <c r="AA75" i="81" s="1"/>
  <c r="AA139" i="81" s="1" a="1"/>
  <c r="AA139" i="81" s="1"/>
  <c r="AA199" i="81" s="1" a="1"/>
  <c r="AA199" i="81" s="1"/>
  <c r="AA251" i="81" s="1" a="1"/>
  <c r="AA251" i="81" s="1"/>
  <c r="Y75" i="81" a="1"/>
  <c r="Y75" i="81" s="1"/>
  <c r="Y139" i="81" s="1" a="1"/>
  <c r="Y139" i="81" s="1"/>
  <c r="Y199" i="81" s="1" a="1"/>
  <c r="Y199" i="81" s="1"/>
  <c r="Y251" i="81" s="1" a="1"/>
  <c r="Y251" i="81" s="1"/>
  <c r="AD74" i="81" a="1"/>
  <c r="AD74" i="81" s="1"/>
  <c r="AD138" i="81" s="1" a="1"/>
  <c r="AD138" i="81" s="1"/>
  <c r="AD198" i="81" s="1" a="1"/>
  <c r="AD198" i="81" s="1"/>
  <c r="AD250" i="81" s="1" a="1"/>
  <c r="AD250" i="81" s="1"/>
  <c r="W82" i="81" a="1"/>
  <c r="W82" i="81" s="1"/>
  <c r="W146" i="81" s="1" a="1"/>
  <c r="W146" i="81" s="1"/>
  <c r="W206" i="81" s="1" a="1"/>
  <c r="W206" i="81" s="1"/>
  <c r="W258" i="81" s="1" a="1"/>
  <c r="W258" i="81" s="1"/>
  <c r="V77" i="81" a="1"/>
  <c r="V77" i="81" s="1"/>
  <c r="V141" i="81" s="1" a="1"/>
  <c r="V141" i="81" s="1"/>
  <c r="V201" i="81" s="1" a="1"/>
  <c r="V201" i="81" s="1"/>
  <c r="V253" i="81" s="1" a="1"/>
  <c r="V253" i="81" s="1"/>
  <c r="AB75" i="81" a="1"/>
  <c r="AB75" i="81" s="1"/>
  <c r="AB139" i="81" s="1" a="1"/>
  <c r="AB139" i="81" s="1"/>
  <c r="AB199" i="81" s="1" a="1"/>
  <c r="AB199" i="81" s="1"/>
  <c r="AB251" i="81" s="1" a="1"/>
  <c r="AB251" i="81" s="1"/>
  <c r="AC81" i="81" a="1"/>
  <c r="AC81" i="81" s="1"/>
  <c r="AC145" i="81" s="1" a="1"/>
  <c r="AC145" i="81" s="1"/>
  <c r="AC205" i="81" s="1" a="1"/>
  <c r="AC205" i="81" s="1"/>
  <c r="AC257" i="81" s="1" a="1"/>
  <c r="AC257" i="81" s="1"/>
  <c r="Z72" i="81" a="1"/>
  <c r="Z72" i="81" s="1"/>
  <c r="Z136" i="81" s="1" a="1"/>
  <c r="Z136" i="81" s="1"/>
  <c r="Z196" i="81" s="1" a="1"/>
  <c r="Z196" i="81" s="1"/>
  <c r="Z248" i="81" s="1" a="1"/>
  <c r="Z248" i="81" s="1"/>
  <c r="Y80" i="81" a="1"/>
  <c r="Y80" i="81" s="1"/>
  <c r="Y144" i="81" s="1" a="1"/>
  <c r="Y144" i="81" s="1"/>
  <c r="Y204" i="81" s="1" a="1"/>
  <c r="Y204" i="81" s="1"/>
  <c r="Y256" i="81" s="1" a="1"/>
  <c r="Y256" i="81" s="1"/>
  <c r="AD83" i="81" a="1"/>
  <c r="AD83" i="81" s="1"/>
  <c r="AD147" i="81" s="1" a="1"/>
  <c r="AD147" i="81" s="1"/>
  <c r="AD207" i="81" s="1" a="1"/>
  <c r="AD207" i="81" s="1"/>
  <c r="AD259" i="81" s="1" a="1"/>
  <c r="AD259" i="81" s="1"/>
  <c r="G64" i="81" a="1"/>
  <c r="G64" i="81" s="1"/>
  <c r="G129" i="81" s="1" a="1"/>
  <c r="G129" i="81" s="1"/>
  <c r="G171" i="81" s="1" a="1"/>
  <c r="G171" i="81" s="1"/>
  <c r="G209" i="81" s="1" a="1"/>
  <c r="G209" i="81" s="1"/>
  <c r="K63" i="81" a="1"/>
  <c r="K63" i="81" s="1"/>
  <c r="K128" i="81" s="1" a="1"/>
  <c r="K128" i="81" s="1"/>
  <c r="K170" i="81" s="1" a="1"/>
  <c r="K170" i="81" s="1"/>
  <c r="K208" i="81" s="1" a="1"/>
  <c r="K208" i="81" s="1"/>
  <c r="AC77" i="81" a="1"/>
  <c r="AC77" i="81" s="1"/>
  <c r="AC141" i="81" s="1" a="1"/>
  <c r="AC141" i="81" s="1"/>
  <c r="AC201" i="81" s="1" a="1"/>
  <c r="AC201" i="81" s="1"/>
  <c r="AC253" i="81" s="1" a="1"/>
  <c r="AC253" i="81" s="1"/>
  <c r="V261" i="81" l="1"/>
  <c r="V267" i="81" s="1" a="1"/>
  <c r="V267" i="81" s="1"/>
  <c r="X269" i="81" s="1"/>
  <c r="V272" i="81" s="1" a="1"/>
  <c r="V272" i="81" s="1"/>
  <c r="E212" i="81"/>
  <c r="E229" i="81" s="1" a="1"/>
  <c r="E229" i="81" s="1"/>
  <c r="G231" i="81" s="1"/>
  <c r="E234" i="81" s="1" a="1"/>
  <c r="E234" i="81" s="1"/>
  <c r="E8" i="13" a="1"/>
  <c r="E8" i="13" s="1"/>
  <c r="H8" i="13" s="1" a="1"/>
  <c r="H8" i="13" s="1"/>
  <c r="I13" i="83" l="1"/>
  <c r="E20" i="83" s="1" a="1"/>
  <c r="E20" i="83" s="1"/>
  <c r="I32" i="83" s="1"/>
  <c r="E36" i="83" s="1" a="1"/>
  <c r="E36" i="83" s="1"/>
  <c r="G38" i="83" s="1"/>
  <c r="E41" i="83" s="1" a="1"/>
  <c r="E41" i="83" s="1"/>
  <c r="J13" i="82"/>
  <c r="E16" i="82" s="1" a="1"/>
  <c r="E16" i="82" s="1"/>
  <c r="I28" i="82" s="1"/>
  <c r="E35" i="82" s="1" a="1"/>
  <c r="E35" i="82" s="1"/>
  <c r="G37" i="82" s="1"/>
  <c r="E40" i="82" s="1" a="1"/>
  <c r="E40" i="82" s="1"/>
  <c r="E9" i="13" a="1"/>
  <c r="E9" i="13" s="1"/>
  <c r="H9" i="13" s="1" a="1"/>
  <c r="H9" i="13" s="1"/>
  <c r="F8" i="13" a="1"/>
  <c r="F8" i="13" s="1"/>
  <c r="I8" i="13" s="1" a="1"/>
  <c r="I8" i="13" s="1"/>
  <c r="E11" i="13" l="1" a="1"/>
  <c r="E11" i="13" s="1"/>
  <c r="H11" i="13" s="1" a="1"/>
  <c r="H11" i="13" s="1"/>
  <c r="E10" i="13" a="1"/>
  <c r="E10" i="13" s="1"/>
  <c r="H10" i="13" s="1" a="1"/>
  <c r="H10" i="13" s="1"/>
  <c r="T13" i="82"/>
  <c r="O16" i="82" s="1" a="1"/>
  <c r="O16" i="82" s="1"/>
  <c r="S28" i="82" s="1"/>
  <c r="O35" i="82" s="1" a="1"/>
  <c r="O35" i="82" s="1"/>
  <c r="Q37" i="82" s="1"/>
  <c r="O40" i="82" s="1" a="1"/>
  <c r="O40" i="82" s="1"/>
  <c r="R13" i="83"/>
  <c r="N20" i="83" s="1" a="1"/>
  <c r="N20" i="83" s="1"/>
  <c r="R32" i="83" s="1"/>
  <c r="N36" i="83" s="1" a="1"/>
  <c r="N36" i="83" s="1"/>
  <c r="P38" i="83" s="1"/>
  <c r="N41" i="83" s="1" a="1"/>
  <c r="N41" i="83" s="1"/>
  <c r="H28" i="13" l="1"/>
  <c r="E38" i="13" s="1"/>
  <c r="E42" i="13" s="1"/>
  <c r="H62" i="13" s="1"/>
  <c r="F9" i="13" a="1"/>
  <c r="F9" i="13" s="1"/>
  <c r="I9" i="13" s="1" a="1"/>
  <c r="I9" i="13" s="1"/>
  <c r="F11" i="13" a="1"/>
  <c r="F11" i="13" s="1"/>
  <c r="I11" i="13" s="1" a="1"/>
  <c r="I11" i="13" s="1"/>
  <c r="F10" i="13" a="1"/>
  <c r="F10" i="13" s="1"/>
  <c r="I10" i="13" s="1" a="1"/>
  <c r="I10" i="13" s="1"/>
  <c r="H63" i="13" l="1"/>
  <c r="E59" i="13"/>
  <c r="H66" i="13" s="1"/>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<sst xmlns="http://schemas.openxmlformats.org/spreadsheetml/2006/main" count="3591" uniqueCount="873">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</sst>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06E5507E-C57A-4772-8992-0BABD3C7C9BD}"/>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microsoft.com/office/2017/06/relationships/rdRichValueStructure" Target="richData/rdrichvaluestructure.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microsoft.com/office/2022/10/relationships/richValueRel" Target="richData/richValueRel.xml"/><Relationship Id="rId53" Type="http://schemas.openxmlformats.org/officeDocument/2006/relationships/customXml" Target="../customXml/item4.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microsoft.com/office/2017/06/relationships/rdRichValue" Target="richData/rdrichvalue.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A4E4A44-C8AF-4545-9EEE-9AC60C85AD9E}"/>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A4E4A44-C8AF-4545-9EEE-9AC60C85AD9E}"/>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FDBE005-CE23-4893-B8A0-C7A80FF56D8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FDBE005-CE23-4893-B8A0-C7A80FF56D8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C983506-BEC5-414A-B76D-29B95DAA877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C983506-BEC5-414A-B76D-29B95DAA877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0DE8B13-6FE1-48D9-89B6-3582F25B568E}"/>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0DE8B13-6FE1-48D9-89B6-3582F25B568E}"/>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24BF72-A967-4AFF-AF09-B204D20C431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D524BF72-A967-4AFF-AF09-B204D20C431E}"/>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81D438D-CA46-41F0-A7AC-DA87CC6D90B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781D438D-CA46-41F0-A7AC-DA87CC6D90B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F03118D-F7CB-440A-BA21-13864FF31895}"/>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9F03118D-F7CB-440A-BA21-13864FF31895}"/>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4A880D0-32D9-466C-9E71-7C7D21B961EE}"/>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54A880D0-32D9-466C-9E71-7C7D21B961EE}"/>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0BFC5BE-F0AE-458B-81F7-35E8F73D601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0BFC5BE-F0AE-458B-81F7-35E8F73D601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4C25BAC-C0F3-4FA7-A62B-A27BDF338EFC}"/>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44C25BAC-C0F3-4FA7-A62B-A27BDF338EFC}"/>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EFB8CE0-FBD3-4072-A28D-098636754C6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EEFB8CE0-FBD3-4072-A28D-098636754C6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EF77AF-55E2-4D69-ACD9-D5A11D043A0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C2EF77AF-55E2-4D69-ACD9-D5A11D043A0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52C83E8-3FCF-4FFF-ACF1-B15900E8F0A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A52C83E8-3FCF-4FFF-ACF1-B15900E8F0AC}"/>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385F954-A36E-42C9-937C-AC42E41052E0}"/>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3385F954-A36E-42C9-937C-AC42E41052E0}"/>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428DE02-1CE7-4EE3-895F-9D0F4F6F7939}"/>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E428DE02-1CE7-4EE3-895F-9D0F4F6F7939}"/>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C6AB970-A15A-47C8-BA12-DC0DB436F3B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C6AB970-A15A-47C8-BA12-DC0DB436F3B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83A2AE4-07FB-4328-BA55-E578EF2829C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E83A2AE4-07FB-4328-BA55-E578EF2829C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AFC0C3-CEE4-4CB6-8650-79F63EE0872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D2AFC0C3-CEE4-4CB6-8650-79F63EE0872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D3476E3-0B1C-41A3-AFB7-BF685062731B}"/>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D3476E3-0B1C-41A3-AFB7-BF685062731B}"/>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946B96-6202-4B3C-AB31-9D57E5206B6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3E946B96-6202-4B3C-AB31-9D57E5206B6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5BF70D0-F57A-491E-BB09-F6F7078A08F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5BF70D0-F57A-491E-BB09-F6F7078A08F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3997CDF-745E-4D9C-8EF0-3C4269DE47B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3997CDF-745E-4D9C-8EF0-3C4269DE47B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AB46C88-8563-4688-B23D-83FC6C73382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AB46C88-8563-4688-B23D-83FC6C73382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065A8FA-0436-48A1-848A-1A3AD1125B69}"/>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065A8FA-0436-48A1-848A-1A3AD1125B69}"/>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68B7C48-5492-4852-A3A3-12E195956118}"/>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68B7C48-5492-4852-A3A3-12E195956118}"/>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09B4381-C05C-4D27-9F0F-2EBB5AFA4446}"/>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09B4381-C05C-4D27-9F0F-2EBB5AFA4446}"/>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C71F897-F7CD-43C6-BD58-7277FC0E334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C71F897-F7CD-43C6-BD58-7277FC0E334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9C1D39D-E772-43E6-B1AE-C48F114BE555}"/>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9C1D39D-E772-43E6-B1AE-C48F114BE555}"/>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9DCEB82-300A-45EB-9095-9498C33D0FDF}"/>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9DCEB82-300A-45EB-9095-9498C33D0FDF}"/>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8ED530-9E5B-465D-84EA-5098517BAB9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78ED530-9E5B-465D-84EA-5098517BAB9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C7C83C-3918-4474-A9F9-C2CD653C5D1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FC7C83C-3918-4474-A9F9-C2CD653C5D1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51894DA-3115-4F5A-BD5C-BCF2E3169AD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51894DA-3115-4F5A-BD5C-BCF2E3169AD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89CACA-C173-49CD-A5A8-2B44D9091D6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689CACA-C173-49CD-A5A8-2B44D9091D6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6B313CD-D6A5-4948-A8D8-93CEEC7567C7}"/>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6B313CD-D6A5-4948-A8D8-93CEEC7567C7}"/>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15013DC-6661-42C2-964B-0F7C7B10489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15013DC-6661-42C2-964B-0F7C7B104899}"/>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6DC4677-0559-400E-8967-174765E3AAC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6DC4677-0559-400E-8967-174765E3AAC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F359850-D906-430E-AE67-1DBE16FF7D4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F359850-D906-430E-AE67-1DBE16FF7D4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45EE3BE-BC4E-4DEC-A3F8-9836AC5A90F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45EE3BE-BC4E-4DEC-A3F8-9836AC5A90F1}"/>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4576513-AC20-493A-BE75-7FB7CD5F9DD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4576513-AC20-493A-BE75-7FB7CD5F9DD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D9DD5F0-FEEA-4A12-9FE7-26A2246F16E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D9DD5F0-FEEA-4A12-9FE7-26A2246F16E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0AF370-8DDF-4FD9-989A-BD886BAAA3D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50AF370-8DDF-4FD9-989A-BD886BAAA3D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E4B4615-F55D-459E-AD2F-386A432FB28B}"/>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E4B4615-F55D-459E-AD2F-386A432FB28B}"/>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E201A30-B166-484D-80FE-53DD9D01570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EE201A30-B166-484D-80FE-53DD9D015705}"/>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AA5EDD-774A-41DB-B08A-51CB00B177FA}"/>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70AA5EDD-774A-41DB-B08A-51CB00B177FA}"/>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2BAEB71-F340-4843-A565-8FDD7FE4611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2BAEB71-F340-4843-A565-8FDD7FE4611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0BDCEC-BB9B-4A9F-B141-9A4E8F2D5A4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A0BDCEC-BB9B-4A9F-B141-9A4E8F2D5A4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2DC2E2-A9DF-4EE4-840B-5C6151BD3A0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D2DC2E2-A9DF-4EE4-840B-5C6151BD3A0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770DC79-B443-4F45-9490-96822235DD2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770DC79-B443-4F45-9490-96822235DD2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316DAD4-8974-4423-B8EA-DA437540985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316DAD4-8974-4423-B8EA-DA437540985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149200B-057E-4032-824A-3B7D4FD23C0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149200B-057E-4032-824A-3B7D4FD23C0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0C11C9-09FD-454F-8B21-77846062A2F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80C11C9-09FD-454F-8B21-77846062A2F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D7158D7-B345-43B3-99C4-4BAE70A19CA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D7158D7-B345-43B3-99C4-4BAE70A19CA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E551520-22C7-4D27-8B10-A346DA7A1A8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9E551520-22C7-4D27-8B10-A346DA7A1A8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F6FD3E8-E937-4BE6-99B1-260B64091BD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F6FD3E8-E937-4BE6-99B1-260B64091BD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7774DF73-355A-4413-9380-F74EF9A5149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31636A1-8274-4960-9538-8422510C496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A239D4EF-A82D-4FD9-817A-D5CCE24F85D7}"/>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B65A9713-FD11-4927-9F99-8C622D77E0C7}"/>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EC3FC00E-5302-45EF-AF8C-8209CF7A66A0}"/>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F0814E46-1F4F-454F-B916-8A75424AFA48}"/>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153E0F7A-1F59-4C88-8B34-3F0D82FADADC}"/>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33619B99-272A-4D62-B715-2A16B1529DD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C6C45A3C-7AB5-4412-8565-C61C51FB30F7}"/>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EC6A27A7-8491-4494-8AF6-F906C4E9BC89}"/>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49B197ED-BB6E-46D2-9CAD-AE52F8DCBD3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44352AC4-279C-4CBB-AAE6-5D706ED646E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D687251B-B7C0-42BF-8ADF-F3C3E8330205}"/>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EFB2B77D-E3E2-42FF-8C96-B81ACF091408}"/>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C7025A2C-0C54-402F-8D9A-157BE808508C}"/>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1B070F9B-9F7B-40DD-85AC-204D9EBF34C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79AB63D1-4DAF-4134-B01C-C642DF5DCCC1}"/>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CA466D05-AC10-42B5-A3D4-AD78B0C65484}"/>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99CA47E7-CB3F-4E73-A6E8-72DE0BD79B28}"/>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EF5D27EA-FB41-411A-A67E-8CC380D55F4F}"/>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31E75DE-FCBA-452B-8A28-4710D30822B0}"/>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A0CC05E0-2023-4D74-9BF5-B18A87EBA81D}"/>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87260CF8-9584-4CFE-BC0C-883ED0A768CA}"/>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BBF65532-D7EA-4062-A103-28EBB5221DA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3694AE21-2F22-4830-9479-B1CCC83D779B}"/>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6896F1E6-2C87-4E26-9174-DBA46F66CFDC}"/>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606A4C2D-B4A2-4CB8-B5FD-17C91E1C7F6C}"/>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72F44B7B-AF34-48DC-A443-64309B3894C3}"/>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D986B504-BE5A-4BAA-9DE9-1A636C3B7044}"/>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0369F12B-845C-458B-8CD9-ACB0396FF830}"/>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2B82279B-FBF9-4196-9840-9C876130C4E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1B6FFC89-7954-407A-A396-309CE51CEE0D}"/>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401D8C3D-D885-42E3-89C3-BB0CA162BBB1}"/>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D90FA22E-D035-48E9-A17D-316F2FF9189B}"/>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D6028D31-4791-4321-9481-41EBDBCA130A}"/>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4B95EFF1-84BF-4B71-86C4-8CAB36498582}"/>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7BBB80FA-41AA-4983-8FC7-221A94E3DA73}"/>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30B0B62-CD8C-416C-BB1C-97B8496DBED0}" name="Table_Input_LivestockSales48" displayName="Table_Input_LivestockSales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38A0D1C1-F6A3-4292-9435-133C0C27DBBD}" name="Transaction name" dataCellStyle="Input text"/>
    <tableColumn id="1" xr3:uid="{F1EB45B2-103A-4682-8C06-BB2322C96025}" name="Class (select)" dataCellStyle="Input select"/>
    <tableColumn id="2" xr3:uid="{DE23F25D-9470-41B4-BB5A-08AD06757D89}" name="Sale date" dataDxfId="445"/>
    <tableColumn id="3" xr3:uid="{319EA795-FBAD-496D-A4E5-26ECF4CAF66C}" name="Head sold"/>
    <tableColumn id="4" xr3:uid="{99EDA971-5743-4849-B6C5-22384D29EFD6}" name="Average weight per head (kg)"/>
    <tableColumn id="5" xr3:uid="{4CDE2A3D-94A2-4E5A-B9D9-D78195D4FC2F}"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48B68AA-21F5-45D5-893B-88D15E6CBDAE}"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C692CD66-BB12-4EDD-940F-4C24178142B5}" name="Transaction name" dataCellStyle="Input text"/>
    <tableColumn id="13" xr3:uid="{65A37D4F-623A-49A2-A611-FE2159A544C2}" name="Purchase date" dataCellStyle="Input text"/>
    <tableColumn id="11" xr3:uid="{22F178DE-10A7-4F50-BBD2-3C233B5523A6}" name="Class (select)" dataDxfId="444" dataCellStyle="Input select"/>
    <tableColumn id="2" xr3:uid="{F883F2B6-F479-41F7-811E-75065D5E0282}" name="Purchase class (select)" dataDxfId="443" dataCellStyle="Input select"/>
    <tableColumn id="6" xr3:uid="{F7CB8A30-2835-467D-99FC-BF88808874BC}" name="Source region (Select)" dataDxfId="442" dataCellStyle="Input select"/>
    <tableColumn id="3" xr3:uid="{5F1455A6-7D0E-4AC4-8CDF-4BDDDC926E92}" name="Quantity (head)" dataCellStyle="Input number general"/>
    <tableColumn id="12" xr3:uid="{CDEBF75C-F2F8-40F9-992E-70A2F27A676F}" name="Liveweight (kg/head) Method 1" dataCellStyle="Input number general calculated"/>
    <tableColumn id="4" xr3:uid="{EFDECB17-E453-4DDE-A450-3E1775386EB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58F6E7-EA46-446B-A9FF-EA13857958D6}" name="Table_Input_LivestockSales" displayName="Table_Input_LivestockSales" ref="D206:I216" totalsRowShown="0">
  <autoFilter ref="D206:I216" xr:uid="{484622CD-CCF3-4BB9-AAA9-4F75EF631CF3}"/>
  <tableColumns count="6">
    <tableColumn id="6" xr3:uid="{46F70196-B7A1-4EF0-BDD8-B86781FF53FC}" name="Transaction name" dataCellStyle="Input text"/>
    <tableColumn id="1" xr3:uid="{0C63691C-811F-45D1-9C06-BAD768B8F384}" name="Class (select)" dataCellStyle="Input select"/>
    <tableColumn id="2" xr3:uid="{7819B5F8-D928-4887-A398-3D17B1C40BF3}" name="Sale date" dataDxfId="441"/>
    <tableColumn id="3" xr3:uid="{F9F55F33-4456-4EC9-A747-2EB9D632E8E8}" name="Head sold"/>
    <tableColumn id="4" xr3:uid="{4129DC0B-9AC7-4A6F-AC08-4465ECB5E967}" name="Average weight per head (kg)"/>
    <tableColumn id="5" xr3:uid="{84C1119F-FF4F-498E-B34B-AA919F033E0E}"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6DFE96-0D4D-475B-A15B-B76C4C554634}" name="Table_Input_LivestockPurchases_Beefcattle" displayName="Table_Input_LivestockPurchases_Beefcattle" ref="D190:K200" totalsRowShown="0">
  <autoFilter ref="D190:K200" xr:uid="{AAB6424C-3730-40E0-8F0E-53BDFDC2DDBB}"/>
  <tableColumns count="8">
    <tableColumn id="9" xr3:uid="{A9B42002-D582-4BAD-BE78-851504FB822B}" name="Transaction name" dataCellStyle="Input text"/>
    <tableColumn id="13" xr3:uid="{54A6F142-74E5-4231-9B3D-3D5169A5A78E}" name="Purchase date" dataCellStyle="Input text"/>
    <tableColumn id="11" xr3:uid="{26171255-6F0F-49BD-A0D2-B28E1AB80724}" name="Class (select)" dataDxfId="440" dataCellStyle="Input select"/>
    <tableColumn id="2" xr3:uid="{24B6E4C6-C60B-4B44-AD39-AF89A2E4E836}" name="Purchase class (select)" dataDxfId="439" dataCellStyle="Input select"/>
    <tableColumn id="6" xr3:uid="{14E5D2BA-238C-4B66-96D8-4C6A9119A372}" name="Source region (Select)" dataDxfId="438" dataCellStyle="Input select"/>
    <tableColumn id="3" xr3:uid="{4AB21331-8E7E-473E-AC45-D07F0F0E87A9}" name="Quantity (head)" dataCellStyle="Input number general"/>
    <tableColumn id="12" xr3:uid="{A6ECC7F7-03A9-4BC6-928A-2AD30189C941}" name="Liveweight (kg/head) Method 1" dataCellStyle="Input number general calculated"/>
    <tableColumn id="4" xr3:uid="{70394D33-7A11-4BE8-A53C-50C4CBC4A313}"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9FB3CEA-26AA-4D5E-8E0D-F1BE7C840C0D}" name="Table_Input_InorganicFertiliser_Brands" displayName="Table_Input_InorganicFertiliser_Brands" ref="D17:X22" headerRowDxfId="437" dataDxfId="436" totalsRowDxfId="435">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BBCA2AFE-3908-4B3A-AD2A-2815351A76EF}" name="Product (select)" dataDxfId="434" totalsRowDxfId="433" dataCellStyle="Input select"/>
    <tableColumn id="23" xr3:uid="{11D5AD5E-266F-41A6-8EE3-DA6A7EB9FB13}" name="Amount applied per hectare" totalsRowFunction="custom" dataDxfId="432" totalsRowDxfId="431">
      <totalsRowFormula>SUM(Table_Input_InorganicFertiliser_Brands[[#Headers],[#Data],[Amount applied per hectare]])</totalsRowFormula>
    </tableColumn>
    <tableColumn id="12" xr3:uid="{573EE14D-BF88-4F27-A980-38B333169B69}" name="Application unit" dataDxfId="430" totalsRowDxfId="429" dataCellStyle="Input number 2 decimal places"/>
    <tableColumn id="9" xr3:uid="{9BFC1E13-6DA9-498B-BDBE-BBC66AE1EE90}" name="Density" dataDxfId="428" totalsRowDxfId="427" dataCellStyle="Input number 2 decimal places"/>
    <tableColumn id="6" xr3:uid="{DB675AB7-0BA9-4154-A059-71AF8A976FB7}" name="Application area (ha)" dataDxfId="426" totalsRowDxfId="425">
      <calculatedColumnFormula>$E$9</calculatedColumnFormula>
    </tableColumn>
    <tableColumn id="1" xr3:uid="{57F8387F-0E6F-4101-8C59-5F51CB5A4D6A}" name="Total applied (kg)" dataDxfId="424" totalsRowDxfId="42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34B8204-A433-42DA-B133-94EDEB87940B}" name="Ingredient 1" dataDxfId="422" totalsRowDxfId="421" dataCellStyle="Input number general calculated"/>
    <tableColumn id="4" xr3:uid="{EA503404-E8F3-4C8D-8509-B505C3F348E1}" name="Ingredient 1 percent" dataDxfId="420" totalsRowDxfId="419" dataCellStyle="Input number general calculated"/>
    <tableColumn id="7" xr3:uid="{AF614E41-D789-4D51-B840-C11722A2280A}" name="Ingredient 2" dataDxfId="418" dataCellStyle="Input number general calculated"/>
    <tableColumn id="8" xr3:uid="{C2837D3A-8EBA-41E5-829E-8FD1776756CF}" name="Ingredient 2 percent" dataDxfId="417" totalsRowDxfId="416" dataCellStyle="Input number general calculated"/>
    <tableColumn id="10" xr3:uid="{788F2DDB-9C2A-4D43-B537-363174FFA9FA}" name="Ingredient 3" dataDxfId="415" totalsRowDxfId="414" dataCellStyle="Input number general calculated"/>
    <tableColumn id="11" xr3:uid="{3A1D4336-0F26-4807-9165-E7EA33CBF9D2}" name="Ingredient 3 percent" dataDxfId="413" totalsRowDxfId="412" dataCellStyle="Input number general calculated"/>
    <tableColumn id="13" xr3:uid="{10657062-D12A-4117-BFC9-A3829F2E199A}" name="Ingredient 4" dataDxfId="411" totalsRowDxfId="410" dataCellStyle="Input number general calculated"/>
    <tableColumn id="14" xr3:uid="{4C5157EC-9CAA-4420-B705-3A74CC23B34D}" name="Ingredient 4 percent" dataDxfId="409" dataCellStyle="Input number general calculated"/>
    <tableColumn id="16" xr3:uid="{3DCE997A-4E2B-4F99-BF33-F0F3594D9062}" name="Ingredient 5" dataDxfId="408" dataCellStyle="Input number general calculated"/>
    <tableColumn id="17" xr3:uid="{E3CB21BE-7D19-4B5C-B120-077060207D33}" name="Ingredient 5 percent" dataDxfId="407" dataCellStyle="Input number general calculated"/>
    <tableColumn id="19" xr3:uid="{74264572-4D8E-4B91-9B34-F700CBCC3097}" name="Ingredient 6" dataDxfId="406" dataCellStyle="Input number general calculated"/>
    <tableColumn id="20" xr3:uid="{AF565C68-4EB1-4F66-8F13-1813494480EE}" name="Ingredient 6 percent" dataDxfId="405" dataCellStyle="Input number general calculated"/>
    <tableColumn id="5" xr3:uid="{F8791ECD-A006-43C5-9284-076A4B7E107D}" name="N application rate (kg/ha)" dataDxfId="404" totalsRowDxfId="403" dataCellStyle="Input number general calculated"/>
    <tableColumn id="15" xr3:uid="{59530C61-31B1-4365-93AF-41729F66E4F0}" name="Urea source" dataDxfId="402" totalsRowDxfId="401" dataCellStyle="Input number general calculated"/>
    <tableColumn id="18" xr3:uid="{DC4D445C-994F-4AA9-86A5-63889824FBE4}" name="Ammonia source" dataDxfId="400" totalsRowDxfId="399"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E20E18D-8C53-43E1-8756-7BF2ACECF523}" name="Table_Input_InorganicFertiliser_Custom" displayName="Table_Input_InorganicFertiliser_Custom" ref="D25:R28" totalsRowShown="0" headerRowDxfId="398" dataDxfId="397">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7ACABEE5-27AA-420B-B674-18CC1286BCAD}" name="Custom blend name" dataCellStyle="Input text"/>
    <tableColumn id="2" xr3:uid="{C580648F-6222-446D-BCFD-662802786D5D}" name="Amount applied (kg / ha)" dataDxfId="396"/>
    <tableColumn id="3" xr3:uid="{98A3BFD0-761D-4622-B12D-23A4589B292C}" name="Application area (ha)" dataDxfId="395" dataCellStyle="Input number 2 decimal places">
      <calculatedColumnFormula>$E$9</calculatedColumnFormula>
    </tableColumn>
    <tableColumn id="4" xr3:uid="{0CC34268-FB70-42D4-A78A-750B0BECAED7}" name="Total applied (kg)" dataDxfId="394" dataCellStyle="Input number general calculated">
      <calculatedColumnFormula>Table_Input_InorganicFertiliser_Custom[[#This Row],[Amount applied (kg / ha)]]*Table_Input_InorganicFertiliser_Custom[[#This Row],[Application area (ha)]]</calculatedColumnFormula>
    </tableColumn>
    <tableColumn id="5" xr3:uid="{E6B2A457-821F-4442-90D4-EBEFCA69FF87}" name="Ingredient 1 (select)" dataDxfId="393" dataCellStyle="Input select"/>
    <tableColumn id="6" xr3:uid="{E276620C-372B-425C-92C0-2644E2CE83AB}" name="Ingredient 1 percent" dataDxfId="392"/>
    <tableColumn id="8" xr3:uid="{168A6DCC-75CB-441B-BF92-EFDE33676B1F}" name="Ingredient 2" dataDxfId="391" dataCellStyle="Input select"/>
    <tableColumn id="9" xr3:uid="{3B94DC75-C649-4FD1-B33C-92A90D4BD74C}" name="Ingredient 2 percent" dataDxfId="390"/>
    <tableColumn id="11" xr3:uid="{191A1230-66D5-4707-8C82-CA2EAA35BDF4}" name="Ingredient 3" dataDxfId="389" dataCellStyle="Input select"/>
    <tableColumn id="12" xr3:uid="{A681ABBD-8584-4899-B50E-F6B02FF7576A}" name="Ingredient 3 percent" dataDxfId="388"/>
    <tableColumn id="14" xr3:uid="{FA6059D7-CF65-4D57-A5E7-3DE6D6F0D0F3}" name="Ingredient 4" dataDxfId="387" dataCellStyle="Input select"/>
    <tableColumn id="15" xr3:uid="{C1B136E9-10B3-40D8-9082-C66C77C8DEE6}" name="Ingredient 4 percent" dataCellStyle="Input percent"/>
    <tableColumn id="7" xr3:uid="{6EDC65DC-9945-46C2-B0F2-24DA1ADE552F}" name="N application rate (kg/ha)" dataDxfId="386" dataCellStyle="Input number general calculated"/>
    <tableColumn id="10" xr3:uid="{44577323-A8C8-40E9-8E94-83D3A14BED5B}" name="Urea source (Select)" dataCellStyle="Input select"/>
    <tableColumn id="13" xr3:uid="{F83279B7-C1F8-4246-A7CB-628A500E813D}"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69DBD4BD-6C16-4716-BF61-745933ACA2BC}" name="Table_Input_Lime" displayName="Table_Input_Lime" ref="D36:K39" totalsRowShown="0" headerRowDxfId="385" dataDxfId="384"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2AEE39C-3476-4232-BF4B-41099D55D021}" name="Product" dataDxfId="383"/>
    <tableColumn id="2" xr3:uid="{CA97B9DF-C240-4C41-8BAF-802E22E7EC67}" name="Amount applied (t/hectare)" dataDxfId="382"/>
    <tableColumn id="4" xr3:uid="{5D1A8E0E-1DB4-4700-A274-0BEF281CAACB}" name="Application area (ha)" dataDxfId="381">
      <calculatedColumnFormula>$E$9</calculatedColumnFormula>
    </tableColumn>
    <tableColumn id="3" xr3:uid="{F06AC667-EE2B-4B2F-B602-78057723E0BA}" name="Total amount applied (t)" dataDxfId="380" dataCellStyle="Input number general calculated">
      <calculatedColumnFormula>IFERROR(Table_Input_Lime[[#This Row],[Amount applied (t/hectare)]]*Table_Input_Lime[[#This Row],[Application area (ha)]], 0)</calculatedColumnFormula>
    </tableColumn>
    <tableColumn id="6" xr3:uid="{82AEFC95-F134-4D02-98E6-92EE7B6A8859}" name="Percent Lime CaCO3" dataDxfId="379"/>
    <tableColumn id="8" xr3:uid="{277F4DBF-6786-46C8-9C43-8BFC35D0A4C7}" name="Percent Dolomite CaMg(CO3)2" dataDxfId="378"/>
    <tableColumn id="7" xr3:uid="{1C25AB46-A423-48F0-B9A2-543E86FC8A16}" name="Percent Gypsum" dataDxfId="377"/>
    <tableColumn id="10" xr3:uid="{C6773313-1C6F-472C-AA8F-53446E215701}" name="Total" dataDxfId="37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31E145D-BED2-4BF6-A437-89310376058F}" name="Table_Input_OrganicFertiliser" displayName="Table_Input_OrganicFertiliser" ref="D47:J50" totalsRowShown="0" headerRowDxfId="375" dataDxfId="374"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3FEF3A9-3CA0-46DD-8831-CB46C9E8A0A8}" name="Organic fertiliser type (select)" dataDxfId="373" dataCellStyle="Input select"/>
    <tableColumn id="5" xr3:uid="{CF9C979B-B0DD-4A82-9524-3C509C956510}" name="Percentage of N in fertiliser" dataDxfId="372"/>
    <tableColumn id="2" xr3:uid="{447B5EE9-DA4F-4D18-AE0B-AE46A942E455}" name="Amount applied (kg/hectare)" dataDxfId="371"/>
    <tableColumn id="11" xr3:uid="{704163FB-ACFE-47F9-885B-95FCAAD7FC79}" name="Amount N applied (kg/hectare)" dataDxfId="370" dataCellStyle="Input number general calculated">
      <calculatedColumnFormula>Table_Input_OrganicFertiliser[[#This Row],[Amount applied (kg/hectare)]]*Table_Input_OrganicFertiliser[[#This Row],[Percentage of N in fertiliser]]</calculatedColumnFormula>
    </tableColumn>
    <tableColumn id="4" xr3:uid="{28A6695C-F482-4726-982A-1678AB1A2D19}" name="Application area (ha)" dataDxfId="369">
      <calculatedColumnFormula>$E$9</calculatedColumnFormula>
    </tableColumn>
    <tableColumn id="7" xr3:uid="{05AE1849-18E1-417A-8211-782EE2A34B88}" name="Total organic fertliser applied" dataDxfId="368" dataCellStyle="Input number general calculated">
      <calculatedColumnFormula>Table_Input_OrganicFertiliser[[#This Row],[Amount applied (kg/hectare)]]*Table_Input_OrganicFertiliser[[#This Row],[Application area (ha)]]</calculatedColumnFormula>
    </tableColumn>
    <tableColumn id="3" xr3:uid="{9CA0F186-B410-494C-8359-E14186C3A9E7}" name="Total nitrogen applied (kg)" dataDxfId="36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0D4D573-9071-4CF6-B9FA-196244E20662}" name="Table_Input_Fuel" displayName="Table_Input_Fuel" ref="D16:J21" totalsRowDxfId="36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36EA638-C006-44BA-8E69-102563084815}" name="Fuel use (select)" totalsRowFunction="average" totalsRowDxfId="365" dataCellStyle="Input select" totalsRowCellStyle="Input select"/>
    <tableColumn id="3" xr3:uid="{06FC0C09-E5D2-44AB-AC5C-8BD5F77E5518}" name="Fuel type (select)" totalsRowDxfId="364" dataCellStyle="Input select" totalsRowCellStyle="Input select"/>
    <tableColumn id="4" xr3:uid="{E0CE6653-ED8A-4493-87B2-0F2B8DB9A91E}" name="Amount purchased" totalsRowDxfId="363" totalsRowCellStyle="Content bold"/>
    <tableColumn id="6" xr3:uid="{0A485100-C044-4141-9825-8229327A2FF6}" name="Amount unit" totalsRowDxfId="362" dataCellStyle="Input number general calculated" totalsRowCellStyle="Input text calculated"/>
    <tableColumn id="5" xr3:uid="{A041817D-FE21-4A93-B595-3224E2084AE8}" name="Percent consumed" totalsRowDxfId="361" totalsRowCellStyle="Input percent">
      <calculatedColumnFormula>1</calculatedColumnFormula>
    </tableColumn>
    <tableColumn id="1" xr3:uid="{B8D6C757-96B5-416D-8373-CD027EBF4166}" name="Amount consumed" totalsRowFunction="custom" totalsRowDxfId="36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C1B8C2D-CDFD-4DAA-B0D2-7565CE46BD08}" name="Amount consumed unit" totalsRowDxfId="359"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2F3956C-9883-4639-8F52-C514372572C7}"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99896FFD-B01A-4709-B199-8C00B82E5904}" name="Description"/>
    <tableColumn id="5" xr3:uid="{2E506E25-835D-4A5A-B555-436E3911643C}" name="Source (select)" dataCellStyle="Input select"/>
    <tableColumn id="2" xr3:uid="{FCEBD606-F443-48AC-AEE9-9CA134A4B930}" name="Generation date" dataDxfId="358"/>
    <tableColumn id="3" xr3:uid="{823669D8-4163-4F18-BEC1-B59A3342F0E5}" name="Number of certificates"/>
    <tableColumn id="4" xr3:uid="{E2C7987B-EE31-40D5-84D2-EC6A5062B671}" name="MWh" dataCellStyle="Input number general calculated">
      <calculatedColumnFormula>Table_Input_RECSurrendered[[#This Row],[Number of certificates]]</calculatedColumnFormula>
    </tableColumn>
    <tableColumn id="7" xr3:uid="{0F1FC746-F594-42E7-9AA1-ADB133101826}"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7176ABE-C903-4D49-A04B-A4ADCF15A34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68621076-57F4-42AA-ADE3-DBD51656BDC4}" name="Description"/>
    <tableColumn id="5" xr3:uid="{0B935FDB-F11E-474A-A65A-9E6615BEA0DD}" name="Source" dataCellStyle="Input text calculated">
      <calculatedColumnFormula>"Issued for generated electricity"</calculatedColumnFormula>
    </tableColumn>
    <tableColumn id="2" xr3:uid="{FD5F8267-C112-4BFF-80E3-76DBCB8CF307}" name="Generation date" dataDxfId="357"/>
    <tableColumn id="3" xr3:uid="{51DE014A-0D83-45F3-81F8-8A21FCF2EB19}" name="Number of certificates"/>
    <tableColumn id="4" xr3:uid="{BBD59E87-8768-44FC-A589-D8A1C631AAB8}" name="MWh" dataCellStyle="Input number general calculated">
      <calculatedColumnFormula>Table_Input_RECConsumedByEntity[[#This Row],[Number of certificates]]</calculatedColumnFormula>
    </tableColumn>
    <tableColumn id="7" xr3:uid="{7E41A4BE-8329-4441-99FE-2F6405BEA20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0E592A8-C904-419E-9E80-A5B7BA6C16AE}" name="Table_SourceData_PastureBeef_CropProdSystems" displayName="Table_SourceData_PastureBeef_CropProdSystems" ref="D7:D9" totalsRowShown="0">
  <autoFilter ref="D7:D9" xr:uid="{B6F3FE3A-A0B5-47E7-85B2-8426FB75A7C8}">
    <filterColumn colId="0" hiddenButton="1"/>
  </autoFilter>
  <tableColumns count="1">
    <tableColumn id="1" xr3:uid="{C7B36826-5269-424B-AC09-4719702F2A1D}"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F43421C-1B65-484C-A227-979ED35D5961}"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EA4DF9C-E3F1-426C-9659-DE4A64849AC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E8F457A-D416-4BA0-9D3B-26AE78B997C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4CFFD1E-871D-4592-BD2C-D2E7D650BEAE}" name="State">
      <calculatedColumnFormula array="1">Common_InputFunctions.Utility_DisplayArrayInTable(SourceData_PastureBeef.SourceData_PastureBeef_Liveweight_Data(), Table_SourceData_PastureBeef_Liveweight[[#Headers],[State]], 0)</calculatedColumnFormula>
    </tableColumn>
    <tableColumn id="2" xr3:uid="{5C8DA7FC-183F-4FF4-9E2B-733B30C73DC2}" name="Region" dataDxfId="35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3C955623-9108-4ACD-A715-757D7AE5A248}" name="Season" dataDxfId="35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1D2423D-32A6-458B-8B1B-FC530339EFB3}" name="Bull &lt; 1" dataDxfId="35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88541CB1-2185-4E52-8B0A-6DD250C62762}" name="Bull &gt; 1" dataDxfId="35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255DA042-F78E-41F3-9D41-980639A53CDD}" name="Cow &lt; 1" dataDxfId="35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47026560-83D6-40A1-8D94-1AE1B3F6F61A}" name="Cow 1-2" dataDxfId="35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F7089BA2-DB78-4C4D-840B-6BB7176BAE19}" name="Cow &gt; 2" dataDxfId="35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0771B7BC-1D25-45D8-9ABC-8693FE7D66F2}" name="Steer &lt; 1" dataDxfId="34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8B9C2A87-4584-4BAB-9E88-5AE44681456F}" name="Steer &gt; 1" dataDxfId="34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460CB07-92E4-4334-8627-F37959E38BAA}"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7CFC22F-2C94-426C-98D0-EC5173BD5D34}" name="State">
      <calculatedColumnFormula array="1">Common_InputFunctions.Utility_DisplayArrayInTable(SourceData_PastureBeef.SourceData_PastureBeef_LiveweightNTQLD_Data(),Table_SourceData_PastureBeef_LiveweightNTQD[[#Headers],[State]], 0)</calculatedColumnFormula>
    </tableColumn>
    <tableColumn id="2" xr3:uid="{9E8D363A-6F10-43C7-AD3D-3A9EF900A9D9}" name="Region" dataDxfId="3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3818090-6A76-4B80-8DE9-92A1C3491D1A}" name="Season" dataDxfId="3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3E9E3886-38F3-450C-9817-AA245216ED0A}" name="Bull &lt;1" dataDxfId="3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73B99F44-8C05-4E73-821B-81589A4AF409}" name="Bull &gt;1" dataDxfId="3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C0E25A35-6F39-4D8E-8064-C1A46D2973BC}" name="Cows &lt;1" dataDxfId="3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AFF2A51A-CFB7-43E6-A43D-7E2FA6449289}" name="Cows 1-2" dataDxfId="3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87DA351-9E40-41E5-8C3A-736B147626D0}" name="Cows 2-3" dataDxfId="3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A7EAC58F-72D5-4F17-9779-846BEAF5AB7F}" name="Cows &gt;3" dataDxfId="3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5660AB59-A167-46CC-A96A-1D07B4C01AC0}" name="Steer &lt;1" dataDxfId="3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E9E18773-2A56-4BB8-BC6F-5E72B82357EF}" name="Steer 1-2" dataDxfId="3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43D2E883-F3C5-4A7B-95D9-FDFDF15BC09A}" name="Steer 2-3" dataDxfId="3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2962EDF2-3CBF-4EB7-A139-0F65CB617D79}" name="Steer &gt;3" dataDxfId="33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A1B2947-A062-4171-BE07-6685262F5D36}"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4671D16-F376-4F66-B1AF-82F82930F045}" name="State"/>
    <tableColumn id="2" xr3:uid="{2608566C-F7A8-4027-A430-AD6767A2B69D}" name="Region">
      <calculatedColumnFormula>E22</calculatedColumnFormula>
    </tableColumn>
    <tableColumn id="3" xr3:uid="{E84E7582-3DAC-48B5-9C24-95FEB961547D}" name="Season">
      <calculatedColumnFormula>F22</calculatedColumnFormula>
    </tableColumn>
    <tableColumn id="4" xr3:uid="{F6F14E63-8F0B-4100-A06F-8728CE492BDE}" name="Bulls &lt; 1 year">
      <calculatedColumnFormula>G22</calculatedColumnFormula>
    </tableColumn>
    <tableColumn id="5" xr3:uid="{5C65C544-D494-4238-A49B-956BF200E93C}" name="Bulls &gt; 1 year">
      <calculatedColumnFormula>H22</calculatedColumnFormula>
    </tableColumn>
    <tableColumn id="6" xr3:uid="{F611D33F-4CAE-42B6-85BC-EE09F62A19A3}" name="Cows &lt; 1 year">
      <calculatedColumnFormula>I22</calculatedColumnFormula>
    </tableColumn>
    <tableColumn id="7" xr3:uid="{7B647869-06F1-4468-8DC2-67213E4267B5}" name="Cows 1-2 years">
      <calculatedColumnFormula>J22</calculatedColumnFormula>
    </tableColumn>
    <tableColumn id="8" xr3:uid="{9FACFDF3-D560-4266-90EC-6A580A85AFD7}" name="Cows 2-3 years">
      <calculatedColumnFormula>K22</calculatedColumnFormula>
    </tableColumn>
    <tableColumn id="9" xr3:uid="{1796E5A9-3F84-4322-BE74-75316A907BCC}" name="Cows &gt; 3 years">
      <calculatedColumnFormula>L22</calculatedColumnFormula>
    </tableColumn>
    <tableColumn id="10" xr3:uid="{F4C52A6C-3053-4E53-A60F-64C0390DB6AC}" name="Steers &lt; 1 year">
      <calculatedColumnFormula>M22</calculatedColumnFormula>
    </tableColumn>
    <tableColumn id="11" xr3:uid="{5C7BC34A-6C98-4318-9C33-E778C375691B}" name="Steers 1-2 years">
      <calculatedColumnFormula>N22</calculatedColumnFormula>
    </tableColumn>
    <tableColumn id="12" xr3:uid="{DDA6C998-26EA-4B8F-987D-E47030992C6C}" name="Steers 2-3 years">
      <calculatedColumnFormula>O22</calculatedColumnFormula>
    </tableColumn>
    <tableColumn id="13" xr3:uid="{0675B6C6-302B-434E-B594-47A407BBDCC1}"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EE0CC93-691C-45EA-B3E6-22C3D92F5604}"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BC1A50F1-7175-46BD-B7AB-27DB0C116E4D}"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4DFA211-0A3F-4996-AC07-093F288112C0}"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35CE4CAA-12BD-4236-984C-7DD2AD667217}"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EBC7FB1-0A83-46FA-9734-5DAFAC0CE7A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4504E970-8061-44E7-A6A3-E07EF0B199A6}"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B43C5BE-B145-4DF9-BFB7-8E21228BED00}" name="Table_SourceData_PastureBeef_Region_Victoria" displayName="Table_SourceData_PastureBeef_Region_Victoria" ref="S7:S8" totalsRowShown="0">
  <autoFilter ref="S7:S8" xr:uid="{7D474D93-C1E0-4898-A434-69585070D0B9}">
    <filterColumn colId="0" hiddenButton="1"/>
  </autoFilter>
  <tableColumns count="1">
    <tableColumn id="1" xr3:uid="{DD0E6CAE-475C-46DC-9E29-3F212FF3E565}"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A4EEE76-5B0F-4667-B80C-2B1F202B8105}"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64EFFE4B-7B0E-4C03-B08D-4CC0D2C9BD92}"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746C2E3-1469-4A9E-B743-E0B2DB8A0897}"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9AC3D2-DAE9-4ADC-8279-BF62E8F410A1}"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A9FDBE-CF0E-4E2A-85E8-84C29F2079D4}" name="Table_SourceData_PastureBeef_Region_Tasmania" displayName="Table_SourceData_PastureBeef_Region_Tasmania" ref="S22:S23" totalsRowShown="0">
  <autoFilter ref="S22:S23" xr:uid="{4E5A7E40-F6AE-4323-873A-9AB20571A18A}">
    <filterColumn colId="0" hiddenButton="1"/>
  </autoFilter>
  <tableColumns count="1">
    <tableColumn id="1" xr3:uid="{825121A6-AB99-43BF-90C1-8A873BEC9BDB}"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2DA1575-FBC0-413B-BA99-D10621E941DA}" name="Table_SourceData_PastureBeef_Region_ACT" displayName="Table_SourceData_PastureBeef_Region_ACT" ref="S27:S28" totalsRowShown="0">
  <autoFilter ref="S27:S28" xr:uid="{3655B7FD-A2CC-4B05-9668-16F7A54ED6C1}">
    <filterColumn colId="0" hiddenButton="1"/>
  </autoFilter>
  <tableColumns count="1">
    <tableColumn id="1" xr3:uid="{3AB57DEF-7A20-463E-92F6-BD0A310BE928}"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8C6AFCF-8240-4061-93FF-8E77AF45E3C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5D5CAF0-3E7A-461A-934B-49B00D88000D}" name="State">
      <calculatedColumnFormula array="1">Common_InputFunctions.Utility_DisplayArrayInTable(SourceData_PastureBeef.SourceData_PastureBeef_LiveweightGain_Data(), Table_SourceData_PastureBeef_LiveweightGain[[#Headers],[State]],0)</calculatedColumnFormula>
    </tableColumn>
    <tableColumn id="2" xr3:uid="{0DC92DC7-6E38-4D85-A0A3-C747BEFA8ED6}" name="Region" dataDxfId="3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ED9BDA0B-D466-48AF-A04D-14924CF6C8A0}" name="Season" dataDxfId="3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DA6A8FCD-E262-4B84-951D-E154A25F5A80}" name="Bull &lt;1" dataDxfId="3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8537565-F1F5-43BE-8EDD-7017E47E30CA}" name="Bull &gt;1" dataDxfId="3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E014591B-B48E-46B1-BA6C-60BB4DEE8530}" name="Cow &lt;1" dataDxfId="3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E8724905-DC3D-414B-BF28-7956DE11F6CE}" name="Cow 1-2" dataDxfId="3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DCF66B9-C1E9-477C-9A3B-5EE373750C46}" name="Cow &gt;2" dataDxfId="3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C056E62-9221-4BBE-8FF1-BC42A1465366}" name="Steer &lt;1" dataDxfId="3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37A0390E-E420-4FFC-BB35-AD4955E08F72}" name="Steer &gt;1" dataDxfId="32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343AADE-7DD6-47BC-9D46-ADAFCA2EBB8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78718D7-7A3E-4AD7-B234-2165899E758A}" name="State">
      <calculatedColumnFormula array="1">Common_InputFunctions.Utility_DisplayArrayInTable(SourceData_PastureBeef.SourceData_PastureBeef_LiveweightGainNTQLD_Data(),Table_SourceData_PastureBeef_LiveweightGainNTQLD[[#Headers],[State]],0)</calculatedColumnFormula>
    </tableColumn>
    <tableColumn id="2" xr3:uid="{5BD2A9FE-9AC9-4C1D-9CCD-2B4B0945A533}" name="Region" dataDxfId="3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A0306440-875D-4443-96BE-98C817748303}" name="Season" dataDxfId="3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3F4D779C-0F0D-4A21-B6E1-FDFEC87F894F}" name="Bull &lt;1" dataDxfId="3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FB9F0F9-EE48-4698-B631-BF8F16F04EC6}" name="Bull &gt;1" dataDxfId="3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B34944C-1F90-4DA0-8D47-CBE7B10D06EE}" name="Cow &lt;1" dataDxfId="3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CABE43D-4B65-4298-9A78-A51E1EA4B60C}" name="Cow 1-2" dataDxfId="3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1AFB6E3B-8561-47C6-BCE0-F59D4F3442E5}" name="Cow 2-3" dataDxfId="3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84964A-7840-4E6F-9462-7CD01FAB186C}" name="Cow &gt;3" dataDxfId="3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1BF1833-0DF8-424F-96F1-760E5861DB3D}" name="Steer &lt;1" dataDxfId="3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C3B71DF0-5F17-4FFF-BE32-E22E169E8A52}" name="Steer 1-2" dataDxfId="3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B8D8B68B-B6F3-43ED-8CB9-718ED1E215E0}" name="Steer 2-3" dataDxfId="3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24D2015-CFFF-4EF8-974B-EE5649BE2C68}" name="Steer &gt;3" dataDxfId="3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6DFEE84-AE5D-430A-9CB3-FEF60F28A62A}"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7A4573F-091F-4B08-B998-FCC7FD44FAB2}" name="State"/>
    <tableColumn id="2" xr3:uid="{0DBFD027-4C88-4F1F-9DA4-A352619D81B6}" name="Region">
      <calculatedColumnFormula>E159</calculatedColumnFormula>
    </tableColumn>
    <tableColumn id="3" xr3:uid="{AC707793-9CC5-432B-BA31-CE74B6D0E673}" name="Season">
      <calculatedColumnFormula>F159</calculatedColumnFormula>
    </tableColumn>
    <tableColumn id="4" xr3:uid="{DB4C1FB9-531F-43D8-ADE3-7F5B67332DA4}" name="Bulls &lt; 1 year">
      <calculatedColumnFormula>G159</calculatedColumnFormula>
    </tableColumn>
    <tableColumn id="5" xr3:uid="{066D4938-7B94-4B0B-9FCB-0126A2A9761C}" name="Bulls &gt; 1 year">
      <calculatedColumnFormula>H159</calculatedColumnFormula>
    </tableColumn>
    <tableColumn id="6" xr3:uid="{13D9F306-3899-4428-B338-C471D4FFADD0}" name="Cows &lt; 1 year">
      <calculatedColumnFormula>I159</calculatedColumnFormula>
    </tableColumn>
    <tableColumn id="7" xr3:uid="{0F414D9B-D4D0-4B90-9D6D-E7825956D001}" name="Cows 1-2 years">
      <calculatedColumnFormula>J159</calculatedColumnFormula>
    </tableColumn>
    <tableColumn id="8" xr3:uid="{D5FD1952-560C-43DE-82B6-AF00348A53CD}" name="Cows 2-3 years">
      <calculatedColumnFormula>K159</calculatedColumnFormula>
    </tableColumn>
    <tableColumn id="9" xr3:uid="{923B72F0-29A8-4789-84FD-44797D1026B8}" name="Cows &gt; 3 years">
      <calculatedColumnFormula>L159</calculatedColumnFormula>
    </tableColumn>
    <tableColumn id="10" xr3:uid="{336E3F76-7F05-4065-A9A7-A9A0CF77AA80}" name="Steers &lt; 1 year">
      <calculatedColumnFormula>M159</calculatedColumnFormula>
    </tableColumn>
    <tableColumn id="11" xr3:uid="{CE24806A-582C-4F8B-97A5-7D0FD864C416}" name="Steers 1-2 years">
      <calculatedColumnFormula>N159</calculatedColumnFormula>
    </tableColumn>
    <tableColumn id="12" xr3:uid="{6096677C-7124-465D-96A2-2B62EFCF1E2A}" name="Steers 2-3 years">
      <calculatedColumnFormula>O159</calculatedColumnFormula>
    </tableColumn>
    <tableColumn id="13" xr3:uid="{E73C7252-F87B-4674-8A0D-D3EFD031DD5E}"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2B8B2BD-77B1-46AC-8B19-E53F07843EF1}"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020BF4B-50A5-4E93-8B86-84DEF6959740}"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C9653377-51C1-4F6B-BC7F-7033E1BAED43}" name="Region" dataDxfId="3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DC9A67D7-1944-4229-9DF6-7BEADC75AA0B}" name="Spring" dataDxfId="3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56C67A7-0A24-464B-A5A0-F9E53EC6EAA3}" name="Summer" dataDxfId="3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504B7451-214C-4DF4-B2C5-227C8903D05A}" name="Autumn" dataDxfId="3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8B0C848D-B799-43EA-B2F3-0F58BA5FF3E5}" name="Winter" dataDxfId="3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4299DE8-91ED-4AEE-8150-0F407F6C0865}" name="Table_SourceData_PastureBeef_CrudeProtein" displayName="Table_SourceData_PastureBeef_CrudeProtein" ref="D313:I328" totalsRowShown="0" dataDxfId="30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162B21FE-1B75-4730-ABEB-0EB06D912CDC}" name="State" dataDxfId="3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0CF3D553-983D-4C38-A174-BADEEC629250}" name="Region" dataDxfId="3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2E6768B-5714-4CB2-9A78-7A8FF470D30F}" name="Spring" dataDxfId="3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007AAFE-89AF-4A9E-9549-63FA2D75BF67}" name="Summer" dataDxfId="3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D73A4DA1-F60E-4868-BCBA-FB4E806D5685}" name="Autumn" dataDxfId="3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2457435A-1A15-4F8F-A488-96B71DF0654E}" name="Winter" dataDxfId="3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D8BB68F-FB5E-4271-BA24-8A2704B9544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321E46A-8EE4-4A11-AC16-E7FAD349C9C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EFC0DCE9-B40E-45CB-9FD7-191D723DEAB6}" name="Season" dataDxfId="30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E5064BA0-7E53-4C9A-B83B-1C629699625A}" name="Feed adjustment" dataDxfId="3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9CF29D8D-1075-4B47-8DAB-2B9E2C15C778}" name="Milk intake/production" dataDxfId="3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F9C8D91-8E0A-4421-A61C-0831F52CBA77}"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31C605E-7C91-4F40-A16A-F957D262C6CD}"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114CB377-E835-492D-8DB8-D90272842162}" name="Bulls &lt;1" dataDxfId="2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DD800F9A-3BB2-41E8-BAD6-A08E15C93559}" name="Bulls &gt;1" dataDxfId="2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6591E43-9EAB-4D5A-9458-167E46FF81C1}" name="Cows &lt;1" dataDxfId="2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BBC8A24-D5B2-410A-8962-ED0A42E33970}" name="Cows 1-2" dataDxfId="2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BCF6F502-40D4-4D9D-9910-FDFAC0EEA077}" name="Cows &gt;2" dataDxfId="2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D83111D-22C9-49A1-8522-CC42D49295C6}" name="Steer &lt;1" dataDxfId="2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7FDA91F-B2DD-42FB-AB31-6D721B3131DD}" name="Steer &gt;1" dataDxfId="2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3E7D8A00-FC1E-4D54-9CD3-E268A7E7930B}" name="State abbreviation" dataDxfId="2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6036B90-29C4-41F4-98C1-E624A7793ABE}"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A7C4931-C76C-476C-9BCB-A89B7247E41B}" name="State" dataDxfId="291" dataCellStyle="Content normal">
      <calculatedColumnFormula>D351</calculatedColumnFormula>
    </tableColumn>
    <tableColumn id="2" xr3:uid="{89FD9F31-8C3E-455C-87A5-41DA4010EDF1}" name="Bulls &lt; 1 year" dataDxfId="290" dataCellStyle="Content normal">
      <calculatedColumnFormula>E351</calculatedColumnFormula>
    </tableColumn>
    <tableColumn id="3" xr3:uid="{53796A29-1253-42E0-AEC6-5E4DC165346F}" name="Bulls &gt; 1 year" dataDxfId="289" dataCellStyle="Content normal">
      <calculatedColumnFormula>F351</calculatedColumnFormula>
    </tableColumn>
    <tableColumn id="4" xr3:uid="{41D97401-7AB3-4809-87FC-191EDD7C6B61}" name="Cows &lt; 1 year" dataDxfId="288" dataCellStyle="Content normal">
      <calculatedColumnFormula>G351</calculatedColumnFormula>
    </tableColumn>
    <tableColumn id="5" xr3:uid="{73531182-6643-4A05-9252-F1AD2DF67A81}" name="Cows 1-2 years" dataDxfId="287" dataCellStyle="Content normal">
      <calculatedColumnFormula>H351</calculatedColumnFormula>
    </tableColumn>
    <tableColumn id="6" xr3:uid="{2B596038-E64D-486D-BA6A-197191A680C4}" name="Cows 2-3 years" dataDxfId="286" dataCellStyle="Content normal">
      <calculatedColumnFormula>I351</calculatedColumnFormula>
    </tableColumn>
    <tableColumn id="7" xr3:uid="{59F19DBE-FA12-456A-8FC6-60A50135AEF2}" name="Cows &gt; 3 years" dataDxfId="285" dataCellStyle="Content normal">
      <calculatedColumnFormula>I351</calculatedColumnFormula>
    </tableColumn>
    <tableColumn id="8" xr3:uid="{6B975C11-0046-4684-8331-32EF94E05B35}" name="Steers &lt; 1 year" dataDxfId="284" dataCellStyle="Content normal">
      <calculatedColumnFormula>J351</calculatedColumnFormula>
    </tableColumn>
    <tableColumn id="9" xr3:uid="{FC3D3361-1C5D-45B6-9D48-3A93167F7DC4}" name="Steers 1-2 years" dataDxfId="283" dataCellStyle="Content normal">
      <calculatedColumnFormula>K351</calculatedColumnFormula>
    </tableColumn>
    <tableColumn id="10" xr3:uid="{FF61F5DB-DBC0-4B5F-98D1-EBF4A9AAA7BF}" name="Steers 2-3 years" dataDxfId="282" dataCellStyle="Content normal">
      <calculatedColumnFormula>K351</calculatedColumnFormula>
    </tableColumn>
    <tableColumn id="11" xr3:uid="{FC77C2FE-7AA9-4A0C-8771-989387DE5C61}" name="Steers &gt;3 years" dataDxfId="281" dataCellStyle="Content normal">
      <calculatedColumnFormula>K351</calculatedColumnFormula>
    </tableColumn>
    <tableColumn id="12" xr3:uid="{E2FE33A8-9756-416B-AFA4-018DBBF5B9F4}" name="State abbreviation" dataDxfId="280"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F705FE1-B14B-4FD1-9E6F-DC08E601C7F8}"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BCFD497D-5FF0-4ED7-A249-711545AA67DF}"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C5B75E9-DABC-499D-8223-CCDEA3EE8F39}" name="Region" dataDxfId="27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A4E0436A-9BF6-4C92-B853-35AF31F3BB20}" name="Pasture range and paddock" dataDxfId="2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290A6581-F4B2-4D0B-A676-AD78D2A6EEB0}" name="Uncovered Anaerobic lagoon" dataDxfId="2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81AD6CE-BB19-4E5C-8B24-82E3049CAA6F}" name="Table_SourceData_PastureBeef_MethaneConversionFactor" displayName="Table_SourceData_PastureBeef_MethaneConversionFactor" ref="D400:G415" totalsRowShown="0" dataDxfId="27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71FB49AB-D53C-4D73-ABA0-01F41B323813}" name="State" dataDxfId="2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97EDF7E-5112-4A63-8C50-3E256B7A2C5E}" name="Region" dataDxfId="2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FBAE3140-5C09-43D9-90CA-B2989F76A407}" name="Pasture range and paddock" dataDxfId="2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2DEBD6-0398-41CB-8A6A-E549EBB5CEC4}" name="Uncovered Anaerobic lagoon" dataDxfId="2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05514F7-2FE8-4A1E-9C3E-49017F992FE8}"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0F5295D9-69AF-484C-8FD8-EABA06EA1D4A}"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2BC2886-E8BB-4334-9BA1-361A7307FB94}" name="Season" dataDxfId="27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DEF3F75D-D55A-4A2C-B30E-982E6C7D0B45}" name="Feed adjustment" dataDxfId="2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F2C9E5D4-02D2-4449-A7B4-D79C4DC9463A}" name="Milk intake/production" dataDxfId="2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A90E7C9-A168-4F9F-961E-EE4F47C95B9A}" name="Table_LivestockClasses_Beefcattle" displayName="Table_LivestockClasses_Beefcattle" ref="O18:O28" totalsRowShown="0">
  <autoFilter ref="O18:O28" xr:uid="{96840E84-168C-4D51-8D9B-9C727DE4F3B7}">
    <filterColumn colId="0" hiddenButton="1"/>
  </autoFilter>
  <tableColumns count="1">
    <tableColumn id="1" xr3:uid="{7A6DD68C-5E98-48B8-8565-EF3A2412CE1A}"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B7488CE0-1AD6-47F1-8BFC-2AD3D4104CF6}"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F84C877E-9D97-4AE0-BC32-DBF1E66D47AC}" name="Region"/>
    <tableColumn id="2" xr3:uid="{08768174-FF9A-4FB6-8087-806A2C44CB93}"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E8974B-1E4D-4AFA-B2B9-D25203A9AE72}"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6A59579A-D1F5-4D25-A72D-B08C19B2963D}" name="Category" dataDxfId="268" dataCellStyle="Content normal">
      <calculatedColumnFormula array="1">Common_InputFunctions.Utility_DisplayArrayInTable(Scope3_SourceData.Scope3_Livestock_Data(), Table_SourceData_Scope3_Animals[[#Headers],[Category]], 0, 2)</calculatedColumnFormula>
    </tableColumn>
    <tableColumn id="2" xr3:uid="{A6E7C706-097E-47AF-AC4B-191CAB44E7B2}" name="Product" dataDxfId="267" dataCellStyle="Content normal">
      <calculatedColumnFormula array="1">Common_InputFunctions.Utility_DisplayArrayInTable(Scope3_SourceData.Scope3_Livestock_Data(), Table_SourceData_Scope3_Animals[[#Headers],[Category]], 0, 2)</calculatedColumnFormula>
    </tableColumn>
    <tableColumn id="3" xr3:uid="{8CE73DF3-75F0-45B5-B760-67CB3EED91A9}" name="Region of origin" dataDxfId="266" dataCellStyle="Content normal">
      <calculatedColumnFormula array="1">Common_InputFunctions.Utility_DisplayArrayInTable(Scope3_SourceData.Scope3_Livestock_Data(), Table_SourceData_Scope3_Animals[[#Headers],[Category]], 0, 2)</calculatedColumnFormula>
    </tableColumn>
    <tableColumn id="8" xr3:uid="{30C80FAA-439C-4DDD-9514-D04FFE805EF5}" name="Quantity Unit" dataDxfId="265" dataCellStyle="Content normal">
      <calculatedColumnFormula array="1">Common_InputFunctions.Utility_DisplayArrayInTable(Scope3_SourceData.Scope3_Livestock_Data(), Table_SourceData_Scope3_Animals[[#Headers],[Category]], 0, 2)</calculatedColumnFormula>
    </tableColumn>
    <tableColumn id="9" xr3:uid="{4696AED9-24FF-47B0-BFDA-E0EDE1B2834D}" name="AusLCI Emissions intensity" dataDxfId="264" dataCellStyle="Content normal">
      <calculatedColumnFormula array="1">Common_InputFunctions.Utility_DisplayArrayInTable(Scope3_SourceData.Scope3_Livestock_Data(), Table_SourceData_Scope3_Animals[[#Headers],[Category]], 0, 2)</calculatedColumnFormula>
    </tableColumn>
    <tableColumn id="10" xr3:uid="{CCD3450E-406D-4F0C-81A1-C05A5E740CDE}" name="System boundary" dataDxfId="26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331FD47-8022-4F74-ABFC-EE061DD592C5}"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C4906B7-31C2-40DE-91C1-E7C45ECB0584}" name="Crop type">
      <calculatedColumnFormula array="1">Common_InputFunctions.Utility_DisplayArrayInTable(Agresidue_SourceData.CropAttributes_Data(),Table_SourceData_CropAttributes[[#Headers],[Crop type]], -1)</calculatedColumnFormula>
    </tableColumn>
    <tableColumn id="2" xr3:uid="{61BD8A62-4662-4067-B4A0-B11CB732D525}" name="Residue: Crop ratio">
      <calculatedColumnFormula array="1">Common_InputFunctions.Utility_DisplayArrayInTable(Agresidue_SourceData.CropAttributes_Data(),Table_SourceData_CropAttributes[[#Headers],[Crop type]], -1)</calculatedColumnFormula>
    </tableColumn>
    <tableColumn id="3" xr3:uid="{11DA8C9F-8946-4908-8631-DA9CC4ABDF60}" name="Below-ground: above-ground residue ratio">
      <calculatedColumnFormula array="1">Common_InputFunctions.Utility_DisplayArrayInTable(Agresidue_SourceData.CropAttributes_Data(),Table_SourceData_CropAttributes[[#Headers],[Crop type]], -1)</calculatedColumnFormula>
    </tableColumn>
    <tableColumn id="4" xr3:uid="{D3AAA560-AFA5-4F32-A04E-4BEBB0DBC6BA}" name="Dry matter content">
      <calculatedColumnFormula array="1">Common_InputFunctions.Utility_DisplayArrayInTable(Agresidue_SourceData.CropAttributes_Data(),Table_SourceData_CropAttributes[[#Headers],[Crop type]], -1)</calculatedColumnFormula>
    </tableColumn>
    <tableColumn id="5" xr3:uid="{DC96E390-6C0F-49F8-8095-504FD7D27685}" name="Carbon fraction in dry matter">
      <calculatedColumnFormula array="1">Common_InputFunctions.Utility_DisplayArrayInTable(Agresidue_SourceData.CropAttributes_Data(),Table_SourceData_CropAttributes[[#Headers],[Crop type]], -1)</calculatedColumnFormula>
    </tableColumn>
    <tableColumn id="6" xr3:uid="{E1F4AC8E-F466-4377-8A31-F32A0B9D696D}" name="N content above-ground">
      <calculatedColumnFormula array="1">Common_InputFunctions.Utility_DisplayArrayInTable(Agresidue_SourceData.CropAttributes_Data(),Table_SourceData_CropAttributes[[#Headers],[Crop type]], -1)</calculatedColumnFormula>
    </tableColumn>
    <tableColumn id="7" xr3:uid="{FDB179B4-011C-4117-A2F1-ED2909404041}" name="N content below-ground">
      <calculatedColumnFormula array="1">Common_InputFunctions.Utility_DisplayArrayInTable(Agresidue_SourceData.CropAttributes_Data(),Table_SourceData_CropAttributes[[#Headers],[Crop type]], -1)</calculatedColumnFormula>
    </tableColumn>
    <tableColumn id="8" xr3:uid="{50F0E25F-EC2F-4469-B731-259F576860E2}"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ADCB5766-A7F1-4EB6-956B-26894A423D8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CD45CC7-E3A8-4F2A-9860-48CD5351AE3C}" name="Table76" displayName="Table76" ref="D73:F89" totalsRowShown="0">
  <autoFilter ref="D73:F89" xr:uid="{7CD0B032-9881-4EF1-81E3-483C7C16D9D0}">
    <filterColumn colId="0" hiddenButton="1"/>
    <filterColumn colId="1" hiddenButton="1"/>
    <filterColumn colId="2" hiddenButton="1"/>
  </autoFilter>
  <tableColumns count="3">
    <tableColumn id="1" xr3:uid="{AB420409-E671-41F7-9699-B728CA62BD73}" name="Crop type c">
      <calculatedColumnFormula array="1">Common_InputFunctions.Utility_DisplayArrayInTable(Agresidue_SourceData.CropFractionRemoved_Data(), Table76[[#Headers],[Crop type c]], 0)</calculatedColumnFormula>
    </tableColumn>
    <tableColumn id="2" xr3:uid="{9F0BFFDC-93D0-490D-B1B9-A510562EA9EB}" name="State" dataDxfId="262">
      <calculatedColumnFormula array="1">Common_InputFunctions.Utility_DisplayArrayInTable(Agresidue_SourceData.CropFractionRemoved_Data(), Table76[[#Headers],[Crop type c]], 0)</calculatedColumnFormula>
    </tableColumn>
    <tableColumn id="3" xr3:uid="{A5AFFD82-D5C0-4498-9E01-DF6EF5312505}" name="Fraction removed" dataDxfId="26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50439B9-BE0E-4404-A038-657618B1FC66}" name="Table77" displayName="Table77" ref="D92:F235" totalsRowShown="0">
  <autoFilter ref="D92:F235" xr:uid="{1FA7CC86-1C1E-41FA-9AA1-AAD48AA2EEF0}">
    <filterColumn colId="0" hiddenButton="1"/>
    <filterColumn colId="1" hiddenButton="1"/>
    <filterColumn colId="2" hiddenButton="1"/>
  </autoFilter>
  <tableColumns count="3">
    <tableColumn id="1" xr3:uid="{21732708-B98B-48DB-9E0C-28C47AA1CC09}" name="Crop type c">
      <calculatedColumnFormula array="1">Common_InputFunctions.Utility_DisplayArrayInTable(Agresidue_SourceData.CropFractionRemoved_CustomisedData(), Table77[[#Headers],[Crop type c]], 0)</calculatedColumnFormula>
    </tableColumn>
    <tableColumn id="2" xr3:uid="{B47010E1-F3C7-4DC1-8A11-AD13228BC6B1}" name="State" dataDxfId="260">
      <calculatedColumnFormula array="1">Common_InputFunctions.Utility_DisplayArrayInTable(Agresidue_SourceData.CropFractionRemoved_CustomisedData(), Table77[[#Headers],[Crop type c]], 0)</calculatedColumnFormula>
    </tableColumn>
    <tableColumn id="3" xr3:uid="{14CEDDF1-83CB-42EA-8E3A-19098B60AA05}" name="Fraction removed" dataDxfId="25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9B3DEFF-47F3-4C98-AF87-CC5252143A26}" name="Table_SourceData_N2OEFOrganicFert" displayName="Table_SourceData_N2OEFOrganicFert" ref="D43:E45" totalsRowShown="0" dataDxfId="258" dataCellStyle="Content bold">
  <autoFilter ref="D43:E45" xr:uid="{2270AB6D-D03A-4D71-95C0-00BA6BB02732}">
    <filterColumn colId="0" hiddenButton="1"/>
    <filterColumn colId="1" hiddenButton="1"/>
  </autoFilter>
  <tableColumns count="2">
    <tableColumn id="1" xr3:uid="{4276CB7D-8EBB-4E19-A9F6-08ED9405CAB4}" name="Climate zone type i" dataDxfId="257" dataCellStyle="Content bold">
      <calculatedColumnFormula array="1">Common_InputFunctions.Utility_DisplayArrayInTable(Agresidue_SourceData.N2OEFOrganicFertiliser_Data(), Table_SourceData_N2OEFOrganicFert[[#Headers],[Climate zone type i]], 0)</calculatedColumnFormula>
    </tableColumn>
    <tableColumn id="2" xr3:uid="{D1DF86D7-C74E-4BFD-8821-7584C2AB3187}" name="EF i N2O" dataDxfId="25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DFF6563-12F1-42DE-9427-E2F45BA554F1}" name="Table_SourceData_PastureAttributes" displayName="Table_SourceData_PastureAttributes" ref="D51:I56" totalsRowShown="0" dataDxfId="25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3D55004-0787-4AEC-8907-2E8AFB691C80}" name="Pasture type" dataDxfId="254" dataCellStyle="Content normal">
      <calculatedColumnFormula array="1">Common_InputFunctions.Utility_DisplayArrayInTable(Agresidue_SourceData.PastureAttributes_Data(), Table_SourceData_PastureAttributes[[#Headers],[Pasture type]], 0)</calculatedColumnFormula>
    </tableColumn>
    <tableColumn id="2" xr3:uid="{B0F2D7B8-73EA-48F9-BF98-2DDEE92A5A4C}" name="Average Yield (t DM ha) Yp" dataDxfId="253" dataCellStyle="Content normal">
      <calculatedColumnFormula array="1">Common_InputFunctions.Utility_DisplayArrayInTable(Agresidue_SourceData.PastureAttributes_Data(), Table_SourceData_PastureAttributes[[#Headers],[Pasture type]], 0)</calculatedColumnFormula>
    </tableColumn>
    <tableColumn id="3" xr3:uid="{78ED3788-6B50-496A-B011-CD11F83F507F}" name="Below-ground: above-ground residue ratio RBGp" dataDxfId="252" dataCellStyle="Content normal">
      <calculatedColumnFormula array="1">Common_InputFunctions.Utility_DisplayArrayInTable(Agresidue_SourceData.PastureAttributes_Data(), Table_SourceData_PastureAttributes[[#Headers],[Pasture type]], 0)</calculatedColumnFormula>
    </tableColumn>
    <tableColumn id="4" xr3:uid="{07A46ABD-2A47-443A-BBBE-66C100BE7614}" name="N content Above-ground NCAGp" dataDxfId="251" dataCellStyle="Content normal">
      <calculatedColumnFormula array="1">Common_InputFunctions.Utility_DisplayArrayInTable(Agresidue_SourceData.PastureAttributes_Data(), Table_SourceData_PastureAttributes[[#Headers],[Pasture type]], 0)</calculatedColumnFormula>
    </tableColumn>
    <tableColumn id="5" xr3:uid="{261BA5C4-05CA-4AC1-B42A-8FFB07171EF9}" name="N content Below-ground NCBGp" dataDxfId="250" dataCellStyle="Content normal">
      <calculatedColumnFormula array="1">Common_InputFunctions.Utility_DisplayArrayInTable(Agresidue_SourceData.PastureAttributes_Data(), Table_SourceData_PastureAttributes[[#Headers],[Pasture type]], 0)</calculatedColumnFormula>
    </tableColumn>
    <tableColumn id="6" xr3:uid="{8D17B5CC-8323-46C6-8671-AD9861930C95}" name="Fraction of pasture yield that is removed FFODp" dataDxfId="24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296A09CC-298A-4F68-B4E3-697BAF5441B5}"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EEEB2654-6660-410C-BDE8-1D343D5276A1}" name="Gas species">
      <calculatedColumnFormula array="1">Common_InputFunctions.Utility_DisplayArrayInTable(AgResidues_SourceData.BurningOfAgriculturalResiduesEFs_Data(), Table_SourceData_BurningResidueEFs[[#Headers],[Gas species]], 0)</calculatedColumnFormula>
    </tableColumn>
    <tableColumn id="2" xr3:uid="{31AA6738-04BE-4390-9A69-FAC0A3ED4857}" name="Emission factor EFg (Gg element in species/ Gg element in fuel burnt)" dataDxfId="248" dataCellStyle="Content normal">
      <calculatedColumnFormula array="1">Common_InputFunctions.Utility_DisplayArrayInTable(AgResidues_SourceData.BurningOfAgriculturalResiduesEFs_Data(), Table_SourceData_BurningResidueEFs[[#Headers],[Gas species]], 0)</calculatedColumnFormula>
    </tableColumn>
    <tableColumn id="3" xr3:uid="{ABB6BECD-D31F-48F2-8CB2-FAEF78236A2E}" name="Elemental to molecular mass conversion factor (Cg)" dataDxfId="24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754098A1-0DCA-4765-ABD4-49F77067A86C}" name="Table_SourceData_CropPurposeAndYields" displayName="Table_SourceData_CropPurposeAndYields" ref="D7:K10" totalsRowShown="0" headerRowDxfId="24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BA398FA-425A-430E-89A9-09AE669332A8}" name="Purpose">
      <calculatedColumnFormula array="1">Common_InputFunctions.Utility_DisplayArrayInTable(Agresidue_SourceData.CropPurposeAndYield_Data(), Table_SourceData_CropPurposeAndYields[[#Headers],[Purpose]], 0)</calculatedColumnFormula>
    </tableColumn>
    <tableColumn id="2" xr3:uid="{A2A15966-6EEC-442D-BDE7-5AED301C0823}" name="Per hectare unit">
      <calculatedColumnFormula array="1">Common_InputFunctions.Utility_DisplayArrayInTable(Agresidue_SourceData.CropPurposeAndYield_Data(), Table_SourceData_CropPurposeAndYields[[#Headers],[Purpose]], 0)</calculatedColumnFormula>
    </tableColumn>
    <tableColumn id="3" xr3:uid="{B33398D5-D3CA-4270-8E2E-4CB4A17AA079}" name="harvest term">
      <calculatedColumnFormula array="1">Common_InputFunctions.Utility_DisplayArrayInTable(Agresidue_SourceData.CropPurposeAndYield_Data(), Table_SourceData_CropPurposeAndYields[[#Headers],[Purpose]], 0)</calculatedColumnFormula>
    </tableColumn>
    <tableColumn id="4" xr3:uid="{9A43061D-C6C4-48E7-A859-51C0E94943C7}" name="harvest endpoint">
      <calculatedColumnFormula array="1">Common_InputFunctions.Utility_DisplayArrayInTable(Agresidue_SourceData.CropPurposeAndYield_Data(), Table_SourceData_CropPurposeAndYields[[#Headers],[Purpose]], 0)</calculatedColumnFormula>
    </tableColumn>
    <tableColumn id="5" xr3:uid="{DB30B472-CCC7-4C07-9534-CA28BF6FA4C0}" name="Harvest uit">
      <calculatedColumnFormula array="1">Common_InputFunctions.Utility_DisplayArrayInTable(Agresidue_SourceData.CropPurposeAndYield_Data(), Table_SourceData_CropPurposeAndYields[[#Headers],[Purpose]], 0)</calculatedColumnFormula>
    </tableColumn>
    <tableColumn id="6" xr3:uid="{7BBD9740-B7EF-4368-B0A4-7013DE1CF2D0}" name="Yield note">
      <calculatedColumnFormula array="1">Common_InputFunctions.Utility_DisplayArrayInTable(Agresidue_SourceData.CropPurposeAndYield_Data(), Table_SourceData_CropPurposeAndYields[[#Headers],[Purpose]], 0)</calculatedColumnFormula>
    </tableColumn>
    <tableColumn id="8" xr3:uid="{8CDD594E-1001-4517-B520-74953E1E5586}" name="Residue crop ratio note">
      <calculatedColumnFormula array="1">Common_InputFunctions.Utility_DisplayArrayInTable(Agresidue_SourceData.CropPurposeAndYield_Data(), Table_SourceData_CropPurposeAndYields[[#Headers],[Purpose]], 0)</calculatedColumnFormula>
    </tableColumn>
    <tableColumn id="9" xr3:uid="{726167D7-0BCB-4FCA-9A12-D818CF7D003F}"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2AE1458-D6F1-4A91-87F8-6B6CE4063761}"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72670326-CBEB-4277-9D67-D2EB1CD4583D}"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0C7BE2-DD40-4A5F-AEC0-9D36AC03F00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DD0EA293-03FE-466A-A59C-53F4C5ACBB32}" name="Symbol">
      <calculatedColumnFormula array="1">Common_InputFunctions.Utility_DisplayArrayInTable(CommonLivestock_SourceData.SourceData_Livestock_Common_SymbolsMMS_Data(), Table_Data_MMSSymbols[[#Headers],[Symbol]], 0)</calculatedColumnFormula>
    </tableColumn>
    <tableColumn id="2" xr3:uid="{3804D534-BA8D-491D-BD6F-4CB3BD195119}" name="Manure management system">
      <calculatedColumnFormula array="1">Common_InputFunctions.Utility_DisplayArrayInTable(CommonLivestock_SourceData.SourceData_Livestock_Common_SymbolsMMS_Data(), Table_Data_MMSSymbols[[#Headers],[Symbol]], 0)</calculatedColumnFormula>
    </tableColumn>
    <tableColumn id="3" xr3:uid="{0C7F88E0-B425-47B7-9C3C-E3443029FDF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A37709A-8D27-43E2-976E-08BFDF3B1CED}" name="Table_SourceData_LivestockProduct_Beefcattle" displayName="Table_SourceData_LivestockProduct_Beefcattle" ref="D31:E39" totalsRowShown="0">
  <autoFilter ref="D31:E39" xr:uid="{A0696731-6602-481C-9AD7-5F0AC3A93169}"/>
  <tableColumns count="2">
    <tableColumn id="1" xr3:uid="{8FB39AE7-40DB-40B7-8D8F-077EA7F8CED2}" name="Product">
      <calculatedColumnFormula array="1">Common_InputFunctions.Utility_DisplayArrayInTable(CommonLivestock_SourceData.SourceData_Livestock_Product_BeefCattle_Data(),Table_SourceData_LivestockProduct_Beefcattle[[#Headers],[Product]],0)</calculatedColumnFormula>
    </tableColumn>
    <tableColumn id="2" xr3:uid="{205EE561-89D3-4851-89BC-2A835D6671DB}" name="Source region" dataDxfId="24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7F9D8CB-F08F-4F72-9100-7C52FDD83030}" name="Table_SourceData_LivestockProduct_Sheep" displayName="Table_SourceData_LivestockProduct_Sheep" ref="D43:E50" totalsRowShown="0" dataDxfId="244" dataCellStyle="Content normal">
  <autoFilter ref="D43:E50" xr:uid="{F711E95C-01C8-48A7-BB52-9F827483965C}"/>
  <tableColumns count="2">
    <tableColumn id="1" xr3:uid="{A1EF8B93-E426-4E3B-B264-B98D0B306052}" name="Product" dataDxfId="24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65A86A74-1466-41C0-9349-84A6FFA4C361}" name="Source region" dataDxfId="24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70AEEF2C-11F6-462F-9AE3-D97F44128A81}" name="Table_SourceData_LivestockProduct_Chickens" displayName="Table_SourceData_LivestockProduct_Chickens" ref="D54:E55" totalsRowShown="0" dataDxfId="241" dataCellStyle="Content normal">
  <autoFilter ref="D54:E55" xr:uid="{2A75A840-CA11-4C7B-8899-C3A821D14E27}"/>
  <tableColumns count="2">
    <tableColumn id="1" xr3:uid="{ADA1A750-8FB5-48E6-8FEC-A1EA92AEF211}" name="Product" dataDxfId="24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6817B75A-869E-48DD-B751-2EFB5390735D}" name="Source region" dataDxfId="2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41F00A72-1E1E-47E6-ABFB-3674BED3908C}" name="Table_SourceData_LivestockProduct_Dairycattle" displayName="Table_SourceData_LivestockProduct_Dairycattle" ref="D59:E60" totalsRowShown="0" dataDxfId="238" dataCellStyle="Content normal">
  <autoFilter ref="D59:E60" xr:uid="{2D888E1E-7753-4DC0-B298-BEAC22F6BD88}"/>
  <tableColumns count="2">
    <tableColumn id="1" xr3:uid="{1B9E3D43-9D27-4611-B811-1735A6766B1C}" name="Product" dataDxfId="2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D58A19D1-076F-4285-92F1-673819A3447D}" name="Source region" dataDxfId="2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0360B4A-FF90-4CA6-927D-FE3D0F0038AC}" name="Table_SourceData_LivestockProduct_Pigs" displayName="Table_SourceData_LivestockProduct_Pigs" ref="D64:E65" totalsRowShown="0" dataDxfId="235" dataCellStyle="Content normal">
  <autoFilter ref="D64:E65" xr:uid="{4DB6C08B-3AF7-4AD1-AB80-46559AA7950B}"/>
  <tableColumns count="2">
    <tableColumn id="1" xr3:uid="{419A9D2E-F3E0-4D65-924E-1582BFB0984B}" name="Product" dataDxfId="23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AFAA374-BBD9-4CE7-95D1-A52AAD6C2D65}" name="Source region" dataDxfId="23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A56B662-0B20-4063-BECD-065C384F139B}" name="Table_SourceData_ElectricityEFs" displayName="Table_SourceData_ElectricityEFs" ref="D9:F19" totalsRowShown="0" headerRowDxfId="232">
  <autoFilter ref="D9:F19" xr:uid="{3144A982-7A4D-4CF2-8790-1A30DAE3E0A4}">
    <filterColumn colId="0" hiddenButton="1"/>
    <filterColumn colId="1" hiddenButton="1"/>
    <filterColumn colId="2" hiddenButton="1"/>
  </autoFilter>
  <tableColumns count="3">
    <tableColumn id="1" xr3:uid="{32F0DA97-944C-47CB-901A-D8C83E7BC1F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04628C90-77F4-4EBF-932D-3E94F251B19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A587D44-7D50-48DC-9401-76E5D3BF1FA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1F6E4281-2EE9-4D6F-A8FB-355B2B1E8F9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75533694-6493-4EEB-BCE5-DD32EF6A7594}"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E703DCC9-C3FA-483B-830F-57C30BB913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3B74F921-A109-4B70-BC73-676CEAB2546A}"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818C3F6-E8B7-4523-B405-6EAE7AC9F63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560659B-5168-41F8-81FE-31B066BD606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299F5045-38CC-4B4F-B5A2-E3375BF380A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83F6882-2255-4628-AB06-CB79E975177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5BC2D02-FF42-407D-AF48-6707535DD55F}" name="FNinorganic f">
      <calculatedColumnFormula array="1">Common_InputFunctions.Utility_DisplayArrayInTable(Fertiliser_SourceData.Fertiliser_ChemicalCompoundElements_Data(),Table_Fertiliser_ChemicalCompounds[[#Headers],[Fertiliser type f]], 0)</calculatedColumnFormula>
    </tableColumn>
    <tableColumn id="3" xr3:uid="{E1302884-445D-4242-A471-3E89EC6BF1BD}" name="FU f">
      <calculatedColumnFormula array="1">Common_InputFunctions.Utility_DisplayArrayInTable(Fertiliser_SourceData.Fertiliser_ChemicalCompoundElements_Data(),Table_Fertiliser_ChemicalCompounds[[#Headers],[Fertiliser type f]], 0)</calculatedColumnFormula>
    </tableColumn>
    <tableColumn id="4" xr3:uid="{6FD24D0C-0F75-40AD-9700-B9BE701E8BAE}" name="Basis">
      <calculatedColumnFormula array="1">Common_InputFunctions.Utility_DisplayArrayInTable(Fertiliser_SourceData.Fertiliser_ChemicalCompoundElements_Data(),Table_Fertiliser_ChemicalCompounds[[#Headers],[Fertiliser type f]], 0)</calculatedColumnFormula>
    </tableColumn>
    <tableColumn id="5" xr3:uid="{827C346C-677E-4CF2-A46F-8F4395869C08}"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6CFFC47-24CE-472F-96A4-67B0A75AFC1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21299BC-9E8D-48BF-8D51-96E887E526E9}"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7DE84FCC-838E-4F30-839F-5C7709729C41}" name="Include or Exclude" dataDxfId="231" totalsRowDxfId="230">
      <calculatedColumnFormula array="1">Common_InputFunctions.Utility_DisplayArrayInTable(Fertiliser_SourceData.Fertiliser_Products_Data1(),FertiliserProducts[[#Headers],[Include or Exclude]], -1)</calculatedColumnFormula>
    </tableColumn>
    <tableColumn id="2" xr3:uid="{F254BE65-E322-43DE-83DD-EAC54F98DEDA}" name="Notes" dataDxfId="229" totalsRowDxfId="228">
      <calculatedColumnFormula array="1">Common_InputFunctions.Utility_DisplayArrayInTable(Fertiliser_SourceData.Fertiliser_Products_Data1(),FertiliserProducts[[#Headers],[Include or Exclude]], 0)</calculatedColumnFormula>
    </tableColumn>
    <tableColumn id="3" xr3:uid="{2D9EF0E7-7157-4FE9-B7AF-E1F362266EE1}" name="Company" dataDxfId="227" totalsRowDxfId="226">
      <calculatedColumnFormula array="1">Common_InputFunctions.Utility_DisplayArrayInTable(Fertiliser_SourceData.Fertiliser_Products_Data1(),FertiliserProducts[[#Headers],[Include or Exclude]], 0)</calculatedColumnFormula>
    </tableColumn>
    <tableColumn id="4" xr3:uid="{0C57C55C-2330-48F1-A4EA-CE2E7AB38DC9}" name="Product name" dataDxfId="225" totalsRowDxfId="224">
      <calculatedColumnFormula array="1">Common_InputFunctions.Utility_DisplayArrayInTable(Fertiliser_SourceData.Fertiliser_Products_Data1(),FertiliserProducts[[#Headers],[Include or Exclude]], 0)</calculatedColumnFormula>
    </tableColumn>
    <tableColumn id="5" xr3:uid="{178AEBB7-5E3D-45C4-8BEA-1D72B4342A05}" name="Unit" dataDxfId="223" totalsRowDxfId="222">
      <calculatedColumnFormula array="1">Common_InputFunctions.Utility_DisplayArrayInTable(Fertiliser_SourceData.Fertiliser_Products_Data1(),FertiliserProducts[[#Headers],[Include or Exclude]], 0,4)</calculatedColumnFormula>
    </tableColumn>
    <tableColumn id="6" xr3:uid="{850D8B57-0375-4741-9AC6-C69F08445687}" name="Density / gravity" dataDxfId="221" totalsRowDxfId="220">
      <calculatedColumnFormula array="1">Common_InputFunctions.Utility_DisplayArrayInTable(Fertiliser_SourceData.Fertiliser_Products_Data1(),FertiliserProducts[[#Headers],[Include or Exclude]], 0,4)</calculatedColumnFormula>
    </tableColumn>
    <tableColumn id="7" xr3:uid="{03FDA5F2-E030-4EF1-8E5E-2A4725451408}" name="Urea source" dataDxfId="219" totalsRowDxfId="218">
      <calculatedColumnFormula array="1">Common_InputFunctions.Utility_DisplayArrayInTable(Fertiliser_SourceData.Fertiliser_Products_Data1(),FertiliserProducts[[#Headers],[Include or Exclude]], 0,4)</calculatedColumnFormula>
    </tableColumn>
    <tableColumn id="8" xr3:uid="{EBEC972B-14D4-4D57-BE0D-93DC87AED31A}" name="Ammonia source" dataDxfId="217" totalsRowDxfId="216">
      <calculatedColumnFormula array="1">Common_InputFunctions.Utility_DisplayArrayInTable(Fertiliser_SourceData.Fertiliser_Products_Data1(),FertiliserProducts[[#Headers],[Include or Exclude]], 0,4)</calculatedColumnFormula>
    </tableColumn>
    <tableColumn id="9" xr3:uid="{6746ACC4-6FD1-4C09-8965-02E1E432C30F}" name="Ingredient 1" dataDxfId="215" totalsRowDxfId="214">
      <calculatedColumnFormula array="1">Common_InputFunctions.Utility_DisplayArrayInTable(Fertiliser_SourceData.Fertiliser_Products_Data1(),FertiliserProducts[[#Headers],[Include or Exclude]], 0,4)</calculatedColumnFormula>
    </tableColumn>
    <tableColumn id="10" xr3:uid="{52931945-042C-4E59-AE52-F792D1727E50}" name="Ingredient 1 percent" dataDxfId="213" totalsRowDxfId="212">
      <calculatedColumnFormula array="1">Common_InputFunctions.Utility_DisplayArrayInTable(Fertiliser_SourceData.Fertiliser_Products_Data1(),FertiliserProducts[[#Headers],[Include or Exclude]], 0,4)</calculatedColumnFormula>
    </tableColumn>
    <tableColumn id="11" xr3:uid="{50351D69-5160-4725-B757-1AF622B4ACC5}" name="Ingredient 2" dataDxfId="211" totalsRowDxfId="210">
      <calculatedColumnFormula array="1">Common_InputFunctions.Utility_DisplayArrayInTable(Fertiliser_SourceData.Fertiliser_Products_Data1(),FertiliserProducts[[#Headers],[Include or Exclude]], 0,4)</calculatedColumnFormula>
    </tableColumn>
    <tableColumn id="12" xr3:uid="{0D318FB1-A243-4570-985E-6F56C3F446E1}" name="Ingredient 2 percent" dataDxfId="209" totalsRowDxfId="208">
      <calculatedColumnFormula array="1">Common_InputFunctions.Utility_DisplayArrayInTable(Fertiliser_SourceData.Fertiliser_Products_Data1(),FertiliserProducts[[#Headers],[Include or Exclude]], 0,4)</calculatedColumnFormula>
    </tableColumn>
    <tableColumn id="13" xr3:uid="{F263C89F-C069-4CDE-9796-8ABDBC8A92C7}" name="Ingredient 3" dataDxfId="207" totalsRowDxfId="206">
      <calculatedColumnFormula array="1">Common_InputFunctions.Utility_DisplayArrayInTable(Fertiliser_SourceData.Fertiliser_Products_Data1(),FertiliserProducts[[#Headers],[Include or Exclude]], 0,4)</calculatedColumnFormula>
    </tableColumn>
    <tableColumn id="14" xr3:uid="{3DB9132E-72AC-48A7-84C7-51F6A91A3CB8}" name="Ingredient 3 percent" dataDxfId="205" totalsRowDxfId="204">
      <calculatedColumnFormula array="1">Common_InputFunctions.Utility_DisplayArrayInTable(Fertiliser_SourceData.Fertiliser_Products_Data1(),FertiliserProducts[[#Headers],[Include or Exclude]], 0,4)</calculatedColumnFormula>
    </tableColumn>
    <tableColumn id="15" xr3:uid="{3B32F0F0-1EEA-45D2-B2B4-2353DB850569}" name="Ingredient 4" dataDxfId="203" totalsRowDxfId="202">
      <calculatedColumnFormula array="1">Common_InputFunctions.Utility_DisplayArrayInTable(Fertiliser_SourceData.Fertiliser_Products_Data1(),FertiliserProducts[[#Headers],[Include or Exclude]], 0,4)</calculatedColumnFormula>
    </tableColumn>
    <tableColumn id="16" xr3:uid="{39B57AE7-1A8A-450E-ABF0-249413FF2F90}" name="Ingredient 4 percent" dataDxfId="201" totalsRowDxfId="200">
      <calculatedColumnFormula array="1">Common_InputFunctions.Utility_DisplayArrayInTable(Fertiliser_SourceData.Fertiliser_Products_Data1(),FertiliserProducts[[#Headers],[Include or Exclude]], 0,4)</calculatedColumnFormula>
    </tableColumn>
    <tableColumn id="17" xr3:uid="{BDA7A2CD-E626-41FD-A5EB-6FE30456A5D0}" name="Ingredient 5" dataDxfId="199" totalsRowDxfId="198">
      <calculatedColumnFormula array="1">Common_InputFunctions.Utility_DisplayArrayInTable(Fertiliser_SourceData.Fertiliser_Products_Data1(),FertiliserProducts[[#Headers],[Include or Exclude]], 0,4)</calculatedColumnFormula>
    </tableColumn>
    <tableColumn id="18" xr3:uid="{9B98BA74-6F36-4BEB-9179-0749CAAE096F}" name="Ingredient 5 percent" dataDxfId="197" totalsRowDxfId="196">
      <calculatedColumnFormula array="1">Common_InputFunctions.Utility_DisplayArrayInTable(Fertiliser_SourceData.Fertiliser_Products_Data1(),FertiliserProducts[[#Headers],[Include or Exclude]], 0,4)</calculatedColumnFormula>
    </tableColumn>
    <tableColumn id="19" xr3:uid="{CB395270-28A1-4A2D-BE43-4195E01BED42}" name="Ingredient 6" dataDxfId="195" totalsRowDxfId="194">
      <calculatedColumnFormula array="1">Common_InputFunctions.Utility_DisplayArrayInTable(Fertiliser_SourceData.Fertiliser_Products_Data1(),FertiliserProducts[[#Headers],[Include or Exclude]], 0,4)</calculatedColumnFormula>
    </tableColumn>
    <tableColumn id="37" xr3:uid="{5EE02AB6-38DD-4945-AE03-C7E8BAEED4CE}" name="Ingredient 6 percent" dataDxfId="193" totalsRowDxfId="192">
      <calculatedColumnFormula array="1">Common_InputFunctions.Utility_DisplayArrayInTable(Fertiliser_SourceData.Fertiliser_Products_Data1(),FertiliserProducts[[#Headers],[Include or Exclude]], 0,4)</calculatedColumnFormula>
    </tableColumn>
    <tableColumn id="20" xr3:uid="{F216883D-D7BE-47DB-ADDD-48FF166F3A38}" name="Ingredient 7" dataDxfId="191">
      <calculatedColumnFormula array="1">Common_InputFunctions.Utility_DisplayArrayInTable(Fertiliser_SourceData.Fertiliser_Products_Data1(),FertiliserProducts[[#Headers],[Include or Exclude]], 0,4)</calculatedColumnFormula>
    </tableColumn>
    <tableColumn id="24" xr3:uid="{E58F1EB7-8F11-4BC7-95DA-317ED22A5DBC}" name="Ingredient 7 percent" dataDxfId="190">
      <calculatedColumnFormula array="1">Common_InputFunctions.Utility_DisplayArrayInTable(Fertiliser_SourceData.Fertiliser_Products_Data1(),FertiliserProducts[[#Headers],[Include or Exclude]], 0,4)</calculatedColumnFormula>
    </tableColumn>
    <tableColumn id="23" xr3:uid="{6D625A06-0EC8-49AD-8589-23B5CD9C4BDF}" name="Ingredient 8" dataDxfId="189">
      <calculatedColumnFormula array="1">Common_InputFunctions.Utility_DisplayArrayInTable(Fertiliser_SourceData.Fertiliser_Products_Data1(),FertiliserProducts[[#Headers],[Include or Exclude]], 0,4)</calculatedColumnFormula>
    </tableColumn>
    <tableColumn id="26" xr3:uid="{708647A5-11DF-4856-A1FB-32B4C52BF38D}" name="Ingredient 8 percent" dataDxfId="188">
      <calculatedColumnFormula array="1">Common_InputFunctions.Utility_DisplayArrayInTable(Fertiliser_SourceData.Fertiliser_Products_Data1(),FertiliserProducts[[#Headers],[Include or Exclude]], 0,4)</calculatedColumnFormula>
    </tableColumn>
    <tableColumn id="25" xr3:uid="{4F9BE5BE-1F9D-48D4-BFC8-DFB7F6B80473}" name="Ingredient 9" dataDxfId="187">
      <calculatedColumnFormula array="1">Common_InputFunctions.Utility_DisplayArrayInTable(Fertiliser_SourceData.Fertiliser_Products_Data1(),FertiliserProducts[[#Headers],[Include or Exclude]], 0,4)</calculatedColumnFormula>
    </tableColumn>
    <tableColumn id="30" xr3:uid="{BF018B96-7A0E-479C-A30F-C1A3173F9E0D}" name="Ingredient 9 percent" dataDxfId="186">
      <calculatedColumnFormula array="1">Common_InputFunctions.Utility_DisplayArrayInTable(Fertiliser_SourceData.Fertiliser_Products_Data1(),FertiliserProducts[[#Headers],[Include or Exclude]], 0,4)</calculatedColumnFormula>
    </tableColumn>
    <tableColumn id="29" xr3:uid="{E8D4DBBD-C8FD-4026-B0E9-E7DF4959B987}" name="Imngredient 10" dataDxfId="185">
      <calculatedColumnFormula array="1">Common_InputFunctions.Utility_DisplayArrayInTable(Fertiliser_SourceData.Fertiliser_Products_Data1(),FertiliserProducts[[#Headers],[Include or Exclude]], 0,4)</calculatedColumnFormula>
    </tableColumn>
    <tableColumn id="28" xr3:uid="{BE60D86B-0A87-48CF-BF9E-C47AB382C62F}" name="Ingredient 10 percent" dataDxfId="1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B1B1816-1ACD-4A13-B01F-61EA60E4655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62B29D4-625C-41AF-84DB-11230E1D5F2A}" name="Fertiliser type f">
      <calculatedColumnFormula array="1">Common_InputFunctions.Utility_DisplayArrayInTable(Fertiliser_SourceData.Fertiliser_FracGASF_Data(), Table_SourceData_Fertiliser_FracGASF[[#Headers],[Fertiliser type f]], 0)</calculatedColumnFormula>
    </tableColumn>
    <tableColumn id="2" xr3:uid="{1D843E18-9B80-4570-B0C9-8ED63BF0EBE3}" name="FracGASF f" dataDxfId="1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5918664-5238-4CE3-A7B3-6462DFAB610A}" name="Table_SourceData_Fertiliser_CropProdSystems" displayName="Table_SourceData_Fertiliser_CropProdSystems" ref="D41:D43" totalsRowShown="0">
  <autoFilter ref="D41:D43" xr:uid="{24F3A11E-40F5-4BB9-BFF4-A71FA2ADA0EF}">
    <filterColumn colId="0" hiddenButton="1"/>
  </autoFilter>
  <tableColumns count="1">
    <tableColumn id="1" xr3:uid="{B78DF4DD-300B-472C-9FDF-B1A7440CCF42}"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40F35CB-8A24-40A3-B8AF-4A9DC8F6C779}"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793A2A7D-1B52-405E-A553-5A4601A0A102}"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2AB037D-3DD7-411F-9560-B8C63CF11D59}" name="Table_SourceData_Fertiliser_CropTypes" displayName="Table_SourceData_Fertiliser_CropTypes" ref="F41:F45" totalsRowShown="0">
  <autoFilter ref="F41:F45" xr:uid="{CB5044B5-FA3C-4AA2-B1AB-72F7E61D072F}">
    <filterColumn colId="0" hiddenButton="1"/>
  </autoFilter>
  <tableColumns count="1">
    <tableColumn id="1" xr3:uid="{2F9F3650-B575-48C4-81C8-35E979C83D70}"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F07D27B-623F-4021-9091-004BC1C16C43}" name="Table_SourceData_OrganicFertiliserTypes" displayName="Table_SourceData_OrganicFertiliserTypes" ref="J41:J46" totalsRowShown="0">
  <autoFilter ref="J41:J46" xr:uid="{B44627B1-537E-4ABC-92C3-57282CEE5B40}">
    <filterColumn colId="0" hiddenButton="1"/>
  </autoFilter>
  <tableColumns count="1">
    <tableColumn id="1" xr3:uid="{2DE27432-698C-49A0-86BD-19FE9C47E7F1}"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25F6357-FE78-4CAB-BBF4-BC5977E1CA1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9EDD8C-EF38-4923-8FB8-6454E55266B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AAA04C90-4975-4624-932A-B26F9EF6231C}" name="P" dataDxfId="1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C9A5521-A2A0-4C8C-A0CB-632B4C525B35}" name="EF" dataDxfId="1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C6D3C034-40B0-43AB-A02D-D0F7BBF1B5D9}" name="Table2" displayName="Table2" ref="K19:L28" totalsRowShown="0" dataDxfId="180" dataCellStyle="Content normal">
  <autoFilter ref="K19:L28" xr:uid="{27B93029-EB1F-4C4A-A946-CD673A8A6C46}">
    <filterColumn colId="0" hiddenButton="1"/>
    <filterColumn colId="1" hiddenButton="1"/>
  </autoFilter>
  <tableColumns count="2">
    <tableColumn id="1" xr3:uid="{FAD5D4B0-1D83-4551-A911-21D9598ED2C5}" name="Fertiliser type f" dataDxfId="179" dataCellStyle="Content normal">
      <calculatedColumnFormula array="1">Common_InputFunctions.Utility_DisplayArrayInTable(Fertiliser_SourceData.Fertiliser_FractionNCommonFertilisers_Data(), Table2[[#Headers],[Fertiliser type f]], 0)</calculatedColumnFormula>
    </tableColumn>
    <tableColumn id="2" xr3:uid="{BED3B00B-442E-403F-8B36-FC7C569438A2}" name="FNinorganic f" dataDxfId="1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EF2E70A-F446-48AC-BABB-0029635D2282}" name="Table28" displayName="Table28" ref="Q19:R28" totalsRowShown="0" dataDxfId="177" dataCellStyle="Content normal">
  <autoFilter ref="Q19:R28" xr:uid="{791CEA59-796C-47AB-86BC-41E8F699030C}">
    <filterColumn colId="0" hiddenButton="1"/>
    <filterColumn colId="1" hiddenButton="1"/>
  </autoFilter>
  <tableColumns count="2">
    <tableColumn id="1" xr3:uid="{C078657A-C37A-49F7-BF7D-B4FBE49621AA}" name="Fertiliser type f" dataDxfId="176" dataCellStyle="Content normal">
      <calculatedColumnFormula array="1">Common_InputFunctions.Utility_DisplayArrayInTable(Fertiliser_SourceData.Fertiliser_FractionUreaCommonFertilisers_Data(), Table28[[#Headers],[Fertiliser type f]], 0)</calculatedColumnFormula>
    </tableColumn>
    <tableColumn id="2" xr3:uid="{BE8F896F-1076-4895-B0AF-60A769AE9328}" name="FNinorganic f" dataDxfId="1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CF34EFF5-DCBF-4A71-B4C6-6F06AABC4BD4}"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F0DC7E8B-EA56-41BF-A2AC-31A42620C9DB}"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2CA63D59-6511-4EE7-9115-5B81E711D4E3}" name="Table_Fuel_EFs_StationaryLiquid" displayName="Table_Fuel_EFs_StationaryLiquid" ref="D53:K77" totalsRowShown="0" headerRowDxfId="174" dataDxfId="1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B22D5-5C86-41D8-ABBA-C57B5C950D43}" name="Fuel combusted" dataDxfId="172">
      <calculatedColumnFormula array="1">Common_InputFunctions.Utility_DisplayArrayInTable(Fuel_SourceData.Fuel_Scope1Scope3EmissionFactorsStationaryLiquid_Data(), Table_Fuel_EFs_StationaryLiquid[[#Headers],[Fuel combusted]],0)</calculatedColumnFormula>
    </tableColumn>
    <tableColumn id="2" xr3:uid="{17AD333A-CA2B-48C1-AC18-A73A1D08FBEE}" name="Energy Content Factor (GJ per unit of fuel)" dataDxfId="171">
      <calculatedColumnFormula array="1">Common_InputFunctions.Utility_DisplayArrayInTable(Fuel_SourceData.Fuel_Scope1Scope3EmissionFactorsStationaryLiquid_Data(), Table_Fuel_EFs_StationaryLiquid[[#Headers],[Fuel combusted]],0)</calculatedColumnFormula>
    </tableColumn>
    <tableColumn id="3" xr3:uid="{7AFC29FE-3B25-424C-8907-2630F0155911}" name="Fuel unit" dataDxfId="170">
      <calculatedColumnFormula array="1">Common_InputFunctions.Utility_DisplayArrayInTable(Fuel_SourceData.Fuel_Scope1Scope3EmissionFactorsStationaryLiquid_Data(), Table_Fuel_EFs_StationaryLiquid[[#Headers],[Fuel combusted]],0)</calculatedColumnFormula>
    </tableColumn>
    <tableColumn id="4" xr3:uid="{53A1EEBE-FF4A-4242-9CF0-C55B39BEF2AC}" name="Scope 1 Emission Factor (kg CO2 - e / GJ) CO2" dataDxfId="169">
      <calculatedColumnFormula array="1">Common_InputFunctions.Utility_DisplayArrayInTable(Fuel_SourceData.Fuel_Scope1Scope3EmissionFactorsStationaryLiquid_Data(), Table_Fuel_EFs_StationaryLiquid[[#Headers],[Fuel combusted]],0)</calculatedColumnFormula>
    </tableColumn>
    <tableColumn id="5" xr3:uid="{1253C1C0-3CDD-453E-9E0A-39B58D9F897C}" name="Scope 1 Emission Factor (kg CO2 - e / GJ) CH4" dataDxfId="168">
      <calculatedColumnFormula array="1">Common_InputFunctions.Utility_DisplayArrayInTable(Fuel_SourceData.Fuel_Scope1Scope3EmissionFactorsStationaryLiquid_Data(), Table_Fuel_EFs_StationaryLiquid[[#Headers],[Fuel combusted]],0)</calculatedColumnFormula>
    </tableColumn>
    <tableColumn id="6" xr3:uid="{24E83D7F-B7BF-48A8-8616-FCBFC0310ECB}" name="Scope 1 Emission Factor (kg CO2 - e / GJ) N2O" dataDxfId="167">
      <calculatedColumnFormula array="1">Common_InputFunctions.Utility_DisplayArrayInTable(Fuel_SourceData.Fuel_Scope1Scope3EmissionFactorsStationaryLiquid_Data(), Table_Fuel_EFs_StationaryLiquid[[#Headers],[Fuel combusted]],0)</calculatedColumnFormula>
    </tableColumn>
    <tableColumn id="7" xr3:uid="{CC2AA80C-30FF-4982-A49D-1FE8FA5902F3}" name="Scope 1 Emission Factor (kg CO2 - e / GJ) Combined gases" dataDxfId="166">
      <calculatedColumnFormula array="1">Common_InputFunctions.Utility_DisplayArrayInTable(Fuel_SourceData.Fuel_Scope1Scope3EmissionFactorsStationaryLiquid_Data(), Table_Fuel_EFs_StationaryLiquid[[#Headers],[Fuel combusted]],0)</calculatedColumnFormula>
    </tableColumn>
    <tableColumn id="8" xr3:uid="{5A4F9B8E-0D05-4C21-94E7-142CCB7CC6CA}" name="Scope 3 Emission Factor (kg CO2 - e / GJ)" dataDxfId="1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33E527C-F4B9-4424-BA44-A4D2D337A589}" name="Table_Fuel_EFs_Transport" displayName="Table_Fuel_EFs_Transport" ref="D9:L34" totalsRowShown="0" headerRowDxfId="164" dataDxfId="1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AB3B4DD-AC59-4F66-89D2-F3421C2B6CC0}" name="Transport type" dataDxfId="162">
      <calculatedColumnFormula array="1">Common_InputFunctions.Utility_DisplayArrayInTable(Fuel_SourceData.Fuel_Scope1Scope3EmissionFactorsTransport_Data(), Table_Fuel_EFs_Transport[[#Headers],[Transport type]], 0)</calculatedColumnFormula>
    </tableColumn>
    <tableColumn id="2" xr3:uid="{1701AE69-7AB7-40E1-A0D0-CBC5C286E8D5}" name="Fuel combusted" dataDxfId="161">
      <calculatedColumnFormula array="1">Common_InputFunctions.Utility_DisplayArrayInTable(Fuel_SourceData.Fuel_Scope1Scope3EmissionFactorsTransport_Data(), Table_Fuel_EFs_Transport[[#Headers],[Transport type]], 0)</calculatedColumnFormula>
    </tableColumn>
    <tableColumn id="3" xr3:uid="{5BB87193-F02D-478D-BF4A-4F60797CB3AB}" name="Energy Content Factor (GJ per unit of fuel)" dataDxfId="160">
      <calculatedColumnFormula array="1">Common_InputFunctions.Utility_DisplayArrayInTable(Fuel_SourceData.Fuel_Scope1Scope3EmissionFactorsTransport_Data(), Table_Fuel_EFs_Transport[[#Headers],[Transport type]], 0)</calculatedColumnFormula>
    </tableColumn>
    <tableColumn id="4" xr3:uid="{D4A8C627-CDAF-41E2-AB40-A30D0BDE5395}" name="Fuel unit" dataDxfId="159">
      <calculatedColumnFormula array="1">Common_InputFunctions.Utility_DisplayArrayInTable(Fuel_SourceData.Fuel_Scope1Scope3EmissionFactorsTransport_Data(), Table_Fuel_EFs_Transport[[#Headers],[Transport type]], 0)</calculatedColumnFormula>
    </tableColumn>
    <tableColumn id="8" xr3:uid="{170BE8BA-EA10-4D11-8036-1134C04F3C6F}" name="Scope 1 Emission Factor (kg CO2 - e / GJ) CO2" dataDxfId="158">
      <calculatedColumnFormula array="1">Common_InputFunctions.Utility_DisplayArrayInTable(Fuel_SourceData.Fuel_Scope1Scope3EmissionFactorsTransport_Data(), Table_Fuel_EFs_Transport[[#Headers],[Transport type]], 0)</calculatedColumnFormula>
    </tableColumn>
    <tableColumn id="9" xr3:uid="{37B0DD7C-AB5D-47CC-8A72-A90E8CE40632}" name="Scope 1 Emission Factor (kg CO2 - e / GJ) CH4" dataDxfId="157">
      <calculatedColumnFormula array="1">Common_InputFunctions.Utility_DisplayArrayInTable(Fuel_SourceData.Fuel_Scope1Scope3EmissionFactorsTransport_Data(), Table_Fuel_EFs_Transport[[#Headers],[Transport type]], 0)</calculatedColumnFormula>
    </tableColumn>
    <tableColumn id="10" xr3:uid="{85D19A77-DF11-49A8-B64A-48BBAB033FFB}" name="Scope 1 Emission Factor (kg CO2 - e / GJ) N2O" dataDxfId="156">
      <calculatedColumnFormula array="1">Common_InputFunctions.Utility_DisplayArrayInTable(Fuel_SourceData.Fuel_Scope1Scope3EmissionFactorsTransport_Data(), Table_Fuel_EFs_Transport[[#Headers],[Transport type]], 0)</calculatedColumnFormula>
    </tableColumn>
    <tableColumn id="11" xr3:uid="{12C1646C-2BDC-4052-9968-0FFA3E73821D}" name="Scope 1 Emission Factor (kg CO2 - e / GJ) Combined gases" dataDxfId="155">
      <calculatedColumnFormula array="1">Common_InputFunctions.Utility_DisplayArrayInTable(Fuel_SourceData.Fuel_Scope1Scope3EmissionFactorsTransport_Data(), Table_Fuel_EFs_Transport[[#Headers],[Transport type]], 0)</calculatedColumnFormula>
    </tableColumn>
    <tableColumn id="12" xr3:uid="{F5A9C52B-A9FF-43C3-A40E-B8423C8DDA90}" name="Scope 3 Emission Factor (kg CO2 - e / GJ)" dataDxfId="1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4428B90-B795-4FC9-8EB7-BD34C8ED1C4D}" name="Table_FuelTypesPerUse" displayName="Table_FuelTypesPerUse" ref="D130:I139" totalsRowShown="0" headerRowDxfId="153" dataDxfId="1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7FB441B4-4187-4C2B-B974-38B8C62264B7}" name="Generators" dataDxfId="151"/>
    <tableColumn id="2" xr3:uid="{EBCF2CC5-DF46-494C-A768-A378D15E3814}" name="Power standalone machinery or heating" dataDxfId="150"/>
    <tableColumn id="3" xr3:uid="{462A7813-262C-477B-8548-3A02745F96E0}" name="Aviation" dataDxfId="149"/>
    <tableColumn id="5" xr3:uid="{3C4AC061-CE11-480E-AB09-B6998CB14578}" name="Cars and light commercial vehicles" dataDxfId="148"/>
    <tableColumn id="7" xr3:uid="{65324121-7FB9-4294-AA9E-9B0723B3481A}" name="Off-road Agriculture and forestry equipment" dataDxfId="147" dataCellStyle="Content bold"/>
    <tableColumn id="8" xr3:uid="{2ECFC6D0-C4E6-435C-AC78-B086C78ECE32}" name="Vessels" dataDxfId="146"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9521578F-87A4-4E97-B4E5-272E4828EBC6}" name="Table_Fuel_EFs_StationaryGaseous" displayName="Table_Fuel_EFs_StationaryGaseous" ref="D86:J104" totalsRowShown="0" headerRowDxfId="145" dataDxfId="1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50FB60E-1BFB-4A2E-9B32-A11200EC5F4A}" name="Fuel combusted" dataDxfId="143">
      <calculatedColumnFormula array="1">Common_InputFunctions.Utility_DisplayArrayInTable(Fuel_SourceData.Fuel_Scope1EmissionFactorsStationaryGaseous_Data(), Table_Fuel_EFs_StationaryGaseous[[#Headers],[Fuel combusted]],0)</calculatedColumnFormula>
    </tableColumn>
    <tableColumn id="2" xr3:uid="{05CD68CD-4FED-438B-91BB-246F4F2467E2}" name="Energy Content Factor (GJ per unit of fuel)" dataDxfId="142">
      <calculatedColumnFormula array="1">Common_InputFunctions.Utility_DisplayArrayInTable(Fuel_SourceData.Fuel_Scope1EmissionFactorsStationaryGaseous_Data(), Table_Fuel_EFs_StationaryGaseous[[#Headers],[Fuel combusted]],0)</calculatedColumnFormula>
    </tableColumn>
    <tableColumn id="3" xr3:uid="{E080B71F-C6C7-401D-98EF-E43AD1B38246}" name="Fuel unit" dataDxfId="141">
      <calculatedColumnFormula array="1">Common_InputFunctions.Utility_DisplayArrayInTable(Fuel_SourceData.Fuel_Scope1EmissionFactorsStationaryGaseous_Data(), Table_Fuel_EFs_StationaryGaseous[[#Headers],[Fuel combusted]],0)</calculatedColumnFormula>
    </tableColumn>
    <tableColumn id="4" xr3:uid="{71E97C48-4FDD-424E-91B0-ED276BD420D5}" name="Scope 1 Emission Factor (kg CO2 - e / GJ) CO2" dataDxfId="140">
      <calculatedColumnFormula array="1">Common_InputFunctions.Utility_DisplayArrayInTable(Fuel_SourceData.Fuel_Scope1EmissionFactorsStationaryGaseous_Data(), Table_Fuel_EFs_StationaryGaseous[[#Headers],[Fuel combusted]],0)</calculatedColumnFormula>
    </tableColumn>
    <tableColumn id="5" xr3:uid="{18F6E94C-0744-4269-B4C8-138914AA6656}" name="Scope 1 Emission Factor (kg CO2 - e / GJ) CH4" dataDxfId="139">
      <calculatedColumnFormula array="1">Common_InputFunctions.Utility_DisplayArrayInTable(Fuel_SourceData.Fuel_Scope1EmissionFactorsStationaryGaseous_Data(), Table_Fuel_EFs_StationaryGaseous[[#Headers],[Fuel combusted]],0)</calculatedColumnFormula>
    </tableColumn>
    <tableColumn id="6" xr3:uid="{AE9CAABA-9481-42EC-B821-8680470CC62D}" name="Scope 1 Emission Factor (kg CO2 - e / GJ) N2O" dataDxfId="138">
      <calculatedColumnFormula array="1">Common_InputFunctions.Utility_DisplayArrayInTable(Fuel_SourceData.Fuel_Scope1EmissionFactorsStationaryGaseous_Data(), Table_Fuel_EFs_StationaryGaseous[[#Headers],[Fuel combusted]],0)</calculatedColumnFormula>
    </tableColumn>
    <tableColumn id="7" xr3:uid="{B3EE304C-A366-4E75-A30D-7883B2140938}" name="Scope 1 Emission Factor (kg CO2 - e / GJ) Combined gases" dataDxfId="1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3BCF091-2F08-4206-8EDB-AD60AED9843D}" name="Table_Fuel_EFs_StationaryGaseous34" displayName="Table_Fuel_EFs_StationaryGaseous34" ref="D112:F120" headerRowDxfId="136" totalsRowDxfId="135">
  <autoFilter ref="D112:F120" xr:uid="{7D6CE29D-2354-4FAC-9965-9A66FFA42416}">
    <filterColumn colId="0" hiddenButton="1"/>
    <filterColumn colId="1" hiddenButton="1"/>
    <filterColumn colId="2" hiddenButton="1"/>
  </autoFilter>
  <tableColumns count="3">
    <tableColumn id="1" xr3:uid="{71865D14-75C1-4E1E-9793-1DC09A4A49F4}" name="State or territory" totalsRowDxfId="134">
      <calculatedColumnFormula array="1">Common_InputFunctions.Utility_DisplayArrayInTable(Fuel_SourceData.Fuel_Scope3EmissionFactorsStationaryGaseous_Data(), Table_Fuel_EFs_StationaryGaseous34[[#Headers],[State or territory]],0)</calculatedColumnFormula>
    </tableColumn>
    <tableColumn id="2" xr3:uid="{329E5473-83D8-4A79-994C-63A5189A528E}" name="Metro" totalsRowDxfId="133">
      <calculatedColumnFormula array="1">Common_InputFunctions.Utility_DisplayArrayInTable(Fuel_SourceData.Fuel_Scope3EmissionFactorsStationaryGaseous_Data(), Table_Fuel_EFs_StationaryGaseous34[[#Headers],[State or territory]],0)</calculatedColumnFormula>
    </tableColumn>
    <tableColumn id="3" xr3:uid="{15A6E545-D499-4B9E-91F3-AC398FD649D8}" name="Non-metro" totalsRowDxfId="1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4D7573F0-BD99-4A8D-9EEF-D887333D7B1E}"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ED6D4B9-156B-4A98-A9FB-A650CEAB6D29}" name="Fuel type"/>
    <tableColumn id="2" xr3:uid="{52E541CA-D0DC-4BCC-A327-E6161F2385DB}" name="Unit"/>
    <tableColumn id="3" xr3:uid="{1BF1F4AE-9614-4530-94C0-D1C524E582D9}" name="Input Unit" dataDxfId="131"/>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BCD4967-8730-4226-A507-B4EC5C9E4E0B}"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19830A-EA7F-4419-AF6B-25CCD8C79CAE}"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5EE22538-B9E4-4C1D-9C1E-778704B518DB}" name="Fuel type q" dataDxfId="1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C15521D4-F670-41BC-838F-8F9099657A51}" name="ECTrans,q (GJ/kL)" dataDxfId="1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44DB7938-C389-40DB-A7BD-8CE3010745CE}" name="Scope 1 CO2 EFTran,1,tqg (kg CO2-e/GJ)" dataDxfId="1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96EA3B97-9722-4EF7-B142-39C78D55F5C4}" name="Scope 1 CH4 EFTran,1,tgg (kg CO2-e/GJ)" dataDxfId="1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EA948255-F488-4E95-ABE9-9846B3DADF93}" name="Scope 1 N2O EFTran,1,tgg (kg CO2-e/GJ)" dataDxfId="1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3F37FC0-BA77-4E83-92D5-A95731E762D0}" name="Scope 3 EFTrans,3,q (kg CO2-e/GJ)" dataDxfId="1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1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1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1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0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0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0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0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0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8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2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3.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4.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7.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1"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5" t="str">
        <f>HYPERLINK("#'Input - Enterprise'!A1", "Enterprise")</f>
        <v>Enterprise</v>
      </c>
      <c r="C8" s="8"/>
      <c r="D8" s="1" t="s">
        <v>13</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Site'!A1", "Site")</f>
        <v>Site</v>
      </c>
      <c r="C9" s="8"/>
      <c r="D9" s="1" t="s">
        <v>15</v>
      </c>
      <c r="E9" s="18" cm="1">
        <f t="array" aca="1" ref="E9" ca="1">VEERG_4_2_1_3__1_DirectNitrousOxideEmissionsOnPasture_Result_Method1</f>
        <v>0.19011252663030423</v>
      </c>
      <c r="F9" s="18" cm="1">
        <f t="array" aca="1" ref="F9" ca="1">VEERG_4_2_1_3__1_DirectNitrousOxideEmissionsOnPasture_Result_Method2</f>
        <v>0.18424525527410571</v>
      </c>
      <c r="G9" s="15" t="s">
        <v>14</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Pasture Beef'!A1", "Pasture Beef")</f>
        <v>Pasture Beef</v>
      </c>
      <c r="C10" s="8"/>
      <c r="D10" s="1" t="s">
        <v>16</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14</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 (Enteric)'!A1", "Pasture Beef (Enteric)")</f>
        <v>Pasture Beef (Enteric)</v>
      </c>
      <c r="C11" s="8"/>
      <c r="D11" s="1" t="s">
        <v>17</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14</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5.5785714285714293E-3</v>
      </c>
      <c r="F14" s="18">
        <f>E14</f>
        <v>5.5785714285714293E-3</v>
      </c>
      <c r="G14" s="15" t="s">
        <v>14</v>
      </c>
      <c r="H14" s="18" cm="1">
        <f t="array" ref="H14">Common_Equations.Common_ConvertN2OToCO2e(E14,_xlfn.XLOOKUP("N2O", Table_GWPData[Gas],Table_GWPData[CO2-e factor]))</f>
        <v>1.4783214285714288</v>
      </c>
      <c r="I14" s="18" cm="1">
        <f t="array" ref="I14">Common_Equations.Common_ConvertN2OToCO2e(F14,_xlfn.XLOOKUP("N2O", Table_GWPData[Gas],Table_GWPData[CO2-e factor]))</f>
        <v>1.4783214285714288</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5.8320428571428569E-7</v>
      </c>
      <c r="F18" s="18" cm="1">
        <f t="array" ref="F18">VEERG_6_2_1_1__1__NitrousOxideEmissionsFromPastureResidues_Result_Method2</f>
        <v>5.8320428571428569E-7</v>
      </c>
      <c r="G18" s="15" t="s">
        <v>14</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f ca="1">SUM(H7:H27)</f>
        <v>2163.8869728956465</v>
      </c>
      <c r="I28" s="19">
        <f ca="1">SUM(I7:I27)</f>
        <v>2162.324809519278</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f ca="1">IF(ISBLANK($D38), "", IF(ISNUMBER(SEARCH("reporting", $D38)), Result_Enterprise_Method1, "Enter value"))</f>
        <v>2163.8869728956465</v>
      </c>
      <c r="F38" s="86">
        <f ca="1">IF(ISBLANK($D38), "", IF(ISNUMBER(SEARCH("reporting", $D38)), Result_Enterprise_Method2, "Enter value"))</f>
        <v>2162.324809519278</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f ca="1">SUM(E37:E41)</f>
        <v>2163.8869728956465</v>
      </c>
      <c r="F42" s="19">
        <f ca="1">SUM(F37:F41)</f>
        <v>2162.324809519278</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f ca="1">E42-E53</f>
        <v>2162.7869728956466</v>
      </c>
      <c r="F59" s="87">
        <f ca="1">F42-E53</f>
        <v>2161.2248095192781</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f>'Input - Enterprise'!E22</f>
        <v>5</v>
      </c>
      <c r="G62" s="18">
        <f ca="1">F62/(F62+F63)</f>
        <v>6.0391865213221472E-6</v>
      </c>
      <c r="H62" s="18">
        <f ca="1">($E$42/F62)*G62</f>
        <v>2.6136234080751941E-3</v>
      </c>
      <c r="I62" s="18">
        <f ca="1">($F$42/F62)*G62</f>
        <v>2.6117365688738607E-3</v>
      </c>
      <c r="J62" s="15" t="s">
        <v>135</v>
      </c>
      <c r="K62" s="8"/>
    </row>
    <row r="63" spans="3:11" ht="20.100000000000001" customHeight="1" x14ac:dyDescent="0.25">
      <c r="C63" s="8"/>
      <c r="D63" s="1" t="s">
        <v>134</v>
      </c>
      <c r="E63" s="1" t="s">
        <v>141</v>
      </c>
      <c r="F63" s="18">
        <f ca="1">'Input - Enterprise'!E25*'Input - Enterprise'!E26</f>
        <v>827921.07619367912</v>
      </c>
      <c r="G63" s="18">
        <f ca="1">F63/(F62+F63)</f>
        <v>0.99999396081347869</v>
      </c>
      <c r="H63" s="18">
        <f ca="1">($E$42/F63)*G63</f>
        <v>2.6136234080751945E-3</v>
      </c>
      <c r="I63" s="18">
        <f ca="1">($F$42/F63)*G63</f>
        <v>2.6117365688738607E-3</v>
      </c>
      <c r="J63" s="15" t="s">
        <v>136</v>
      </c>
      <c r="K63" s="8"/>
    </row>
    <row r="64" spans="3:11" ht="20.100000000000001" customHeight="1" x14ac:dyDescent="0.25">
      <c r="C64" s="8"/>
      <c r="D64" s="1" t="s">
        <v>142</v>
      </c>
      <c r="E64" s="1" t="s">
        <v>144</v>
      </c>
      <c r="F64" s="18">
        <f ca="1">'Input - Enterprise'!E25*'Input - Enterprise'!E27</f>
        <v>91.01179696172197</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154.76</v>
      </c>
      <c r="G66" s="18" t="s">
        <v>143</v>
      </c>
      <c r="H66" s="18">
        <f ca="1">E59/F66</f>
        <v>13.97510321074985</v>
      </c>
      <c r="I66" s="18" t="s">
        <v>143</v>
      </c>
      <c r="J66" s="15" t="s">
        <v>156</v>
      </c>
      <c r="K66" s="8"/>
    </row>
    <row r="67" spans="3:11" ht="20.100000000000001" customHeight="1" x14ac:dyDescent="0.25">
      <c r="C67" s="8"/>
      <c r="D67" s="1" t="s">
        <v>154</v>
      </c>
      <c r="E67" s="1" t="s">
        <v>143</v>
      </c>
      <c r="F67" s="18">
        <f>'Input - Enterprise'!E24</f>
        <v>154.86799999999999</v>
      </c>
      <c r="G67" s="18" t="s">
        <v>143</v>
      </c>
      <c r="H67" s="18" t="s">
        <v>143</v>
      </c>
      <c r="I67" s="18">
        <f ca="1">F59/F67</f>
        <v>13.955270356169629</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opLeftCell="A16"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f>SUM(Table_Input_LivestockSales[Total liveweight sold])*10^-3</f>
        <v>5</v>
      </c>
      <c r="G22" s="26" t="s">
        <v>30</v>
      </c>
    </row>
    <row r="23" spans="1:7" x14ac:dyDescent="0.25">
      <c r="A23" s="5" t="str">
        <f>HYPERLINK("#'4.2.1.7-8 Soil leach runoff'!A1", "4.2.1.7-8 Soil leach &amp; runoff")</f>
        <v>4.2.1.7-8 Soil leach &amp; runoff</v>
      </c>
      <c r="D23" s="1" t="s">
        <v>25</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30</v>
      </c>
    </row>
    <row r="24" spans="1:7" x14ac:dyDescent="0.25">
      <c r="A24" s="5" t="str">
        <f>HYPERLINK("#'5.1.1.1-2 Inorganic fert N2O'!A1", "5.1.1.1-2 Inorganic fert N2O")</f>
        <v>5.1.1.1-2 Inorganic fert N2O</v>
      </c>
      <c r="D24" s="1" t="s">
        <v>26</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30</v>
      </c>
    </row>
    <row r="25" spans="1:7" x14ac:dyDescent="0.25">
      <c r="A25" s="5" t="str">
        <f>HYPERLINK("#'5.1.1.3-4 Inorganic fert CO2'!A1", "5.1.1.3-4 Inorganic fert CO2")</f>
        <v>5.1.1.3-4 Inorganic fert CO2</v>
      </c>
      <c r="D25" s="1" t="s">
        <v>177</v>
      </c>
      <c r="E25" s="90">
        <f ca="1">SUM(Enterprise_PastureBeef_InputFunctions.multiplyCorrespondingCells('Input - Pasture Beef'!X_Table_PastureBeef_Head_Method1, 'Input - Pasture Beef'!X_Table_PastureBeef_Duration_Method1, '4.2.1.1-2 Methane'!M1_Table_VS_j_k_l))*10^-3</f>
        <v>910.11796961721961</v>
      </c>
      <c r="G25" s="26" t="s">
        <v>30</v>
      </c>
    </row>
    <row r="26" spans="1:7" x14ac:dyDescent="0.25">
      <c r="A26" s="5" t="str">
        <f>HYPERLINK("#'5.2.1.1-2 Organic Fert N2O'!A1", "5.2.1.1-2 Organic fert N2O")</f>
        <v>5.2.1.1-2 Organic fert N2O</v>
      </c>
      <c r="D26" s="1" t="s">
        <v>178</v>
      </c>
      <c r="E26" s="90">
        <f ca="1">SUM(Enterprise_PastureBeef_InputFunctions.multiplyCorrespondingCells('Input - Pasture Beef'!X_Table_PastureBeef_Head_Method2, 'Input - Pasture Beef'!X_Table_PastureBeef_Duration_Method2, M2_Table_VS_j_k_l))*10^-3</f>
        <v>909.68545159248845</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BB81-0D9C-450F-B602-78A06FCAE6A9}">
  <dimension ref="A1:AA350"/>
  <sheetViews>
    <sheetView showGridLines="0" topLeftCell="A163"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4: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4: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4: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5">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Z205" s="91"/>
    </row>
    <row r="206" spans="4:27" ht="20.100000000000001" customHeight="1" x14ac:dyDescent="0.25">
      <c r="D206" s="30" t="s">
        <v>241</v>
      </c>
      <c r="E206" s="30" t="s">
        <v>243</v>
      </c>
      <c r="F206" s="30" t="s">
        <v>253</v>
      </c>
      <c r="G206" s="30" t="s">
        <v>254</v>
      </c>
      <c r="H206" s="30" t="s">
        <v>255</v>
      </c>
      <c r="I206" s="30" t="s">
        <v>256</v>
      </c>
      <c r="Z206" s="91"/>
      <c r="AA206" s="91"/>
    </row>
    <row r="207" spans="4:27" ht="20.100000000000001" customHeight="1" x14ac:dyDescent="0.25">
      <c r="D207" s="44"/>
      <c r="E207" s="23" t="s">
        <v>191</v>
      </c>
      <c r="F207" s="104">
        <v>45566</v>
      </c>
      <c r="G207" s="30">
        <v>10</v>
      </c>
      <c r="H207" s="30">
        <v>500</v>
      </c>
      <c r="I207" s="25">
        <f t="shared" ref="I207:I216" si="2">G207*H207</f>
        <v>5000</v>
      </c>
      <c r="Z207" s="91"/>
      <c r="AA207" s="91"/>
    </row>
    <row r="208" spans="4:27" ht="20.100000000000001" customHeight="1" x14ac:dyDescent="0.25">
      <c r="D208" s="44"/>
      <c r="E208" s="23"/>
      <c r="F208" s="104"/>
      <c r="G208" s="30"/>
      <c r="H208" s="30"/>
      <c r="I208" s="25">
        <f t="shared" si="2"/>
        <v>0</v>
      </c>
      <c r="Z208" s="91"/>
      <c r="AA208" s="91"/>
    </row>
    <row r="209" spans="4:27" ht="20.100000000000001" customHeight="1" x14ac:dyDescent="0.25">
      <c r="D209" s="44"/>
      <c r="E209" s="23"/>
      <c r="F209" s="104"/>
      <c r="G209" s="30"/>
      <c r="H209" s="30"/>
      <c r="I209" s="25">
        <f t="shared" si="2"/>
        <v>0</v>
      </c>
      <c r="Z209" s="91"/>
      <c r="AA209" s="91"/>
    </row>
    <row r="210" spans="4:27" ht="20.100000000000001" customHeight="1" x14ac:dyDescent="0.25">
      <c r="D210" s="44"/>
      <c r="E210" s="23"/>
      <c r="F210" s="104"/>
      <c r="G210" s="30"/>
      <c r="H210" s="30"/>
      <c r="I210" s="25">
        <f t="shared" si="2"/>
        <v>0</v>
      </c>
      <c r="Z210" s="91"/>
      <c r="AA210" s="91"/>
    </row>
    <row r="211" spans="4:27" ht="20.100000000000001" customHeight="1" x14ac:dyDescent="0.25">
      <c r="D211" s="44"/>
      <c r="E211" s="23"/>
      <c r="F211" s="104"/>
      <c r="G211" s="30"/>
      <c r="H211" s="30"/>
      <c r="I211" s="25">
        <f t="shared" si="2"/>
        <v>0</v>
      </c>
      <c r="Z211" s="91"/>
      <c r="AA211" s="91"/>
    </row>
    <row r="212" spans="4:27" ht="20.100000000000001" customHeight="1" x14ac:dyDescent="0.25">
      <c r="D212" s="44"/>
      <c r="E212" s="23"/>
      <c r="F212" s="104"/>
      <c r="G212" s="30"/>
      <c r="H212" s="30"/>
      <c r="I212" s="25">
        <f t="shared" si="2"/>
        <v>0</v>
      </c>
      <c r="Z212" s="91"/>
      <c r="AA212" s="91"/>
    </row>
    <row r="213" spans="4:27" ht="20.100000000000001" customHeight="1" x14ac:dyDescent="0.25">
      <c r="D213" s="44"/>
      <c r="E213" s="23"/>
      <c r="F213" s="104"/>
      <c r="G213" s="30"/>
      <c r="H213" s="30"/>
      <c r="I213" s="25">
        <f t="shared" si="2"/>
        <v>0</v>
      </c>
      <c r="Z213" s="91"/>
      <c r="AA213" s="91"/>
    </row>
    <row r="214" spans="4:27" ht="20.100000000000001" customHeight="1" x14ac:dyDescent="0.25">
      <c r="D214" s="44"/>
      <c r="E214" s="23"/>
      <c r="F214" s="104"/>
      <c r="G214" s="30"/>
      <c r="H214" s="30"/>
      <c r="I214" s="25">
        <f t="shared" si="2"/>
        <v>0</v>
      </c>
      <c r="Z214" s="91"/>
      <c r="AA214" s="91"/>
    </row>
    <row r="215" spans="4:27" ht="20.100000000000001" customHeight="1" x14ac:dyDescent="0.25">
      <c r="D215" s="44"/>
      <c r="E215" s="23"/>
      <c r="F215" s="104"/>
      <c r="G215" s="30"/>
      <c r="H215" s="30"/>
      <c r="I215" s="25">
        <f t="shared" si="2"/>
        <v>0</v>
      </c>
      <c r="Z215" s="91"/>
      <c r="AA215" s="91"/>
    </row>
    <row r="216" spans="4:27" ht="20.100000000000001" customHeight="1" x14ac:dyDescent="0.25">
      <c r="D216" s="44"/>
      <c r="E216" s="23"/>
      <c r="F216" s="104"/>
      <c r="G216" s="30"/>
      <c r="H216" s="30"/>
      <c r="I216" s="25">
        <f t="shared" si="2"/>
        <v>0</v>
      </c>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88" priority="12" operator="lessThan">
      <formula>0</formula>
    </cfRule>
  </conditionalFormatting>
  <conditionalFormatting sqref="F239:F240">
    <cfRule type="cellIs" dxfId="87" priority="11" operator="lessThan">
      <formula>0</formula>
    </cfRule>
  </conditionalFormatting>
  <conditionalFormatting sqref="F244:F245">
    <cfRule type="cellIs" dxfId="86" priority="10" operator="lessThan">
      <formula>0</formula>
    </cfRule>
  </conditionalFormatting>
  <conditionalFormatting sqref="F249:F250">
    <cfRule type="cellIs" dxfId="85" priority="9" operator="lessThan">
      <formula>0</formula>
    </cfRule>
  </conditionalFormatting>
  <conditionalFormatting sqref="F273:F274">
    <cfRule type="cellIs" dxfId="84" priority="8" operator="lessThan">
      <formula>0</formula>
    </cfRule>
  </conditionalFormatting>
  <conditionalFormatting sqref="F278:F279">
    <cfRule type="cellIs" dxfId="83" priority="7" operator="lessThan">
      <formula>0</formula>
    </cfRule>
  </conditionalFormatting>
  <conditionalFormatting sqref="F283:F284">
    <cfRule type="cellIs" dxfId="82" priority="6" operator="lessThan">
      <formula>0</formula>
    </cfRule>
  </conditionalFormatting>
  <conditionalFormatting sqref="H124:K124">
    <cfRule type="cellIs" dxfId="81" priority="4" operator="lessThan">
      <formula>0</formula>
    </cfRule>
  </conditionalFormatting>
  <conditionalFormatting sqref="I130:O131">
    <cfRule type="cellIs" dxfId="80" priority="5" operator="lessThan">
      <formula>0</formula>
    </cfRule>
  </conditionalFormatting>
  <conditionalFormatting sqref="I153:O153">
    <cfRule type="cellIs" dxfId="79" priority="3" operator="lessThan">
      <formula>0</formula>
    </cfRule>
  </conditionalFormatting>
  <conditionalFormatting sqref="K123:K124">
    <cfRule type="cellIs" dxfId="78" priority="2" operator="lessThan">
      <formula>0</formula>
    </cfRule>
  </conditionalFormatting>
  <conditionalFormatting sqref="N121:N123">
    <cfRule type="cellIs" dxfId="77" priority="1" operator="lessThan">
      <formula>0</formula>
    </cfRule>
  </conditionalFormatting>
  <conditionalFormatting sqref="P43:R43">
    <cfRule type="cellIs" dxfId="76" priority="13" operator="lessThan">
      <formula>0</formula>
    </cfRule>
  </conditionalFormatting>
  <dataValidations count="12">
    <dataValidation type="list" allowBlank="1" showInputMessage="1" showErrorMessage="1" sqref="H191:H200" xr:uid="{4929716A-59B4-4828-9836-97C315F8F538}">
      <formula1>INDIRECT("Table_ProductRegions_Beefcattle[Region]")</formula1>
    </dataValidation>
    <dataValidation type="list" allowBlank="1" showInputMessage="1" showErrorMessage="1" sqref="G191:G200" xr:uid="{994DAFBF-F7C3-456D-A1A8-E9D1FB9CE2E4}">
      <formula1>INDIRECT(TRIM("Table_SourceData_LivestockProduct_Beefcattle[Product]"))</formula1>
    </dataValidation>
    <dataValidation type="list" allowBlank="1" showInputMessage="1" showErrorMessage="1" sqref="F191:F200 E207:E216" xr:uid="{8CF6B304-3631-4F17-83EE-081A45FD8BD2}">
      <formula1>INDIRECT("Table_LivestockClasses_Beefcattle[Livestock class]")</formula1>
    </dataValidation>
    <dataValidation type="list" allowBlank="1" showInputMessage="1" showErrorMessage="1" sqref="E119" xr:uid="{382E8008-0B61-4D1F-873C-03A0237E0A43}">
      <formula1>$D$23:$D$34</formula1>
    </dataValidation>
    <dataValidation type="list" allowBlank="1" showInputMessage="1" showErrorMessage="1" sqref="E105" xr:uid="{9C824A24-F761-4365-AAC1-C9ADFB1F6377}">
      <formula1>"Spring, Summer, Autumn, Winter"</formula1>
    </dataValidation>
    <dataValidation type="list" allowBlank="1" showInputMessage="1" showErrorMessage="1" sqref="E184" xr:uid="{FF02E8D9-D12F-4EE0-880F-ED25513E5784}">
      <formula1>INDIRECT("Table_SourceData_PastureBeef_CropProdSystems[Production system]")</formula1>
    </dataValidation>
    <dataValidation type="list" allowBlank="1" showInputMessage="1" showErrorMessage="1" sqref="E185" xr:uid="{67F93983-13CD-4921-907C-20C8B333D943}">
      <formula1>INDIRECT("Table_SourceData_PastureBeef_IrrigationMethods[Irrigation method]")</formula1>
    </dataValidation>
    <dataValidation type="list" allowBlank="1" showInputMessage="1" showErrorMessage="1" sqref="E9" xr:uid="{64CF006B-4862-4362-9FC4-3E95536246DB}">
      <formula1>INDIRECT("Table_SourceData_PastureBeef_FeedIntakeAdjustment[Breed]")</formula1>
    </dataValidation>
    <dataValidation type="list" allowBlank="1" showInputMessage="1" showErrorMessage="1" sqref="E8" xr:uid="{6AFE827C-0C37-4FF2-8676-F81CC045EA4A}">
      <formula1>INDIRECT("Table_SourceData_PastureBeef_Region_" &amp; SUBSTITUTE($E$7, " ", "") &amp; "[Region]")</formula1>
    </dataValidation>
    <dataValidation type="list" allowBlank="1" showInputMessage="1" showErrorMessage="1" sqref="E15 E37 E59 E81" xr:uid="{3A93FFC2-97B3-4D3B-8F1E-6EE4B25E41F9}">
      <formula1>INDIRECT("Table_SourceData_Dairy_WjCowsHeifers[Breed]")</formula1>
    </dataValidation>
    <dataValidation type="list" allowBlank="1" showInputMessage="1" showErrorMessage="1" sqref="E238 E243 E248 E282 E277 E272 E177" xr:uid="{92636DF9-2EFA-422F-AD53-2EB68CFCF2BB}">
      <formula1>"Yes, No"</formula1>
    </dataValidation>
    <dataValidation type="list" allowBlank="1" showInputMessage="1" showErrorMessage="1" sqref="D266" xr:uid="{A5E79AA5-D4EC-433E-BDFE-A110F2151EA2}">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6D68E-81BF-45AF-BEEE-DD2436275FA9}">
  <dimension ref="A1:AA350"/>
  <sheetViews>
    <sheetView showGridLines="0" topLeftCell="D184"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4: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4: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4: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5">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75" priority="12" operator="lessThan">
      <formula>0</formula>
    </cfRule>
  </conditionalFormatting>
  <conditionalFormatting sqref="F239:F240">
    <cfRule type="cellIs" dxfId="74" priority="11" operator="lessThan">
      <formula>0</formula>
    </cfRule>
  </conditionalFormatting>
  <conditionalFormatting sqref="F244:F245">
    <cfRule type="cellIs" dxfId="73" priority="10" operator="lessThan">
      <formula>0</formula>
    </cfRule>
  </conditionalFormatting>
  <conditionalFormatting sqref="F249:F250">
    <cfRule type="cellIs" dxfId="72" priority="9" operator="lessThan">
      <formula>0</formula>
    </cfRule>
  </conditionalFormatting>
  <conditionalFormatting sqref="F273:F274">
    <cfRule type="cellIs" dxfId="71" priority="8" operator="lessThan">
      <formula>0</formula>
    </cfRule>
  </conditionalFormatting>
  <conditionalFormatting sqref="F278:F279">
    <cfRule type="cellIs" dxfId="70" priority="7" operator="lessThan">
      <formula>0</formula>
    </cfRule>
  </conditionalFormatting>
  <conditionalFormatting sqref="F283:F284">
    <cfRule type="cellIs" dxfId="69" priority="6" operator="lessThan">
      <formula>0</formula>
    </cfRule>
  </conditionalFormatting>
  <conditionalFormatting sqref="H124:K124">
    <cfRule type="cellIs" dxfId="68" priority="4" operator="lessThan">
      <formula>0</formula>
    </cfRule>
  </conditionalFormatting>
  <conditionalFormatting sqref="I130:O131">
    <cfRule type="cellIs" dxfId="67" priority="5" operator="lessThan">
      <formula>0</formula>
    </cfRule>
  </conditionalFormatting>
  <conditionalFormatting sqref="I153:O153">
    <cfRule type="cellIs" dxfId="66" priority="3" operator="lessThan">
      <formula>0</formula>
    </cfRule>
  </conditionalFormatting>
  <conditionalFormatting sqref="K123:K124">
    <cfRule type="cellIs" dxfId="65" priority="2" operator="lessThan">
      <formula>0</formula>
    </cfRule>
  </conditionalFormatting>
  <conditionalFormatting sqref="N121:N123">
    <cfRule type="cellIs" dxfId="64" priority="1" operator="lessThan">
      <formula>0</formula>
    </cfRule>
  </conditionalFormatting>
  <conditionalFormatting sqref="P43:R43">
    <cfRule type="cellIs" dxfId="63" priority="13" operator="lessThan">
      <formula>0</formula>
    </cfRule>
  </conditionalFormatting>
  <dataValidations count="12">
    <dataValidation type="list" allowBlank="1" showInputMessage="1" showErrorMessage="1" sqref="E119" xr:uid="{2680DBFB-71E9-409F-9B05-F8D4B0DB6BF5}">
      <formula1>$D$23:$D$34</formula1>
    </dataValidation>
    <dataValidation type="list" allowBlank="1" showInputMessage="1" showErrorMessage="1" sqref="F191:F200 E207:E216" xr:uid="{E096FE4B-42D2-4D0D-AADF-1CB1122EC8C4}">
      <formula1>INDIRECT("Table_LivestockClasses_Beefcattle[Livestock class]")</formula1>
    </dataValidation>
    <dataValidation type="list" allowBlank="1" showInputMessage="1" showErrorMessage="1" sqref="G191:G200" xr:uid="{2764A601-2FB4-4D77-B9F6-1568750DF9D4}">
      <formula1>INDIRECT(TRIM("Table_SourceData_LivestockProduct_Beefcattle[Product]"))</formula1>
    </dataValidation>
    <dataValidation type="list" allowBlank="1" showInputMessage="1" showErrorMessage="1" sqref="H191:H200" xr:uid="{EF29A7E5-2E0F-4B93-8E53-31E4E2D9F59D}">
      <formula1>INDIRECT("Table_ProductRegions_Beefcattle[Region]")</formula1>
    </dataValidation>
    <dataValidation type="list" allowBlank="1" showInputMessage="1" showErrorMessage="1" sqref="E105" xr:uid="{B375C624-DD1D-497E-A449-7BE4886D47B6}">
      <formula1>"Spring, Summer, Autumn, Winter"</formula1>
    </dataValidation>
    <dataValidation type="list" allowBlank="1" showInputMessage="1" showErrorMessage="1" sqref="E184" xr:uid="{7B3FFD27-2BA2-4966-B8A5-B889CCBB5CE8}">
      <formula1>INDIRECT("Table_SourceData_PastureBeef_CropProdSystems[Production system]")</formula1>
    </dataValidation>
    <dataValidation type="list" allowBlank="1" showInputMessage="1" showErrorMessage="1" sqref="E185" xr:uid="{FF22DAB3-D133-45B7-985C-96A87980706F}">
      <formula1>INDIRECT("Table_SourceData_PastureBeef_IrrigationMethods[Irrigation method]")</formula1>
    </dataValidation>
    <dataValidation type="list" allowBlank="1" showInputMessage="1" showErrorMessage="1" sqref="E9" xr:uid="{521A30C0-1E08-468F-8000-4C673127A696}">
      <formula1>INDIRECT("Table_SourceData_PastureBeef_FeedIntakeAdjustment[Breed]")</formula1>
    </dataValidation>
    <dataValidation type="list" allowBlank="1" showInputMessage="1" showErrorMessage="1" sqref="E8" xr:uid="{15352A64-8CC9-496D-808B-4FE4A76A2920}">
      <formula1>INDIRECT("Table_SourceData_PastureBeef_Region_" &amp; SUBSTITUTE($E$7, " ", "") &amp; "[Region]")</formula1>
    </dataValidation>
    <dataValidation type="list" allowBlank="1" showInputMessage="1" showErrorMessage="1" sqref="E15 E37 E59 E81" xr:uid="{25D5E7E2-F590-4A55-AD6C-3B570E9C0FF6}">
      <formula1>INDIRECT("Table_SourceData_Dairy_WjCowsHeifers[Breed]")</formula1>
    </dataValidation>
    <dataValidation type="list" allowBlank="1" showInputMessage="1" showErrorMessage="1" sqref="E238 E243 E248 E282 E277 E272 E177" xr:uid="{F5BBD66D-3FD0-44A2-8484-BEF920757184}">
      <formula1>"Yes, No"</formula1>
    </dataValidation>
    <dataValidation type="list" allowBlank="1" showInputMessage="1" showErrorMessage="1" sqref="D266" xr:uid="{2F3C8A03-E603-4EC1-91E4-1F705B6F211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EE933-B22A-4B3C-A9D6-D0EDF9CC0E13}">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798</v>
      </c>
    </row>
    <row r="6" spans="1:7" ht="20.100000000000001" customHeight="1" x14ac:dyDescent="0.25"/>
    <row r="7" spans="1:7" ht="20.100000000000001" customHeight="1" x14ac:dyDescent="0.25">
      <c r="A7" s="7" t="s">
        <v>0</v>
      </c>
      <c r="D7" s="80" t="s">
        <v>799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800</v>
      </c>
      <c r="E9" s="23" t="s">
        <v>801</v>
      </c>
      <c r="F9" s="26" t="s">
        <v>802</v>
      </c>
    </row>
    <row r="10" spans="1:7" ht="20.100000000000001" customHeight="1" x14ac:dyDescent="0.25">
      <c r="A10" s="5" t="str">
        <f>HYPERLINK("#'Input - Pasture Beef'!A1", "Pasture Beef")</f>
        <v>Pasture Beef</v>
      </c>
      <c r="D10" s="1" t="s">
        <v>74</v>
      </c>
      <c r="E10" s="23" t="s">
        <v>322</v>
      </c>
      <c r="F10" s="26" t="s">
        <v>802</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803</v>
      </c>
      <c r="E12" s="86">
        <v>1000</v>
      </c>
      <c r="F12" s="26" t="s">
        <v>804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805</v>
      </c>
    </row>
    <row r="15" spans="1:7" ht="20.100000000000001" customHeight="1" x14ac:dyDescent="0.25">
      <c r="A15" s="5" t="str">
        <f>HYPERLINK("#'Input - Electricity'!A1", "Electricity")</f>
        <v>Electricity</v>
      </c>
    </row>
    <row r="16" spans="1:7" ht="20.100000000000001" customHeight="1" x14ac:dyDescent="0.25">
      <c r="D16" s="239" t="s">
        <v>806</v>
      </c>
      <c r="E16" s="54"/>
      <c r="F16" s="55"/>
    </row>
    <row r="17" spans="1:6" ht="20.100000000000001" customHeight="1" x14ac:dyDescent="0.25">
      <c r="D17" s="56" t="s">
        <v>807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808</v>
      </c>
      <c r="E19" s="86">
        <f>_xlfn.XLOOKUP(E9, Table_SourceData_PastureAttributes[Pasture type],Table_SourceData_PastureAttributes[Average Yield (t DM ha) Yp])</f>
        <v>8.34</v>
      </c>
      <c r="F19" s="26" t="s">
        <v>809</v>
      </c>
    </row>
    <row r="20" spans="1:6" ht="20.100000000000001" customHeight="1" x14ac:dyDescent="0.25">
      <c r="A20" s="5" t="str">
        <f>HYPERLINK("#'4.2.1.1-2 Methane'!A1", "4.2.1.1-2 Manure methane")</f>
        <v>4.2.1.1-2 Manure methane</v>
      </c>
      <c r="D20" s="1" t="s">
        <v>810</v>
      </c>
      <c r="E20" s="25">
        <f>E12*E19</f>
        <v>8340</v>
      </c>
      <c r="F20" s="26" t="s">
        <v>811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813</v>
      </c>
      <c r="E25" s="86">
        <v>500</v>
      </c>
      <c r="F25" s="26" t="s">
        <v>804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62" priority="1">
      <formula>$D$24&gt;$D$11</formula>
    </cfRule>
  </conditionalFormatting>
  <dataValidations count="2">
    <dataValidation type="list" allowBlank="1" showInputMessage="1" showErrorMessage="1" sqref="E10" xr:uid="{D348A9FF-513B-4FAA-8207-9335DF2A490C}">
      <formula1>INDIRECT("Table_SourceData_Fertiliser_IrrigationMethods[Irrigation method]")</formula1>
    </dataValidation>
    <dataValidation type="list" allowBlank="1" showInputMessage="1" showErrorMessage="1" sqref="E9" xr:uid="{524109DD-1D84-4C20-9023-55B869B51DFA}">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74976-2AE9-4CE5-88CB-3620F82EA196}">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308</v>
      </c>
      <c r="E6" s="23" t="s">
        <v>466</v>
      </c>
      <c r="F6" s="26" t="s">
        <v>111</v>
      </c>
    </row>
    <row r="7" spans="1:25" ht="20.100000000000001" customHeight="1" x14ac:dyDescent="0.25">
      <c r="A7" s="7" t="s">
        <v>0</v>
      </c>
      <c r="D7" s="1" t="s">
        <v>467</v>
      </c>
      <c r="E7" s="23" t="s">
        <v>468</v>
      </c>
      <c r="F7" s="26" t="s">
        <v>111</v>
      </c>
    </row>
    <row r="8" spans="1:25" ht="20.100000000000001" customHeight="1" x14ac:dyDescent="0.25">
      <c r="A8" s="5" t="str">
        <f>HYPERLINK("#'Input - Enterprise'!A1", "Enterprise")</f>
        <v>Enterprise</v>
      </c>
      <c r="D8" s="1" t="s">
        <v>74</v>
      </c>
      <c r="E8" s="23" t="s">
        <v>238</v>
      </c>
      <c r="F8" s="26" t="s">
        <v>111</v>
      </c>
    </row>
    <row r="9" spans="1:25" ht="20.100000000000001" customHeight="1" x14ac:dyDescent="0.25">
      <c r="A9" s="5" t="str">
        <f>HYPERLINK("#'Input - Site'!A1", "Site")</f>
        <v>Site</v>
      </c>
      <c r="D9" s="1" t="s">
        <v>469</v>
      </c>
      <c r="E9" s="86">
        <v>100</v>
      </c>
      <c r="F9" s="26" t="s">
        <v>470</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471</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472</v>
      </c>
      <c r="E13" s="54"/>
      <c r="F13" s="54"/>
      <c r="G13" s="54"/>
      <c r="H13" s="55"/>
      <c r="I13" s="137"/>
      <c r="J13" s="138"/>
      <c r="K13" s="139"/>
      <c r="L13" s="139"/>
      <c r="M13" s="139"/>
    </row>
    <row r="14" spans="1:25" ht="20.100000000000001" customHeight="1" x14ac:dyDescent="0.25">
      <c r="A14" s="5" t="str">
        <f>HYPERLINK("#'Input - Fuel'!A1", "Fuel")</f>
        <v>Fuel</v>
      </c>
      <c r="D14" s="56" t="s">
        <v>473</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474</v>
      </c>
      <c r="E16" s="8"/>
      <c r="F16" s="8"/>
      <c r="G16" s="8"/>
      <c r="H16" s="8"/>
      <c r="I16" s="8"/>
      <c r="J16" s="8"/>
      <c r="K16" s="8"/>
      <c r="L16" s="8"/>
      <c r="M16" s="8"/>
    </row>
    <row r="17" spans="1:24" ht="36" customHeight="1" x14ac:dyDescent="0.25">
      <c r="D17" s="141" t="s">
        <v>475</v>
      </c>
      <c r="E17" s="142" t="s">
        <v>476</v>
      </c>
      <c r="F17" s="143" t="s">
        <v>477</v>
      </c>
      <c r="G17" s="143" t="s">
        <v>478</v>
      </c>
      <c r="H17" s="142" t="s">
        <v>479</v>
      </c>
      <c r="I17" s="142" t="s">
        <v>480</v>
      </c>
      <c r="J17" s="141" t="s">
        <v>481</v>
      </c>
      <c r="K17" s="141" t="s">
        <v>482</v>
      </c>
      <c r="L17" s="141" t="s">
        <v>483</v>
      </c>
      <c r="M17" s="141" t="s">
        <v>484</v>
      </c>
      <c r="N17" s="141" t="s">
        <v>485</v>
      </c>
      <c r="O17" s="141" t="s">
        <v>486</v>
      </c>
      <c r="P17" s="141" t="s">
        <v>487</v>
      </c>
      <c r="Q17" s="141" t="s">
        <v>488</v>
      </c>
      <c r="R17" s="141" t="s">
        <v>489</v>
      </c>
      <c r="S17" s="141" t="s">
        <v>490</v>
      </c>
      <c r="T17" s="141" t="s">
        <v>491</v>
      </c>
      <c r="U17" s="141" t="s">
        <v>492</v>
      </c>
      <c r="V17" s="141" t="s">
        <v>493</v>
      </c>
      <c r="W17" s="144" t="s">
        <v>494</v>
      </c>
      <c r="X17" s="144" t="s">
        <v>495</v>
      </c>
    </row>
    <row r="18" spans="1:24" ht="36" customHeight="1" x14ac:dyDescent="0.25">
      <c r="A18" s="6" t="s">
        <v>2</v>
      </c>
      <c r="D18" s="99" t="s">
        <v>496</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497</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497</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498</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499</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500</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501</v>
      </c>
      <c r="E25" s="142" t="s">
        <v>502</v>
      </c>
      <c r="F25" s="142" t="s">
        <v>479</v>
      </c>
      <c r="G25" s="142" t="s">
        <v>480</v>
      </c>
      <c r="H25" s="142" t="s">
        <v>503</v>
      </c>
      <c r="I25" s="142" t="s">
        <v>482</v>
      </c>
      <c r="J25" s="142" t="s">
        <v>483</v>
      </c>
      <c r="K25" s="142" t="s">
        <v>484</v>
      </c>
      <c r="L25" s="142" t="s">
        <v>485</v>
      </c>
      <c r="M25" s="142" t="s">
        <v>486</v>
      </c>
      <c r="N25" s="142" t="s">
        <v>487</v>
      </c>
      <c r="O25" s="142" t="s">
        <v>488</v>
      </c>
      <c r="P25" s="142" t="s">
        <v>493</v>
      </c>
      <c r="Q25" s="144" t="s">
        <v>504</v>
      </c>
      <c r="R25" s="144" t="s">
        <v>505</v>
      </c>
      <c r="S25" s="152"/>
      <c r="T25" s="152"/>
      <c r="V25" s="152"/>
      <c r="W25" s="152"/>
      <c r="X25" s="152"/>
    </row>
    <row r="26" spans="1:24" ht="36" customHeight="1" x14ac:dyDescent="0.25">
      <c r="A26" s="5" t="str">
        <f>HYPERLINK("#'5.2.1.1-2 Organic Fert N2O'!A1", "5.2.1.1-2 Organic fert N2O")</f>
        <v>5.2.1.1-2 Organic fert N2O</v>
      </c>
      <c r="D26" s="44" t="s">
        <v>506</v>
      </c>
      <c r="E26" s="142">
        <v>100</v>
      </c>
      <c r="F26" s="145">
        <f>$E$9</f>
        <v>100</v>
      </c>
      <c r="G26" s="146">
        <f>Table_Input_InorganicFertiliser_Custom[[#This Row],[Amount applied (kg / ha)]]*Table_Input_InorganicFertiliser_Custom[[#This Row],[Application area (ha)]]</f>
        <v>10000</v>
      </c>
      <c r="H26" s="155" t="s">
        <v>507</v>
      </c>
      <c r="I26" s="156">
        <v>0.5</v>
      </c>
      <c r="J26" s="155" t="s">
        <v>508</v>
      </c>
      <c r="K26" s="156">
        <v>0.2</v>
      </c>
      <c r="L26" s="155" t="s">
        <v>509</v>
      </c>
      <c r="M26" s="156">
        <v>0.2</v>
      </c>
      <c r="N26" s="157" t="s">
        <v>510</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511</v>
      </c>
      <c r="E27" s="142">
        <v>100</v>
      </c>
      <c r="F27" s="158">
        <f>$E$9</f>
        <v>100</v>
      </c>
      <c r="G27" s="146">
        <f>Table_Input_InorganicFertiliser_Custom[[#This Row],[Amount applied (kg / ha)]]*Table_Input_InorganicFertiliser_Custom[[#This Row],[Application area (ha)]]</f>
        <v>10000</v>
      </c>
      <c r="H27" s="155" t="s">
        <v>512</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513</v>
      </c>
      <c r="E28" s="142">
        <v>100</v>
      </c>
      <c r="F28" s="158">
        <f>$E$9</f>
        <v>100</v>
      </c>
      <c r="G28" s="146">
        <f>Table_Input_InorganicFertiliser_Custom[[#This Row],[Amount applied (kg / ha)]]*Table_Input_InorganicFertiliser_Custom[[#This Row],[Application area (ha)]]</f>
        <v>10000</v>
      </c>
      <c r="H28" s="155" t="s">
        <v>514</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515</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516</v>
      </c>
      <c r="E32" s="54"/>
      <c r="F32" s="55"/>
      <c r="G32" s="136"/>
      <c r="H32" s="55"/>
      <c r="I32" s="35"/>
      <c r="J32" s="35"/>
      <c r="K32" s="8"/>
      <c r="L32" s="8"/>
      <c r="M32" s="8"/>
    </row>
    <row r="33" spans="1:25" ht="36" customHeight="1" x14ac:dyDescent="0.25">
      <c r="A33" s="5" t="str">
        <f>HYPERLINK("#'8.2.1.1-2 Stationary fuel'!A1", "8.2.1.1-2 Stationary fuel")</f>
        <v>8.2.1.1-2 Stationary fuel</v>
      </c>
      <c r="D33" s="160" t="s">
        <v>517</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473</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518</v>
      </c>
      <c r="F36" s="163" t="s">
        <v>479</v>
      </c>
      <c r="G36" s="163" t="s">
        <v>519</v>
      </c>
      <c r="H36" s="163" t="s">
        <v>520</v>
      </c>
      <c r="I36" s="163" t="s">
        <v>521</v>
      </c>
      <c r="J36" s="163" t="s">
        <v>522</v>
      </c>
      <c r="K36" s="163" t="s">
        <v>4</v>
      </c>
    </row>
    <row r="37" spans="1:25" ht="20.100000000000001" customHeight="1" x14ac:dyDescent="0.25">
      <c r="A37" s="251" t="s">
        <v>1</v>
      </c>
      <c r="D37" s="164" t="s">
        <v>523</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524</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525</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526</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516</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473</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527</v>
      </c>
      <c r="E47" s="163" t="s">
        <v>528</v>
      </c>
      <c r="F47" s="163" t="s">
        <v>529</v>
      </c>
      <c r="G47" s="163" t="s">
        <v>530</v>
      </c>
      <c r="H47" s="163" t="s">
        <v>479</v>
      </c>
      <c r="I47" s="163" t="s">
        <v>531</v>
      </c>
      <c r="J47" s="163" t="s">
        <v>532</v>
      </c>
      <c r="K47" s="154"/>
    </row>
    <row r="48" spans="1:25" ht="20.100000000000001" customHeight="1" x14ac:dyDescent="0.25">
      <c r="D48" s="99" t="s">
        <v>533</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534</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535</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A8ED74D8-C268-4662-A451-53EE607254DB}">
      <formula1>INDIRECT("Table_SourceData_Fertiliser_UreaAmmoniaSources[Source]")</formula1>
    </dataValidation>
    <dataValidation type="list" allowBlank="1" showInputMessage="1" showErrorMessage="1" sqref="D18:D22" xr:uid="{74836C48-2715-40BB-A447-D8F622560247}">
      <formula1>INDIRECT("FertiliserProducts[Product Name]")</formula1>
    </dataValidation>
    <dataValidation type="list" allowBlank="1" showInputMessage="1" showErrorMessage="1" sqref="D48:D50" xr:uid="{1188D7C1-839E-4E36-B99D-4042AF5F4E8B}">
      <formula1>INDIRECT("Table_SourceData_OrganicFertiliserTypes[Organic fertiliser type]")</formula1>
    </dataValidation>
    <dataValidation type="list" allowBlank="1" showInputMessage="1" showErrorMessage="1" sqref="H26:H28 J26:J28 L26:L28 N26:N28" xr:uid="{F3434BA8-4CBC-4774-96E0-0FC5C35FF38B}">
      <formula1>INDIRECT("Table_Fertiliser_ChemicalCompounds[Fertiliser type f]")</formula1>
    </dataValidation>
    <dataValidation type="list" allowBlank="1" showInputMessage="1" showErrorMessage="1" sqref="E7" xr:uid="{DBEEDAA2-586B-496F-8238-3B022909AC88}">
      <formula1>INDIRECT("Table_SourceData_Fertiliser_CropTypes[Production system]")</formula1>
    </dataValidation>
    <dataValidation type="list" allowBlank="1" showInputMessage="1" showErrorMessage="1" sqref="E8" xr:uid="{2AC51A6A-2465-44B0-A2B6-25CBE23C6B14}">
      <formula1>INDIRECT("Table_SourceData_Fertiliser_IrrigationMethods[Irrigation method]")</formula1>
    </dataValidation>
    <dataValidation type="list" allowBlank="1" showInputMessage="1" showErrorMessage="1" sqref="E6" xr:uid="{D2C5F5DA-0AAE-4EEC-8CD5-4DBDD931B67F}">
      <formula1>INDIRECT("Table_SourceData_Fertiliser_CropProdSystems[Production system]")</formula1>
    </dataValidation>
    <dataValidation type="list" allowBlank="1" showInputMessage="1" showErrorMessage="1" sqref="E69" xr:uid="{F5986893-8AD7-4B64-99C4-4B723AFA4C59}">
      <formula1>INDIRECT("Table_SourceData_Swine_CropProdSystems[Production system]")</formula1>
    </dataValidation>
    <dataValidation type="list" allowBlank="1" showInputMessage="1" showErrorMessage="1" sqref="E70" xr:uid="{286A4F76-698D-452E-A8E0-FA8719B9894C}">
      <formula1>INDIRECT("Table_SourceData_Swine_IrrigationMethods[Irrigation method]")</formula1>
    </dataValidation>
    <dataValidation type="list" allowBlank="1" showInputMessage="1" showErrorMessage="1" sqref="E254 E259 E264 E298 E293 E288 E166 E154 E130 E142" xr:uid="{FACB1BEC-D7AD-4F11-924D-9AB35120C21C}">
      <formula1>"Yes, No"</formula1>
    </dataValidation>
    <dataValidation type="list" allowBlank="1" showInputMessage="1" showErrorMessage="1" sqref="E230" xr:uid="{1E8EDF10-81C9-4FB7-ACE9-4F665108C698}">
      <formula1>INDIRECT("Table_SourceData_Dairy_ProductionSystemTemplates[Area]")</formula1>
    </dataValidation>
    <dataValidation type="list" allowBlank="1" showInputMessage="1" showErrorMessage="1" sqref="D282" xr:uid="{18BEE65E-2627-4FED-A1D3-8297213CFD08}">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C7E80-C238-465B-883D-18A5ED2F04FC}">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701</v>
      </c>
    </row>
    <row r="8" spans="1:11" ht="20.100000000000001" customHeight="1" x14ac:dyDescent="0.25">
      <c r="A8" s="5" t="str">
        <f>HYPERLINK("#'Input - Enterprise'!A1", "Enterprise")</f>
        <v>Enterprise</v>
      </c>
      <c r="D8" s="1" t="s">
        <v>702</v>
      </c>
    </row>
    <row r="9" spans="1:11" ht="20.100000000000001" customHeight="1" x14ac:dyDescent="0.25">
      <c r="A9" s="5" t="str">
        <f>HYPERLINK("#'Input - Site'!A1", "Site")</f>
        <v>Site</v>
      </c>
      <c r="D9" s="1" t="s">
        <v>703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704</v>
      </c>
      <c r="E11" s="23" t="s">
        <v>705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671</v>
      </c>
      <c r="E13" s="54"/>
      <c r="F13" s="54"/>
      <c r="G13" s="54"/>
      <c r="H13" s="55"/>
    </row>
    <row r="14" spans="1:11" ht="20.100000000000001" customHeight="1" x14ac:dyDescent="0.25">
      <c r="A14" s="135" t="str">
        <f>HYPERLINK("#'Input - Fuel'!A1", "Fuel")</f>
        <v>Fuel</v>
      </c>
      <c r="D14" s="56" t="s">
        <v>706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707</v>
      </c>
      <c r="E16" s="117" t="s">
        <v>708</v>
      </c>
      <c r="F16" s="117" t="s">
        <v>709</v>
      </c>
      <c r="G16" s="117" t="s">
        <v>710</v>
      </c>
      <c r="H16" s="117" t="s">
        <v>711</v>
      </c>
      <c r="I16" s="117" t="s">
        <v>712</v>
      </c>
      <c r="J16" s="117" t="s">
        <v>713</v>
      </c>
    </row>
    <row r="17" spans="1:10" ht="20.100000000000001" customHeight="1" x14ac:dyDescent="0.25">
      <c r="D17" s="23" t="s">
        <v>714</v>
      </c>
      <c r="E17" s="23" t="s">
        <v>715</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714</v>
      </c>
      <c r="E18" s="23" t="s">
        <v>716</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717</v>
      </c>
      <c r="E19" s="23" t="s">
        <v>718</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719</v>
      </c>
      <c r="E20" s="23" t="s">
        <v>718</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720</v>
      </c>
      <c r="E21" s="100" t="s">
        <v>721</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33" priority="9" operator="lessThan">
      <formula>0</formula>
    </cfRule>
  </conditionalFormatting>
  <conditionalFormatting sqref="F111:F112">
    <cfRule type="cellIs" dxfId="32" priority="8" operator="lessThan">
      <formula>0</formula>
    </cfRule>
  </conditionalFormatting>
  <conditionalFormatting sqref="F123:F124">
    <cfRule type="cellIs" dxfId="31" priority="7" operator="lessThan">
      <formula>0</formula>
    </cfRule>
  </conditionalFormatting>
  <conditionalFormatting sqref="F135:F136">
    <cfRule type="cellIs" dxfId="30" priority="6" operator="lessThan">
      <formula>0</formula>
    </cfRule>
  </conditionalFormatting>
  <conditionalFormatting sqref="F147:F148">
    <cfRule type="cellIs" dxfId="29" priority="5" operator="lessThan">
      <formula>0</formula>
    </cfRule>
  </conditionalFormatting>
  <conditionalFormatting sqref="F235:F236">
    <cfRule type="cellIs" dxfId="28" priority="17" operator="lessThan">
      <formula>0</formula>
    </cfRule>
  </conditionalFormatting>
  <conditionalFormatting sqref="F240:F241">
    <cfRule type="cellIs" dxfId="27" priority="16" operator="lessThan">
      <formula>0</formula>
    </cfRule>
  </conditionalFormatting>
  <conditionalFormatting sqref="F245:F246">
    <cfRule type="cellIs" dxfId="26" priority="15" operator="lessThan">
      <formula>0</formula>
    </cfRule>
  </conditionalFormatting>
  <conditionalFormatting sqref="F269:F270">
    <cfRule type="cellIs" dxfId="25" priority="14" operator="lessThan">
      <formula>0</formula>
    </cfRule>
  </conditionalFormatting>
  <conditionalFormatting sqref="F274:F275">
    <cfRule type="cellIs" dxfId="24" priority="13" operator="lessThan">
      <formula>0</formula>
    </cfRule>
  </conditionalFormatting>
  <conditionalFormatting sqref="F279:F280">
    <cfRule type="cellIs" dxfId="23" priority="12" operator="lessThan">
      <formula>0</formula>
    </cfRule>
  </conditionalFormatting>
  <conditionalFormatting sqref="I26:J27 H28:H30 I31:J31 I33:J35 I37:J38 I189:J189 E195:G195 I195:J195">
    <cfRule type="cellIs" dxfId="22" priority="11" operator="lessThan">
      <formula>0</formula>
    </cfRule>
  </conditionalFormatting>
  <conditionalFormatting sqref="I42:J46">
    <cfRule type="cellIs" dxfId="21" priority="4" operator="lessThan">
      <formula>0</formula>
    </cfRule>
  </conditionalFormatting>
  <conditionalFormatting sqref="I50:J50 I109:J109">
    <cfRule type="cellIs" dxfId="20" priority="10" operator="lessThan">
      <formula>0</formula>
    </cfRule>
  </conditionalFormatting>
  <conditionalFormatting sqref="I61:J63">
    <cfRule type="cellIs" dxfId="19" priority="3" operator="lessThan">
      <formula>0</formula>
    </cfRule>
  </conditionalFormatting>
  <conditionalFormatting sqref="I67:J70">
    <cfRule type="cellIs" dxfId="18" priority="2" operator="lessThan">
      <formula>0</formula>
    </cfRule>
  </conditionalFormatting>
  <conditionalFormatting sqref="I74:J78">
    <cfRule type="cellIs" dxfId="17" priority="1" operator="lessThan">
      <formula>0</formula>
    </cfRule>
  </conditionalFormatting>
  <dataValidations count="9">
    <dataValidation type="list" allowBlank="1" showInputMessage="1" showErrorMessage="1" sqref="E17:E21" xr:uid="{294488FC-19D0-4579-B003-E1F379D5B2FB}">
      <formula1>_xlfn.TRIMRANGE(INDIRECT("Table_FuelTypesPerUse["&amp;D17&amp;"]"))</formula1>
    </dataValidation>
    <dataValidation type="list" allowBlank="1" showInputMessage="1" showErrorMessage="1" sqref="D17:D21" xr:uid="{83512A47-0DB6-47DE-9A36-0CECFB613566}">
      <formula1>INDIRECT("Table_FuelTypesPerUse[#Headers]")</formula1>
    </dataValidation>
    <dataValidation type="list" allowBlank="1" showInputMessage="1" showErrorMessage="1" sqref="E11" xr:uid="{2066A142-483E-43DC-8C1F-8FE69B6D9DA8}">
      <formula1>"Metro, Non-metro"</formula1>
    </dataValidation>
    <dataValidation type="list" allowBlank="1" showInputMessage="1" showErrorMessage="1" sqref="D29:D30" xr:uid="{34E11F2D-9D06-48F1-9DE4-86349C25F1DA}">
      <formula1>INDIRECT("Table_SourceData_OrganicFertiliserTypes[Organic fertiliser type]")</formula1>
    </dataValidation>
    <dataValidation type="list" allowBlank="1" showInputMessage="1" showErrorMessage="1" sqref="E49" xr:uid="{E113190A-1FC1-48ED-93E0-3C79B6C55892}">
      <formula1>INDIRECT("Table_SourceData_Swine_CropProdSystems[Production system]")</formula1>
    </dataValidation>
    <dataValidation type="list" allowBlank="1" showInputMessage="1" showErrorMessage="1" sqref="E50" xr:uid="{21CDA4E8-9E98-4FDC-9E1D-D82C387AAF37}">
      <formula1>INDIRECT("Table_SourceData_Swine_IrrigationMethods[Irrigation method]")</formula1>
    </dataValidation>
    <dataValidation type="list" allowBlank="1" showInputMessage="1" showErrorMessage="1" sqref="E234 E239 E244 E278 E273 E268 E146 E134 E110 E122" xr:uid="{575B9E13-FA34-4E3E-ABAE-35C321CE3F05}">
      <formula1>"Yes, No"</formula1>
    </dataValidation>
    <dataValidation type="list" allowBlank="1" showInputMessage="1" showErrorMessage="1" sqref="E210" xr:uid="{B90D2907-81A4-45A6-BF89-4DC35764265D}">
      <formula1>INDIRECT("Table_SourceData_Dairy_ProductionSystemTemplates[Area]")</formula1>
    </dataValidation>
    <dataValidation type="list" allowBlank="1" showInputMessage="1" showErrorMessage="1" sqref="D262" xr:uid="{E01F0470-4493-4EB5-A294-67917233391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C54BE-AAC2-48C4-98D2-D9FD5541FA6F}">
  <dimension ref="A1:L365"/>
  <sheetViews>
    <sheetView showGridLines="0" topLeftCell="A24"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653</v>
      </c>
      <c r="E5" s="23" t="s">
        <v>654</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655</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656</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657</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658</v>
      </c>
      <c r="E15" s="188">
        <v>30000</v>
      </c>
      <c r="F15" s="26" t="s">
        <v>659</v>
      </c>
    </row>
    <row r="16" spans="1:10" ht="20.100000000000001" customHeight="1" x14ac:dyDescent="0.25">
      <c r="D16" s="1" t="s">
        <v>660</v>
      </c>
      <c r="E16" s="25" t="str">
        <f>IF(X_Cell_Site_State="Western Australia", X_Cell_Site_Region, X_Cell_Site_State)</f>
        <v>Western Australia - Outback (South)</v>
      </c>
      <c r="F16" s="8"/>
    </row>
    <row r="17" spans="1:11" ht="20.100000000000001" customHeight="1" x14ac:dyDescent="0.25">
      <c r="D17" s="1" t="s">
        <v>661</v>
      </c>
      <c r="E17" s="23" t="s">
        <v>662</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663</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664</v>
      </c>
      <c r="E23" s="188">
        <v>30000</v>
      </c>
      <c r="F23" s="26" t="s">
        <v>659</v>
      </c>
    </row>
    <row r="24" spans="1:11" ht="20.100000000000001" customHeight="1" x14ac:dyDescent="0.25">
      <c r="A24" s="5" t="str">
        <f>HYPERLINK("#'5.1.1.1-2 Inorganic fert N2O'!A1", "5.1.1.1-2 Inorganic fert N2O")</f>
        <v>5.1.1.1-2 Inorganic fert N2O</v>
      </c>
      <c r="D24" s="1" t="s">
        <v>665</v>
      </c>
      <c r="E24" s="28">
        <v>0.1</v>
      </c>
      <c r="F24" s="26" t="s">
        <v>176</v>
      </c>
    </row>
    <row r="25" spans="1:11" ht="20.100000000000001" customHeight="1" x14ac:dyDescent="0.25">
      <c r="A25" s="5" t="str">
        <f>HYPERLINK("#'5.1.1.3-4 Inorganic fert CO2'!A1", "5.1.1.3-4 Inorganic fert CO2")</f>
        <v>5.1.1.3-4 Inorganic fert CO2</v>
      </c>
      <c r="D25" s="1" t="s">
        <v>666</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667</v>
      </c>
      <c r="E27" s="188">
        <v>10000</v>
      </c>
      <c r="F27" s="26" t="s">
        <v>659</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668</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669</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670</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671</v>
      </c>
      <c r="E34" s="49"/>
      <c r="K34" s="167"/>
    </row>
    <row r="35" spans="1:12" ht="20.100000000000001" customHeight="1" x14ac:dyDescent="0.25"/>
    <row r="36" spans="1:12" ht="20.100000000000001" customHeight="1" x14ac:dyDescent="0.25">
      <c r="D36" s="117" t="s">
        <v>672</v>
      </c>
      <c r="E36" s="117" t="s">
        <v>673</v>
      </c>
      <c r="F36" s="117" t="s">
        <v>674</v>
      </c>
      <c r="G36" s="117" t="s">
        <v>675</v>
      </c>
      <c r="H36" s="117" t="s">
        <v>676</v>
      </c>
      <c r="I36" s="117" t="s">
        <v>677</v>
      </c>
      <c r="L36" s="167"/>
    </row>
    <row r="37" spans="1:12" ht="20.100000000000001" customHeight="1" x14ac:dyDescent="0.25">
      <c r="A37" s="251" t="s">
        <v>1</v>
      </c>
      <c r="D37" s="30" t="s">
        <v>678</v>
      </c>
      <c r="E37" s="23" t="s">
        <v>679</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680</v>
      </c>
      <c r="E38" s="23" t="s">
        <v>681</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682</v>
      </c>
      <c r="E39" s="23" t="s">
        <v>679</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683</v>
      </c>
      <c r="E41" s="25">
        <f>SUMIF(Table_Input_RECSurrendered[Elegibility], "Elegible", Table_Input_RECSurrendered[MWh])</f>
        <v>0</v>
      </c>
      <c r="F41" s="26" t="s">
        <v>676</v>
      </c>
      <c r="G41" s="1"/>
      <c r="H41" s="1"/>
      <c r="I41" s="1"/>
      <c r="J41" s="1"/>
      <c r="L41" s="167" t="s">
        <v>684</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685</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672</v>
      </c>
      <c r="E45" s="117" t="s">
        <v>625</v>
      </c>
      <c r="F45" s="117" t="s">
        <v>674</v>
      </c>
      <c r="G45" s="117" t="s">
        <v>675</v>
      </c>
      <c r="H45" s="117" t="s">
        <v>676</v>
      </c>
      <c r="I45" s="117" t="s">
        <v>677</v>
      </c>
    </row>
    <row r="46" spans="1:12" ht="20.100000000000001" customHeight="1" x14ac:dyDescent="0.25">
      <c r="A46" s="5" t="str">
        <f>HYPERLINK("#'Overview'!A1", "Overview")</f>
        <v>Overview</v>
      </c>
      <c r="D46" s="30" t="s">
        <v>686</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687</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688</v>
      </c>
      <c r="E50" s="25">
        <f>SUMIF(Table_Input_RECConsumedByEntity[Elegibility], "Elegible", Table_Input_RECConsumedByEntity[Number of certificates])</f>
        <v>0</v>
      </c>
      <c r="F50" s="26" t="s">
        <v>676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FC670028-F48F-46DF-B248-D8BEFB053DF1}">
      <formula1>"Location-based (simpler), Market-based (more complex)"</formula1>
    </dataValidation>
    <dataValidation type="list" allowBlank="1" showInputMessage="1" showErrorMessage="1" sqref="E37:E39" xr:uid="{964337E9-F1CE-4AD9-872C-24BBA9A29262}">
      <formula1>"Purchased certificate, Issued for generated electricity"</formula1>
    </dataValidation>
    <dataValidation type="list" allowBlank="1" showInputMessage="1" showErrorMessage="1" sqref="E17" xr:uid="{96378E10-FE6B-4339-86D4-76527E72313F}">
      <formula1>INDIRECT("Table_SourceData_ElectricityEFs[State, Territory or grid description]")</formula1>
    </dataValidation>
    <dataValidation type="list" allowBlank="1" showInputMessage="1" showErrorMessage="1" sqref="E69" xr:uid="{4DE134AD-E55F-4F28-A4DE-E7373524C2C2}">
      <formula1>INDIRECT("Table_SourceData_Swine_IrrigationMethods[Irrigation method]")</formula1>
    </dataValidation>
    <dataValidation type="list" allowBlank="1" showInputMessage="1" showErrorMessage="1" sqref="E253 E258 E263 E297 E292 E287 E165 E153 E129 E141" xr:uid="{9D3230E8-4923-4695-B960-A19802E20BE9}">
      <formula1>"Yes, No"</formula1>
    </dataValidation>
    <dataValidation type="list" allowBlank="1" showInputMessage="1" showErrorMessage="1" sqref="E229" xr:uid="{1A719D94-D44C-491B-B829-820006F4CEA3}">
      <formula1>INDIRECT("Table_SourceData_Dairy_ProductionSystemTemplates[Area]")</formula1>
    </dataValidation>
    <dataValidation type="list" allowBlank="1" showInputMessage="1" showErrorMessage="1" sqref="D281" xr:uid="{170E1D49-06D2-40B8-A870-8CAC970D9973}">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15390-4812-4319-AB5F-87F06374BCFA}">
  <dimension ref="A1:AI274"/>
  <sheetViews>
    <sheetView showGridLines="0" topLeftCell="J13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258</v>
      </c>
      <c r="E7" s="105" t="s">
        <v>259</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261</v>
      </c>
    </row>
    <row r="19" spans="1:34" ht="20.100000000000001" customHeight="1" x14ac:dyDescent="0.25">
      <c r="A19" s="106" t="str">
        <f>HYPERLINK("#'3.2.1.1-2 Enteric Methane'!A1", "3.2.1.1-2 Enteric methane")</f>
        <v>3.2.1.1-2 Enteric methane</v>
      </c>
      <c r="D19" s="115" t="s">
        <v>262</v>
      </c>
      <c r="U19" s="114" t="s">
        <v>263</v>
      </c>
    </row>
    <row r="20" spans="1:34" ht="20.100000000000001" customHeight="1" x14ac:dyDescent="0.25">
      <c r="A20" s="5" t="str">
        <f>HYPERLINK("#'4.2.1.1-2 Methane'!A1", "4.2.1.1-2 Manure methane")</f>
        <v>4.2.1.1-2 Manure methane</v>
      </c>
      <c r="D20" s="116" t="s">
        <v>78</v>
      </c>
      <c r="E20" s="117" t="s">
        <v>193</v>
      </c>
      <c r="F20" s="117" t="s">
        <v>194</v>
      </c>
      <c r="G20" s="117" t="s">
        <v>195</v>
      </c>
      <c r="U20" s="115" t="s">
        <v>264</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265</v>
      </c>
      <c r="U21" s="116" t="s">
        <v>77</v>
      </c>
      <c r="V21" s="117" t="s">
        <v>193</v>
      </c>
      <c r="W21" s="117" t="s">
        <v>194</v>
      </c>
      <c r="X21" s="117" t="s">
        <v>195</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5" t="str">
        <f>HYPERLINK("#'4.2.1.7-8 Soil leach runoff'!A1", "4.2.1.7-8 Soil leach &amp; runoff")</f>
        <v>4.2.1.7-8 Soil leach &amp; runoff</v>
      </c>
      <c r="D23" s="114"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267</v>
      </c>
      <c r="Y24" s="26"/>
    </row>
    <row r="25" spans="1:34" ht="20.100000000000001" customHeight="1" x14ac:dyDescent="0.25">
      <c r="A25" s="5" t="str">
        <f>HYPERLINK("#'5.1.1.3-4 Inorganic fert CO2'!A1", "5.1.1.3-4 Inorganic fert CO2")</f>
        <v>5.1.1.3-4 Inorganic fert CO2</v>
      </c>
      <c r="D25" s="116" t="s">
        <v>78</v>
      </c>
      <c r="E25" s="116" t="s">
        <v>213</v>
      </c>
      <c r="F25" s="116" t="s">
        <v>268</v>
      </c>
      <c r="G25" s="116" t="s">
        <v>190</v>
      </c>
      <c r="H25" s="116" t="s">
        <v>191</v>
      </c>
      <c r="I25" s="116" t="s">
        <v>192</v>
      </c>
      <c r="J25" s="116" t="s">
        <v>193</v>
      </c>
      <c r="K25" s="116" t="s">
        <v>194</v>
      </c>
      <c r="L25" s="116" t="s">
        <v>195</v>
      </c>
      <c r="M25" s="116" t="s">
        <v>196</v>
      </c>
      <c r="N25" s="116" t="s">
        <v>197</v>
      </c>
      <c r="O25" s="116" t="s">
        <v>198</v>
      </c>
      <c r="P25" s="116" t="s">
        <v>199</v>
      </c>
      <c r="U25" s="114" t="s">
        <v>269</v>
      </c>
    </row>
    <row r="26" spans="1:34" ht="20.100000000000001" customHeight="1" x14ac:dyDescent="0.25">
      <c r="A26" s="5" t="str">
        <f>HYPERLINK("#'5.2.1.1-2 Organic Fert N2O'!A1", "5.2.1.1-2 Organic fert N2O")</f>
        <v>5.2.1.1-2 Organic fert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270</v>
      </c>
    </row>
    <row r="27" spans="1:34" ht="20.100000000000001" customHeight="1" x14ac:dyDescent="0.25">
      <c r="A27" s="5" t="str">
        <f>HYPERLINK("#'5.3.1.1-2 Lime CO2'!A1", "5.3.1.1-2 Lime CO2")</f>
        <v>5.3.1.1-2 Lime CO2</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213</v>
      </c>
      <c r="W27" s="116" t="s">
        <v>268</v>
      </c>
      <c r="X27" s="116" t="s">
        <v>190</v>
      </c>
      <c r="Y27" s="116" t="s">
        <v>191</v>
      </c>
      <c r="Z27" s="116" t="s">
        <v>192</v>
      </c>
      <c r="AA27" s="116" t="s">
        <v>193</v>
      </c>
      <c r="AB27" s="116" t="s">
        <v>194</v>
      </c>
      <c r="AC27" s="116" t="s">
        <v>195</v>
      </c>
      <c r="AD27" s="116" t="s">
        <v>196</v>
      </c>
      <c r="AE27" s="116" t="s">
        <v>197</v>
      </c>
      <c r="AF27" s="116" t="s">
        <v>198</v>
      </c>
      <c r="AG27" s="116" t="s">
        <v>199</v>
      </c>
    </row>
    <row r="28" spans="1:34" ht="20.100000000000001" customHeight="1" x14ac:dyDescent="0.25">
      <c r="A28" s="5" t="str">
        <f>HYPERLINK("#'5.4.1.1-4 Atmos deposition'!A1", "5.4.1.1-4 Atmos. deposition")</f>
        <v>5.4.1.1-4 Atmos. deposition</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258</v>
      </c>
      <c r="E35" s="105"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str">
        <f>TEXT(EDATE(X_Cell_Site_StartDate,8), "mmmm")</f>
        <v>September</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260</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271</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272</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190</v>
      </c>
      <c r="W43" s="117" t="s">
        <v>191</v>
      </c>
      <c r="X43" s="117" t="s">
        <v>192</v>
      </c>
      <c r="Y43" s="117" t="s">
        <v>193</v>
      </c>
      <c r="Z43" s="117" t="s">
        <v>194</v>
      </c>
      <c r="AA43" s="117" t="s">
        <v>195</v>
      </c>
      <c r="AB43" s="117" t="s">
        <v>196</v>
      </c>
      <c r="AC43" s="117" t="s">
        <v>197</v>
      </c>
      <c r="AD43" s="117" t="s">
        <v>198</v>
      </c>
      <c r="AE43" s="117" t="s">
        <v>199</v>
      </c>
      <c r="AF43" s="26"/>
    </row>
    <row r="44" spans="1:34" ht="20.100000000000001" customHeight="1" x14ac:dyDescent="0.25">
      <c r="A44" s="5" t="str">
        <f>HYPERLINK("#'Constants - Common'!A1", "Constants - Common")</f>
        <v>Constants - Common</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209</v>
      </c>
    </row>
    <row r="45" spans="1:34" ht="20.100000000000001" customHeight="1" x14ac:dyDescent="0.25">
      <c r="A45" s="5" t="str">
        <f>HYPERLINK("#'Acknowledgements'!A1", "Acknowledgements")</f>
        <v>Acknowledgements</v>
      </c>
      <c r="D45" s="114" t="s">
        <v>273</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209</v>
      </c>
    </row>
    <row r="46" spans="1:34" ht="20.100000000000001" customHeight="1" x14ac:dyDescent="0.25">
      <c r="A46" s="5" t="str">
        <f>HYPERLINK("#'Overview'!A1", "Overview")</f>
        <v>Overview</v>
      </c>
      <c r="D46" s="115" t="s">
        <v>274</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209</v>
      </c>
    </row>
    <row r="47" spans="1:34" ht="20.100000000000001" customHeight="1" x14ac:dyDescent="0.25">
      <c r="D47" s="116" t="s">
        <v>78</v>
      </c>
      <c r="E47" s="117" t="s">
        <v>190</v>
      </c>
      <c r="F47" s="117" t="s">
        <v>191</v>
      </c>
      <c r="G47" s="117" t="s">
        <v>192</v>
      </c>
      <c r="H47" s="117" t="s">
        <v>193</v>
      </c>
      <c r="I47" s="117" t="s">
        <v>194</v>
      </c>
      <c r="J47" s="117" t="s">
        <v>195</v>
      </c>
      <c r="K47" s="117" t="s">
        <v>196</v>
      </c>
      <c r="L47" s="117" t="s">
        <v>197</v>
      </c>
      <c r="M47" s="117" t="s">
        <v>198</v>
      </c>
      <c r="N47" s="117" t="s">
        <v>199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209</v>
      </c>
    </row>
    <row r="48" spans="1:34" ht="20.100000000000001" customHeight="1" x14ac:dyDescent="0.2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209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209</v>
      </c>
    </row>
    <row r="49" spans="4: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209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209</v>
      </c>
    </row>
    <row r="50" spans="4: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209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209</v>
      </c>
    </row>
    <row r="51" spans="4:34" ht="20.100000000000001" customHeight="1" x14ac:dyDescent="0.25">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209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209</v>
      </c>
      <c r="AG51" s="26"/>
      <c r="AH51" s="26"/>
    </row>
    <row r="52" spans="4:34" ht="20.100000000000001" customHeight="1" x14ac:dyDescent="0.25">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209</v>
      </c>
      <c r="AG52" s="26"/>
      <c r="AH52" s="26"/>
    </row>
    <row r="53" spans="4:34" ht="20.100000000000001" customHeight="1" x14ac:dyDescent="0.25">
      <c r="D53" s="114" t="s">
        <v>275</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209</v>
      </c>
      <c r="AG53" s="26"/>
      <c r="AH53" s="26"/>
    </row>
    <row r="54" spans="4:34" ht="20.100000000000001" customHeight="1" x14ac:dyDescent="0.25">
      <c r="D54" s="115" t="s">
        <v>276</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209</v>
      </c>
      <c r="AG54" s="26"/>
      <c r="AH54" s="26"/>
    </row>
    <row r="55" spans="4:34" ht="20.100000000000001" customHeight="1" x14ac:dyDescent="0.25">
      <c r="D55" s="116" t="s">
        <v>78</v>
      </c>
      <c r="E55" s="117" t="s">
        <v>190</v>
      </c>
      <c r="F55" s="117" t="s">
        <v>191</v>
      </c>
      <c r="G55" s="117" t="s">
        <v>192</v>
      </c>
      <c r="H55" s="117" t="s">
        <v>193</v>
      </c>
      <c r="I55" s="117" t="s">
        <v>194</v>
      </c>
      <c r="J55" s="117" t="s">
        <v>195</v>
      </c>
      <c r="K55" s="117" t="s">
        <v>196</v>
      </c>
      <c r="L55" s="117" t="s">
        <v>197</v>
      </c>
      <c r="M55" s="117" t="s">
        <v>198</v>
      </c>
      <c r="N55" s="117" t="s">
        <v>199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209</v>
      </c>
      <c r="AG55" s="26"/>
      <c r="AH55" s="26"/>
    </row>
    <row r="56" spans="4:34" ht="20.100000000000001" customHeight="1" x14ac:dyDescent="0.25">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209</v>
      </c>
      <c r="P56" s="26"/>
      <c r="Q56" s="26"/>
      <c r="AG56" s="26"/>
      <c r="AH56" s="26"/>
    </row>
    <row r="57" spans="4:34" ht="20.100000000000001" customHeight="1" x14ac:dyDescent="0.2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209</v>
      </c>
      <c r="P57" s="26"/>
      <c r="Q57" s="26"/>
      <c r="U57" s="114" t="s">
        <v>277</v>
      </c>
      <c r="AG57" s="26"/>
      <c r="AH57" s="26"/>
    </row>
    <row r="58" spans="4:34" ht="20.100000000000001" customHeight="1" x14ac:dyDescent="0.2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209</v>
      </c>
      <c r="P58" s="26"/>
      <c r="Q58" s="26"/>
      <c r="U58" s="115" t="s">
        <v>278</v>
      </c>
      <c r="AG58" s="26"/>
      <c r="AH58" s="26"/>
    </row>
    <row r="59" spans="4: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209</v>
      </c>
      <c r="P59" s="26"/>
      <c r="Q59" s="26"/>
      <c r="U59" s="116" t="s">
        <v>77</v>
      </c>
      <c r="V59" s="117" t="s">
        <v>190</v>
      </c>
      <c r="W59" s="117" t="s">
        <v>191</v>
      </c>
      <c r="X59" s="117" t="s">
        <v>192</v>
      </c>
      <c r="Y59" s="117" t="s">
        <v>193</v>
      </c>
      <c r="Z59" s="117" t="s">
        <v>194</v>
      </c>
      <c r="AA59" s="117" t="s">
        <v>195</v>
      </c>
      <c r="AB59" s="117" t="s">
        <v>196</v>
      </c>
      <c r="AC59" s="117" t="s">
        <v>197</v>
      </c>
      <c r="AD59" s="117" t="s">
        <v>198</v>
      </c>
      <c r="AE59" s="117" t="s">
        <v>199</v>
      </c>
      <c r="AG59" s="26"/>
      <c r="AH59" s="26"/>
    </row>
    <row r="60" spans="4: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211</v>
      </c>
      <c r="AG60" s="26"/>
      <c r="AH60" s="26"/>
    </row>
    <row r="61" spans="4:34" ht="20.100000000000001" customHeight="1" x14ac:dyDescent="0.25">
      <c r="D61" s="114" t="s">
        <v>279</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211</v>
      </c>
      <c r="AG61" s="26"/>
      <c r="AH61" s="26"/>
    </row>
    <row r="62" spans="4:34" ht="20.100000000000001" customHeight="1" x14ac:dyDescent="0.25">
      <c r="D62" s="115" t="s">
        <v>280</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211</v>
      </c>
      <c r="AG62" s="26"/>
      <c r="AH62" s="26"/>
    </row>
    <row r="63" spans="4:34" ht="20.100000000000001" customHeight="1" x14ac:dyDescent="0.25">
      <c r="D63" s="116" t="s">
        <v>78</v>
      </c>
      <c r="E63" s="116" t="s">
        <v>190</v>
      </c>
      <c r="F63" s="116" t="s">
        <v>191</v>
      </c>
      <c r="G63" s="116" t="s">
        <v>192</v>
      </c>
      <c r="H63" s="116" t="s">
        <v>193</v>
      </c>
      <c r="I63" s="116" t="s">
        <v>194</v>
      </c>
      <c r="J63" s="116" t="s">
        <v>195</v>
      </c>
      <c r="K63" s="116" t="s">
        <v>196</v>
      </c>
      <c r="L63" s="116" t="s">
        <v>197</v>
      </c>
      <c r="M63" s="116" t="s">
        <v>198</v>
      </c>
      <c r="N63" s="116" t="s">
        <v>199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211</v>
      </c>
      <c r="AG63" s="26"/>
      <c r="AH63" s="26"/>
    </row>
    <row r="64" spans="4:34" ht="20.100000000000001" customHeight="1" x14ac:dyDescent="0.25">
      <c r="D64" s="25" t="s">
        <v>200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211</v>
      </c>
    </row>
    <row r="65" spans="3:34" ht="20.100000000000001" customHeight="1" x14ac:dyDescent="0.25">
      <c r="D65" s="25" t="s">
        <v>201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211</v>
      </c>
    </row>
    <row r="66" spans="3:34" ht="20.100000000000001" customHeight="1" x14ac:dyDescent="0.25">
      <c r="D66" s="25" t="s">
        <v>202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211</v>
      </c>
    </row>
    <row r="67" spans="3:34" ht="20.100000000000001" customHeight="1" x14ac:dyDescent="0.25">
      <c r="D67" s="25" t="s">
        <v>203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211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211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211</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258</v>
      </c>
      <c r="E73" s="105" t="str" cm="1">
        <f t="array" aca="1" ref="E73" ca="1">Common_InputFunctions.Utility_DisplayFunctionName(E85)</f>
        <v>=EntericMethane_PastureBeef_Equations.VEERG_3_2_1_1__2_DailyEntericMethaneProduction</v>
      </c>
      <c r="U73" s="114" t="s">
        <v>281</v>
      </c>
      <c r="AG73" s="26"/>
      <c r="AH73" s="26"/>
    </row>
    <row r="74" spans="3:34" ht="20.100000000000001" customHeight="1" x14ac:dyDescent="0.25">
      <c r="U74" s="115" t="s">
        <v>282</v>
      </c>
      <c r="AG74" s="26"/>
      <c r="AH74" s="26"/>
    </row>
    <row r="75" spans="3:34" ht="20.100000000000001" customHeight="1" x14ac:dyDescent="0.25">
      <c r="U75" s="116" t="s">
        <v>77</v>
      </c>
      <c r="V75" s="116" t="s">
        <v>190</v>
      </c>
      <c r="W75" s="116" t="s">
        <v>191</v>
      </c>
      <c r="X75" s="116" t="s">
        <v>192</v>
      </c>
      <c r="Y75" s="116" t="s">
        <v>193</v>
      </c>
      <c r="Z75" s="116" t="s">
        <v>194</v>
      </c>
      <c r="AA75" s="116" t="s">
        <v>195</v>
      </c>
      <c r="AB75" s="116" t="s">
        <v>196</v>
      </c>
      <c r="AC75" s="116" t="s">
        <v>197</v>
      </c>
      <c r="AD75" s="116" t="s">
        <v>198</v>
      </c>
      <c r="AE75" s="116" t="s">
        <v>199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4" t="s">
        <v>283</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5" t="s">
        <v>284</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6" t="s">
        <v>78</v>
      </c>
      <c r="E84" s="116" t="s">
        <v>190</v>
      </c>
      <c r="F84" s="116" t="s">
        <v>191</v>
      </c>
      <c r="G84" s="116" t="s">
        <v>192</v>
      </c>
      <c r="H84" s="116" t="s">
        <v>193</v>
      </c>
      <c r="I84" s="116" t="s">
        <v>194</v>
      </c>
      <c r="J84" s="116" t="s">
        <v>195</v>
      </c>
      <c r="K84" s="116" t="s">
        <v>196</v>
      </c>
      <c r="L84" s="116" t="s">
        <v>197</v>
      </c>
      <c r="M84" s="116" t="s">
        <v>198</v>
      </c>
      <c r="N84" s="116" t="s">
        <v>199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200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201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202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203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258</v>
      </c>
      <c r="E94" s="105" t="str" cm="1">
        <f t="array" aca="1" ref="E94" ca="1">Common_InputFunctions.Utility_DisplayFunctionName(E123)</f>
        <v>=EntericMethane_PastureBeef_Equations.VEERG_3_2_1_1__1_TotalAnnualMethaneFromEntericFermentation</v>
      </c>
      <c r="U94" s="114" t="s">
        <v>285</v>
      </c>
    </row>
    <row r="95" spans="3:35" ht="20.100000000000001" customHeight="1" x14ac:dyDescent="0.25">
      <c r="U95" s="115" t="s">
        <v>286</v>
      </c>
    </row>
    <row r="96" spans="3:35" ht="20.100000000000001" customHeight="1" x14ac:dyDescent="0.25">
      <c r="U96" s="116" t="s">
        <v>77</v>
      </c>
      <c r="V96" s="116" t="s">
        <v>190</v>
      </c>
      <c r="W96" s="116" t="s">
        <v>191</v>
      </c>
      <c r="X96" s="116" t="s">
        <v>192</v>
      </c>
      <c r="Y96" s="116" t="s">
        <v>193</v>
      </c>
      <c r="Z96" s="116" t="s">
        <v>194</v>
      </c>
      <c r="AA96" s="116" t="s">
        <v>195</v>
      </c>
      <c r="AB96" s="116" t="s">
        <v>196</v>
      </c>
      <c r="AC96" s="116" t="s">
        <v>197</v>
      </c>
      <c r="AD96" s="116" t="s">
        <v>198</v>
      </c>
      <c r="AE96" s="116"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4" t="s">
        <v>287</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5" t="s">
        <v>288</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6" t="s">
        <v>78</v>
      </c>
      <c r="E106" s="117" t="s">
        <v>190</v>
      </c>
      <c r="F106" s="117" t="s">
        <v>191</v>
      </c>
      <c r="G106" s="117" t="s">
        <v>192</v>
      </c>
      <c r="H106" s="117" t="s">
        <v>193</v>
      </c>
      <c r="I106" s="117" t="s">
        <v>194</v>
      </c>
      <c r="J106" s="117" t="s">
        <v>195</v>
      </c>
      <c r="K106" s="117" t="s">
        <v>196</v>
      </c>
      <c r="L106" s="117" t="s">
        <v>197</v>
      </c>
      <c r="M106" s="117" t="s">
        <v>198</v>
      </c>
      <c r="N106" s="117" t="s">
        <v>199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290</v>
      </c>
    </row>
    <row r="114" spans="4:34"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U114" s="114"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190</v>
      </c>
      <c r="W116" s="117" t="s">
        <v>191</v>
      </c>
      <c r="X116" s="117" t="s">
        <v>192</v>
      </c>
      <c r="Y116" s="117" t="s">
        <v>193</v>
      </c>
      <c r="Z116" s="117" t="s">
        <v>194</v>
      </c>
      <c r="AA116" s="117" t="s">
        <v>195</v>
      </c>
      <c r="AB116" s="117" t="s">
        <v>196</v>
      </c>
      <c r="AC116" s="117" t="s">
        <v>197</v>
      </c>
      <c r="AD116" s="117" t="s">
        <v>198</v>
      </c>
      <c r="AE116" s="117"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293</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294</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190</v>
      </c>
      <c r="F122" s="116" t="s">
        <v>191</v>
      </c>
      <c r="G122" s="116" t="s">
        <v>192</v>
      </c>
      <c r="H122" s="116" t="s">
        <v>193</v>
      </c>
      <c r="I122" s="116" t="s">
        <v>194</v>
      </c>
      <c r="J122" s="116" t="s">
        <v>195</v>
      </c>
      <c r="K122" s="116" t="s">
        <v>196</v>
      </c>
      <c r="L122" s="116" t="s">
        <v>197</v>
      </c>
      <c r="M122" s="116" t="s">
        <v>198</v>
      </c>
      <c r="N122" s="116" t="s">
        <v>199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295</v>
      </c>
      <c r="E128" s="120">
        <f ca="1">SUM(E123:N126)</f>
        <v>54.595755432192263</v>
      </c>
      <c r="F128" s="121"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f ca="1">E128</f>
        <v>54.595755432192263</v>
      </c>
      <c r="Q130" s="26"/>
      <c r="U130" s="114" t="s">
        <v>296</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297</v>
      </c>
      <c r="AH131" s="26"/>
    </row>
    <row r="132" spans="4:34" ht="20.100000000000001" customHeight="1" x14ac:dyDescent="0.25">
      <c r="U132" s="116" t="s">
        <v>77</v>
      </c>
      <c r="V132" s="117" t="s">
        <v>190</v>
      </c>
      <c r="W132" s="117" t="s">
        <v>191</v>
      </c>
      <c r="X132" s="117" t="s">
        <v>192</v>
      </c>
      <c r="Y132" s="117" t="s">
        <v>193</v>
      </c>
      <c r="Z132" s="117" t="s">
        <v>194</v>
      </c>
      <c r="AA132" s="117" t="s">
        <v>195</v>
      </c>
      <c r="AB132" s="117" t="s">
        <v>196</v>
      </c>
      <c r="AC132" s="117" t="s">
        <v>197</v>
      </c>
      <c r="AD132" s="117" t="s">
        <v>198</v>
      </c>
      <c r="AE132" s="117" t="s">
        <v>199</v>
      </c>
      <c r="AF132" s="26"/>
      <c r="AH132" s="26"/>
    </row>
    <row r="133" spans="4:34" ht="20.100000000000001" customHeight="1" x14ac:dyDescent="0.25">
      <c r="D133" s="118" t="s">
        <v>298</v>
      </c>
      <c r="E133" s="118" cm="1">
        <f t="array" aca="1" ref="E133" ca="1">Common_Equations.Common_ConvertN2OToCO2e(G130,G131)</f>
        <v>1528.6811521013833</v>
      </c>
      <c r="F133" s="125"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4" t="s">
        <v>299</v>
      </c>
    </row>
    <row r="147" spans="21:32" ht="20.100000000000001" customHeight="1" x14ac:dyDescent="0.25">
      <c r="U147" s="115" t="s">
        <v>300</v>
      </c>
    </row>
    <row r="148" spans="21:32" ht="20.100000000000001" customHeight="1" x14ac:dyDescent="0.25">
      <c r="U148" s="116" t="s">
        <v>77</v>
      </c>
      <c r="V148" s="116" t="s">
        <v>190</v>
      </c>
      <c r="W148" s="116" t="s">
        <v>191</v>
      </c>
      <c r="X148" s="116" t="s">
        <v>192</v>
      </c>
      <c r="Y148" s="116" t="s">
        <v>193</v>
      </c>
      <c r="Z148" s="116" t="s">
        <v>194</v>
      </c>
      <c r="AA148" s="116" t="s">
        <v>195</v>
      </c>
      <c r="AB148" s="116" t="s">
        <v>196</v>
      </c>
      <c r="AC148" s="116" t="s">
        <v>197</v>
      </c>
      <c r="AD148" s="116" t="s">
        <v>198</v>
      </c>
      <c r="AE148" s="116" t="s">
        <v>199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9" t="s">
        <v>295</v>
      </c>
      <c r="V161" s="120">
        <f ca="1">SUM(V149:AE160)</f>
        <v>54.699181903674365</v>
      </c>
      <c r="W161" s="121">
        <f ca="1">V140</f>
        <v>31</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f ca="1">V161</f>
        <v>54.699181903674365</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298</v>
      </c>
      <c r="V166" s="118" cm="1">
        <f t="array" aca="1" ref="V166" ca="1">Common_Equations.Common_ConvertN2OToCO2e(X163,X164)</f>
        <v>1531.5770933028823</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0C45A76C-11DD-4506-9AB4-0D7C5B880634}"/>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09849-D920-4140-90F4-C930E54DC5D4}">
  <dimension ref="A1:AK281"/>
  <sheetViews>
    <sheetView showGridLines="0" topLeftCell="A209"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258</v>
      </c>
      <c r="E7" s="105" t="s">
        <v>259</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261</v>
      </c>
      <c r="W19" s="114" t="s">
        <v>263</v>
      </c>
    </row>
    <row r="20" spans="1:36" ht="20.100000000000001" customHeight="1" x14ac:dyDescent="0.25">
      <c r="A20" s="106" t="str">
        <f>HYPERLINK("#'4.2.1.1-2 Methane'!A1", "4.2.1.1-2 Manure methane")</f>
        <v>4.2.1.1-2 Manure methane</v>
      </c>
      <c r="D20" s="115" t="s">
        <v>262</v>
      </c>
      <c r="W20" s="115" t="s">
        <v>264</v>
      </c>
    </row>
    <row r="21" spans="1:36" ht="20.100000000000001" customHeight="1" x14ac:dyDescent="0.25">
      <c r="A21" s="5" t="str">
        <f>HYPERLINK("#'4.2.1.3-4 Soil direct N20'!A1", "4.2.1.3-4 Soil direct N2O")</f>
        <v>4.2.1.3-4 Soil direct N2O</v>
      </c>
      <c r="D21" s="116" t="s">
        <v>78</v>
      </c>
      <c r="E21" s="117" t="s">
        <v>213</v>
      </c>
      <c r="F21" s="117" t="s">
        <v>193</v>
      </c>
      <c r="G21" s="117" t="s">
        <v>194</v>
      </c>
      <c r="H21" s="117" t="s">
        <v>195</v>
      </c>
      <c r="W21" s="116" t="s">
        <v>77</v>
      </c>
      <c r="X21" s="117" t="s">
        <v>193</v>
      </c>
      <c r="Y21" s="117" t="s">
        <v>194</v>
      </c>
      <c r="Z21" s="117" t="s">
        <v>195</v>
      </c>
    </row>
    <row r="22" spans="1:36" ht="20.100000000000001" customHeight="1" x14ac:dyDescent="0.25">
      <c r="A22" s="5" t="str">
        <f>HYPERLINK("#'4.2.1.5-6 Soil Atmos Dep'!A1", "4.2.1.5-6 Soil atm. deposition")</f>
        <v>4.2.1.5-6 Soil atm. deposition</v>
      </c>
      <c r="D22" s="25" t="s">
        <v>200</v>
      </c>
      <c r="E22" s="25" t="str">
        <f>'Input - Pasture Beef'!$E112</f>
        <v>Yes</v>
      </c>
      <c r="F22" s="176">
        <f>'Input - Pasture Beef'!$F112</f>
        <v>0.1</v>
      </c>
      <c r="G22" s="176">
        <f>'Input - Pasture Beef'!$G112</f>
        <v>0.4</v>
      </c>
      <c r="H22" s="176">
        <f>'Input - Pasture Beef'!$H112</f>
        <v>0.4</v>
      </c>
      <c r="I22" s="26" t="s">
        <v>265</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265</v>
      </c>
    </row>
    <row r="23" spans="1:36" ht="20.100000000000001" customHeight="1" x14ac:dyDescent="0.25">
      <c r="A23" s="5" t="str">
        <f>HYPERLINK("#'4.2.1.7-8 Soil leach runoff'!A1", "4.2.1.7-8 Soil leach &amp; runoff")</f>
        <v>4.2.1.7-8 Soil leach &amp; runoff</v>
      </c>
      <c r="D23" s="25" t="s">
        <v>201</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202</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203</v>
      </c>
      <c r="E25" s="25" t="str">
        <f>'Input - Pasture Beef'!$E112</f>
        <v>Yes</v>
      </c>
      <c r="F25" s="176">
        <f>'Input - Pasture Beef'!$F$111</f>
        <v>0.7</v>
      </c>
      <c r="G25" s="176">
        <f>'Input - Pasture Beef'!$G$111</f>
        <v>0.5</v>
      </c>
      <c r="H25" s="176">
        <f>'Input - Pasture Beef'!$H$111</f>
        <v>0.5</v>
      </c>
      <c r="W25" s="114" t="s">
        <v>269</v>
      </c>
    </row>
    <row r="26" spans="1:36" ht="20.100000000000001" customHeight="1" x14ac:dyDescent="0.25">
      <c r="A26" s="5" t="str">
        <f>HYPERLINK("#'5.2.1.1-2 Organic Fert N2O'!A1", "5.2.1.1-2 Organic fert N2O")</f>
        <v>5.2.1.1-2 Organic fert N2O</v>
      </c>
      <c r="W26" s="115" t="s">
        <v>270</v>
      </c>
    </row>
    <row r="27" spans="1:36" ht="20.100000000000001" customHeight="1" x14ac:dyDescent="0.25">
      <c r="A27" s="5" t="str">
        <f>HYPERLINK("#'5.3.1.1-2 Lime CO2'!A1", "5.3.1.1-2 Lime CO2")</f>
        <v>5.3.1.1-2 Lime CO2</v>
      </c>
      <c r="D27" s="114" t="s">
        <v>266</v>
      </c>
      <c r="W27" s="116" t="s">
        <v>77</v>
      </c>
      <c r="X27" s="116" t="s">
        <v>213</v>
      </c>
      <c r="Y27" s="116" t="s">
        <v>268</v>
      </c>
      <c r="Z27" s="116" t="s">
        <v>190</v>
      </c>
      <c r="AA27" s="116" t="s">
        <v>191</v>
      </c>
      <c r="AB27" s="116" t="s">
        <v>192</v>
      </c>
      <c r="AC27" s="116" t="s">
        <v>193</v>
      </c>
      <c r="AD27" s="116" t="s">
        <v>194</v>
      </c>
      <c r="AE27" s="116" t="s">
        <v>195</v>
      </c>
      <c r="AF27" s="116" t="s">
        <v>196</v>
      </c>
      <c r="AG27" s="116" t="s">
        <v>197</v>
      </c>
      <c r="AH27" s="116" t="s">
        <v>198</v>
      </c>
      <c r="AI27" s="116" t="s">
        <v>199</v>
      </c>
    </row>
    <row r="28" spans="1:36" ht="20.100000000000001" customHeight="1" x14ac:dyDescent="0.25">
      <c r="A28" s="5" t="str">
        <f>HYPERLINK("#'5.4.1.1-4 Atmos deposition'!A1", "5.4.1.1-4 Atmos. deposition")</f>
        <v>5.4.1.1-4 Atmos. deposition</v>
      </c>
      <c r="D28" s="115" t="s">
        <v>267</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213</v>
      </c>
      <c r="F29" s="116" t="s">
        <v>377</v>
      </c>
      <c r="G29" s="116" t="s">
        <v>268</v>
      </c>
      <c r="H29" s="116" t="s">
        <v>268</v>
      </c>
      <c r="I29" s="116" t="s">
        <v>190</v>
      </c>
      <c r="J29" s="116" t="s">
        <v>191</v>
      </c>
      <c r="K29" s="116" t="s">
        <v>192</v>
      </c>
      <c r="L29" s="116" t="s">
        <v>193</v>
      </c>
      <c r="M29" s="116" t="s">
        <v>194</v>
      </c>
      <c r="N29" s="116" t="s">
        <v>195</v>
      </c>
      <c r="O29" s="116" t="s">
        <v>196</v>
      </c>
      <c r="P29" s="116" t="s">
        <v>197</v>
      </c>
      <c r="Q29" s="116" t="s">
        <v>198</v>
      </c>
      <c r="R29" s="116" t="s">
        <v>199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390</v>
      </c>
      <c r="L38" s="1" t="s">
        <v>391</v>
      </c>
      <c r="M38" s="1" t="s">
        <v>392</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258</v>
      </c>
      <c r="E39" s="105"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271</v>
      </c>
    </row>
    <row r="42" spans="1:36" ht="20.100000000000001" customHeight="1" x14ac:dyDescent="0.25">
      <c r="A42" s="5" t="str">
        <f>HYPERLINK("#'Constants - Fertiliser'!A1", "Constants - Fertiliser")</f>
        <v>Constants - Fertiliser</v>
      </c>
      <c r="D42" s="88" t="s">
        <v>260</v>
      </c>
      <c r="E42" s="1" t="str" cm="1">
        <f t="array" ref="E42">EntericMethane_PastureBeef_Equations.VEERG_3_2_1_1__3_FeedIntakeForGrazingBeef_Variable()</f>
        <v>I_jkl</v>
      </c>
      <c r="W42" s="115" t="s">
        <v>272</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190</v>
      </c>
      <c r="Y43" s="117" t="s">
        <v>191</v>
      </c>
      <c r="Z43" s="117" t="s">
        <v>192</v>
      </c>
      <c r="AA43" s="117" t="s">
        <v>193</v>
      </c>
      <c r="AB43" s="117" t="s">
        <v>194</v>
      </c>
      <c r="AC43" s="117" t="s">
        <v>195</v>
      </c>
      <c r="AD43" s="117" t="s">
        <v>196</v>
      </c>
      <c r="AE43" s="117" t="s">
        <v>197</v>
      </c>
      <c r="AF43" s="117" t="s">
        <v>198</v>
      </c>
      <c r="AG43" s="117" t="s">
        <v>199</v>
      </c>
      <c r="AH43" s="26"/>
    </row>
    <row r="44" spans="1:36" ht="20.100000000000001" customHeight="1" x14ac:dyDescent="0.25">
      <c r="A44" s="5" t="str">
        <f>HYPERLINK("#'Constants - Common'!A1", "Constants - Common")</f>
        <v>Constants - Common</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209</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209</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209</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209</v>
      </c>
    </row>
    <row r="48" spans="1:36" ht="20.100000000000001" customHeight="1" x14ac:dyDescent="0.25">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209</v>
      </c>
    </row>
    <row r="49" spans="4:36" ht="20.100000000000001" customHeight="1" x14ac:dyDescent="0.25">
      <c r="D49" s="114" t="s">
        <v>273</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209</v>
      </c>
    </row>
    <row r="50" spans="4:36" ht="20.100000000000001" customHeight="1" x14ac:dyDescent="0.25">
      <c r="D50" s="115" t="s">
        <v>274</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209</v>
      </c>
    </row>
    <row r="51" spans="4:36" ht="20.100000000000001" customHeight="1" x14ac:dyDescent="0.25">
      <c r="D51" s="116" t="s">
        <v>78</v>
      </c>
      <c r="E51" s="117" t="s">
        <v>190</v>
      </c>
      <c r="F51" s="117" t="s">
        <v>191</v>
      </c>
      <c r="G51" s="117" t="s">
        <v>192</v>
      </c>
      <c r="H51" s="117" t="s">
        <v>193</v>
      </c>
      <c r="I51" s="117" t="s">
        <v>194</v>
      </c>
      <c r="J51" s="117" t="s">
        <v>195</v>
      </c>
      <c r="K51" s="117" t="s">
        <v>196</v>
      </c>
      <c r="L51" s="117" t="s">
        <v>197</v>
      </c>
      <c r="M51" s="117" t="s">
        <v>198</v>
      </c>
      <c r="N51" s="117" t="s">
        <v>199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209</v>
      </c>
      <c r="AI51" s="26"/>
      <c r="AJ51" s="26"/>
    </row>
    <row r="52" spans="4:36" ht="20.100000000000001" customHeight="1" x14ac:dyDescent="0.25">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209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209</v>
      </c>
      <c r="AI52" s="26"/>
      <c r="AJ52" s="26"/>
    </row>
    <row r="53" spans="4:36" ht="20.100000000000001" customHeight="1" x14ac:dyDescent="0.25">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209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209</v>
      </c>
      <c r="AI53" s="26"/>
      <c r="AJ53" s="26"/>
    </row>
    <row r="54" spans="4:36" ht="20.100000000000001" customHeight="1" x14ac:dyDescent="0.25">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209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209</v>
      </c>
      <c r="AI54" s="26"/>
      <c r="AJ54" s="26"/>
    </row>
    <row r="55" spans="4:36" ht="20.100000000000001" customHeight="1" x14ac:dyDescent="0.25">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209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209</v>
      </c>
      <c r="AI55" s="26"/>
      <c r="AJ55" s="26"/>
    </row>
    <row r="56" spans="4:36" ht="20.100000000000001" customHeight="1" x14ac:dyDescent="0.25">
      <c r="AI56" s="26"/>
      <c r="AJ56" s="26"/>
    </row>
    <row r="57" spans="4:36" ht="20.100000000000001" customHeight="1" x14ac:dyDescent="0.25">
      <c r="W57" s="114" t="s">
        <v>277</v>
      </c>
      <c r="AI57" s="26"/>
      <c r="AJ57" s="26"/>
    </row>
    <row r="58" spans="4:36" ht="20.100000000000001" customHeight="1" x14ac:dyDescent="0.25">
      <c r="W58" s="115" t="s">
        <v>278</v>
      </c>
      <c r="AI58" s="26"/>
      <c r="AJ58" s="26"/>
    </row>
    <row r="59" spans="4:36" ht="20.100000000000001" customHeight="1" x14ac:dyDescent="0.25">
      <c r="W59" s="116" t="s">
        <v>77</v>
      </c>
      <c r="X59" s="117" t="s">
        <v>190</v>
      </c>
      <c r="Y59" s="117" t="s">
        <v>191</v>
      </c>
      <c r="Z59" s="117" t="s">
        <v>192</v>
      </c>
      <c r="AA59" s="117" t="s">
        <v>193</v>
      </c>
      <c r="AB59" s="117" t="s">
        <v>194</v>
      </c>
      <c r="AC59" s="117" t="s">
        <v>195</v>
      </c>
      <c r="AD59" s="117" t="s">
        <v>196</v>
      </c>
      <c r="AE59" s="117" t="s">
        <v>197</v>
      </c>
      <c r="AF59" s="117" t="s">
        <v>198</v>
      </c>
      <c r="AG59" s="117" t="s">
        <v>199</v>
      </c>
      <c r="AI59" s="26"/>
      <c r="AJ59" s="26"/>
    </row>
    <row r="60" spans="4: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211</v>
      </c>
      <c r="AI60" s="26"/>
      <c r="AJ60" s="26"/>
    </row>
    <row r="61" spans="4: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211</v>
      </c>
      <c r="AI61" s="26"/>
      <c r="AJ61" s="26"/>
    </row>
    <row r="62" spans="4: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211</v>
      </c>
      <c r="AI62" s="26"/>
      <c r="AJ62" s="26"/>
    </row>
    <row r="63" spans="4: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211</v>
      </c>
      <c r="AI63" s="26"/>
      <c r="AJ63" s="26"/>
    </row>
    <row r="64" spans="4: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211</v>
      </c>
    </row>
    <row r="65" spans="4:36" ht="20.100000000000001" customHeight="1" x14ac:dyDescent="0.25">
      <c r="D65" s="114" t="s">
        <v>275</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211</v>
      </c>
    </row>
    <row r="66" spans="4:36" ht="20.100000000000001" customHeight="1" x14ac:dyDescent="0.25">
      <c r="D66" s="115" t="s">
        <v>276</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211</v>
      </c>
    </row>
    <row r="67" spans="4:36" ht="20.100000000000001" customHeight="1" x14ac:dyDescent="0.25">
      <c r="D67" s="116" t="s">
        <v>78</v>
      </c>
      <c r="E67" s="117" t="s">
        <v>190</v>
      </c>
      <c r="F67" s="117" t="s">
        <v>191</v>
      </c>
      <c r="G67" s="117" t="s">
        <v>192</v>
      </c>
      <c r="H67" s="117" t="s">
        <v>193</v>
      </c>
      <c r="I67" s="117" t="s">
        <v>194</v>
      </c>
      <c r="J67" s="117" t="s">
        <v>195</v>
      </c>
      <c r="K67" s="117" t="s">
        <v>196</v>
      </c>
      <c r="L67" s="117" t="s">
        <v>197</v>
      </c>
      <c r="M67" s="117" t="s">
        <v>198</v>
      </c>
      <c r="N67" s="117" t="s">
        <v>199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211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209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211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209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211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209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211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209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211</v>
      </c>
      <c r="AI71" s="26"/>
      <c r="AJ71" s="26"/>
    </row>
    <row r="72" spans="4:36" ht="20.100000000000001" customHeight="1" x14ac:dyDescent="0.25">
      <c r="AI72" s="26"/>
      <c r="AJ72" s="26"/>
    </row>
    <row r="73" spans="4:36" ht="20.100000000000001" customHeight="1" x14ac:dyDescent="0.25">
      <c r="W73" s="114" t="s">
        <v>281</v>
      </c>
      <c r="AI73" s="26"/>
      <c r="AJ73" s="26"/>
    </row>
    <row r="74" spans="4:36" ht="20.100000000000001" customHeight="1" x14ac:dyDescent="0.25">
      <c r="W74" s="115" t="s">
        <v>282</v>
      </c>
      <c r="AI74" s="26"/>
      <c r="AJ74" s="26"/>
    </row>
    <row r="75" spans="4:36" ht="20.100000000000001" customHeight="1" x14ac:dyDescent="0.25">
      <c r="W75" s="116" t="s">
        <v>77</v>
      </c>
      <c r="X75" s="116" t="s">
        <v>190</v>
      </c>
      <c r="Y75" s="116" t="s">
        <v>191</v>
      </c>
      <c r="Z75" s="116" t="s">
        <v>192</v>
      </c>
      <c r="AA75" s="116" t="s">
        <v>193</v>
      </c>
      <c r="AB75" s="116" t="s">
        <v>194</v>
      </c>
      <c r="AC75" s="116" t="s">
        <v>195</v>
      </c>
      <c r="AD75" s="116" t="s">
        <v>196</v>
      </c>
      <c r="AE75" s="116" t="s">
        <v>197</v>
      </c>
      <c r="AF75" s="116" t="s">
        <v>198</v>
      </c>
      <c r="AG75" s="116" t="s">
        <v>199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4" t="s">
        <v>279</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5" t="s">
        <v>280</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6" t="s">
        <v>78</v>
      </c>
      <c r="E83" s="116" t="s">
        <v>190</v>
      </c>
      <c r="F83" s="116" t="s">
        <v>191</v>
      </c>
      <c r="G83" s="116" t="s">
        <v>192</v>
      </c>
      <c r="H83" s="116" t="s">
        <v>193</v>
      </c>
      <c r="I83" s="116" t="s">
        <v>194</v>
      </c>
      <c r="J83" s="116" t="s">
        <v>195</v>
      </c>
      <c r="K83" s="116" t="s">
        <v>196</v>
      </c>
      <c r="L83" s="116" t="s">
        <v>197</v>
      </c>
      <c r="M83" s="116" t="s">
        <v>198</v>
      </c>
      <c r="N83" s="116" t="s">
        <v>199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200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201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202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203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258</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SourceData_PastureBeef_AshContentOfFeedIntake_Data</f>
        <v>0.08</v>
      </c>
    </row>
    <row r="111" spans="3:37" ht="20.100000000000001" customHeight="1" x14ac:dyDescent="0.25"/>
    <row r="112" spans="3:37" ht="20.100000000000001" customHeight="1" x14ac:dyDescent="0.25">
      <c r="D112" s="114" t="s">
        <v>393</v>
      </c>
      <c r="W112" s="114" t="s">
        <v>394</v>
      </c>
    </row>
    <row r="113" spans="4:36" ht="20.100000000000001" customHeight="1" x14ac:dyDescent="0.25">
      <c r="D113" s="115" t="s">
        <v>395</v>
      </c>
      <c r="W113" s="115" t="s">
        <v>396</v>
      </c>
    </row>
    <row r="114" spans="4:36"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W114" s="116" t="s">
        <v>77</v>
      </c>
      <c r="X114" s="117" t="s">
        <v>190</v>
      </c>
      <c r="Y114" s="117" t="s">
        <v>191</v>
      </c>
      <c r="Z114" s="117" t="s">
        <v>192</v>
      </c>
      <c r="AA114" s="117" t="s">
        <v>193</v>
      </c>
      <c r="AB114" s="117" t="s">
        <v>194</v>
      </c>
      <c r="AC114" s="117" t="s">
        <v>195</v>
      </c>
      <c r="AD114" s="117" t="s">
        <v>196</v>
      </c>
      <c r="AE114" s="117" t="s">
        <v>197</v>
      </c>
      <c r="AF114" s="117" t="s">
        <v>198</v>
      </c>
      <c r="AG114" s="117" t="s">
        <v>199</v>
      </c>
    </row>
    <row r="115" spans="4:36" ht="20.100000000000001" customHeight="1" x14ac:dyDescent="0.25">
      <c r="D115" s="25" t="s">
        <v>200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230</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230</v>
      </c>
      <c r="AI115" s="26"/>
      <c r="AJ115" s="26"/>
    </row>
    <row r="116" spans="4:36" ht="20.100000000000001" customHeight="1" x14ac:dyDescent="0.25">
      <c r="D116" s="25" t="s">
        <v>201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230</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230</v>
      </c>
      <c r="AI116" s="26"/>
      <c r="AJ116" s="26"/>
    </row>
    <row r="117" spans="4:36" ht="20.100000000000001" customHeight="1" x14ac:dyDescent="0.25">
      <c r="D117" s="25" t="s">
        <v>202</v>
      </c>
      <c r="E117" s="25">
        <f ca="1"/>
        <v>0.5</v>
      </c>
      <c r="F117" s="25">
        <f ca="1"/>
        <v>0.5</v>
      </c>
      <c r="G117" s="25">
        <f ca="1"/>
        <v>0.5</v>
      </c>
      <c r="H117" s="25">
        <f ca="1"/>
        <v>0.5</v>
      </c>
      <c r="I117" s="25">
        <f ca="1"/>
        <v>0.5</v>
      </c>
      <c r="J117" s="25">
        <f ca="1"/>
        <v>0.5</v>
      </c>
      <c r="K117" s="25">
        <f ca="1"/>
        <v>0.5</v>
      </c>
      <c r="L117" s="25">
        <f ca="1"/>
        <v>0.5</v>
      </c>
      <c r="M117" s="25">
        <f ca="1"/>
        <v>0.5</v>
      </c>
      <c r="N117" s="25">
        <f ca="1"/>
        <v>0.5</v>
      </c>
      <c r="O117" s="26" t="s">
        <v>230</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230</v>
      </c>
      <c r="AI117" s="26"/>
      <c r="AJ117" s="26"/>
    </row>
    <row r="118" spans="4:36" ht="20.100000000000001" customHeight="1" x14ac:dyDescent="0.25">
      <c r="D118" s="25" t="s">
        <v>203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230</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230</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230</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230</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230</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230</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230</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230</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230</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230</v>
      </c>
      <c r="AI126" s="26"/>
      <c r="AJ126" s="26"/>
    </row>
    <row r="127" spans="4:36" ht="20.100000000000001" customHeight="1" x14ac:dyDescent="0.25"/>
    <row r="128" spans="4:36" ht="20.100000000000001" customHeight="1" x14ac:dyDescent="0.25">
      <c r="D128" s="114" t="s">
        <v>397</v>
      </c>
      <c r="W128" s="114" t="s">
        <v>398</v>
      </c>
    </row>
    <row r="129" spans="4:36" ht="20.100000000000001" customHeight="1" x14ac:dyDescent="0.25">
      <c r="D129" s="115" t="s">
        <v>399</v>
      </c>
      <c r="W129" s="115" t="s">
        <v>400</v>
      </c>
    </row>
    <row r="130" spans="4:36" ht="20.100000000000001" customHeight="1" x14ac:dyDescent="0.25">
      <c r="D130" s="116" t="s">
        <v>78</v>
      </c>
      <c r="E130" s="116" t="s">
        <v>190</v>
      </c>
      <c r="F130" s="116" t="s">
        <v>191</v>
      </c>
      <c r="G130" s="116" t="s">
        <v>192</v>
      </c>
      <c r="H130" s="116" t="s">
        <v>193</v>
      </c>
      <c r="I130" s="116" t="s">
        <v>194</v>
      </c>
      <c r="J130" s="116" t="s">
        <v>195</v>
      </c>
      <c r="K130" s="116" t="s">
        <v>196</v>
      </c>
      <c r="L130" s="116" t="s">
        <v>197</v>
      </c>
      <c r="M130" s="116" t="s">
        <v>198</v>
      </c>
      <c r="N130" s="116" t="s">
        <v>199</v>
      </c>
      <c r="W130" s="116" t="s">
        <v>77</v>
      </c>
      <c r="X130" s="116" t="s">
        <v>190</v>
      </c>
      <c r="Y130" s="116" t="s">
        <v>191</v>
      </c>
      <c r="Z130" s="116" t="s">
        <v>192</v>
      </c>
      <c r="AA130" s="116" t="s">
        <v>193</v>
      </c>
      <c r="AB130" s="116" t="s">
        <v>194</v>
      </c>
      <c r="AC130" s="116" t="s">
        <v>195</v>
      </c>
      <c r="AD130" s="116" t="s">
        <v>196</v>
      </c>
      <c r="AE130" s="116" t="s">
        <v>197</v>
      </c>
      <c r="AF130" s="116" t="s">
        <v>198</v>
      </c>
      <c r="AG130" s="116" t="s">
        <v>199</v>
      </c>
    </row>
    <row r="131" spans="4:36" ht="20.100000000000001" customHeight="1" x14ac:dyDescent="0.25">
      <c r="D131" s="25" t="s">
        <v>200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201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202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203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258</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SourceData_PastureBeef_MethaneEmissionsPotential_Data</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Common_SourceData_DensityOfMethane_Data</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Western Australia</v>
      </c>
      <c r="W159" s="107" t="str">
        <v>MAT</v>
      </c>
      <c r="X159" s="108" t="str">
        <v>Mean annual temperature</v>
      </c>
      <c r="Y159" s="110"/>
      <c r="Z159" s="107" t="str">
        <v>°C</v>
      </c>
      <c r="AA159" s="111" t="str">
        <v>Input</v>
      </c>
      <c r="AB159" s="107">
        <f>X_Cell_Site_AverageTemperature</f>
        <v>18</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401</v>
      </c>
    </row>
    <row r="163" spans="4:34" ht="20.100000000000001" customHeight="1" x14ac:dyDescent="0.25">
      <c r="D163" s="115" t="s">
        <v>402</v>
      </c>
    </row>
    <row r="164" spans="4:34" ht="20.100000000000001" customHeight="1" x14ac:dyDescent="0.25">
      <c r="D164" s="116" t="s">
        <v>403</v>
      </c>
      <c r="E164" s="117" t="s">
        <v>404</v>
      </c>
      <c r="F164" s="26" t="s">
        <v>230</v>
      </c>
    </row>
    <row r="165" spans="4:34" ht="20.100000000000001" customHeight="1" x14ac:dyDescent="0.25">
      <c r="D165" s="25" t="str">
        <f>'Input - Pasture Beef'!$D$180</f>
        <v>Pasture range and paddock</v>
      </c>
      <c r="E165" s="25">
        <f>X_Cell_PastureBeef_CalculatedMMSPastureRangeAndPaddock</f>
        <v>0.99621999999999999</v>
      </c>
      <c r="F165" s="26" t="s">
        <v>230</v>
      </c>
    </row>
    <row r="166" spans="4:34" ht="20.100000000000001" customHeight="1" x14ac:dyDescent="0.25">
      <c r="D166" s="25" t="str">
        <f>'Input - Pasture Beef'!$D$181</f>
        <v>Anaerobic lagoon</v>
      </c>
      <c r="E166" s="25">
        <f>X_Cell_PastureBeef_CalculatedMMSAnaerobicLagoon</f>
        <v>3.7799999999999999E-3</v>
      </c>
    </row>
    <row r="167" spans="4:34" ht="20.100000000000001" customHeight="1" x14ac:dyDescent="0.25"/>
    <row r="168" spans="4:34" ht="20.100000000000001" customHeight="1" x14ac:dyDescent="0.25">
      <c r="D168" s="114" t="s">
        <v>405</v>
      </c>
      <c r="W168" s="114" t="s">
        <v>406</v>
      </c>
    </row>
    <row r="169" spans="4:34" ht="20.100000000000001" customHeight="1" x14ac:dyDescent="0.25">
      <c r="D169" s="115" t="s">
        <v>407</v>
      </c>
      <c r="W169" s="115" t="s">
        <v>408</v>
      </c>
    </row>
    <row r="170" spans="4:34" ht="20.100000000000001" customHeight="1" x14ac:dyDescent="0.25">
      <c r="D170" s="116" t="s">
        <v>403</v>
      </c>
      <c r="E170" s="116" t="s">
        <v>409</v>
      </c>
      <c r="W170" s="116" t="s">
        <v>403</v>
      </c>
      <c r="X170" s="116" t="s">
        <v>409</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4" t="s">
        <v>410</v>
      </c>
      <c r="W174" s="114" t="s">
        <v>411</v>
      </c>
    </row>
    <row r="175" spans="4:34" ht="20.100000000000001" customHeight="1" x14ac:dyDescent="0.25">
      <c r="D175" s="115" t="s">
        <v>412</v>
      </c>
      <c r="W175" s="115" t="s">
        <v>413</v>
      </c>
    </row>
    <row r="176" spans="4:34" ht="20.100000000000001" customHeight="1" x14ac:dyDescent="0.25">
      <c r="D176" s="116" t="s">
        <v>403</v>
      </c>
      <c r="E176" s="116" t="s">
        <v>78</v>
      </c>
      <c r="F176" s="116" t="s">
        <v>190</v>
      </c>
      <c r="G176" s="116" t="s">
        <v>191</v>
      </c>
      <c r="H176" s="116" t="s">
        <v>192</v>
      </c>
      <c r="I176" s="116" t="s">
        <v>193</v>
      </c>
      <c r="J176" s="116" t="s">
        <v>194</v>
      </c>
      <c r="K176" s="116" t="s">
        <v>195</v>
      </c>
      <c r="L176" s="116" t="s">
        <v>196</v>
      </c>
      <c r="M176" s="116" t="s">
        <v>197</v>
      </c>
      <c r="N176" s="116" t="s">
        <v>198</v>
      </c>
      <c r="O176" s="116" t="s">
        <v>199</v>
      </c>
      <c r="W176" s="116" t="s">
        <v>403</v>
      </c>
      <c r="X176" s="116" t="s">
        <v>77</v>
      </c>
      <c r="Y176" s="116" t="s">
        <v>190</v>
      </c>
      <c r="Z176" s="116" t="s">
        <v>191</v>
      </c>
      <c r="AA176" s="116" t="s">
        <v>192</v>
      </c>
      <c r="AB176" s="116" t="s">
        <v>193</v>
      </c>
      <c r="AC176" s="116" t="s">
        <v>194</v>
      </c>
      <c r="AD176" s="116" t="s">
        <v>195</v>
      </c>
      <c r="AE176" s="116" t="s">
        <v>196</v>
      </c>
      <c r="AF176" s="116" t="s">
        <v>197</v>
      </c>
      <c r="AG176" s="116" t="s">
        <v>198</v>
      </c>
      <c r="AH176" s="116" t="s">
        <v>199</v>
      </c>
    </row>
    <row r="177" spans="4:36" ht="20.100000000000001" customHeight="1" x14ac:dyDescent="0.25">
      <c r="D177" s="25" t="str">
        <f>'Input - Pasture Beef'!$D$180</f>
        <v>Pasture range and paddock</v>
      </c>
      <c r="E177" s="25" t="s">
        <v>200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201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202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203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200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201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202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203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258</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287</v>
      </c>
      <c r="W216" s="114" t="s">
        <v>291</v>
      </c>
    </row>
    <row r="217" spans="4:34" ht="20.100000000000001" customHeight="1" x14ac:dyDescent="0.25">
      <c r="D217" s="115" t="s">
        <v>288</v>
      </c>
      <c r="W217" s="115" t="s">
        <v>292</v>
      </c>
    </row>
    <row r="218" spans="4:34" ht="20.100000000000001" customHeight="1" x14ac:dyDescent="0.25">
      <c r="D218" s="116" t="s">
        <v>78</v>
      </c>
      <c r="E218" s="117" t="s">
        <v>190</v>
      </c>
      <c r="F218" s="117" t="s">
        <v>191</v>
      </c>
      <c r="G218" s="117" t="s">
        <v>192</v>
      </c>
      <c r="H218" s="117" t="s">
        <v>193</v>
      </c>
      <c r="I218" s="117" t="s">
        <v>194</v>
      </c>
      <c r="J218" s="117" t="s">
        <v>195</v>
      </c>
      <c r="K218" s="117" t="s">
        <v>196</v>
      </c>
      <c r="L218" s="117" t="s">
        <v>197</v>
      </c>
      <c r="M218" s="117" t="s">
        <v>198</v>
      </c>
      <c r="N218" s="117" t="s">
        <v>199</v>
      </c>
      <c r="W218" s="116" t="s">
        <v>77</v>
      </c>
      <c r="X218" s="117" t="s">
        <v>190</v>
      </c>
      <c r="Y218" s="117" t="s">
        <v>191</v>
      </c>
      <c r="Z218" s="117" t="s">
        <v>192</v>
      </c>
      <c r="AA218" s="117" t="s">
        <v>193</v>
      </c>
      <c r="AB218" s="117" t="s">
        <v>194</v>
      </c>
      <c r="AC218" s="117" t="s">
        <v>195</v>
      </c>
      <c r="AD218" s="117" t="s">
        <v>196</v>
      </c>
      <c r="AE218" s="117" t="s">
        <v>197</v>
      </c>
      <c r="AF218" s="117" t="s">
        <v>198</v>
      </c>
      <c r="AG218" s="117"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4" t="s">
        <v>289</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5" t="s">
        <v>290</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6" t="s">
        <v>78</v>
      </c>
      <c r="E226" s="117" t="s">
        <v>190</v>
      </c>
      <c r="F226" s="117" t="s">
        <v>191</v>
      </c>
      <c r="G226" s="117" t="s">
        <v>192</v>
      </c>
      <c r="H226" s="117" t="s">
        <v>193</v>
      </c>
      <c r="I226" s="117" t="s">
        <v>194</v>
      </c>
      <c r="J226" s="117" t="s">
        <v>195</v>
      </c>
      <c r="K226" s="117" t="s">
        <v>196</v>
      </c>
      <c r="L226" s="117" t="s">
        <v>197</v>
      </c>
      <c r="M226" s="117" t="s">
        <v>198</v>
      </c>
      <c r="N226" s="117" t="s">
        <v>199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4" t="s">
        <v>416</v>
      </c>
      <c r="W232" s="114" t="s">
        <v>296</v>
      </c>
    </row>
    <row r="233" spans="4:34" ht="20.100000000000001" customHeight="1" x14ac:dyDescent="0.25">
      <c r="D233" s="115" t="s">
        <v>417</v>
      </c>
      <c r="W233" s="115" t="s">
        <v>297</v>
      </c>
    </row>
    <row r="234" spans="4:34" ht="20.100000000000001" customHeight="1" x14ac:dyDescent="0.25">
      <c r="D234" s="116" t="s">
        <v>403</v>
      </c>
      <c r="E234" s="116" t="s">
        <v>78</v>
      </c>
      <c r="F234" s="116" t="s">
        <v>190</v>
      </c>
      <c r="G234" s="116" t="s">
        <v>191</v>
      </c>
      <c r="H234" s="116" t="s">
        <v>192</v>
      </c>
      <c r="I234" s="116" t="s">
        <v>193</v>
      </c>
      <c r="J234" s="116" t="s">
        <v>194</v>
      </c>
      <c r="K234" s="116" t="s">
        <v>195</v>
      </c>
      <c r="L234" s="116" t="s">
        <v>196</v>
      </c>
      <c r="M234" s="116" t="s">
        <v>197</v>
      </c>
      <c r="N234" s="116" t="s">
        <v>198</v>
      </c>
      <c r="O234" s="116" t="s">
        <v>199</v>
      </c>
      <c r="W234" s="116" t="s">
        <v>77</v>
      </c>
      <c r="X234" s="117" t="s">
        <v>190</v>
      </c>
      <c r="Y234" s="117" t="s">
        <v>191</v>
      </c>
      <c r="Z234" s="117" t="s">
        <v>192</v>
      </c>
      <c r="AA234" s="117" t="s">
        <v>193</v>
      </c>
      <c r="AB234" s="117" t="s">
        <v>194</v>
      </c>
      <c r="AC234" s="117" t="s">
        <v>195</v>
      </c>
      <c r="AD234" s="117" t="s">
        <v>196</v>
      </c>
      <c r="AE234" s="117" t="s">
        <v>197</v>
      </c>
      <c r="AF234" s="117" t="s">
        <v>198</v>
      </c>
      <c r="AG234" s="117" t="s">
        <v>199</v>
      </c>
      <c r="AH234" s="26"/>
    </row>
    <row r="235" spans="4:34" ht="20.100000000000001" customHeight="1" x14ac:dyDescent="0.25">
      <c r="D235" s="25" t="str">
        <f>'Input - Pasture Beef'!$D$180</f>
        <v>Pasture range and paddock</v>
      </c>
      <c r="E235" s="25" t="s">
        <v>200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415</v>
      </c>
    </row>
    <row r="236" spans="4:34" ht="20.100000000000001" customHeight="1" x14ac:dyDescent="0.25">
      <c r="D236" s="25" t="str">
        <f>'Input - Pasture Beef'!$D$180</f>
        <v>Pasture range and paddock</v>
      </c>
      <c r="E236" s="25" t="s">
        <v>201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415</v>
      </c>
    </row>
    <row r="237" spans="4:34" ht="20.100000000000001" customHeight="1" x14ac:dyDescent="0.25">
      <c r="D237" s="25" t="str">
        <f>'Input - Pasture Beef'!$D$180</f>
        <v>Pasture range and paddock</v>
      </c>
      <c r="E237" s="25" t="s">
        <v>202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415</v>
      </c>
    </row>
    <row r="238" spans="4:34" ht="20.100000000000001" customHeight="1" x14ac:dyDescent="0.25">
      <c r="D238" s="25" t="str">
        <f>'Input - Pasture Beef'!$D$180</f>
        <v>Pasture range and paddock</v>
      </c>
      <c r="E238" s="25" t="s">
        <v>203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415</v>
      </c>
    </row>
    <row r="239" spans="4:34" ht="20.100000000000001" customHeight="1" x14ac:dyDescent="0.25">
      <c r="D239" s="25" t="str">
        <f>'Input - Pasture Beef'!$D$181</f>
        <v>Anaerobic lagoon</v>
      </c>
      <c r="E239" s="25" t="s">
        <v>200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415</v>
      </c>
    </row>
    <row r="240" spans="4:34" ht="20.100000000000001" customHeight="1" x14ac:dyDescent="0.25">
      <c r="D240" s="25" t="str">
        <f>'Input - Pasture Beef'!$D$181</f>
        <v>Anaerobic lagoon</v>
      </c>
      <c r="E240" s="25" t="s">
        <v>201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415</v>
      </c>
    </row>
    <row r="241" spans="4:36" ht="20.100000000000001" customHeight="1" x14ac:dyDescent="0.25">
      <c r="D241" s="25" t="str">
        <f>'Input - Pasture Beef'!$D$181</f>
        <v>Anaerobic lagoon</v>
      </c>
      <c r="E241" s="25" t="s">
        <v>202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415</v>
      </c>
    </row>
    <row r="242" spans="4:36" ht="20.100000000000001" customHeight="1" x14ac:dyDescent="0.25">
      <c r="D242" s="25" t="str">
        <f>'Input - Pasture Beef'!$D$181</f>
        <v>Anaerobic lagoon</v>
      </c>
      <c r="E242" s="25" t="s">
        <v>203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415</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415</v>
      </c>
    </row>
    <row r="244" spans="4:36" ht="20.100000000000001" customHeight="1" x14ac:dyDescent="0.25">
      <c r="D244" s="119" t="s">
        <v>295</v>
      </c>
      <c r="E244" s="120">
        <f ca="1">SUM(F235:O242)</f>
        <v>0.88628531326724402</v>
      </c>
      <c r="F244" s="121"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415</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415</v>
      </c>
    </row>
    <row r="246" spans="4:36" ht="20.100000000000001" customHeight="1" x14ac:dyDescent="0.25">
      <c r="D246" s="122" t="str" cm="1">
        <f t="array" ref="D246:E247">Common_Equations.Common_ConvertCH4ToCO2e_Arguments()</f>
        <v>ECH4</v>
      </c>
      <c r="E246" s="123" t="str">
        <v>Methane emissions (t CH4)</v>
      </c>
      <c r="F246" s="124"/>
      <c r="G246" s="25">
        <f ca="1">E244</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415</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418</v>
      </c>
    </row>
    <row r="249" spans="4:36" ht="20.100000000000001" customHeight="1" x14ac:dyDescent="0.25">
      <c r="D249" s="118" t="s">
        <v>298</v>
      </c>
      <c r="E249" s="118" cm="1">
        <f t="array" aca="1" ref="E249" ca="1">Common_Equations.Common_ConvertN2OToCO2e(G246,G247)</f>
        <v>24.815988771482832</v>
      </c>
      <c r="F249" s="125" t="str" cm="1">
        <f t="array" ref="F249">Common_Equations.Common_ConvertN2OToCO2e_Unit()</f>
        <v>t CO2e</v>
      </c>
      <c r="W249" s="115" t="s">
        <v>419</v>
      </c>
    </row>
    <row r="250" spans="4:36" ht="20.100000000000001" customHeight="1" x14ac:dyDescent="0.25">
      <c r="W250" s="116" t="s">
        <v>403</v>
      </c>
      <c r="X250" s="116" t="s">
        <v>77</v>
      </c>
      <c r="Y250" s="116" t="s">
        <v>190</v>
      </c>
      <c r="Z250" s="116" t="s">
        <v>191</v>
      </c>
      <c r="AA250" s="116" t="s">
        <v>192</v>
      </c>
      <c r="AB250" s="116" t="s">
        <v>193</v>
      </c>
      <c r="AC250" s="116" t="s">
        <v>194</v>
      </c>
      <c r="AD250" s="116" t="s">
        <v>195</v>
      </c>
      <c r="AE250" s="116" t="s">
        <v>196</v>
      </c>
      <c r="AF250" s="116" t="s">
        <v>197</v>
      </c>
      <c r="AG250" s="116" t="s">
        <v>198</v>
      </c>
      <c r="AH250" s="116" t="s">
        <v>199</v>
      </c>
    </row>
    <row r="251" spans="4:36" ht="20.100000000000001" customHeight="1" x14ac:dyDescent="0.25">
      <c r="W251" s="25" t="str">
        <f>'Input - Pasture Beef'!$D$180</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9" t="s">
        <v>295</v>
      </c>
      <c r="X276" s="120">
        <f ca="1">SUM(Y251:AH274)</f>
        <v>0.89029635334910784</v>
      </c>
      <c r="Y276" s="121">
        <f ca="1">X242</f>
        <v>31</v>
      </c>
    </row>
    <row r="278" spans="23:36" x14ac:dyDescent="0.25">
      <c r="W278" s="122" t="str" cm="1">
        <f t="array" ref="W278:X279">Common_Equations.Common_ConvertCH4ToCO2e_Arguments()</f>
        <v>ECH4</v>
      </c>
      <c r="X278" s="123" t="str">
        <v>Methane emissions (t CH4)</v>
      </c>
      <c r="Y278" s="124"/>
      <c r="Z278" s="25">
        <f ca="1">X276</f>
        <v>0.89029635334910784</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298</v>
      </c>
      <c r="X281" s="118" cm="1">
        <f t="array" aca="1" ref="X281" ca="1">Common_Equations.Common_ConvertN2OToCO2e(Z278,Z279)</f>
        <v>24.928297893775021</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47E7184A-F161-4E59-9806-AF5A7330C965}"/>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BABD5-5B71-43A5-8E22-3926B18D7FA6}">
  <dimension ref="A1:AI291"/>
  <sheetViews>
    <sheetView showGridLines="0" topLeftCell="P24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258</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X_Cell_Site_State</f>
        <v>Western Australia</v>
      </c>
    </row>
    <row r="16" spans="1:35" ht="20.100000000000001" customHeight="1" x14ac:dyDescent="0.25"/>
    <row r="17" spans="1:34" ht="20.100000000000001" customHeight="1" x14ac:dyDescent="0.25">
      <c r="D17" s="114" t="s">
        <v>273</v>
      </c>
      <c r="U17" s="114" t="s">
        <v>421</v>
      </c>
    </row>
    <row r="18" spans="1:34" ht="20.100000000000001" customHeight="1" x14ac:dyDescent="0.25">
      <c r="A18" s="6" t="s">
        <v>2</v>
      </c>
      <c r="D18" s="115" t="s">
        <v>274</v>
      </c>
      <c r="U18" s="115" t="s">
        <v>272</v>
      </c>
    </row>
    <row r="19" spans="1:34" ht="20.100000000000001" customHeight="1" x14ac:dyDescent="0.25">
      <c r="A19" s="5" t="str">
        <f>HYPERLINK("#'3.2.1.1-2 Enteric Methane'!A1", "3.2.1.1-2 Enteric methane")</f>
        <v>3.2.1.1-2 Enteric methane</v>
      </c>
      <c r="D19" s="116" t="s">
        <v>78</v>
      </c>
      <c r="E19" s="117" t="s">
        <v>190</v>
      </c>
      <c r="F19" s="117" t="s">
        <v>191</v>
      </c>
      <c r="G19" s="117" t="s">
        <v>192</v>
      </c>
      <c r="H19" s="117" t="s">
        <v>193</v>
      </c>
      <c r="I19" s="117" t="s">
        <v>194</v>
      </c>
      <c r="J19" s="117" t="s">
        <v>195</v>
      </c>
      <c r="K19" s="117" t="s">
        <v>196</v>
      </c>
      <c r="L19" s="117" t="s">
        <v>197</v>
      </c>
      <c r="M19" s="117" t="s">
        <v>198</v>
      </c>
      <c r="N19" s="117" t="s">
        <v>199</v>
      </c>
      <c r="U19" s="116" t="s">
        <v>77</v>
      </c>
      <c r="V19" s="117" t="s">
        <v>190</v>
      </c>
      <c r="W19" s="117" t="s">
        <v>191</v>
      </c>
      <c r="X19" s="117" t="s">
        <v>192</v>
      </c>
      <c r="Y19" s="117" t="s">
        <v>193</v>
      </c>
      <c r="Z19" s="117" t="s">
        <v>194</v>
      </c>
      <c r="AA19" s="117" t="s">
        <v>195</v>
      </c>
      <c r="AB19" s="117" t="s">
        <v>196</v>
      </c>
      <c r="AC19" s="117" t="s">
        <v>197</v>
      </c>
      <c r="AD19" s="117" t="s">
        <v>198</v>
      </c>
      <c r="AE19" s="117" t="s">
        <v>199</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209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209</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209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209</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209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209</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209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209</v>
      </c>
      <c r="AG23" s="26"/>
      <c r="AH23" s="26"/>
    </row>
    <row r="24" spans="1:34" ht="20.100000000000001" customHeight="1" x14ac:dyDescent="0.25">
      <c r="A24" s="5" t="str">
        <f>HYPERLINK("#'5.1.1.1-2 Inorganic fert N2O'!A1", "5.1.1.1-2 Inorganic fert N2O")</f>
        <v>5.1.1.1-2 Inorganic fert N2O</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209</v>
      </c>
      <c r="AG24" s="26"/>
      <c r="AH24" s="26"/>
    </row>
    <row r="25" spans="1:34" ht="20.100000000000001" customHeight="1" x14ac:dyDescent="0.25">
      <c r="A25" s="5" t="str">
        <f>HYPERLINK("#'5.1.1.3-4 Inorganic fert CO2'!A1", "5.1.1.3-4 Inorganic fert CO2")</f>
        <v>5.1.1.3-4 Inorganic fert CO2</v>
      </c>
      <c r="D25" s="114" t="s">
        <v>422</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209</v>
      </c>
      <c r="AG25" s="26"/>
      <c r="AH25" s="26"/>
    </row>
    <row r="26" spans="1:34" ht="20.100000000000001" customHeight="1" x14ac:dyDescent="0.25">
      <c r="A26" s="5" t="str">
        <f>HYPERLINK("#'5.2.1.1-2 Organic Fert N2O'!A1", "5.2.1.1-2 Organic fert N2O")</f>
        <v>5.2.1.1-2 Organic fert N2O</v>
      </c>
      <c r="D26" s="115" t="s">
        <v>423</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209</v>
      </c>
      <c r="AG26" s="26"/>
      <c r="AH26" s="26"/>
    </row>
    <row r="27" spans="1:34" ht="20.100000000000001" customHeight="1" x14ac:dyDescent="0.25">
      <c r="A27" s="5" t="str">
        <f>HYPERLINK("#'5.3.1.1-2 Lime CO2'!A1", "5.3.1.1-2 Lime CO2")</f>
        <v>5.3.1.1-2 Lime CO2</v>
      </c>
      <c r="D27" s="116" t="s">
        <v>190</v>
      </c>
      <c r="E27" s="116" t="s">
        <v>191</v>
      </c>
      <c r="F27" s="116" t="s">
        <v>192</v>
      </c>
      <c r="G27" s="116" t="s">
        <v>193</v>
      </c>
      <c r="H27" s="116" t="s">
        <v>194</v>
      </c>
      <c r="I27" s="116" t="s">
        <v>195</v>
      </c>
      <c r="J27" s="116" t="s">
        <v>196</v>
      </c>
      <c r="K27" s="116" t="s">
        <v>197</v>
      </c>
      <c r="L27" s="116" t="s">
        <v>198</v>
      </c>
      <c r="M27" s="116" t="s">
        <v>199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209</v>
      </c>
      <c r="AG27" s="26"/>
      <c r="AH27" s="26"/>
    </row>
    <row r="28" spans="1:34" ht="20.100000000000001" customHeight="1" x14ac:dyDescent="0.25">
      <c r="A28" s="5" t="str">
        <f>HYPERLINK("#'5.4.1.1-4 Atmos deposition'!A1", "5.4.1.1-4 Atmos. deposition")</f>
        <v>5.4.1.1-4 Atmos. deposition</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209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209</v>
      </c>
      <c r="AG28" s="26"/>
      <c r="AH28" s="26"/>
    </row>
    <row r="29" spans="1:34" ht="20.100000000000001" customHeight="1" x14ac:dyDescent="0.25">
      <c r="A29" s="5" t="str">
        <f>HYPERLINK("#'5.5.1.1-2 Leaching and runoff'!A1", "5.5.1.1-2 Leaching &amp; runoff")</f>
        <v>5.5.1.1-2 Leaching &amp; runoff</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209</v>
      </c>
      <c r="AG29" s="26"/>
      <c r="AH29" s="26"/>
    </row>
    <row r="30" spans="1:34" ht="20.100000000000001" customHeight="1" x14ac:dyDescent="0.25">
      <c r="A30" s="5" t="str">
        <f>HYPERLINK("#'6.2.1.1-2 Pasture residue N2O'!A1", "6.2.1.1-2 Pasture residue N2O")</f>
        <v>6.2.1.1-2 Pasture residue N2O</v>
      </c>
      <c r="D30" s="114" t="s">
        <v>424</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209</v>
      </c>
      <c r="AG30" s="26"/>
      <c r="AH30" s="26"/>
    </row>
    <row r="31" spans="1:34" ht="20.100000000000001" customHeight="1" x14ac:dyDescent="0.25">
      <c r="A31" s="5" t="str">
        <f>HYPERLINK("#'6.3.1.1-2 Leach runoff pasture'!A1", "6.3.1.1-2 Leach &amp; runoff (pasture)")</f>
        <v>6.3.1.1-2 Leach &amp; runoff (pasture)</v>
      </c>
      <c r="D31" s="115" t="s">
        <v>425</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209</v>
      </c>
      <c r="AG31" s="26"/>
      <c r="AH31" s="26"/>
    </row>
    <row r="32" spans="1:34" ht="20.100000000000001" customHeight="1" x14ac:dyDescent="0.25">
      <c r="A32" s="5" t="str">
        <f>HYPERLINK("#'8.1.1.1-2 Transport fuel'!A1", "8.1.1.1-2 Transport fuel")</f>
        <v>8.1.1.1-2 Transport fuel</v>
      </c>
      <c r="D32" s="116" t="s">
        <v>78</v>
      </c>
      <c r="E32" s="116" t="s">
        <v>190</v>
      </c>
      <c r="F32" s="116" t="s">
        <v>191</v>
      </c>
      <c r="G32" s="116" t="s">
        <v>192</v>
      </c>
      <c r="H32" s="116" t="s">
        <v>193</v>
      </c>
      <c r="I32" s="116" t="s">
        <v>194</v>
      </c>
      <c r="J32" s="116" t="s">
        <v>195</v>
      </c>
      <c r="K32" s="116" t="s">
        <v>196</v>
      </c>
      <c r="L32" s="116" t="s">
        <v>197</v>
      </c>
      <c r="M32" s="116" t="s">
        <v>198</v>
      </c>
      <c r="N32" s="116" t="s">
        <v>199</v>
      </c>
    </row>
    <row r="33" spans="1:34" ht="20.100000000000001" customHeight="1" x14ac:dyDescent="0.25">
      <c r="A33" s="5" t="str">
        <f>HYPERLINK("#'8.2.1.1-2 Stationary fuel'!A1", "8.2.1.1-2 Stationary fuel")</f>
        <v>8.2.1.1-2 Stationary fuel</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4" t="s">
        <v>426</v>
      </c>
    </row>
    <row r="34" spans="1:34" ht="20.100000000000001" customHeight="1" x14ac:dyDescent="0.25">
      <c r="A34" s="5" t="str">
        <f>HYPERLINK("#'14.1.1-2 Purchased electricity'!A1", "14.1.1-2 Purchased electricity")</f>
        <v>14.1.1-2 Purchased electricity</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5" t="s">
        <v>427</v>
      </c>
    </row>
    <row r="35" spans="1:34" ht="20.100000000000001" customHeight="1" x14ac:dyDescent="0.25">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6" t="s">
        <v>77</v>
      </c>
      <c r="V35" s="116" t="s">
        <v>190</v>
      </c>
      <c r="W35" s="116" t="s">
        <v>191</v>
      </c>
      <c r="X35" s="116" t="s">
        <v>192</v>
      </c>
      <c r="Y35" s="116" t="s">
        <v>193</v>
      </c>
      <c r="Z35" s="116" t="s">
        <v>194</v>
      </c>
      <c r="AA35" s="116" t="s">
        <v>195</v>
      </c>
      <c r="AB35" s="116" t="s">
        <v>196</v>
      </c>
      <c r="AC35" s="116" t="s">
        <v>197</v>
      </c>
      <c r="AD35" s="116" t="s">
        <v>198</v>
      </c>
      <c r="AE35" s="116" t="s">
        <v>199</v>
      </c>
      <c r="AF35" s="26"/>
      <c r="AG35" s="26"/>
      <c r="AH35" s="26"/>
    </row>
    <row r="36" spans="1:34" ht="20.100000000000001" customHeight="1" x14ac:dyDescent="0.25">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251" t="s">
        <v>1</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HYPERLINK("#'Constants - Pasture Beef'!A1", "Constants - Pasture Beef")</f>
        <v>Constants - Pasture Beef</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HYPERLINK("#'Constants - Fertiliser'!A1", "Constants - Fertiliser")</f>
        <v>Constants - Fertiliser</v>
      </c>
      <c r="D42" s="105" t="s">
        <v>258</v>
      </c>
      <c r="E42" s="105"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HYPERLINK("#'Constants - Fuel'!A1", "Constants - Fuel")</f>
        <v>Constants - Fuel</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HYPERLINK("#'Constants - Common'!A1", "Constants - Common")</f>
        <v>Constants - Common</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HYPERLINK("#'Acknowledgements'!A1", "Acknowledgements")</f>
        <v>Acknowledgements</v>
      </c>
      <c r="D45" s="88" t="s">
        <v>260</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279</v>
      </c>
      <c r="U51" s="2" t="str" cm="1">
        <f t="array" ref="U51">MMS_PastureBeef_Soil_N2ODirect_Equations.VEERG_4_2_1_3__6_IntakeRelativeToMaintenance_Title()</f>
        <v>Intake relative to that needed for maintenance</v>
      </c>
    </row>
    <row r="52" spans="4:35" ht="20.100000000000001" customHeight="1" x14ac:dyDescent="0.25">
      <c r="D52" s="115" t="s">
        <v>280</v>
      </c>
    </row>
    <row r="53" spans="4:35" ht="20.100000000000001" customHeight="1" x14ac:dyDescent="0.25">
      <c r="D53" s="116" t="s">
        <v>78</v>
      </c>
      <c r="E53" s="116" t="s">
        <v>190</v>
      </c>
      <c r="F53" s="116" t="s">
        <v>191</v>
      </c>
      <c r="G53" s="116" t="s">
        <v>192</v>
      </c>
      <c r="H53" s="116" t="s">
        <v>193</v>
      </c>
      <c r="I53" s="116" t="s">
        <v>194</v>
      </c>
      <c r="J53" s="116" t="s">
        <v>195</v>
      </c>
      <c r="K53" s="116" t="s">
        <v>196</v>
      </c>
      <c r="L53" s="116" t="s">
        <v>197</v>
      </c>
      <c r="M53" s="116" t="s">
        <v>198</v>
      </c>
      <c r="N53" s="116" t="s">
        <v>199</v>
      </c>
      <c r="U53" s="114" t="s">
        <v>281</v>
      </c>
    </row>
    <row r="54" spans="4:35" ht="20.100000000000001" customHeight="1" x14ac:dyDescent="0.25">
      <c r="D54" s="25" t="s">
        <v>200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5" t="s">
        <v>282</v>
      </c>
    </row>
    <row r="55" spans="4:35" ht="20.100000000000001" customHeight="1" x14ac:dyDescent="0.25">
      <c r="D55" s="25" t="s">
        <v>201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6" t="s">
        <v>77</v>
      </c>
      <c r="V55" s="116" t="s">
        <v>190</v>
      </c>
      <c r="W55" s="116" t="s">
        <v>191</v>
      </c>
      <c r="X55" s="116" t="s">
        <v>192</v>
      </c>
      <c r="Y55" s="116" t="s">
        <v>193</v>
      </c>
      <c r="Z55" s="116" t="s">
        <v>194</v>
      </c>
      <c r="AA55" s="116" t="s">
        <v>195</v>
      </c>
      <c r="AB55" s="116" t="s">
        <v>196</v>
      </c>
      <c r="AC55" s="116" t="s">
        <v>197</v>
      </c>
      <c r="AD55" s="116" t="s">
        <v>198</v>
      </c>
      <c r="AE55" s="116" t="s">
        <v>199</v>
      </c>
    </row>
    <row r="56" spans="4:35" ht="20.100000000000001" customHeight="1" x14ac:dyDescent="0.25">
      <c r="D56" s="25" t="s">
        <v>202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4:35" ht="20.100000000000001" customHeight="1" x14ac:dyDescent="0.25">
      <c r="D57" s="25" t="s">
        <v>203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4:35" ht="20.100000000000001" customHeight="1" x14ac:dyDescent="0.25">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4:35" ht="20.100000000000001" customHeight="1" x14ac:dyDescent="0.25">
      <c r="D59" s="114" t="s">
        <v>428</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4:35" ht="20.100000000000001" customHeight="1" x14ac:dyDescent="0.25">
      <c r="D60" s="115" t="s">
        <v>429</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4:35" ht="20.100000000000001" customHeight="1" x14ac:dyDescent="0.25">
      <c r="D61" s="116" t="s">
        <v>78</v>
      </c>
      <c r="E61" s="116" t="s">
        <v>190</v>
      </c>
      <c r="F61" s="116" t="s">
        <v>191</v>
      </c>
      <c r="G61" s="116" t="s">
        <v>192</v>
      </c>
      <c r="H61" s="116" t="s">
        <v>193</v>
      </c>
      <c r="I61" s="116" t="s">
        <v>194</v>
      </c>
      <c r="J61" s="116" t="s">
        <v>195</v>
      </c>
      <c r="K61" s="116" t="s">
        <v>196</v>
      </c>
      <c r="L61" s="116" t="s">
        <v>197</v>
      </c>
      <c r="M61" s="116" t="s">
        <v>198</v>
      </c>
      <c r="N61" s="116" t="s">
        <v>199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4:35" ht="20.100000000000001" customHeight="1" x14ac:dyDescent="0.25">
      <c r="D62" s="25" t="s">
        <v>200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4:35" ht="20.100000000000001" customHeight="1" x14ac:dyDescent="0.25">
      <c r="D63" s="25" t="s">
        <v>201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4:35" ht="20.100000000000001" customHeight="1" x14ac:dyDescent="0.25">
      <c r="D64" s="25" t="s">
        <v>202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203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430</v>
      </c>
    </row>
    <row r="70" spans="3:34" ht="20.100000000000001" customHeight="1" x14ac:dyDescent="0.25">
      <c r="D70" s="27" t="str" cm="1">
        <f t="array" ref="D70">MMS_PastureBeef_Soil_N2ODirect_Equations.VEERG_4_2_1_3__5_MilkProductionForCalvingSeason_Source()</f>
        <v>VEERG 2026: 4.2.1.3, Equation (5)</v>
      </c>
      <c r="U70" s="115" t="s">
        <v>431</v>
      </c>
    </row>
    <row r="71" spans="3:34" ht="20.100000000000001" customHeight="1" x14ac:dyDescent="0.25">
      <c r="D71" s="36"/>
      <c r="U71" s="116" t="s">
        <v>77</v>
      </c>
      <c r="V71" s="116" t="s">
        <v>190</v>
      </c>
      <c r="W71" s="116" t="s">
        <v>191</v>
      </c>
      <c r="X71" s="116" t="s">
        <v>192</v>
      </c>
      <c r="Y71" s="116" t="s">
        <v>193</v>
      </c>
      <c r="Z71" s="116" t="s">
        <v>194</v>
      </c>
      <c r="AA71" s="116" t="s">
        <v>195</v>
      </c>
      <c r="AB71" s="116" t="s">
        <v>196</v>
      </c>
      <c r="AC71" s="116" t="s">
        <v>197</v>
      </c>
      <c r="AD71" s="116" t="s">
        <v>198</v>
      </c>
      <c r="AE71" s="116" t="s">
        <v>199</v>
      </c>
    </row>
    <row r="72" spans="3:34" ht="20.100000000000001" customHeight="1" x14ac:dyDescent="0.25">
      <c r="D72" s="105" t="s">
        <v>258</v>
      </c>
      <c r="E72" s="105" t="s">
        <v>432</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4" t="s">
        <v>261</v>
      </c>
    </row>
    <row r="85" spans="4:35" ht="20.100000000000001" customHeight="1" x14ac:dyDescent="0.25">
      <c r="D85" s="115" t="s">
        <v>262</v>
      </c>
    </row>
    <row r="86" spans="4:35" ht="20.100000000000001" customHeight="1" x14ac:dyDescent="0.25">
      <c r="D86" s="116" t="s">
        <v>78</v>
      </c>
      <c r="E86" s="117" t="s">
        <v>193</v>
      </c>
      <c r="F86" s="117" t="s">
        <v>194</v>
      </c>
      <c r="G86" s="117" t="s">
        <v>195</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263</v>
      </c>
    </row>
    <row r="90" spans="4:35" ht="20.100000000000001" customHeight="1" x14ac:dyDescent="0.25">
      <c r="U90" s="115" t="s">
        <v>264</v>
      </c>
    </row>
    <row r="91" spans="4:35" ht="20.100000000000001" customHeight="1" x14ac:dyDescent="0.25">
      <c r="U91" s="116" t="s">
        <v>77</v>
      </c>
      <c r="V91" s="117" t="s">
        <v>193</v>
      </c>
      <c r="W91" s="117" t="s">
        <v>194</v>
      </c>
      <c r="X91" s="117" t="s">
        <v>195</v>
      </c>
    </row>
    <row r="92" spans="4:35" ht="20.100000000000001" customHeight="1" x14ac:dyDescent="0.25">
      <c r="D92" s="114" t="s">
        <v>433</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265</v>
      </c>
    </row>
    <row r="93" spans="4:35" ht="20.100000000000001" customHeight="1" x14ac:dyDescent="0.25">
      <c r="D93" s="115"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213</v>
      </c>
      <c r="F94" s="116" t="s">
        <v>435</v>
      </c>
      <c r="G94" s="116" t="s">
        <v>190</v>
      </c>
      <c r="H94" s="116" t="s">
        <v>191</v>
      </c>
      <c r="I94" s="116" t="s">
        <v>192</v>
      </c>
      <c r="J94" s="116" t="s">
        <v>193</v>
      </c>
      <c r="K94" s="116" t="s">
        <v>194</v>
      </c>
      <c r="L94" s="116" t="s">
        <v>195</v>
      </c>
      <c r="M94" s="116" t="s">
        <v>196</v>
      </c>
      <c r="N94" s="116" t="s">
        <v>197</v>
      </c>
      <c r="O94" s="116" t="s">
        <v>198</v>
      </c>
      <c r="P94" s="116"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434</v>
      </c>
    </row>
    <row r="99" spans="3:34" ht="20.100000000000001" customHeight="1" x14ac:dyDescent="0.25">
      <c r="U99" s="116" t="s">
        <v>77</v>
      </c>
      <c r="V99" s="116" t="s">
        <v>213</v>
      </c>
      <c r="W99" s="116" t="s">
        <v>435</v>
      </c>
      <c r="X99" s="116" t="s">
        <v>190</v>
      </c>
      <c r="Y99" s="116" t="s">
        <v>191</v>
      </c>
      <c r="Z99" s="116" t="s">
        <v>192</v>
      </c>
      <c r="AA99" s="116" t="s">
        <v>193</v>
      </c>
      <c r="AB99" s="116" t="s">
        <v>194</v>
      </c>
      <c r="AC99" s="116" t="s">
        <v>195</v>
      </c>
      <c r="AD99" s="116" t="s">
        <v>196</v>
      </c>
      <c r="AE99" s="116" t="s">
        <v>197</v>
      </c>
      <c r="AF99" s="116" t="s">
        <v>198</v>
      </c>
      <c r="AG99" s="116" t="s">
        <v>199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258</v>
      </c>
      <c r="E104" s="105"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275</v>
      </c>
    </row>
    <row r="117" spans="4:35" ht="20.100000000000001" customHeight="1" x14ac:dyDescent="0.25">
      <c r="D117" s="115" t="s">
        <v>276</v>
      </c>
      <c r="U117" s="114" t="s">
        <v>277</v>
      </c>
    </row>
    <row r="118" spans="4:35" ht="20.100000000000001" customHeight="1" x14ac:dyDescent="0.25">
      <c r="D118" s="116" t="s">
        <v>78</v>
      </c>
      <c r="E118" s="117" t="s">
        <v>190</v>
      </c>
      <c r="F118" s="117" t="s">
        <v>191</v>
      </c>
      <c r="G118" s="117" t="s">
        <v>192</v>
      </c>
      <c r="H118" s="117" t="s">
        <v>193</v>
      </c>
      <c r="I118" s="117" t="s">
        <v>194</v>
      </c>
      <c r="J118" s="117" t="s">
        <v>195</v>
      </c>
      <c r="K118" s="117" t="s">
        <v>196</v>
      </c>
      <c r="L118" s="117" t="s">
        <v>197</v>
      </c>
      <c r="M118" s="117" t="s">
        <v>198</v>
      </c>
      <c r="N118" s="117" t="s">
        <v>199</v>
      </c>
      <c r="U118" s="115" t="s">
        <v>278</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209</v>
      </c>
      <c r="U119" s="116" t="s">
        <v>77</v>
      </c>
      <c r="V119" s="117" t="s">
        <v>190</v>
      </c>
      <c r="W119" s="117" t="s">
        <v>191</v>
      </c>
      <c r="X119" s="117" t="s">
        <v>192</v>
      </c>
      <c r="Y119" s="117" t="s">
        <v>193</v>
      </c>
      <c r="Z119" s="117" t="s">
        <v>194</v>
      </c>
      <c r="AA119" s="117" t="s">
        <v>195</v>
      </c>
      <c r="AB119" s="117" t="s">
        <v>196</v>
      </c>
      <c r="AC119" s="117" t="s">
        <v>197</v>
      </c>
      <c r="AD119" s="117" t="s">
        <v>198</v>
      </c>
      <c r="AE119" s="117" t="s">
        <v>199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209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211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209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211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209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211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211</v>
      </c>
      <c r="AG123" s="26"/>
      <c r="AH123" s="26"/>
    </row>
    <row r="124" spans="4:35" ht="20.100000000000001" customHeight="1" x14ac:dyDescent="0.25">
      <c r="D124" s="114" t="s">
        <v>437</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211</v>
      </c>
      <c r="AG124" s="26"/>
      <c r="AH124" s="26"/>
    </row>
    <row r="125" spans="4:35" ht="20.100000000000001" customHeight="1" x14ac:dyDescent="0.25">
      <c r="D125" s="115" t="s">
        <v>438</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211</v>
      </c>
      <c r="AG125" s="26"/>
      <c r="AH125" s="26"/>
    </row>
    <row r="126" spans="4:35" ht="20.100000000000001" customHeight="1" x14ac:dyDescent="0.25">
      <c r="D126" s="116" t="s">
        <v>78</v>
      </c>
      <c r="E126" s="116" t="s">
        <v>190</v>
      </c>
      <c r="F126" s="116" t="s">
        <v>191</v>
      </c>
      <c r="G126" s="116" t="s">
        <v>192</v>
      </c>
      <c r="H126" s="116" t="s">
        <v>193</v>
      </c>
      <c r="I126" s="116" t="s">
        <v>194</v>
      </c>
      <c r="J126" s="116" t="s">
        <v>195</v>
      </c>
      <c r="K126" s="116" t="s">
        <v>196</v>
      </c>
      <c r="L126" s="116" t="s">
        <v>197</v>
      </c>
      <c r="M126" s="116" t="s">
        <v>198</v>
      </c>
      <c r="N126" s="116" t="s">
        <v>199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211</v>
      </c>
      <c r="AG126" s="26"/>
      <c r="AH126" s="26"/>
    </row>
    <row r="127" spans="4:35" ht="20.100000000000001" customHeight="1" x14ac:dyDescent="0.25">
      <c r="D127" s="25" t="s">
        <v>200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211</v>
      </c>
      <c r="AG127" s="26"/>
      <c r="AH127" s="26"/>
    </row>
    <row r="128" spans="4:35" ht="20.100000000000001" customHeight="1" x14ac:dyDescent="0.25">
      <c r="D128" s="25" t="s">
        <v>201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211</v>
      </c>
      <c r="AG128" s="26"/>
      <c r="AH128" s="26"/>
    </row>
    <row r="129" spans="3:34" ht="20.100000000000001" customHeight="1" x14ac:dyDescent="0.25">
      <c r="D129" s="25" t="s">
        <v>202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211</v>
      </c>
      <c r="AG129" s="26"/>
      <c r="AH129" s="26"/>
    </row>
    <row r="130" spans="3:34" ht="20.100000000000001" customHeight="1" x14ac:dyDescent="0.25">
      <c r="D130" s="25" t="s">
        <v>203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211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211</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439</v>
      </c>
    </row>
    <row r="134" spans="3:34" ht="20.100000000000001" customHeight="1" x14ac:dyDescent="0.25">
      <c r="D134" s="2" t="str" cm="1">
        <f t="array" ref="D134">MMS_PastureBeef_Soil_N2ODirect_Equations.VEERG_4_2_1_3__3_NitrogenExcreted_Title()</f>
        <v>Nitrogen excreted</v>
      </c>
      <c r="U134" s="115" t="s">
        <v>440</v>
      </c>
    </row>
    <row r="135" spans="3:34" ht="20.100000000000001" customHeight="1" x14ac:dyDescent="0.25">
      <c r="D135" s="27" t="str" cm="1">
        <f t="array" ref="D135">MMS_PastureBeef_Soil_N2ODirect_Equations.VEERG_4_2_1_3__3_NitrogenExcreted_Source()</f>
        <v>VEERG 2026: 4.2.1.3, Equation (3)</v>
      </c>
      <c r="U135" s="116" t="s">
        <v>77</v>
      </c>
      <c r="V135" s="116" t="s">
        <v>190</v>
      </c>
      <c r="W135" s="116" t="s">
        <v>191</v>
      </c>
      <c r="X135" s="116" t="s">
        <v>192</v>
      </c>
      <c r="Y135" s="116" t="s">
        <v>193</v>
      </c>
      <c r="Z135" s="116" t="s">
        <v>194</v>
      </c>
      <c r="AA135" s="116" t="s">
        <v>195</v>
      </c>
      <c r="AB135" s="116" t="s">
        <v>196</v>
      </c>
      <c r="AC135" s="116" t="s">
        <v>197</v>
      </c>
      <c r="AD135" s="116" t="s">
        <v>198</v>
      </c>
      <c r="AE135" s="116" t="s">
        <v>199</v>
      </c>
    </row>
    <row r="136" spans="3:34" ht="20.100000000000001" customHeight="1" x14ac:dyDescent="0.25">
      <c r="D136" s="105" t="s">
        <v>258</v>
      </c>
      <c r="E136" s="105"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441</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442</v>
      </c>
      <c r="U151" s="2" t="str" cm="1">
        <f t="array" ref="U151">MMS_PastureBeef_Soil_N2ODirect_Equations.VEERG_4_2_1_3__3_NitrogenExcreted_Title()</f>
        <v>Nitrogen excreted</v>
      </c>
    </row>
    <row r="152" spans="4:35" ht="20.100000000000001" customHeight="1" x14ac:dyDescent="0.25">
      <c r="D152" s="116" t="s">
        <v>78</v>
      </c>
      <c r="E152" s="117" t="s">
        <v>190</v>
      </c>
      <c r="F152" s="117" t="s">
        <v>191</v>
      </c>
      <c r="G152" s="117" t="s">
        <v>192</v>
      </c>
      <c r="H152" s="117" t="s">
        <v>193</v>
      </c>
      <c r="I152" s="117" t="s">
        <v>194</v>
      </c>
      <c r="J152" s="117" t="s">
        <v>195</v>
      </c>
      <c r="K152" s="117" t="s">
        <v>196</v>
      </c>
      <c r="L152" s="117" t="s">
        <v>197</v>
      </c>
      <c r="M152" s="117" t="s">
        <v>198</v>
      </c>
      <c r="N152" s="117" t="s">
        <v>199</v>
      </c>
    </row>
    <row r="153" spans="4:35" ht="20.100000000000001" customHeight="1" x14ac:dyDescent="0.25">
      <c r="D153" s="25" t="s">
        <v>200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230</v>
      </c>
    </row>
    <row r="154" spans="4:35" ht="20.100000000000001" customHeight="1" x14ac:dyDescent="0.25">
      <c r="D154" s="25" t="s">
        <v>201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230</v>
      </c>
    </row>
    <row r="155" spans="4:35" ht="20.100000000000001" customHeight="1" x14ac:dyDescent="0.25">
      <c r="D155" s="25" t="s">
        <v>202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230</v>
      </c>
    </row>
    <row r="156" spans="4:35" ht="20.100000000000001" customHeight="1" x14ac:dyDescent="0.25">
      <c r="D156" s="25" t="s">
        <v>203</v>
      </c>
      <c r="E156" s="25">
        <f ca="1"/>
        <v>0.2</v>
      </c>
      <c r="F156" s="25">
        <f ca="1"/>
        <v>0.2</v>
      </c>
      <c r="G156" s="25">
        <f ca="1"/>
        <v>0.2</v>
      </c>
      <c r="H156" s="25">
        <f ca="1"/>
        <v>0.2</v>
      </c>
      <c r="I156" s="25">
        <f ca="1"/>
        <v>0.2</v>
      </c>
      <c r="J156" s="25">
        <f ca="1"/>
        <v>0.2</v>
      </c>
      <c r="K156" s="25">
        <f ca="1"/>
        <v>0.2</v>
      </c>
      <c r="L156" s="25">
        <f ca="1"/>
        <v>0.2</v>
      </c>
      <c r="M156" s="25">
        <f ca="1"/>
        <v>0.2</v>
      </c>
      <c r="N156" s="25">
        <f ca="1"/>
        <v>0.2</v>
      </c>
      <c r="O156" s="26" t="s">
        <v>230</v>
      </c>
    </row>
    <row r="157" spans="4:35" ht="20.100000000000001" customHeight="1" x14ac:dyDescent="0.25"/>
    <row r="158" spans="4:35" ht="20.100000000000001" customHeight="1" x14ac:dyDescent="0.25">
      <c r="D158" s="114" t="s">
        <v>443</v>
      </c>
    </row>
    <row r="159" spans="4:35" ht="20.100000000000001" customHeight="1" x14ac:dyDescent="0.25">
      <c r="D159" s="115" t="s">
        <v>444</v>
      </c>
    </row>
    <row r="160" spans="4:35" ht="20.100000000000001" customHeight="1" x14ac:dyDescent="0.25">
      <c r="D160" s="116" t="s">
        <v>78</v>
      </c>
      <c r="E160" s="116" t="s">
        <v>213</v>
      </c>
      <c r="F160" s="116" t="s">
        <v>190</v>
      </c>
      <c r="G160" s="116" t="s">
        <v>191</v>
      </c>
      <c r="H160" s="116" t="s">
        <v>192</v>
      </c>
      <c r="I160" s="116" t="s">
        <v>193</v>
      </c>
      <c r="J160" s="116" t="s">
        <v>194</v>
      </c>
      <c r="K160" s="116" t="s">
        <v>195</v>
      </c>
      <c r="L160" s="116" t="s">
        <v>196</v>
      </c>
      <c r="M160" s="116" t="s">
        <v>197</v>
      </c>
      <c r="N160" s="116" t="s">
        <v>198</v>
      </c>
      <c r="O160" s="116"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4"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5"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6" t="s">
        <v>77</v>
      </c>
      <c r="V163" s="117" t="s">
        <v>190</v>
      </c>
      <c r="W163" s="117" t="s">
        <v>191</v>
      </c>
      <c r="X163" s="117" t="s">
        <v>192</v>
      </c>
      <c r="Y163" s="117" t="s">
        <v>193</v>
      </c>
      <c r="Z163" s="117" t="s">
        <v>194</v>
      </c>
      <c r="AA163" s="117" t="s">
        <v>195</v>
      </c>
      <c r="AB163" s="117" t="s">
        <v>196</v>
      </c>
      <c r="AC163" s="117" t="s">
        <v>197</v>
      </c>
      <c r="AD163" s="117" t="s">
        <v>198</v>
      </c>
      <c r="AE163" s="117"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230</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230</v>
      </c>
    </row>
    <row r="166" spans="3:34" ht="20.100000000000001" customHeight="1" x14ac:dyDescent="0.25">
      <c r="D166" s="114" t="s">
        <v>447</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230</v>
      </c>
    </row>
    <row r="167" spans="3:34" ht="20.100000000000001" customHeight="1" x14ac:dyDescent="0.25">
      <c r="D167" s="115" t="s">
        <v>448</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230</v>
      </c>
    </row>
    <row r="168" spans="3:34" ht="20.100000000000001" customHeight="1" x14ac:dyDescent="0.25">
      <c r="D168" s="116" t="s">
        <v>78</v>
      </c>
      <c r="E168" s="116" t="s">
        <v>190</v>
      </c>
      <c r="F168" s="116" t="s">
        <v>191</v>
      </c>
      <c r="G168" s="116" t="s">
        <v>192</v>
      </c>
      <c r="H168" s="116" t="s">
        <v>193</v>
      </c>
      <c r="I168" s="116" t="s">
        <v>194</v>
      </c>
      <c r="J168" s="116" t="s">
        <v>195</v>
      </c>
      <c r="K168" s="116" t="s">
        <v>196</v>
      </c>
      <c r="L168" s="116" t="s">
        <v>197</v>
      </c>
      <c r="M168" s="116" t="s">
        <v>198</v>
      </c>
      <c r="N168" s="116" t="s">
        <v>199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230</v>
      </c>
      <c r="AG168" s="26"/>
      <c r="AH168" s="26"/>
    </row>
    <row r="169" spans="3:34" ht="20.100000000000001" customHeight="1" x14ac:dyDescent="0.25">
      <c r="D169" s="25" t="s">
        <v>200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230</v>
      </c>
      <c r="AG169" s="26"/>
      <c r="AH169" s="26"/>
    </row>
    <row r="170" spans="3:34" ht="20.100000000000001" customHeight="1" x14ac:dyDescent="0.25">
      <c r="D170" s="25" t="s">
        <v>201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230</v>
      </c>
      <c r="AG170" s="26"/>
      <c r="AH170" s="26"/>
    </row>
    <row r="171" spans="3:34" ht="20.100000000000001" customHeight="1" x14ac:dyDescent="0.25">
      <c r="D171" s="25" t="s">
        <v>202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230</v>
      </c>
      <c r="AG171" s="26"/>
      <c r="AH171" s="26"/>
    </row>
    <row r="172" spans="3:34" ht="20.100000000000001" customHeight="1" x14ac:dyDescent="0.25">
      <c r="D172" s="25" t="s">
        <v>203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230</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230</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230</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449</v>
      </c>
      <c r="AH177" s="26"/>
    </row>
    <row r="178" spans="4:34" ht="20.100000000000001" customHeight="1" x14ac:dyDescent="0.25">
      <c r="D178" s="105" t="s">
        <v>258</v>
      </c>
      <c r="E178" s="105" t="str" cm="1">
        <f t="array" aca="1" ref="E178" ca="1">Common_InputFunctions.Utility_DisplayFunctionName($E$207)</f>
        <v>=MMS_PastureBeef_Soil_N2ODirect_Equations.VEERG_4_2_1_3__2_TotalNitrogenExcretedToPastureRangeAndPaddock</v>
      </c>
      <c r="U178" s="115" t="s">
        <v>450</v>
      </c>
      <c r="AH178" s="26"/>
    </row>
    <row r="179" spans="4:34" ht="20.100000000000001" customHeight="1" x14ac:dyDescent="0.25">
      <c r="U179" s="116" t="s">
        <v>77</v>
      </c>
      <c r="V179" s="116" t="s">
        <v>213</v>
      </c>
      <c r="W179" s="116" t="s">
        <v>190</v>
      </c>
      <c r="X179" s="116" t="s">
        <v>191</v>
      </c>
      <c r="Y179" s="116" t="s">
        <v>192</v>
      </c>
      <c r="Z179" s="116" t="s">
        <v>193</v>
      </c>
      <c r="AA179" s="116" t="s">
        <v>194</v>
      </c>
      <c r="AB179" s="116" t="s">
        <v>195</v>
      </c>
      <c r="AC179" s="116" t="s">
        <v>196</v>
      </c>
      <c r="AD179" s="116" t="s">
        <v>197</v>
      </c>
      <c r="AE179" s="116" t="s">
        <v>198</v>
      </c>
      <c r="AF179" s="116" t="s">
        <v>199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4" t="s">
        <v>287</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5" t="s">
        <v>288</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6" t="s">
        <v>78</v>
      </c>
      <c r="E190" s="117" t="s">
        <v>190</v>
      </c>
      <c r="F190" s="117" t="s">
        <v>191</v>
      </c>
      <c r="G190" s="117" t="s">
        <v>192</v>
      </c>
      <c r="H190" s="117" t="s">
        <v>193</v>
      </c>
      <c r="I190" s="117" t="s">
        <v>194</v>
      </c>
      <c r="J190" s="117" t="s">
        <v>195</v>
      </c>
      <c r="K190" s="117" t="s">
        <v>196</v>
      </c>
      <c r="L190" s="117" t="s">
        <v>197</v>
      </c>
      <c r="M190" s="117" t="s">
        <v>198</v>
      </c>
      <c r="N190" s="117" t="s">
        <v>199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452</v>
      </c>
    </row>
    <row r="195" spans="4:34" ht="20.100000000000001" customHeight="1" x14ac:dyDescent="0.25">
      <c r="U195" s="116" t="s">
        <v>77</v>
      </c>
      <c r="V195" s="116" t="s">
        <v>190</v>
      </c>
      <c r="W195" s="116" t="s">
        <v>191</v>
      </c>
      <c r="X195" s="116" t="s">
        <v>192</v>
      </c>
      <c r="Y195" s="116" t="s">
        <v>193</v>
      </c>
      <c r="Z195" s="116" t="s">
        <v>194</v>
      </c>
      <c r="AA195" s="116" t="s">
        <v>195</v>
      </c>
      <c r="AB195" s="116" t="s">
        <v>196</v>
      </c>
      <c r="AC195" s="116" t="s">
        <v>197</v>
      </c>
      <c r="AD195" s="116" t="s">
        <v>198</v>
      </c>
      <c r="AE195" s="116" t="s">
        <v>199</v>
      </c>
    </row>
    <row r="196" spans="4:34" ht="20.100000000000001" customHeight="1" x14ac:dyDescent="0.25">
      <c r="D196" s="114" t="s">
        <v>289</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5" t="s">
        <v>290</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6" t="s">
        <v>78</v>
      </c>
      <c r="E198" s="117" t="s">
        <v>190</v>
      </c>
      <c r="F198" s="117" t="s">
        <v>191</v>
      </c>
      <c r="G198" s="117" t="s">
        <v>192</v>
      </c>
      <c r="H198" s="117" t="s">
        <v>193</v>
      </c>
      <c r="I198" s="117" t="s">
        <v>194</v>
      </c>
      <c r="J198" s="117" t="s">
        <v>195</v>
      </c>
      <c r="K198" s="117" t="s">
        <v>196</v>
      </c>
      <c r="L198" s="117" t="s">
        <v>197</v>
      </c>
      <c r="M198" s="117" t="s">
        <v>198</v>
      </c>
      <c r="N198" s="117" t="s">
        <v>199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4" t="s">
        <v>453</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5" t="s">
        <v>454</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6" t="s">
        <v>78</v>
      </c>
      <c r="E206" s="116" t="s">
        <v>190</v>
      </c>
      <c r="F206" s="116" t="s">
        <v>191</v>
      </c>
      <c r="G206" s="116" t="s">
        <v>192</v>
      </c>
      <c r="H206" s="116" t="s">
        <v>193</v>
      </c>
      <c r="I206" s="116" t="s">
        <v>194</v>
      </c>
      <c r="J206" s="116" t="s">
        <v>195</v>
      </c>
      <c r="K206" s="116" t="s">
        <v>196</v>
      </c>
      <c r="L206" s="116" t="s">
        <v>197</v>
      </c>
      <c r="M206" s="116" t="s">
        <v>198</v>
      </c>
      <c r="N206" s="116" t="s">
        <v>199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200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201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202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203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455</v>
      </c>
      <c r="E212" s="118">
        <f ca="1">SUM(E207:N210)</f>
        <v>60490.349382369524</v>
      </c>
      <c r="F212" s="125" t="str">
        <f>E182</f>
        <v>kg N</v>
      </c>
    </row>
    <row r="213" spans="3:35" ht="20.100000000000001" customHeight="1" x14ac:dyDescent="0.25">
      <c r="U213" s="114" t="s">
        <v>291</v>
      </c>
    </row>
    <row r="214" spans="3:35" ht="20.100000000000001" customHeight="1" x14ac:dyDescent="0.25">
      <c r="U214" s="115" t="s">
        <v>292</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190</v>
      </c>
      <c r="W215" s="117" t="s">
        <v>191</v>
      </c>
      <c r="X215" s="117" t="s">
        <v>192</v>
      </c>
      <c r="Y215" s="117" t="s">
        <v>193</v>
      </c>
      <c r="Z215" s="117" t="s">
        <v>194</v>
      </c>
      <c r="AA215" s="117" t="s">
        <v>195</v>
      </c>
      <c r="AB215" s="117" t="s">
        <v>196</v>
      </c>
      <c r="AC215" s="117" t="s">
        <v>197</v>
      </c>
      <c r="AD215" s="117" t="s">
        <v>198</v>
      </c>
      <c r="AE215" s="117"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258</v>
      </c>
      <c r="E218" s="105" t="str" cm="1">
        <f t="array" aca="1" ref="E218" ca="1">Common_InputFunctions.Utility_DisplayFunctionName(E229)</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1" t="str">
        <v>z</v>
      </c>
      <c r="E227" s="132" t="str">
        <v>wet or dry climate zone</v>
      </c>
      <c r="F227" s="133" t="str">
        <v/>
      </c>
      <c r="G227" s="134" t="str">
        <v>Input</v>
      </c>
      <c r="H227" s="131"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456</v>
      </c>
      <c r="E229" s="120" cm="1">
        <f t="array" aca="1" ref="E229" ca="1">MMS_PastureBeef_Soil_N2ODirect_Equations.VEERG_4_2_1_3__1_DirectNitrousOxideEmissionsOnPasture($E$212,$H$225,$H$226)</f>
        <v>0.19011252663030423</v>
      </c>
      <c r="F229" s="121" t="str">
        <f>$E$222</f>
        <v>t N2O</v>
      </c>
      <c r="U229" s="114" t="s">
        <v>296</v>
      </c>
    </row>
    <row r="230" spans="4:34" ht="20.100000000000001" customHeight="1" x14ac:dyDescent="0.25">
      <c r="U230" s="115" t="s">
        <v>297</v>
      </c>
    </row>
    <row r="231" spans="4:34" ht="20.100000000000001" customHeight="1" x14ac:dyDescent="0.25">
      <c r="D231" s="122" t="str" cm="1">
        <f t="array" ref="D231:E232">Common_Equations.Common_ConvertN2OToCO2e_Arguments()</f>
        <v>EN2O</v>
      </c>
      <c r="E231" s="123" t="str">
        <v>Nitrous oxide emissions (t N2O)</v>
      </c>
      <c r="F231" s="124"/>
      <c r="G231" s="25">
        <f ca="1">E229</f>
        <v>0.19011252663030423</v>
      </c>
      <c r="U231" s="116" t="s">
        <v>77</v>
      </c>
      <c r="V231" s="117" t="s">
        <v>190</v>
      </c>
      <c r="W231" s="117" t="s">
        <v>191</v>
      </c>
      <c r="X231" s="117" t="s">
        <v>192</v>
      </c>
      <c r="Y231" s="117" t="s">
        <v>193</v>
      </c>
      <c r="Z231" s="117" t="s">
        <v>194</v>
      </c>
      <c r="AA231" s="117" t="s">
        <v>195</v>
      </c>
      <c r="AB231" s="117" t="s">
        <v>196</v>
      </c>
      <c r="AC231" s="117" t="s">
        <v>197</v>
      </c>
      <c r="AD231" s="117" t="s">
        <v>198</v>
      </c>
      <c r="AE231" s="117" t="s">
        <v>199</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415</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415</v>
      </c>
      <c r="AG233" s="26"/>
      <c r="AH233" s="26"/>
    </row>
    <row r="234" spans="4:34" ht="20.100000000000001" customHeight="1" x14ac:dyDescent="0.25">
      <c r="D234" s="118" t="s">
        <v>298</v>
      </c>
      <c r="E234" s="118" cm="1">
        <f t="array" aca="1" ref="E234" ca="1">Common_Equations.Common_ConvertN2OToCO2e(G231,G232)</f>
        <v>50.379819557030622</v>
      </c>
      <c r="F234" s="125"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415</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415</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415</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415</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415</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415</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415</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415</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415</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415</v>
      </c>
      <c r="AG243" s="26"/>
      <c r="AH243" s="26"/>
    </row>
    <row r="244" spans="21:34" ht="20.100000000000001" customHeight="1" x14ac:dyDescent="0.25"/>
    <row r="245" spans="21:34" ht="20.100000000000001" customHeight="1" x14ac:dyDescent="0.25">
      <c r="U245" s="114" t="s">
        <v>457</v>
      </c>
    </row>
    <row r="246" spans="21:34" ht="20.100000000000001" customHeight="1" x14ac:dyDescent="0.25">
      <c r="U246" s="115" t="s">
        <v>458</v>
      </c>
    </row>
    <row r="247" spans="21:34" ht="20.100000000000001" customHeight="1" x14ac:dyDescent="0.25">
      <c r="U247" s="116" t="s">
        <v>77</v>
      </c>
      <c r="V247" s="116" t="s">
        <v>190</v>
      </c>
      <c r="W247" s="116" t="s">
        <v>191</v>
      </c>
      <c r="X247" s="116" t="s">
        <v>192</v>
      </c>
      <c r="Y247" s="116" t="s">
        <v>193</v>
      </c>
      <c r="Z247" s="116" t="s">
        <v>194</v>
      </c>
      <c r="AA247" s="116" t="s">
        <v>195</v>
      </c>
      <c r="AB247" s="116" t="s">
        <v>196</v>
      </c>
      <c r="AC247" s="116" t="s">
        <v>197</v>
      </c>
      <c r="AD247" s="116" t="s">
        <v>198</v>
      </c>
      <c r="AE247" s="116" t="s">
        <v>199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30" t="s">
        <v>455</v>
      </c>
      <c r="V261" s="118">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456</v>
      </c>
      <c r="V267" s="120" cm="1">
        <f t="array" aca="1" ref="V267" ca="1">MMS_PastureBeef_Soil_N2ODirect_Equations.VEERG_4_2_1_3__1_DirectNitrousOxideEmissionsOnPasture($V$261,$H$225,$H$226)</f>
        <v>0.18424525527410571</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f ca="1">V267</f>
        <v>0.18424525527410571</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298</v>
      </c>
      <c r="V272" s="118" cm="1">
        <f t="array" aca="1" ref="V272" ca="1">Common_Equations.Common_ConvertN2OToCO2e(X269,X270)</f>
        <v>48.824992647638012</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29890AE2-4EB5-4F42-B7C9-975214410BB1}"/>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8426E-BE66-432A-8F00-B5707B4F3DA7}">
  <dimension ref="A1:V165"/>
  <sheetViews>
    <sheetView showGridLines="0" topLeftCell="H1"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258</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f ca="1">VEERG_4_2_1_3__2_TotalNitrogenExcretedToPastureRangeAndPaddock_Result_Method1</f>
        <v>60490.349382369524</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f ca="1">VEERG_4_2_1_3__2_TotalNitrogenExcretedToPastureRangeAndPaddock_Result_Method2</f>
        <v>58623.490314488175</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SourceData_PastureBeef_FracGASMSoil_Data</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460</v>
      </c>
      <c r="E16" s="118" cm="1">
        <f t="array" aca="1" ref="E16" ca="1">MMS_PastureBeef_Soil_AtmosphericDeposition_Equations.VEERG_4_2_1_5__2_MassOfNitrogenVolatilisedOnPasture(J13,J14)</f>
        <v>12702.973370297599</v>
      </c>
      <c r="F16" s="125" t="str">
        <f>E11</f>
        <v>kg N</v>
      </c>
      <c r="L16" s="91"/>
      <c r="N16" s="130" t="s">
        <v>460</v>
      </c>
      <c r="O16" s="118" cm="1">
        <f t="array" aca="1" ref="O16" ca="1">MMS_PastureBeef_Soil_AtmosphericDeposition_Equations.VEERG_4_2_1_5__2_MassOfNitrogenVolatilisedOnPasture(T13,$J$14)</f>
        <v>12310.932966042516</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258</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f ca="1">E16</f>
        <v>12702.973370297599</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f ca="1">O16</f>
        <v>12310.932966042516</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t="str">
        <f>X_Cell_Site_RainfallZone</f>
        <v>High rainfall</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461</v>
      </c>
      <c r="E35" s="118" cm="1">
        <f t="array" aca="1" ref="E35" ca="1">MMS_PastureBeef_Soil_AtmosphericDeposition_Equations.VEERG_4_2_1_5__1_AtmosphericDepositionEmissionsFromUrineAndDungOnPasture(I28,I29,I30)</f>
        <v>0.11777471024747345</v>
      </c>
      <c r="F35" s="125" t="str">
        <f>$E$26</f>
        <v>t N2O</v>
      </c>
      <c r="N35" s="130" t="s">
        <v>461</v>
      </c>
      <c r="O35" s="118" cm="1">
        <f t="array" aca="1" ref="O35" ca="1">MMS_PastureBeef_Soil_AtmosphericDeposition_Equations.VEERG_4_2_1_5__1_AtmosphericDepositionEmissionsFromUrineAndDungOnPasture(S28,I29,I30)</f>
        <v>0.11413993564230847</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f ca="1">E35</f>
        <v>0.11777471024747345</v>
      </c>
      <c r="N37" s="122" t="str" cm="1">
        <f t="array" ref="N37:O38">Common_Equations.Common_ConvertN2OToCO2e_Arguments()</f>
        <v>EN2O</v>
      </c>
      <c r="O37" s="123" t="str">
        <v>Nitrous oxide emissions (t N2O)</v>
      </c>
      <c r="P37" s="124"/>
      <c r="Q37" s="25">
        <f ca="1">O35</f>
        <v>0.11413993564230847</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298</v>
      </c>
      <c r="E40" s="118" cm="1">
        <f t="array" aca="1" ref="E40" ca="1">Common_Equations.Common_ConvertN2OToCO2e(G37,G38)</f>
        <v>31.210298215580465</v>
      </c>
      <c r="F40" s="125" t="str" cm="1">
        <f t="array" ref="F40">Common_Equations.Common_ConvertN2OToCO2e_Unit()</f>
        <v>t CO2e</v>
      </c>
      <c r="N40" s="118" t="s">
        <v>298</v>
      </c>
      <c r="O40" s="118" cm="1">
        <f t="array" aca="1" ref="O40" ca="1">Common_Equations.Common_ConvertN2OToCO2e(Q37,Q38)</f>
        <v>30.247082945211744</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33CB05C0-8B11-42DD-BE56-B56DEED349E2}"/>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B1E3C-C355-44B8-ABA5-34433166C965}">
  <dimension ref="A1:S165"/>
  <sheetViews>
    <sheetView showGridLines="0" topLeftCell="E1"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258</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f ca="1">VEERG_4_2_1_3__2_TotalNitrogenExcretedToPastureRangeAndPaddock_Result_Method1</f>
        <v>60490.349382369524</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f ca="1">VEERG_4_2_1_3__2_TotalNitrogenExcretedToPastureRangeAndPaddock_Result_Method2</f>
        <v>58623.490314488175</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SourceData_PastureBeef_FracLEACH_Data</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t="str">
        <f>X_Cell_Site_LeachingZone</f>
        <v>NO - Not in leaching zone</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463</v>
      </c>
      <c r="E20" s="118" cm="1">
        <f t="array" aca="1" ref="E20" ca="1">MMS_PastureBeef_Soil_LeachingAndRunoff.VEERG_4_2_1_7__2_MassOfNitrogenLostToLeachingAndRunoffOnPasture($I$13,$I$14,$I$15)</f>
        <v>14517.683851768685</v>
      </c>
      <c r="F20" s="125" t="str">
        <f>$E$11</f>
        <v>kg N</v>
      </c>
      <c r="K20" s="91"/>
      <c r="M20" s="130" t="s">
        <v>463</v>
      </c>
      <c r="N20" s="118" cm="1">
        <f t="array" aca="1" ref="N20" ca="1">MMS_PastureBeef_Soil_LeachingAndRunoff.VEERG_4_2_1_7__2_MassOfNitrogenLostToLeachingAndRunoffOnPasture($R$13,$I$14,$I$15)</f>
        <v>14069.637675477161</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258</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f ca="1">$E$20</f>
        <v>14517.683851768685</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f ca="1">$N$20</f>
        <v>14069.637675477161</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464</v>
      </c>
      <c r="E36" s="118" cm="1">
        <f t="array" aca="1" ref="E36" ca="1">MMS_PastureBeef_Soil_LeachingAndRunoff.VEERG_4_2_1_7__1_LeachingAndRunoffEmissionsFromUrineAndDungOnPasture(I32,I33,I34)</f>
        <v>0.2509485351520015</v>
      </c>
      <c r="F36" s="125" t="str">
        <f>$E$30</f>
        <v>t N2O</v>
      </c>
      <c r="M36" s="130" t="s">
        <v>464</v>
      </c>
      <c r="N36" s="118" cm="1">
        <f t="array" aca="1" ref="N36" ca="1">MMS_PastureBeef_Soil_LeachingAndRunoff.VEERG_4_2_1_7__1_LeachingAndRunoffEmissionsFromUrineAndDungOnPasture(R32,I33,I34)</f>
        <v>0.24320373696181949</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f ca="1">E36</f>
        <v>0.2509485351520015</v>
      </c>
      <c r="M38" s="122" t="str" cm="1">
        <f t="array" ref="M38:N39">Common_Equations.Common_ConvertN2OToCO2e_Arguments()</f>
        <v>EN2O</v>
      </c>
      <c r="N38" s="123" t="str">
        <v>Nitrous oxide emissions (t N2O)</v>
      </c>
      <c r="O38" s="124"/>
      <c r="P38" s="25">
        <f ca="1">N36</f>
        <v>0.24320373696181949</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298</v>
      </c>
      <c r="E41" s="118" cm="1">
        <f t="array" aca="1" ref="E41" ca="1">Common_Equations.Common_ConvertN2OToCO2e(G38,G39)</f>
        <v>66.50136181528039</v>
      </c>
      <c r="F41" s="125" t="str" cm="1">
        <f t="array" ref="F41">Common_Equations.Common_ConvertN2OToCO2e_Unit()</f>
        <v>t CO2e</v>
      </c>
      <c r="M41" s="118" t="s">
        <v>298</v>
      </c>
      <c r="N41" s="118" cm="1">
        <f t="array" aca="1" ref="N41" ca="1">Common_Equations.Common_ConvertN2OToCO2e(P38,P39)</f>
        <v>64.448990294882165</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52C9608D-E8CE-4CC7-A32E-00362A282959}"/>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4CA9-E4D3-46D7-936E-8BF043E5D264}">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258</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260</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537</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539</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540</v>
      </c>
      <c r="E18" s="117" t="s">
        <v>541</v>
      </c>
      <c r="F18" s="116" t="s">
        <v>542</v>
      </c>
      <c r="G18" s="116" t="s">
        <v>543</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537</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537</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544</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545</v>
      </c>
      <c r="T41" s="128" t="s">
        <v>546</v>
      </c>
    </row>
    <row r="42" spans="1:23" ht="20.100000000000001" customHeight="1" x14ac:dyDescent="0.25">
      <c r="A42" s="5" t="str">
        <f>HYPERLINK("#'Constants - Fertiliser'!A1", "Constants - Fertiliser")</f>
        <v>Constants - Fertiliser</v>
      </c>
      <c r="D42" s="105" t="s">
        <v>258</v>
      </c>
      <c r="E42" s="105" t="str" cm="1">
        <f t="array" aca="1" ref="E42" ca="1">Common_InputFunctions.Utility_DisplayFunctionName($E$60)</f>
        <v>=Fertiliser_Equations_InorganicN2O.VEERG_5_1_1_1__1_InorganicFertiliserApplicationN2OEmissions</v>
      </c>
      <c r="F42" s="26"/>
      <c r="M42" s="115" t="s">
        <v>547</v>
      </c>
    </row>
    <row r="43" spans="1:23" ht="20.100000000000001" customHeight="1" x14ac:dyDescent="0.25">
      <c r="A43" s="5" t="str">
        <f>HYPERLINK("#'Constants - Fuel'!A1", "Constants - Fuel")</f>
        <v>Constants - Fuel</v>
      </c>
      <c r="F43" s="26"/>
      <c r="O43" s="173" t="s">
        <v>548</v>
      </c>
      <c r="P43" s="173" t="s">
        <v>470</v>
      </c>
      <c r="Q43" s="173" t="s">
        <v>549</v>
      </c>
      <c r="R43" s="173" t="str">
        <f>$N$10</f>
        <v>kg N2O-N/kg N applied</v>
      </c>
      <c r="S43" s="173" t="str">
        <f>$N$21</f>
        <v>kg N2O-N/kg N applied</v>
      </c>
      <c r="T43" s="173" t="s">
        <v>548</v>
      </c>
      <c r="U43" s="173" t="s">
        <v>549</v>
      </c>
      <c r="V43" s="173" t="str">
        <f>$N$33</f>
        <v>kg N2O-N/kg N applied</v>
      </c>
      <c r="W43" s="173" t="s">
        <v>550</v>
      </c>
    </row>
    <row r="44" spans="1:23" ht="20.100000000000001" customHeight="1" x14ac:dyDescent="0.25">
      <c r="A44" s="5" t="str">
        <f>HYPERLINK("#'Constants - Common'!A1", "Constants - Common")</f>
        <v>Constants - Common</v>
      </c>
      <c r="F44" s="26"/>
      <c r="M44" s="116" t="s">
        <v>551</v>
      </c>
      <c r="N44" s="117" t="s">
        <v>551</v>
      </c>
      <c r="O44" s="117" t="s">
        <v>552</v>
      </c>
      <c r="P44" s="117" t="s">
        <v>553</v>
      </c>
      <c r="Q44" s="116" t="s">
        <v>554</v>
      </c>
      <c r="R44" s="116" t="str">
        <f>N9</f>
        <v>EF_fjIrrigatedMaizeN2O</v>
      </c>
      <c r="S44" s="116" t="str">
        <f>N20</f>
        <v>EF_fjNonIrrigatedGrainsN2O</v>
      </c>
      <c r="T44" s="116" t="s">
        <v>555</v>
      </c>
      <c r="U44" s="116" t="s">
        <v>556</v>
      </c>
      <c r="V44" s="116" t="str">
        <f>N32</f>
        <v>EF_fjCottonN2O</v>
      </c>
      <c r="W44" s="116" t="s">
        <v>557</v>
      </c>
    </row>
    <row r="45" spans="1:23" ht="20.100000000000001" customHeight="1" x14ac:dyDescent="0.25">
      <c r="A45" s="5" t="str">
        <f>HYPERLINK("#'Acknowledgements'!A1", "Acknowledgements")</f>
        <v>Acknowledgements</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t="str">
        <f>X_Cell_Site_RainfallZone</f>
        <v>High rainfall</v>
      </c>
    </row>
    <row r="56" spans="4:24" ht="20.100000000000001" customHeight="1" x14ac:dyDescent="0.25">
      <c r="F56" s="26"/>
    </row>
    <row r="57" spans="4:24" ht="20.100000000000001" customHeight="1" x14ac:dyDescent="0.25">
      <c r="D57" s="114" t="s">
        <v>560</v>
      </c>
      <c r="F57" s="26"/>
      <c r="L57" s="118"/>
      <c r="M57" s="118"/>
      <c r="N57" s="118"/>
      <c r="O57" s="118"/>
      <c r="P57" s="118"/>
      <c r="Q57" s="118"/>
      <c r="R57" s="118"/>
      <c r="S57" s="118"/>
      <c r="T57" s="118"/>
      <c r="U57" s="118"/>
      <c r="V57" s="118"/>
      <c r="W57" s="118"/>
      <c r="X57" s="118"/>
    </row>
    <row r="58" spans="4:24" ht="20.100000000000001" customHeight="1" x14ac:dyDescent="0.25">
      <c r="D58" s="115"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540</v>
      </c>
      <c r="E59" s="116" t="s">
        <v>562</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258</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563</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551</v>
      </c>
      <c r="N76" s="116" t="s">
        <v>551</v>
      </c>
      <c r="O76" s="116" t="s">
        <v>564</v>
      </c>
      <c r="P76" s="116"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565</v>
      </c>
      <c r="E80" s="120">
        <f>SUM(E60:E78)</f>
        <v>0.1431067</v>
      </c>
      <c r="F80" s="121"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298</v>
      </c>
      <c r="E85" s="118" cm="1">
        <f t="array" ref="E85">Common_Equations.Common_ConvertN2OToCO2e(G82,G83)</f>
        <v>37.923275500000003</v>
      </c>
      <c r="F85" s="125"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565</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298</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1EE8837F-0F2A-4020-84FD-98D1AD4C25AA}"/>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8A8D2-EE80-45C9-9532-4358C6B59C07}">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258</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567</v>
      </c>
    </row>
    <row r="17" spans="1:7" ht="20.100000000000001" customHeight="1" x14ac:dyDescent="0.25">
      <c r="D17" s="115" t="s">
        <v>568</v>
      </c>
    </row>
    <row r="18" spans="1:7" ht="20.100000000000001" customHeight="1" x14ac:dyDescent="0.25">
      <c r="A18" s="6" t="s">
        <v>2</v>
      </c>
      <c r="D18" s="116" t="s">
        <v>540</v>
      </c>
      <c r="E18" s="117" t="s">
        <v>541</v>
      </c>
      <c r="F18" s="116" t="s">
        <v>569</v>
      </c>
      <c r="G18" s="116" t="s">
        <v>570</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571</v>
      </c>
    </row>
    <row r="56" spans="4:9" ht="20.100000000000001" customHeight="1" x14ac:dyDescent="0.25">
      <c r="D56" s="115" t="s">
        <v>572</v>
      </c>
    </row>
    <row r="57" spans="4:9" ht="20.100000000000001" customHeight="1" x14ac:dyDescent="0.25">
      <c r="D57" s="116" t="s">
        <v>540</v>
      </c>
      <c r="E57" s="116" t="s">
        <v>562</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573</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4A859-8D8F-42D0-8461-3CC699B12B81}">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258</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575</v>
      </c>
    </row>
    <row r="18" spans="1:10" ht="20.100000000000001" customHeight="1" x14ac:dyDescent="0.25">
      <c r="A18" s="6" t="s">
        <v>2</v>
      </c>
      <c r="D18" s="115" t="s">
        <v>576</v>
      </c>
    </row>
    <row r="19" spans="1:10" ht="20.100000000000001" customHeight="1" x14ac:dyDescent="0.25">
      <c r="A19" s="5" t="str">
        <f>HYPERLINK("#'3.2.1.1-2 Enteric Methane'!A1", "3.2.1.1-2 Enteric methane")</f>
        <v>3.2.1.1-2 Enteric methane</v>
      </c>
      <c r="D19" s="117" t="s">
        <v>577</v>
      </c>
      <c r="E19" s="117" t="s">
        <v>578</v>
      </c>
      <c r="F19" s="117" t="s">
        <v>479</v>
      </c>
      <c r="G19" s="174" t="s">
        <v>579</v>
      </c>
      <c r="H19" s="174" t="s">
        <v>580</v>
      </c>
      <c r="I19" s="174" t="s">
        <v>581</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582</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258</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260</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t="str">
        <f>X_Cell_Site_WetOrDryClimateZone</f>
        <v>Dry climate zone</v>
      </c>
    </row>
    <row r="49" spans="4:7" ht="20.100000000000001" customHeight="1" x14ac:dyDescent="0.25"/>
    <row r="50" spans="4:7" ht="20.100000000000001" customHeight="1" x14ac:dyDescent="0.25">
      <c r="D50" s="119" t="s">
        <v>565</v>
      </c>
      <c r="E50" s="120" cm="1">
        <f t="array" ref="E50">Fertiliser_Equations_OrganicN2O.VEERG_5_2_1_1__1_OrganicFertiliserApplicationN2OEmissions(K44,K45,K46)</f>
        <v>5.5785714285714293E-3</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5.5785714285714293E-3</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298</v>
      </c>
      <c r="E55" s="118" cm="1">
        <f t="array" ref="E55">Common_Equations.Common_ConvertN2OToCO2e(G52,G53)</f>
        <v>1.4783214285714288</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DEC47-C5DE-4E8E-8472-A81149773281}">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258</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584</v>
      </c>
    </row>
    <row r="23" spans="1:9" ht="20.100000000000001" customHeight="1" x14ac:dyDescent="0.25">
      <c r="A23" s="5" t="str">
        <f>HYPERLINK("#'4.2.1.7-8 Soil leach runoff'!A1", "4.2.1.7-8 Soil leach &amp; runoff")</f>
        <v>4.2.1.7-8 Soil leach &amp; runoff</v>
      </c>
      <c r="D23" s="115" t="s">
        <v>585</v>
      </c>
    </row>
    <row r="24" spans="1:9" ht="20.100000000000001" customHeight="1" x14ac:dyDescent="0.25">
      <c r="A24" s="5" t="str">
        <f>HYPERLINK("#'5.1.1.1-2 Inorganic fert N2O'!A1", "5.1.1.1-2 Inorganic fert N2O")</f>
        <v>5.1.1.1-2 Inorganic fert N2O</v>
      </c>
      <c r="D24" s="117" t="s">
        <v>586</v>
      </c>
      <c r="E24" s="117" t="s">
        <v>587</v>
      </c>
      <c r="F24" s="117" t="s">
        <v>588</v>
      </c>
      <c r="G24" s="117" t="s">
        <v>589</v>
      </c>
      <c r="H24" s="116" t="s">
        <v>590</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591</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5F50-BF7B-4A12-9687-AFF3AF376AC9}">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258</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593</v>
      </c>
    </row>
    <row r="17" spans="1:8" ht="20.100000000000001" customHeight="1" x14ac:dyDescent="0.25">
      <c r="D17" s="115" t="s">
        <v>594</v>
      </c>
    </row>
    <row r="18" spans="1:8" ht="20.100000000000001" customHeight="1" x14ac:dyDescent="0.25">
      <c r="A18" s="6" t="s">
        <v>2</v>
      </c>
      <c r="D18" s="116" t="s">
        <v>595</v>
      </c>
      <c r="E18" s="116" t="s">
        <v>596</v>
      </c>
      <c r="F18" s="116" t="s">
        <v>597</v>
      </c>
      <c r="G18" s="183" t="s">
        <v>598</v>
      </c>
      <c r="H18" s="183" t="s">
        <v>599</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t="str">
        <f>X_Cell_Site_RainfallZone</f>
        <v>High rainfall</v>
      </c>
    </row>
    <row r="55" spans="4:10" ht="20.100000000000001" customHeight="1" x14ac:dyDescent="0.25"/>
    <row r="56" spans="4:10" ht="20.100000000000001" customHeight="1" x14ac:dyDescent="0.25">
      <c r="D56" s="114" t="s">
        <v>600</v>
      </c>
    </row>
    <row r="57" spans="4:10" ht="20.100000000000001" customHeight="1" x14ac:dyDescent="0.25">
      <c r="D57" s="115" t="s">
        <v>601</v>
      </c>
    </row>
    <row r="58" spans="4:10" ht="20.100000000000001" customHeight="1" x14ac:dyDescent="0.25">
      <c r="D58" s="116" t="s">
        <v>595</v>
      </c>
      <c r="E58" s="183" t="s">
        <v>599</v>
      </c>
      <c r="F58" s="183" t="s">
        <v>602</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603</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298</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258</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604</v>
      </c>
    </row>
    <row r="100" spans="4:9" ht="20.100000000000001" customHeight="1" x14ac:dyDescent="0.25">
      <c r="D100" s="115" t="s">
        <v>605</v>
      </c>
    </row>
    <row r="101" spans="4:9" ht="20.100000000000001" customHeight="1" x14ac:dyDescent="0.25">
      <c r="D101" s="117" t="s">
        <v>577</v>
      </c>
      <c r="E101" s="174" t="s">
        <v>581</v>
      </c>
      <c r="F101" s="174"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258</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t="str">
        <f>X_Cell_Site_RainfallZone</f>
        <v>High rainfall</v>
      </c>
    </row>
    <row r="130" spans="4:9" ht="20.100000000000001" customHeight="1" x14ac:dyDescent="0.25"/>
    <row r="131" spans="4:9" ht="20.100000000000001" customHeight="1" x14ac:dyDescent="0.25">
      <c r="D131" s="114" t="s">
        <v>607</v>
      </c>
    </row>
    <row r="132" spans="4:9" ht="20.100000000000001" customHeight="1" x14ac:dyDescent="0.25">
      <c r="D132" s="115" t="s">
        <v>608</v>
      </c>
    </row>
    <row r="133" spans="4:9" ht="20.100000000000001" customHeight="1" x14ac:dyDescent="0.25">
      <c r="D133" s="117" t="s">
        <v>577</v>
      </c>
      <c r="E133" s="174" t="s">
        <v>606</v>
      </c>
      <c r="F133" s="174"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610</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298</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42AE2-11C4-42CB-BA2E-0F688F6DC4AC}">
  <dimension ref="A1:T1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258</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t="str">
        <f>X_Cell_Site_LeachingZone</f>
        <v>NO - Not in leaching zone</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612</v>
      </c>
    </row>
    <row r="21" spans="1:9" ht="20.100000000000001" customHeight="1" x14ac:dyDescent="0.25">
      <c r="A21" s="5" t="str">
        <f>HYPERLINK("#'4.2.1.3-4 Soil direct N20'!A1", "4.2.1.3-4 Soil direct N2O")</f>
        <v>4.2.1.3-4 Soil direct N2O</v>
      </c>
      <c r="D21" s="115" t="s">
        <v>613</v>
      </c>
    </row>
    <row r="22" spans="1:9" ht="20.100000000000001" customHeight="1" x14ac:dyDescent="0.25">
      <c r="A22" s="5" t="str">
        <f>HYPERLINK("#'4.2.1.5-6 Soil Atmos Dep'!A1", "4.2.1.5-6 Soil atm. deposition")</f>
        <v>4.2.1.5-6 Soil atm. deposition</v>
      </c>
      <c r="D22" s="116" t="s">
        <v>540</v>
      </c>
      <c r="E22" s="116" t="s">
        <v>596</v>
      </c>
      <c r="F22" s="116" t="s">
        <v>614</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615</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258</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260</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t="str">
        <f>X_Cell_Site_LeachingZone</f>
        <v>NO - Not in leaching zone</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616</v>
      </c>
    </row>
    <row r="63" spans="4:9" ht="20.100000000000001" customHeight="1" x14ac:dyDescent="0.25">
      <c r="D63" s="115" t="s">
        <v>617</v>
      </c>
    </row>
    <row r="64" spans="4:9" ht="20.100000000000001" customHeight="1" x14ac:dyDescent="0.25">
      <c r="D64" s="117" t="s">
        <v>577</v>
      </c>
      <c r="E64" s="185" t="s">
        <v>581</v>
      </c>
      <c r="F64" s="116"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619</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258</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620</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298</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BB70A-A8EF-4F34-9CFD-AD737D952CD8}">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258</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260</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815</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815</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258</v>
      </c>
      <c r="E27" s="105" t="str" cm="1">
        <f t="array" aca="1" ref="E27" ca="1">Common_InputFunctions.Utility_DisplayFunctionName(E40)</f>
        <v>=AgResidue_Equations_PastureResidue.VEERG_6_2_1_1__1__NitrousOxideEmissionsFromPastureResidues</v>
      </c>
      <c r="N27" s="105" t="s">
        <v>258</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5.0000000000000001E-3</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t="str">
        <f>X_Cell_Site_WetOrDryClimateZone</f>
        <v>Dry climate zone</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565</v>
      </c>
      <c r="E40" s="120" cm="1">
        <f t="array" ref="E40">AgResidue_Equations_PastureResidue.VEERG_6_2_1_1__1__NitrousOxideEmissionsFromPastureResidues(J33,J34,J35)</f>
        <v>5.8320428571428569E-7</v>
      </c>
      <c r="F40" s="121" t="str" cm="1">
        <f t="array" ref="F40">AgResidue_Equations_PastureResidue.VEERG_6_2_1_1__1__NitrousOxideEmissionsFromPastureResidues_Unit()</f>
        <v>t N2O</v>
      </c>
      <c r="N40" s="119" t="s">
        <v>565</v>
      </c>
      <c r="O40" s="120" cm="1">
        <f t="array" ref="O40">AgResidue_Equations_PastureResidue.VEERG_6_2_1_1__1__NitrousOxideEmissionsFromPastureResidues(T33,J34,J35)</f>
        <v>5.8320428571428569E-7</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5.8320428571428569E-7</v>
      </c>
      <c r="N42" s="122" t="str" cm="1">
        <f t="array" ref="N42:O43">Common_Equations.Common_ConvertN2OToCO2e_Arguments()</f>
        <v>EN2O</v>
      </c>
      <c r="O42" s="123" t="str">
        <v>Nitrous oxide emissions (t N2O)</v>
      </c>
      <c r="P42" s="172"/>
      <c r="Q42" s="122">
        <f>O40</f>
        <v>5.8320428571428569E-7</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816</v>
      </c>
      <c r="E45" s="1" cm="1">
        <f t="array" ref="E45">Common_Equations.Common_ConvertN2OToCO2e(G42,G43)</f>
        <v>1.545491357142857E-4</v>
      </c>
      <c r="F45" s="15" t="str" cm="1">
        <f t="array" ref="F45">Common_Equations.Common_ConvertN2OToCO2e_Unit()</f>
        <v>t CO2e</v>
      </c>
      <c r="N45" s="1" t="s">
        <v>816</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D2E90-7130-458E-B206-69213B2C0576}">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817</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258</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818</v>
      </c>
      <c r="E21" s="8"/>
      <c r="F21" s="8"/>
      <c r="G21" s="8"/>
      <c r="H21" s="8"/>
      <c r="I21" s="8"/>
      <c r="J21" s="8"/>
      <c r="K21" s="8"/>
      <c r="N21" s="114" t="s">
        <v>819</v>
      </c>
      <c r="O21" s="8"/>
      <c r="P21" s="8"/>
      <c r="Q21" s="8"/>
      <c r="R21" s="8"/>
      <c r="S21" s="8"/>
    </row>
    <row r="22" spans="1:20" ht="20.100000000000001" customHeight="1" x14ac:dyDescent="0.25">
      <c r="A22" s="5" t="str">
        <f>HYPERLINK("#'4.2.1.5-6 Soil Atmos Dep'!A1", "4.2.1.5-6 Soil atm. deposition")</f>
        <v>4.2.1.5-6 Soil atm. deposition</v>
      </c>
      <c r="C22" s="8"/>
      <c r="D22" s="115" t="s">
        <v>820</v>
      </c>
      <c r="E22" s="8"/>
      <c r="F22" s="8"/>
      <c r="G22" s="8"/>
      <c r="H22" s="8"/>
      <c r="I22" s="8"/>
      <c r="J22" s="8"/>
      <c r="K22" s="8"/>
      <c r="N22" s="115" t="s">
        <v>821</v>
      </c>
      <c r="O22" s="8"/>
      <c r="P22" s="8"/>
      <c r="Q22" s="8"/>
      <c r="R22" s="8"/>
      <c r="S22" s="8"/>
    </row>
    <row r="23" spans="1:20" ht="20.100000000000001" customHeight="1" x14ac:dyDescent="0.25">
      <c r="A23" s="5" t="str">
        <f>HYPERLINK("#'4.2.1.7-8 Soil leach runoff'!A1", "4.2.1.7-8 Soil leach &amp; runoff")</f>
        <v>4.2.1.7-8 Soil leach &amp; runoff</v>
      </c>
      <c r="C23" s="8"/>
      <c r="D23" s="117" t="s">
        <v>822</v>
      </c>
      <c r="E23" s="116" t="s">
        <v>823</v>
      </c>
      <c r="F23" s="117" t="s">
        <v>824</v>
      </c>
      <c r="G23" s="117" t="s">
        <v>114</v>
      </c>
      <c r="H23" s="116" t="s">
        <v>825</v>
      </c>
      <c r="I23" s="116" t="s">
        <v>826</v>
      </c>
      <c r="J23" s="8"/>
      <c r="K23" s="8"/>
      <c r="N23" s="117" t="s">
        <v>822</v>
      </c>
      <c r="O23" s="116" t="s">
        <v>823</v>
      </c>
      <c r="P23" s="117" t="s">
        <v>824</v>
      </c>
      <c r="Q23" s="117" t="s">
        <v>114</v>
      </c>
      <c r="R23" s="116" t="s">
        <v>825</v>
      </c>
      <c r="S23" s="116" t="s">
        <v>826</v>
      </c>
    </row>
    <row r="24" spans="1:20" ht="20.100000000000001" customHeight="1" x14ac:dyDescent="0.25">
      <c r="A24" s="5" t="str">
        <f>HYPERLINK("#'5.1.1.1-2 Inorganic fert N2O'!A1", "5.1.1.1-2 Inorganic fert N2O")</f>
        <v>5.1.1.1-2 Inorganic fert N2O</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237</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258</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560</v>
      </c>
      <c r="E42" s="8"/>
      <c r="F42" s="8"/>
      <c r="G42" s="8"/>
      <c r="H42" s="8"/>
      <c r="I42" s="8"/>
      <c r="J42" s="8"/>
      <c r="K42" s="8"/>
      <c r="N42" s="114" t="s">
        <v>560</v>
      </c>
      <c r="O42" s="8"/>
      <c r="P42" s="8"/>
      <c r="Q42" s="8"/>
    </row>
    <row r="43" spans="1:17" ht="20.100000000000001" customHeight="1" x14ac:dyDescent="0.25">
      <c r="A43" s="5" t="str">
        <f>HYPERLINK("#'Constants - Fuel'!A1", "Constants - Fuel")</f>
        <v>Constants - Fuel</v>
      </c>
      <c r="C43" s="8"/>
      <c r="D43" s="115" t="s">
        <v>827</v>
      </c>
      <c r="E43" s="8"/>
      <c r="F43" s="8"/>
      <c r="G43" s="8"/>
      <c r="H43" s="8"/>
      <c r="I43" s="8"/>
      <c r="J43" s="8"/>
      <c r="K43" s="8"/>
      <c r="N43" s="115" t="s">
        <v>827</v>
      </c>
      <c r="O43" s="8"/>
      <c r="P43" s="8"/>
      <c r="Q43" s="8"/>
    </row>
    <row r="44" spans="1:17" ht="20.100000000000001" customHeight="1" x14ac:dyDescent="0.25">
      <c r="A44" s="5" t="str">
        <f>HYPERLINK("#'Constants - Common'!A1", "Constants - Common")</f>
        <v>Constants - Common</v>
      </c>
      <c r="C44" s="8"/>
      <c r="D44" s="116" t="s">
        <v>826</v>
      </c>
      <c r="E44" s="116" t="s">
        <v>828</v>
      </c>
      <c r="F44" s="8"/>
      <c r="G44" s="8"/>
      <c r="H44" s="8"/>
      <c r="I44" s="8"/>
      <c r="J44" s="8"/>
      <c r="K44" s="8"/>
      <c r="N44" s="116" t="s">
        <v>826</v>
      </c>
      <c r="O44" s="116" t="s">
        <v>828</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829</v>
      </c>
      <c r="E48" s="243">
        <f>SUM(E45:E46)</f>
        <v>3.0793186285714277E-7</v>
      </c>
      <c r="F48" s="121" t="str">
        <f>$E$34</f>
        <v>t N2O</v>
      </c>
      <c r="G48" s="8"/>
      <c r="H48" s="8"/>
      <c r="I48" s="8"/>
      <c r="J48" s="8"/>
      <c r="K48" s="8"/>
      <c r="N48" s="242" t="s">
        <v>829</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298</v>
      </c>
      <c r="E53" s="118" cm="1">
        <f t="array" ref="E53">Common_Equations.Common_ConvertN2OToCO2e(G50,G51)</f>
        <v>8.1601943657142831E-5</v>
      </c>
      <c r="F53" s="125" t="str" cm="1">
        <f t="array" ref="F53">Common_Equations.Common_ConvertN2OToCO2e_Unit()</f>
        <v>t CO2e</v>
      </c>
      <c r="I53" s="8"/>
      <c r="N53" s="118" t="s">
        <v>298</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BB926-914E-4295-87BB-A65E9089057E}">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258</v>
      </c>
      <c r="E7" s="105" t="str" cm="1">
        <f t="array" aca="1" ref="E7" ca="1">Common_InputFunctions.Utility_DisplayFunctionName(N25)</f>
        <v>=Fuel_Equations.VEERG_8_1_1_1__1_FuelCombustionTransport</v>
      </c>
      <c r="K7" s="105" t="s">
        <v>258</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724</v>
      </c>
    </row>
    <row r="24" spans="1:17" ht="20.100000000000001" customHeight="1" x14ac:dyDescent="0.25">
      <c r="A24" s="5" t="str">
        <f>HYPERLINK("#'5.1.1.1-2 Inorganic fert N2O'!A1", "5.1.1.1-2 Inorganic fert N2O")</f>
        <v>5.1.1.1-2 Inorganic fert N2O</v>
      </c>
      <c r="D24" s="116" t="s">
        <v>725</v>
      </c>
      <c r="E24" s="116" t="s">
        <v>726</v>
      </c>
      <c r="F24" s="116" t="s">
        <v>727</v>
      </c>
      <c r="G24" s="116" t="s">
        <v>728</v>
      </c>
      <c r="H24" s="116" t="s">
        <v>729</v>
      </c>
      <c r="I24" s="116" t="s">
        <v>730</v>
      </c>
      <c r="J24" s="116" t="s">
        <v>731</v>
      </c>
      <c r="K24" s="116" t="s">
        <v>732</v>
      </c>
      <c r="L24" s="117" t="s">
        <v>733</v>
      </c>
      <c r="M24" s="116" t="s">
        <v>734</v>
      </c>
      <c r="N24" s="116" t="s">
        <v>735</v>
      </c>
      <c r="O24" s="116" t="s">
        <v>736</v>
      </c>
      <c r="P24" s="116" t="s">
        <v>737</v>
      </c>
      <c r="Q24" s="116" t="s">
        <v>738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739</v>
      </c>
      <c r="E43" s="219">
        <f>SUM(N25:N32)</f>
        <v>26.981400000000001</v>
      </c>
      <c r="F43" s="26" t="str">
        <f>$E$12</f>
        <v>t CO2-e</v>
      </c>
    </row>
    <row r="44" spans="1:17" ht="20.100000000000001" customHeight="1" x14ac:dyDescent="0.25">
      <c r="A44" s="5" t="str">
        <f>HYPERLINK("#'Constants - Common'!A1", "Constants - Common")</f>
        <v>Constants - Common</v>
      </c>
      <c r="D44" s="35" t="s">
        <v>740</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741</v>
      </c>
      <c r="E45" s="219">
        <f>SUM(P25:P32)</f>
        <v>0.193</v>
      </c>
      <c r="F45" s="26" t="str">
        <f t="shared" si="1"/>
        <v>t CO2-e</v>
      </c>
    </row>
    <row r="46" spans="1:17" ht="20.100000000000001" customHeight="1" x14ac:dyDescent="0.25">
      <c r="A46" s="5" t="str">
        <f>HYPERLINK("#'Overview'!A1", "Overview")</f>
        <v>Overview</v>
      </c>
      <c r="D46" s="35" t="s">
        <v>742</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739</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740</v>
      </c>
      <c r="E50" s="219">
        <f>SUM(O33:O33)</f>
        <v>0.1158</v>
      </c>
      <c r="F50" s="26" t="str">
        <f t="shared" si="2"/>
        <v>t CO2-e</v>
      </c>
      <c r="H50" s="177"/>
      <c r="I50" s="177"/>
      <c r="J50" s="177"/>
      <c r="L50" s="177"/>
      <c r="M50" s="177"/>
      <c r="N50" s="177"/>
      <c r="O50" s="177"/>
      <c r="P50" s="177"/>
      <c r="Q50" s="177"/>
    </row>
    <row r="51" spans="4:17" ht="20.100000000000001" customHeight="1" x14ac:dyDescent="0.25">
      <c r="D51" s="35" t="s">
        <v>741</v>
      </c>
      <c r="E51" s="219">
        <f>SUM(P33:P33)</f>
        <v>0.193</v>
      </c>
      <c r="F51" s="26" t="str">
        <f t="shared" si="2"/>
        <v>t CO2-e</v>
      </c>
      <c r="H51" s="177"/>
      <c r="I51" s="177"/>
      <c r="J51" s="177"/>
      <c r="L51" s="177"/>
      <c r="M51" s="177"/>
      <c r="N51" s="177"/>
      <c r="O51" s="177"/>
      <c r="P51" s="177"/>
      <c r="Q51" s="177"/>
    </row>
    <row r="52" spans="4:17" ht="20.100000000000001" customHeight="1" x14ac:dyDescent="0.25">
      <c r="D52" s="35" t="s">
        <v>742</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739</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740</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741</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742</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739</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740</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741</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742</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743</v>
      </c>
      <c r="E66" s="222"/>
      <c r="F66" s="218"/>
      <c r="G66" s="177"/>
      <c r="H66" s="177"/>
      <c r="I66" s="177"/>
      <c r="J66" s="177"/>
      <c r="L66" s="177"/>
      <c r="M66" s="177"/>
      <c r="N66" s="177"/>
      <c r="O66" s="177"/>
      <c r="P66" s="177"/>
      <c r="Q66" s="177"/>
    </row>
    <row r="67" spans="4:17" ht="20.100000000000001" customHeight="1" x14ac:dyDescent="0.25">
      <c r="D67" s="35" t="s">
        <v>739</v>
      </c>
      <c r="E67" s="219">
        <f>E43+E49+E55+E61</f>
        <v>83.182000000000002</v>
      </c>
      <c r="F67" s="26" t="str">
        <f t="shared" ref="F67:F70" si="5">$E$12</f>
        <v>t CO2-e</v>
      </c>
      <c r="G67" s="177"/>
    </row>
    <row r="68" spans="4:17" ht="20.100000000000001" customHeight="1" x14ac:dyDescent="0.25">
      <c r="D68" s="35" t="s">
        <v>740</v>
      </c>
      <c r="E68" s="219">
        <f t="shared" ref="E68:E70" si="6">E44+E50+E56+E62</f>
        <v>0.19906000000000001</v>
      </c>
      <c r="F68" s="26" t="str">
        <f t="shared" si="5"/>
        <v>t CO2-e</v>
      </c>
      <c r="G68" s="177"/>
    </row>
    <row r="69" spans="4:17" ht="20.100000000000001" customHeight="1" x14ac:dyDescent="0.25">
      <c r="D69" s="35" t="s">
        <v>741</v>
      </c>
      <c r="E69" s="219">
        <f t="shared" si="6"/>
        <v>0.58450000000000002</v>
      </c>
      <c r="F69" s="26" t="str">
        <f t="shared" si="5"/>
        <v>t CO2-e</v>
      </c>
      <c r="G69" s="177"/>
    </row>
    <row r="70" spans="4:17" ht="20.100000000000001" customHeight="1" x14ac:dyDescent="0.25">
      <c r="D70" s="35" t="s">
        <v>742</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A4193D8-44A4-465B-B97C-46581FCE2A2A}"/>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56EFC-221F-4878-9AE0-FBB14CB19B8C}">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258</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258</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Western Australia</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745</v>
      </c>
    </row>
    <row r="24" spans="1:17" ht="20.100000000000001" customHeight="1" x14ac:dyDescent="0.25">
      <c r="A24" s="5" t="str">
        <f>HYPERLINK("#'5.1.1.1-2 Inorganic fert N2O'!A1", "5.1.1.1-2 Inorganic fert N2O")</f>
        <v>5.1.1.1-2 Inorganic fert N2O</v>
      </c>
      <c r="D24" s="116" t="s">
        <v>725</v>
      </c>
      <c r="E24" s="116" t="s">
        <v>726</v>
      </c>
      <c r="F24" s="116" t="s">
        <v>727</v>
      </c>
      <c r="G24" s="116" t="s">
        <v>746</v>
      </c>
      <c r="H24" s="116" t="s">
        <v>747</v>
      </c>
      <c r="I24" s="116" t="s">
        <v>748</v>
      </c>
      <c r="J24" s="116" t="s">
        <v>749</v>
      </c>
      <c r="K24" s="116" t="s">
        <v>750</v>
      </c>
      <c r="L24" s="117" t="s">
        <v>751</v>
      </c>
      <c r="M24" s="116" t="s">
        <v>734</v>
      </c>
      <c r="N24" s="116" t="s">
        <v>735</v>
      </c>
      <c r="O24" s="116" t="s">
        <v>736</v>
      </c>
      <c r="P24" s="116" t="s">
        <v>737</v>
      </c>
      <c r="Q24" s="116" t="s">
        <v>752</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0.41</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739</v>
      </c>
      <c r="E43" s="219">
        <f>SUM(N25:N31)</f>
        <v>0</v>
      </c>
      <c r="F43" s="26" t="str">
        <f>$E$12</f>
        <v>t CO2-e</v>
      </c>
    </row>
    <row r="44" spans="1:17" ht="20.100000000000001" customHeight="1" x14ac:dyDescent="0.25">
      <c r="A44" s="5" t="str">
        <f>HYPERLINK("#'Constants - Common'!A1", "Constants - Common")</f>
        <v>Constants - Common</v>
      </c>
      <c r="D44" s="35" t="s">
        <v>740</v>
      </c>
      <c r="E44" s="219">
        <f>SUM(O25:O31)</f>
        <v>0</v>
      </c>
      <c r="F44" s="26" t="str">
        <f t="shared" ref="F44:F46" si="2">$E$12</f>
        <v>t CO2-e</v>
      </c>
    </row>
    <row r="45" spans="1:17" ht="20.100000000000001" customHeight="1" x14ac:dyDescent="0.25">
      <c r="A45" s="5" t="str">
        <f>HYPERLINK("#'Acknowledgements'!A1", "Acknowledgements")</f>
        <v>Acknowledgements</v>
      </c>
      <c r="D45" s="35" t="s">
        <v>741</v>
      </c>
      <c r="E45" s="219">
        <f>SUM(P25:P31)</f>
        <v>0</v>
      </c>
      <c r="F45" s="26" t="str">
        <f t="shared" si="2"/>
        <v>t CO2-e</v>
      </c>
    </row>
    <row r="46" spans="1:17" ht="20.100000000000001" customHeight="1" x14ac:dyDescent="0.25">
      <c r="A46" s="5" t="str">
        <f>HYPERLINK("#'Overview'!A1", "Overview")</f>
        <v>Overview</v>
      </c>
      <c r="D46" s="35" t="s">
        <v>742</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739</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740</v>
      </c>
      <c r="E50" s="219">
        <f>SUM(O32:O40)</f>
        <v>7.2400000000000006E-2</v>
      </c>
      <c r="F50" s="26" t="str">
        <f t="shared" si="3"/>
        <v>t CO2-e</v>
      </c>
      <c r="H50" s="177"/>
      <c r="I50" s="177"/>
      <c r="J50" s="177"/>
      <c r="L50" s="177"/>
      <c r="N50" s="177"/>
      <c r="O50" s="177"/>
      <c r="P50" s="177"/>
      <c r="Q50" s="177"/>
    </row>
    <row r="51" spans="4:17" ht="20.100000000000001" customHeight="1" x14ac:dyDescent="0.25">
      <c r="D51" s="35" t="s">
        <v>741</v>
      </c>
      <c r="E51" s="219">
        <f>SUM(P32:P40)</f>
        <v>7.1400000000000005E-2</v>
      </c>
      <c r="F51" s="26" t="str">
        <f t="shared" si="3"/>
        <v>t CO2-e</v>
      </c>
      <c r="H51" s="177"/>
      <c r="I51" s="177"/>
      <c r="J51" s="177"/>
      <c r="L51" s="177"/>
      <c r="N51" s="177"/>
      <c r="O51" s="177"/>
      <c r="P51" s="177"/>
      <c r="Q51" s="177"/>
    </row>
    <row r="52" spans="4:17" ht="20.100000000000001" customHeight="1" x14ac:dyDescent="0.25">
      <c r="D52" s="35" t="s">
        <v>742</v>
      </c>
      <c r="E52" s="219">
        <f>SUM(Q32:Q40)</f>
        <v>6.2923999999999998</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753</v>
      </c>
      <c r="E54" s="220"/>
      <c r="F54" s="218"/>
      <c r="G54" s="177"/>
      <c r="H54" s="177"/>
      <c r="I54" s="177"/>
      <c r="J54" s="177"/>
      <c r="L54" s="177"/>
      <c r="N54" s="177"/>
      <c r="O54" s="177"/>
      <c r="P54" s="177"/>
      <c r="Q54" s="177"/>
    </row>
    <row r="55" spans="4:17" ht="20.100000000000001" customHeight="1" x14ac:dyDescent="0.25">
      <c r="D55" s="35" t="s">
        <v>739</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740</v>
      </c>
      <c r="E56" s="219">
        <f>E44+E50</f>
        <v>7.2400000000000006E-2</v>
      </c>
      <c r="F56" s="26" t="str">
        <f t="shared" si="4"/>
        <v>t CO2-e</v>
      </c>
      <c r="H56" s="177"/>
    </row>
    <row r="57" spans="4:17" ht="20.100000000000001" customHeight="1" x14ac:dyDescent="0.25">
      <c r="D57" s="35" t="s">
        <v>741</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742</v>
      </c>
      <c r="E58" s="219">
        <f>E46+E52</f>
        <v>6.2923999999999998</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BE1EA-321E-4BAD-9B1C-96B07CE5B2D3}">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258</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260</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690</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258</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260</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Western Australia</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690</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684</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38880B0-BC49-44E8-ADC5-89A2596C1FA5}"/>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B549-9E1C-490B-9F14-E743D761BFC6}">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302</v>
      </c>
      <c r="G5" s="2" t="s">
        <v>303</v>
      </c>
      <c r="M5" s="1" t="s">
        <v>304</v>
      </c>
      <c r="O5" s="1" t="s">
        <v>305</v>
      </c>
      <c r="Q5" s="1" t="s">
        <v>306</v>
      </c>
      <c r="S5" s="1" t="s">
        <v>307</v>
      </c>
    </row>
    <row r="6" spans="1:21" ht="20.100000000000001" customHeight="1" x14ac:dyDescent="0.25">
      <c r="M6" s="1"/>
    </row>
    <row r="7" spans="1:21" ht="20.100000000000001" customHeight="1" x14ac:dyDescent="0.25">
      <c r="A7" s="7" t="s">
        <v>0</v>
      </c>
      <c r="D7" s="30" t="s">
        <v>308</v>
      </c>
      <c r="G7" s="30" t="s">
        <v>74</v>
      </c>
      <c r="M7" t="s">
        <v>309</v>
      </c>
      <c r="O7" s="30" t="s">
        <v>309</v>
      </c>
      <c r="Q7" s="30" t="s">
        <v>309</v>
      </c>
      <c r="S7" s="30" t="s">
        <v>309</v>
      </c>
    </row>
    <row r="8" spans="1:21" ht="20.100000000000001" customHeight="1" x14ac:dyDescent="0.25">
      <c r="A8" s="5" t="str">
        <f>HYPERLINK("#'Input - Enterprise'!A1", "Enterprise")</f>
        <v>Enterprise</v>
      </c>
      <c r="D8" s="30" t="str">
        <f>'Constants - Common'!$F$187</f>
        <v>Pasture</v>
      </c>
      <c r="G8" s="30" t="s">
        <v>310</v>
      </c>
      <c r="M8" s="30" t="s">
        <v>184</v>
      </c>
      <c r="O8" s="30" t="s">
        <v>311</v>
      </c>
      <c r="Q8" s="30" t="s">
        <v>312</v>
      </c>
      <c r="S8" s="30" t="s">
        <v>313</v>
      </c>
    </row>
    <row r="9" spans="1:21" ht="20.100000000000001" customHeight="1" x14ac:dyDescent="0.25">
      <c r="A9" s="5" t="str">
        <f>HYPERLINK("#'Input - Site'!A1", "Site")</f>
        <v>Site</v>
      </c>
      <c r="D9" s="1" t="str">
        <f>'Constants - Common'!$F$188</f>
        <v>Crop</v>
      </c>
      <c r="G9" s="30" t="s">
        <v>314</v>
      </c>
      <c r="M9" s="30" t="s">
        <v>315</v>
      </c>
      <c r="O9" s="30" t="s">
        <v>316</v>
      </c>
      <c r="Q9" s="30" t="s">
        <v>317</v>
      </c>
    </row>
    <row r="10" spans="1:21" ht="20.100000000000001" customHeight="1" x14ac:dyDescent="0.25">
      <c r="A10" s="5" t="str">
        <f>HYPERLINK("#'Input - Pasture Beef'!A1", "Pasture Beef")</f>
        <v>Pasture Beef</v>
      </c>
      <c r="G10" s="1" t="s">
        <v>238</v>
      </c>
      <c r="M10" s="30" t="s">
        <v>318</v>
      </c>
      <c r="O10" s="30" t="s">
        <v>319</v>
      </c>
      <c r="Q10" s="30" t="s">
        <v>320</v>
      </c>
      <c r="S10" s="1" t="s">
        <v>321</v>
      </c>
    </row>
    <row r="11" spans="1:21" ht="20.100000000000001" customHeight="1" x14ac:dyDescent="0.25">
      <c r="A11" s="5" t="str">
        <f>HYPERLINK("#'Input - Pasture Beef (Enteric)'!A1", "Pasture Beef (Enteric)")</f>
        <v>Pasture Beef (Enteric)</v>
      </c>
      <c r="G11" s="1" t="s">
        <v>322</v>
      </c>
      <c r="M11" s="1"/>
      <c r="Q11" s="30" t="s">
        <v>323</v>
      </c>
    </row>
    <row r="12" spans="1:21" ht="20.100000000000001" customHeight="1" x14ac:dyDescent="0.25">
      <c r="A12" s="5" t="str">
        <f>HYPERLINK("#'Input - Pasture'!A1", "Pasture")</f>
        <v>Pasture</v>
      </c>
      <c r="G12" s="1" t="s">
        <v>324</v>
      </c>
      <c r="M12" s="1"/>
      <c r="S12" s="30" t="s">
        <v>309</v>
      </c>
    </row>
    <row r="13" spans="1:21" ht="20.100000000000001" customHeight="1" x14ac:dyDescent="0.25">
      <c r="A13" s="5" t="str">
        <f>HYPERLINK("#'Input - Fertiliser'!A1", "Fertiliser")</f>
        <v>Fertiliser</v>
      </c>
      <c r="M13" s="1"/>
      <c r="S13" s="30" t="s">
        <v>313</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325</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326</v>
      </c>
      <c r="S17" s="30" t="s">
        <v>309</v>
      </c>
    </row>
    <row r="18" spans="1:19" ht="20.100000000000001" customHeight="1" x14ac:dyDescent="0.25">
      <c r="A18" s="6" t="s">
        <v>2</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M47" s="1"/>
      <c r="O47" s="30" t="s">
        <v>355</v>
      </c>
      <c r="P47" s="30" t="s">
        <v>352</v>
      </c>
    </row>
    <row r="48" spans="1:16" ht="20.100000000000001" customHeight="1" x14ac:dyDescent="0.25">
      <c r="M48" s="1"/>
      <c r="O48" s="1" t="s">
        <v>356</v>
      </c>
      <c r="P48" s="1" t="s">
        <v>356</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7" t="s">
        <v>190</v>
      </c>
      <c r="H85" s="127" t="s">
        <v>191</v>
      </c>
      <c r="I85" s="127" t="s">
        <v>192</v>
      </c>
      <c r="J85" s="127" t="s">
        <v>193</v>
      </c>
      <c r="K85" s="127" t="s">
        <v>194</v>
      </c>
      <c r="L85" s="127" t="s">
        <v>195</v>
      </c>
      <c r="M85" s="127" t="s">
        <v>196</v>
      </c>
      <c r="N85" s="127" t="s">
        <v>197</v>
      </c>
      <c r="O85" s="127" t="s">
        <v>198</v>
      </c>
      <c r="P85" s="127"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7" t="s">
        <v>190</v>
      </c>
      <c r="H222" s="127" t="s">
        <v>191</v>
      </c>
      <c r="I222" s="127" t="s">
        <v>192</v>
      </c>
      <c r="J222" s="127" t="s">
        <v>193</v>
      </c>
      <c r="K222" s="127" t="s">
        <v>194</v>
      </c>
      <c r="L222" s="127" t="s">
        <v>195</v>
      </c>
      <c r="M222" s="127" t="s">
        <v>196</v>
      </c>
      <c r="N222" s="127" t="s">
        <v>197</v>
      </c>
      <c r="O222" s="127" t="s">
        <v>198</v>
      </c>
      <c r="P222" s="127"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190</v>
      </c>
      <c r="F361" s="127" t="s">
        <v>191</v>
      </c>
      <c r="G361" s="127" t="s">
        <v>192</v>
      </c>
      <c r="H361" s="127" t="s">
        <v>193</v>
      </c>
      <c r="I361" s="127" t="s">
        <v>194</v>
      </c>
      <c r="J361" s="127" t="s">
        <v>195</v>
      </c>
      <c r="K361" s="127" t="s">
        <v>196</v>
      </c>
      <c r="L361" s="127" t="s">
        <v>197</v>
      </c>
      <c r="M361" s="127" t="s">
        <v>198</v>
      </c>
      <c r="N361" s="127"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C877-BA9B-46E6-A6B3-30A5130EEBB7}">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831</v>
      </c>
      <c r="E7" s="244" t="s">
        <v>832</v>
      </c>
      <c r="F7" s="244" t="s">
        <v>833</v>
      </c>
      <c r="G7" s="244" t="s">
        <v>834</v>
      </c>
      <c r="H7" s="244" t="s">
        <v>835</v>
      </c>
      <c r="I7" s="244" t="s">
        <v>836</v>
      </c>
      <c r="J7" s="244" t="s">
        <v>837</v>
      </c>
      <c r="K7" s="244" t="s">
        <v>838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467</v>
      </c>
      <c r="E19" t="s">
        <v>839</v>
      </c>
      <c r="F19" t="s">
        <v>840</v>
      </c>
      <c r="G19" t="s">
        <v>841</v>
      </c>
      <c r="H19" t="s">
        <v>842</v>
      </c>
      <c r="I19" t="s">
        <v>843</v>
      </c>
      <c r="J19" t="s">
        <v>844</v>
      </c>
      <c r="K19" t="s">
        <v>845</v>
      </c>
      <c r="L19" t="s">
        <v>846</v>
      </c>
      <c r="N19" s="2" t="s">
        <v>303</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847</v>
      </c>
      <c r="E43" s="186" t="s">
        <v>848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800</v>
      </c>
      <c r="E51" s="30" t="s">
        <v>849</v>
      </c>
      <c r="F51" s="30" t="s">
        <v>850</v>
      </c>
      <c r="G51" s="30" t="s">
        <v>851</v>
      </c>
      <c r="H51" s="30" t="s">
        <v>852</v>
      </c>
      <c r="I51" s="30" t="s">
        <v>853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854</v>
      </c>
      <c r="E62" s="30" t="s">
        <v>855</v>
      </c>
      <c r="F62" s="30" t="s">
        <v>856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857</v>
      </c>
      <c r="E73" t="s">
        <v>109</v>
      </c>
      <c r="F73" t="s">
        <v>858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857</v>
      </c>
      <c r="E92" t="s">
        <v>109</v>
      </c>
      <c r="F92" t="s">
        <v>858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83EDF-8535-4AE2-AB64-07993453BBB0}">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859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860</v>
      </c>
      <c r="E9" s="30" t="s">
        <v>234</v>
      </c>
      <c r="F9" s="30" t="s">
        <v>861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862</v>
      </c>
      <c r="F31" s="1" t="s">
        <v>863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862</v>
      </c>
      <c r="F43" s="1" t="s">
        <v>864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862</v>
      </c>
      <c r="F54" s="1" t="s">
        <v>865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862</v>
      </c>
      <c r="F59" s="1" t="s">
        <v>866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862</v>
      </c>
      <c r="F64" s="1" t="s">
        <v>867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8DDFE-EE81-4B2C-B8B2-D2DEDB7A945D}">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692</v>
      </c>
      <c r="E9" s="195" t="s">
        <v>693</v>
      </c>
      <c r="F9" s="195" t="s">
        <v>694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692</v>
      </c>
      <c r="E24" s="186" t="s">
        <v>695</v>
      </c>
      <c r="F24" s="186" t="s">
        <v>696</v>
      </c>
      <c r="G24" s="186" t="s">
        <v>697</v>
      </c>
      <c r="H24" s="186" t="s">
        <v>698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F2D82-215D-47CA-AC0A-BEA1926CCEEF}">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626</v>
      </c>
      <c r="F40" s="2" t="s">
        <v>627</v>
      </c>
      <c r="H40" s="2" t="s">
        <v>303</v>
      </c>
      <c r="J40" s="2" t="s">
        <v>628</v>
      </c>
    </row>
    <row r="41" spans="1:10" ht="20.100000000000001" customHeight="1" x14ac:dyDescent="0.25">
      <c r="A41" s="5" t="str">
        <f>HYPERLINK("#'Constants - Electricity'!A1", "Constants - Electricity")</f>
        <v>Constants - Electricity</v>
      </c>
      <c r="D41" s="30" t="s">
        <v>308</v>
      </c>
      <c r="F41" s="30" t="s">
        <v>308</v>
      </c>
      <c r="H41" s="30" t="s">
        <v>74</v>
      </c>
      <c r="J41" s="30" t="s">
        <v>629</v>
      </c>
    </row>
    <row r="42" spans="1:10" ht="20.100000000000001" customHeight="1" x14ac:dyDescent="0.25">
      <c r="A42" s="126" t="str">
        <f>HYPERLINK("#'Constants - Fertiliser'!A1", "Constants - Fertiliser")</f>
        <v>Constants - Fertiliser</v>
      </c>
      <c r="D42" s="30" t="s">
        <v>237</v>
      </c>
      <c r="F42" s="30" t="s">
        <v>237</v>
      </c>
      <c r="H42" s="30" t="s">
        <v>310</v>
      </c>
      <c r="J42" s="30" t="s">
        <v>630</v>
      </c>
    </row>
    <row r="43" spans="1:10" ht="20.100000000000001" customHeight="1" x14ac:dyDescent="0.25">
      <c r="A43" s="5" t="str">
        <f>HYPERLINK("#'Constants - Fuel'!A1", "Constants - Fuel")</f>
        <v>Constants - Fuel</v>
      </c>
      <c r="D43" s="1" t="s">
        <v>466</v>
      </c>
      <c r="F43" s="1" t="s">
        <v>468</v>
      </c>
      <c r="H43" s="30" t="s">
        <v>314</v>
      </c>
      <c r="J43" s="1" t="s">
        <v>534</v>
      </c>
    </row>
    <row r="44" spans="1:10" ht="20.100000000000001" customHeight="1" x14ac:dyDescent="0.25">
      <c r="A44" s="5" t="str">
        <f>HYPERLINK("#'Constants - Common'!A1", "Constants - Common")</f>
        <v>Constants - Common</v>
      </c>
      <c r="F44" s="1" t="s">
        <v>631</v>
      </c>
      <c r="H44" s="1" t="s">
        <v>238</v>
      </c>
      <c r="J44" s="1" t="s">
        <v>632</v>
      </c>
    </row>
    <row r="45" spans="1:10" ht="20.100000000000001" customHeight="1" x14ac:dyDescent="0.25">
      <c r="A45" s="5" t="str">
        <f>HYPERLINK("#'Acknowledgements'!A1", "Acknowledgements")</f>
        <v>Acknowledgements</v>
      </c>
      <c r="F45" s="1" t="s">
        <v>633</v>
      </c>
      <c r="H45" s="1" t="s">
        <v>322</v>
      </c>
      <c r="J45" s="1" t="s">
        <v>533</v>
      </c>
    </row>
    <row r="46" spans="1:10" ht="20.100000000000001" customHeight="1" x14ac:dyDescent="0.25">
      <c r="A46" s="5" t="str">
        <f>HYPERLINK("#'Overview'!A1", "Overview")</f>
        <v>Overview</v>
      </c>
      <c r="H46" s="1" t="s">
        <v>324</v>
      </c>
      <c r="J46" s="1" t="s">
        <v>535</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NH3-N + NOx-N)/kg N) (FracGASFf)</v>
      </c>
      <c r="G49" s="177"/>
    </row>
    <row r="50" spans="4:8" ht="20.100000000000001" customHeight="1" x14ac:dyDescent="0.25">
      <c r="D50" s="30" t="s">
        <v>540</v>
      </c>
      <c r="E50" s="30" t="s">
        <v>634</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7"/>
      <c r="F87" s="177"/>
      <c r="G87" s="177"/>
      <c r="H87" s="177"/>
      <c r="I87" s="177"/>
      <c r="J87" s="177"/>
      <c r="K87" s="177"/>
      <c r="L87" s="177"/>
      <c r="N87" s="177" t="s">
        <v>637</v>
      </c>
      <c r="O87" s="177"/>
      <c r="P87" s="177"/>
      <c r="Q87" s="177"/>
      <c r="R87" s="177"/>
      <c r="S87" s="177"/>
      <c r="T87" s="177"/>
      <c r="U87" s="177"/>
    </row>
    <row r="88" spans="4:31" ht="20.100000000000001" customHeight="1" x14ac:dyDescent="0.25">
      <c r="D88" s="177"/>
    </row>
    <row r="89" spans="4:31" ht="20.100000000000001" customHeight="1" x14ac:dyDescent="0.25">
      <c r="D89" s="187" t="s">
        <v>639</v>
      </c>
      <c r="E89" s="30" t="s">
        <v>640</v>
      </c>
      <c r="F89" s="30" t="s">
        <v>641</v>
      </c>
      <c r="G89" s="142" t="s">
        <v>642</v>
      </c>
      <c r="H89" s="142" t="s">
        <v>132</v>
      </c>
      <c r="I89" s="142" t="s">
        <v>643</v>
      </c>
      <c r="J89" s="142" t="s">
        <v>494</v>
      </c>
      <c r="K89" s="142" t="s">
        <v>495</v>
      </c>
      <c r="L89" s="142" t="s">
        <v>481</v>
      </c>
      <c r="M89" s="142" t="s">
        <v>482</v>
      </c>
      <c r="N89" s="142" t="s">
        <v>483</v>
      </c>
      <c r="O89" s="30" t="s">
        <v>484</v>
      </c>
      <c r="P89" s="30" t="s">
        <v>485</v>
      </c>
      <c r="Q89" s="30" t="s">
        <v>486</v>
      </c>
      <c r="R89" s="142" t="s">
        <v>487</v>
      </c>
      <c r="S89" s="142" t="s">
        <v>488</v>
      </c>
      <c r="T89" s="30" t="s">
        <v>489</v>
      </c>
      <c r="U89" s="142" t="s">
        <v>490</v>
      </c>
      <c r="V89" s="142" t="s">
        <v>491</v>
      </c>
      <c r="W89" s="142" t="s">
        <v>492</v>
      </c>
      <c r="X89" s="142" t="s">
        <v>644</v>
      </c>
      <c r="Y89" s="142" t="s">
        <v>645</v>
      </c>
      <c r="Z89" s="30" t="s">
        <v>646</v>
      </c>
      <c r="AA89" s="30" t="s">
        <v>647</v>
      </c>
      <c r="AB89" s="30" t="s">
        <v>648</v>
      </c>
      <c r="AC89" s="30" t="s">
        <v>649</v>
      </c>
      <c r="AD89" s="30" t="s">
        <v>650</v>
      </c>
      <c r="AE89" s="30" t="s">
        <v>651</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F38D9-4340-4E57-A78C-8C84EECB0DE5}">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755</v>
      </c>
      <c r="E9" s="226" t="s">
        <v>756</v>
      </c>
      <c r="F9" s="226" t="s">
        <v>757</v>
      </c>
      <c r="G9" s="226" t="s">
        <v>758</v>
      </c>
      <c r="H9" s="226" t="s">
        <v>759</v>
      </c>
      <c r="I9" s="226" t="s">
        <v>760</v>
      </c>
      <c r="J9" s="226" t="s">
        <v>761</v>
      </c>
      <c r="K9" s="226" t="s">
        <v>762</v>
      </c>
      <c r="L9" s="226" t="s">
        <v>763</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764</v>
      </c>
      <c r="E39" s="30" t="s">
        <v>765</v>
      </c>
      <c r="F39" s="30" t="s">
        <v>766</v>
      </c>
      <c r="G39" s="30" t="s">
        <v>767</v>
      </c>
      <c r="H39" s="30" t="s">
        <v>768</v>
      </c>
      <c r="I39" s="30" t="s">
        <v>769</v>
      </c>
      <c r="J39" s="30" t="s">
        <v>770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756</v>
      </c>
      <c r="E53" s="226" t="s">
        <v>757</v>
      </c>
      <c r="F53" s="195" t="s">
        <v>758</v>
      </c>
      <c r="G53" s="226" t="s">
        <v>759</v>
      </c>
      <c r="H53" s="226" t="s">
        <v>760</v>
      </c>
      <c r="I53" s="226" t="s">
        <v>761</v>
      </c>
      <c r="J53" s="226" t="s">
        <v>762</v>
      </c>
      <c r="K53" s="226" t="s">
        <v>763</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756</v>
      </c>
      <c r="E86" s="226" t="s">
        <v>757</v>
      </c>
      <c r="F86" s="195" t="s">
        <v>758</v>
      </c>
      <c r="G86" s="226" t="s">
        <v>759</v>
      </c>
      <c r="H86" s="226" t="s">
        <v>760</v>
      </c>
      <c r="I86" s="226" t="s">
        <v>761</v>
      </c>
      <c r="J86" s="226" t="s">
        <v>762</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771</v>
      </c>
      <c r="E112" s="226" t="s">
        <v>705</v>
      </c>
      <c r="F112" s="226" t="s">
        <v>772</v>
      </c>
      <c r="G112" s="177"/>
      <c r="H112" s="88" t="s">
        <v>773</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774</v>
      </c>
      <c r="E130" s="235" t="s">
        <v>714</v>
      </c>
      <c r="F130" s="235" t="s">
        <v>775</v>
      </c>
      <c r="G130" s="235" t="s">
        <v>717</v>
      </c>
      <c r="H130" s="235" t="s">
        <v>719</v>
      </c>
      <c r="I130" s="235" t="s">
        <v>720</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721</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776</v>
      </c>
      <c r="E142" t="s">
        <v>132</v>
      </c>
      <c r="F142" t="s">
        <v>777</v>
      </c>
      <c r="G142" s="177"/>
      <c r="H142" s="177"/>
      <c r="I142" s="177"/>
      <c r="J142" s="177"/>
      <c r="K142" s="177"/>
      <c r="L142" s="177"/>
      <c r="M142" s="177"/>
      <c r="AG142" s="1"/>
    </row>
    <row r="143" spans="4:33" ht="20.100000000000001" customHeight="1" x14ac:dyDescent="0.25">
      <c r="D143" s="236" t="s">
        <v>716</v>
      </c>
      <c r="E143" t="s">
        <v>778</v>
      </c>
      <c r="F143" t="s">
        <v>779</v>
      </c>
      <c r="G143" s="177"/>
      <c r="H143" s="177"/>
      <c r="I143" s="177"/>
      <c r="J143" s="177"/>
      <c r="K143" s="177"/>
      <c r="L143" s="177"/>
      <c r="M143" s="177"/>
      <c r="AG143" s="1"/>
    </row>
    <row r="144" spans="4:33" ht="20.100000000000001" customHeight="1" x14ac:dyDescent="0.25">
      <c r="D144" s="236" t="s">
        <v>718</v>
      </c>
      <c r="E144" t="s">
        <v>778</v>
      </c>
      <c r="F144" t="s">
        <v>779</v>
      </c>
      <c r="G144" s="177"/>
      <c r="H144" s="177"/>
      <c r="I144" s="177"/>
      <c r="J144" s="177"/>
      <c r="K144" s="177"/>
      <c r="L144" s="177"/>
      <c r="M144" s="177"/>
      <c r="AG144" s="1"/>
    </row>
    <row r="145" spans="4:33" ht="20.100000000000001" customHeight="1" x14ac:dyDescent="0.25">
      <c r="D145" s="236" t="s">
        <v>780</v>
      </c>
      <c r="E145" t="s">
        <v>778</v>
      </c>
      <c r="F145" t="s">
        <v>779</v>
      </c>
      <c r="G145" s="177"/>
      <c r="H145" s="177"/>
      <c r="I145" s="177"/>
      <c r="J145" s="177"/>
      <c r="K145" s="177"/>
      <c r="L145" s="177"/>
      <c r="M145" s="177"/>
      <c r="AG145" s="1"/>
    </row>
    <row r="146" spans="4:33" ht="20.100000000000001" customHeight="1" x14ac:dyDescent="0.25">
      <c r="D146" s="236" t="s">
        <v>781</v>
      </c>
      <c r="E146" t="s">
        <v>778</v>
      </c>
      <c r="F146" t="s">
        <v>779</v>
      </c>
      <c r="G146" s="177"/>
      <c r="H146" s="177"/>
      <c r="I146" s="177"/>
      <c r="J146" s="177"/>
      <c r="K146" s="177"/>
      <c r="L146" s="177"/>
      <c r="M146" s="177"/>
      <c r="AG146" s="1"/>
    </row>
    <row r="147" spans="4:33" ht="20.100000000000001" customHeight="1" x14ac:dyDescent="0.25">
      <c r="D147" s="236" t="s">
        <v>782</v>
      </c>
      <c r="E147" t="s">
        <v>778</v>
      </c>
      <c r="F147" t="s">
        <v>779</v>
      </c>
      <c r="G147" s="177"/>
      <c r="H147" s="177"/>
      <c r="I147" s="177"/>
      <c r="J147" s="177"/>
      <c r="K147" s="177"/>
      <c r="L147" s="177"/>
      <c r="M147" s="177"/>
      <c r="AG147" s="1"/>
    </row>
    <row r="148" spans="4:33" ht="20.100000000000001" customHeight="1" x14ac:dyDescent="0.25">
      <c r="D148" s="236" t="s">
        <v>783</v>
      </c>
      <c r="E148" t="s">
        <v>778</v>
      </c>
      <c r="F148" t="s">
        <v>779</v>
      </c>
      <c r="G148" s="177"/>
      <c r="H148" s="177"/>
      <c r="I148" s="177"/>
      <c r="J148" s="177"/>
      <c r="K148" s="177"/>
      <c r="L148" s="177"/>
      <c r="M148" s="177"/>
      <c r="AG148" s="1"/>
    </row>
    <row r="149" spans="4:33" ht="20.100000000000001" customHeight="1" x14ac:dyDescent="0.25">
      <c r="D149" s="236" t="s">
        <v>784</v>
      </c>
      <c r="E149" t="s">
        <v>778</v>
      </c>
      <c r="F149" t="s">
        <v>779</v>
      </c>
      <c r="G149" s="177"/>
      <c r="H149" s="177"/>
      <c r="I149" s="177"/>
      <c r="J149" s="177"/>
      <c r="K149" s="177"/>
      <c r="L149" s="177"/>
      <c r="M149" s="177"/>
      <c r="AG149" s="1"/>
    </row>
    <row r="150" spans="4:33" ht="20.100000000000001" customHeight="1" x14ac:dyDescent="0.25">
      <c r="D150" s="236" t="s">
        <v>785</v>
      </c>
      <c r="E150" t="s">
        <v>778</v>
      </c>
      <c r="F150" t="s">
        <v>779</v>
      </c>
      <c r="G150" s="177"/>
      <c r="H150" s="177"/>
      <c r="I150" s="177"/>
      <c r="J150" s="177"/>
      <c r="K150" s="177"/>
      <c r="L150" s="177"/>
      <c r="M150" s="177"/>
      <c r="AG150" s="1"/>
    </row>
    <row r="151" spans="4:33" ht="20.100000000000001" customHeight="1" x14ac:dyDescent="0.25">
      <c r="D151" s="236" t="s">
        <v>786</v>
      </c>
      <c r="E151" t="s">
        <v>778</v>
      </c>
      <c r="F151" t="s">
        <v>779</v>
      </c>
      <c r="G151" s="177"/>
      <c r="H151" s="177"/>
      <c r="I151" s="177"/>
      <c r="J151" s="177"/>
      <c r="K151" s="177"/>
      <c r="L151" s="177"/>
      <c r="M151" s="177"/>
      <c r="AG151" s="1"/>
    </row>
    <row r="152" spans="4:33" ht="20.100000000000001" customHeight="1" x14ac:dyDescent="0.25">
      <c r="D152" s="238" t="s">
        <v>787</v>
      </c>
      <c r="E152" s="8" t="s">
        <v>778</v>
      </c>
      <c r="F152" t="s">
        <v>779</v>
      </c>
      <c r="G152" s="177"/>
      <c r="H152" s="177"/>
      <c r="I152" s="177"/>
      <c r="J152" s="177"/>
      <c r="K152" s="177"/>
      <c r="L152" s="177"/>
      <c r="M152" s="177"/>
      <c r="AG152" s="1"/>
    </row>
    <row r="153" spans="4:33" ht="20.100000000000001" customHeight="1" x14ac:dyDescent="0.25">
      <c r="D153" s="238" t="s">
        <v>788</v>
      </c>
      <c r="E153" s="8" t="s">
        <v>778</v>
      </c>
      <c r="F153" t="s">
        <v>779</v>
      </c>
      <c r="G153" s="177"/>
      <c r="H153" s="177"/>
      <c r="I153" s="177"/>
      <c r="J153" s="177"/>
      <c r="K153" s="177"/>
      <c r="L153" s="177"/>
      <c r="M153" s="177"/>
      <c r="AG153" s="1"/>
    </row>
    <row r="154" spans="4:33" ht="20.100000000000001" customHeight="1" x14ac:dyDescent="0.25">
      <c r="D154" s="238" t="s">
        <v>789</v>
      </c>
      <c r="E154" s="8" t="s">
        <v>778</v>
      </c>
      <c r="F154" t="s">
        <v>779</v>
      </c>
      <c r="G154" s="177"/>
      <c r="H154" s="177"/>
      <c r="I154" s="177"/>
      <c r="J154" s="177"/>
      <c r="K154" s="177"/>
      <c r="L154" s="177"/>
      <c r="M154" s="177"/>
      <c r="AG154" s="1"/>
    </row>
    <row r="155" spans="4:33" ht="20.100000000000001" customHeight="1" x14ac:dyDescent="0.25">
      <c r="D155" s="238" t="s">
        <v>790</v>
      </c>
      <c r="E155" s="8" t="s">
        <v>778</v>
      </c>
      <c r="F155" t="s">
        <v>779</v>
      </c>
      <c r="G155" s="177"/>
      <c r="H155" s="177"/>
      <c r="I155" s="177"/>
      <c r="J155" s="177"/>
      <c r="K155" s="177"/>
      <c r="L155" s="177"/>
      <c r="M155" s="177"/>
      <c r="AG155" s="1"/>
    </row>
    <row r="156" spans="4:33" ht="20.100000000000001" customHeight="1" x14ac:dyDescent="0.25">
      <c r="D156" s="238" t="s">
        <v>791</v>
      </c>
      <c r="E156" s="8" t="s">
        <v>778</v>
      </c>
      <c r="F156" t="s">
        <v>779</v>
      </c>
      <c r="G156" s="177"/>
      <c r="H156" s="177"/>
      <c r="I156" s="177"/>
      <c r="J156" s="177"/>
      <c r="K156" s="177"/>
      <c r="L156" s="177"/>
      <c r="M156" s="177"/>
      <c r="AG156" s="1"/>
    </row>
    <row r="157" spans="4:33" ht="20.100000000000001" customHeight="1" x14ac:dyDescent="0.25">
      <c r="D157" s="238" t="s">
        <v>792</v>
      </c>
      <c r="E157" s="8" t="s">
        <v>778</v>
      </c>
      <c r="F157" t="s">
        <v>779</v>
      </c>
      <c r="G157" s="177"/>
      <c r="H157" s="177"/>
      <c r="I157" s="177"/>
      <c r="J157" s="177"/>
      <c r="K157" s="177"/>
      <c r="L157" s="177"/>
      <c r="M157" s="177"/>
      <c r="AG157" s="1"/>
    </row>
    <row r="158" spans="4:33" ht="20.100000000000001" customHeight="1" x14ac:dyDescent="0.25">
      <c r="D158" s="238" t="s">
        <v>793</v>
      </c>
      <c r="E158" s="8" t="s">
        <v>778</v>
      </c>
      <c r="F158" t="s">
        <v>779</v>
      </c>
      <c r="G158" s="177"/>
      <c r="H158" s="177"/>
      <c r="I158" s="177"/>
      <c r="J158" s="177"/>
      <c r="K158" s="177"/>
      <c r="L158" s="177"/>
      <c r="M158" s="177"/>
      <c r="AG158" s="1"/>
    </row>
    <row r="159" spans="4:33" ht="20.100000000000001" customHeight="1" x14ac:dyDescent="0.25">
      <c r="D159" s="238" t="s">
        <v>794</v>
      </c>
      <c r="E159" s="8" t="s">
        <v>778</v>
      </c>
      <c r="F159" t="s">
        <v>779</v>
      </c>
      <c r="G159" s="177"/>
      <c r="H159" s="177"/>
      <c r="I159" s="177"/>
      <c r="J159" s="177"/>
      <c r="K159" s="177"/>
      <c r="L159" s="177"/>
      <c r="M159" s="177"/>
      <c r="AG159" s="1"/>
    </row>
    <row r="160" spans="4:33" ht="20.100000000000001" customHeight="1" x14ac:dyDescent="0.25">
      <c r="D160" s="238" t="s">
        <v>721</v>
      </c>
      <c r="E160" s="8" t="s">
        <v>778</v>
      </c>
      <c r="F160" t="s">
        <v>779</v>
      </c>
      <c r="G160" s="177"/>
      <c r="H160" s="177"/>
      <c r="I160" s="177"/>
      <c r="J160" s="177"/>
      <c r="K160" s="177"/>
      <c r="L160" s="177"/>
      <c r="M160" s="177"/>
      <c r="AG160" s="1"/>
    </row>
    <row r="161" spans="4:33" ht="20.100000000000001" customHeight="1" x14ac:dyDescent="0.25">
      <c r="D161" s="237" t="s">
        <v>795</v>
      </c>
      <c r="E161" s="177" t="s">
        <v>796</v>
      </c>
      <c r="F161" s="177" t="s">
        <v>796</v>
      </c>
      <c r="G161" s="177"/>
      <c r="H161" s="177"/>
      <c r="I161" s="177"/>
      <c r="J161" s="177"/>
      <c r="K161" s="177"/>
      <c r="L161" s="177"/>
      <c r="M161" s="177"/>
      <c r="AG161" s="1"/>
    </row>
    <row r="162" spans="4:33" ht="20.100000000000001" customHeight="1" x14ac:dyDescent="0.25">
      <c r="D162" s="177" t="s">
        <v>715</v>
      </c>
      <c r="E162" s="177" t="s">
        <v>796</v>
      </c>
      <c r="F162" s="177" t="s">
        <v>796</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B7F34-0FE0-4A5C-BDDC-210B35EA37F1}">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2ED96-9B95-4ACB-8C76-43A06854D28C}">
  <dimension ref="A1:AV46"/>
  <sheetViews>
    <sheetView showGridLines="0" tabSelected="1" topLeftCell="A27"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868</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869</v>
      </c>
      <c r="E5" s="54"/>
      <c r="F5" s="54"/>
      <c r="G5" s="54"/>
      <c r="H5" s="54"/>
      <c r="I5" s="54"/>
      <c r="J5" s="54"/>
      <c r="K5" s="54"/>
      <c r="L5" s="54"/>
      <c r="M5" s="54"/>
      <c r="N5" s="54"/>
      <c r="O5" s="55"/>
    </row>
    <row r="6" spans="1:42" ht="20.100000000000001" customHeight="1" x14ac:dyDescent="0.25">
      <c r="D6" s="250" t="s">
        <v>870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872</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gADEAXAAiACwAIABcACIAQgB1AGwAbAAgAD4AIAAxAFwAIgAsACAAXAAiAEMAbwB3ACAAPAAgADEAXAAiACwAIABcACIAQwBvAHcAIAAxAC0AMgBcACIALAAgAFwAIgBDAG8AdwAgAD4AIAAyAFwAIgAsACAAXAAiAFMAdABlAGUAcgAgADwAIAAxAFwAIgAsACAAXAAiAFMAdABlAGUAcgAgAD4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cwAgADwAMQBcACIALAAgAFwAIgBDAG8AdwBzACAAMQAtADIAXAAiACwAIABcACIAQwBvAHcAcwAgADIALQAzAFwAIgAsACAAXAAiAEMAbwB3AHM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CcAbgAvAGEAJwAgAHcAaQB0AGgAIAAnAFMAbwB1AHQAaAAgAFcAZQBzAHQAJ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PgAyAFwAIgAsACAAXAAiAFMAdABlAGUAcgAgADwAMQBcACIALAAgAFwAIgBTAHQAZQBlAHIAIAA+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MgAtADMAXAAiACwAIABcACIAQwBvAHc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AnAFMAdABhAHQAZQAgAGEAYgBiAHIAZQB2AGkAYQB0AGkAbwBuAC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DwAMQBcACIALAAgAFwAIgBCAHUAbABsAHMAIAA+ADEAXAAiACwAIABcACIAQwBvAHcAcwAgADwAMQBcACIALAAgAFwAIgBDAG8AdwBzACAAMQAtADIAXAAiACwAIABcACIAQwBvAHcAcwAgAD4AMgBcACIALAAgAFwAIgBTAHQAZQBlAHIAIAA8ADEAXAAiACwAIABcACIAUwB0AGUAZQByACAAPg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CcATgBhAHQAdQByAGEAbAAgAGcAYQBzACAAZABpAHMAdAByAGkAYgB1AHQAZQBkACAAaQBuACAAYQAgAHAAaQBwAGUAbABpAG4AZQAgAC0AIABHAGkAZwBhAGoAbwB1AGwAZQBzACcAIABhAG4AZAAgACcAVABvAHcAbgAgAGcAYQBzACAALQAgAEcAaQBnAGEAagBvAHUAbABlAHMAJ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CcAQwAn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JwBOAEUAJ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CcATgBFAC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JwBiAGEAbABlAGQAJ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CcATgAvAEEAJ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CcAQQBsAGwAIABvAHQAaABlAHIAIABjAHIAbwBwACAAdAB5AHAAZQBzACcAIABpAG4AdABvACAAaQBuAGQAaQB2AGkAZAB1AGEAbAAgAGMAcgBvAHAAIAB0AHkAcABlAHMAIABmAG8AcgAgAGUAYQBjAGgAIABzAHQAYQB0AGUALgAgAEwAaQBzAHQAZQBkACAAYQBsAGwAIABzAHQAYQB0AGUAcwAgAGYAbwByACAAUwB1AGcAYQByACAAQwBhAG4AZQAsACAAdwBpAHQAaAAgACcATgAvAEEAJ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329</vt:i4>
      </vt:variant>
    </vt:vector>
  </HeadingPairs>
  <TitlesOfParts>
    <vt:vector size="364"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VEERG_14_1_1__1_LocationBasedScopeElectricityEmissions_Result_Method1</vt:lpstr>
      <vt:lpstr>VEERG_14_1_2__1_MarketBasedScopeElectricityEmissionsVariation_Result_Method1</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X_Cell_Fuel_IsMetroLocation</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X_Cell_PastureBeef_CalculatedMMSAnaerobicLagoon</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2026-07-23T12:07:27Z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