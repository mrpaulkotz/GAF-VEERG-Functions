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F9868B7C-3D9B-4DB6-88B4-A9E73E00534F}" xr6:coauthVersionLast="47" xr6:coauthVersionMax="47" xr10:uidLastSave="{00000000-0000-0000-0000-000000000000}"/>
  <bookViews>
    <workbookView xWindow="390" yWindow="39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H25" i="101"/>
  <c r="J15" i="101"/>
  <c r="Q43" i="100"/>
  <c r="G43" i="100"/>
  <c r="J35" i="100"/>
  <c r="J17" i="100" a="1"/>
  <c r="J17" i="100" s="1"/>
  <c r="J16" i="100" a="1"/>
  <c r="J16" i="100" s="1"/>
  <c r="J15" i="100" a="1"/>
  <c r="J15" i="100" s="1"/>
  <c r="J14" i="100" a="1"/>
  <c r="J14" i="100" s="1"/>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I125" i="89"/>
  <c r="E112" i="89"/>
  <c r="E111" i="89"/>
  <c r="E110" i="89"/>
  <c r="E109" i="89"/>
  <c r="E108" i="89"/>
  <c r="E107" i="89"/>
  <c r="E106" i="89"/>
  <c r="E105" i="89"/>
  <c r="D102" i="89" a="1"/>
  <c r="D102" i="89" s="1"/>
  <c r="I97" i="89"/>
  <c r="G82" i="89"/>
  <c r="D59" i="89" a="1"/>
  <c r="D59" i="89" s="1"/>
  <c r="J51" i="89"/>
  <c r="J50"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s="1"/>
  <c r="F27" i="86" a="1"/>
  <c r="F27" i="86"/>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Q38" i="82"/>
  <c r="G38" i="82"/>
  <c r="I30" i="82"/>
  <c r="X270" i="81"/>
  <c r="G232" i="81"/>
  <c r="H226" i="81"/>
  <c r="F163" i="81" a="1"/>
  <c r="F163" i="81" s="1"/>
  <c r="L162" i="81" a="1"/>
  <c r="L162" i="81" s="1"/>
  <c r="H161" i="81" a="1"/>
  <c r="H161" i="81" s="1"/>
  <c r="F161" i="81" a="1"/>
  <c r="F161" i="81" s="1"/>
  <c r="I148" i="81"/>
  <c r="U93" i="81"/>
  <c r="X92" i="81"/>
  <c r="W92" i="81"/>
  <c r="V92" i="81"/>
  <c r="U92" i="81"/>
  <c r="G87" i="81"/>
  <c r="F87" i="81"/>
  <c r="E87" i="81"/>
  <c r="D87" i="81"/>
  <c r="AF67" i="81"/>
  <c r="AF66" i="81"/>
  <c r="AF65" i="81"/>
  <c r="AF64" i="81"/>
  <c r="AF63" i="81"/>
  <c r="AF62" i="81"/>
  <c r="AF61" i="81"/>
  <c r="AF60" i="81"/>
  <c r="AF59" i="81"/>
  <c r="AF58" i="81"/>
  <c r="AF57" i="81"/>
  <c r="O57" i="81"/>
  <c r="AF56" i="81"/>
  <c r="O56" i="81"/>
  <c r="O55" i="81"/>
  <c r="O54" i="81"/>
  <c r="M28" i="81"/>
  <c r="J28" i="81"/>
  <c r="H28" i="81"/>
  <c r="G28" i="81"/>
  <c r="F28"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X172" i="80"/>
  <c r="W172" i="80"/>
  <c r="D172" i="80"/>
  <c r="X171" i="80"/>
  <c r="W171" i="80"/>
  <c r="D171" i="80"/>
  <c r="D166" i="80"/>
  <c r="D165" i="80"/>
  <c r="F33" i="80"/>
  <c r="E33" i="80"/>
  <c r="F32" i="80"/>
  <c r="E32" i="80"/>
  <c r="F31" i="80"/>
  <c r="E31" i="80"/>
  <c r="F30" i="80"/>
  <c r="E30" i="80"/>
  <c r="H25" i="80"/>
  <c r="G25" i="80"/>
  <c r="F25" i="80"/>
  <c r="E25" i="80"/>
  <c r="H24" i="80"/>
  <c r="G24" i="80"/>
  <c r="F24" i="80"/>
  <c r="E24" i="80"/>
  <c r="W23" i="80"/>
  <c r="H23" i="80"/>
  <c r="G23" i="80"/>
  <c r="F23" i="80"/>
  <c r="E23" i="80"/>
  <c r="Z22" i="80"/>
  <c r="Y22" i="80"/>
  <c r="X22" i="80"/>
  <c r="W22" i="80"/>
  <c r="H22" i="80"/>
  <c r="G22" i="80"/>
  <c r="F22" i="80"/>
  <c r="E22" i="80"/>
  <c r="X164" i="77"/>
  <c r="G131" i="77"/>
  <c r="J14" i="77" a="1"/>
  <c r="J14" i="77" s="1"/>
  <c r="E30" i="92"/>
  <c r="E29" i="92"/>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E20" i="99" s="1"/>
  <c r="J200" i="76" a="1"/>
  <c r="J200" i="76" s="1"/>
  <c r="J199" i="76" a="1"/>
  <c r="J199" i="76"/>
  <c r="J198" i="76" a="1"/>
  <c r="J198" i="76" s="1"/>
  <c r="J197" i="76" a="1"/>
  <c r="J197" i="76" s="1"/>
  <c r="J196" i="76" a="1"/>
  <c r="J196" i="76" s="1"/>
  <c r="J195" i="76" a="1"/>
  <c r="J195" i="76" s="1"/>
  <c r="J194" i="76" a="1"/>
  <c r="J194" i="76" s="1"/>
  <c r="J193" i="76" a="1"/>
  <c r="J193" i="76" s="1"/>
  <c r="J192" i="76" a="1"/>
  <c r="J192" i="76" s="1"/>
  <c r="J191" i="76" a="1"/>
  <c r="J191" i="76" s="1"/>
  <c r="M158" i="76"/>
  <c r="K158" i="76"/>
  <c r="H158" i="76"/>
  <c r="I157" i="76"/>
  <c r="G157" i="76"/>
  <c r="N156" i="76"/>
  <c r="G156" i="76"/>
  <c r="E156" i="76"/>
  <c r="M155" i="76"/>
  <c r="J155" i="76"/>
  <c r="M136" i="76"/>
  <c r="K136" i="76"/>
  <c r="I136" i="76"/>
  <c r="F136" i="76"/>
  <c r="I135" i="76"/>
  <c r="G135" i="76"/>
  <c r="E135" i="76"/>
  <c r="L134" i="76"/>
  <c r="E134" i="76"/>
  <c r="M133" i="76"/>
  <c r="K133" i="76"/>
  <c r="J133" i="76"/>
  <c r="H133" i="76"/>
  <c r="H99" i="76"/>
  <c r="N98" i="76"/>
  <c r="M96" i="76"/>
  <c r="K96" i="76"/>
  <c r="G96" i="76"/>
  <c r="I92" i="76"/>
  <c r="E92" i="76"/>
  <c r="M89" i="76"/>
  <c r="K89" i="76"/>
  <c r="G89" i="76"/>
  <c r="I86" i="76"/>
  <c r="G86" i="76"/>
  <c r="E86" i="76"/>
  <c r="N85" i="76"/>
  <c r="L85" i="76"/>
  <c r="E85" i="76"/>
  <c r="M84" i="76"/>
  <c r="K84" i="76"/>
  <c r="J84" i="76"/>
  <c r="H84" i="76"/>
  <c r="K83" i="76"/>
  <c r="I83" i="76"/>
  <c r="G83" i="76"/>
  <c r="F83" i="76"/>
  <c r="N78" i="76"/>
  <c r="K76" i="76"/>
  <c r="G76" i="76"/>
  <c r="I75" i="76"/>
  <c r="G75" i="76"/>
  <c r="M74" i="76"/>
  <c r="H72" i="76"/>
  <c r="M69" i="76"/>
  <c r="J69" i="76"/>
  <c r="G69" i="76"/>
  <c r="I68" i="76"/>
  <c r="K64" i="76"/>
  <c r="I64" i="76"/>
  <c r="G64" i="76"/>
  <c r="F64" i="76"/>
  <c r="N63" i="76"/>
  <c r="G63" i="76"/>
  <c r="E63" i="76"/>
  <c r="M62" i="76"/>
  <c r="L62" i="76"/>
  <c r="J62" i="76"/>
  <c r="M61" i="76"/>
  <c r="K61" i="76"/>
  <c r="I61" i="76"/>
  <c r="H61" i="76"/>
  <c r="F61" i="76"/>
  <c r="J200" i="79" a="1"/>
  <c r="J200" i="79" s="1"/>
  <c r="J199" i="79" a="1"/>
  <c r="J199" i="79" s="1"/>
  <c r="J198" i="79" a="1"/>
  <c r="J198" i="79" s="1"/>
  <c r="J197" i="79" a="1"/>
  <c r="J197" i="79" s="1"/>
  <c r="J196" i="79" a="1"/>
  <c r="J196" i="79" s="1"/>
  <c r="J195" i="79" a="1"/>
  <c r="J195" i="79" s="1"/>
  <c r="J194" i="79" a="1"/>
  <c r="J194" i="79" s="1"/>
  <c r="J193" i="79" a="1"/>
  <c r="J193" i="79" s="1"/>
  <c r="J192" i="79" a="1"/>
  <c r="J192" i="79" s="1"/>
  <c r="J191" i="79" a="1"/>
  <c r="J191" i="79" s="1"/>
  <c r="M136" i="79"/>
  <c r="J136" i="79"/>
  <c r="J135" i="79"/>
  <c r="F135" i="79"/>
  <c r="F134" i="79"/>
  <c r="E134" i="79"/>
  <c r="M133" i="79"/>
  <c r="L133" i="79"/>
  <c r="H133" i="79"/>
  <c r="N86" i="79"/>
  <c r="M86" i="79"/>
  <c r="L86" i="79"/>
  <c r="J85" i="79"/>
  <c r="I85" i="79"/>
  <c r="H85" i="79"/>
  <c r="F84" i="79"/>
  <c r="E84" i="79"/>
  <c r="N83" i="79"/>
  <c r="G78" i="79"/>
  <c r="K77" i="79"/>
  <c r="J74" i="79"/>
  <c r="E74" i="79"/>
  <c r="I73" i="79"/>
  <c r="F69" i="79"/>
  <c r="E69" i="79"/>
  <c r="N63" i="79"/>
  <c r="M63" i="79"/>
  <c r="K62" i="79"/>
  <c r="J62" i="79"/>
  <c r="I62" i="79"/>
  <c r="G61" i="79"/>
  <c r="F61" i="79"/>
  <c r="E61" i="79"/>
  <c r="E22" i="72"/>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P48" i="101" s="1"/>
  <c r="E33" i="101" a="1"/>
  <c r="E33" i="101" s="1"/>
  <c r="D29" i="101" a="1"/>
  <c r="D29" i="101" s="1"/>
  <c r="D28" i="101" a="1"/>
  <c r="D28" i="101" s="1"/>
  <c r="G25" i="10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a="1"/>
  <c r="D6" i="100" s="1"/>
  <c r="D5" i="100" a="1"/>
  <c r="D5" i="100" s="1"/>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39" i="96"/>
  <c r="D35" i="96"/>
  <c r="D36" i="96"/>
  <c r="D31" i="96"/>
  <c r="D30" i="96"/>
  <c r="D27" i="96"/>
  <c r="D26" i="96"/>
  <c r="D42"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I46" i="92"/>
  <c r="H46" i="92"/>
  <c r="E46" i="92"/>
  <c r="I39" i="92"/>
  <c r="H39" i="92"/>
  <c r="I38" i="92"/>
  <c r="H38" i="92"/>
  <c r="H37" i="92"/>
  <c r="I37" i="92"/>
  <c r="E41" i="92" s="1"/>
  <c r="I48" i="92"/>
  <c r="E16" i="92"/>
  <c r="E22" i="92" s="1"/>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6" i="90" s="1"/>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7" i="90"/>
  <c r="I16" i="90"/>
  <c r="I14" i="90" s="1"/>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8" i="89" a="1"/>
  <c r="F108" i="89" s="1"/>
  <c r="E140" i="89" s="1"/>
  <c r="F107" i="89" a="1"/>
  <c r="F107" i="89" s="1"/>
  <c r="E139" i="89" s="1"/>
  <c r="F105" i="89" a="1"/>
  <c r="F105" i="89" s="1"/>
  <c r="E137" i="89" s="1"/>
  <c r="E104" i="89"/>
  <c r="F104" i="89" s="1" a="1"/>
  <c r="F104" i="89" s="1"/>
  <c r="E136" i="89" s="1"/>
  <c r="E103" i="89"/>
  <c r="F103" i="89" s="1" a="1"/>
  <c r="F103" i="89" s="1"/>
  <c r="E135" i="89" s="1"/>
  <c r="E102" i="89"/>
  <c r="F102" i="89" s="1" a="1"/>
  <c r="F102" i="89" s="1"/>
  <c r="E134" i="89" s="1"/>
  <c r="F106" i="89" a="1"/>
  <c r="F106" i="89" s="1"/>
  <c r="E138"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5"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2" i="87" a="1"/>
  <c r="I22"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W50" i="85" s="1"/>
  <c r="S71" i="85"/>
  <c r="S70" i="85"/>
  <c r="W49" i="85" s="1"/>
  <c r="S67" i="85" a="1"/>
  <c r="S67" i="85" s="1"/>
  <c r="Q67" i="85" a="1"/>
  <c r="Q67" i="85" s="1"/>
  <c r="M67" i="85" a="1"/>
  <c r="M67" i="85" s="1"/>
  <c r="N65" i="85" a="1"/>
  <c r="N65" i="85" s="1"/>
  <c r="N64" i="85" a="1"/>
  <c r="N64" i="85" s="1"/>
  <c r="M59" i="85" a="1"/>
  <c r="M59" i="85" s="1"/>
  <c r="M58" i="85" a="1"/>
  <c r="M58" i="85" s="1"/>
  <c r="I55" i="85"/>
  <c r="V54" i="85" a="1"/>
  <c r="V54" i="85" s="1"/>
  <c r="T54" i="85"/>
  <c r="U54" i="85" s="1"/>
  <c r="S54" i="85" a="1"/>
  <c r="S54" i="85" s="1"/>
  <c r="R54" i="85" a="1"/>
  <c r="R54" i="85" s="1"/>
  <c r="Q54" i="85"/>
  <c r="I54" i="85"/>
  <c r="I50" i="85" s="1"/>
  <c r="V53" i="85" a="1"/>
  <c r="V53" i="85" s="1"/>
  <c r="U53" i="85"/>
  <c r="T53" i="85"/>
  <c r="S53" i="85" a="1"/>
  <c r="S53" i="85" s="1"/>
  <c r="R53" i="85" a="1"/>
  <c r="R53" i="85" s="1"/>
  <c r="Q53" i="85"/>
  <c r="I53" i="85"/>
  <c r="S52" i="85" a="1"/>
  <c r="S52" i="85" s="1"/>
  <c r="R52" i="85" a="1"/>
  <c r="R52" i="85" s="1"/>
  <c r="Q52" i="85"/>
  <c r="I52" i="85"/>
  <c r="T51" i="85"/>
  <c r="V51" i="85" s="1" a="1"/>
  <c r="V51" i="85" s="1"/>
  <c r="Q51" i="85"/>
  <c r="T49" i="85"/>
  <c r="V49" i="85" s="1" a="1"/>
  <c r="V49" i="85" s="1"/>
  <c r="S49" i="85" a="1"/>
  <c r="S49" i="85" s="1"/>
  <c r="Q49" i="85"/>
  <c r="I49" i="85" a="1"/>
  <c r="I49" i="85" s="1"/>
  <c r="G49" i="85" a="1"/>
  <c r="G49" i="85" s="1"/>
  <c r="D49" i="85" a="1"/>
  <c r="D49" i="85" s="1"/>
  <c r="V48" i="85" a="1"/>
  <c r="V48" i="85" s="1"/>
  <c r="T48" i="85"/>
  <c r="R48" i="85" a="1"/>
  <c r="R48" i="85" s="1"/>
  <c r="Q48" i="85"/>
  <c r="V47" i="85" a="1"/>
  <c r="V47" i="85" s="1"/>
  <c r="T47" i="85"/>
  <c r="U47" i="85" s="1"/>
  <c r="S47" i="85" a="1"/>
  <c r="S47" i="85" s="1"/>
  <c r="R47" i="85" a="1"/>
  <c r="R47" i="85" s="1"/>
  <c r="E47" i="85" a="1"/>
  <c r="E47" i="85" s="1"/>
  <c r="V46" i="85" a="1"/>
  <c r="V46" i="85" s="1"/>
  <c r="T46" i="85"/>
  <c r="U46" i="85" s="1"/>
  <c r="S46" i="85" a="1"/>
  <c r="S46" i="85" s="1"/>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J50" i="84" s="1"/>
  <c r="H49" i="84"/>
  <c r="I49" i="84" s="1"/>
  <c r="G49" i="84"/>
  <c r="J49" i="84" s="1"/>
  <c r="I48" i="84"/>
  <c r="H48" i="84"/>
  <c r="J48" i="84" s="1"/>
  <c r="G48" i="84"/>
  <c r="K39" i="84"/>
  <c r="G39" i="84"/>
  <c r="F39" i="84"/>
  <c r="K38" i="84"/>
  <c r="F38" i="84"/>
  <c r="G38" i="84" s="1"/>
  <c r="K37" i="84"/>
  <c r="F37" i="84"/>
  <c r="G37" i="84" s="1"/>
  <c r="D35" i="84"/>
  <c r="G28" i="84"/>
  <c r="F28" i="84"/>
  <c r="G27" i="84"/>
  <c r="F27" i="84"/>
  <c r="G26" i="84"/>
  <c r="F26" i="84"/>
  <c r="H22" i="84"/>
  <c r="I22" i="84"/>
  <c r="I21" i="84"/>
  <c r="H21" i="84"/>
  <c r="H20" i="84"/>
  <c r="I20" i="84"/>
  <c r="H19" i="84"/>
  <c r="H18" i="84"/>
  <c r="I18" i="84"/>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I15"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31" i="82"/>
  <c r="I29" i="82" s="1"/>
  <c r="Q28" i="82" a="1"/>
  <c r="Q28" i="82" s="1"/>
  <c r="N28" i="82" a="1"/>
  <c r="N28" i="82" s="1"/>
  <c r="G28" i="82" a="1"/>
  <c r="G28" i="82" s="1"/>
  <c r="D28" i="82" a="1"/>
  <c r="D28" i="82" s="1"/>
  <c r="E26" i="82" a="1"/>
  <c r="E26" i="82" s="1"/>
  <c r="E25" i="82" a="1"/>
  <c r="E25" i="82" s="1"/>
  <c r="D21" i="82" a="1"/>
  <c r="D21" i="82" s="1"/>
  <c r="D20" i="82" a="1"/>
  <c r="D20" i="82" s="1"/>
  <c r="P16" i="82"/>
  <c r="J14"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V232" i="81" a="1"/>
  <c r="V232" i="81" s="1"/>
  <c r="U232" i="81"/>
  <c r="D231" i="81" a="1"/>
  <c r="D231" i="81" s="1"/>
  <c r="U227" i="81"/>
  <c r="H227" i="81"/>
  <c r="H225" i="81" s="1"/>
  <c r="U226" i="81"/>
  <c r="U225" i="81"/>
  <c r="U224" i="81"/>
  <c r="H224" i="81"/>
  <c r="D224" i="81" a="1"/>
  <c r="D224" i="81" s="1"/>
  <c r="U223" i="81"/>
  <c r="U222" i="81"/>
  <c r="E222" i="81" a="1"/>
  <c r="E222" i="81" s="1"/>
  <c r="U221" i="81"/>
  <c r="E221" i="81" a="1"/>
  <c r="E221" i="81" s="1"/>
  <c r="U220" i="81"/>
  <c r="U219" i="81"/>
  <c r="U218" i="81"/>
  <c r="U217" i="81"/>
  <c r="D217" i="81" a="1"/>
  <c r="D217" i="81" s="1"/>
  <c r="V216" i="81" a="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V187" i="81" s="1" a="1"/>
  <c r="V187" i="81" s="1"/>
  <c r="AC187" i="81" s="1" a="1"/>
  <c r="AC187" i="81" s="1"/>
  <c r="U186" i="81"/>
  <c r="I186" i="81" a="1"/>
  <c r="I186" i="81" s="1"/>
  <c r="U185" i="81"/>
  <c r="I185" i="81" a="1"/>
  <c r="I185" i="81" s="1"/>
  <c r="U184" i="81"/>
  <c r="I184" i="81" a="1"/>
  <c r="I184" i="81" s="1"/>
  <c r="G184" i="81" a="1"/>
  <c r="G184" i="81" s="1"/>
  <c r="D184" i="81" a="1"/>
  <c r="D184" i="81" s="1"/>
  <c r="U183" i="81"/>
  <c r="U182" i="81"/>
  <c r="E182" i="81" a="1"/>
  <c r="E182" i="81" s="1"/>
  <c r="AF255" i="81" s="1"/>
  <c r="U181" i="81"/>
  <c r="E181" i="81" a="1"/>
  <c r="E181" i="81" s="1"/>
  <c r="U180" i="81"/>
  <c r="D177" i="81" a="1"/>
  <c r="D177" i="81" s="1"/>
  <c r="D176" i="81" a="1"/>
  <c r="D176" i="81" s="1"/>
  <c r="U175" i="81"/>
  <c r="U174" i="81"/>
  <c r="U173" i="81"/>
  <c r="U172" i="81"/>
  <c r="U171" i="81"/>
  <c r="U170" i="81"/>
  <c r="U169" i="81"/>
  <c r="U168" i="81"/>
  <c r="U167" i="81"/>
  <c r="U166" i="81"/>
  <c r="U165" i="81"/>
  <c r="V164" i="81" a="1"/>
  <c r="V164" i="81" s="1"/>
  <c r="U164" i="81"/>
  <c r="E164" i="81" a="1"/>
  <c r="E164" i="81" s="1"/>
  <c r="E163" i="81" a="1"/>
  <c r="E163" i="81" s="1"/>
  <c r="E162" i="81" a="1"/>
  <c r="E162" i="81" s="1"/>
  <c r="E161" i="81" a="1"/>
  <c r="E161" i="81" s="1"/>
  <c r="E153" i="81" a="1"/>
  <c r="E153" i="81" s="1"/>
  <c r="U151" i="81" a="1"/>
  <c r="U151" i="81" s="1"/>
  <c r="U147" i="81"/>
  <c r="I147" i="81"/>
  <c r="L164" i="81" s="1" a="1"/>
  <c r="L164" i="81" s="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V120" i="81" a="1"/>
  <c r="V120" i="81" s="1"/>
  <c r="U120" i="81"/>
  <c r="D120" i="81"/>
  <c r="E119" i="81" a="1"/>
  <c r="E119" i="81" s="1"/>
  <c r="D119" i="81"/>
  <c r="U115" i="81" a="1"/>
  <c r="U115" i="81" s="1"/>
  <c r="I114" i="81" a="1"/>
  <c r="I114" i="81" s="1"/>
  <c r="I113" i="81" a="1"/>
  <c r="I113" i="81" s="1"/>
  <c r="I112" i="81" a="1"/>
  <c r="I112" i="81" s="1"/>
  <c r="U111" i="81"/>
  <c r="I111" i="81" a="1"/>
  <c r="I111" i="81" s="1"/>
  <c r="G111" i="81" a="1"/>
  <c r="G111" i="81" s="1"/>
  <c r="D111" i="81" a="1"/>
  <c r="D111" i="81" s="1"/>
  <c r="U110" i="81"/>
  <c r="U109" i="81"/>
  <c r="V109" i="81" s="1" a="1"/>
  <c r="V109" i="81" s="1"/>
  <c r="E109" i="81" a="1"/>
  <c r="E109" i="81" s="1"/>
  <c r="U108" i="81"/>
  <c r="E108" i="81" a="1"/>
  <c r="E108" i="81" s="1"/>
  <c r="U107" i="81"/>
  <c r="V107" i="81" s="1" a="1"/>
  <c r="V107" i="81" s="1"/>
  <c r="U106" i="81"/>
  <c r="U105" i="81"/>
  <c r="V105" i="81" s="1" a="1"/>
  <c r="V105" i="81" s="1"/>
  <c r="W105" i="81" s="1" a="1"/>
  <c r="W105" i="81" s="1"/>
  <c r="U104" i="81"/>
  <c r="U103" i="81"/>
  <c r="V103" i="81" s="1" a="1"/>
  <c r="V103" i="81" s="1"/>
  <c r="W103" i="81" s="1" a="1"/>
  <c r="W103" i="81" s="1"/>
  <c r="D103" i="81" a="1"/>
  <c r="D103" i="81" s="1"/>
  <c r="U102" i="81"/>
  <c r="D102" i="81" a="1"/>
  <c r="D102" i="81" s="1"/>
  <c r="U101" i="81"/>
  <c r="V101" i="81" s="1" a="1"/>
  <c r="V101" i="81" s="1"/>
  <c r="W101" i="81" s="1" a="1"/>
  <c r="W101" i="81" s="1"/>
  <c r="U100" i="81"/>
  <c r="D98" i="81"/>
  <c r="D97" i="81"/>
  <c r="D96" i="81"/>
  <c r="D95" i="81"/>
  <c r="U87" i="81" a="1"/>
  <c r="U87" i="81" s="1"/>
  <c r="U83" i="81"/>
  <c r="U82" i="81"/>
  <c r="I82" i="81"/>
  <c r="I81" i="81" s="1" a="1"/>
  <c r="I81" i="81" s="1"/>
  <c r="U81" i="81"/>
  <c r="U80" i="81"/>
  <c r="U79" i="81"/>
  <c r="I79" i="81" a="1"/>
  <c r="I79" i="81" s="1"/>
  <c r="U78" i="81"/>
  <c r="I78" i="81" a="1"/>
  <c r="I78" i="81" s="1"/>
  <c r="G78" i="81" a="1"/>
  <c r="G78" i="81" s="1"/>
  <c r="D78" i="81" a="1"/>
  <c r="D78" i="81" s="1"/>
  <c r="U77" i="81"/>
  <c r="U76" i="81"/>
  <c r="E76" i="81" a="1"/>
  <c r="E76"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V20" i="81" a="1"/>
  <c r="U20" i="81"/>
  <c r="E20" i="81" a="1"/>
  <c r="D20" i="81"/>
  <c r="H15" i="81"/>
  <c r="E28" i="81" s="1"/>
  <c r="H14" i="81" a="1"/>
  <c r="H14" i="81" s="1"/>
  <c r="H13" i="81" a="1"/>
  <c r="H13" i="81" s="1"/>
  <c r="F13" i="81" a="1"/>
  <c r="F13" i="81" s="1"/>
  <c r="D13" i="81" a="1"/>
  <c r="D13" i="81" s="1"/>
  <c r="E11" i="81" a="1"/>
  <c r="E11" i="81" s="1"/>
  <c r="AF47" i="81" s="1"/>
  <c r="E10" i="81" a="1"/>
  <c r="E10" i="81" s="1"/>
  <c r="D6" i="81" a="1"/>
  <c r="D6" i="81" s="1"/>
  <c r="D5" i="81" a="1"/>
  <c r="D5" i="81" s="1"/>
  <c r="Y281" i="80" a="1"/>
  <c r="Y281" i="80" s="1"/>
  <c r="W278" i="80" a="1"/>
  <c r="W278" i="80" s="1"/>
  <c r="F249" i="80" a="1"/>
  <c r="F249" i="80" s="1"/>
  <c r="W246" i="80"/>
  <c r="X274" i="80" s="1"/>
  <c r="D246" i="80" a="1"/>
  <c r="D246" i="80" s="1"/>
  <c r="W245" i="80"/>
  <c r="X261" i="80" s="1"/>
  <c r="W244" i="80"/>
  <c r="X260" i="80" s="1"/>
  <c r="W243" i="80"/>
  <c r="W242" i="80"/>
  <c r="W241" i="80"/>
  <c r="W240" i="80"/>
  <c r="W239" i="80"/>
  <c r="X267" i="80" s="1"/>
  <c r="W238" i="80"/>
  <c r="W237" i="80"/>
  <c r="X265" i="80" s="1"/>
  <c r="W236" i="80"/>
  <c r="X252" i="80" s="1"/>
  <c r="X235" i="80" a="1"/>
  <c r="Y276" i="80" s="1"/>
  <c r="W235" i="80"/>
  <c r="X251" i="80" s="1"/>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P241" i="80" s="1"/>
  <c r="E209" i="80" a="1"/>
  <c r="E209" i="80" s="1"/>
  <c r="D205" i="80" a="1"/>
  <c r="D205" i="80" s="1"/>
  <c r="D204" i="80" a="1"/>
  <c r="D204" i="80" s="1"/>
  <c r="I160" i="80"/>
  <c r="AB159" i="80"/>
  <c r="I159" i="80"/>
  <c r="E172" i="80" s="1"/>
  <c r="I158" i="80"/>
  <c r="I157" i="80" a="1"/>
  <c r="I157" i="80" s="1"/>
  <c r="I156" i="80" a="1"/>
  <c r="I156" i="80" s="1"/>
  <c r="I155" i="80"/>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W123" i="80"/>
  <c r="W139" i="80" s="1"/>
  <c r="W122" i="80"/>
  <c r="W138" i="80" s="1"/>
  <c r="W121" i="80"/>
  <c r="W137" i="80" s="1"/>
  <c r="W120" i="80"/>
  <c r="W136" i="80" s="1"/>
  <c r="X182" i="80" s="1"/>
  <c r="W119" i="80"/>
  <c r="W135" i="80" s="1"/>
  <c r="W118" i="80"/>
  <c r="W134" i="80" s="1"/>
  <c r="W117" i="80"/>
  <c r="W133" i="80" s="1"/>
  <c r="X191" i="80" s="1"/>
  <c r="W116" i="80"/>
  <c r="W132" i="80" s="1"/>
  <c r="X115" i="80" a="1"/>
  <c r="X115" i="80" s="1"/>
  <c r="W115" i="80"/>
  <c r="W131" i="80" s="1"/>
  <c r="X177" i="80" s="1"/>
  <c r="E115" i="80" a="1"/>
  <c r="E115" i="80" s="1"/>
  <c r="I110" i="80"/>
  <c r="I109" i="80" a="1"/>
  <c r="I109" i="80" s="1"/>
  <c r="I108" i="80" a="1"/>
  <c r="I108" i="80" s="1"/>
  <c r="G108" i="80" a="1"/>
  <c r="G108" i="80" s="1"/>
  <c r="D108" i="80" a="1"/>
  <c r="D108" i="80" s="1"/>
  <c r="E106" i="80" a="1"/>
  <c r="E106"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E68" i="80" a="1"/>
  <c r="E68" i="80" s="1"/>
  <c r="D68" i="80"/>
  <c r="W67" i="80"/>
  <c r="W66" i="80"/>
  <c r="W65" i="80"/>
  <c r="W64" i="80"/>
  <c r="W63" i="80"/>
  <c r="W62" i="80"/>
  <c r="W61" i="80"/>
  <c r="X60" i="80" a="1"/>
  <c r="W60" i="80"/>
  <c r="W55" i="80"/>
  <c r="D55" i="80"/>
  <c r="W54" i="80"/>
  <c r="D54" i="80"/>
  <c r="W53" i="80"/>
  <c r="D53" i="80"/>
  <c r="W52" i="80"/>
  <c r="E52" i="80" a="1"/>
  <c r="D52" i="80"/>
  <c r="W51" i="80"/>
  <c r="W50" i="80"/>
  <c r="W49" i="80"/>
  <c r="W48" i="80"/>
  <c r="W47" i="80"/>
  <c r="I47" i="80" a="1"/>
  <c r="I47" i="80" s="1"/>
  <c r="W46" i="80"/>
  <c r="I46" i="80" a="1"/>
  <c r="I46" i="80" s="1"/>
  <c r="W45" i="80"/>
  <c r="I45" i="80" a="1"/>
  <c r="I45" i="80" s="1"/>
  <c r="G45" i="80" a="1"/>
  <c r="G45" i="80" s="1"/>
  <c r="D45" i="80" a="1"/>
  <c r="D45" i="80" s="1"/>
  <c r="X44" i="80" a="1"/>
  <c r="W44" i="80"/>
  <c r="E43" i="80" a="1"/>
  <c r="E43" i="80" s="1"/>
  <c r="E42" i="80" a="1"/>
  <c r="E42" i="80" s="1"/>
  <c r="W39" i="80"/>
  <c r="W38" i="80"/>
  <c r="D38" i="80" a="1"/>
  <c r="D38" i="80" s="1"/>
  <c r="W37" i="80"/>
  <c r="D37" i="80" a="1"/>
  <c r="D37" i="80" s="1"/>
  <c r="W36" i="80"/>
  <c r="W35" i="80"/>
  <c r="W34" i="80"/>
  <c r="W33" i="80"/>
  <c r="H33" i="80"/>
  <c r="W32" i="80"/>
  <c r="G32" i="80"/>
  <c r="W31" i="80"/>
  <c r="W30" i="80"/>
  <c r="W29" i="80"/>
  <c r="W28" i="80"/>
  <c r="J16" i="80"/>
  <c r="J15" i="80" s="1" a="1"/>
  <c r="J15" i="80" s="1"/>
  <c r="J13" i="80" a="1"/>
  <c r="J13" i="80" s="1"/>
  <c r="H13" i="80" a="1"/>
  <c r="H13" i="80" s="1"/>
  <c r="D13" i="80" a="1"/>
  <c r="D13" i="80" s="1"/>
  <c r="E11" i="80" a="1"/>
  <c r="E11" i="80" s="1"/>
  <c r="E10" i="80" a="1"/>
  <c r="E10" i="80" s="1"/>
  <c r="D6" i="80" a="1"/>
  <c r="D6" i="80" s="1"/>
  <c r="D5" i="80" a="1"/>
  <c r="D5" i="80" s="1"/>
  <c r="I216" i="79"/>
  <c r="I215" i="79"/>
  <c r="I214" i="79"/>
  <c r="I213" i="79"/>
  <c r="I212" i="79"/>
  <c r="I211" i="79"/>
  <c r="I210" i="79"/>
  <c r="I209" i="79"/>
  <c r="I208" i="79"/>
  <c r="I207" i="79"/>
  <c r="D172" i="79"/>
  <c r="D171" i="79"/>
  <c r="D170" i="79"/>
  <c r="D169" i="79"/>
  <c r="D168" i="79"/>
  <c r="D167" i="79"/>
  <c r="M167" i="79" s="1"/>
  <c r="D166" i="79"/>
  <c r="I166" i="79" s="1"/>
  <c r="D165" i="79"/>
  <c r="E165" i="79" s="1"/>
  <c r="D164" i="79"/>
  <c r="D163" i="79"/>
  <c r="D162" i="79"/>
  <c r="D161" i="79"/>
  <c r="D150" i="79"/>
  <c r="D149" i="79"/>
  <c r="D148" i="79"/>
  <c r="D147" i="79"/>
  <c r="D146" i="79"/>
  <c r="D145" i="79"/>
  <c r="D144" i="79"/>
  <c r="D143" i="79"/>
  <c r="K143" i="79" s="1"/>
  <c r="D142" i="79"/>
  <c r="G142" i="79" s="1"/>
  <c r="D141" i="79"/>
  <c r="N141" i="79" s="1"/>
  <c r="D140" i="79"/>
  <c r="D139" i="79"/>
  <c r="I139" i="79" s="1"/>
  <c r="G128" i="79"/>
  <c r="F128" i="79"/>
  <c r="E128" i="79"/>
  <c r="D126" i="79"/>
  <c r="D125" i="79"/>
  <c r="K124" i="79"/>
  <c r="L124" i="79" s="1"/>
  <c r="J124" i="79"/>
  <c r="M124" i="79" s="1"/>
  <c r="M123" i="79"/>
  <c r="K123" i="79"/>
  <c r="L123" i="79" s="1"/>
  <c r="J123" i="79"/>
  <c r="K122" i="79"/>
  <c r="L122" i="79" s="1"/>
  <c r="J122" i="79"/>
  <c r="M121" i="79"/>
  <c r="K121" i="79"/>
  <c r="M122" i="79" s="1"/>
  <c r="J121" i="79"/>
  <c r="E121" i="79"/>
  <c r="D127" i="79" s="1"/>
  <c r="D128" i="79" s="1"/>
  <c r="E120" i="79"/>
  <c r="M114" i="79"/>
  <c r="L114" i="79"/>
  <c r="M113" i="79"/>
  <c r="L113" i="79"/>
  <c r="M112" i="79"/>
  <c r="L112" i="79"/>
  <c r="M111" i="79"/>
  <c r="L111" i="79"/>
  <c r="D111" i="79"/>
  <c r="D100" i="79"/>
  <c r="D99" i="79"/>
  <c r="D98" i="79"/>
  <c r="D97" i="79"/>
  <c r="D96" i="79"/>
  <c r="D95" i="79"/>
  <c r="D94" i="79"/>
  <c r="D93" i="79"/>
  <c r="D92" i="79"/>
  <c r="D91" i="79"/>
  <c r="D90" i="79"/>
  <c r="D89" i="79"/>
  <c r="N89" i="79" s="1"/>
  <c r="D78" i="79"/>
  <c r="I78" i="79" s="1"/>
  <c r="D77" i="79"/>
  <c r="E77" i="79" s="1"/>
  <c r="D76" i="79"/>
  <c r="D75" i="79"/>
  <c r="D74" i="79"/>
  <c r="D73" i="79"/>
  <c r="D72" i="79"/>
  <c r="D71" i="79"/>
  <c r="D70" i="79"/>
  <c r="D69" i="79"/>
  <c r="D68" i="79"/>
  <c r="D67" i="79"/>
  <c r="D56" i="79"/>
  <c r="D55" i="79"/>
  <c r="D54" i="79"/>
  <c r="D53" i="79"/>
  <c r="D52" i="79"/>
  <c r="D51" i="79"/>
  <c r="D50" i="79"/>
  <c r="D49" i="79"/>
  <c r="D48" i="79"/>
  <c r="D47" i="79"/>
  <c r="D46" i="79"/>
  <c r="D45" i="79"/>
  <c r="D34" i="79"/>
  <c r="N34" i="79" s="1"/>
  <c r="D33" i="79"/>
  <c r="N33" i="79" s="1"/>
  <c r="D32" i="79"/>
  <c r="L32" i="79" s="1"/>
  <c r="D31" i="79"/>
  <c r="I31" i="79" s="1"/>
  <c r="D30" i="79"/>
  <c r="F30" i="79" s="1"/>
  <c r="D29" i="79"/>
  <c r="K29" i="79" s="1"/>
  <c r="D28" i="79"/>
  <c r="N28" i="79" s="1"/>
  <c r="D27" i="79"/>
  <c r="K27" i="79" s="1"/>
  <c r="D26" i="79"/>
  <c r="H26" i="79" s="1"/>
  <c r="D25" i="79"/>
  <c r="E25" i="79" s="1"/>
  <c r="D24" i="79"/>
  <c r="N24" i="79" s="1"/>
  <c r="D23" i="79"/>
  <c r="M23" i="79" s="1"/>
  <c r="E7" i="79"/>
  <c r="J158"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N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L367" i="78" s="1"/>
  <c r="J356" i="78" a="1"/>
  <c r="J356" i="78" s="1"/>
  <c r="K367" i="78" s="1"/>
  <c r="I356" i="78" a="1"/>
  <c r="I356" i="78" s="1"/>
  <c r="I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N366"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M363" i="78" s="1"/>
  <c r="J352" i="78" a="1"/>
  <c r="J352" i="78" s="1"/>
  <c r="K363" i="78" s="1"/>
  <c r="I352" i="78" a="1"/>
  <c r="I352"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I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N254"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N239"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K114"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P104"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J20" i="78" a="1"/>
  <c r="J20"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44" i="77"/>
  <c r="U160" i="77" s="1"/>
  <c r="U143" i="77"/>
  <c r="U159" i="77" s="1"/>
  <c r="U142" i="77"/>
  <c r="U158" i="77" s="1"/>
  <c r="U141" i="77"/>
  <c r="U157" i="77" s="1"/>
  <c r="U140" i="77"/>
  <c r="U156" i="77" s="1"/>
  <c r="U139" i="77"/>
  <c r="U155" i="77" s="1"/>
  <c r="U138" i="77"/>
  <c r="U154" i="77" s="1"/>
  <c r="U137" i="77"/>
  <c r="U153" i="77" s="1"/>
  <c r="U136" i="77"/>
  <c r="U152" i="77" s="1"/>
  <c r="U135" i="77"/>
  <c r="U151" i="77" s="1"/>
  <c r="U134" i="77"/>
  <c r="U150" i="77" s="1"/>
  <c r="V133" i="77" a="1"/>
  <c r="V133" i="77" s="1"/>
  <c r="U133" i="77"/>
  <c r="U149" i="77" s="1"/>
  <c r="F133" i="77" a="1"/>
  <c r="F133" i="77" s="1"/>
  <c r="D130" i="77" a="1"/>
  <c r="D130" i="77" s="1"/>
  <c r="U128" i="77"/>
  <c r="U127" i="77"/>
  <c r="U126" i="77"/>
  <c r="U125" i="77"/>
  <c r="U124" i="77"/>
  <c r="U123" i="77"/>
  <c r="U122" i="77"/>
  <c r="U121" i="77"/>
  <c r="U120" i="77"/>
  <c r="U119" i="77"/>
  <c r="U118" i="77"/>
  <c r="V117" i="77" a="1"/>
  <c r="V117" i="77" s="1"/>
  <c r="U117" i="77"/>
  <c r="E115" i="77" a="1"/>
  <c r="U112" i="77" a="1"/>
  <c r="U112" i="77" s="1"/>
  <c r="U108" i="77"/>
  <c r="U107" i="77"/>
  <c r="E107" i="77" a="1"/>
  <c r="E107" i="77" s="1"/>
  <c r="U106" i="77"/>
  <c r="U105" i="77"/>
  <c r="U104" i="77"/>
  <c r="U103" i="77"/>
  <c r="U102" i="77"/>
  <c r="I102" i="77" a="1"/>
  <c r="I102" i="77" s="1"/>
  <c r="U101" i="77"/>
  <c r="I101" i="77" a="1"/>
  <c r="I101" i="77" s="1"/>
  <c r="U100" i="77"/>
  <c r="I100" i="77" a="1"/>
  <c r="I100" i="77" s="1"/>
  <c r="G100" i="77" a="1"/>
  <c r="O107" i="77" s="1"/>
  <c r="D100" i="77" a="1"/>
  <c r="D100" i="77" s="1"/>
  <c r="U99" i="77"/>
  <c r="U98" i="77"/>
  <c r="E98" i="77" a="1"/>
  <c r="E98" i="77" s="1"/>
  <c r="F128" i="77" s="1"/>
  <c r="U97" i="77"/>
  <c r="E97" i="77" a="1"/>
  <c r="E97" i="77" s="1"/>
  <c r="D93" i="77" a="1"/>
  <c r="D93" i="77" s="1"/>
  <c r="U92" i="77" a="1"/>
  <c r="U92" i="77" s="1"/>
  <c r="D92" i="77" a="1"/>
  <c r="D92" i="77" s="1"/>
  <c r="U87" i="77"/>
  <c r="U86" i="77"/>
  <c r="U85" i="77"/>
  <c r="U84" i="77"/>
  <c r="U83" i="77"/>
  <c r="U82" i="77"/>
  <c r="U81" i="77"/>
  <c r="U80" i="77"/>
  <c r="I80" i="77" a="1"/>
  <c r="I80" i="77" s="1"/>
  <c r="G80" i="77" a="1"/>
  <c r="G80" i="77" s="1"/>
  <c r="D80" i="77" a="1"/>
  <c r="D80" i="77" s="1"/>
  <c r="U79" i="77"/>
  <c r="U78" i="77"/>
  <c r="E78" i="77" a="1"/>
  <c r="E78" i="77" s="1"/>
  <c r="U77" i="77"/>
  <c r="E77" i="77" a="1"/>
  <c r="E77" i="77" s="1"/>
  <c r="U76" i="77"/>
  <c r="D72" i="77" a="1"/>
  <c r="D72" i="77" s="1"/>
  <c r="U71" i="77"/>
  <c r="D71" i="77" a="1"/>
  <c r="D71" i="77" s="1"/>
  <c r="U70" i="77"/>
  <c r="U69" i="77"/>
  <c r="U68" i="77"/>
  <c r="U67" i="77"/>
  <c r="U66" i="77"/>
  <c r="U65" i="77"/>
  <c r="U64" i="77"/>
  <c r="U63" i="77"/>
  <c r="U62" i="77"/>
  <c r="U61" i="77"/>
  <c r="V60" i="77" a="1"/>
  <c r="U60" i="77"/>
  <c r="D59" i="77"/>
  <c r="D58" i="77"/>
  <c r="D57" i="77"/>
  <c r="E56" i="77" a="1"/>
  <c r="E56" i="77" s="1"/>
  <c r="D56" i="77"/>
  <c r="U55" i="77"/>
  <c r="U54" i="77"/>
  <c r="U53" i="77"/>
  <c r="U52" i="77"/>
  <c r="U51" i="77"/>
  <c r="D51" i="77"/>
  <c r="U50" i="77"/>
  <c r="D50" i="77"/>
  <c r="U49" i="77"/>
  <c r="D49" i="77"/>
  <c r="U48" i="77"/>
  <c r="E48" i="77" a="1"/>
  <c r="D48" i="77"/>
  <c r="U47" i="77"/>
  <c r="U46" i="77"/>
  <c r="U45" i="77"/>
  <c r="V44" i="77" a="1"/>
  <c r="U44" i="77"/>
  <c r="I43" i="77" a="1"/>
  <c r="I43" i="77" s="1"/>
  <c r="I42" i="77" a="1"/>
  <c r="I42" i="77" s="1"/>
  <c r="I41" i="77" a="1"/>
  <c r="I41" i="77" s="1"/>
  <c r="G41" i="77" a="1"/>
  <c r="G41" i="77" s="1"/>
  <c r="D41" i="77" a="1"/>
  <c r="D41" i="77" s="1"/>
  <c r="U39" i="77"/>
  <c r="E39" i="77" a="1"/>
  <c r="E39" i="77" s="1"/>
  <c r="U38" i="77"/>
  <c r="E38" i="77" a="1"/>
  <c r="E38" i="77" s="1"/>
  <c r="U37" i="77"/>
  <c r="G37" i="77" a="1"/>
  <c r="G37" i="77" s="1"/>
  <c r="U36" i="77"/>
  <c r="U35" i="77"/>
  <c r="U34" i="77"/>
  <c r="D34" i="77" a="1"/>
  <c r="D34" i="77" s="1"/>
  <c r="U33" i="77"/>
  <c r="D33" i="77" a="1"/>
  <c r="D33" i="77" s="1"/>
  <c r="U32" i="77"/>
  <c r="U31" i="77"/>
  <c r="U30" i="77"/>
  <c r="U29" i="77"/>
  <c r="E29" i="77" a="1"/>
  <c r="E29" i="77" s="1"/>
  <c r="F29" i="77" s="1" a="1"/>
  <c r="F29" i="77" s="1"/>
  <c r="L29" i="77" s="1" a="1"/>
  <c r="L29" i="77" s="1"/>
  <c r="U28" i="77"/>
  <c r="E26" i="77" a="1"/>
  <c r="E26" i="77" s="1"/>
  <c r="F26" i="77" s="1" a="1"/>
  <c r="F26" i="77" s="1"/>
  <c r="J26" i="77" s="1" a="1"/>
  <c r="J26" i="77" s="1"/>
  <c r="E27" i="77" a="1"/>
  <c r="E27" i="77" s="1"/>
  <c r="F27" i="77" s="1" a="1"/>
  <c r="F27" i="77" s="1"/>
  <c r="J16" i="77"/>
  <c r="J15" i="77" s="1" a="1"/>
  <c r="J15" i="77" s="1"/>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G171" i="76" s="1"/>
  <c r="D170" i="76"/>
  <c r="N170" i="76" s="1"/>
  <c r="D169" i="76"/>
  <c r="D168" i="76"/>
  <c r="I168" i="76" s="1"/>
  <c r="D167" i="76"/>
  <c r="D166" i="76"/>
  <c r="N166" i="76" s="1"/>
  <c r="D165" i="76"/>
  <c r="K165" i="76" s="1"/>
  <c r="D164" i="76"/>
  <c r="D163" i="76"/>
  <c r="N163" i="76" s="1"/>
  <c r="D162" i="76"/>
  <c r="D161" i="76"/>
  <c r="D150" i="76"/>
  <c r="D149" i="76"/>
  <c r="D148" i="76"/>
  <c r="D147" i="76"/>
  <c r="E147" i="76" s="1"/>
  <c r="D146" i="76"/>
  <c r="N146" i="76" s="1"/>
  <c r="D145" i="76"/>
  <c r="D144" i="76"/>
  <c r="G144" i="76" s="1"/>
  <c r="D143" i="76"/>
  <c r="D142" i="76"/>
  <c r="M142" i="76" s="1"/>
  <c r="D141" i="76"/>
  <c r="I141" i="76" s="1"/>
  <c r="D140" i="76"/>
  <c r="D139" i="76"/>
  <c r="N139" i="76" s="1"/>
  <c r="G128" i="76"/>
  <c r="F128" i="76"/>
  <c r="E128" i="76"/>
  <c r="D125" i="76"/>
  <c r="D128" i="76" s="1"/>
  <c r="K124" i="76"/>
  <c r="J124" i="76"/>
  <c r="L124" i="76" s="1"/>
  <c r="L123" i="76"/>
  <c r="K123" i="76"/>
  <c r="M124" i="76" s="1"/>
  <c r="J123" i="76"/>
  <c r="M122" i="76"/>
  <c r="K122" i="76"/>
  <c r="L122" i="76" s="1"/>
  <c r="J122" i="76"/>
  <c r="K121" i="76"/>
  <c r="J121" i="76"/>
  <c r="M121" i="76" s="1"/>
  <c r="E121" i="76"/>
  <c r="D127" i="76" s="1"/>
  <c r="E120" i="76"/>
  <c r="D126" i="76" s="1"/>
  <c r="M114" i="76"/>
  <c r="L114" i="76"/>
  <c r="M113" i="76"/>
  <c r="L113" i="76"/>
  <c r="M112" i="76"/>
  <c r="L112" i="76"/>
  <c r="M111" i="76"/>
  <c r="L111" i="76"/>
  <c r="D111" i="76"/>
  <c r="D100" i="76"/>
  <c r="G100" i="76" s="1"/>
  <c r="D99" i="76"/>
  <c r="D98" i="76"/>
  <c r="M98" i="76" s="1"/>
  <c r="D97" i="76"/>
  <c r="D96" i="76"/>
  <c r="D95" i="76"/>
  <c r="D94" i="76"/>
  <c r="L94" i="76" s="1"/>
  <c r="D93" i="76"/>
  <c r="D92" i="76"/>
  <c r="N92" i="76" s="1"/>
  <c r="D91" i="76"/>
  <c r="N91" i="76" s="1"/>
  <c r="D90" i="76"/>
  <c r="D89" i="76"/>
  <c r="E89" i="76" s="1"/>
  <c r="D78" i="76"/>
  <c r="D77" i="76"/>
  <c r="I77" i="76" s="1"/>
  <c r="D76" i="76"/>
  <c r="E76" i="76" s="1"/>
  <c r="D75" i="76"/>
  <c r="D74" i="76"/>
  <c r="K74" i="76" s="1"/>
  <c r="D73" i="76"/>
  <c r="D72" i="76"/>
  <c r="D71" i="76"/>
  <c r="D70" i="76"/>
  <c r="D69" i="76"/>
  <c r="D68" i="76"/>
  <c r="N68" i="76" s="1"/>
  <c r="D67" i="76"/>
  <c r="K67" i="76" s="1"/>
  <c r="D56" i="76"/>
  <c r="D55" i="76"/>
  <c r="D54" i="76"/>
  <c r="D53" i="76"/>
  <c r="D52" i="76"/>
  <c r="D51" i="76"/>
  <c r="D50" i="76"/>
  <c r="D49" i="76"/>
  <c r="D48" i="76"/>
  <c r="D47" i="76"/>
  <c r="D46" i="76"/>
  <c r="D45" i="76"/>
  <c r="D34" i="76"/>
  <c r="I34" i="76" s="1"/>
  <c r="D33" i="76"/>
  <c r="N33" i="76" s="1"/>
  <c r="D32" i="76"/>
  <c r="F32" i="76" s="1"/>
  <c r="D31" i="76"/>
  <c r="K31" i="76" s="1"/>
  <c r="D30" i="76"/>
  <c r="E30" i="76" s="1"/>
  <c r="D29" i="76"/>
  <c r="H29" i="76" s="1"/>
  <c r="D28" i="76"/>
  <c r="H28" i="76" s="1"/>
  <c r="D27" i="76"/>
  <c r="D26" i="76"/>
  <c r="J26" i="76" s="1"/>
  <c r="D25" i="76"/>
  <c r="J25" i="76" s="1"/>
  <c r="D24" i="76"/>
  <c r="H24" i="76" s="1"/>
  <c r="D23" i="76"/>
  <c r="E7" i="76"/>
  <c r="N157" i="76" s="1"/>
  <c r="E29"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178" i="81" a="1"/>
  <c r="E218" i="81" a="1"/>
  <c r="E104" i="81" a="1"/>
  <c r="E136" i="81" a="1"/>
  <c r="E42" i="81" a="1"/>
  <c r="E7" i="81" a="1"/>
  <c r="E206" i="80" a="1"/>
  <c r="E148" i="80" a="1"/>
  <c r="E101" i="80" a="1"/>
  <c r="E39" i="80" a="1"/>
  <c r="E94" i="77" a="1"/>
  <c r="E73" i="77" a="1"/>
  <c r="E35" i="77" a="1"/>
  <c r="J70" i="76" l="1"/>
  <c r="N71" i="76"/>
  <c r="N95" i="76"/>
  <c r="N150" i="76"/>
  <c r="G62" i="76"/>
  <c r="K63" i="76"/>
  <c r="L67" i="76"/>
  <c r="M73" i="76"/>
  <c r="N77" i="76"/>
  <c r="E84" i="76"/>
  <c r="I85" i="76"/>
  <c r="M86" i="76"/>
  <c r="L93" i="76"/>
  <c r="E133" i="76"/>
  <c r="I134" i="76"/>
  <c r="M135" i="76"/>
  <c r="G155" i="76"/>
  <c r="K156" i="76"/>
  <c r="E158" i="76"/>
  <c r="N72" i="76"/>
  <c r="E96" i="76"/>
  <c r="I161" i="76"/>
  <c r="H62" i="76"/>
  <c r="L63" i="76"/>
  <c r="F68" i="76"/>
  <c r="E74" i="76"/>
  <c r="E78" i="76"/>
  <c r="F84" i="76"/>
  <c r="J85" i="76"/>
  <c r="N86" i="76"/>
  <c r="M93" i="76"/>
  <c r="F133" i="76"/>
  <c r="J134" i="76"/>
  <c r="N135" i="76"/>
  <c r="H155" i="76"/>
  <c r="L156" i="76"/>
  <c r="F158" i="76"/>
  <c r="G73" i="76"/>
  <c r="J97" i="76"/>
  <c r="M162" i="76"/>
  <c r="E61" i="76"/>
  <c r="I62" i="76"/>
  <c r="M63" i="76"/>
  <c r="G68" i="76"/>
  <c r="L74" i="76"/>
  <c r="G78" i="76"/>
  <c r="G84" i="76"/>
  <c r="K85" i="76"/>
  <c r="F89" i="76"/>
  <c r="F96" i="76"/>
  <c r="G133" i="76"/>
  <c r="K134" i="76"/>
  <c r="E136" i="76"/>
  <c r="I155" i="76"/>
  <c r="M156" i="76"/>
  <c r="G158" i="76"/>
  <c r="N75" i="76"/>
  <c r="N99" i="76"/>
  <c r="E140" i="76"/>
  <c r="G164" i="76"/>
  <c r="G61" i="76"/>
  <c r="K62" i="76"/>
  <c r="E64" i="76"/>
  <c r="F69" i="76"/>
  <c r="F75" i="76"/>
  <c r="E83" i="76"/>
  <c r="I84" i="76"/>
  <c r="M85" i="76"/>
  <c r="J89" i="76"/>
  <c r="J96" i="76"/>
  <c r="I133" i="76"/>
  <c r="M134" i="76"/>
  <c r="G136" i="76"/>
  <c r="K155" i="76"/>
  <c r="E157" i="76"/>
  <c r="I158" i="76"/>
  <c r="N134" i="76"/>
  <c r="H136" i="76"/>
  <c r="L155" i="76"/>
  <c r="F157" i="76"/>
  <c r="J158" i="76"/>
  <c r="M78" i="76"/>
  <c r="N143" i="76"/>
  <c r="E167" i="76"/>
  <c r="J61" i="76"/>
  <c r="N62" i="76"/>
  <c r="H64" i="76"/>
  <c r="K69" i="76"/>
  <c r="F76" i="76"/>
  <c r="H83" i="76"/>
  <c r="L84" i="76"/>
  <c r="F86" i="76"/>
  <c r="E91" i="76"/>
  <c r="G98" i="76"/>
  <c r="L133" i="76"/>
  <c r="F135" i="76"/>
  <c r="J136" i="76"/>
  <c r="N155" i="76"/>
  <c r="H157" i="76"/>
  <c r="L158" i="76"/>
  <c r="J90" i="76"/>
  <c r="K145" i="76"/>
  <c r="M169" i="76"/>
  <c r="L61" i="76"/>
  <c r="F63" i="76"/>
  <c r="J64" i="76"/>
  <c r="E72" i="76"/>
  <c r="J76" i="76"/>
  <c r="J83" i="76"/>
  <c r="N84" i="76"/>
  <c r="H86" i="76"/>
  <c r="H92" i="76"/>
  <c r="E99" i="76"/>
  <c r="N133" i="76"/>
  <c r="H135" i="76"/>
  <c r="L136" i="76"/>
  <c r="F156" i="76"/>
  <c r="J157" i="76"/>
  <c r="N158" i="76"/>
  <c r="K157" i="76"/>
  <c r="E180" i="76"/>
  <c r="N61" i="76"/>
  <c r="H63" i="76"/>
  <c r="L64" i="76"/>
  <c r="I72" i="76"/>
  <c r="M76" i="76"/>
  <c r="L83" i="76"/>
  <c r="F85" i="76"/>
  <c r="J86" i="76"/>
  <c r="K92" i="76"/>
  <c r="K99" i="76"/>
  <c r="F134" i="76"/>
  <c r="J135" i="76"/>
  <c r="N136" i="76"/>
  <c r="H156" i="76"/>
  <c r="L157" i="76"/>
  <c r="E181" i="76"/>
  <c r="E69" i="76"/>
  <c r="G93" i="76"/>
  <c r="I148" i="76"/>
  <c r="K172" i="76"/>
  <c r="E62" i="76"/>
  <c r="I63" i="76"/>
  <c r="M64" i="76"/>
  <c r="K72" i="76"/>
  <c r="J77" i="76"/>
  <c r="M83" i="76"/>
  <c r="G85" i="76"/>
  <c r="K86" i="76"/>
  <c r="H93" i="76"/>
  <c r="H100" i="76"/>
  <c r="G134" i="76"/>
  <c r="K135" i="76"/>
  <c r="E155" i="76"/>
  <c r="I156" i="76"/>
  <c r="M157" i="76"/>
  <c r="M149" i="76"/>
  <c r="F62" i="76"/>
  <c r="J63" i="76"/>
  <c r="N64" i="76"/>
  <c r="H73" i="76"/>
  <c r="K77" i="76"/>
  <c r="N83" i="76"/>
  <c r="H85" i="76"/>
  <c r="L86" i="76"/>
  <c r="I93" i="76"/>
  <c r="I100" i="76"/>
  <c r="H134" i="76"/>
  <c r="L135" i="76"/>
  <c r="F155" i="76"/>
  <c r="J156" i="76"/>
  <c r="N76" i="79"/>
  <c r="N100" i="79"/>
  <c r="M140" i="79"/>
  <c r="N164" i="79"/>
  <c r="H62" i="79"/>
  <c r="L63" i="79"/>
  <c r="N68" i="79"/>
  <c r="H73" i="79"/>
  <c r="J77" i="79"/>
  <c r="M83" i="79"/>
  <c r="G85" i="79"/>
  <c r="K86" i="79"/>
  <c r="K133" i="79"/>
  <c r="E135" i="79"/>
  <c r="I136" i="79"/>
  <c r="M155" i="79"/>
  <c r="G157" i="79"/>
  <c r="K158" i="79"/>
  <c r="N155" i="79"/>
  <c r="H157" i="79"/>
  <c r="L158" i="79"/>
  <c r="G135" i="79"/>
  <c r="K136" i="79"/>
  <c r="E156" i="79"/>
  <c r="I157" i="79"/>
  <c r="M158" i="79"/>
  <c r="E64" i="79"/>
  <c r="H70" i="79"/>
  <c r="L78" i="79"/>
  <c r="N133" i="79"/>
  <c r="H135" i="79"/>
  <c r="L136" i="79"/>
  <c r="F156" i="79"/>
  <c r="J157" i="79"/>
  <c r="N158" i="79"/>
  <c r="G156" i="79"/>
  <c r="K157" i="79"/>
  <c r="E180" i="79"/>
  <c r="E165" i="80" s="1"/>
  <c r="N136" i="79"/>
  <c r="H156" i="79"/>
  <c r="L157" i="79"/>
  <c r="E181" i="79"/>
  <c r="E166" i="80" s="1"/>
  <c r="E90" i="79"/>
  <c r="N168" i="79"/>
  <c r="H61" i="79"/>
  <c r="F64" i="79"/>
  <c r="I70" i="79"/>
  <c r="M78" i="79"/>
  <c r="G84" i="79"/>
  <c r="I135" i="79"/>
  <c r="I91" i="79"/>
  <c r="I61" i="79"/>
  <c r="G64" i="79"/>
  <c r="J70" i="79"/>
  <c r="L74" i="79"/>
  <c r="L85" i="79"/>
  <c r="K68" i="79"/>
  <c r="M92" i="79"/>
  <c r="I146" i="79"/>
  <c r="K170" i="79"/>
  <c r="J61" i="79"/>
  <c r="N62" i="79"/>
  <c r="H64" i="79"/>
  <c r="K70" i="79"/>
  <c r="M74" i="79"/>
  <c r="E83" i="79"/>
  <c r="I84" i="79"/>
  <c r="G89" i="79"/>
  <c r="G134" i="79"/>
  <c r="K135" i="79"/>
  <c r="E155" i="79"/>
  <c r="I156" i="79"/>
  <c r="M157" i="79"/>
  <c r="M85" i="79"/>
  <c r="N69" i="79"/>
  <c r="N93" i="79"/>
  <c r="M147" i="79"/>
  <c r="N171" i="79"/>
  <c r="K61" i="79"/>
  <c r="E63" i="79"/>
  <c r="I64" i="79"/>
  <c r="L71" i="79"/>
  <c r="N75" i="79"/>
  <c r="F83" i="79"/>
  <c r="J84" i="79"/>
  <c r="N85" i="79"/>
  <c r="J94" i="79"/>
  <c r="H134" i="79"/>
  <c r="L135" i="79"/>
  <c r="F155" i="79"/>
  <c r="J156" i="79"/>
  <c r="N157" i="79"/>
  <c r="G169" i="79"/>
  <c r="M62" i="79"/>
  <c r="N78" i="79"/>
  <c r="E70" i="79"/>
  <c r="N148" i="79"/>
  <c r="E172" i="79"/>
  <c r="L61" i="79"/>
  <c r="F63" i="79"/>
  <c r="J64" i="79"/>
  <c r="M71" i="79"/>
  <c r="E76" i="79"/>
  <c r="G83" i="79"/>
  <c r="E86" i="79"/>
  <c r="E133" i="79"/>
  <c r="I134" i="79"/>
  <c r="M135" i="79"/>
  <c r="G155" i="79"/>
  <c r="K156" i="79"/>
  <c r="E158" i="79"/>
  <c r="N144" i="79"/>
  <c r="L62" i="79"/>
  <c r="K74" i="79"/>
  <c r="K85" i="79"/>
  <c r="G67" i="79"/>
  <c r="F89" i="79"/>
  <c r="G94" i="79"/>
  <c r="K84" i="79"/>
  <c r="I71" i="79"/>
  <c r="K95" i="79"/>
  <c r="G149" i="79"/>
  <c r="M61" i="79"/>
  <c r="G63" i="79"/>
  <c r="K64" i="79"/>
  <c r="N71" i="79"/>
  <c r="F76" i="79"/>
  <c r="H83" i="79"/>
  <c r="L84" i="79"/>
  <c r="F86" i="79"/>
  <c r="F133" i="79"/>
  <c r="J134" i="79"/>
  <c r="N135" i="79"/>
  <c r="H155" i="79"/>
  <c r="L156" i="79"/>
  <c r="F158" i="79"/>
  <c r="E89" i="79"/>
  <c r="E145" i="79"/>
  <c r="H84" i="79"/>
  <c r="M72" i="79"/>
  <c r="N96" i="79"/>
  <c r="K150" i="79"/>
  <c r="N61" i="79"/>
  <c r="H63" i="79"/>
  <c r="L64" i="79"/>
  <c r="E72" i="79"/>
  <c r="G76" i="79"/>
  <c r="I83" i="79"/>
  <c r="M84" i="79"/>
  <c r="G86" i="79"/>
  <c r="G133" i="79"/>
  <c r="K134" i="79"/>
  <c r="E136" i="79"/>
  <c r="I155" i="79"/>
  <c r="M156" i="79"/>
  <c r="G158" i="79"/>
  <c r="L134" i="79"/>
  <c r="F136" i="79"/>
  <c r="J155" i="79"/>
  <c r="N156" i="79"/>
  <c r="H158" i="79"/>
  <c r="N73" i="79"/>
  <c r="E97" i="79"/>
  <c r="N161" i="79"/>
  <c r="E62" i="79"/>
  <c r="I63" i="79"/>
  <c r="M64" i="79"/>
  <c r="K72" i="79"/>
  <c r="M76" i="79"/>
  <c r="J83" i="79"/>
  <c r="N84" i="79"/>
  <c r="H86" i="79"/>
  <c r="G74" i="79"/>
  <c r="I98" i="79"/>
  <c r="G162" i="79"/>
  <c r="F62" i="79"/>
  <c r="J63" i="79"/>
  <c r="N64" i="79"/>
  <c r="F73" i="79"/>
  <c r="H77" i="79"/>
  <c r="K83" i="79"/>
  <c r="E85" i="79"/>
  <c r="E23" i="72" s="1"/>
  <c r="F66" i="13" s="1"/>
  <c r="I86" i="79"/>
  <c r="I133" i="79"/>
  <c r="M134" i="79"/>
  <c r="G136" i="79"/>
  <c r="K155" i="79"/>
  <c r="E157" i="79"/>
  <c r="I158" i="79"/>
  <c r="K75" i="79"/>
  <c r="M99" i="79"/>
  <c r="K163" i="79"/>
  <c r="G62" i="79"/>
  <c r="K63" i="79"/>
  <c r="J67" i="79"/>
  <c r="G73" i="79"/>
  <c r="I77" i="79"/>
  <c r="L83" i="79"/>
  <c r="F85" i="79"/>
  <c r="J86" i="79"/>
  <c r="J133" i="79"/>
  <c r="N134" i="79"/>
  <c r="H136" i="79"/>
  <c r="L155" i="79"/>
  <c r="F157" i="79"/>
  <c r="K39" i="97" a="1"/>
  <c r="K39" i="97" s="1"/>
  <c r="I28" i="81"/>
  <c r="K28" i="81"/>
  <c r="AC36" i="81" s="1" a="1"/>
  <c r="AC36" i="81" s="1"/>
  <c r="L28" i="81"/>
  <c r="D28" i="81"/>
  <c r="E171" i="80"/>
  <c r="K70" i="76"/>
  <c r="K97" i="76"/>
  <c r="N67" i="76"/>
  <c r="H69" i="76"/>
  <c r="L70" i="76"/>
  <c r="F72" i="76"/>
  <c r="J73" i="76"/>
  <c r="N74" i="76"/>
  <c r="H76" i="76"/>
  <c r="L77" i="76"/>
  <c r="H89" i="76"/>
  <c r="L90" i="76"/>
  <c r="F92" i="76"/>
  <c r="J93" i="76"/>
  <c r="N94" i="76"/>
  <c r="H96" i="76"/>
  <c r="L97" i="76"/>
  <c r="F99" i="76"/>
  <c r="J100" i="76"/>
  <c r="F140" i="76"/>
  <c r="J141" i="76"/>
  <c r="N142" i="76"/>
  <c r="H144" i="76"/>
  <c r="L145" i="76"/>
  <c r="F147" i="76"/>
  <c r="J148" i="76"/>
  <c r="N149" i="76"/>
  <c r="J161" i="76"/>
  <c r="N162" i="76"/>
  <c r="H164" i="76"/>
  <c r="L165" i="76"/>
  <c r="F167" i="76"/>
  <c r="J168" i="76"/>
  <c r="N169" i="76"/>
  <c r="H171" i="76"/>
  <c r="L172" i="76"/>
  <c r="M67" i="76"/>
  <c r="I73" i="76"/>
  <c r="K90" i="76"/>
  <c r="M94" i="76"/>
  <c r="E68" i="76"/>
  <c r="I69" i="76"/>
  <c r="M70" i="76"/>
  <c r="G72" i="76"/>
  <c r="K73" i="76"/>
  <c r="E75" i="76"/>
  <c r="I76" i="76"/>
  <c r="M77" i="76"/>
  <c r="I89" i="76"/>
  <c r="M90" i="76"/>
  <c r="G92" i="76"/>
  <c r="K93" i="76"/>
  <c r="E95" i="76"/>
  <c r="I96" i="76"/>
  <c r="M97" i="76"/>
  <c r="G99" i="76"/>
  <c r="K100" i="76"/>
  <c r="G140" i="76"/>
  <c r="K141" i="76"/>
  <c r="E143" i="76"/>
  <c r="I144" i="76"/>
  <c r="M145" i="76"/>
  <c r="G147" i="76"/>
  <c r="K148" i="76"/>
  <c r="E150" i="76"/>
  <c r="K161" i="76"/>
  <c r="E163" i="76"/>
  <c r="I164" i="76"/>
  <c r="M165" i="76"/>
  <c r="G167" i="76"/>
  <c r="K168" i="76"/>
  <c r="E170" i="76"/>
  <c r="I171" i="76"/>
  <c r="M172" i="76"/>
  <c r="N70" i="76"/>
  <c r="L73" i="76"/>
  <c r="N90" i="76"/>
  <c r="F95" i="76"/>
  <c r="N97" i="76"/>
  <c r="L100" i="76"/>
  <c r="H140" i="76"/>
  <c r="L141" i="76"/>
  <c r="F143" i="76"/>
  <c r="J144" i="76"/>
  <c r="N145" i="76"/>
  <c r="H147" i="76"/>
  <c r="L148" i="76"/>
  <c r="F150" i="76"/>
  <c r="L161" i="76"/>
  <c r="F163" i="76"/>
  <c r="J164" i="76"/>
  <c r="N165" i="76"/>
  <c r="H167" i="76"/>
  <c r="L168" i="76"/>
  <c r="F170" i="76"/>
  <c r="J171" i="76"/>
  <c r="N172" i="76"/>
  <c r="E98" i="76"/>
  <c r="I99" i="76"/>
  <c r="M100" i="76"/>
  <c r="E139" i="76"/>
  <c r="I140" i="76"/>
  <c r="M141" i="76"/>
  <c r="G143" i="76"/>
  <c r="K144" i="76"/>
  <c r="E146" i="76"/>
  <c r="I147" i="76"/>
  <c r="M148" i="76"/>
  <c r="G150" i="76"/>
  <c r="M161" i="76"/>
  <c r="G163" i="76"/>
  <c r="K164" i="76"/>
  <c r="E166" i="76"/>
  <c r="I167" i="76"/>
  <c r="M168" i="76"/>
  <c r="G170" i="76"/>
  <c r="K171" i="76"/>
  <c r="H68" i="76"/>
  <c r="L69" i="76"/>
  <c r="F71" i="76"/>
  <c r="J72" i="76"/>
  <c r="N73" i="76"/>
  <c r="H75" i="76"/>
  <c r="L76" i="76"/>
  <c r="F78" i="76"/>
  <c r="L89" i="76"/>
  <c r="F91" i="76"/>
  <c r="J92" i="76"/>
  <c r="N93" i="76"/>
  <c r="H95" i="76"/>
  <c r="L96" i="76"/>
  <c r="F98" i="76"/>
  <c r="J99" i="76"/>
  <c r="N100" i="76"/>
  <c r="F139" i="76"/>
  <c r="J140" i="76"/>
  <c r="N141" i="76"/>
  <c r="H143" i="76"/>
  <c r="L144" i="76"/>
  <c r="F146" i="76"/>
  <c r="J147" i="76"/>
  <c r="N148" i="76"/>
  <c r="H150" i="76"/>
  <c r="N161" i="76"/>
  <c r="H163" i="76"/>
  <c r="L164" i="76"/>
  <c r="F166" i="76"/>
  <c r="J167" i="76"/>
  <c r="N168" i="76"/>
  <c r="H170" i="76"/>
  <c r="L171" i="76"/>
  <c r="G139" i="76"/>
  <c r="K140" i="76"/>
  <c r="E142" i="76"/>
  <c r="I143" i="76"/>
  <c r="M144" i="76"/>
  <c r="G146" i="76"/>
  <c r="K147" i="76"/>
  <c r="E149" i="76"/>
  <c r="I150" i="76"/>
  <c r="E162" i="76"/>
  <c r="I163" i="76"/>
  <c r="M164" i="76"/>
  <c r="G166" i="76"/>
  <c r="K167" i="76"/>
  <c r="E169" i="76"/>
  <c r="I170" i="76"/>
  <c r="M171" i="76"/>
  <c r="G95" i="76"/>
  <c r="G71" i="76"/>
  <c r="G91" i="76"/>
  <c r="E94" i="76"/>
  <c r="F67" i="76"/>
  <c r="J68" i="76"/>
  <c r="N69" i="76"/>
  <c r="H71" i="76"/>
  <c r="L72" i="76"/>
  <c r="F74" i="76"/>
  <c r="J75" i="76"/>
  <c r="N76" i="76"/>
  <c r="H78" i="76"/>
  <c r="N89" i="76"/>
  <c r="H91" i="76"/>
  <c r="L92" i="76"/>
  <c r="F94" i="76"/>
  <c r="J95" i="76"/>
  <c r="N96" i="76"/>
  <c r="H98" i="76"/>
  <c r="L99" i="76"/>
  <c r="H139" i="76"/>
  <c r="L140" i="76"/>
  <c r="F142" i="76"/>
  <c r="J143" i="76"/>
  <c r="N144" i="76"/>
  <c r="H146" i="76"/>
  <c r="L147" i="76"/>
  <c r="F149" i="76"/>
  <c r="J150" i="76"/>
  <c r="F162" i="76"/>
  <c r="J163" i="76"/>
  <c r="N164" i="76"/>
  <c r="H166" i="76"/>
  <c r="L167" i="76"/>
  <c r="F169" i="76"/>
  <c r="J170" i="76"/>
  <c r="N171" i="76"/>
  <c r="E67" i="76"/>
  <c r="G67" i="76"/>
  <c r="K68" i="76"/>
  <c r="E70" i="76"/>
  <c r="I71" i="76"/>
  <c r="M72" i="76"/>
  <c r="G74" i="76"/>
  <c r="K75" i="76"/>
  <c r="E77" i="76"/>
  <c r="I78" i="76"/>
  <c r="E90" i="76"/>
  <c r="I91" i="76"/>
  <c r="M92" i="76"/>
  <c r="G94" i="76"/>
  <c r="K95" i="76"/>
  <c r="E97" i="76"/>
  <c r="I98" i="76"/>
  <c r="M99" i="76"/>
  <c r="I139" i="76"/>
  <c r="M140" i="76"/>
  <c r="G142" i="76"/>
  <c r="K143" i="76"/>
  <c r="E145" i="76"/>
  <c r="I146" i="76"/>
  <c r="M147" i="76"/>
  <c r="G149" i="76"/>
  <c r="K150" i="76"/>
  <c r="G162" i="76"/>
  <c r="K163" i="76"/>
  <c r="E165" i="76"/>
  <c r="I166" i="76"/>
  <c r="M167" i="76"/>
  <c r="G169" i="76"/>
  <c r="K170" i="76"/>
  <c r="E172" i="76"/>
  <c r="H67" i="76"/>
  <c r="L68" i="76"/>
  <c r="F70" i="76"/>
  <c r="J71" i="76"/>
  <c r="H74" i="76"/>
  <c r="L75" i="76"/>
  <c r="F77" i="76"/>
  <c r="J78" i="76"/>
  <c r="F90" i="76"/>
  <c r="J91" i="76"/>
  <c r="H94" i="76"/>
  <c r="L95" i="76"/>
  <c r="F97" i="76"/>
  <c r="J98" i="76"/>
  <c r="J139" i="76"/>
  <c r="N140" i="76"/>
  <c r="H142" i="76"/>
  <c r="L143" i="76"/>
  <c r="F145" i="76"/>
  <c r="J146" i="76"/>
  <c r="N147" i="76"/>
  <c r="H149" i="76"/>
  <c r="L150" i="76"/>
  <c r="H162" i="76"/>
  <c r="L163" i="76"/>
  <c r="F165" i="76"/>
  <c r="J166" i="76"/>
  <c r="N167" i="76"/>
  <c r="H169" i="76"/>
  <c r="L170" i="76"/>
  <c r="F172" i="76"/>
  <c r="E71" i="76"/>
  <c r="I95" i="76"/>
  <c r="I67" i="76"/>
  <c r="M68" i="76"/>
  <c r="G70" i="76"/>
  <c r="K71" i="76"/>
  <c r="E73" i="76"/>
  <c r="I74" i="76"/>
  <c r="M75" i="76"/>
  <c r="G77" i="76"/>
  <c r="K78"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J67" i="76"/>
  <c r="H70" i="76"/>
  <c r="L71" i="76"/>
  <c r="F73" i="76"/>
  <c r="J74" i="76"/>
  <c r="H77" i="76"/>
  <c r="L78" i="76"/>
  <c r="H90" i="76"/>
  <c r="L91" i="76"/>
  <c r="F93" i="76"/>
  <c r="J94" i="76"/>
  <c r="H97" i="76"/>
  <c r="L98" i="76"/>
  <c r="F100" i="76"/>
  <c r="L139" i="76"/>
  <c r="F141" i="76"/>
  <c r="J142" i="76"/>
  <c r="H145" i="76"/>
  <c r="L146" i="76"/>
  <c r="F148" i="76"/>
  <c r="J149" i="76"/>
  <c r="F161" i="76"/>
  <c r="J162" i="76"/>
  <c r="H165" i="76"/>
  <c r="L166" i="76"/>
  <c r="F168" i="76"/>
  <c r="J169" i="76"/>
  <c r="H172" i="76"/>
  <c r="I70" i="76"/>
  <c r="M71" i="76"/>
  <c r="I90" i="76"/>
  <c r="M91" i="76"/>
  <c r="K94" i="76"/>
  <c r="I97" i="76"/>
  <c r="M139" i="76"/>
  <c r="G141" i="76"/>
  <c r="K142" i="76"/>
  <c r="E144" i="76"/>
  <c r="I145" i="76"/>
  <c r="M146" i="76"/>
  <c r="G148" i="76"/>
  <c r="K149" i="76"/>
  <c r="G161" i="76"/>
  <c r="K162" i="76"/>
  <c r="E164" i="76"/>
  <c r="I165" i="76"/>
  <c r="M166" i="76"/>
  <c r="G168" i="76"/>
  <c r="K169" i="76"/>
  <c r="E171" i="76"/>
  <c r="I172" i="76"/>
  <c r="H141" i="76"/>
  <c r="L142" i="76"/>
  <c r="F144" i="76"/>
  <c r="J145" i="76"/>
  <c r="H148" i="76"/>
  <c r="L149" i="76"/>
  <c r="H161" i="76"/>
  <c r="L162" i="76"/>
  <c r="F164" i="76"/>
  <c r="J165" i="76"/>
  <c r="H168" i="76"/>
  <c r="L169" i="76"/>
  <c r="F171" i="76"/>
  <c r="J172" i="76"/>
  <c r="H67" i="79"/>
  <c r="L68" i="79"/>
  <c r="F70" i="79"/>
  <c r="J71" i="79"/>
  <c r="N72" i="79"/>
  <c r="H74" i="79"/>
  <c r="L75" i="79"/>
  <c r="F77" i="79"/>
  <c r="J78" i="79"/>
  <c r="F90" i="79"/>
  <c r="J91" i="79"/>
  <c r="N92" i="79"/>
  <c r="H94" i="79"/>
  <c r="L95" i="79"/>
  <c r="F97" i="79"/>
  <c r="J98" i="79"/>
  <c r="N99" i="79"/>
  <c r="J139" i="79"/>
  <c r="N140" i="79"/>
  <c r="H142" i="79"/>
  <c r="L143" i="79"/>
  <c r="F145" i="79"/>
  <c r="J146" i="79"/>
  <c r="N147" i="79"/>
  <c r="H149" i="79"/>
  <c r="L150" i="79"/>
  <c r="H162" i="79"/>
  <c r="L163" i="79"/>
  <c r="F165" i="79"/>
  <c r="J166" i="79"/>
  <c r="N167" i="79"/>
  <c r="H169" i="79"/>
  <c r="L170" i="79"/>
  <c r="F172" i="79"/>
  <c r="I67" i="79"/>
  <c r="M68" i="79"/>
  <c r="G70" i="79"/>
  <c r="K71" i="79"/>
  <c r="E73" i="79"/>
  <c r="I74" i="79"/>
  <c r="M75" i="79"/>
  <c r="G77" i="79"/>
  <c r="K78" i="79"/>
  <c r="G90" i="79"/>
  <c r="K91" i="79"/>
  <c r="E93" i="79"/>
  <c r="I94" i="79"/>
  <c r="M95" i="79"/>
  <c r="G97" i="79"/>
  <c r="K98" i="79"/>
  <c r="E100" i="79"/>
  <c r="K139" i="79"/>
  <c r="E141" i="79"/>
  <c r="I142" i="79"/>
  <c r="M143" i="79"/>
  <c r="G145" i="79"/>
  <c r="K146" i="79"/>
  <c r="E148" i="79"/>
  <c r="I149" i="79"/>
  <c r="M150" i="79"/>
  <c r="E161" i="79"/>
  <c r="I162" i="79"/>
  <c r="M163" i="79"/>
  <c r="G165" i="79"/>
  <c r="K166" i="79"/>
  <c r="E168" i="79"/>
  <c r="I169" i="79"/>
  <c r="M170" i="79"/>
  <c r="G172" i="79"/>
  <c r="H90" i="79"/>
  <c r="L91" i="79"/>
  <c r="F93" i="79"/>
  <c r="N95" i="79"/>
  <c r="H97" i="79"/>
  <c r="L98" i="79"/>
  <c r="F100" i="79"/>
  <c r="L139" i="79"/>
  <c r="F141" i="79"/>
  <c r="J142" i="79"/>
  <c r="N143" i="79"/>
  <c r="H145" i="79"/>
  <c r="L146" i="79"/>
  <c r="F148" i="79"/>
  <c r="J149" i="79"/>
  <c r="N150" i="79"/>
  <c r="F161" i="79"/>
  <c r="J162" i="79"/>
  <c r="N163" i="79"/>
  <c r="H165" i="79"/>
  <c r="L166" i="79"/>
  <c r="F168" i="79"/>
  <c r="J169" i="79"/>
  <c r="N170" i="79"/>
  <c r="H172" i="79"/>
  <c r="I90" i="79"/>
  <c r="M91" i="79"/>
  <c r="G93" i="79"/>
  <c r="K94" i="79"/>
  <c r="E96" i="79"/>
  <c r="I97" i="79"/>
  <c r="M98" i="79"/>
  <c r="G100" i="79"/>
  <c r="M139" i="79"/>
  <c r="G141" i="79"/>
  <c r="K142" i="79"/>
  <c r="E144" i="79"/>
  <c r="I145" i="79"/>
  <c r="M146" i="79"/>
  <c r="G148" i="79"/>
  <c r="K149" i="79"/>
  <c r="G161" i="79"/>
  <c r="K162" i="79"/>
  <c r="E164" i="79"/>
  <c r="I165" i="79"/>
  <c r="M166" i="79"/>
  <c r="G168" i="79"/>
  <c r="K169" i="79"/>
  <c r="E171" i="79"/>
  <c r="I172" i="79"/>
  <c r="J90" i="79"/>
  <c r="N91" i="79"/>
  <c r="H93" i="79"/>
  <c r="L94" i="79"/>
  <c r="F96" i="79"/>
  <c r="J97" i="79"/>
  <c r="N98" i="79"/>
  <c r="H100" i="79"/>
  <c r="N139" i="79"/>
  <c r="H141" i="79"/>
  <c r="L142" i="79"/>
  <c r="F144" i="79"/>
  <c r="J145" i="79"/>
  <c r="N146" i="79"/>
  <c r="H148" i="79"/>
  <c r="L149" i="79"/>
  <c r="H161" i="79"/>
  <c r="L162" i="79"/>
  <c r="F164" i="79"/>
  <c r="J165" i="79"/>
  <c r="N166" i="79"/>
  <c r="H168" i="79"/>
  <c r="L169" i="79"/>
  <c r="F171" i="79"/>
  <c r="J172" i="79"/>
  <c r="K90" i="79"/>
  <c r="E92" i="79"/>
  <c r="I93" i="79"/>
  <c r="M94" i="79"/>
  <c r="G96" i="79"/>
  <c r="K97" i="79"/>
  <c r="E99" i="79"/>
  <c r="I100" i="79"/>
  <c r="E140" i="79"/>
  <c r="I141" i="79"/>
  <c r="M142" i="79"/>
  <c r="G144" i="79"/>
  <c r="K145" i="79"/>
  <c r="E147" i="79"/>
  <c r="I148" i="79"/>
  <c r="M149" i="79"/>
  <c r="I161" i="79"/>
  <c r="M162" i="79"/>
  <c r="G164" i="79"/>
  <c r="K165" i="79"/>
  <c r="E167" i="79"/>
  <c r="I168" i="79"/>
  <c r="M169" i="79"/>
  <c r="G171" i="79"/>
  <c r="K172" i="79"/>
  <c r="N67" i="79"/>
  <c r="H69" i="79"/>
  <c r="L70" i="79"/>
  <c r="F72" i="79"/>
  <c r="J73" i="79"/>
  <c r="N74" i="79"/>
  <c r="H76" i="79"/>
  <c r="L77" i="79"/>
  <c r="H89" i="79"/>
  <c r="L90" i="79"/>
  <c r="F92" i="79"/>
  <c r="J93" i="79"/>
  <c r="N94" i="79"/>
  <c r="H96" i="79"/>
  <c r="L97" i="79"/>
  <c r="F99" i="79"/>
  <c r="J100" i="79"/>
  <c r="F140" i="79"/>
  <c r="J141" i="79"/>
  <c r="N142" i="79"/>
  <c r="H144" i="79"/>
  <c r="L145" i="79"/>
  <c r="F147" i="79"/>
  <c r="J148" i="79"/>
  <c r="N149" i="79"/>
  <c r="J161" i="79"/>
  <c r="N162" i="79"/>
  <c r="H164" i="79"/>
  <c r="L165" i="79"/>
  <c r="F167" i="79"/>
  <c r="J168" i="79"/>
  <c r="N169" i="79"/>
  <c r="H171" i="79"/>
  <c r="L172" i="79"/>
  <c r="K67" i="79"/>
  <c r="E68" i="79"/>
  <c r="I69" i="79"/>
  <c r="M70" i="79"/>
  <c r="G72" i="79"/>
  <c r="K73" i="79"/>
  <c r="E75" i="79"/>
  <c r="I76" i="79"/>
  <c r="M77" i="79"/>
  <c r="I89" i="79"/>
  <c r="M90" i="79"/>
  <c r="G92" i="79"/>
  <c r="K93" i="79"/>
  <c r="E95" i="79"/>
  <c r="I96" i="79"/>
  <c r="M97" i="79"/>
  <c r="G99" i="79"/>
  <c r="K100" i="79"/>
  <c r="G140" i="79"/>
  <c r="K141" i="79"/>
  <c r="E143" i="79"/>
  <c r="I144" i="79"/>
  <c r="M145" i="79"/>
  <c r="G147" i="79"/>
  <c r="K148" i="79"/>
  <c r="E150" i="79"/>
  <c r="K161" i="79"/>
  <c r="E163" i="79"/>
  <c r="I164" i="79"/>
  <c r="M165" i="79"/>
  <c r="G167" i="79"/>
  <c r="K168" i="79"/>
  <c r="E170" i="79"/>
  <c r="I171" i="79"/>
  <c r="M172" i="79"/>
  <c r="F68" i="79"/>
  <c r="J69" i="79"/>
  <c r="N70" i="79"/>
  <c r="H72" i="79"/>
  <c r="L73" i="79"/>
  <c r="F75" i="79"/>
  <c r="J76" i="79"/>
  <c r="N77" i="79"/>
  <c r="J89" i="79"/>
  <c r="N90" i="79"/>
  <c r="H92" i="79"/>
  <c r="L93" i="79"/>
  <c r="F95" i="79"/>
  <c r="J96" i="79"/>
  <c r="N97" i="79"/>
  <c r="H99" i="79"/>
  <c r="L100" i="79"/>
  <c r="H140" i="79"/>
  <c r="L141" i="79"/>
  <c r="F143" i="79"/>
  <c r="J144" i="79"/>
  <c r="N145" i="79"/>
  <c r="H147" i="79"/>
  <c r="L148" i="79"/>
  <c r="F150" i="79"/>
  <c r="L161" i="79"/>
  <c r="F163" i="79"/>
  <c r="J164" i="79"/>
  <c r="N165" i="79"/>
  <c r="H167" i="79"/>
  <c r="L168" i="79"/>
  <c r="F170" i="79"/>
  <c r="J171" i="79"/>
  <c r="N172" i="79"/>
  <c r="M67" i="79"/>
  <c r="G68" i="79"/>
  <c r="K69" i="79"/>
  <c r="E71" i="79"/>
  <c r="I72" i="79"/>
  <c r="M73" i="79"/>
  <c r="G75" i="79"/>
  <c r="K76" i="79"/>
  <c r="E78" i="79"/>
  <c r="K89" i="79"/>
  <c r="E91" i="79"/>
  <c r="I92" i="79"/>
  <c r="M93" i="79"/>
  <c r="G95" i="79"/>
  <c r="K96" i="79"/>
  <c r="E98" i="79"/>
  <c r="I99" i="79"/>
  <c r="M100" i="79"/>
  <c r="E139" i="79"/>
  <c r="I140" i="79"/>
  <c r="M141" i="79"/>
  <c r="G143" i="79"/>
  <c r="K144" i="79"/>
  <c r="E146" i="79"/>
  <c r="I147" i="79"/>
  <c r="M148" i="79"/>
  <c r="G150" i="79"/>
  <c r="M161" i="79"/>
  <c r="G163" i="79"/>
  <c r="K164" i="79"/>
  <c r="E166" i="79"/>
  <c r="I167" i="79"/>
  <c r="M168" i="79"/>
  <c r="G170" i="79"/>
  <c r="K171" i="79"/>
  <c r="H68" i="79"/>
  <c r="L69" i="79"/>
  <c r="F71" i="79"/>
  <c r="J72" i="79"/>
  <c r="H75" i="79"/>
  <c r="L76" i="79"/>
  <c r="F78" i="79"/>
  <c r="L89" i="79"/>
  <c r="F91" i="79"/>
  <c r="J92" i="79"/>
  <c r="H95" i="79"/>
  <c r="L96" i="79"/>
  <c r="F98" i="79"/>
  <c r="J99" i="79"/>
  <c r="F139" i="79"/>
  <c r="J140" i="79"/>
  <c r="H143" i="79"/>
  <c r="L144" i="79"/>
  <c r="F146" i="79"/>
  <c r="J147" i="79"/>
  <c r="H150" i="79"/>
  <c r="H163" i="79"/>
  <c r="L164" i="79"/>
  <c r="F166" i="79"/>
  <c r="J167" i="79"/>
  <c r="H170" i="79"/>
  <c r="L171" i="79"/>
  <c r="M89" i="79"/>
  <c r="G91" i="79"/>
  <c r="K92" i="79"/>
  <c r="E94" i="79"/>
  <c r="I95" i="79"/>
  <c r="M96" i="79"/>
  <c r="G98" i="79"/>
  <c r="K99" i="79"/>
  <c r="G139" i="79"/>
  <c r="K140" i="79"/>
  <c r="E142" i="79"/>
  <c r="I143" i="79"/>
  <c r="M144" i="79"/>
  <c r="G146" i="79"/>
  <c r="K147" i="79"/>
  <c r="E149" i="79"/>
  <c r="I150" i="79"/>
  <c r="E162" i="79"/>
  <c r="I163" i="79"/>
  <c r="M164" i="79"/>
  <c r="G166" i="79"/>
  <c r="K167" i="79"/>
  <c r="E169" i="79"/>
  <c r="I170" i="79"/>
  <c r="M171" i="79"/>
  <c r="L67" i="79"/>
  <c r="G69" i="79"/>
  <c r="E67" i="79"/>
  <c r="I68" i="79"/>
  <c r="M69" i="79"/>
  <c r="G71" i="79"/>
  <c r="I75" i="79"/>
  <c r="F67" i="79"/>
  <c r="J68" i="79"/>
  <c r="H71" i="79"/>
  <c r="L72" i="79"/>
  <c r="F74" i="79"/>
  <c r="J75" i="79"/>
  <c r="H78" i="79"/>
  <c r="H91" i="79"/>
  <c r="L92" i="79"/>
  <c r="F94" i="79"/>
  <c r="J95" i="79"/>
  <c r="H98" i="79"/>
  <c r="L99" i="79"/>
  <c r="H139" i="79"/>
  <c r="L140" i="79"/>
  <c r="F142" i="79"/>
  <c r="J143" i="79"/>
  <c r="H146" i="79"/>
  <c r="L147" i="79"/>
  <c r="F149" i="79"/>
  <c r="J150" i="79"/>
  <c r="F162" i="79"/>
  <c r="J163" i="79"/>
  <c r="H166" i="79"/>
  <c r="L167" i="79"/>
  <c r="F169" i="79"/>
  <c r="J170" i="79"/>
  <c r="W187" i="81" a="1"/>
  <c r="W187" i="81" s="1"/>
  <c r="Y187" i="81" a="1"/>
  <c r="Y187" i="81" s="1"/>
  <c r="I14" i="83"/>
  <c r="I80" i="81" a="1"/>
  <c r="I80" i="81" s="1"/>
  <c r="L161" i="81" a="1"/>
  <c r="L161" i="81" s="1"/>
  <c r="F162" i="81" a="1"/>
  <c r="F162" i="81" s="1"/>
  <c r="H162" i="81" a="1"/>
  <c r="H162" i="81" s="1"/>
  <c r="H163" i="81" a="1"/>
  <c r="H163" i="81" s="1"/>
  <c r="L163" i="81" a="1"/>
  <c r="L163" i="81" s="1"/>
  <c r="F164" i="81" a="1"/>
  <c r="F164" i="81" s="1"/>
  <c r="H164" i="81" a="1"/>
  <c r="H164" i="81" s="1"/>
  <c r="J14" i="80" a="1"/>
  <c r="J14" i="80" s="1"/>
  <c r="K40" i="97" a="1"/>
  <c r="K40" i="97" s="1"/>
  <c r="W51" i="85"/>
  <c r="W52" i="85"/>
  <c r="W45" i="85"/>
  <c r="W48" i="85"/>
  <c r="I20" i="87" a="1"/>
  <c r="I20" i="87" s="1"/>
  <c r="G26" i="86" a="1"/>
  <c r="G26" i="86" s="1"/>
  <c r="R50" i="85" a="1"/>
  <c r="R50" i="85" s="1"/>
  <c r="T50" i="85"/>
  <c r="V50" i="85" s="1" a="1"/>
  <c r="V50" i="85" s="1"/>
  <c r="S50" i="85" a="1"/>
  <c r="S50" i="85" s="1"/>
  <c r="T45" i="85"/>
  <c r="V45" i="85" s="1" a="1"/>
  <c r="V45" i="85" s="1"/>
  <c r="S45" i="85" a="1"/>
  <c r="S45" i="85" s="1"/>
  <c r="R45" i="85" a="1"/>
  <c r="R45" i="85" s="1"/>
  <c r="U48" i="85"/>
  <c r="U45" i="85"/>
  <c r="V29" i="77" a="1"/>
  <c r="V29" i="77" s="1"/>
  <c r="W29" i="77" s="1" a="1"/>
  <c r="W29" i="77" s="1"/>
  <c r="AC29" i="77" s="1" a="1"/>
  <c r="AC29" i="77" s="1"/>
  <c r="AA77" i="77" s="1" a="1"/>
  <c r="AA77" i="77" s="1"/>
  <c r="AA98" i="77" s="1" a="1"/>
  <c r="AA98" i="77" s="1"/>
  <c r="AA150" i="77" s="1" a="1"/>
  <c r="AA150" i="77" s="1"/>
  <c r="V33" i="77" a="1"/>
  <c r="V33" i="77" s="1"/>
  <c r="W33" i="77" s="1" a="1"/>
  <c r="W33" i="77" s="1"/>
  <c r="AB33" i="77" s="1" a="1"/>
  <c r="AB33" i="77" s="1"/>
  <c r="Z81" i="77" s="1" a="1"/>
  <c r="Z81" i="77" s="1"/>
  <c r="Z102" i="77" s="1" a="1"/>
  <c r="Z102" i="77" s="1"/>
  <c r="Z154" i="77" s="1" a="1"/>
  <c r="Z154" i="77" s="1"/>
  <c r="V32" i="77" a="1"/>
  <c r="V32" i="77" s="1"/>
  <c r="W32" i="77" s="1" a="1"/>
  <c r="W32" i="77" s="1"/>
  <c r="AC32" i="77" s="1" a="1"/>
  <c r="AC32" i="77" s="1"/>
  <c r="AA80" i="77" s="1" a="1"/>
  <c r="AA80" i="77" s="1"/>
  <c r="AA101" i="77" s="1" a="1"/>
  <c r="AA101" i="77" s="1"/>
  <c r="AA153" i="77" s="1" a="1"/>
  <c r="AA153" i="77" s="1"/>
  <c r="V34" i="77" a="1"/>
  <c r="V34" i="77" s="1"/>
  <c r="W34" i="77" s="1" a="1"/>
  <c r="W34" i="77" s="1"/>
  <c r="AB34" i="77" s="1" a="1"/>
  <c r="AB34" i="77" s="1"/>
  <c r="Z82" i="77" s="1" a="1"/>
  <c r="Z82" i="77" s="1"/>
  <c r="Z103" i="77" s="1" a="1"/>
  <c r="Z103" i="77" s="1"/>
  <c r="Z155" i="77" s="1" a="1"/>
  <c r="Z155" i="77" s="1"/>
  <c r="V35" i="77" a="1"/>
  <c r="V35" i="77" s="1"/>
  <c r="W35" i="77" s="1" a="1"/>
  <c r="W35" i="77" s="1"/>
  <c r="AC35" i="77" s="1" a="1"/>
  <c r="AC35" i="77" s="1"/>
  <c r="AA83" i="77" s="1" a="1"/>
  <c r="AA83" i="77" s="1"/>
  <c r="AA104" i="77" s="1" a="1"/>
  <c r="AA104" i="77" s="1"/>
  <c r="AA156" i="77" s="1" a="1"/>
  <c r="AA156" i="77" s="1"/>
  <c r="E7" i="101"/>
  <c r="E30" i="101"/>
  <c r="F48" i="101"/>
  <c r="F73" i="90" a="1"/>
  <c r="F73" i="90" s="1"/>
  <c r="E27" i="100"/>
  <c r="O27" i="100"/>
  <c r="E7" i="100"/>
  <c r="G31" i="86" a="1"/>
  <c r="G31" i="86" s="1"/>
  <c r="E70" i="86" s="1" a="1"/>
  <c r="E70" i="86" s="1"/>
  <c r="E7" i="97"/>
  <c r="L8" i="97"/>
  <c r="F50" i="97"/>
  <c r="D39" i="97"/>
  <c r="D42" i="97"/>
  <c r="D30" i="97"/>
  <c r="D37" i="97"/>
  <c r="Q37" i="97" s="1" a="1"/>
  <c r="Q37" i="97" s="1"/>
  <c r="F51" i="97"/>
  <c r="F43" i="97"/>
  <c r="D28" i="97"/>
  <c r="D35" i="97"/>
  <c r="F52" i="97"/>
  <c r="F44" i="97"/>
  <c r="D26" i="97"/>
  <c r="D33" i="97"/>
  <c r="Q33" i="97" s="1" a="1"/>
  <c r="Q33" i="97" s="1"/>
  <c r="F55" i="97"/>
  <c r="F45" i="97"/>
  <c r="D31" i="97"/>
  <c r="D40" i="97"/>
  <c r="F56" i="97"/>
  <c r="D38" i="97"/>
  <c r="F46" i="97"/>
  <c r="D29" i="97"/>
  <c r="D36" i="97"/>
  <c r="D48" i="97"/>
  <c r="F57" i="97"/>
  <c r="F49" i="97"/>
  <c r="E7" i="96"/>
  <c r="L7" i="96"/>
  <c r="O37" i="96" a="1"/>
  <c r="O37" i="96" s="1"/>
  <c r="N37" i="96" a="1"/>
  <c r="N37" i="96" s="1"/>
  <c r="Q37" i="96" a="1"/>
  <c r="Q37" i="96" s="1"/>
  <c r="Q25" i="96" a="1"/>
  <c r="Q25" i="96" s="1"/>
  <c r="P25" i="96" a="1"/>
  <c r="P25" i="96" s="1"/>
  <c r="N25" i="96" a="1"/>
  <c r="N25" i="96" s="1"/>
  <c r="F62" i="96"/>
  <c r="F52" i="96"/>
  <c r="F70" i="96"/>
  <c r="F43" i="96"/>
  <c r="F61" i="96"/>
  <c r="F51" i="96"/>
  <c r="F69" i="96"/>
  <c r="F50" i="96"/>
  <c r="F58" i="96"/>
  <c r="F68" i="96"/>
  <c r="F49" i="96"/>
  <c r="F57" i="96"/>
  <c r="F67" i="96"/>
  <c r="F56" i="96"/>
  <c r="F46" i="96"/>
  <c r="F64" i="96"/>
  <c r="F55" i="96"/>
  <c r="F45" i="96"/>
  <c r="F63" i="96"/>
  <c r="F44" i="96"/>
  <c r="D29" i="96"/>
  <c r="O30" i="96" a="1"/>
  <c r="O30" i="96" s="1"/>
  <c r="P37" i="96" a="1"/>
  <c r="P37" i="96" s="1"/>
  <c r="D54" i="96"/>
  <c r="N35" i="96" a="1"/>
  <c r="N35" i="96" s="1"/>
  <c r="D38" i="96"/>
  <c r="Q39" i="96" a="1"/>
  <c r="Q39" i="96" s="1"/>
  <c r="D28" i="96"/>
  <c r="N39" i="96" a="1"/>
  <c r="N39" i="96" s="1"/>
  <c r="O25" i="96" a="1"/>
  <c r="O25" i="96" s="1"/>
  <c r="D32" i="96"/>
  <c r="P35" i="96" a="1"/>
  <c r="P35" i="96" s="1"/>
  <c r="D48" i="96"/>
  <c r="Q35" i="96" a="1"/>
  <c r="Q35" i="96" s="1"/>
  <c r="D60" i="96"/>
  <c r="O31" i="96" a="1"/>
  <c r="O31" i="96" s="1"/>
  <c r="E18" i="93" a="1"/>
  <c r="E18" i="93" s="1"/>
  <c r="E26" i="13" s="1" a="1"/>
  <c r="E26" i="13" s="1"/>
  <c r="H26" i="13" s="1"/>
  <c r="E39" i="93" a="1"/>
  <c r="E39" i="93" s="1"/>
  <c r="E27" i="13" s="1" a="1"/>
  <c r="E27" i="13" s="1"/>
  <c r="F27" i="13" s="1"/>
  <c r="I27" i="13" s="1"/>
  <c r="I20" i="95"/>
  <c r="G21" i="86" a="1"/>
  <c r="G21" i="86" s="1"/>
  <c r="E60" i="86" s="1" a="1"/>
  <c r="E60" i="86" s="1"/>
  <c r="I21" i="95"/>
  <c r="I18" i="95"/>
  <c r="I19" i="95"/>
  <c r="I17" i="95"/>
  <c r="F27" i="90" a="1"/>
  <c r="F27" i="90" s="1"/>
  <c r="E25" i="93"/>
  <c r="E8" i="93"/>
  <c r="H29" i="88" a="1"/>
  <c r="H29" i="88" s="1"/>
  <c r="I47" i="92"/>
  <c r="E50" i="92" s="1"/>
  <c r="F138" i="89" a="1"/>
  <c r="F138" i="89" s="1"/>
  <c r="E83" i="90"/>
  <c r="E49" i="90"/>
  <c r="E7" i="90"/>
  <c r="H32" i="89" a="1"/>
  <c r="H32" i="89" s="1"/>
  <c r="E72" i="89" s="1"/>
  <c r="G33" i="85" a="1"/>
  <c r="G33" i="85" s="1"/>
  <c r="E43" i="89"/>
  <c r="E7" i="89"/>
  <c r="E118" i="89"/>
  <c r="E90" i="89"/>
  <c r="F79" i="89"/>
  <c r="G59" i="89"/>
  <c r="H34" i="89" a="1"/>
  <c r="H34" i="89" s="1"/>
  <c r="E74" i="89" s="1"/>
  <c r="H36" i="89" a="1"/>
  <c r="H36" i="89" s="1"/>
  <c r="E76" i="89" s="1"/>
  <c r="H19" i="89" a="1"/>
  <c r="H19" i="89" s="1"/>
  <c r="E59" i="89" s="1"/>
  <c r="H21" i="89" a="1"/>
  <c r="H21" i="89" s="1"/>
  <c r="E61" i="89" s="1"/>
  <c r="H23" i="89" a="1"/>
  <c r="H23" i="89" s="1"/>
  <c r="E63" i="89" s="1"/>
  <c r="H25" i="89" a="1"/>
  <c r="H25" i="89" s="1"/>
  <c r="E65" i="89" s="1"/>
  <c r="H27" i="89" a="1"/>
  <c r="H27" i="89" s="1"/>
  <c r="E67" i="89" s="1"/>
  <c r="H29" i="89" a="1"/>
  <c r="H29" i="89" s="1"/>
  <c r="E69" i="89" s="1"/>
  <c r="H31" i="89" a="1"/>
  <c r="H31" i="89" s="1"/>
  <c r="E71" i="89" s="1"/>
  <c r="H33" i="89" a="1"/>
  <c r="H33" i="89" s="1"/>
  <c r="E73" i="89" s="1"/>
  <c r="H35" i="89" a="1"/>
  <c r="H35" i="89" s="1"/>
  <c r="E75" i="89" s="1"/>
  <c r="H37" i="89" a="1"/>
  <c r="H37" i="89" s="1"/>
  <c r="E77" i="89" s="1"/>
  <c r="H25" i="88" a="1"/>
  <c r="H25" i="88" s="1"/>
  <c r="H20" i="89" a="1"/>
  <c r="H20" i="89" s="1"/>
  <c r="E60" i="89" s="1"/>
  <c r="H22" i="89" a="1"/>
  <c r="H22" i="89" s="1"/>
  <c r="E62" i="89" s="1"/>
  <c r="H24" i="89" a="1"/>
  <c r="H24" i="89" s="1"/>
  <c r="E64" i="89" s="1"/>
  <c r="H26" i="89" a="1"/>
  <c r="H26" i="89" s="1"/>
  <c r="E66" i="89" s="1"/>
  <c r="H28" i="89" a="1"/>
  <c r="H28" i="89" s="1"/>
  <c r="E68" i="89" s="1"/>
  <c r="H30" i="89" a="1"/>
  <c r="H30" i="89" s="1"/>
  <c r="E70" i="89" s="1"/>
  <c r="E7" i="88"/>
  <c r="G27" i="85" a="1"/>
  <c r="G27" i="85" s="1"/>
  <c r="G28" i="86" a="1"/>
  <c r="G28" i="86" s="1"/>
  <c r="E67" i="86" s="1" a="1"/>
  <c r="E67" i="86" s="1"/>
  <c r="H26" i="88" a="1"/>
  <c r="H26" i="88" s="1"/>
  <c r="G22" i="86" a="1"/>
  <c r="G22" i="86" s="1"/>
  <c r="E61" i="86" s="1" a="1"/>
  <c r="E61" i="86" s="1"/>
  <c r="H27" i="88" a="1"/>
  <c r="H27" i="88" s="1"/>
  <c r="H28" i="88" a="1"/>
  <c r="H28" i="88" s="1"/>
  <c r="G25" i="85" a="1"/>
  <c r="G25" i="85" s="1"/>
  <c r="E38" i="87"/>
  <c r="E7" i="87"/>
  <c r="E32" i="87"/>
  <c r="K44" i="87" s="1"/>
  <c r="E50" i="87" s="1" a="1"/>
  <c r="E50" i="87" s="1"/>
  <c r="G52" i="87" s="1"/>
  <c r="E55" i="87" s="1" a="1"/>
  <c r="E55" i="87" s="1"/>
  <c r="G31" i="85" a="1"/>
  <c r="G31" i="85" s="1"/>
  <c r="E65" i="86" a="1"/>
  <c r="E65" i="86" s="1"/>
  <c r="F58" i="86"/>
  <c r="E7" i="86"/>
  <c r="E43" i="86"/>
  <c r="G24" i="86" a="1"/>
  <c r="G24" i="86" s="1"/>
  <c r="E63" i="86" s="1" a="1"/>
  <c r="E63" i="86" s="1"/>
  <c r="G33" i="86" a="1"/>
  <c r="G33" i="86" s="1"/>
  <c r="E72" i="86" s="1" a="1"/>
  <c r="E72" i="86" s="1"/>
  <c r="G35" i="86" a="1"/>
  <c r="G35" i="86" s="1"/>
  <c r="E74" i="86" s="1" a="1"/>
  <c r="E74" i="86" s="1"/>
  <c r="G35" i="85" a="1"/>
  <c r="G35" i="85" s="1"/>
  <c r="G20" i="85" a="1"/>
  <c r="G20" i="85" s="1"/>
  <c r="G27" i="86" a="1"/>
  <c r="G27" i="86" s="1"/>
  <c r="E66" i="86" s="1" a="1"/>
  <c r="E66" i="86" s="1"/>
  <c r="G29" i="86" a="1"/>
  <c r="G29" i="86" s="1"/>
  <c r="E68" i="86" s="1" a="1"/>
  <c r="E68" i="86" s="1"/>
  <c r="G36" i="86" a="1"/>
  <c r="G36" i="86" s="1"/>
  <c r="E75" i="86" s="1" a="1"/>
  <c r="E75" i="86" s="1"/>
  <c r="S68" i="85" a="1"/>
  <c r="S68" i="85" s="1"/>
  <c r="G23" i="86" a="1"/>
  <c r="G23" i="86" s="1"/>
  <c r="E62" i="86" s="1" a="1"/>
  <c r="E62" i="86" s="1"/>
  <c r="G25" i="86" a="1"/>
  <c r="G25" i="86" s="1"/>
  <c r="E64" i="86" s="1" a="1"/>
  <c r="E64" i="86" s="1"/>
  <c r="G30" i="86" a="1"/>
  <c r="G30" i="86" s="1"/>
  <c r="E69" i="86" s="1" a="1"/>
  <c r="E69" i="86" s="1"/>
  <c r="G32" i="86" a="1"/>
  <c r="G32" i="86" s="1"/>
  <c r="E71" i="86" s="1" a="1"/>
  <c r="E71" i="86" s="1"/>
  <c r="E7" i="85"/>
  <c r="E42" i="85"/>
  <c r="N60" i="85"/>
  <c r="G36" i="85" a="1"/>
  <c r="G36" i="85" s="1"/>
  <c r="F80" i="85"/>
  <c r="O88" i="85"/>
  <c r="F60" i="85"/>
  <c r="G29" i="85" a="1"/>
  <c r="G29" i="85" s="1"/>
  <c r="Q45" i="85"/>
  <c r="U49" i="85"/>
  <c r="U51" i="85"/>
  <c r="G37" i="85" a="1"/>
  <c r="G37" i="85" s="1"/>
  <c r="G22" i="85" a="1"/>
  <c r="G22" i="85" s="1"/>
  <c r="G32" i="85" a="1"/>
  <c r="G32" i="85" s="1"/>
  <c r="G19" i="85" a="1"/>
  <c r="G19" i="85" s="1"/>
  <c r="S48" i="85" a="1"/>
  <c r="S48" i="85" s="1"/>
  <c r="R49" i="85" a="1"/>
  <c r="R49" i="85" s="1"/>
  <c r="R51" i="85" a="1"/>
  <c r="R51" i="85" s="1"/>
  <c r="Q47" i="85"/>
  <c r="T52" i="85"/>
  <c r="U52" i="85" s="1"/>
  <c r="X253" i="80"/>
  <c r="G21" i="85" a="1"/>
  <c r="G21" i="85" s="1"/>
  <c r="G23" i="85" a="1"/>
  <c r="G23" i="85" s="1"/>
  <c r="Q50" i="85"/>
  <c r="S51" i="85" a="1"/>
  <c r="S51" i="85" s="1"/>
  <c r="X37" i="80" a="1"/>
  <c r="X37" i="80" s="1"/>
  <c r="I19" i="84"/>
  <c r="AE43" i="81" a="1"/>
  <c r="AE43" i="81" s="1"/>
  <c r="E26" i="83"/>
  <c r="E7" i="83"/>
  <c r="O20" i="83"/>
  <c r="F20" i="83"/>
  <c r="O36" i="83"/>
  <c r="F36" i="83"/>
  <c r="E95" i="81" a="1"/>
  <c r="E95" i="81" s="1"/>
  <c r="X273" i="80"/>
  <c r="V42" i="81" a="1"/>
  <c r="V42" i="81" s="1"/>
  <c r="F33" i="81" a="1"/>
  <c r="F33" i="81" s="1"/>
  <c r="X39" i="81" a="1"/>
  <c r="X39" i="81" s="1"/>
  <c r="AF253" i="81"/>
  <c r="Y40" i="81" a="1"/>
  <c r="Y40" i="81" s="1"/>
  <c r="E7" i="82"/>
  <c r="E22" i="82"/>
  <c r="P179" i="80"/>
  <c r="AI179" i="80"/>
  <c r="AF72" i="81"/>
  <c r="AF77" i="81"/>
  <c r="AF76" i="81"/>
  <c r="AF80" i="81"/>
  <c r="AF79" i="81"/>
  <c r="O65" i="81"/>
  <c r="AF74" i="81"/>
  <c r="Q95" i="81"/>
  <c r="AH106" i="81"/>
  <c r="AH108" i="81"/>
  <c r="AH101" i="81"/>
  <c r="P35" i="82"/>
  <c r="F35" i="82"/>
  <c r="O34" i="81"/>
  <c r="AF46" i="81"/>
  <c r="J34" i="79"/>
  <c r="K34" i="79"/>
  <c r="O36" i="81"/>
  <c r="AF43" i="81"/>
  <c r="I36" i="81" a="1"/>
  <c r="I36" i="81" s="1"/>
  <c r="AA39" i="81" a="1"/>
  <c r="AA39" i="81" s="1"/>
  <c r="X255" i="80"/>
  <c r="N26" i="79"/>
  <c r="AF40" i="81"/>
  <c r="AF37" i="81"/>
  <c r="AF38" i="81"/>
  <c r="AF41" i="81"/>
  <c r="M85" i="80" a="1"/>
  <c r="M85" i="80" s="1"/>
  <c r="M132" i="80" s="1" a="1"/>
  <c r="M132" i="80" s="1"/>
  <c r="E7" i="81"/>
  <c r="E42" i="81"/>
  <c r="E136" i="81"/>
  <c r="E104" i="81"/>
  <c r="E218" i="81"/>
  <c r="E178" i="81"/>
  <c r="AF147" i="81"/>
  <c r="AF144" i="81"/>
  <c r="AF140" i="81"/>
  <c r="AF146" i="81"/>
  <c r="AF136" i="81"/>
  <c r="O130" i="81"/>
  <c r="O129" i="81"/>
  <c r="O128" i="81"/>
  <c r="O127" i="81"/>
  <c r="AF145" i="81"/>
  <c r="AF138" i="81"/>
  <c r="AF142" i="81"/>
  <c r="AF141" i="81"/>
  <c r="AF137" i="81"/>
  <c r="AF143" i="81"/>
  <c r="AF139" i="81"/>
  <c r="N33" i="81" a="1"/>
  <c r="N33" i="81" s="1"/>
  <c r="AE37" i="81" a="1"/>
  <c r="AE37" i="81" s="1"/>
  <c r="W109" i="81" a="1"/>
  <c r="W109" i="81" s="1"/>
  <c r="AA109" i="81" s="1" a="1"/>
  <c r="AA109" i="81" s="1"/>
  <c r="X269" i="80"/>
  <c r="X257" i="80"/>
  <c r="X264" i="80"/>
  <c r="AE46" i="81" a="1"/>
  <c r="AE46" i="81" s="1"/>
  <c r="AE45" i="81" a="1"/>
  <c r="AE45" i="81" s="1"/>
  <c r="X270" i="80"/>
  <c r="X258" i="80"/>
  <c r="X271" i="80"/>
  <c r="X259" i="80"/>
  <c r="N35" i="81" a="1"/>
  <c r="N35" i="81" s="1"/>
  <c r="N36" i="81" a="1"/>
  <c r="N36" i="81" s="1"/>
  <c r="W107" i="81" a="1"/>
  <c r="W107" i="81" s="1"/>
  <c r="AA107" i="81" s="1" a="1"/>
  <c r="AA107" i="81" s="1"/>
  <c r="E20" i="81"/>
  <c r="AF202" i="81"/>
  <c r="AF197" i="81"/>
  <c r="AF200" i="81"/>
  <c r="AF206" i="81"/>
  <c r="AF199" i="81"/>
  <c r="O172" i="81"/>
  <c r="AF207" i="81"/>
  <c r="AF204" i="81"/>
  <c r="AF203" i="81"/>
  <c r="AF201" i="81"/>
  <c r="O171" i="81"/>
  <c r="AF198" i="81"/>
  <c r="O170" i="81"/>
  <c r="O169" i="81"/>
  <c r="AF196" i="81"/>
  <c r="AF205" i="81"/>
  <c r="E34" i="79"/>
  <c r="AI257" i="80"/>
  <c r="AI269" i="80"/>
  <c r="AA101" i="81" a="1"/>
  <c r="AA101" i="81" s="1"/>
  <c r="AA103" i="81" a="1"/>
  <c r="AA103" i="81" s="1"/>
  <c r="AA105" i="81" a="1"/>
  <c r="AA105" i="81" s="1"/>
  <c r="F34" i="79"/>
  <c r="AE41" i="81" a="1"/>
  <c r="AE41" i="81" s="1"/>
  <c r="AE38" i="81" a="1"/>
  <c r="AE38" i="81" s="1"/>
  <c r="AE47" i="81" a="1"/>
  <c r="AE47" i="81" s="1"/>
  <c r="AE44" i="81" a="1"/>
  <c r="AE44" i="81" s="1"/>
  <c r="AE36" i="81" a="1"/>
  <c r="AE36" i="81" s="1"/>
  <c r="AE42" i="81" a="1"/>
  <c r="AE42" i="81" s="1"/>
  <c r="AB101" i="81" a="1"/>
  <c r="AB101" i="81" s="1"/>
  <c r="AB103" i="81" a="1"/>
  <c r="AB103" i="81" s="1"/>
  <c r="AB105" i="81" a="1"/>
  <c r="AB105" i="81" s="1"/>
  <c r="G34" i="79"/>
  <c r="V20" i="81"/>
  <c r="N34" i="81" a="1"/>
  <c r="N34" i="81" s="1"/>
  <c r="AC101" i="81" a="1"/>
  <c r="AC101" i="81" s="1"/>
  <c r="AC103" i="81" a="1"/>
  <c r="AC103" i="81" s="1"/>
  <c r="AC105" i="81" a="1"/>
  <c r="AC105" i="81" s="1"/>
  <c r="K25" i="79"/>
  <c r="H34" i="79"/>
  <c r="AE40" i="81" a="1"/>
  <c r="AE40" i="81" s="1"/>
  <c r="V110" i="81" a="1"/>
  <c r="V110" i="81" s="1"/>
  <c r="V104" i="81" a="1"/>
  <c r="V104" i="81" s="1"/>
  <c r="W104" i="81" s="1" a="1"/>
  <c r="W104" i="81" s="1"/>
  <c r="AC104" i="81" s="1" a="1"/>
  <c r="AC104" i="81" s="1"/>
  <c r="V191" i="81" a="1"/>
  <c r="V191" i="81" s="1"/>
  <c r="V102" i="81" a="1"/>
  <c r="V102" i="81" s="1"/>
  <c r="W102" i="81" s="1" a="1"/>
  <c r="W102" i="81" s="1"/>
  <c r="AB102" i="81" s="1" a="1"/>
  <c r="AB102" i="81" s="1"/>
  <c r="I34" i="79"/>
  <c r="X183" i="80"/>
  <c r="X195" i="80"/>
  <c r="X272" i="80"/>
  <c r="AE39" i="81" a="1"/>
  <c r="AE39" i="81" s="1"/>
  <c r="L87" i="80" a="1"/>
  <c r="L87" i="80" s="1"/>
  <c r="L134" i="80" s="1" a="1"/>
  <c r="L134" i="80" s="1"/>
  <c r="G85" i="80" a="1"/>
  <c r="G85" i="80" s="1"/>
  <c r="G132" i="80" s="1" a="1"/>
  <c r="G132" i="80" s="1"/>
  <c r="E85" i="80" a="1"/>
  <c r="E85" i="80" s="1"/>
  <c r="E132" i="80" s="1" a="1"/>
  <c r="E132" i="80" s="1"/>
  <c r="M84" i="80" a="1"/>
  <c r="M84" i="80" s="1"/>
  <c r="M131" i="80" s="1" a="1"/>
  <c r="M131" i="80" s="1"/>
  <c r="L84" i="80" a="1"/>
  <c r="L84" i="80" s="1"/>
  <c r="L131" i="80" s="1" a="1"/>
  <c r="L131" i="80" s="1"/>
  <c r="H30" i="80"/>
  <c r="AB36" i="81" a="1"/>
  <c r="AB36" i="81" s="1"/>
  <c r="E191" i="81"/>
  <c r="O33" i="81"/>
  <c r="AF39" i="81"/>
  <c r="AF45" i="81"/>
  <c r="AF75" i="81"/>
  <c r="E97" i="81" a="1"/>
  <c r="E97" i="81" s="1"/>
  <c r="F97" i="81" s="1" a="1"/>
  <c r="F97" i="81" s="1"/>
  <c r="K97" i="81" s="1" a="1"/>
  <c r="K97" i="81" s="1"/>
  <c r="E98" i="81" a="1"/>
  <c r="E98" i="81" s="1"/>
  <c r="F98" i="81" s="1" a="1"/>
  <c r="F98" i="81" s="1"/>
  <c r="P177" i="80"/>
  <c r="M34" i="81" a="1"/>
  <c r="M34" i="81" s="1"/>
  <c r="AF259" i="81"/>
  <c r="AF252" i="81"/>
  <c r="O210" i="81"/>
  <c r="O208" i="81"/>
  <c r="AF256" i="81"/>
  <c r="AF249" i="81"/>
  <c r="AF250" i="81"/>
  <c r="AF251" i="81"/>
  <c r="O209" i="81"/>
  <c r="AF248" i="81"/>
  <c r="AF258" i="81"/>
  <c r="AF254" i="81"/>
  <c r="F212" i="81"/>
  <c r="W261" i="81"/>
  <c r="AF257" i="81"/>
  <c r="O207" i="81"/>
  <c r="H31" i="80"/>
  <c r="O35" i="81"/>
  <c r="AF42" i="81"/>
  <c r="AF82" i="81"/>
  <c r="AF83" i="81"/>
  <c r="AF81" i="81"/>
  <c r="AH110" i="81"/>
  <c r="AH103" i="81"/>
  <c r="AH104" i="81"/>
  <c r="Q96" i="81"/>
  <c r="AH105" i="81"/>
  <c r="Q97" i="81"/>
  <c r="Q98" i="81"/>
  <c r="AF78" i="81"/>
  <c r="AH107" i="81"/>
  <c r="AH109" i="81"/>
  <c r="W267" i="81"/>
  <c r="F229" i="81"/>
  <c r="O62" i="81"/>
  <c r="E96" i="81" a="1"/>
  <c r="E96" i="81" s="1"/>
  <c r="F96" i="81" s="1" a="1"/>
  <c r="F96" i="81" s="1"/>
  <c r="AF86" i="80" a="1"/>
  <c r="AF86" i="80" s="1"/>
  <c r="AF141" i="80" s="1" a="1"/>
  <c r="AF141" i="80" s="1"/>
  <c r="AI197" i="80"/>
  <c r="AF36" i="81"/>
  <c r="AF44" i="81"/>
  <c r="O63" i="81"/>
  <c r="O64" i="81"/>
  <c r="H32" i="80"/>
  <c r="N32" i="80" s="1" a="1"/>
  <c r="N32" i="80" s="1"/>
  <c r="J86" i="80" s="1" a="1"/>
  <c r="J86" i="80" s="1"/>
  <c r="J133" i="80" s="1" a="1"/>
  <c r="J133" i="80" s="1"/>
  <c r="AF73" i="81"/>
  <c r="V180" i="81" a="1"/>
  <c r="V180" i="81" s="1"/>
  <c r="AH100" i="81"/>
  <c r="AH102" i="81"/>
  <c r="AH111" i="81"/>
  <c r="V108" i="81" a="1"/>
  <c r="V108" i="81" s="1"/>
  <c r="W108" i="81" s="1" a="1"/>
  <c r="W108" i="81" s="1"/>
  <c r="AB108" i="81" s="1" a="1"/>
  <c r="AB108" i="81" s="1"/>
  <c r="V111" i="81" a="1"/>
  <c r="V111" i="81" s="1"/>
  <c r="V100" i="81" a="1"/>
  <c r="V100" i="81" s="1"/>
  <c r="V182" i="81" a="1"/>
  <c r="V182" i="81" s="1"/>
  <c r="V106" i="81" a="1"/>
  <c r="V106" i="81" s="1"/>
  <c r="W106" i="81" s="1" a="1"/>
  <c r="W106" i="81" s="1"/>
  <c r="AA106" i="81" s="1" a="1"/>
  <c r="AA106" i="81" s="1"/>
  <c r="V186" i="81" a="1"/>
  <c r="V186" i="81" s="1"/>
  <c r="V189" i="81" a="1"/>
  <c r="V189" i="81" s="1"/>
  <c r="V181" i="81" a="1"/>
  <c r="V181" i="81" s="1"/>
  <c r="V188" i="81" a="1"/>
  <c r="V188" i="81" s="1"/>
  <c r="V185" i="81" a="1"/>
  <c r="V185" i="81" s="1"/>
  <c r="V183" i="81" a="1"/>
  <c r="V183" i="81" s="1"/>
  <c r="V190" i="81" a="1"/>
  <c r="V190" i="81" s="1"/>
  <c r="V184" i="81" a="1"/>
  <c r="V184" i="81" s="1"/>
  <c r="V216" i="81"/>
  <c r="F85" i="80" a="1"/>
  <c r="F85" i="80" s="1"/>
  <c r="F132" i="80" s="1" a="1"/>
  <c r="F132" i="80" s="1"/>
  <c r="AE86" i="80" a="1"/>
  <c r="AE86" i="80" s="1"/>
  <c r="AE141" i="80" s="1" a="1"/>
  <c r="AE141" i="80" s="1"/>
  <c r="X44" i="80"/>
  <c r="N85" i="80" a="1"/>
  <c r="N85" i="80" s="1"/>
  <c r="N132" i="80" s="1" a="1"/>
  <c r="N132" i="80" s="1"/>
  <c r="K87" i="80" a="1"/>
  <c r="K87" i="80" s="1"/>
  <c r="K134" i="80" s="1" a="1"/>
  <c r="K134" i="80" s="1"/>
  <c r="X235" i="80"/>
  <c r="E39" i="80"/>
  <c r="E101" i="80"/>
  <c r="E148" i="80"/>
  <c r="E206" i="80"/>
  <c r="AH137" i="80"/>
  <c r="AH140" i="80"/>
  <c r="AH135" i="80"/>
  <c r="O133" i="80"/>
  <c r="AH142" i="80"/>
  <c r="O132" i="80"/>
  <c r="AH139" i="80"/>
  <c r="O131" i="80"/>
  <c r="O134" i="80"/>
  <c r="AH134" i="80"/>
  <c r="AH136" i="80"/>
  <c r="AH141" i="80"/>
  <c r="AH138" i="80"/>
  <c r="AH132" i="80"/>
  <c r="AH131" i="80"/>
  <c r="AH133" i="80"/>
  <c r="O86" i="80"/>
  <c r="AH84" i="80"/>
  <c r="AH76" i="80"/>
  <c r="AH87" i="80"/>
  <c r="AH85" i="80"/>
  <c r="AH78" i="80"/>
  <c r="AH80" i="80"/>
  <c r="AH82" i="80"/>
  <c r="O84" i="80"/>
  <c r="O87" i="80"/>
  <c r="AH86" i="80"/>
  <c r="O85" i="80"/>
  <c r="AH77" i="80"/>
  <c r="AH81" i="80"/>
  <c r="AH79" i="80"/>
  <c r="AH83" i="80"/>
  <c r="X185" i="80"/>
  <c r="X197" i="80"/>
  <c r="X188" i="80"/>
  <c r="X200" i="80"/>
  <c r="AJ28" i="80"/>
  <c r="AJ35" i="80"/>
  <c r="S32" i="80"/>
  <c r="AJ29" i="80"/>
  <c r="AJ32" i="80"/>
  <c r="AJ36" i="80"/>
  <c r="AJ37" i="80"/>
  <c r="S30" i="80"/>
  <c r="AJ38" i="80"/>
  <c r="S33" i="80"/>
  <c r="AJ39" i="80"/>
  <c r="AJ30" i="80"/>
  <c r="AJ33" i="80"/>
  <c r="S31" i="80"/>
  <c r="AJ34" i="80"/>
  <c r="AJ31" i="80"/>
  <c r="X32" i="80" a="1"/>
  <c r="X32" i="80" s="1"/>
  <c r="Y32" i="80" s="1" a="1"/>
  <c r="Y32" i="80" s="1"/>
  <c r="AC32" i="80" s="1" a="1"/>
  <c r="AC32" i="80" s="1"/>
  <c r="AA80" i="80" s="1" a="1"/>
  <c r="AA80" i="80" s="1"/>
  <c r="AA135" i="80" s="1" a="1"/>
  <c r="AA135" i="80" s="1"/>
  <c r="X36" i="80" a="1"/>
  <c r="X36" i="80" s="1"/>
  <c r="X60" i="80"/>
  <c r="Y77" i="80" a="1"/>
  <c r="Y77" i="80" s="1"/>
  <c r="Y132" i="80" s="1" a="1"/>
  <c r="Y132" i="80" s="1"/>
  <c r="AG77" i="80" a="1"/>
  <c r="AG77" i="80" s="1"/>
  <c r="AG132" i="80" s="1" a="1"/>
  <c r="AG132" i="80" s="1"/>
  <c r="Z79" i="80" a="1"/>
  <c r="Z79" i="80" s="1"/>
  <c r="Z134" i="80" s="1" a="1"/>
  <c r="Z134" i="80" s="1"/>
  <c r="AD80" i="80" a="1"/>
  <c r="AD80" i="80" s="1"/>
  <c r="AD135" i="80" s="1" a="1"/>
  <c r="AD135" i="80" s="1"/>
  <c r="Z81" i="80" a="1"/>
  <c r="Z81" i="80" s="1"/>
  <c r="Z136" i="80" s="1" a="1"/>
  <c r="Z136" i="80" s="1"/>
  <c r="AD82" i="80" a="1"/>
  <c r="AD82" i="80" s="1"/>
  <c r="AD137" i="80" s="1" a="1"/>
  <c r="AD137" i="80" s="1"/>
  <c r="X86" i="80" a="1"/>
  <c r="X86" i="80" s="1"/>
  <c r="X141" i="80" s="1" a="1"/>
  <c r="X141" i="80" s="1"/>
  <c r="X199" i="80"/>
  <c r="X187" i="80"/>
  <c r="X180" i="80"/>
  <c r="X192" i="80"/>
  <c r="L27" i="79"/>
  <c r="X29" i="80" a="1"/>
  <c r="X29" i="80" s="1"/>
  <c r="Y29" i="80" s="1" a="1"/>
  <c r="Y29" i="80" s="1"/>
  <c r="AE29" i="80" s="1" a="1"/>
  <c r="AE29" i="80" s="1"/>
  <c r="AC77" i="80" s="1" a="1"/>
  <c r="AC77" i="80" s="1"/>
  <c r="AC132" i="80" s="1" a="1"/>
  <c r="AC132" i="80" s="1"/>
  <c r="Z77" i="80" a="1"/>
  <c r="Z77" i="80" s="1"/>
  <c r="Z132" i="80" s="1" a="1"/>
  <c r="Z132" i="80" s="1"/>
  <c r="AD78" i="80" a="1"/>
  <c r="AD78" i="80" s="1"/>
  <c r="AD133" i="80" s="1" a="1"/>
  <c r="AD133" i="80" s="1"/>
  <c r="AD85" i="80" a="1"/>
  <c r="AD85" i="80" s="1"/>
  <c r="AD140" i="80" s="1" a="1"/>
  <c r="AD140" i="80" s="1"/>
  <c r="AG86" i="80" a="1"/>
  <c r="AG86" i="80" s="1"/>
  <c r="AG141" i="80" s="1" a="1"/>
  <c r="AG141" i="80" s="1"/>
  <c r="AD87" i="80" a="1"/>
  <c r="AD87" i="80" s="1"/>
  <c r="AD142" i="80" s="1" a="1"/>
  <c r="AD142" i="80" s="1"/>
  <c r="M27" i="79"/>
  <c r="AD76" i="80" a="1"/>
  <c r="AD76" i="80" s="1"/>
  <c r="AD131" i="80" s="1" a="1"/>
  <c r="AD131" i="80" s="1"/>
  <c r="AE80" i="80" a="1"/>
  <c r="AE80" i="80" s="1"/>
  <c r="AE135" i="80" s="1" a="1"/>
  <c r="AE135" i="80" s="1"/>
  <c r="AE82" i="80" a="1"/>
  <c r="AE82" i="80" s="1"/>
  <c r="AE137" i="80" s="1" a="1"/>
  <c r="AE137" i="80" s="1"/>
  <c r="Y86" i="80" a="1"/>
  <c r="Y86" i="80" s="1"/>
  <c r="Y141" i="80" s="1" a="1"/>
  <c r="Y141" i="80" s="1"/>
  <c r="N27" i="79"/>
  <c r="X28" i="80" a="1"/>
  <c r="X28" i="80" s="1"/>
  <c r="Y28" i="80" s="1" a="1"/>
  <c r="Y28" i="80" s="1"/>
  <c r="AC28" i="80" s="1" a="1"/>
  <c r="AC28" i="80" s="1"/>
  <c r="AA76" i="80" s="1" a="1"/>
  <c r="AA76" i="80" s="1"/>
  <c r="AA131" i="80" s="1" a="1"/>
  <c r="AA131" i="80" s="1"/>
  <c r="X35" i="80" a="1"/>
  <c r="X35" i="80" s="1"/>
  <c r="M87" i="80" a="1"/>
  <c r="M87" i="80" s="1"/>
  <c r="M134" i="80" s="1" a="1"/>
  <c r="M134" i="80" s="1"/>
  <c r="F87" i="80" a="1"/>
  <c r="F87" i="80" s="1"/>
  <c r="F134" i="80" s="1" a="1"/>
  <c r="F134" i="80" s="1"/>
  <c r="M86" i="80" a="1"/>
  <c r="M86" i="80" s="1"/>
  <c r="M133" i="80" s="1" a="1"/>
  <c r="M133" i="80" s="1"/>
  <c r="F86" i="80" a="1"/>
  <c r="F86" i="80" s="1"/>
  <c r="F133" i="80" s="1" a="1"/>
  <c r="F133" i="80" s="1"/>
  <c r="N84" i="80" a="1"/>
  <c r="N84" i="80" s="1"/>
  <c r="N131" i="80" s="1" a="1"/>
  <c r="N131" i="80" s="1"/>
  <c r="G84" i="80" a="1"/>
  <c r="G84" i="80" s="1"/>
  <c r="G131" i="80" s="1" a="1"/>
  <c r="G131" i="80" s="1"/>
  <c r="AE78" i="80" a="1"/>
  <c r="AE78" i="80" s="1"/>
  <c r="AE133" i="80" s="1" a="1"/>
  <c r="AE133" i="80" s="1"/>
  <c r="X80" i="80" a="1"/>
  <c r="X80" i="80" s="1"/>
  <c r="X135" i="80" s="1" a="1"/>
  <c r="X135" i="80" s="1"/>
  <c r="X82" i="80" a="1"/>
  <c r="X82" i="80" s="1"/>
  <c r="X137" i="80" s="1" a="1"/>
  <c r="X137" i="80" s="1"/>
  <c r="F84" i="80" a="1"/>
  <c r="F84" i="80" s="1"/>
  <c r="F131" i="80" s="1" a="1"/>
  <c r="F131" i="80" s="1"/>
  <c r="AE85" i="80" a="1"/>
  <c r="AE85" i="80" s="1"/>
  <c r="AE140" i="80" s="1" a="1"/>
  <c r="AE140" i="80" s="1"/>
  <c r="N87" i="80" a="1"/>
  <c r="N87" i="80" s="1"/>
  <c r="N134" i="80" s="1" a="1"/>
  <c r="N134" i="80" s="1"/>
  <c r="AE87" i="80" a="1"/>
  <c r="AE87" i="80" s="1"/>
  <c r="AE142" i="80" s="1" a="1"/>
  <c r="AE142" i="80" s="1"/>
  <c r="G25" i="79"/>
  <c r="E52" i="80"/>
  <c r="E84" i="80" s="1" a="1"/>
  <c r="E84" i="80" s="1"/>
  <c r="E131" i="80" s="1" a="1"/>
  <c r="E131" i="80" s="1"/>
  <c r="AE76" i="80" a="1"/>
  <c r="AE76" i="80" s="1"/>
  <c r="AE131" i="80" s="1" a="1"/>
  <c r="AE131" i="80" s="1"/>
  <c r="X78" i="80" a="1"/>
  <c r="X78" i="80" s="1"/>
  <c r="X133" i="80" s="1" a="1"/>
  <c r="X133" i="80" s="1"/>
  <c r="AF80" i="80" a="1"/>
  <c r="AF80" i="80" s="1"/>
  <c r="AF135" i="80" s="1" a="1"/>
  <c r="AF135" i="80" s="1"/>
  <c r="AF82" i="80" a="1"/>
  <c r="AF82" i="80" s="1"/>
  <c r="AF137" i="80" s="1" a="1"/>
  <c r="AF137" i="80" s="1"/>
  <c r="AD84" i="80" a="1"/>
  <c r="AD84" i="80" s="1"/>
  <c r="AD139" i="80" s="1" a="1"/>
  <c r="AD139" i="80" s="1"/>
  <c r="Z86" i="80" a="1"/>
  <c r="Z86" i="80" s="1"/>
  <c r="Z141" i="80" s="1" a="1"/>
  <c r="Z141" i="80" s="1"/>
  <c r="E87" i="80" a="1"/>
  <c r="E87" i="80" s="1"/>
  <c r="E134" i="80" s="1" a="1"/>
  <c r="E134" i="80" s="1"/>
  <c r="X189" i="80"/>
  <c r="H25" i="79"/>
  <c r="L34" i="79"/>
  <c r="X31" i="80" a="1"/>
  <c r="X31" i="80" s="1"/>
  <c r="Y31" i="80" s="1" a="1"/>
  <c r="Y31" i="80" s="1"/>
  <c r="AE31" i="80" s="1" a="1"/>
  <c r="AE31" i="80" s="1"/>
  <c r="AC79" i="80" s="1" a="1"/>
  <c r="AC79" i="80" s="1"/>
  <c r="AC134" i="80" s="1" a="1"/>
  <c r="AC134" i="80" s="1"/>
  <c r="AF78" i="80" a="1"/>
  <c r="AF78" i="80" s="1"/>
  <c r="AF133" i="80" s="1" a="1"/>
  <c r="AF133" i="80" s="1"/>
  <c r="Y80" i="80" a="1"/>
  <c r="Y80" i="80" s="1"/>
  <c r="Y135" i="80" s="1" a="1"/>
  <c r="Y135" i="80" s="1"/>
  <c r="Y82" i="80" a="1"/>
  <c r="Y82" i="80" s="1"/>
  <c r="Y137" i="80" s="1" a="1"/>
  <c r="Y137" i="80" s="1"/>
  <c r="X85" i="80" a="1"/>
  <c r="X85" i="80" s="1"/>
  <c r="X140" i="80" s="1" a="1"/>
  <c r="X140" i="80" s="1"/>
  <c r="AF85" i="80" a="1"/>
  <c r="AF85" i="80" s="1"/>
  <c r="AF140" i="80" s="1" a="1"/>
  <c r="AF140" i="80" s="1"/>
  <c r="AF87" i="80" a="1"/>
  <c r="AF87" i="80" s="1"/>
  <c r="AF142" i="80" s="1" a="1"/>
  <c r="AF142" i="80" s="1"/>
  <c r="X190" i="80"/>
  <c r="X178" i="80"/>
  <c r="AI178" i="80"/>
  <c r="I25" i="79"/>
  <c r="M34" i="79"/>
  <c r="X34" i="80" a="1"/>
  <c r="X34" i="80" s="1"/>
  <c r="Y34" i="80" s="1" a="1"/>
  <c r="Y34" i="80" s="1"/>
  <c r="AE34" i="80" s="1" a="1"/>
  <c r="AE34" i="80" s="1"/>
  <c r="AC82" i="80" s="1" a="1"/>
  <c r="AC82" i="80" s="1"/>
  <c r="AC137" i="80" s="1" a="1"/>
  <c r="AC137" i="80" s="1"/>
  <c r="AF76" i="80" a="1"/>
  <c r="AF76" i="80" s="1"/>
  <c r="AF131" i="80" s="1" a="1"/>
  <c r="AF131" i="80" s="1"/>
  <c r="Y78" i="80" a="1"/>
  <c r="Y78" i="80" s="1"/>
  <c r="Y133" i="80" s="1" a="1"/>
  <c r="Y133" i="80" s="1"/>
  <c r="AG80" i="80" a="1"/>
  <c r="AG80" i="80" s="1"/>
  <c r="AG135" i="80" s="1" a="1"/>
  <c r="AG135" i="80" s="1"/>
  <c r="AG82" i="80" a="1"/>
  <c r="AG82" i="80" s="1"/>
  <c r="AG137" i="80" s="1" a="1"/>
  <c r="AG137" i="80" s="1"/>
  <c r="AD83" i="80" a="1"/>
  <c r="AD83" i="80" s="1"/>
  <c r="AD138" i="80" s="1" a="1"/>
  <c r="AD138" i="80" s="1"/>
  <c r="AE84" i="80" a="1"/>
  <c r="AE84" i="80" s="1"/>
  <c r="AE139" i="80" s="1" a="1"/>
  <c r="AE139" i="80" s="1"/>
  <c r="K86" i="80" a="1"/>
  <c r="K86" i="80" s="1"/>
  <c r="K133" i="80" s="1" a="1"/>
  <c r="K133" i="80" s="1"/>
  <c r="G87" i="80" a="1"/>
  <c r="G87" i="80" s="1"/>
  <c r="G134" i="80" s="1" a="1"/>
  <c r="G134" i="80" s="1"/>
  <c r="X87" i="80" a="1"/>
  <c r="X87" i="80" s="1"/>
  <c r="X142" i="80" s="1" a="1"/>
  <c r="X142" i="80" s="1"/>
  <c r="J25" i="79"/>
  <c r="L30" i="79"/>
  <c r="Y76" i="80" a="1"/>
  <c r="Y76" i="80" s="1"/>
  <c r="Y131" i="80" s="1" a="1"/>
  <c r="Y131" i="80" s="1"/>
  <c r="AG78" i="80" a="1"/>
  <c r="AG78" i="80" s="1"/>
  <c r="AG133" i="80" s="1" a="1"/>
  <c r="AG133" i="80" s="1"/>
  <c r="Z80" i="80" a="1"/>
  <c r="Z80" i="80" s="1"/>
  <c r="Z135" i="80" s="1" a="1"/>
  <c r="Z135" i="80" s="1"/>
  <c r="Z82" i="80" a="1"/>
  <c r="Z82" i="80" s="1"/>
  <c r="Z137" i="80" s="1" a="1"/>
  <c r="Z137" i="80" s="1"/>
  <c r="X84" i="80" a="1"/>
  <c r="X84" i="80" s="1"/>
  <c r="X139" i="80" s="1" a="1"/>
  <c r="X139" i="80" s="1"/>
  <c r="Y85" i="80" a="1"/>
  <c r="Y85" i="80" s="1"/>
  <c r="Y140" i="80" s="1" a="1"/>
  <c r="Y140" i="80" s="1"/>
  <c r="AG85" i="80" a="1"/>
  <c r="AG85" i="80" s="1"/>
  <c r="AG140" i="80" s="1" a="1"/>
  <c r="AG140" i="80" s="1"/>
  <c r="AG87" i="80" a="1"/>
  <c r="AG87" i="80" s="1"/>
  <c r="AG142" i="80" s="1" a="1"/>
  <c r="AG142" i="80" s="1"/>
  <c r="P181" i="80"/>
  <c r="AG76" i="80" a="1"/>
  <c r="AG76" i="80" s="1"/>
  <c r="AG131" i="80" s="1" a="1"/>
  <c r="AG131" i="80" s="1"/>
  <c r="Z78" i="80" a="1"/>
  <c r="Z78" i="80" s="1"/>
  <c r="Z133" i="80" s="1" a="1"/>
  <c r="Z133" i="80" s="1"/>
  <c r="AD79" i="80" a="1"/>
  <c r="AD79" i="80" s="1"/>
  <c r="AD134" i="80" s="1" a="1"/>
  <c r="AD134" i="80" s="1"/>
  <c r="AD81" i="80" a="1"/>
  <c r="AD81" i="80" s="1"/>
  <c r="AD136" i="80" s="1" a="1"/>
  <c r="AD136" i="80" s="1"/>
  <c r="AE83" i="80" a="1"/>
  <c r="AE83" i="80" s="1"/>
  <c r="AE138" i="80" s="1" a="1"/>
  <c r="AE138" i="80" s="1"/>
  <c r="AF84" i="80" a="1"/>
  <c r="AF84" i="80" s="1"/>
  <c r="AF139" i="80" s="1" a="1"/>
  <c r="AF139" i="80" s="1"/>
  <c r="L86" i="80" a="1"/>
  <c r="L86" i="80" s="1"/>
  <c r="L133" i="80" s="1" a="1"/>
  <c r="L133" i="80" s="1"/>
  <c r="Y87" i="80" a="1"/>
  <c r="Y87" i="80" s="1"/>
  <c r="Y142" i="80" s="1" a="1"/>
  <c r="Y142" i="80" s="1"/>
  <c r="L25" i="79"/>
  <c r="X33" i="80" a="1"/>
  <c r="X33" i="80" s="1"/>
  <c r="Y33" i="80" s="1" a="1"/>
  <c r="Y33" i="80" s="1"/>
  <c r="AD33" i="80" s="1" a="1"/>
  <c r="AD33" i="80" s="1"/>
  <c r="AB81" i="80" s="1" a="1"/>
  <c r="AB81" i="80" s="1"/>
  <c r="AB136" i="80" s="1" a="1"/>
  <c r="AB136" i="80" s="1"/>
  <c r="Z76" i="80" a="1"/>
  <c r="Z76" i="80" s="1"/>
  <c r="Z131" i="80" s="1" a="1"/>
  <c r="Z131" i="80" s="1"/>
  <c r="AD77" i="80" a="1"/>
  <c r="AD77" i="80" s="1"/>
  <c r="AD132" i="80" s="1" a="1"/>
  <c r="AD132" i="80" s="1"/>
  <c r="AE81" i="80" a="1"/>
  <c r="AE81" i="80" s="1"/>
  <c r="AE136" i="80" s="1" a="1"/>
  <c r="AE136" i="80" s="1"/>
  <c r="X83" i="80" a="1"/>
  <c r="X83" i="80" s="1"/>
  <c r="X138" i="80" s="1" a="1"/>
  <c r="X138" i="80" s="1"/>
  <c r="Y84" i="80" a="1"/>
  <c r="Y84" i="80" s="1"/>
  <c r="Y139" i="80" s="1" a="1"/>
  <c r="Y139" i="80" s="1"/>
  <c r="Z85" i="80" a="1"/>
  <c r="Z85" i="80" s="1"/>
  <c r="Z140" i="80" s="1" a="1"/>
  <c r="Z140" i="80" s="1"/>
  <c r="J369" i="78"/>
  <c r="M25" i="79"/>
  <c r="X30" i="80" a="1"/>
  <c r="X30" i="80" s="1"/>
  <c r="Y30" i="80" s="1" a="1"/>
  <c r="Y30" i="80" s="1"/>
  <c r="AD30" i="80" s="1" a="1"/>
  <c r="AD30" i="80" s="1"/>
  <c r="AB78" i="80" s="1" a="1"/>
  <c r="AB78" i="80" s="1"/>
  <c r="AB133" i="80" s="1" a="1"/>
  <c r="AB133" i="80" s="1"/>
  <c r="AE79" i="80" a="1"/>
  <c r="AE79" i="80" s="1"/>
  <c r="AE134" i="80" s="1" a="1"/>
  <c r="AE134" i="80" s="1"/>
  <c r="X81" i="80" a="1"/>
  <c r="X81" i="80" s="1"/>
  <c r="X136" i="80" s="1" a="1"/>
  <c r="X136" i="80" s="1"/>
  <c r="AF83" i="80" a="1"/>
  <c r="AF83" i="80" s="1"/>
  <c r="AF138" i="80" s="1" a="1"/>
  <c r="AF138" i="80" s="1"/>
  <c r="AG84" i="80" a="1"/>
  <c r="AG84" i="80" s="1"/>
  <c r="AG139" i="80" s="1" a="1"/>
  <c r="AG139" i="80" s="1"/>
  <c r="K85" i="80" a="1"/>
  <c r="K85" i="80" s="1"/>
  <c r="K132" i="80" s="1" a="1"/>
  <c r="K132" i="80" s="1"/>
  <c r="E86" i="80" a="1"/>
  <c r="E86" i="80" s="1"/>
  <c r="E133" i="80" s="1" a="1"/>
  <c r="E133" i="80" s="1"/>
  <c r="N86" i="80" a="1"/>
  <c r="N86" i="80" s="1"/>
  <c r="N133" i="80" s="1" a="1"/>
  <c r="N133" i="80" s="1"/>
  <c r="Z87" i="80" a="1"/>
  <c r="Z87" i="80" s="1"/>
  <c r="Z142" i="80" s="1" a="1"/>
  <c r="Z142" i="80" s="1"/>
  <c r="N25" i="79"/>
  <c r="X39" i="80" a="1"/>
  <c r="X39" i="80" s="1"/>
  <c r="Y39" i="80" s="1" a="1"/>
  <c r="Y39" i="80" s="1"/>
  <c r="AC39" i="80" s="1" a="1"/>
  <c r="AC39" i="80" s="1"/>
  <c r="AA87" i="80" s="1" a="1"/>
  <c r="AA87" i="80" s="1"/>
  <c r="AA142" i="80" s="1" a="1"/>
  <c r="AA142" i="80" s="1"/>
  <c r="AE77" i="80" a="1"/>
  <c r="AE77" i="80" s="1"/>
  <c r="AE132" i="80" s="1" a="1"/>
  <c r="AE132" i="80" s="1"/>
  <c r="X79" i="80" a="1"/>
  <c r="X79" i="80" s="1"/>
  <c r="X134" i="80" s="1" a="1"/>
  <c r="X134" i="80" s="1"/>
  <c r="AF79" i="80" a="1"/>
  <c r="AF79" i="80" s="1"/>
  <c r="AF134" i="80" s="1" a="1"/>
  <c r="AF134" i="80" s="1"/>
  <c r="AF81" i="80" a="1"/>
  <c r="AF81" i="80" s="1"/>
  <c r="AF136" i="80" s="1" a="1"/>
  <c r="AF136" i="80" s="1"/>
  <c r="Y83" i="80" a="1"/>
  <c r="Y83" i="80" s="1"/>
  <c r="Y138" i="80" s="1" a="1"/>
  <c r="Y138" i="80" s="1"/>
  <c r="Z84" i="80" a="1"/>
  <c r="Z84" i="80" s="1"/>
  <c r="Z139" i="80" s="1" a="1"/>
  <c r="Z139" i="80" s="1"/>
  <c r="X196" i="80"/>
  <c r="X184" i="80"/>
  <c r="AI194" i="80"/>
  <c r="AI192" i="80"/>
  <c r="P183" i="80"/>
  <c r="AI190" i="80"/>
  <c r="AI188" i="80"/>
  <c r="AI196" i="80"/>
  <c r="AI186" i="80"/>
  <c r="AI184" i="80"/>
  <c r="AI183" i="80"/>
  <c r="AI182" i="80"/>
  <c r="P180" i="80"/>
  <c r="AI177" i="80"/>
  <c r="AI198" i="80"/>
  <c r="AI200" i="80"/>
  <c r="AI193" i="80"/>
  <c r="AI191" i="80"/>
  <c r="AI180" i="80"/>
  <c r="AI195" i="80"/>
  <c r="AI189" i="80"/>
  <c r="AI187" i="80"/>
  <c r="P178" i="80"/>
  <c r="AI185" i="80"/>
  <c r="AI181" i="80"/>
  <c r="AI199" i="80"/>
  <c r="P184" i="80"/>
  <c r="P182" i="80"/>
  <c r="X38" i="80" a="1"/>
  <c r="X38" i="80" s="1"/>
  <c r="Y38" i="80" s="1" a="1"/>
  <c r="Y38" i="80" s="1"/>
  <c r="AE38" i="80" s="1" a="1"/>
  <c r="AE38" i="80" s="1"/>
  <c r="AC86" i="80" s="1" a="1"/>
  <c r="AC86" i="80" s="1"/>
  <c r="AC141" i="80" s="1" a="1"/>
  <c r="AC141" i="80" s="1"/>
  <c r="AD86" i="80" a="1"/>
  <c r="AD86" i="80" s="1"/>
  <c r="AD141" i="80" s="1" a="1"/>
  <c r="AD141" i="80" s="1"/>
  <c r="X77" i="80" a="1"/>
  <c r="X77" i="80" s="1"/>
  <c r="X132" i="80" s="1" a="1"/>
  <c r="X132" i="80" s="1"/>
  <c r="Y79" i="80" a="1"/>
  <c r="Y79" i="80" s="1"/>
  <c r="Y134" i="80" s="1" a="1"/>
  <c r="Y134" i="80" s="1"/>
  <c r="Y81" i="80" a="1"/>
  <c r="Y81" i="80" s="1"/>
  <c r="Y136" i="80" s="1" a="1"/>
  <c r="Y136" i="80" s="1"/>
  <c r="AG83" i="80" a="1"/>
  <c r="AG83" i="80" s="1"/>
  <c r="AG138" i="80" s="1" a="1"/>
  <c r="AG138" i="80" s="1"/>
  <c r="K84" i="80" a="1"/>
  <c r="K84" i="80" s="1"/>
  <c r="K131" i="80" s="1" a="1"/>
  <c r="K131" i="80" s="1"/>
  <c r="L85" i="80" a="1"/>
  <c r="L85" i="80" s="1"/>
  <c r="L132" i="80" s="1" a="1"/>
  <c r="L132" i="80" s="1"/>
  <c r="G86" i="80" a="1"/>
  <c r="G86" i="80" s="1"/>
  <c r="G133" i="80" s="1" a="1"/>
  <c r="G133" i="80" s="1"/>
  <c r="X179" i="80"/>
  <c r="AF77" i="80" a="1"/>
  <c r="AF77" i="80" s="1"/>
  <c r="AF132" i="80" s="1" a="1"/>
  <c r="AF132" i="80" s="1"/>
  <c r="AG79" i="80" a="1"/>
  <c r="AG79" i="80" s="1"/>
  <c r="AG134" i="80" s="1" a="1"/>
  <c r="AG134" i="80" s="1"/>
  <c r="AG81" i="80" a="1"/>
  <c r="AG81" i="80" s="1"/>
  <c r="AG136" i="80" s="1" a="1"/>
  <c r="AG136" i="80" s="1"/>
  <c r="Z83" i="80" a="1"/>
  <c r="Z83" i="80" s="1"/>
  <c r="Z138" i="80" s="1" a="1"/>
  <c r="Z138" i="80" s="1"/>
  <c r="X186" i="80"/>
  <c r="X198" i="80"/>
  <c r="X193" i="80"/>
  <c r="X181" i="80"/>
  <c r="X219" i="80"/>
  <c r="AI272" i="80"/>
  <c r="AI258" i="80"/>
  <c r="AI261" i="80"/>
  <c r="P236" i="80"/>
  <c r="AI264" i="80"/>
  <c r="AI267" i="80"/>
  <c r="AI253" i="80"/>
  <c r="P242" i="80"/>
  <c r="AI270" i="80"/>
  <c r="AI256" i="80"/>
  <c r="AI273" i="80"/>
  <c r="AI259" i="80"/>
  <c r="AI263" i="80"/>
  <c r="P238" i="80"/>
  <c r="AI265" i="80"/>
  <c r="P239" i="80"/>
  <c r="AI251" i="80"/>
  <c r="P235" i="80"/>
  <c r="AI266" i="80"/>
  <c r="AI252" i="80"/>
  <c r="AI274" i="80"/>
  <c r="AI268" i="80"/>
  <c r="AI260" i="80"/>
  <c r="AI254" i="80"/>
  <c r="AI262" i="80"/>
  <c r="P237" i="80"/>
  <c r="F244" i="80"/>
  <c r="X194" i="80"/>
  <c r="P240" i="80"/>
  <c r="AI271" i="80"/>
  <c r="X268" i="80"/>
  <c r="X256" i="80"/>
  <c r="X254" i="80"/>
  <c r="X266" i="80"/>
  <c r="AI255" i="80"/>
  <c r="X262" i="80"/>
  <c r="E219" i="80"/>
  <c r="X263" i="80"/>
  <c r="M30" i="79"/>
  <c r="N30" i="79"/>
  <c r="J31" i="79"/>
  <c r="K31" i="79"/>
  <c r="L31" i="79"/>
  <c r="E26" i="79"/>
  <c r="M31" i="79"/>
  <c r="N23" i="79"/>
  <c r="G26" i="79"/>
  <c r="E30" i="79"/>
  <c r="N31" i="79"/>
  <c r="N364" i="78"/>
  <c r="I26" i="79"/>
  <c r="G30" i="79"/>
  <c r="J26" i="79"/>
  <c r="H30" i="79"/>
  <c r="M32" i="79"/>
  <c r="J366" i="78"/>
  <c r="F25" i="79"/>
  <c r="K26" i="79"/>
  <c r="I30" i="79"/>
  <c r="N32" i="79"/>
  <c r="L26" i="79"/>
  <c r="J30" i="79"/>
  <c r="M26" i="79"/>
  <c r="K30" i="79"/>
  <c r="N123" i="79"/>
  <c r="O123" i="79" s="1"/>
  <c r="N124" i="79"/>
  <c r="O124" i="79"/>
  <c r="N122" i="79"/>
  <c r="O122" i="79" s="1"/>
  <c r="E28" i="79"/>
  <c r="H29" i="79"/>
  <c r="L121" i="79"/>
  <c r="E24" i="79"/>
  <c r="F29" i="79"/>
  <c r="F33" i="79"/>
  <c r="F28" i="79"/>
  <c r="I29" i="79"/>
  <c r="G33" i="79"/>
  <c r="E29" i="79"/>
  <c r="G29" i="79"/>
  <c r="E33" i="79"/>
  <c r="E23" i="79"/>
  <c r="G24" i="79"/>
  <c r="H24" i="79"/>
  <c r="F24" i="79"/>
  <c r="H23" i="79"/>
  <c r="K24" i="79"/>
  <c r="F27" i="79"/>
  <c r="I28" i="79"/>
  <c r="L29" i="79"/>
  <c r="G32" i="79"/>
  <c r="J33" i="79"/>
  <c r="F23" i="79"/>
  <c r="I24" i="79"/>
  <c r="G23" i="79"/>
  <c r="J24" i="79"/>
  <c r="I33" i="79"/>
  <c r="I23" i="79"/>
  <c r="L24" i="79"/>
  <c r="G27" i="79"/>
  <c r="J28" i="79"/>
  <c r="M29" i="79"/>
  <c r="E31" i="79"/>
  <c r="H32" i="79"/>
  <c r="K33" i="79"/>
  <c r="E32" i="79"/>
  <c r="H33" i="79"/>
  <c r="J23" i="79"/>
  <c r="M24" i="79"/>
  <c r="H27" i="79"/>
  <c r="K28" i="79"/>
  <c r="N29" i="79"/>
  <c r="F31" i="79"/>
  <c r="I32" i="79"/>
  <c r="L33" i="79"/>
  <c r="G28" i="79"/>
  <c r="J29" i="79"/>
  <c r="K23" i="79"/>
  <c r="F26" i="79"/>
  <c r="I27" i="79"/>
  <c r="L28" i="79"/>
  <c r="G31" i="79"/>
  <c r="J32" i="79"/>
  <c r="M33" i="79"/>
  <c r="L23" i="79"/>
  <c r="J27" i="79"/>
  <c r="M28" i="79"/>
  <c r="H31" i="79"/>
  <c r="K32" i="79"/>
  <c r="E27" i="79"/>
  <c r="H28" i="79"/>
  <c r="F32" i="79"/>
  <c r="AF85" i="77"/>
  <c r="AF86" i="77"/>
  <c r="AF78" i="77"/>
  <c r="AF76" i="77"/>
  <c r="AF87" i="77"/>
  <c r="O67" i="77"/>
  <c r="O65" i="77"/>
  <c r="AF80" i="77"/>
  <c r="J362" i="78"/>
  <c r="L363" i="78"/>
  <c r="N363" i="78"/>
  <c r="L29" i="76"/>
  <c r="J364" i="78"/>
  <c r="H25" i="76"/>
  <c r="K33" i="76"/>
  <c r="J29" i="76"/>
  <c r="N29" i="76"/>
  <c r="V31" i="77" a="1"/>
  <c r="V31" i="77" s="1"/>
  <c r="W31" i="77" s="1" a="1"/>
  <c r="W31" i="77" s="1"/>
  <c r="AC31" i="77" s="1" a="1"/>
  <c r="AC31" i="77" s="1"/>
  <c r="AA79" i="77" s="1" a="1"/>
  <c r="AA79" i="77" s="1"/>
  <c r="AA100" i="77" s="1" a="1"/>
  <c r="AA100" i="77" s="1"/>
  <c r="AA152" i="77" s="1" a="1"/>
  <c r="AA152" i="77" s="1"/>
  <c r="G100" i="77"/>
  <c r="O115" i="77" s="1"/>
  <c r="E25" i="76"/>
  <c r="I25" i="76"/>
  <c r="I33" i="76"/>
  <c r="AF117" i="77"/>
  <c r="L33" i="76"/>
  <c r="J365" i="78"/>
  <c r="K29" i="76"/>
  <c r="N65" i="77" a="1"/>
  <c r="N65" i="77" s="1"/>
  <c r="N86" i="77" s="1" a="1"/>
  <c r="N86" i="77" s="1"/>
  <c r="N124" i="77" s="1" a="1"/>
  <c r="N124" i="77" s="1"/>
  <c r="M29" i="76"/>
  <c r="I93" i="78"/>
  <c r="I89" i="78"/>
  <c r="P99" i="78"/>
  <c r="O99" i="78"/>
  <c r="N99" i="78"/>
  <c r="I90" i="78"/>
  <c r="I86" i="78"/>
  <c r="K103" i="78"/>
  <c r="L103" i="78"/>
  <c r="L91" i="78"/>
  <c r="K91" i="78"/>
  <c r="L87" i="78"/>
  <c r="K87" i="78"/>
  <c r="M91" i="78"/>
  <c r="M87" i="78"/>
  <c r="P115" i="78"/>
  <c r="O115" i="78"/>
  <c r="N115" i="78"/>
  <c r="L112" i="78"/>
  <c r="K112" i="78"/>
  <c r="P101" i="78"/>
  <c r="O101" i="78"/>
  <c r="N101" i="78"/>
  <c r="H90" i="78"/>
  <c r="H86" i="78"/>
  <c r="P98" i="78"/>
  <c r="O98" i="78"/>
  <c r="N98" i="78"/>
  <c r="P105" i="78"/>
  <c r="O105" i="78"/>
  <c r="N105" i="78"/>
  <c r="J91" i="78"/>
  <c r="J87" i="78"/>
  <c r="O96" i="78"/>
  <c r="P96" i="78"/>
  <c r="N96" i="78"/>
  <c r="K95" i="78"/>
  <c r="L95" i="78"/>
  <c r="M90" i="78"/>
  <c r="M86" i="78"/>
  <c r="N107" i="78"/>
  <c r="P107" i="78"/>
  <c r="O107" i="78"/>
  <c r="G92" i="78"/>
  <c r="G88" i="78"/>
  <c r="P97" i="78"/>
  <c r="O97" i="78"/>
  <c r="N97" i="78"/>
  <c r="P93" i="78"/>
  <c r="O89" i="78"/>
  <c r="O93" i="78"/>
  <c r="N89" i="78"/>
  <c r="N93" i="78"/>
  <c r="P89" i="78"/>
  <c r="P102" i="78"/>
  <c r="O102" i="78"/>
  <c r="N102" i="78"/>
  <c r="H92" i="78"/>
  <c r="H88" i="78"/>
  <c r="L99" i="78"/>
  <c r="K99" i="78"/>
  <c r="G90" i="78"/>
  <c r="G86" i="78"/>
  <c r="I88" i="78"/>
  <c r="I92" i="78"/>
  <c r="L97" i="78"/>
  <c r="K97" i="78"/>
  <c r="M88" i="78"/>
  <c r="M92" i="78"/>
  <c r="P91" i="78"/>
  <c r="O91" i="78"/>
  <c r="P87" i="78"/>
  <c r="N91" i="78"/>
  <c r="O87" i="78"/>
  <c r="N87" i="78"/>
  <c r="M89" i="78"/>
  <c r="M93" i="78"/>
  <c r="P94" i="78"/>
  <c r="O94" i="78"/>
  <c r="N94" i="78"/>
  <c r="P95" i="78"/>
  <c r="O95" i="78"/>
  <c r="N95" i="78"/>
  <c r="L113" i="78"/>
  <c r="K113" i="78"/>
  <c r="L93" i="78"/>
  <c r="K93" i="78"/>
  <c r="L89" i="78"/>
  <c r="K89" i="78"/>
  <c r="K108" i="78"/>
  <c r="L108" i="78"/>
  <c r="L110" i="78"/>
  <c r="K110" i="78"/>
  <c r="L111" i="78"/>
  <c r="K111" i="78"/>
  <c r="L115" i="78"/>
  <c r="K115" i="78"/>
  <c r="L116" i="78"/>
  <c r="K116" i="78"/>
  <c r="L117" i="78"/>
  <c r="K117" i="78"/>
  <c r="L96" i="78"/>
  <c r="K96" i="78"/>
  <c r="P106" i="78"/>
  <c r="O106" i="78"/>
  <c r="N106" i="78"/>
  <c r="L109" i="78"/>
  <c r="K109" i="78"/>
  <c r="K230" i="78"/>
  <c r="K226" i="78"/>
  <c r="L230" i="78"/>
  <c r="L226" i="78"/>
  <c r="P111" i="78"/>
  <c r="O111" i="78"/>
  <c r="N111" i="78"/>
  <c r="I87" i="78"/>
  <c r="I91" i="78"/>
  <c r="P108" i="78"/>
  <c r="O108" i="78"/>
  <c r="N108" i="78"/>
  <c r="O109" i="78"/>
  <c r="P109" i="78"/>
  <c r="N109" i="78"/>
  <c r="O110" i="78"/>
  <c r="N110" i="78"/>
  <c r="P110" i="78"/>
  <c r="P112" i="78"/>
  <c r="O112" i="78"/>
  <c r="N112" i="78"/>
  <c r="P113" i="78"/>
  <c r="O113" i="78"/>
  <c r="N113" i="78"/>
  <c r="N114" i="78"/>
  <c r="P114" i="78"/>
  <c r="O114" i="78"/>
  <c r="P116" i="78"/>
  <c r="O116" i="78"/>
  <c r="N116" i="78"/>
  <c r="O117" i="78"/>
  <c r="P117" i="78"/>
  <c r="N117" i="78"/>
  <c r="P103" i="78"/>
  <c r="O103" i="78"/>
  <c r="N103" i="78"/>
  <c r="L94" i="78"/>
  <c r="K94" i="78"/>
  <c r="F106" i="78"/>
  <c r="F102" i="78"/>
  <c r="L100" i="78"/>
  <c r="K100" i="78"/>
  <c r="L101" i="78"/>
  <c r="K101" i="78"/>
  <c r="F230" i="78"/>
  <c r="F226" i="78"/>
  <c r="H91" i="78"/>
  <c r="H87" i="78"/>
  <c r="F229" i="78"/>
  <c r="F225" i="78"/>
  <c r="L90" i="78"/>
  <c r="K90" i="78"/>
  <c r="L86" i="78"/>
  <c r="K86" i="78"/>
  <c r="J93" i="78"/>
  <c r="J89" i="78"/>
  <c r="L92" i="78"/>
  <c r="K88" i="78"/>
  <c r="K92" i="78"/>
  <c r="L88" i="78"/>
  <c r="L102" i="78"/>
  <c r="K102" i="78"/>
  <c r="H93" i="78"/>
  <c r="H89" i="78"/>
  <c r="P100" i="78"/>
  <c r="N100" i="78"/>
  <c r="O100" i="78"/>
  <c r="K98" i="78"/>
  <c r="L98" i="78"/>
  <c r="J88" i="78"/>
  <c r="J92" i="78"/>
  <c r="G93" i="78"/>
  <c r="G89" i="78"/>
  <c r="P86" i="78"/>
  <c r="P90" i="78"/>
  <c r="O86" i="78"/>
  <c r="N86" i="78"/>
  <c r="O90" i="78"/>
  <c r="N90" i="78"/>
  <c r="J90" i="78"/>
  <c r="J86" i="78"/>
  <c r="G87" i="78"/>
  <c r="G91" i="78"/>
  <c r="N92" i="78"/>
  <c r="O92" i="78"/>
  <c r="P88" i="78"/>
  <c r="O88" i="78"/>
  <c r="N88" i="78"/>
  <c r="P92" i="78"/>
  <c r="L104" i="78"/>
  <c r="K104" i="78"/>
  <c r="L105" i="78"/>
  <c r="K105" i="78"/>
  <c r="L106" i="78"/>
  <c r="K106" i="78"/>
  <c r="K107" i="78"/>
  <c r="L107" i="78"/>
  <c r="K234" i="78"/>
  <c r="L234" i="78"/>
  <c r="K223" i="78"/>
  <c r="L227" i="78"/>
  <c r="L223" i="78"/>
  <c r="K227" i="78"/>
  <c r="L231" i="78"/>
  <c r="K231" i="78"/>
  <c r="L114" i="78"/>
  <c r="M223" i="78"/>
  <c r="M227" i="78"/>
  <c r="J225" i="78"/>
  <c r="J229" i="78"/>
  <c r="P236" i="78"/>
  <c r="O236" i="78"/>
  <c r="N236" i="78"/>
  <c r="O240" i="78"/>
  <c r="P240" i="78"/>
  <c r="N240" i="78"/>
  <c r="J228" i="78"/>
  <c r="J224" i="78"/>
  <c r="L229" i="78"/>
  <c r="K225" i="78"/>
  <c r="L225" i="78"/>
  <c r="K229" i="78"/>
  <c r="I226" i="78"/>
  <c r="I230" i="78"/>
  <c r="O238" i="78"/>
  <c r="P238" i="78"/>
  <c r="N238" i="78"/>
  <c r="P223" i="78"/>
  <c r="O223" i="78"/>
  <c r="N227" i="78"/>
  <c r="P227" i="78"/>
  <c r="O227" i="78"/>
  <c r="N223" i="78"/>
  <c r="L228" i="78"/>
  <c r="K228" i="78"/>
  <c r="L224" i="78"/>
  <c r="K224" i="78"/>
  <c r="M225" i="78"/>
  <c r="M229" i="78"/>
  <c r="M228" i="78"/>
  <c r="M224" i="78"/>
  <c r="J226" i="78"/>
  <c r="J230" i="78"/>
  <c r="F227" i="78"/>
  <c r="F223" i="78"/>
  <c r="O224" i="78"/>
  <c r="P228" i="78"/>
  <c r="O228" i="78"/>
  <c r="N228" i="78"/>
  <c r="P224" i="78"/>
  <c r="N224" i="78"/>
  <c r="P229" i="78"/>
  <c r="O229" i="78"/>
  <c r="N229" i="78"/>
  <c r="P225" i="78"/>
  <c r="O225" i="78"/>
  <c r="N225" i="78"/>
  <c r="M226" i="78"/>
  <c r="M230" i="78"/>
  <c r="H223" i="78"/>
  <c r="H227" i="78"/>
  <c r="F224" i="78"/>
  <c r="F228" i="78"/>
  <c r="L233" i="78"/>
  <c r="K233" i="78"/>
  <c r="O104" i="78"/>
  <c r="N104" i="78"/>
  <c r="P230" i="78"/>
  <c r="O226" i="78"/>
  <c r="P226" i="78"/>
  <c r="N226" i="78"/>
  <c r="O230" i="78"/>
  <c r="N230" i="78"/>
  <c r="P231" i="78"/>
  <c r="O231" i="78"/>
  <c r="N231" i="78"/>
  <c r="L241" i="78"/>
  <c r="K241" i="78"/>
  <c r="L251" i="78"/>
  <c r="K251" i="78"/>
  <c r="I223" i="78"/>
  <c r="I227" i="78"/>
  <c r="G224" i="78"/>
  <c r="G228" i="78"/>
  <c r="K244" i="78"/>
  <c r="L244" i="78"/>
  <c r="G229" i="78"/>
  <c r="G225" i="78"/>
  <c r="L235" i="78"/>
  <c r="K235" i="78"/>
  <c r="L237" i="78"/>
  <c r="K237" i="78"/>
  <c r="P241" i="78"/>
  <c r="O241" i="78"/>
  <c r="N241" i="78"/>
  <c r="L245" i="78"/>
  <c r="K245" i="78"/>
  <c r="L246" i="78"/>
  <c r="K246" i="78"/>
  <c r="K248" i="78"/>
  <c r="L248" i="78"/>
  <c r="L250" i="78"/>
  <c r="K250" i="78"/>
  <c r="L253" i="78"/>
  <c r="K253" i="78"/>
  <c r="J227" i="78"/>
  <c r="J223" i="78"/>
  <c r="H228" i="78"/>
  <c r="H224" i="78"/>
  <c r="H225" i="78"/>
  <c r="H229" i="78"/>
  <c r="G226" i="78"/>
  <c r="G230" i="78"/>
  <c r="N233" i="78"/>
  <c r="P233" i="78"/>
  <c r="O233" i="78"/>
  <c r="O234" i="78"/>
  <c r="P234" i="78"/>
  <c r="N234" i="78"/>
  <c r="P235" i="78"/>
  <c r="O235" i="78"/>
  <c r="N235" i="78"/>
  <c r="L238" i="78"/>
  <c r="K238" i="78"/>
  <c r="P247" i="78"/>
  <c r="N247" i="78"/>
  <c r="O247" i="78"/>
  <c r="O250" i="78"/>
  <c r="N250" i="78"/>
  <c r="P250" i="78"/>
  <c r="N252" i="78"/>
  <c r="P252" i="78"/>
  <c r="O252" i="78"/>
  <c r="I224" i="78"/>
  <c r="I228" i="78"/>
  <c r="I225" i="78"/>
  <c r="I229" i="78"/>
  <c r="O237" i="78"/>
  <c r="P237" i="78"/>
  <c r="N237" i="78"/>
  <c r="P249" i="78"/>
  <c r="O249" i="78"/>
  <c r="N249" i="78"/>
  <c r="K242" i="78"/>
  <c r="L242" i="78"/>
  <c r="L247" i="78"/>
  <c r="K247" i="78"/>
  <c r="P242" i="78"/>
  <c r="O242" i="78"/>
  <c r="N242" i="78"/>
  <c r="P246" i="78"/>
  <c r="O246" i="78"/>
  <c r="N246" i="78"/>
  <c r="L239" i="78"/>
  <c r="K239" i="78"/>
  <c r="L243" i="78"/>
  <c r="K243" i="78"/>
  <c r="L252" i="78"/>
  <c r="K252" i="78"/>
  <c r="L240" i="78"/>
  <c r="K240" i="78"/>
  <c r="K236" i="78"/>
  <c r="L236" i="78"/>
  <c r="O243" i="78"/>
  <c r="P243" i="78"/>
  <c r="N243" i="78"/>
  <c r="N248" i="78"/>
  <c r="P248" i="78"/>
  <c r="O248" i="78"/>
  <c r="G227" i="78"/>
  <c r="G223" i="78"/>
  <c r="H226" i="78"/>
  <c r="H230" i="78"/>
  <c r="K232" i="78"/>
  <c r="L232" i="78"/>
  <c r="P244" i="78"/>
  <c r="O244" i="78"/>
  <c r="N244" i="78"/>
  <c r="AC86" i="77" a="1"/>
  <c r="AC86" i="77" s="1"/>
  <c r="AC107" i="77" s="1" a="1"/>
  <c r="AC107" i="77" s="1"/>
  <c r="AC159" i="77" s="1" a="1"/>
  <c r="AC159" i="77" s="1"/>
  <c r="L254" i="78"/>
  <c r="K254" i="78"/>
  <c r="P232" i="78"/>
  <c r="O232" i="78"/>
  <c r="N232" i="78"/>
  <c r="N245" i="78"/>
  <c r="P245" i="78"/>
  <c r="O245" i="78"/>
  <c r="P253" i="78"/>
  <c r="O253" i="78"/>
  <c r="N253" i="78"/>
  <c r="M362" i="78"/>
  <c r="N362" i="78"/>
  <c r="L362" i="78"/>
  <c r="P251" i="78"/>
  <c r="N251" i="78"/>
  <c r="P239" i="78"/>
  <c r="O239" i="78"/>
  <c r="K249" i="78"/>
  <c r="L249" i="78"/>
  <c r="O254" i="78"/>
  <c r="O251" i="78"/>
  <c r="P254" i="78"/>
  <c r="M368" i="78"/>
  <c r="L368" i="78"/>
  <c r="M365" i="78"/>
  <c r="L365" i="78"/>
  <c r="J367" i="78"/>
  <c r="M367" i="78"/>
  <c r="N367" i="78"/>
  <c r="I363" i="78"/>
  <c r="J363" i="78"/>
  <c r="M369" i="78"/>
  <c r="L369" i="78"/>
  <c r="J368" i="78"/>
  <c r="M366" i="78"/>
  <c r="L366" i="78"/>
  <c r="N368" i="78"/>
  <c r="N365" i="78"/>
  <c r="L364" i="78"/>
  <c r="E48" i="77"/>
  <c r="E64" i="77" s="1" a="1"/>
  <c r="E64" i="77" s="1"/>
  <c r="E85" i="77" s="1" a="1"/>
  <c r="E85" i="77" s="1"/>
  <c r="M64" i="77" a="1"/>
  <c r="M64" i="77" s="1"/>
  <c r="M85" i="77" s="1" a="1"/>
  <c r="M85" i="77" s="1"/>
  <c r="M123" i="77" s="1" a="1"/>
  <c r="M123" i="77" s="1"/>
  <c r="K67" i="77" a="1"/>
  <c r="K67" i="77" s="1"/>
  <c r="K88" i="77" s="1" a="1"/>
  <c r="K88" i="77" s="1"/>
  <c r="K126" i="77" s="1" a="1"/>
  <c r="K126" i="77" s="1"/>
  <c r="N64" i="77" a="1"/>
  <c r="N64" i="77" s="1"/>
  <c r="N85" i="77" s="1" a="1"/>
  <c r="N85" i="77" s="1"/>
  <c r="N123" i="77" s="1" a="1"/>
  <c r="N123" i="77" s="1"/>
  <c r="E66" i="77" a="1"/>
  <c r="E66" i="77" s="1"/>
  <c r="E87" i="77" s="1" a="1"/>
  <c r="E87" i="77" s="1"/>
  <c r="E125" i="77" s="1" a="1"/>
  <c r="E125" i="77" s="1"/>
  <c r="F65" i="77" a="1"/>
  <c r="F65" i="77" s="1"/>
  <c r="F86" i="77" s="1" a="1"/>
  <c r="F86" i="77" s="1"/>
  <c r="F124" i="77" s="1" a="1"/>
  <c r="F124" i="77" s="1"/>
  <c r="L66" i="77" a="1"/>
  <c r="L66" i="77" s="1"/>
  <c r="L87" i="77" s="1" a="1"/>
  <c r="L87" i="77" s="1"/>
  <c r="L125" i="77" s="1" a="1"/>
  <c r="L125" i="77" s="1"/>
  <c r="N67" i="77" a="1"/>
  <c r="N67" i="77" s="1"/>
  <c r="N88" i="77" s="1" a="1"/>
  <c r="N88" i="77" s="1"/>
  <c r="N126" i="77" s="1" a="1"/>
  <c r="N126" i="77" s="1"/>
  <c r="L64" i="77" a="1"/>
  <c r="L64" i="77" s="1"/>
  <c r="L85" i="77" s="1" a="1"/>
  <c r="L85" i="77" s="1"/>
  <c r="L123" i="77" s="1" a="1"/>
  <c r="L123" i="77" s="1"/>
  <c r="H64" i="77" a="1"/>
  <c r="H64" i="77" s="1"/>
  <c r="H85" i="77" s="1" a="1"/>
  <c r="H85" i="77" s="1"/>
  <c r="H123" i="77" s="1" a="1"/>
  <c r="H123" i="77" s="1"/>
  <c r="J67" i="77" a="1"/>
  <c r="J67" i="77" s="1"/>
  <c r="J88" i="77" s="1" a="1"/>
  <c r="J88" i="77" s="1"/>
  <c r="J126" i="77" s="1" a="1"/>
  <c r="J126" i="77" s="1"/>
  <c r="G65" i="77" a="1"/>
  <c r="G65" i="77" s="1"/>
  <c r="G86" i="77" s="1" a="1"/>
  <c r="G86" i="77" s="1"/>
  <c r="G124" i="77" s="1" a="1"/>
  <c r="G124" i="77" s="1"/>
  <c r="M66" i="77" a="1"/>
  <c r="M66" i="77" s="1"/>
  <c r="M87" i="77" s="1" a="1"/>
  <c r="M87" i="77" s="1"/>
  <c r="M125" i="77" s="1" a="1"/>
  <c r="M125" i="77" s="1"/>
  <c r="AB85" i="77" a="1"/>
  <c r="AB85" i="77" s="1"/>
  <c r="AB106" i="77" s="1" a="1"/>
  <c r="AB106" i="77" s="1"/>
  <c r="AB158" i="77" s="1" a="1"/>
  <c r="AB158" i="77" s="1"/>
  <c r="K65" i="77" a="1"/>
  <c r="K65" i="77" s="1"/>
  <c r="K86" i="77" s="1" a="1"/>
  <c r="K86" i="77" s="1"/>
  <c r="K124" i="77" s="1" a="1"/>
  <c r="K124" i="77" s="1"/>
  <c r="N66" i="77" a="1"/>
  <c r="N66" i="77" s="1"/>
  <c r="N87" i="77" s="1" a="1"/>
  <c r="N87" i="77" s="1"/>
  <c r="N125" i="77" s="1" a="1"/>
  <c r="N125" i="77" s="1"/>
  <c r="K66" i="77" a="1"/>
  <c r="K66" i="77" s="1"/>
  <c r="K87" i="77" s="1" a="1"/>
  <c r="K87" i="77" s="1"/>
  <c r="K125" i="77" s="1" a="1"/>
  <c r="K125" i="77" s="1"/>
  <c r="L65" i="77" a="1"/>
  <c r="L65" i="77" s="1"/>
  <c r="L86" i="77" s="1" a="1"/>
  <c r="L86" i="77" s="1"/>
  <c r="L124" i="77" s="1" a="1"/>
  <c r="L124" i="77" s="1"/>
  <c r="W161" i="77"/>
  <c r="F66" i="77" a="1"/>
  <c r="F66" i="77" s="1"/>
  <c r="F87" i="77" s="1" a="1"/>
  <c r="F87" i="77" s="1"/>
  <c r="F125" i="77" s="1" a="1"/>
  <c r="F125" i="77" s="1"/>
  <c r="F64" i="77" a="1"/>
  <c r="F64" i="77" s="1"/>
  <c r="F85" i="77" s="1" a="1"/>
  <c r="F85" i="77" s="1"/>
  <c r="F123" i="77" s="1" a="1"/>
  <c r="F123" i="77" s="1"/>
  <c r="M65" i="77" a="1"/>
  <c r="M65" i="77" s="1"/>
  <c r="M86" i="77" s="1" a="1"/>
  <c r="M86" i="77" s="1"/>
  <c r="M124" i="77" s="1" a="1"/>
  <c r="M124" i="77" s="1"/>
  <c r="E67" i="77" a="1"/>
  <c r="E67" i="77" s="1"/>
  <c r="E88" i="77" s="1" a="1"/>
  <c r="E88" i="77" s="1"/>
  <c r="E126" i="77" s="1" a="1"/>
  <c r="E126" i="77" s="1"/>
  <c r="G66" i="77" a="1"/>
  <c r="G66" i="77" s="1"/>
  <c r="G87" i="77" s="1" a="1"/>
  <c r="G87" i="77" s="1"/>
  <c r="G125" i="77" s="1" a="1"/>
  <c r="G125" i="77" s="1"/>
  <c r="E65" i="77" a="1"/>
  <c r="E65" i="77" s="1"/>
  <c r="E86" i="77" s="1" a="1"/>
  <c r="E86" i="77" s="1"/>
  <c r="E124" i="77" s="1" a="1"/>
  <c r="E124" i="77" s="1"/>
  <c r="G64" i="77" a="1"/>
  <c r="G64" i="77" s="1"/>
  <c r="G85" i="77" s="1" a="1"/>
  <c r="G85" i="77" s="1"/>
  <c r="G123" i="77" s="1" a="1"/>
  <c r="G123" i="77" s="1"/>
  <c r="F67" i="77" a="1"/>
  <c r="F67" i="77" s="1"/>
  <c r="F88" i="77" s="1" a="1"/>
  <c r="F88" i="77" s="1"/>
  <c r="F126" i="77" s="1" a="1"/>
  <c r="F126" i="77" s="1"/>
  <c r="G67" i="77" a="1"/>
  <c r="G67" i="77" s="1"/>
  <c r="G88" i="77" s="1" a="1"/>
  <c r="G88" i="77" s="1"/>
  <c r="G126" i="77" s="1" a="1"/>
  <c r="G126" i="77" s="1"/>
  <c r="L67" i="77" a="1"/>
  <c r="L67" i="77" s="1"/>
  <c r="L88" i="77" s="1" a="1"/>
  <c r="L88" i="77" s="1"/>
  <c r="L126" i="77" s="1" a="1"/>
  <c r="L126" i="77" s="1"/>
  <c r="M67" i="77" a="1"/>
  <c r="M67" i="77" s="1"/>
  <c r="M88" i="77" s="1" a="1"/>
  <c r="M88" i="77" s="1"/>
  <c r="M126" i="77" s="1" a="1"/>
  <c r="M126" i="77" s="1"/>
  <c r="K64" i="77" a="1"/>
  <c r="K64" i="77" s="1"/>
  <c r="K85" i="77" s="1" a="1"/>
  <c r="K85" i="77" s="1"/>
  <c r="K123" i="77" s="1" a="1"/>
  <c r="K123" i="77" s="1"/>
  <c r="E35" i="77"/>
  <c r="E73" i="77"/>
  <c r="E94" i="77"/>
  <c r="L27" i="77" a="1"/>
  <c r="L27" i="77" s="1"/>
  <c r="J65" i="77" s="1" a="1"/>
  <c r="J65" i="77" s="1"/>
  <c r="J86" i="77" s="1" a="1"/>
  <c r="J86" i="77" s="1"/>
  <c r="J124" i="77" s="1" a="1"/>
  <c r="J124" i="77" s="1"/>
  <c r="K27" i="77" a="1"/>
  <c r="K27" i="77" s="1"/>
  <c r="I65" i="77" s="1" a="1"/>
  <c r="I65" i="77" s="1"/>
  <c r="I86" i="77" s="1" a="1"/>
  <c r="I86" i="77" s="1"/>
  <c r="I124" i="77" s="1" a="1"/>
  <c r="I124" i="77" s="1"/>
  <c r="J27" i="77" a="1"/>
  <c r="J27" i="77" s="1"/>
  <c r="H65" i="77" s="1" a="1"/>
  <c r="H65" i="77" s="1"/>
  <c r="H86" i="77" s="1" a="1"/>
  <c r="H86" i="77" s="1"/>
  <c r="H124" i="77" s="1" a="1"/>
  <c r="H124" i="77" s="1"/>
  <c r="AH31" i="77"/>
  <c r="AH28" i="77"/>
  <c r="Q26" i="77"/>
  <c r="Q28" i="77"/>
  <c r="AH36" i="77"/>
  <c r="AH29" i="77"/>
  <c r="AH37" i="77"/>
  <c r="AH38" i="77"/>
  <c r="Q27" i="77"/>
  <c r="AH39" i="77"/>
  <c r="AH30" i="77"/>
  <c r="AH34" i="77"/>
  <c r="AH35" i="77"/>
  <c r="Q29" i="77"/>
  <c r="K29" i="77" a="1"/>
  <c r="K29" i="77" s="1"/>
  <c r="I67" i="77" s="1" a="1"/>
  <c r="I67" i="77" s="1"/>
  <c r="I88" i="77" s="1" a="1"/>
  <c r="I88" i="77" s="1"/>
  <c r="I126" i="77" s="1" a="1"/>
  <c r="I126" i="77" s="1"/>
  <c r="AH32" i="77"/>
  <c r="J23" i="76"/>
  <c r="G23" i="76"/>
  <c r="N23" i="76"/>
  <c r="M23" i="76"/>
  <c r="H23" i="76"/>
  <c r="L23" i="76"/>
  <c r="I23" i="76"/>
  <c r="K23" i="76"/>
  <c r="F23" i="76"/>
  <c r="AH33" i="77"/>
  <c r="L26" i="77" a="1"/>
  <c r="L26" i="77" s="1"/>
  <c r="J64" i="77" s="1" a="1"/>
  <c r="J64" i="77" s="1"/>
  <c r="J85" i="77" s="1" a="1"/>
  <c r="J85" i="77" s="1"/>
  <c r="J123" i="77" s="1" a="1"/>
  <c r="J123" i="77" s="1"/>
  <c r="AA34" i="77" a="1"/>
  <c r="AA34" i="77" s="1"/>
  <c r="Y82" i="77" s="1" a="1"/>
  <c r="Y82" i="77" s="1"/>
  <c r="Y103" i="77" s="1" a="1"/>
  <c r="Y103" i="77" s="1"/>
  <c r="Y155" i="77" s="1" a="1"/>
  <c r="Y155" i="77" s="1"/>
  <c r="E23" i="76"/>
  <c r="AF97" i="77"/>
  <c r="O85" i="77"/>
  <c r="V78" i="77" a="1"/>
  <c r="V78" i="77" s="1"/>
  <c r="V99" i="77" s="1" a="1"/>
  <c r="V99" i="77" s="1"/>
  <c r="V151" i="77" s="1" a="1"/>
  <c r="V151" i="77" s="1"/>
  <c r="AC85" i="77" a="1"/>
  <c r="AC85" i="77" s="1"/>
  <c r="AC106" i="77" s="1" a="1"/>
  <c r="AC106" i="77" s="1"/>
  <c r="AC158" i="77" s="1" a="1"/>
  <c r="AC158" i="77" s="1"/>
  <c r="V44" i="77"/>
  <c r="V87" i="77" a="1"/>
  <c r="V87" i="77" s="1"/>
  <c r="V108" i="77" s="1" a="1"/>
  <c r="V108" i="77" s="1"/>
  <c r="V160" i="77" s="1" a="1"/>
  <c r="V160" i="77" s="1"/>
  <c r="I29" i="76"/>
  <c r="G33" i="76"/>
  <c r="AB76" i="77" a="1"/>
  <c r="AB76" i="77" s="1"/>
  <c r="AB97" i="77" s="1" a="1"/>
  <c r="AB97" i="77" s="1"/>
  <c r="AB149" i="77" s="1" a="1"/>
  <c r="AB149" i="77" s="1"/>
  <c r="AB78" i="77" a="1"/>
  <c r="AB78" i="77" s="1"/>
  <c r="AB99" i="77" s="1" a="1"/>
  <c r="AB99" i="77" s="1"/>
  <c r="AB151" i="77" s="1" a="1"/>
  <c r="AB151" i="77" s="1"/>
  <c r="AB80" i="77" a="1"/>
  <c r="AB80" i="77" s="1"/>
  <c r="AB101" i="77" s="1" a="1"/>
  <c r="AB101" i="77" s="1"/>
  <c r="AB153" i="77" s="1" a="1"/>
  <c r="AB153" i="77" s="1"/>
  <c r="AB81" i="77" a="1"/>
  <c r="AB81" i="77" s="1"/>
  <c r="AB102" i="77" s="1" a="1"/>
  <c r="AB102" i="77" s="1"/>
  <c r="AB154" i="77" s="1" a="1"/>
  <c r="AB154" i="77" s="1"/>
  <c r="AC83" i="77" a="1"/>
  <c r="AC83" i="77" s="1"/>
  <c r="AC104" i="77" s="1" a="1"/>
  <c r="AC104" i="77" s="1"/>
  <c r="AC156" i="77" s="1" a="1"/>
  <c r="AC156" i="77" s="1"/>
  <c r="AD81" i="77" a="1"/>
  <c r="AD81" i="77" s="1"/>
  <c r="AD102" i="77" s="1" a="1"/>
  <c r="AD102" i="77" s="1"/>
  <c r="AD154" i="77" s="1" a="1"/>
  <c r="AD154" i="77" s="1"/>
  <c r="X77" i="77" a="1"/>
  <c r="X77" i="77" s="1"/>
  <c r="X98" i="77" s="1" a="1"/>
  <c r="X98" i="77" s="1"/>
  <c r="X150" i="77" s="1" a="1"/>
  <c r="X150" i="77" s="1"/>
  <c r="AB86" i="77" a="1"/>
  <c r="AB86" i="77" s="1"/>
  <c r="AB107" i="77" s="1" a="1"/>
  <c r="AB107" i="77" s="1"/>
  <c r="AB159" i="77" s="1" a="1"/>
  <c r="AB159" i="77" s="1"/>
  <c r="AC87" i="77" a="1"/>
  <c r="AC87" i="77" s="1"/>
  <c r="AC108" i="77" s="1" a="1"/>
  <c r="AC108" i="77" s="1"/>
  <c r="AC160" i="77" s="1" a="1"/>
  <c r="AC160" i="77" s="1"/>
  <c r="AC76" i="77" a="1"/>
  <c r="AC76" i="77" s="1"/>
  <c r="AC97" i="77" s="1" a="1"/>
  <c r="AC97" i="77" s="1"/>
  <c r="AC149" i="77" s="1" a="1"/>
  <c r="AC149" i="77" s="1"/>
  <c r="AC78" i="77" a="1"/>
  <c r="AC78" i="77" s="1"/>
  <c r="AC99" i="77" s="1" a="1"/>
  <c r="AC99" i="77" s="1"/>
  <c r="AC151" i="77" s="1" a="1"/>
  <c r="AC151" i="77" s="1"/>
  <c r="AD83" i="77" a="1"/>
  <c r="AD83" i="77" s="1"/>
  <c r="AD104" i="77" s="1" a="1"/>
  <c r="AD104" i="77" s="1"/>
  <c r="AD156" i="77" s="1" a="1"/>
  <c r="AD156" i="77" s="1"/>
  <c r="W83" i="77" a="1"/>
  <c r="W83" i="77" s="1"/>
  <c r="W104" i="77" s="1" a="1"/>
  <c r="W104" i="77" s="1"/>
  <c r="W156" i="77" s="1" a="1"/>
  <c r="W156" i="77" s="1"/>
  <c r="AE81" i="77" a="1"/>
  <c r="AE81" i="77" s="1"/>
  <c r="AE102" i="77" s="1" a="1"/>
  <c r="AE102" i="77" s="1"/>
  <c r="AE154" i="77" s="1" a="1"/>
  <c r="AE154" i="77" s="1"/>
  <c r="AE84" i="77" a="1"/>
  <c r="AE84" i="77" s="1"/>
  <c r="AE105" i="77" s="1" a="1"/>
  <c r="AE105" i="77" s="1"/>
  <c r="AE157" i="77" s="1" a="1"/>
  <c r="AE157" i="77" s="1"/>
  <c r="X84" i="77" a="1"/>
  <c r="X84" i="77" s="1"/>
  <c r="X105" i="77" s="1" a="1"/>
  <c r="X105" i="77" s="1"/>
  <c r="X157" i="77" s="1" a="1"/>
  <c r="X157" i="77" s="1"/>
  <c r="AB83" i="77" a="1"/>
  <c r="AB83" i="77" s="1"/>
  <c r="AB104" i="77" s="1" a="1"/>
  <c r="AB104" i="77" s="1"/>
  <c r="AB156" i="77" s="1" a="1"/>
  <c r="AB156" i="77" s="1"/>
  <c r="AC81" i="77" a="1"/>
  <c r="AC81" i="77" s="1"/>
  <c r="AC102" i="77" s="1" a="1"/>
  <c r="AC102" i="77" s="1"/>
  <c r="AC154" i="77" s="1" a="1"/>
  <c r="AC154" i="77" s="1"/>
  <c r="V81" i="77" a="1"/>
  <c r="V81" i="77" s="1"/>
  <c r="V102" i="77" s="1" a="1"/>
  <c r="V102" i="77" s="1"/>
  <c r="V154" i="77" s="1" a="1"/>
  <c r="V154" i="77" s="1"/>
  <c r="AD87" i="77" a="1"/>
  <c r="AD87" i="77" s="1"/>
  <c r="AD108" i="77" s="1" a="1"/>
  <c r="AD108" i="77" s="1"/>
  <c r="AD160" i="77" s="1" a="1"/>
  <c r="AD160" i="77" s="1"/>
  <c r="W87" i="77" a="1"/>
  <c r="W87" i="77" s="1"/>
  <c r="W108" i="77" s="1" a="1"/>
  <c r="W108" i="77" s="1"/>
  <c r="W160" i="77" s="1" a="1"/>
  <c r="W160" i="77" s="1"/>
  <c r="AD86" i="77" a="1"/>
  <c r="AD86" i="77" s="1"/>
  <c r="AD107" i="77" s="1" a="1"/>
  <c r="AD107" i="77" s="1"/>
  <c r="AD159" i="77" s="1" a="1"/>
  <c r="AD159" i="77" s="1"/>
  <c r="W86" i="77" a="1"/>
  <c r="W86" i="77" s="1"/>
  <c r="W107" i="77" s="1" a="1"/>
  <c r="W107" i="77" s="1"/>
  <c r="W159" i="77" s="1" a="1"/>
  <c r="W159" i="77" s="1"/>
  <c r="AD85" i="77" a="1"/>
  <c r="AD85" i="77" s="1"/>
  <c r="AD106" i="77" s="1" a="1"/>
  <c r="AD106" i="77" s="1"/>
  <c r="AD158" i="77" s="1" a="1"/>
  <c r="AD158" i="77" s="1"/>
  <c r="W85" i="77" a="1"/>
  <c r="W85" i="77" s="1"/>
  <c r="W106" i="77" s="1" a="1"/>
  <c r="W106" i="77" s="1"/>
  <c r="W158" i="77" s="1" a="1"/>
  <c r="W158" i="77" s="1"/>
  <c r="AB84" i="77" a="1"/>
  <c r="AB84" i="77" s="1"/>
  <c r="AB105" i="77" s="1" a="1"/>
  <c r="AB105" i="77" s="1"/>
  <c r="AB157" i="77" s="1" a="1"/>
  <c r="AB157" i="77" s="1"/>
  <c r="AC82" i="77" a="1"/>
  <c r="AC82" i="77" s="1"/>
  <c r="AC103" i="77" s="1" a="1"/>
  <c r="AC103" i="77" s="1"/>
  <c r="AC155" i="77" s="1" a="1"/>
  <c r="AC155" i="77" s="1"/>
  <c r="V82" i="77" a="1"/>
  <c r="V82" i="77" s="1"/>
  <c r="V103" i="77" s="1" a="1"/>
  <c r="V103" i="77" s="1"/>
  <c r="V155" i="77" s="1" a="1"/>
  <c r="V155" i="77" s="1"/>
  <c r="AD80" i="77" a="1"/>
  <c r="AD80" i="77" s="1"/>
  <c r="AD101" i="77" s="1" a="1"/>
  <c r="AD101" i="77" s="1"/>
  <c r="AD153" i="77" s="1" a="1"/>
  <c r="AD153" i="77" s="1"/>
  <c r="W80" i="77" a="1"/>
  <c r="W80" i="77" s="1"/>
  <c r="W101" i="77" s="1" a="1"/>
  <c r="W101" i="77" s="1"/>
  <c r="W153" i="77" s="1" a="1"/>
  <c r="W153" i="77" s="1"/>
  <c r="AD79" i="77" a="1"/>
  <c r="AD79" i="77" s="1"/>
  <c r="AD100" i="77" s="1" a="1"/>
  <c r="AD100" i="77" s="1"/>
  <c r="AD152" i="77" s="1" a="1"/>
  <c r="AD152" i="77" s="1"/>
  <c r="W79" i="77" a="1"/>
  <c r="W79" i="77" s="1"/>
  <c r="W100" i="77" s="1" a="1"/>
  <c r="W100" i="77" s="1"/>
  <c r="W152" i="77" s="1" a="1"/>
  <c r="W152" i="77" s="1"/>
  <c r="AD76" i="77" a="1"/>
  <c r="AD76" i="77" s="1"/>
  <c r="AD97" i="77" s="1" a="1"/>
  <c r="AD97" i="77" s="1"/>
  <c r="AD149" i="77" s="1" a="1"/>
  <c r="AD149" i="77" s="1"/>
  <c r="W76" i="77" a="1"/>
  <c r="W76" i="77" s="1"/>
  <c r="W97" i="77" s="1" a="1"/>
  <c r="W97" i="77" s="1"/>
  <c r="W149" i="77" s="1" a="1"/>
  <c r="W149" i="77" s="1"/>
  <c r="AE83" i="77" a="1"/>
  <c r="AE83" i="77" s="1"/>
  <c r="AE104" i="77" s="1" a="1"/>
  <c r="AE104" i="77" s="1"/>
  <c r="AE156" i="77" s="1" a="1"/>
  <c r="AE156" i="77" s="1"/>
  <c r="X83" i="77" a="1"/>
  <c r="X83" i="77" s="1"/>
  <c r="X104" i="77" s="1" a="1"/>
  <c r="X104" i="77" s="1"/>
  <c r="X156" i="77" s="1" a="1"/>
  <c r="X156" i="77" s="1"/>
  <c r="AB82" i="77" a="1"/>
  <c r="AB82" i="77" s="1"/>
  <c r="AB103" i="77" s="1" a="1"/>
  <c r="AB103" i="77" s="1"/>
  <c r="AB155" i="77" s="1" a="1"/>
  <c r="AB155" i="77" s="1"/>
  <c r="AC80" i="77" a="1"/>
  <c r="AC80" i="77" s="1"/>
  <c r="AC101" i="77" s="1" a="1"/>
  <c r="AC101" i="77" s="1"/>
  <c r="AC153" i="77" s="1" a="1"/>
  <c r="AC153" i="77" s="1"/>
  <c r="V80" i="77" a="1"/>
  <c r="V80" i="77" s="1"/>
  <c r="V101" i="77" s="1" a="1"/>
  <c r="V101" i="77" s="1"/>
  <c r="V153" i="77" s="1" a="1"/>
  <c r="V153" i="77" s="1"/>
  <c r="W78" i="77" a="1"/>
  <c r="W78" i="77" s="1"/>
  <c r="W99" i="77" s="1" a="1"/>
  <c r="W99" i="77" s="1"/>
  <c r="W151" i="77" s="1" a="1"/>
  <c r="W151" i="77" s="1"/>
  <c r="AD82" i="77" a="1"/>
  <c r="AD82" i="77" s="1"/>
  <c r="AD103" i="77" s="1" a="1"/>
  <c r="AD103" i="77" s="1"/>
  <c r="AD155" i="77" s="1" a="1"/>
  <c r="AD155" i="77" s="1"/>
  <c r="AC79" i="77" a="1"/>
  <c r="AC79" i="77" s="1"/>
  <c r="AC100" i="77" s="1" a="1"/>
  <c r="AC100" i="77" s="1"/>
  <c r="AC152" i="77" s="1" a="1"/>
  <c r="AC152" i="77" s="1"/>
  <c r="J29" i="77" a="1"/>
  <c r="J29" i="77" s="1"/>
  <c r="H67" i="77" s="1" a="1"/>
  <c r="H67" i="77" s="1"/>
  <c r="H88" i="77" s="1" a="1"/>
  <c r="H88" i="77" s="1"/>
  <c r="H126" i="77" s="1" a="1"/>
  <c r="H126" i="77" s="1"/>
  <c r="K26" i="77" a="1"/>
  <c r="K26" i="77" s="1"/>
  <c r="I64" i="77" s="1" a="1"/>
  <c r="I64" i="77" s="1"/>
  <c r="I85" i="77" s="1" a="1"/>
  <c r="I85" i="77" s="1"/>
  <c r="I123" i="77" s="1" a="1"/>
  <c r="I123" i="77" s="1"/>
  <c r="V28" i="77" a="1"/>
  <c r="V28" i="77" s="1"/>
  <c r="W28" i="77" s="1" a="1"/>
  <c r="W28" i="77" s="1"/>
  <c r="AC28" i="77" s="1" a="1"/>
  <c r="AC28" i="77" s="1"/>
  <c r="AA76" i="77" s="1" a="1"/>
  <c r="AA76" i="77" s="1"/>
  <c r="AA97" i="77" s="1" a="1"/>
  <c r="AA97" i="77" s="1"/>
  <c r="AA149" i="77" s="1" a="1"/>
  <c r="AA149" i="77" s="1"/>
  <c r="X80" i="77" a="1"/>
  <c r="X80" i="77" s="1"/>
  <c r="X101" i="77" s="1" a="1"/>
  <c r="X101" i="77" s="1"/>
  <c r="X153" i="77" s="1" a="1"/>
  <c r="X153" i="77" s="1"/>
  <c r="AF84" i="77"/>
  <c r="V86" i="77" a="1"/>
  <c r="V86" i="77" s="1"/>
  <c r="V107" i="77" s="1" a="1"/>
  <c r="V107" i="77" s="1"/>
  <c r="V159" i="77" s="1" a="1"/>
  <c r="V159" i="77" s="1"/>
  <c r="V60" i="77"/>
  <c r="I28" i="76"/>
  <c r="AC77" i="77" a="1"/>
  <c r="AC77" i="77" s="1"/>
  <c r="AC98" i="77" s="1" a="1"/>
  <c r="AC98" i="77" s="1"/>
  <c r="AC150" i="77" s="1" a="1"/>
  <c r="AC150" i="77" s="1"/>
  <c r="V79" i="77" a="1"/>
  <c r="V79" i="77" s="1"/>
  <c r="V100" i="77" s="1" a="1"/>
  <c r="V100" i="77" s="1"/>
  <c r="V152" i="77" s="1" a="1"/>
  <c r="V152" i="77" s="1"/>
  <c r="W81" i="77" a="1"/>
  <c r="W81" i="77" s="1"/>
  <c r="W102" i="77" s="1" a="1"/>
  <c r="W102" i="77" s="1"/>
  <c r="W154" i="77" s="1" a="1"/>
  <c r="W154" i="77" s="1"/>
  <c r="V83" i="77" a="1"/>
  <c r="V83" i="77" s="1"/>
  <c r="V104" i="77" s="1" a="1"/>
  <c r="V104" i="77" s="1"/>
  <c r="V156" i="77" s="1" a="1"/>
  <c r="V156" i="77" s="1"/>
  <c r="V84" i="77" a="1"/>
  <c r="V84" i="77" s="1"/>
  <c r="V105" i="77" s="1" a="1"/>
  <c r="V105" i="77" s="1"/>
  <c r="V157" i="77" s="1" a="1"/>
  <c r="V157" i="77" s="1"/>
  <c r="V85" i="77" a="1"/>
  <c r="V85" i="77" s="1"/>
  <c r="V106" i="77" s="1" a="1"/>
  <c r="V106" i="77" s="1"/>
  <c r="V158" i="77" s="1" a="1"/>
  <c r="V158" i="77" s="1"/>
  <c r="X87" i="77" a="1"/>
  <c r="X87" i="77" s="1"/>
  <c r="X108" i="77" s="1" a="1"/>
  <c r="X108" i="77" s="1"/>
  <c r="X160" i="77" s="1" a="1"/>
  <c r="X160" i="77" s="1"/>
  <c r="AD78" i="77" a="1"/>
  <c r="AD78" i="77" s="1"/>
  <c r="AD99" i="77" s="1" a="1"/>
  <c r="AD99" i="77" s="1"/>
  <c r="AD151" i="77" s="1" a="1"/>
  <c r="AD151" i="77" s="1"/>
  <c r="AE87" i="77" a="1"/>
  <c r="AE87" i="77" s="1"/>
  <c r="AE108" i="77" s="1" a="1"/>
  <c r="AE108" i="77" s="1"/>
  <c r="AE160" i="77" s="1" a="1"/>
  <c r="AE160" i="77" s="1"/>
  <c r="AE80" i="77" a="1"/>
  <c r="AE80" i="77" s="1"/>
  <c r="AE101" i="77" s="1" a="1"/>
  <c r="AE101" i="77" s="1"/>
  <c r="AE153" i="77" s="1" a="1"/>
  <c r="AE153" i="77" s="1"/>
  <c r="AE86" i="77" a="1"/>
  <c r="AE86" i="77" s="1"/>
  <c r="AE107" i="77" s="1" a="1"/>
  <c r="AE107" i="77" s="1"/>
  <c r="AE159" i="77" s="1" a="1"/>
  <c r="AE159" i="77" s="1"/>
  <c r="AE85" i="77" a="1"/>
  <c r="AE85" i="77" s="1"/>
  <c r="AE106" i="77" s="1" a="1"/>
  <c r="AE106" i="77" s="1"/>
  <c r="AE158" i="77" s="1" a="1"/>
  <c r="AE158" i="77" s="1"/>
  <c r="AE82" i="77" a="1"/>
  <c r="AE82" i="77" s="1"/>
  <c r="AE103" i="77" s="1" a="1"/>
  <c r="AE103" i="77" s="1"/>
  <c r="AE155" i="77" s="1" a="1"/>
  <c r="AE155" i="77" s="1"/>
  <c r="E28" i="77" a="1"/>
  <c r="E28" i="77" s="1"/>
  <c r="F28" i="77" s="1" a="1"/>
  <c r="F28" i="77" s="1"/>
  <c r="J28" i="77" s="1" a="1"/>
  <c r="J28" i="77" s="1"/>
  <c r="H66" i="77" s="1" a="1"/>
  <c r="H66" i="77" s="1"/>
  <c r="H87" i="77" s="1" a="1"/>
  <c r="H87" i="77" s="1"/>
  <c r="H125" i="77" s="1" a="1"/>
  <c r="H125" i="77" s="1"/>
  <c r="AA33" i="77" a="1"/>
  <c r="AA33" i="77" s="1"/>
  <c r="Y81" i="77" s="1" a="1"/>
  <c r="Y81" i="77" s="1"/>
  <c r="Y102" i="77" s="1" a="1"/>
  <c r="Y102" i="77" s="1"/>
  <c r="Y154" i="77" s="1" a="1"/>
  <c r="Y154" i="77" s="1"/>
  <c r="AE79" i="77" a="1"/>
  <c r="AE79" i="77" s="1"/>
  <c r="AE100" i="77" s="1" a="1"/>
  <c r="AE100" i="77" s="1"/>
  <c r="AE152" i="77" s="1" a="1"/>
  <c r="AE152" i="77" s="1"/>
  <c r="W82" i="77" a="1"/>
  <c r="W82" i="77" s="1"/>
  <c r="W103" i="77" s="1" a="1"/>
  <c r="W103" i="77" s="1"/>
  <c r="W155" i="77" s="1" a="1"/>
  <c r="W155" i="77" s="1"/>
  <c r="X86" i="77" a="1"/>
  <c r="X86" i="77" s="1"/>
  <c r="X107" i="77" s="1" a="1"/>
  <c r="X107" i="77" s="1"/>
  <c r="X159" i="77" s="1" a="1"/>
  <c r="X159" i="77" s="1"/>
  <c r="AF149" i="77"/>
  <c r="O123" i="77"/>
  <c r="AC84" i="77" a="1"/>
  <c r="AC84" i="77" s="1"/>
  <c r="AC105" i="77" s="1" a="1"/>
  <c r="AC105" i="77" s="1"/>
  <c r="AC157" i="77" s="1" a="1"/>
  <c r="AC157" i="77" s="1"/>
  <c r="AE76" i="77" a="1"/>
  <c r="AE76" i="77" s="1"/>
  <c r="AE97" i="77" s="1" a="1"/>
  <c r="AE97" i="77" s="1"/>
  <c r="AE149" i="77" s="1" a="1"/>
  <c r="AE149" i="77" s="1"/>
  <c r="AB79" i="77" a="1"/>
  <c r="AB79" i="77" s="1"/>
  <c r="AB100" i="77" s="1" a="1"/>
  <c r="AB100" i="77" s="1"/>
  <c r="AB152" i="77" s="1" a="1"/>
  <c r="AB152" i="77" s="1"/>
  <c r="AD84" i="77" a="1"/>
  <c r="AD84" i="77" s="1"/>
  <c r="AD105" i="77" s="1" a="1"/>
  <c r="AD105" i="77" s="1"/>
  <c r="AD157" i="77" s="1" a="1"/>
  <c r="AD157" i="77" s="1"/>
  <c r="AB77" i="77" a="1"/>
  <c r="AB77" i="77" s="1"/>
  <c r="AB98" i="77" s="1" a="1"/>
  <c r="AB98" i="77" s="1"/>
  <c r="AB150" i="77" s="1" a="1"/>
  <c r="AB150" i="77" s="1"/>
  <c r="N30" i="76"/>
  <c r="E29" i="76"/>
  <c r="V39" i="77" a="1"/>
  <c r="V39" i="77" s="1"/>
  <c r="W39" i="77" s="1" a="1"/>
  <c r="W39" i="77" s="1"/>
  <c r="V38" i="77" a="1"/>
  <c r="V38" i="77" s="1"/>
  <c r="W38" i="77" s="1" a="1"/>
  <c r="W38" i="77" s="1"/>
  <c r="V37" i="77" a="1"/>
  <c r="V37" i="77" s="1"/>
  <c r="W37" i="77" s="1" a="1"/>
  <c r="W37" i="77" s="1"/>
  <c r="V36" i="77" a="1"/>
  <c r="V36" i="77" s="1"/>
  <c r="W36" i="77" s="1" a="1"/>
  <c r="W36" i="77" s="1"/>
  <c r="AF82" i="77"/>
  <c r="AF83" i="77"/>
  <c r="AF77" i="77"/>
  <c r="AF81" i="77"/>
  <c r="O66" i="77"/>
  <c r="V77" i="77" a="1"/>
  <c r="V77" i="77" s="1"/>
  <c r="V98" i="77" s="1" a="1"/>
  <c r="V98" i="77" s="1"/>
  <c r="V150" i="77" s="1" a="1"/>
  <c r="V150" i="77" s="1"/>
  <c r="AD77" i="77" a="1"/>
  <c r="AD77" i="77" s="1"/>
  <c r="AD98" i="77" s="1" a="1"/>
  <c r="AD98" i="77" s="1"/>
  <c r="AD150" i="77" s="1" a="1"/>
  <c r="AD150" i="77" s="1"/>
  <c r="X81" i="77" a="1"/>
  <c r="X81" i="77" s="1"/>
  <c r="X102" i="77" s="1" a="1"/>
  <c r="X102" i="77" s="1"/>
  <c r="X154" i="77" s="1" a="1"/>
  <c r="X154" i="77" s="1"/>
  <c r="W84" i="77" a="1"/>
  <c r="W84" i="77" s="1"/>
  <c r="W105" i="77" s="1" a="1"/>
  <c r="W105" i="77" s="1"/>
  <c r="W157" i="77" s="1" a="1"/>
  <c r="W157" i="77" s="1"/>
  <c r="X85" i="77" a="1"/>
  <c r="X85" i="77" s="1"/>
  <c r="X106" i="77" s="1" a="1"/>
  <c r="X106" i="77" s="1"/>
  <c r="X158" i="77" s="1" a="1"/>
  <c r="X158" i="77" s="1"/>
  <c r="AE78" i="77" a="1"/>
  <c r="AE78" i="77" s="1"/>
  <c r="AE99" i="77" s="1" a="1"/>
  <c r="AE99" i="77" s="1"/>
  <c r="AE151" i="77" s="1" a="1"/>
  <c r="AE151" i="77" s="1"/>
  <c r="G28" i="76"/>
  <c r="J30" i="76"/>
  <c r="J28" i="76"/>
  <c r="F29" i="76"/>
  <c r="O64" i="77"/>
  <c r="X79" i="77" a="1"/>
  <c r="X79" i="77" s="1"/>
  <c r="X100" i="77" s="1" a="1"/>
  <c r="X100" i="77" s="1"/>
  <c r="X152" i="77" s="1" a="1"/>
  <c r="X152" i="77" s="1"/>
  <c r="AF79" i="77"/>
  <c r="X82" i="77" a="1"/>
  <c r="X82" i="77" s="1"/>
  <c r="X103" i="77" s="1" a="1"/>
  <c r="X103" i="77" s="1"/>
  <c r="X155" i="77" s="1" a="1"/>
  <c r="X155" i="77" s="1"/>
  <c r="E115" i="77"/>
  <c r="X76" i="77" a="1"/>
  <c r="X76" i="77" s="1"/>
  <c r="X97" i="77" s="1" a="1"/>
  <c r="X97" i="77" s="1"/>
  <c r="X149" i="77" s="1" a="1"/>
  <c r="X149" i="77" s="1"/>
  <c r="X78" i="77" a="1"/>
  <c r="X78" i="77" s="1"/>
  <c r="X99" i="77" s="1" a="1"/>
  <c r="X99" i="77" s="1"/>
  <c r="X151" i="77" s="1" a="1"/>
  <c r="X151" i="77" s="1"/>
  <c r="L30" i="76"/>
  <c r="G29" i="76"/>
  <c r="E33" i="76"/>
  <c r="V30" i="77" a="1"/>
  <c r="V30" i="77" s="1"/>
  <c r="W30" i="77" s="1" a="1"/>
  <c r="W30" i="77" s="1"/>
  <c r="AC30" i="77" s="1" a="1"/>
  <c r="AC30" i="77" s="1"/>
  <c r="AA78" i="77" s="1" a="1"/>
  <c r="AA78" i="77" s="1"/>
  <c r="AA99" i="77" s="1" a="1"/>
  <c r="AA99" i="77" s="1"/>
  <c r="AA151" i="77" s="1" a="1"/>
  <c r="AA151" i="77" s="1"/>
  <c r="AC34" i="77" a="1"/>
  <c r="AC34" i="77" s="1"/>
  <c r="AA82" i="77" s="1" a="1"/>
  <c r="AA82" i="77" s="1"/>
  <c r="AA103" i="77" s="1" a="1"/>
  <c r="AA103" i="77" s="1"/>
  <c r="AA155" i="77" s="1" a="1"/>
  <c r="AA155" i="77" s="1"/>
  <c r="W77" i="77" a="1"/>
  <c r="W77" i="77" s="1"/>
  <c r="W98" i="77" s="1" a="1"/>
  <c r="W98" i="77" s="1"/>
  <c r="W150" i="77" s="1" a="1"/>
  <c r="W150" i="77" s="1"/>
  <c r="AE77" i="77" a="1"/>
  <c r="AE77" i="77" s="1"/>
  <c r="AE98" i="77" s="1" a="1"/>
  <c r="AE98" i="77" s="1"/>
  <c r="AE150" i="77" s="1" a="1"/>
  <c r="AE150" i="77" s="1"/>
  <c r="AB87" i="77" a="1"/>
  <c r="AB87" i="77" s="1"/>
  <c r="AB108" i="77" s="1" a="1"/>
  <c r="AB108" i="77" s="1"/>
  <c r="AB160" i="77" s="1" a="1"/>
  <c r="AB160" i="77" s="1"/>
  <c r="F34" i="76"/>
  <c r="G25" i="76"/>
  <c r="M30" i="76"/>
  <c r="M33" i="76"/>
  <c r="M25" i="76"/>
  <c r="K25" i="76"/>
  <c r="N32" i="76"/>
  <c r="K34" i="76"/>
  <c r="N25" i="76"/>
  <c r="L34" i="76"/>
  <c r="L25" i="76"/>
  <c r="H32" i="76"/>
  <c r="J34" i="76"/>
  <c r="N34" i="76"/>
  <c r="H33" i="76"/>
  <c r="H34" i="76"/>
  <c r="M34" i="76"/>
  <c r="H30" i="76"/>
  <c r="J33" i="76"/>
  <c r="N122" i="76"/>
  <c r="O122" i="76" s="1"/>
  <c r="F24" i="76"/>
  <c r="J24" i="76"/>
  <c r="L26" i="76"/>
  <c r="I27" i="76"/>
  <c r="J27" i="76"/>
  <c r="H27" i="76"/>
  <c r="N27" i="76"/>
  <c r="L27" i="76"/>
  <c r="K27" i="76"/>
  <c r="E27" i="76"/>
  <c r="I24" i="76"/>
  <c r="H31" i="76"/>
  <c r="F31" i="76"/>
  <c r="N31" i="76"/>
  <c r="L31" i="76"/>
  <c r="J31" i="76"/>
  <c r="I31" i="76"/>
  <c r="G31" i="76"/>
  <c r="N124" i="76"/>
  <c r="O124" i="76" s="1"/>
  <c r="L24" i="76"/>
  <c r="M31" i="76"/>
  <c r="G27" i="76"/>
  <c r="M27" i="76"/>
  <c r="E32" i="76"/>
  <c r="G26" i="76"/>
  <c r="F26" i="76"/>
  <c r="E26" i="76"/>
  <c r="M26" i="76"/>
  <c r="K26" i="76"/>
  <c r="I26" i="76"/>
  <c r="H26" i="76"/>
  <c r="E31" i="76"/>
  <c r="F27" i="76"/>
  <c r="M28" i="76"/>
  <c r="L28" i="76"/>
  <c r="K28" i="76"/>
  <c r="E28" i="76"/>
  <c r="N28" i="76"/>
  <c r="N24" i="76"/>
  <c r="M24" i="76"/>
  <c r="G24" i="76"/>
  <c r="E24" i="76"/>
  <c r="K24" i="76"/>
  <c r="N26" i="76"/>
  <c r="K32" i="76"/>
  <c r="I32" i="76"/>
  <c r="M32" i="76"/>
  <c r="L32" i="76"/>
  <c r="J32" i="76"/>
  <c r="F28" i="76"/>
  <c r="G32" i="76"/>
  <c r="F30" i="76"/>
  <c r="F25" i="76"/>
  <c r="G30" i="76"/>
  <c r="E34" i="76"/>
  <c r="M123" i="76"/>
  <c r="L121" i="76"/>
  <c r="N123" i="76"/>
  <c r="O123" i="76" s="1"/>
  <c r="I30" i="76"/>
  <c r="G34" i="76"/>
  <c r="K30" i="76"/>
  <c r="F33" i="76"/>
  <c r="F41" i="13"/>
  <c r="F40" i="13"/>
  <c r="E41" i="13"/>
  <c r="E40" i="13"/>
  <c r="D37" i="13" a="1"/>
  <c r="D37" i="13" s="1"/>
  <c r="F37" i="13" s="1"/>
  <c r="D48" i="13" a="1"/>
  <c r="D48" i="13" s="1"/>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AB29" i="77" l="1" a="1"/>
  <c r="AB29" i="77" s="1"/>
  <c r="Z77" i="77" s="1" a="1"/>
  <c r="Z77" i="77" s="1"/>
  <c r="Z98" i="77" s="1" a="1"/>
  <c r="Z98" i="77" s="1"/>
  <c r="Z150" i="77" s="1" a="1"/>
  <c r="Z150" i="77" s="1"/>
  <c r="E24" i="72"/>
  <c r="F67" i="13" s="1"/>
  <c r="AG187" i="80" a="1"/>
  <c r="AG187" i="80" s="1"/>
  <c r="AG261" i="80" s="1" a="1"/>
  <c r="AG261" i="80" s="1"/>
  <c r="AF187" i="80" a="1"/>
  <c r="AF187" i="80" s="1"/>
  <c r="AF261" i="80" s="1" a="1"/>
  <c r="AF261" i="80" s="1"/>
  <c r="AC189" i="81" a="1"/>
  <c r="AC189" i="81" s="1"/>
  <c r="Y189" i="81" a="1"/>
  <c r="Y189" i="81" s="1"/>
  <c r="W189" i="81" a="1"/>
  <c r="W189" i="81" s="1"/>
  <c r="AC186" i="81" a="1"/>
  <c r="AC186" i="81" s="1"/>
  <c r="Y186" i="81" a="1"/>
  <c r="Y186" i="81" s="1"/>
  <c r="W186" i="81" a="1"/>
  <c r="W186" i="81" s="1"/>
  <c r="AC181" i="81" a="1"/>
  <c r="AC181" i="81" s="1"/>
  <c r="Y181" i="81" a="1"/>
  <c r="Y181" i="81" s="1"/>
  <c r="W181" i="81" a="1"/>
  <c r="W181" i="81" s="1"/>
  <c r="AC182" i="81" a="1"/>
  <c r="AC182" i="81" s="1"/>
  <c r="Y182" i="81" a="1"/>
  <c r="Y182" i="81" s="1"/>
  <c r="W182" i="81" a="1"/>
  <c r="W182" i="81" s="1"/>
  <c r="W184" i="81" a="1"/>
  <c r="W184" i="81" s="1"/>
  <c r="Y184" i="81" a="1"/>
  <c r="Y184" i="81" s="1"/>
  <c r="AC184" i="81" a="1"/>
  <c r="AC184" i="81" s="1"/>
  <c r="AC191" i="81" a="1"/>
  <c r="AC191" i="81" s="1"/>
  <c r="Y191" i="81" a="1"/>
  <c r="Y191" i="81" s="1"/>
  <c r="W191" i="81" a="1"/>
  <c r="W191" i="81" s="1"/>
  <c r="W190" i="81" a="1"/>
  <c r="W190" i="81" s="1"/>
  <c r="AC190" i="81" a="1"/>
  <c r="AC190" i="81" s="1"/>
  <c r="Y190" i="81" a="1"/>
  <c r="Y190" i="81" s="1"/>
  <c r="AC183" i="81" a="1"/>
  <c r="AC183" i="81" s="1"/>
  <c r="Y183" i="81" a="1"/>
  <c r="Y183" i="81" s="1"/>
  <c r="W183" i="81" a="1"/>
  <c r="W183" i="81" s="1"/>
  <c r="W180" i="81" a="1"/>
  <c r="W180" i="81" s="1"/>
  <c r="AC180" i="81" a="1"/>
  <c r="AC180" i="81" s="1"/>
  <c r="Y180" i="81" a="1"/>
  <c r="Y180" i="81" s="1"/>
  <c r="Y185" i="81" a="1"/>
  <c r="Y185" i="81" s="1"/>
  <c r="AC185" i="81" a="1"/>
  <c r="AC185" i="81" s="1"/>
  <c r="W185" i="81" a="1"/>
  <c r="W185" i="81" s="1"/>
  <c r="AC188" i="81" a="1"/>
  <c r="AC188" i="81" s="1"/>
  <c r="Y188" i="81" a="1"/>
  <c r="Y188" i="81" s="1"/>
  <c r="W188" i="81" a="1"/>
  <c r="W188" i="81" s="1"/>
  <c r="AB35" i="77" a="1"/>
  <c r="AB35" i="77" s="1"/>
  <c r="Z83" i="77" s="1" a="1"/>
  <c r="Z83" i="77" s="1"/>
  <c r="Z104" i="77" s="1" a="1"/>
  <c r="Z104" i="77" s="1"/>
  <c r="Z156" i="77" s="1" a="1"/>
  <c r="Z156" i="77" s="1"/>
  <c r="AA29" i="77" a="1"/>
  <c r="AA29" i="77" s="1"/>
  <c r="Y77" i="77" s="1" a="1"/>
  <c r="Y77" i="77" s="1"/>
  <c r="Y98" i="77" s="1" a="1"/>
  <c r="Y98" i="77" s="1"/>
  <c r="Y150" i="77" s="1" a="1"/>
  <c r="Y150" i="77" s="1"/>
  <c r="AA35" i="77" a="1"/>
  <c r="AA35" i="77" s="1"/>
  <c r="Y83" i="77" s="1" a="1"/>
  <c r="Y83" i="77" s="1"/>
  <c r="Y104" i="77" s="1" a="1"/>
  <c r="Y104" i="77" s="1"/>
  <c r="Y156" i="77" s="1" a="1"/>
  <c r="Y156" i="77" s="1"/>
  <c r="AB32" i="77" a="1"/>
  <c r="AB32" i="77" s="1"/>
  <c r="Z80" i="77" s="1" a="1"/>
  <c r="Z80" i="77" s="1"/>
  <c r="Z101" i="77" s="1" a="1"/>
  <c r="Z101" i="77" s="1"/>
  <c r="Z153" i="77" s="1" a="1"/>
  <c r="Z153" i="77" s="1"/>
  <c r="AC33" i="77" a="1"/>
  <c r="AC33" i="77" s="1"/>
  <c r="AA81" i="77" s="1" a="1"/>
  <c r="AA81" i="77" s="1"/>
  <c r="AA102" i="77" s="1" a="1"/>
  <c r="AA102" i="77" s="1"/>
  <c r="AA154" i="77" s="1" a="1"/>
  <c r="AA154" i="77" s="1"/>
  <c r="AA32" i="77" a="1"/>
  <c r="AA32" i="77" s="1"/>
  <c r="Y80" i="77" s="1" a="1"/>
  <c r="Y80" i="77" s="1"/>
  <c r="Y101" i="77" s="1" a="1"/>
  <c r="Y101" i="77" s="1"/>
  <c r="Y153" i="77" s="1" a="1"/>
  <c r="Y153" i="77" s="1"/>
  <c r="Q32" i="97" a="1"/>
  <c r="Q32" i="97" s="1"/>
  <c r="O39" i="96" a="1"/>
  <c r="O39" i="96" s="1"/>
  <c r="P39" i="96" a="1"/>
  <c r="P39" i="96" s="1"/>
  <c r="O35" i="96" a="1"/>
  <c r="O35" i="96" s="1"/>
  <c r="O34" i="96" a="1"/>
  <c r="O34" i="96" s="1"/>
  <c r="Q31" i="96" a="1"/>
  <c r="Q31" i="96" s="1"/>
  <c r="P30" i="96" a="1"/>
  <c r="P30" i="96" s="1"/>
  <c r="Q30" i="96" a="1"/>
  <c r="Q30" i="96" s="1"/>
  <c r="N30" i="96" a="1"/>
  <c r="N30" i="96" s="1"/>
  <c r="P31" i="96" a="1"/>
  <c r="P31" i="96" s="1"/>
  <c r="N31" i="96" a="1"/>
  <c r="N31" i="96" s="1"/>
  <c r="U50" i="85"/>
  <c r="F71" i="90" a="1"/>
  <c r="F71" i="90" s="1"/>
  <c r="F65" i="90" a="1"/>
  <c r="F65" i="90" s="1"/>
  <c r="F74" i="90" a="1"/>
  <c r="F74" i="90" s="1"/>
  <c r="F66" i="90" a="1"/>
  <c r="F66" i="90" s="1"/>
  <c r="F75" i="90" a="1"/>
  <c r="F75" i="90" s="1"/>
  <c r="F68" i="90" a="1"/>
  <c r="F68" i="90" s="1"/>
  <c r="F67" i="90" a="1"/>
  <c r="F67" i="90" s="1"/>
  <c r="F69" i="90" a="1"/>
  <c r="F69" i="90" s="1"/>
  <c r="O21" i="100" a="1"/>
  <c r="O21" i="100" s="1"/>
  <c r="F72" i="90" a="1"/>
  <c r="F72" i="90" s="1"/>
  <c r="E21" i="100" a="1"/>
  <c r="E21" i="100" s="1"/>
  <c r="F70" i="90" a="1"/>
  <c r="F70" i="90" s="1"/>
  <c r="E78" i="85" a="1"/>
  <c r="E78" i="85" s="1"/>
  <c r="E61" i="85" a="1"/>
  <c r="E61" i="85" s="1"/>
  <c r="Q39" i="97" a="1"/>
  <c r="Q39" i="97" s="1"/>
  <c r="E66" i="85" a="1"/>
  <c r="E66" i="85" s="1"/>
  <c r="Q40" i="97" a="1"/>
  <c r="Q40" i="97" s="1"/>
  <c r="F28" i="90" a="1"/>
  <c r="F28" i="90" s="1"/>
  <c r="E62" i="85" a="1"/>
  <c r="E62" i="85" s="1"/>
  <c r="E63" i="85" a="1"/>
  <c r="E63" i="85" s="1"/>
  <c r="E60" i="85" a="1"/>
  <c r="E60" i="85" s="1"/>
  <c r="E64" i="85" a="1"/>
  <c r="E64" i="85" s="1"/>
  <c r="E70" i="85" a="1"/>
  <c r="E70" i="85" s="1"/>
  <c r="F29" i="90" a="1"/>
  <c r="F29" i="90" s="1"/>
  <c r="P35" i="97" a="1"/>
  <c r="P35" i="97" s="1"/>
  <c r="O35" i="97" a="1"/>
  <c r="O35" i="97" s="1"/>
  <c r="N35" i="97" a="1"/>
  <c r="N35" i="97" s="1"/>
  <c r="Q35" i="97" a="1"/>
  <c r="Q35" i="97" s="1"/>
  <c r="P28" i="97" a="1"/>
  <c r="P28" i="97" s="1"/>
  <c r="O28" i="97" a="1"/>
  <c r="O28" i="97" s="1"/>
  <c r="N28" i="97" a="1"/>
  <c r="N28" i="97" s="1"/>
  <c r="Q28" i="97" a="1"/>
  <c r="Q28" i="97" s="1"/>
  <c r="P31" i="97" a="1"/>
  <c r="P31" i="97" s="1"/>
  <c r="O31" i="97" a="1"/>
  <c r="O31" i="97" s="1"/>
  <c r="N31" i="97" a="1"/>
  <c r="N31" i="97" s="1"/>
  <c r="P30" i="97" a="1"/>
  <c r="P30" i="97" s="1"/>
  <c r="O30" i="97" a="1"/>
  <c r="O30" i="97" s="1"/>
  <c r="N30" i="97" a="1"/>
  <c r="N30" i="97" s="1"/>
  <c r="Q31" i="97" a="1"/>
  <c r="Q31" i="97" s="1"/>
  <c r="P29" i="97" a="1"/>
  <c r="P29" i="97" s="1"/>
  <c r="O29" i="97" a="1"/>
  <c r="O29" i="97" s="1"/>
  <c r="N29" i="97" a="1"/>
  <c r="N29" i="97" s="1"/>
  <c r="Q29" i="97" a="1"/>
  <c r="Q29" i="97" s="1"/>
  <c r="O27" i="97" a="1"/>
  <c r="O27" i="97" s="1"/>
  <c r="N27" i="97" a="1"/>
  <c r="N27" i="97" s="1"/>
  <c r="Q27" i="97" a="1"/>
  <c r="Q27" i="97" s="1"/>
  <c r="P27" i="97" a="1"/>
  <c r="P27" i="97" s="1"/>
  <c r="N25" i="97" a="1"/>
  <c r="N25" i="97" s="1"/>
  <c r="P25" i="97" a="1"/>
  <c r="P25" i="97" s="1"/>
  <c r="O25" i="97" a="1"/>
  <c r="O25" i="97" s="1"/>
  <c r="P26" i="97" a="1"/>
  <c r="P26" i="97" s="1"/>
  <c r="O26" i="97" a="1"/>
  <c r="O26" i="97" s="1"/>
  <c r="N26" i="97" a="1"/>
  <c r="N26" i="97" s="1"/>
  <c r="Q25" i="97" a="1"/>
  <c r="Q25" i="97" s="1"/>
  <c r="F35" i="90" a="1"/>
  <c r="F35" i="90" s="1"/>
  <c r="F30" i="90" a="1"/>
  <c r="F30" i="90" s="1"/>
  <c r="P38" i="97" a="1"/>
  <c r="P38" i="97" s="1"/>
  <c r="O38" i="97" a="1"/>
  <c r="O38" i="97" s="1"/>
  <c r="N38" i="97" a="1"/>
  <c r="N38" i="97" s="1"/>
  <c r="F31" i="90" a="1"/>
  <c r="F31" i="90" s="1"/>
  <c r="Q30" i="97" a="1"/>
  <c r="Q30" i="97" s="1"/>
  <c r="Q38" i="97" a="1"/>
  <c r="Q38" i="97" s="1"/>
  <c r="P39" i="97" a="1"/>
  <c r="P39" i="97" s="1"/>
  <c r="O39" i="97" a="1"/>
  <c r="O39" i="97" s="1"/>
  <c r="N39" i="97" a="1"/>
  <c r="N39" i="97" s="1"/>
  <c r="P40" i="97" a="1"/>
  <c r="P40" i="97" s="1"/>
  <c r="O40" i="97" a="1"/>
  <c r="O40" i="97" s="1"/>
  <c r="N40" i="97" a="1"/>
  <c r="N40" i="97" s="1"/>
  <c r="P37" i="97" a="1"/>
  <c r="P37" i="97" s="1"/>
  <c r="O37" i="97" a="1"/>
  <c r="O37" i="97" s="1"/>
  <c r="N37" i="97" a="1"/>
  <c r="N37" i="97" s="1"/>
  <c r="P36" i="97" a="1"/>
  <c r="P36" i="97" s="1"/>
  <c r="O36" i="97" a="1"/>
  <c r="O36" i="97" s="1"/>
  <c r="N36" i="97" a="1"/>
  <c r="N36" i="97" s="1"/>
  <c r="Q36" i="97" a="1"/>
  <c r="Q36" i="97" s="1"/>
  <c r="O34" i="97" a="1"/>
  <c r="O34" i="97" s="1"/>
  <c r="N34" i="97" a="1"/>
  <c r="N34" i="97" s="1"/>
  <c r="Q34" i="97" a="1"/>
  <c r="Q34" i="97" s="1"/>
  <c r="P34" i="97" a="1"/>
  <c r="P34" i="97" s="1"/>
  <c r="N32" i="97" a="1"/>
  <c r="N32" i="97" s="1"/>
  <c r="P32" i="97" a="1"/>
  <c r="P32" i="97" s="1"/>
  <c r="O32" i="97" a="1"/>
  <c r="O32" i="97" s="1"/>
  <c r="P33" i="97" a="1"/>
  <c r="P33" i="97" s="1"/>
  <c r="O33" i="97" a="1"/>
  <c r="O33" i="97" s="1"/>
  <c r="N33" i="97" a="1"/>
  <c r="N33" i="97" s="1"/>
  <c r="Q26" i="97" a="1"/>
  <c r="Q26" i="97" s="1"/>
  <c r="P34" i="96" a="1"/>
  <c r="P34" i="96" s="1"/>
  <c r="Q34" i="96" a="1"/>
  <c r="Q34" i="96" s="1"/>
  <c r="P32" i="96" a="1"/>
  <c r="P32" i="96" s="1"/>
  <c r="O32" i="96" a="1"/>
  <c r="O32" i="96" s="1"/>
  <c r="N32" i="96" a="1"/>
  <c r="N32" i="96" s="1"/>
  <c r="P29" i="96" a="1"/>
  <c r="P29" i="96" s="1"/>
  <c r="O29" i="96" a="1"/>
  <c r="O29" i="96" s="1"/>
  <c r="N29" i="96" a="1"/>
  <c r="N29" i="96" s="1"/>
  <c r="Q29" i="96" a="1"/>
  <c r="Q29" i="96" s="1"/>
  <c r="Q28" i="96" a="1"/>
  <c r="Q28" i="96" s="1"/>
  <c r="P28" i="96" a="1"/>
  <c r="P28" i="96" s="1"/>
  <c r="O28" i="96" a="1"/>
  <c r="O28" i="96" s="1"/>
  <c r="N28" i="96" a="1"/>
  <c r="N28" i="96" s="1"/>
  <c r="N26" i="96" a="1"/>
  <c r="N26" i="96" s="1"/>
  <c r="Q26" i="96" a="1"/>
  <c r="Q26" i="96" s="1"/>
  <c r="P26" i="96" a="1"/>
  <c r="P26" i="96" s="1"/>
  <c r="O26" i="96" a="1"/>
  <c r="O26" i="96" s="1"/>
  <c r="Q32" i="96" a="1"/>
  <c r="Q32" i="96" s="1"/>
  <c r="P27" i="96" a="1"/>
  <c r="P27" i="96" s="1"/>
  <c r="O27" i="96" a="1"/>
  <c r="O27" i="96" s="1"/>
  <c r="N27" i="96" a="1"/>
  <c r="N27" i="96" s="1"/>
  <c r="Q27" i="96" a="1"/>
  <c r="Q27" i="96" s="1"/>
  <c r="Q38" i="96" a="1"/>
  <c r="Q38" i="96" s="1"/>
  <c r="E64" i="96" s="1"/>
  <c r="P38" i="96" a="1"/>
  <c r="P38" i="96" s="1"/>
  <c r="O38" i="96" a="1"/>
  <c r="O38" i="96" s="1"/>
  <c r="E62" i="96" s="1"/>
  <c r="N38" i="96" a="1"/>
  <c r="N38" i="96" s="1"/>
  <c r="E61" i="96" s="1"/>
  <c r="O36" i="96" a="1"/>
  <c r="O36" i="96" s="1"/>
  <c r="N36" i="96" a="1"/>
  <c r="N36" i="96" s="1"/>
  <c r="Q36" i="96" a="1"/>
  <c r="Q36" i="96" s="1"/>
  <c r="P36" i="96" a="1"/>
  <c r="P36" i="96" s="1"/>
  <c r="Q33" i="96" a="1"/>
  <c r="Q33" i="96" s="1"/>
  <c r="E52" i="96" s="1"/>
  <c r="P33" i="96" a="1"/>
  <c r="P33" i="96" s="1"/>
  <c r="E51" i="96" s="1"/>
  <c r="O33" i="96" a="1"/>
  <c r="O33" i="96" s="1"/>
  <c r="E50" i="96" s="1"/>
  <c r="N33" i="96" a="1"/>
  <c r="N33" i="96" s="1"/>
  <c r="E49" i="96" s="1"/>
  <c r="N34" i="96" a="1"/>
  <c r="N34" i="96" s="1"/>
  <c r="F26" i="90" a="1"/>
  <c r="F26" i="90" s="1"/>
  <c r="F34" i="90" a="1"/>
  <c r="F34" i="90" s="1"/>
  <c r="F38" i="90" a="1"/>
  <c r="F38" i="90" s="1"/>
  <c r="F33" i="90" a="1"/>
  <c r="F33" i="90" s="1"/>
  <c r="F41" i="90" a="1"/>
  <c r="F41" i="90" s="1"/>
  <c r="F70" i="89" a="1"/>
  <c r="F70" i="89" s="1"/>
  <c r="F63" i="89" a="1"/>
  <c r="F63" i="89" s="1"/>
  <c r="F39" i="90" a="1"/>
  <c r="F39" i="90" s="1"/>
  <c r="F137" i="89" a="1"/>
  <c r="F137" i="89" s="1"/>
  <c r="F25" i="90" a="1"/>
  <c r="F25" i="90" s="1"/>
  <c r="F37" i="90" a="1"/>
  <c r="F37" i="90" s="1"/>
  <c r="F23" i="90" a="1"/>
  <c r="F23" i="90" s="1"/>
  <c r="F40" i="90" a="1"/>
  <c r="F40" i="90" s="1"/>
  <c r="E14" i="13" a="1"/>
  <c r="E14" i="13" s="1"/>
  <c r="F14" i="13" s="1"/>
  <c r="I14" i="13" s="1" a="1"/>
  <c r="I14" i="13" s="1"/>
  <c r="F36" i="90" a="1"/>
  <c r="F36" i="90" s="1"/>
  <c r="F24" i="90" a="1"/>
  <c r="F24" i="90" s="1"/>
  <c r="F32" i="90" a="1"/>
  <c r="F32" i="90" s="1"/>
  <c r="F140" i="89" a="1"/>
  <c r="F140" i="89" s="1"/>
  <c r="F68" i="89" a="1"/>
  <c r="F68" i="89" s="1"/>
  <c r="F61" i="89" a="1"/>
  <c r="F61" i="89" s="1"/>
  <c r="E76" i="85" a="1"/>
  <c r="E76" i="85" s="1"/>
  <c r="E72" i="85" a="1"/>
  <c r="E72" i="85" s="1"/>
  <c r="F66" i="89" a="1"/>
  <c r="F66" i="89" s="1"/>
  <c r="F59" i="89" a="1"/>
  <c r="F59" i="89" s="1"/>
  <c r="F139" i="89" a="1"/>
  <c r="F139" i="89" s="1"/>
  <c r="E73" i="85" a="1"/>
  <c r="E73" i="85" s="1"/>
  <c r="F69" i="89" a="1"/>
  <c r="F69" i="89" s="1"/>
  <c r="E77" i="85" a="1"/>
  <c r="E77" i="85" s="1"/>
  <c r="E68" i="85" a="1"/>
  <c r="E68" i="85" s="1"/>
  <c r="F67" i="89" a="1"/>
  <c r="F67" i="89" s="1"/>
  <c r="E74" i="85" a="1"/>
  <c r="E74" i="85" s="1"/>
  <c r="F65" i="89" a="1"/>
  <c r="F65" i="89" s="1"/>
  <c r="F141" i="89" a="1"/>
  <c r="F141" i="89" s="1"/>
  <c r="F64" i="89" a="1"/>
  <c r="F64" i="89" s="1"/>
  <c r="F76" i="89" a="1"/>
  <c r="F76" i="89" s="1"/>
  <c r="F62" i="89" a="1"/>
  <c r="F62" i="89" s="1"/>
  <c r="F74" i="89" a="1"/>
  <c r="F74" i="89" s="1"/>
  <c r="F72" i="89" a="1"/>
  <c r="F72" i="89" s="1"/>
  <c r="F60" i="89" a="1"/>
  <c r="F60" i="89" s="1"/>
  <c r="F77" i="89" a="1"/>
  <c r="F77" i="89" s="1"/>
  <c r="F75" i="89" a="1"/>
  <c r="F75" i="89" s="1"/>
  <c r="F73" i="89" a="1"/>
  <c r="F73" i="89" s="1"/>
  <c r="F143" i="89" a="1"/>
  <c r="F143" i="89" s="1"/>
  <c r="F142" i="89" a="1"/>
  <c r="F142" i="89" s="1"/>
  <c r="F136" i="89" a="1"/>
  <c r="F136" i="89" s="1"/>
  <c r="F71" i="89" a="1"/>
  <c r="F71" i="89" s="1"/>
  <c r="F135" i="89" a="1"/>
  <c r="F135" i="89" s="1"/>
  <c r="F134" i="89" a="1"/>
  <c r="F134" i="89" s="1"/>
  <c r="F144" i="89" a="1"/>
  <c r="F144" i="89" s="1"/>
  <c r="O81" i="85" a="1"/>
  <c r="O81" i="85" s="1"/>
  <c r="P81" i="85" s="1" a="1"/>
  <c r="P81" i="85" s="1"/>
  <c r="Y44" i="81" a="1"/>
  <c r="Y44" i="81" s="1"/>
  <c r="E31" i="88"/>
  <c r="E15" i="13" s="1" a="1"/>
  <c r="E15" i="13" s="1"/>
  <c r="F15" i="13" s="1"/>
  <c r="I15" i="13" s="1"/>
  <c r="E36" i="81" a="1"/>
  <c r="E36" i="81" s="1"/>
  <c r="Y46" i="81" a="1"/>
  <c r="Y46" i="81" s="1"/>
  <c r="O80" i="85" a="1"/>
  <c r="O80" i="85" s="1"/>
  <c r="P80" i="85" s="1" a="1"/>
  <c r="P80" i="85" s="1"/>
  <c r="O86" i="85" a="1"/>
  <c r="O86" i="85" s="1"/>
  <c r="P86" i="85" s="1" a="1"/>
  <c r="P86" i="85" s="1"/>
  <c r="G182" i="80" a="1"/>
  <c r="G182" i="80" s="1"/>
  <c r="G240" i="80" s="1" a="1"/>
  <c r="G240" i="80" s="1"/>
  <c r="H34" i="81" a="1"/>
  <c r="H34" i="81" s="1"/>
  <c r="Y42" i="81" a="1"/>
  <c r="Y42" i="81" s="1"/>
  <c r="X37" i="81" a="1"/>
  <c r="X37" i="81" s="1"/>
  <c r="X42" i="81" a="1"/>
  <c r="X42" i="81" s="1"/>
  <c r="O79" i="85" a="1"/>
  <c r="O79" i="85" s="1"/>
  <c r="P79" i="85" s="1" a="1"/>
  <c r="P79" i="85" s="1"/>
  <c r="X46" i="81" a="1"/>
  <c r="X46" i="81" s="1"/>
  <c r="X36" i="81" a="1"/>
  <c r="X36" i="81" s="1"/>
  <c r="X40" i="81" a="1"/>
  <c r="X40" i="81" s="1"/>
  <c r="X45" i="81" a="1"/>
  <c r="X45" i="81" s="1"/>
  <c r="X44" i="81" a="1"/>
  <c r="X44" i="81" s="1"/>
  <c r="AA36" i="81" a="1"/>
  <c r="AA36" i="81" s="1"/>
  <c r="X47" i="81" a="1"/>
  <c r="X47" i="81" s="1"/>
  <c r="X43" i="81" a="1"/>
  <c r="X43" i="81" s="1"/>
  <c r="G34" i="81" a="1"/>
  <c r="G34" i="81" s="1"/>
  <c r="G36" i="81" a="1"/>
  <c r="G36" i="81" s="1"/>
  <c r="X38" i="81" a="1"/>
  <c r="X38" i="81" s="1"/>
  <c r="G28" i="85" a="1"/>
  <c r="G28" i="85" s="1"/>
  <c r="E69" i="85" s="1" a="1"/>
  <c r="E69" i="85" s="1"/>
  <c r="G33" i="81" a="1"/>
  <c r="G33" i="81" s="1"/>
  <c r="H33" i="81" a="1"/>
  <c r="H33" i="81" s="1"/>
  <c r="Z46" i="81" a="1"/>
  <c r="Z46" i="81" s="1"/>
  <c r="X41" i="81" a="1"/>
  <c r="X41" i="81" s="1"/>
  <c r="G35" i="81" a="1"/>
  <c r="G35" i="81" s="1"/>
  <c r="O83" i="85" a="1"/>
  <c r="O83" i="85" s="1"/>
  <c r="P83" i="85" s="1" a="1"/>
  <c r="P83" i="85" s="1"/>
  <c r="G19" i="86" a="1"/>
  <c r="G19" i="86" s="1"/>
  <c r="E58" i="86" s="1" a="1"/>
  <c r="E58" i="86" s="1"/>
  <c r="W38" i="81" a="1"/>
  <c r="W38" i="81" s="1"/>
  <c r="O77" i="85" a="1"/>
  <c r="O77" i="85" s="1"/>
  <c r="P77" i="85" s="1" a="1"/>
  <c r="P77" i="85" s="1"/>
  <c r="O84" i="85" a="1"/>
  <c r="O84" i="85" s="1"/>
  <c r="P84" i="85" s="1" a="1"/>
  <c r="P84" i="85" s="1"/>
  <c r="O85" i="85" a="1"/>
  <c r="O85" i="85" s="1"/>
  <c r="P85" i="85" s="1" a="1"/>
  <c r="P85" i="85" s="1"/>
  <c r="G34" i="86" a="1"/>
  <c r="G34" i="86" s="1"/>
  <c r="E73" i="86" s="1" a="1"/>
  <c r="E73" i="86" s="1"/>
  <c r="AA102" i="81" a="1"/>
  <c r="AA102" i="81" s="1"/>
  <c r="W36" i="81" a="1"/>
  <c r="W36" i="81" s="1"/>
  <c r="Y39" i="81" a="1"/>
  <c r="Y39" i="81" s="1"/>
  <c r="W42" i="81" a="1"/>
  <c r="W42" i="81" s="1"/>
  <c r="O78" i="85" a="1"/>
  <c r="O78" i="85" s="1"/>
  <c r="P78" i="85" s="1" a="1"/>
  <c r="P78" i="85" s="1"/>
  <c r="G37" i="86" a="1"/>
  <c r="G37" i="86" s="1"/>
  <c r="E76" i="86" s="1" a="1"/>
  <c r="E76" i="86" s="1"/>
  <c r="G20" i="86" a="1"/>
  <c r="G20" i="86" s="1"/>
  <c r="E59" i="86" s="1" a="1"/>
  <c r="E59" i="86" s="1"/>
  <c r="Y45" i="81" a="1"/>
  <c r="Y45" i="81" s="1"/>
  <c r="Y47" i="81" a="1"/>
  <c r="Y47" i="81" s="1"/>
  <c r="AF199" i="80" a="1"/>
  <c r="AF199" i="80" s="1"/>
  <c r="AF273" i="80" s="1" a="1"/>
  <c r="AF273" i="80" s="1"/>
  <c r="V45" i="81" a="1"/>
  <c r="V45" i="81" s="1"/>
  <c r="Z42" i="81" a="1"/>
  <c r="Z42" i="81" s="1"/>
  <c r="E33" i="81" a="1"/>
  <c r="E33" i="81" s="1"/>
  <c r="O82" i="85" a="1"/>
  <c r="O82" i="85" s="1"/>
  <c r="P82" i="85" s="1" a="1"/>
  <c r="P82" i="85" s="1"/>
  <c r="V43" i="81" a="1"/>
  <c r="V43" i="81" s="1"/>
  <c r="E35" i="81" a="1"/>
  <c r="E35" i="81" s="1"/>
  <c r="V47" i="81" a="1"/>
  <c r="V47" i="81" s="1"/>
  <c r="G24" i="85" a="1"/>
  <c r="G24" i="85" s="1"/>
  <c r="E65" i="85" s="1" a="1"/>
  <c r="E65" i="85" s="1"/>
  <c r="V46" i="81" a="1"/>
  <c r="V46" i="81" s="1"/>
  <c r="G34" i="85" a="1"/>
  <c r="G34" i="85" s="1"/>
  <c r="E75" i="85" s="1" a="1"/>
  <c r="E75" i="85" s="1"/>
  <c r="N181" i="80" a="1"/>
  <c r="N181" i="80" s="1"/>
  <c r="N239" i="80" s="1" a="1"/>
  <c r="N239" i="80" s="1"/>
  <c r="F182" i="80" a="1"/>
  <c r="F182" i="80" s="1"/>
  <c r="F240" i="80" s="1" a="1"/>
  <c r="F240" i="80" s="1"/>
  <c r="J34" i="81" a="1"/>
  <c r="J34" i="81" s="1"/>
  <c r="J36" i="81" a="1"/>
  <c r="J36" i="81" s="1"/>
  <c r="V37" i="81" a="1"/>
  <c r="V37" i="81" s="1"/>
  <c r="G30" i="85" a="1"/>
  <c r="G30" i="85" s="1"/>
  <c r="E71" i="85" s="1" a="1"/>
  <c r="E71" i="85" s="1"/>
  <c r="I33" i="81" a="1"/>
  <c r="I33" i="81" s="1"/>
  <c r="AA42" i="81" a="1"/>
  <c r="AA42" i="81" s="1"/>
  <c r="AA41" i="81" a="1"/>
  <c r="AA41" i="81" s="1"/>
  <c r="M184" i="80" a="1"/>
  <c r="M184" i="80" s="1"/>
  <c r="M242" i="80" s="1" a="1"/>
  <c r="M242" i="80" s="1"/>
  <c r="V44" i="81" a="1"/>
  <c r="V44" i="81" s="1"/>
  <c r="V38" i="81" a="1"/>
  <c r="V38" i="81" s="1"/>
  <c r="Y36" i="81" a="1"/>
  <c r="Y36" i="81" s="1"/>
  <c r="E34" i="81" a="1"/>
  <c r="E34" i="81" s="1"/>
  <c r="Y41" i="81" a="1"/>
  <c r="Y41" i="81" s="1"/>
  <c r="Y43" i="81" a="1"/>
  <c r="Y43" i="81" s="1"/>
  <c r="Y38" i="81" a="1"/>
  <c r="Y38" i="81" s="1"/>
  <c r="G26" i="85" a="1"/>
  <c r="G26" i="85" s="1"/>
  <c r="E67" i="85" s="1" a="1"/>
  <c r="E67" i="85" s="1"/>
  <c r="V52" i="85" a="1"/>
  <c r="V52" i="85" s="1"/>
  <c r="O182" i="80" a="1"/>
  <c r="O182" i="80" s="1"/>
  <c r="O240" i="80" s="1" a="1"/>
  <c r="O240" i="80" s="1"/>
  <c r="H35" i="81" a="1"/>
  <c r="H35" i="81" s="1"/>
  <c r="V39" i="81" a="1"/>
  <c r="V39" i="81" s="1"/>
  <c r="Y37" i="81" a="1"/>
  <c r="Y37" i="81" s="1"/>
  <c r="V36" i="81" a="1"/>
  <c r="V36" i="81" s="1"/>
  <c r="V41" i="81" a="1"/>
  <c r="V41" i="81" s="1"/>
  <c r="J33" i="81" a="1"/>
  <c r="J33" i="81" s="1"/>
  <c r="H36" i="81" a="1"/>
  <c r="H36" i="81" s="1"/>
  <c r="Z36" i="81" a="1"/>
  <c r="Z36" i="81" s="1"/>
  <c r="V40" i="81" a="1"/>
  <c r="V40" i="81" s="1"/>
  <c r="I35" i="81" a="1"/>
  <c r="I35" i="81" s="1"/>
  <c r="F35" i="81" a="1"/>
  <c r="F35" i="81" s="1"/>
  <c r="Z41" i="81" a="1"/>
  <c r="Z41" i="81" s="1"/>
  <c r="AC107" i="81" a="1"/>
  <c r="AC107" i="81" s="1"/>
  <c r="AB47" i="81" a="1"/>
  <c r="AB47" i="81" s="1"/>
  <c r="W110" i="81" a="1"/>
  <c r="W110" i="81" s="1"/>
  <c r="AB110" i="81" s="1" a="1"/>
  <c r="AB110" i="81" s="1"/>
  <c r="Z39" i="81" a="1"/>
  <c r="Z39" i="81" s="1"/>
  <c r="W100" i="81" a="1"/>
  <c r="W100" i="81" s="1"/>
  <c r="AC100" i="81" s="1" a="1"/>
  <c r="AC100" i="81" s="1"/>
  <c r="Z40" i="81" a="1"/>
  <c r="Z40" i="81" s="1"/>
  <c r="I34" i="81" a="1"/>
  <c r="I34" i="81" s="1"/>
  <c r="N182" i="80" a="1"/>
  <c r="N182" i="80" s="1"/>
  <c r="N240" i="80" s="1" a="1"/>
  <c r="N240" i="80" s="1"/>
  <c r="W111" i="81" a="1"/>
  <c r="W111" i="81" s="1"/>
  <c r="AB111" i="81" s="1" a="1"/>
  <c r="AB111" i="81" s="1"/>
  <c r="Z44" i="81" a="1"/>
  <c r="Z44" i="81" s="1"/>
  <c r="Z38" i="81" a="1"/>
  <c r="Z38" i="81" s="1"/>
  <c r="AB38" i="81" a="1"/>
  <c r="AB38" i="81" s="1"/>
  <c r="Y37" i="80" a="1"/>
  <c r="Y37" i="80" s="1"/>
  <c r="AC37" i="80" s="1" a="1"/>
  <c r="AC37" i="80" s="1"/>
  <c r="AA85" i="80" s="1" a="1"/>
  <c r="AA85" i="80" s="1"/>
  <c r="AA140" i="80" s="1" a="1"/>
  <c r="AA140" i="80" s="1"/>
  <c r="AB186" i="80" s="1" a="1"/>
  <c r="AB186" i="80" s="1"/>
  <c r="AB260" i="80" s="1" a="1"/>
  <c r="AB260" i="80" s="1"/>
  <c r="Z37" i="81" a="1"/>
  <c r="Z37" i="81" s="1"/>
  <c r="Z45" i="81" a="1"/>
  <c r="Z45" i="81" s="1"/>
  <c r="AA44" i="81" a="1"/>
  <c r="AA44" i="81" s="1"/>
  <c r="W37" i="81" a="1"/>
  <c r="W37" i="81" s="1"/>
  <c r="G30" i="80"/>
  <c r="L30" i="80" s="1" a="1"/>
  <c r="L30" i="80" s="1"/>
  <c r="H84" i="80" s="1" a="1"/>
  <c r="H84" i="80" s="1"/>
  <c r="H131" i="80" s="1" a="1"/>
  <c r="H131" i="80" s="1"/>
  <c r="AA40" i="81" a="1"/>
  <c r="AA40" i="81" s="1"/>
  <c r="W41" i="81" a="1"/>
  <c r="W41" i="81" s="1"/>
  <c r="G31" i="80"/>
  <c r="L31" i="80" s="1" a="1"/>
  <c r="L31" i="80" s="1"/>
  <c r="H85" i="80" s="1" a="1"/>
  <c r="H85" i="80" s="1"/>
  <c r="H132" i="80" s="1" a="1"/>
  <c r="H132" i="80" s="1"/>
  <c r="AD41" i="81" a="1"/>
  <c r="AD41" i="81" s="1"/>
  <c r="Y35" i="80" a="1"/>
  <c r="Y35" i="80" s="1"/>
  <c r="AE35" i="80" s="1" a="1"/>
  <c r="AE35" i="80" s="1"/>
  <c r="AC83" i="80" s="1" a="1"/>
  <c r="AC83" i="80" s="1"/>
  <c r="AC138" i="80" s="1" a="1"/>
  <c r="AC138" i="80" s="1"/>
  <c r="AD196" i="80" s="1" a="1"/>
  <c r="AD196" i="80" s="1"/>
  <c r="AD270" i="80" s="1" a="1"/>
  <c r="AD270" i="80" s="1"/>
  <c r="G33" i="80"/>
  <c r="L33" i="80" s="1" a="1"/>
  <c r="L33" i="80" s="1"/>
  <c r="H87" i="80" s="1" a="1"/>
  <c r="H87" i="80" s="1"/>
  <c r="H134" i="80" s="1" a="1"/>
  <c r="H134" i="80" s="1"/>
  <c r="I184" i="80" s="1" a="1"/>
  <c r="I184" i="80" s="1"/>
  <c r="I242" i="80" s="1" a="1"/>
  <c r="I242" i="80" s="1"/>
  <c r="W43" i="81" a="1"/>
  <c r="W43" i="81" s="1"/>
  <c r="W39" i="81" a="1"/>
  <c r="W39" i="81" s="1"/>
  <c r="Y36" i="80" a="1"/>
  <c r="Y36" i="80" s="1"/>
  <c r="AE36" i="80" s="1" a="1"/>
  <c r="AE36" i="80" s="1"/>
  <c r="AC84" i="80" s="1" a="1"/>
  <c r="AC84" i="80" s="1"/>
  <c r="AC139" i="80" s="1" a="1"/>
  <c r="AC139" i="80" s="1"/>
  <c r="AD197" i="80" s="1" a="1"/>
  <c r="AD197" i="80" s="1"/>
  <c r="AD271" i="80" s="1" a="1"/>
  <c r="AD271" i="80" s="1"/>
  <c r="AA43" i="81" a="1"/>
  <c r="AA43" i="81" s="1"/>
  <c r="AA45" i="81" a="1"/>
  <c r="AA45" i="81" s="1"/>
  <c r="W46" i="81" a="1"/>
  <c r="W46" i="81" s="1"/>
  <c r="F34" i="81" a="1"/>
  <c r="F34" i="81" s="1"/>
  <c r="J35" i="81" a="1"/>
  <c r="J35" i="81" s="1"/>
  <c r="W40" i="81" a="1"/>
  <c r="W40" i="81" s="1"/>
  <c r="AA47" i="81" a="1"/>
  <c r="AA47" i="81" s="1"/>
  <c r="W44" i="81" a="1"/>
  <c r="W44" i="81" s="1"/>
  <c r="F36" i="81" a="1"/>
  <c r="F36" i="81" s="1"/>
  <c r="W45" i="81" a="1"/>
  <c r="W45" i="81" s="1"/>
  <c r="AA46" i="81" a="1"/>
  <c r="AA46" i="81" s="1"/>
  <c r="M181" i="80" a="1"/>
  <c r="M181" i="80" s="1"/>
  <c r="M239" i="80" s="1" a="1"/>
  <c r="M239" i="80" s="1"/>
  <c r="AA38" i="81" a="1"/>
  <c r="AA38" i="81" s="1"/>
  <c r="W47" i="81" a="1"/>
  <c r="W47" i="81" s="1"/>
  <c r="AE33" i="80" a="1"/>
  <c r="AE33" i="80" s="1"/>
  <c r="AC81" i="80" s="1" a="1"/>
  <c r="AC81" i="80" s="1"/>
  <c r="AC136" i="80" s="1" a="1"/>
  <c r="AC136" i="80" s="1"/>
  <c r="AD182" i="80" s="1" a="1"/>
  <c r="AD182" i="80" s="1"/>
  <c r="AD256" i="80" s="1" a="1"/>
  <c r="AD256" i="80" s="1"/>
  <c r="L184" i="80" a="1"/>
  <c r="L184" i="80" s="1"/>
  <c r="L242" i="80" s="1" a="1"/>
  <c r="L242" i="80" s="1"/>
  <c r="H182" i="80" a="1"/>
  <c r="H182" i="80" s="1"/>
  <c r="H240" i="80" s="1" a="1"/>
  <c r="H240" i="80" s="1"/>
  <c r="AA37" i="81" a="1"/>
  <c r="AA37" i="81" s="1"/>
  <c r="F95" i="81" a="1"/>
  <c r="F95" i="81" s="1"/>
  <c r="K95" i="81" s="1" a="1"/>
  <c r="K95" i="81" s="1"/>
  <c r="X76" i="80" a="1"/>
  <c r="X76" i="80" s="1"/>
  <c r="X131" i="80" s="1" a="1"/>
  <c r="X131" i="80" s="1"/>
  <c r="Z47" i="81" a="1"/>
  <c r="Z47" i="81" s="1"/>
  <c r="M32" i="80" a="1"/>
  <c r="M32" i="80" s="1"/>
  <c r="I86" i="80" s="1" a="1"/>
  <c r="I86" i="80" s="1"/>
  <c r="I133" i="80" s="1" a="1"/>
  <c r="I133" i="80" s="1"/>
  <c r="J183" i="80" s="1" a="1"/>
  <c r="J183" i="80" s="1"/>
  <c r="J241" i="80" s="1" a="1"/>
  <c r="J241" i="80" s="1"/>
  <c r="AC109" i="81" a="1"/>
  <c r="AC109" i="81" s="1"/>
  <c r="AC29" i="80" a="1"/>
  <c r="AC29" i="80" s="1"/>
  <c r="AA77" i="80" s="1" a="1"/>
  <c r="AA77" i="80" s="1"/>
  <c r="AA132" i="80" s="1" a="1"/>
  <c r="AA132" i="80" s="1"/>
  <c r="AB178" i="80" s="1" a="1"/>
  <c r="AB178" i="80" s="1"/>
  <c r="AB252" i="80" s="1" a="1"/>
  <c r="AB252" i="80" s="1"/>
  <c r="AC44" i="81" a="1"/>
  <c r="AC44" i="81" s="1"/>
  <c r="Z43" i="81" a="1"/>
  <c r="Z43" i="81" s="1"/>
  <c r="AB109" i="81" a="1"/>
  <c r="AB109" i="81" s="1"/>
  <c r="AD47" i="81" a="1"/>
  <c r="AD47" i="81" s="1"/>
  <c r="M177" i="80" a="1"/>
  <c r="M177" i="80" s="1"/>
  <c r="M235" i="80" s="1" a="1"/>
  <c r="M235" i="80" s="1"/>
  <c r="E123" i="77" a="1"/>
  <c r="E123" i="77" s="1"/>
  <c r="AD29" i="80" a="1"/>
  <c r="AD29" i="80" s="1"/>
  <c r="AB77" i="80" s="1" a="1"/>
  <c r="AB77" i="80" s="1"/>
  <c r="AB132" i="80" s="1" a="1"/>
  <c r="AB132" i="80" s="1"/>
  <c r="AC178" i="80" s="1" a="1"/>
  <c r="AC178" i="80" s="1"/>
  <c r="AC252" i="80" s="1" a="1"/>
  <c r="AC252" i="80" s="1"/>
  <c r="AE30" i="80" a="1"/>
  <c r="AE30" i="80" s="1"/>
  <c r="AC78" i="80" s="1" a="1"/>
  <c r="AC78" i="80" s="1"/>
  <c r="AC133" i="80" s="1" a="1"/>
  <c r="AC133" i="80" s="1"/>
  <c r="AD191" i="80" s="1" a="1"/>
  <c r="AD191" i="80" s="1"/>
  <c r="AD265" i="80" s="1" a="1"/>
  <c r="AD265" i="80" s="1"/>
  <c r="L96" i="81" a="1"/>
  <c r="L96" i="81" s="1"/>
  <c r="K96" i="81" a="1"/>
  <c r="K96" i="81" s="1"/>
  <c r="J96" i="81" a="1"/>
  <c r="J96" i="81" s="1"/>
  <c r="K98" i="81" a="1"/>
  <c r="K98" i="81" s="1"/>
  <c r="J98" i="81" a="1"/>
  <c r="J98" i="81" s="1"/>
  <c r="L98" i="81" a="1"/>
  <c r="L98" i="81" s="1"/>
  <c r="AD42" i="81" a="1"/>
  <c r="AD42" i="81" s="1"/>
  <c r="AC106" i="81" a="1"/>
  <c r="AC106" i="81" s="1"/>
  <c r="AB106" i="81" a="1"/>
  <c r="AB106" i="81" s="1"/>
  <c r="AD37" i="81" a="1"/>
  <c r="AD37" i="81" s="1"/>
  <c r="M33" i="81" a="1"/>
  <c r="M33" i="81" s="1"/>
  <c r="AD43" i="81" a="1"/>
  <c r="AD43" i="81" s="1"/>
  <c r="M36" i="81" a="1"/>
  <c r="M36" i="81" s="1"/>
  <c r="AD45" i="81" a="1"/>
  <c r="AD45" i="81" s="1"/>
  <c r="L97" i="81" a="1"/>
  <c r="L97" i="81" s="1"/>
  <c r="J97" i="81" a="1"/>
  <c r="J97" i="81" s="1"/>
  <c r="AB41" i="81" a="1"/>
  <c r="AB41" i="81" s="1"/>
  <c r="AC41" i="81" a="1"/>
  <c r="AC41" i="81" s="1"/>
  <c r="AD38" i="81" a="1"/>
  <c r="AD38" i="81" s="1"/>
  <c r="AB37" i="81" a="1"/>
  <c r="AB37" i="81" s="1"/>
  <c r="AC46" i="81" a="1"/>
  <c r="AC46" i="81" s="1"/>
  <c r="L32" i="80" a="1"/>
  <c r="L32" i="80" s="1"/>
  <c r="H86" i="80" s="1" a="1"/>
  <c r="H86" i="80" s="1"/>
  <c r="H133" i="80" s="1" a="1"/>
  <c r="H133" i="80" s="1"/>
  <c r="I183" i="80" s="1" a="1"/>
  <c r="I183" i="80" s="1"/>
  <c r="I241" i="80" s="1" a="1"/>
  <c r="I241" i="80" s="1"/>
  <c r="L33" i="81" a="1"/>
  <c r="L33" i="81" s="1"/>
  <c r="AD40" i="81" a="1"/>
  <c r="AD40" i="81" s="1"/>
  <c r="AC102" i="81" a="1"/>
  <c r="AC102" i="81" s="1"/>
  <c r="AB107" i="81" a="1"/>
  <c r="AB107" i="81" s="1"/>
  <c r="AB40" i="81" a="1"/>
  <c r="AB40" i="81" s="1"/>
  <c r="K34" i="81" a="1"/>
  <c r="K34" i="81" s="1"/>
  <c r="L36" i="81" a="1"/>
  <c r="L36" i="81" s="1"/>
  <c r="AC108" i="81" a="1"/>
  <c r="AC108" i="81" s="1"/>
  <c r="M35" i="81" a="1"/>
  <c r="M35" i="81" s="1"/>
  <c r="AA108" i="81" a="1"/>
  <c r="AA108" i="81" s="1"/>
  <c r="AD46" i="81" a="1"/>
  <c r="AD46" i="81" s="1"/>
  <c r="AB44" i="81" a="1"/>
  <c r="AB44" i="81" s="1"/>
  <c r="AC47" i="81" a="1"/>
  <c r="AC47" i="81" s="1"/>
  <c r="AC45" i="81" a="1"/>
  <c r="AC45" i="81" s="1"/>
  <c r="AC42" i="81" a="1"/>
  <c r="AC42" i="81" s="1"/>
  <c r="K33" i="81" a="1"/>
  <c r="K33" i="81" s="1"/>
  <c r="AD44" i="81" a="1"/>
  <c r="AD44" i="81" s="1"/>
  <c r="AC40" i="81" a="1"/>
  <c r="AC40" i="81" s="1"/>
  <c r="AB45" i="81" a="1"/>
  <c r="AB45" i="81" s="1"/>
  <c r="AB104" i="81" a="1"/>
  <c r="AB104" i="81" s="1"/>
  <c r="AA104" i="81" a="1"/>
  <c r="AA104" i="81" s="1"/>
  <c r="AB43" i="81" a="1"/>
  <c r="AB43" i="81" s="1"/>
  <c r="AC30" i="80" a="1"/>
  <c r="AC30" i="80" s="1"/>
  <c r="AA78" i="80" s="1" a="1"/>
  <c r="AA78" i="80" s="1"/>
  <c r="AA133" i="80" s="1" a="1"/>
  <c r="AA133" i="80" s="1"/>
  <c r="AB191" i="80" s="1" a="1"/>
  <c r="AB191" i="80" s="1"/>
  <c r="AB265" i="80" s="1" a="1"/>
  <c r="AB265" i="80" s="1"/>
  <c r="AD39" i="81" a="1"/>
  <c r="AD39" i="81" s="1"/>
  <c r="AD36" i="81" a="1"/>
  <c r="AD36" i="81" s="1"/>
  <c r="L34" i="81" a="1"/>
  <c r="L34" i="81" s="1"/>
  <c r="AB39" i="81" a="1"/>
  <c r="AB39" i="81" s="1"/>
  <c r="AB42" i="81" a="1"/>
  <c r="AB42" i="81" s="1"/>
  <c r="K35" i="81" a="1"/>
  <c r="K35" i="81" s="1"/>
  <c r="AC37" i="81" a="1"/>
  <c r="AC37" i="81" s="1"/>
  <c r="AC39" i="81" a="1"/>
  <c r="AC39" i="81" s="1"/>
  <c r="L35" i="81" a="1"/>
  <c r="L35" i="81" s="1"/>
  <c r="H146" i="78"/>
  <c r="AC38" i="80" a="1"/>
  <c r="AC38" i="80" s="1"/>
  <c r="AA86" i="80" s="1" a="1"/>
  <c r="AA86" i="80" s="1"/>
  <c r="AA141" i="80" s="1" a="1"/>
  <c r="AA141" i="80" s="1"/>
  <c r="AB187" i="80" s="1" a="1"/>
  <c r="AB187" i="80" s="1"/>
  <c r="AB261" i="80" s="1" a="1"/>
  <c r="AB261" i="80" s="1"/>
  <c r="AC38" i="81" a="1"/>
  <c r="AC38" i="81" s="1"/>
  <c r="AB46" i="81" a="1"/>
  <c r="AB46" i="81" s="1"/>
  <c r="AC43" i="81" a="1"/>
  <c r="AC43" i="81" s="1"/>
  <c r="K36" i="81" a="1"/>
  <c r="K36" i="81" s="1"/>
  <c r="AB188" i="80" a="1"/>
  <c r="AB188" i="80" s="1"/>
  <c r="AB262" i="80" s="1" a="1"/>
  <c r="AB262" i="80" s="1"/>
  <c r="AB200" i="80" a="1"/>
  <c r="AB200" i="80" s="1"/>
  <c r="AB274" i="80" s="1" a="1"/>
  <c r="AB274" i="80" s="1"/>
  <c r="AD192" i="80" a="1"/>
  <c r="AD192" i="80" s="1"/>
  <c r="AD266" i="80" s="1" a="1"/>
  <c r="AD266" i="80" s="1"/>
  <c r="AD180" i="80" a="1"/>
  <c r="AD180" i="80" s="1"/>
  <c r="AD254" i="80" s="1" a="1"/>
  <c r="AD254" i="80" s="1"/>
  <c r="AB177" i="80" a="1"/>
  <c r="AB177" i="80" s="1"/>
  <c r="AB251" i="80" s="1" a="1"/>
  <c r="AB251" i="80" s="1"/>
  <c r="AB189" i="80" a="1"/>
  <c r="AB189" i="80" s="1"/>
  <c r="AB263" i="80" s="1" a="1"/>
  <c r="AB263" i="80" s="1"/>
  <c r="AB193" i="80" a="1"/>
  <c r="AB193" i="80" s="1"/>
  <c r="AB267" i="80" s="1" a="1"/>
  <c r="AB267" i="80" s="1"/>
  <c r="AB181" i="80" a="1"/>
  <c r="AB181" i="80" s="1"/>
  <c r="AB255" i="80" s="1" a="1"/>
  <c r="AB255" i="80" s="1"/>
  <c r="AD195" i="80" a="1"/>
  <c r="AD195" i="80" s="1"/>
  <c r="AD269" i="80" s="1" a="1"/>
  <c r="AD269" i="80" s="1"/>
  <c r="AD183" i="80" a="1"/>
  <c r="AD183" i="80" s="1"/>
  <c r="AD257" i="80" s="1" a="1"/>
  <c r="AD257" i="80" s="1"/>
  <c r="AD190" i="80" a="1"/>
  <c r="AD190" i="80" s="1"/>
  <c r="AD264" i="80" s="1" a="1"/>
  <c r="AD264" i="80" s="1"/>
  <c r="AD178" i="80" a="1"/>
  <c r="AD178" i="80" s="1"/>
  <c r="AD252" i="80" s="1" a="1"/>
  <c r="AD252" i="80" s="1"/>
  <c r="AD199" i="80" a="1"/>
  <c r="AD199" i="80" s="1"/>
  <c r="AD273" i="80" s="1" a="1"/>
  <c r="AD273" i="80" s="1"/>
  <c r="AD187" i="80" a="1"/>
  <c r="AD187" i="80" s="1"/>
  <c r="AD261" i="80" s="1" a="1"/>
  <c r="AD261" i="80" s="1"/>
  <c r="AC179" i="80" a="1"/>
  <c r="AC179" i="80" s="1"/>
  <c r="AC253" i="80" s="1" a="1"/>
  <c r="AC253" i="80" s="1"/>
  <c r="AC191" i="80" a="1"/>
  <c r="AC191" i="80" s="1"/>
  <c r="AC265" i="80" s="1" a="1"/>
  <c r="AC265" i="80" s="1"/>
  <c r="H179" i="80" a="1"/>
  <c r="H179" i="80" s="1"/>
  <c r="H237" i="80" s="1" a="1"/>
  <c r="H237" i="80" s="1"/>
  <c r="H183" i="80" a="1"/>
  <c r="H183" i="80" s="1"/>
  <c r="H241" i="80" s="1" a="1"/>
  <c r="H241" i="80" s="1"/>
  <c r="AE187" i="80" a="1"/>
  <c r="AE187" i="80" s="1"/>
  <c r="AE261" i="80" s="1" a="1"/>
  <c r="AE261" i="80" s="1"/>
  <c r="AE199" i="80" a="1"/>
  <c r="AE199" i="80" s="1"/>
  <c r="AE273" i="80" s="1" a="1"/>
  <c r="AE273" i="80" s="1"/>
  <c r="AH200" i="80" a="1"/>
  <c r="AH200" i="80" s="1"/>
  <c r="AH274" i="80" s="1" a="1"/>
  <c r="AH274" i="80" s="1"/>
  <c r="AH188" i="80" a="1"/>
  <c r="AH188" i="80" s="1"/>
  <c r="AH262" i="80" s="1" a="1"/>
  <c r="AH262" i="80" s="1"/>
  <c r="AG183" i="80" a="1"/>
  <c r="AG183" i="80" s="1"/>
  <c r="AG257" i="80" s="1" a="1"/>
  <c r="AG257" i="80" s="1"/>
  <c r="AG195" i="80" a="1"/>
  <c r="AG195" i="80" s="1"/>
  <c r="AG269" i="80" s="1" a="1"/>
  <c r="AG269" i="80" s="1"/>
  <c r="AF188" i="80" a="1"/>
  <c r="AF188" i="80" s="1"/>
  <c r="AF262" i="80" s="1" a="1"/>
  <c r="AF262" i="80" s="1"/>
  <c r="AF200" i="80" a="1"/>
  <c r="AF200" i="80" s="1"/>
  <c r="AF274" i="80" s="1" a="1"/>
  <c r="AF274" i="80" s="1"/>
  <c r="N180" i="80" a="1"/>
  <c r="N180" i="80" s="1"/>
  <c r="N238" i="80" s="1" a="1"/>
  <c r="N238" i="80" s="1"/>
  <c r="N184" i="80" a="1"/>
  <c r="N184" i="80" s="1"/>
  <c r="N242" i="80" s="1" a="1"/>
  <c r="N242" i="80" s="1"/>
  <c r="O178" i="80" a="1"/>
  <c r="O178" i="80" s="1"/>
  <c r="O236" i="80" s="1" a="1"/>
  <c r="O236" i="80" s="1"/>
  <c r="H178" i="80" a="1"/>
  <c r="H178" i="80" s="1"/>
  <c r="H236" i="80" s="1" a="1"/>
  <c r="H236" i="80" s="1"/>
  <c r="M178" i="80" a="1"/>
  <c r="M178" i="80" s="1"/>
  <c r="M236" i="80" s="1" a="1"/>
  <c r="M236" i="80" s="1"/>
  <c r="M182" i="80" a="1"/>
  <c r="M182" i="80" s="1"/>
  <c r="M240" i="80" s="1" a="1"/>
  <c r="M240" i="80" s="1"/>
  <c r="AF192" i="80" a="1"/>
  <c r="AF192" i="80" s="1"/>
  <c r="AF266" i="80" s="1" a="1"/>
  <c r="AF266" i="80" s="1"/>
  <c r="AF180" i="80" a="1"/>
  <c r="AF180" i="80" s="1"/>
  <c r="AF254" i="80" s="1" a="1"/>
  <c r="AF254" i="80" s="1"/>
  <c r="AE178" i="80" a="1"/>
  <c r="AE178" i="80" s="1"/>
  <c r="AE252" i="80" s="1" a="1"/>
  <c r="AE252" i="80" s="1"/>
  <c r="AE190" i="80" a="1"/>
  <c r="AE190" i="80" s="1"/>
  <c r="AE264" i="80" s="1" a="1"/>
  <c r="AE264" i="80" s="1"/>
  <c r="AF196" i="80" a="1"/>
  <c r="AF196" i="80" s="1"/>
  <c r="AF270" i="80" s="1" a="1"/>
  <c r="AF270" i="80" s="1"/>
  <c r="AF184" i="80" a="1"/>
  <c r="AF184" i="80" s="1"/>
  <c r="AF258" i="80" s="1" a="1"/>
  <c r="AF258" i="80" s="1"/>
  <c r="L183" i="80" a="1"/>
  <c r="L183" i="80" s="1"/>
  <c r="L241" i="80" s="1" a="1"/>
  <c r="L241" i="80" s="1"/>
  <c r="L179" i="80" a="1"/>
  <c r="L179" i="80" s="1"/>
  <c r="L237" i="80" s="1" a="1"/>
  <c r="L237" i="80" s="1"/>
  <c r="AD32" i="80" a="1"/>
  <c r="AD32" i="80" s="1"/>
  <c r="AB80" i="80" s="1" a="1"/>
  <c r="AB80" i="80" s="1"/>
  <c r="AB135" i="80" s="1" a="1"/>
  <c r="AB135" i="80" s="1"/>
  <c r="AG188" i="80" a="1"/>
  <c r="AG188" i="80" s="1"/>
  <c r="AG262" i="80" s="1" a="1"/>
  <c r="AG262" i="80" s="1"/>
  <c r="AG200" i="80" a="1"/>
  <c r="AG200" i="80" s="1"/>
  <c r="AG274" i="80" s="1" a="1"/>
  <c r="AG274" i="80" s="1"/>
  <c r="AC194" i="80" a="1"/>
  <c r="AC194" i="80" s="1"/>
  <c r="AC268" i="80" s="1" a="1"/>
  <c r="AC268" i="80" s="1"/>
  <c r="AC182" i="80" a="1"/>
  <c r="AC182" i="80" s="1"/>
  <c r="AC256" i="80" s="1" a="1"/>
  <c r="AC256" i="80" s="1"/>
  <c r="O180" i="80" a="1"/>
  <c r="O180" i="80" s="1"/>
  <c r="O238" i="80" s="1" a="1"/>
  <c r="O238" i="80" s="1"/>
  <c r="O184" i="80" a="1"/>
  <c r="O184" i="80" s="1"/>
  <c r="O242" i="80" s="1" a="1"/>
  <c r="O242" i="80" s="1"/>
  <c r="AD39" i="80" a="1"/>
  <c r="AD39" i="80" s="1"/>
  <c r="AB87" i="80" s="1" a="1"/>
  <c r="AB87" i="80" s="1"/>
  <c r="AB142" i="80" s="1" a="1"/>
  <c r="AB142" i="80" s="1"/>
  <c r="L181" i="80" a="1"/>
  <c r="L181" i="80" s="1"/>
  <c r="L239" i="80" s="1" a="1"/>
  <c r="L239" i="80" s="1"/>
  <c r="L177" i="80" a="1"/>
  <c r="L177" i="80" s="1"/>
  <c r="L235" i="80" s="1" a="1"/>
  <c r="L235" i="80" s="1"/>
  <c r="AA189" i="80" a="1"/>
  <c r="AA189" i="80" s="1"/>
  <c r="AA263" i="80" s="1" a="1"/>
  <c r="AA263" i="80" s="1"/>
  <c r="AA177" i="80" a="1"/>
  <c r="AA177" i="80" s="1"/>
  <c r="AA251" i="80" s="1" a="1"/>
  <c r="AA251" i="80" s="1"/>
  <c r="AH186" i="80" a="1"/>
  <c r="AH186" i="80" s="1"/>
  <c r="AH260" i="80" s="1" a="1"/>
  <c r="AH260" i="80" s="1"/>
  <c r="AH198" i="80" a="1"/>
  <c r="AH198" i="80" s="1"/>
  <c r="AH272" i="80" s="1" a="1"/>
  <c r="AH272" i="80" s="1"/>
  <c r="AG186" i="80" a="1"/>
  <c r="AG186" i="80" s="1"/>
  <c r="AG260" i="80" s="1" a="1"/>
  <c r="AG260" i="80" s="1"/>
  <c r="AG198" i="80" a="1"/>
  <c r="AG198" i="80" s="1"/>
  <c r="AG272" i="80" s="1" a="1"/>
  <c r="AG272" i="80" s="1"/>
  <c r="AG181" i="80" a="1"/>
  <c r="AG181" i="80" s="1"/>
  <c r="AG255" i="80" s="1" a="1"/>
  <c r="AG255" i="80" s="1"/>
  <c r="AG193" i="80" a="1"/>
  <c r="AG193" i="80" s="1"/>
  <c r="AG267" i="80" s="1" a="1"/>
  <c r="AG267" i="80" s="1"/>
  <c r="AF186" i="80" a="1"/>
  <c r="AF186" i="80" s="1"/>
  <c r="AF260" i="80" s="1" a="1"/>
  <c r="AF260" i="80" s="1"/>
  <c r="AF198" i="80" a="1"/>
  <c r="AF198" i="80" s="1"/>
  <c r="AF272" i="80" s="1" a="1"/>
  <c r="AF272" i="80" s="1"/>
  <c r="M180" i="80" a="1"/>
  <c r="M180" i="80" s="1"/>
  <c r="M238" i="80" s="1" a="1"/>
  <c r="M238" i="80" s="1"/>
  <c r="AE28" i="80" a="1"/>
  <c r="AE28" i="80" s="1"/>
  <c r="AC76" i="80" s="1" a="1"/>
  <c r="AC76" i="80" s="1"/>
  <c r="AC131" i="80" s="1" a="1"/>
  <c r="AC131" i="80" s="1"/>
  <c r="M146" i="78"/>
  <c r="AH196" i="80" a="1"/>
  <c r="AH196" i="80" s="1"/>
  <c r="AH270" i="80" s="1" a="1"/>
  <c r="AH270" i="80" s="1"/>
  <c r="AH184" i="80" a="1"/>
  <c r="AH184" i="80" s="1"/>
  <c r="AH258" i="80" s="1" a="1"/>
  <c r="AH258" i="80" s="1"/>
  <c r="AC34" i="80" a="1"/>
  <c r="AC34" i="80" s="1"/>
  <c r="AA82" i="80" s="1" a="1"/>
  <c r="AA82" i="80" s="1"/>
  <c r="AA137" i="80" s="1" a="1"/>
  <c r="AA137" i="80" s="1"/>
  <c r="AE194" i="80" a="1"/>
  <c r="AE194" i="80" s="1"/>
  <c r="AE268" i="80" s="1" a="1"/>
  <c r="AE268" i="80" s="1"/>
  <c r="AE182" i="80" a="1"/>
  <c r="AE182" i="80" s="1"/>
  <c r="AE256" i="80" s="1" a="1"/>
  <c r="AE256" i="80" s="1"/>
  <c r="Z198" i="80" a="1"/>
  <c r="Z198" i="80" s="1"/>
  <c r="Z272" i="80" s="1" a="1"/>
  <c r="Z272" i="80" s="1"/>
  <c r="Z186" i="80" a="1"/>
  <c r="Z186" i="80" s="1"/>
  <c r="Z260" i="80" s="1" a="1"/>
  <c r="Z260" i="80" s="1"/>
  <c r="AF197" i="80" a="1"/>
  <c r="AF197" i="80" s="1"/>
  <c r="AF271" i="80" s="1" a="1"/>
  <c r="AF271" i="80" s="1"/>
  <c r="AF185" i="80" a="1"/>
  <c r="AF185" i="80" s="1"/>
  <c r="AF259" i="80" s="1" a="1"/>
  <c r="AF259" i="80" s="1"/>
  <c r="Y186" i="80" a="1"/>
  <c r="Y186" i="80" s="1"/>
  <c r="Y260" i="80" s="1" a="1"/>
  <c r="Y260" i="80" s="1"/>
  <c r="Y198" i="80" a="1"/>
  <c r="Y198" i="80" s="1"/>
  <c r="Y272" i="80" s="1" a="1"/>
  <c r="Y272" i="80" s="1"/>
  <c r="G177" i="80" a="1"/>
  <c r="G177" i="80" s="1"/>
  <c r="G235" i="80" s="1" a="1"/>
  <c r="G235" i="80" s="1"/>
  <c r="G181" i="80" a="1"/>
  <c r="G181" i="80" s="1"/>
  <c r="G239" i="80" s="1" a="1"/>
  <c r="G239" i="80" s="1"/>
  <c r="AE188" i="80" a="1"/>
  <c r="AE188" i="80" s="1"/>
  <c r="AE262" i="80" s="1" a="1"/>
  <c r="AE262" i="80" s="1"/>
  <c r="AE200" i="80" a="1"/>
  <c r="AE200" i="80" s="1"/>
  <c r="AE274" i="80" s="1" a="1"/>
  <c r="AE274" i="80" s="1"/>
  <c r="AA196" i="80" a="1"/>
  <c r="AA196" i="80" s="1"/>
  <c r="AA270" i="80" s="1" a="1"/>
  <c r="AA270" i="80" s="1"/>
  <c r="AA184" i="80" a="1"/>
  <c r="AA184" i="80" s="1"/>
  <c r="AA258" i="80" s="1" a="1"/>
  <c r="AA258" i="80" s="1"/>
  <c r="AE180" i="80" a="1"/>
  <c r="AE180" i="80" s="1"/>
  <c r="AE254" i="80" s="1" a="1"/>
  <c r="AE254" i="80" s="1"/>
  <c r="AE192" i="80" a="1"/>
  <c r="AE192" i="80" s="1"/>
  <c r="AE266" i="80" s="1" a="1"/>
  <c r="AE266" i="80" s="1"/>
  <c r="Y185" i="80" a="1"/>
  <c r="Y185" i="80" s="1"/>
  <c r="Y259" i="80" s="1" a="1"/>
  <c r="Y259" i="80" s="1"/>
  <c r="Y197" i="80" a="1"/>
  <c r="Y197" i="80" s="1"/>
  <c r="Y271" i="80" s="1" a="1"/>
  <c r="Y271" i="80" s="1"/>
  <c r="Y179" i="80" a="1"/>
  <c r="Y179" i="80" s="1"/>
  <c r="Y253" i="80" s="1" a="1"/>
  <c r="Y253" i="80" s="1"/>
  <c r="Y191" i="80" a="1"/>
  <c r="Y191" i="80" s="1"/>
  <c r="Y265" i="80" s="1" a="1"/>
  <c r="Y265" i="80" s="1"/>
  <c r="AH199" i="80" a="1"/>
  <c r="AH199" i="80" s="1"/>
  <c r="AH273" i="80" s="1" a="1"/>
  <c r="AH273" i="80" s="1"/>
  <c r="AH187" i="80" a="1"/>
  <c r="AH187" i="80" s="1"/>
  <c r="AH261" i="80" s="1" a="1"/>
  <c r="AH261" i="80" s="1"/>
  <c r="N177" i="80" a="1"/>
  <c r="N177" i="80" s="1"/>
  <c r="N235" i="80" s="1" a="1"/>
  <c r="N235" i="80" s="1"/>
  <c r="AH194" i="80" a="1"/>
  <c r="AH194" i="80" s="1"/>
  <c r="AH268" i="80" s="1" a="1"/>
  <c r="AH268" i="80" s="1"/>
  <c r="AH182" i="80" a="1"/>
  <c r="AH182" i="80" s="1"/>
  <c r="AH256" i="80" s="1" a="1"/>
  <c r="AH256" i="80" s="1"/>
  <c r="Z194" i="80" a="1"/>
  <c r="Z194" i="80" s="1"/>
  <c r="Z268" i="80" s="1" a="1"/>
  <c r="Z268" i="80" s="1"/>
  <c r="Z182" i="80" a="1"/>
  <c r="Z182" i="80" s="1"/>
  <c r="Z256" i="80" s="1" a="1"/>
  <c r="Z256" i="80" s="1"/>
  <c r="AA197" i="80" a="1"/>
  <c r="AA197" i="80" s="1"/>
  <c r="AA271" i="80" s="1" a="1"/>
  <c r="AA271" i="80" s="1"/>
  <c r="AA185" i="80" a="1"/>
  <c r="AA185" i="80" s="1"/>
  <c r="AA259" i="80" s="1" a="1"/>
  <c r="AA259" i="80" s="1"/>
  <c r="AA200" i="80" a="1"/>
  <c r="AA200" i="80" s="1"/>
  <c r="AA274" i="80" s="1" a="1"/>
  <c r="AA274" i="80" s="1"/>
  <c r="AA188" i="80" a="1"/>
  <c r="AA188" i="80" s="1"/>
  <c r="AA262" i="80" s="1" a="1"/>
  <c r="AA262" i="80" s="1"/>
  <c r="AC31" i="80" a="1"/>
  <c r="AC31" i="80" s="1"/>
  <c r="AA79" i="80" s="1" a="1"/>
  <c r="AA79" i="80" s="1"/>
  <c r="AA134" i="80" s="1" a="1"/>
  <c r="AA134" i="80" s="1"/>
  <c r="AA191" i="80" a="1"/>
  <c r="AA191" i="80" s="1"/>
  <c r="AA265" i="80" s="1" a="1"/>
  <c r="AA265" i="80" s="1"/>
  <c r="AA179" i="80" a="1"/>
  <c r="AA179" i="80" s="1"/>
  <c r="AA253" i="80" s="1" a="1"/>
  <c r="AA253" i="80" s="1"/>
  <c r="AA183" i="80" a="1"/>
  <c r="AA183" i="80" s="1"/>
  <c r="AA257" i="80" s="1" a="1"/>
  <c r="AA257" i="80" s="1"/>
  <c r="AA195" i="80" a="1"/>
  <c r="AA195" i="80" s="1"/>
  <c r="AA269" i="80" s="1" a="1"/>
  <c r="AA269" i="80" s="1"/>
  <c r="AE196" i="80" a="1"/>
  <c r="AE196" i="80" s="1"/>
  <c r="AE270" i="80" s="1" a="1"/>
  <c r="AE270" i="80" s="1"/>
  <c r="AE184" i="80" a="1"/>
  <c r="AE184" i="80" s="1"/>
  <c r="AE258" i="80" s="1" a="1"/>
  <c r="AE258" i="80" s="1"/>
  <c r="Z195" i="80" a="1"/>
  <c r="Z195" i="80" s="1"/>
  <c r="Z269" i="80" s="1" a="1"/>
  <c r="Z269" i="80" s="1"/>
  <c r="Z183" i="80" a="1"/>
  <c r="Z183" i="80" s="1"/>
  <c r="Z257" i="80" s="1" a="1"/>
  <c r="Z257" i="80" s="1"/>
  <c r="AF177" i="80" a="1"/>
  <c r="AF177" i="80" s="1"/>
  <c r="AF251" i="80" s="1" a="1"/>
  <c r="AF251" i="80" s="1"/>
  <c r="AF189" i="80" a="1"/>
  <c r="AF189" i="80" s="1"/>
  <c r="AF263" i="80" s="1" a="1"/>
  <c r="AF263" i="80" s="1"/>
  <c r="Y183" i="80" a="1"/>
  <c r="Y183" i="80" s="1"/>
  <c r="Y257" i="80" s="1" a="1"/>
  <c r="Y257" i="80" s="1"/>
  <c r="Y195" i="80" a="1"/>
  <c r="Y195" i="80" s="1"/>
  <c r="Y269" i="80" s="1" a="1"/>
  <c r="Y269" i="80" s="1"/>
  <c r="AE198" i="80" a="1"/>
  <c r="AE198" i="80" s="1"/>
  <c r="AE272" i="80" s="1" a="1"/>
  <c r="AE272" i="80" s="1"/>
  <c r="AE186" i="80" a="1"/>
  <c r="AE186" i="80" s="1"/>
  <c r="AE260" i="80" s="1" a="1"/>
  <c r="AE260" i="80" s="1"/>
  <c r="Y199" i="80" a="1"/>
  <c r="Y199" i="80" s="1"/>
  <c r="Y273" i="80" s="1" a="1"/>
  <c r="Y273" i="80" s="1"/>
  <c r="Y187" i="80" a="1"/>
  <c r="Y187" i="80" s="1"/>
  <c r="Y261" i="80" s="1" a="1"/>
  <c r="Y261" i="80" s="1"/>
  <c r="AH192" i="80" a="1"/>
  <c r="AH192" i="80" s="1"/>
  <c r="AH266" i="80" s="1" a="1"/>
  <c r="AH266" i="80" s="1"/>
  <c r="AH180" i="80" a="1"/>
  <c r="AH180" i="80" s="1"/>
  <c r="AH254" i="80" s="1" a="1"/>
  <c r="AH254" i="80" s="1"/>
  <c r="Z196" i="80" a="1"/>
  <c r="Z196" i="80" s="1"/>
  <c r="Z270" i="80" s="1" a="1"/>
  <c r="Z270" i="80" s="1"/>
  <c r="Z184" i="80" a="1"/>
  <c r="Z184" i="80" s="1"/>
  <c r="Z258" i="80" s="1" a="1"/>
  <c r="Z258" i="80" s="1"/>
  <c r="O179" i="80" a="1"/>
  <c r="O179" i="80" s="1"/>
  <c r="O237" i="80" s="1" a="1"/>
  <c r="O237" i="80" s="1"/>
  <c r="O183" i="80" a="1"/>
  <c r="O183" i="80" s="1"/>
  <c r="O241" i="80" s="1" a="1"/>
  <c r="O241" i="80" s="1"/>
  <c r="AH189" i="80" a="1"/>
  <c r="AH189" i="80" s="1"/>
  <c r="AH263" i="80" s="1" a="1"/>
  <c r="AH263" i="80" s="1"/>
  <c r="AH177" i="80" a="1"/>
  <c r="AH177" i="80" s="1"/>
  <c r="AH251" i="80" s="1" a="1"/>
  <c r="AH251" i="80" s="1"/>
  <c r="AA181" i="80" a="1"/>
  <c r="AA181" i="80" s="1"/>
  <c r="AA255" i="80" s="1" a="1"/>
  <c r="AA255" i="80" s="1"/>
  <c r="AA193" i="80" a="1"/>
  <c r="AA193" i="80" s="1"/>
  <c r="AA267" i="80" s="1" a="1"/>
  <c r="AA267" i="80" s="1"/>
  <c r="AH195" i="80" a="1"/>
  <c r="AH195" i="80" s="1"/>
  <c r="AH269" i="80" s="1" a="1"/>
  <c r="AH269" i="80" s="1"/>
  <c r="AH183" i="80" a="1"/>
  <c r="AH183" i="80" s="1"/>
  <c r="AH257" i="80" s="1" a="1"/>
  <c r="AH257" i="80" s="1"/>
  <c r="Z181" i="80" a="1"/>
  <c r="Z181" i="80" s="1"/>
  <c r="Z255" i="80" s="1" a="1"/>
  <c r="Z255" i="80" s="1"/>
  <c r="Z193" i="80" a="1"/>
  <c r="Z193" i="80" s="1"/>
  <c r="Z267" i="80" s="1" a="1"/>
  <c r="Z267" i="80" s="1"/>
  <c r="F177" i="80" a="1"/>
  <c r="F177" i="80" s="1"/>
  <c r="F235" i="80" s="1" a="1"/>
  <c r="F235" i="80" s="1"/>
  <c r="F181" i="80" a="1"/>
  <c r="F181" i="80" s="1"/>
  <c r="F239" i="80" s="1" a="1"/>
  <c r="F239" i="80" s="1"/>
  <c r="Y193" i="80" a="1"/>
  <c r="Y193" i="80" s="1"/>
  <c r="Y267" i="80" s="1" a="1"/>
  <c r="Y267" i="80" s="1"/>
  <c r="Y181" i="80" a="1"/>
  <c r="Y181" i="80" s="1"/>
  <c r="Y255" i="80" s="1" a="1"/>
  <c r="Y255" i="80" s="1"/>
  <c r="AE195" i="80" a="1"/>
  <c r="AE195" i="80" s="1"/>
  <c r="AE269" i="80" s="1" a="1"/>
  <c r="AE269" i="80" s="1"/>
  <c r="AE183" i="80" a="1"/>
  <c r="AE183" i="80" s="1"/>
  <c r="AE257" i="80" s="1" a="1"/>
  <c r="AE257" i="80" s="1"/>
  <c r="G178" i="80" a="1"/>
  <c r="G178" i="80" s="1"/>
  <c r="G236" i="80" s="1" a="1"/>
  <c r="G236" i="80" s="1"/>
  <c r="AG199" i="80" a="1"/>
  <c r="AG199" i="80" s="1"/>
  <c r="AG273" i="80" s="1" a="1"/>
  <c r="AG273" i="80" s="1"/>
  <c r="Z192" i="80" a="1"/>
  <c r="Z192" i="80" s="1"/>
  <c r="Z266" i="80" s="1" a="1"/>
  <c r="Z266" i="80" s="1"/>
  <c r="Z180" i="80" a="1"/>
  <c r="Z180" i="80" s="1"/>
  <c r="Z254" i="80" s="1" a="1"/>
  <c r="Z254" i="80" s="1"/>
  <c r="AG194" i="80" a="1"/>
  <c r="AG194" i="80" s="1"/>
  <c r="AG268" i="80" s="1" a="1"/>
  <c r="AG268" i="80" s="1"/>
  <c r="AG182" i="80" a="1"/>
  <c r="AG182" i="80" s="1"/>
  <c r="AG256" i="80" s="1" a="1"/>
  <c r="AG256" i="80" s="1"/>
  <c r="F183" i="80" a="1"/>
  <c r="F183" i="80" s="1"/>
  <c r="F241" i="80" s="1" a="1"/>
  <c r="F241" i="80" s="1"/>
  <c r="F179" i="80" a="1"/>
  <c r="F179" i="80" s="1"/>
  <c r="F237" i="80" s="1" a="1"/>
  <c r="F237" i="80" s="1"/>
  <c r="AD28" i="80" a="1"/>
  <c r="AD28" i="80" s="1"/>
  <c r="AB76" i="80" s="1" a="1"/>
  <c r="AB76" i="80" s="1"/>
  <c r="AB131" i="80" s="1" a="1"/>
  <c r="AB131" i="80" s="1"/>
  <c r="AH179" i="80" a="1"/>
  <c r="AH179" i="80" s="1"/>
  <c r="AH253" i="80" s="1" a="1"/>
  <c r="AH253" i="80" s="1"/>
  <c r="AH191" i="80" a="1"/>
  <c r="AH191" i="80" s="1"/>
  <c r="AH265" i="80" s="1" a="1"/>
  <c r="AH265" i="80" s="1"/>
  <c r="AG179" i="80" a="1"/>
  <c r="AG179" i="80" s="1"/>
  <c r="AG253" i="80" s="1" a="1"/>
  <c r="AG253" i="80" s="1"/>
  <c r="AG191" i="80" a="1"/>
  <c r="AG191" i="80" s="1"/>
  <c r="AG265" i="80" s="1" a="1"/>
  <c r="AG265" i="80" s="1"/>
  <c r="AE39" i="80" a="1"/>
  <c r="AE39" i="80" s="1"/>
  <c r="AC87" i="80" s="1" a="1"/>
  <c r="AC87" i="80" s="1"/>
  <c r="AC142" i="80" s="1" a="1"/>
  <c r="AC142" i="80" s="1"/>
  <c r="AF179" i="80" a="1"/>
  <c r="AF179" i="80" s="1"/>
  <c r="AF253" i="80" s="1" a="1"/>
  <c r="AF253" i="80" s="1"/>
  <c r="AF191" i="80" a="1"/>
  <c r="AF191" i="80" s="1"/>
  <c r="AF265" i="80" s="1" a="1"/>
  <c r="AF265" i="80" s="1"/>
  <c r="AA194" i="80" a="1"/>
  <c r="AA194" i="80" s="1"/>
  <c r="AA268" i="80" s="1" a="1"/>
  <c r="AA268" i="80" s="1"/>
  <c r="AA182" i="80" a="1"/>
  <c r="AA182" i="80" s="1"/>
  <c r="AA256" i="80" s="1" a="1"/>
  <c r="AA256" i="80" s="1"/>
  <c r="N178" i="80" a="1"/>
  <c r="N178" i="80" s="1"/>
  <c r="N236" i="80" s="1" a="1"/>
  <c r="N236" i="80" s="1"/>
  <c r="AG190" i="80" a="1"/>
  <c r="AG190" i="80" s="1"/>
  <c r="AG264" i="80" s="1" a="1"/>
  <c r="AG264" i="80" s="1"/>
  <c r="AG178" i="80" a="1"/>
  <c r="AG178" i="80" s="1"/>
  <c r="AG252" i="80" s="1" a="1"/>
  <c r="AG252" i="80" s="1"/>
  <c r="AG192" i="80" a="1"/>
  <c r="AG192" i="80" s="1"/>
  <c r="AG266" i="80" s="1" a="1"/>
  <c r="AG266" i="80" s="1"/>
  <c r="AG180" i="80" a="1"/>
  <c r="AG180" i="80" s="1"/>
  <c r="AG254" i="80" s="1" a="1"/>
  <c r="AG254" i="80" s="1"/>
  <c r="L178" i="80" a="1"/>
  <c r="L178" i="80" s="1"/>
  <c r="L236" i="80" s="1" a="1"/>
  <c r="L236" i="80" s="1"/>
  <c r="L182" i="80" a="1"/>
  <c r="L182" i="80" s="1"/>
  <c r="L240" i="80" s="1" a="1"/>
  <c r="L240" i="80" s="1"/>
  <c r="AE32" i="80" a="1"/>
  <c r="AE32" i="80" s="1"/>
  <c r="AC80" i="80" s="1" a="1"/>
  <c r="AC80" i="80" s="1"/>
  <c r="AC135" i="80" s="1" a="1"/>
  <c r="AC135" i="80" s="1"/>
  <c r="AH181" i="80" a="1"/>
  <c r="AH181" i="80" s="1"/>
  <c r="AH255" i="80" s="1" a="1"/>
  <c r="AH255" i="80" s="1"/>
  <c r="AH193" i="80" a="1"/>
  <c r="AH193" i="80" s="1"/>
  <c r="AH267" i="80" s="1" a="1"/>
  <c r="AH267" i="80" s="1"/>
  <c r="AD38" i="80" a="1"/>
  <c r="AD38" i="80" s="1"/>
  <c r="AB86" i="80" s="1" a="1"/>
  <c r="AB86" i="80" s="1"/>
  <c r="AB141" i="80" s="1" a="1"/>
  <c r="AB141" i="80" s="1"/>
  <c r="Z187" i="80" a="1"/>
  <c r="Z187" i="80" s="1"/>
  <c r="Z261" i="80" s="1" a="1"/>
  <c r="Z261" i="80" s="1"/>
  <c r="Z199" i="80" a="1"/>
  <c r="Z199" i="80" s="1"/>
  <c r="Z273" i="80" s="1" a="1"/>
  <c r="Z273" i="80" s="1"/>
  <c r="AE191" i="80" a="1"/>
  <c r="AE191" i="80" s="1"/>
  <c r="AE265" i="80" s="1" a="1"/>
  <c r="AE265" i="80" s="1"/>
  <c r="AE179" i="80" a="1"/>
  <c r="AE179" i="80" s="1"/>
  <c r="AE253" i="80" s="1" a="1"/>
  <c r="AE253" i="80" s="1"/>
  <c r="AE193" i="80" a="1"/>
  <c r="AE193" i="80" s="1"/>
  <c r="AE267" i="80" s="1" a="1"/>
  <c r="AE267" i="80" s="1"/>
  <c r="AE181" i="80" a="1"/>
  <c r="AE181" i="80" s="1"/>
  <c r="AE255" i="80" s="1" a="1"/>
  <c r="AE255" i="80" s="1"/>
  <c r="AC33" i="80" a="1"/>
  <c r="AC33" i="80" s="1"/>
  <c r="AA81" i="80" s="1" a="1"/>
  <c r="AA81" i="80" s="1"/>
  <c r="AA136" i="80" s="1" a="1"/>
  <c r="AA136" i="80" s="1"/>
  <c r="Y190" i="80" a="1"/>
  <c r="Y190" i="80" s="1"/>
  <c r="Y264" i="80" s="1" a="1"/>
  <c r="Y264" i="80" s="1"/>
  <c r="Y178" i="80" a="1"/>
  <c r="Y178" i="80" s="1"/>
  <c r="Y252" i="80" s="1" a="1"/>
  <c r="Y252" i="80" s="1"/>
  <c r="Y180" i="80" a="1"/>
  <c r="Y180" i="80" s="1"/>
  <c r="Y254" i="80" s="1" a="1"/>
  <c r="Y254" i="80" s="1"/>
  <c r="Y192" i="80" a="1"/>
  <c r="Y192" i="80" s="1"/>
  <c r="Y266" i="80" s="1" a="1"/>
  <c r="Y266" i="80" s="1"/>
  <c r="AH185" i="80" a="1"/>
  <c r="AH185" i="80" s="1"/>
  <c r="AH259" i="80" s="1" a="1"/>
  <c r="AH259" i="80" s="1"/>
  <c r="AH197" i="80" a="1"/>
  <c r="AH197" i="80" s="1"/>
  <c r="AH271" i="80" s="1" a="1"/>
  <c r="AH271" i="80" s="1"/>
  <c r="Z200" i="80" a="1"/>
  <c r="Z200" i="80" s="1"/>
  <c r="Z274" i="80" s="1" a="1"/>
  <c r="Z274" i="80" s="1"/>
  <c r="Z188" i="80" a="1"/>
  <c r="Z188" i="80" s="1"/>
  <c r="Z262" i="80" s="1" a="1"/>
  <c r="Z262" i="80" s="1"/>
  <c r="Z177" i="80" a="1"/>
  <c r="Z177" i="80" s="1"/>
  <c r="Z251" i="80" s="1" a="1"/>
  <c r="Z251" i="80" s="1"/>
  <c r="Z189" i="80" a="1"/>
  <c r="Z189" i="80" s="1"/>
  <c r="Z263" i="80" s="1" a="1"/>
  <c r="Z263" i="80" s="1"/>
  <c r="F184" i="80" a="1"/>
  <c r="F184" i="80" s="1"/>
  <c r="F242" i="80" s="1" a="1"/>
  <c r="F242" i="80" s="1"/>
  <c r="F180" i="80" a="1"/>
  <c r="F180" i="80" s="1"/>
  <c r="F238" i="80" s="1" a="1"/>
  <c r="F238" i="80" s="1"/>
  <c r="H181" i="80" a="1"/>
  <c r="H181" i="80" s="1"/>
  <c r="H239" i="80" s="1" a="1"/>
  <c r="H239" i="80" s="1"/>
  <c r="H177" i="80" a="1"/>
  <c r="H177" i="80" s="1"/>
  <c r="H235" i="80" s="1" a="1"/>
  <c r="H235" i="80" s="1"/>
  <c r="AF195" i="80" a="1"/>
  <c r="AF195" i="80" s="1"/>
  <c r="AF269" i="80" s="1" a="1"/>
  <c r="AF269" i="80" s="1"/>
  <c r="AF183" i="80" a="1"/>
  <c r="AF183" i="80" s="1"/>
  <c r="AF257" i="80" s="1" a="1"/>
  <c r="AF257" i="80" s="1"/>
  <c r="AA190" i="80" a="1"/>
  <c r="AA190" i="80" s="1"/>
  <c r="AA264" i="80" s="1" a="1"/>
  <c r="AA264" i="80" s="1"/>
  <c r="AA178" i="80" a="1"/>
  <c r="AA178" i="80" s="1"/>
  <c r="AA252" i="80" s="1" a="1"/>
  <c r="AA252" i="80" s="1"/>
  <c r="AA192" i="80" a="1"/>
  <c r="AA192" i="80" s="1"/>
  <c r="AA266" i="80" s="1" a="1"/>
  <c r="AA266" i="80" s="1"/>
  <c r="AA180" i="80" a="1"/>
  <c r="AA180" i="80" s="1"/>
  <c r="AA254" i="80" s="1" a="1"/>
  <c r="AA254" i="80" s="1"/>
  <c r="J147" i="78"/>
  <c r="AF190" i="80" a="1"/>
  <c r="AF190" i="80" s="1"/>
  <c r="AF264" i="80" s="1" a="1"/>
  <c r="AF264" i="80" s="1"/>
  <c r="AF178" i="80" a="1"/>
  <c r="AF178" i="80" s="1"/>
  <c r="AF252" i="80" s="1" a="1"/>
  <c r="AF252" i="80" s="1"/>
  <c r="AA186" i="80" a="1"/>
  <c r="AA186" i="80" s="1"/>
  <c r="AA260" i="80" s="1" a="1"/>
  <c r="AA260" i="80" s="1"/>
  <c r="AA198" i="80" a="1"/>
  <c r="AA198" i="80" s="1"/>
  <c r="AA272" i="80" s="1" a="1"/>
  <c r="AA272" i="80" s="1"/>
  <c r="Z179" i="80" a="1"/>
  <c r="Z179" i="80" s="1"/>
  <c r="Z253" i="80" s="1" a="1"/>
  <c r="Z253" i="80" s="1"/>
  <c r="Z191" i="80" a="1"/>
  <c r="Z191" i="80" s="1"/>
  <c r="Z265" i="80" s="1" a="1"/>
  <c r="Z265" i="80" s="1"/>
  <c r="AA187" i="80" a="1"/>
  <c r="AA187" i="80" s="1"/>
  <c r="AA261" i="80" s="1" a="1"/>
  <c r="AA261" i="80" s="1"/>
  <c r="AA199" i="80" a="1"/>
  <c r="AA199" i="80" s="1"/>
  <c r="AA273" i="80" s="1" a="1"/>
  <c r="AA273" i="80" s="1"/>
  <c r="O181" i="80" a="1"/>
  <c r="O181" i="80" s="1"/>
  <c r="O239" i="80" s="1" a="1"/>
  <c r="O239" i="80" s="1"/>
  <c r="O177" i="80" a="1"/>
  <c r="O177" i="80" s="1"/>
  <c r="O235" i="80" s="1" a="1"/>
  <c r="O235" i="80" s="1"/>
  <c r="AH178" i="80" a="1"/>
  <c r="AH178" i="80" s="1"/>
  <c r="AH252" i="80" s="1" a="1"/>
  <c r="AH252" i="80" s="1"/>
  <c r="AH190" i="80" a="1"/>
  <c r="AH190" i="80" s="1"/>
  <c r="AH264" i="80" s="1" a="1"/>
  <c r="AH264" i="80" s="1"/>
  <c r="F178" i="80" a="1"/>
  <c r="F178" i="80" s="1"/>
  <c r="F236" i="80" s="1" a="1"/>
  <c r="F236" i="80" s="1"/>
  <c r="AG196" i="80" a="1"/>
  <c r="AG196" i="80" s="1"/>
  <c r="AG270" i="80" s="1" a="1"/>
  <c r="AG270" i="80" s="1"/>
  <c r="AG184" i="80" a="1"/>
  <c r="AG184" i="80" s="1"/>
  <c r="AG258" i="80" s="1" a="1"/>
  <c r="AG258" i="80" s="1"/>
  <c r="Z197" i="80" a="1"/>
  <c r="Z197" i="80" s="1"/>
  <c r="Z271" i="80" s="1" a="1"/>
  <c r="Z271" i="80" s="1"/>
  <c r="Z185" i="80" a="1"/>
  <c r="Z185" i="80" s="1"/>
  <c r="Z259" i="80" s="1" a="1"/>
  <c r="Z259" i="80" s="1"/>
  <c r="M183" i="80" a="1"/>
  <c r="M183" i="80" s="1"/>
  <c r="M241" i="80" s="1" a="1"/>
  <c r="M241" i="80" s="1"/>
  <c r="M179" i="80" a="1"/>
  <c r="M179" i="80" s="1"/>
  <c r="M237" i="80" s="1" a="1"/>
  <c r="M237" i="80" s="1"/>
  <c r="AG177" i="80" a="1"/>
  <c r="AG177" i="80" s="1"/>
  <c r="AG251" i="80" s="1" a="1"/>
  <c r="AG251" i="80" s="1"/>
  <c r="AG189" i="80" a="1"/>
  <c r="AG189" i="80" s="1"/>
  <c r="AG263" i="80" s="1" a="1"/>
  <c r="AG263" i="80" s="1"/>
  <c r="K179" i="80" a="1"/>
  <c r="K179" i="80" s="1"/>
  <c r="K237" i="80" s="1" a="1"/>
  <c r="K237" i="80" s="1"/>
  <c r="K183" i="80" a="1"/>
  <c r="K183" i="80" s="1"/>
  <c r="K241" i="80" s="1" a="1"/>
  <c r="K241" i="80" s="1"/>
  <c r="G183" i="80" a="1"/>
  <c r="G183" i="80" s="1"/>
  <c r="G241" i="80" s="1" a="1"/>
  <c r="G241" i="80" s="1"/>
  <c r="G179" i="80" a="1"/>
  <c r="G179" i="80" s="1"/>
  <c r="G237" i="80" s="1" a="1"/>
  <c r="G237" i="80" s="1"/>
  <c r="AF181" i="80" a="1"/>
  <c r="AF181" i="80" s="1"/>
  <c r="AF255" i="80" s="1" a="1"/>
  <c r="AF255" i="80" s="1"/>
  <c r="AF193" i="80" a="1"/>
  <c r="AF193" i="80" s="1"/>
  <c r="AF267" i="80" s="1" a="1"/>
  <c r="AF267" i="80" s="1"/>
  <c r="Z190" i="80" a="1"/>
  <c r="Z190" i="80" s="1"/>
  <c r="Z264" i="80" s="1" a="1"/>
  <c r="Z264" i="80" s="1"/>
  <c r="Z178" i="80" a="1"/>
  <c r="Z178" i="80" s="1"/>
  <c r="Z252" i="80" s="1" a="1"/>
  <c r="Z252" i="80" s="1"/>
  <c r="L180" i="80" a="1"/>
  <c r="L180" i="80" s="1"/>
  <c r="L238" i="80" s="1" a="1"/>
  <c r="L238" i="80" s="1"/>
  <c r="AD34" i="80" a="1"/>
  <c r="AD34" i="80" s="1"/>
  <c r="AB82" i="80" s="1" a="1"/>
  <c r="AB82" i="80" s="1"/>
  <c r="AB137" i="80" s="1" a="1"/>
  <c r="AB137" i="80" s="1"/>
  <c r="Y196" i="80" a="1"/>
  <c r="Y196" i="80" s="1"/>
  <c r="Y270" i="80" s="1" a="1"/>
  <c r="Y270" i="80" s="1"/>
  <c r="Y184" i="80" a="1"/>
  <c r="Y184" i="80" s="1"/>
  <c r="Y258" i="80" s="1" a="1"/>
  <c r="Y258" i="80" s="1"/>
  <c r="Y188" i="80" a="1"/>
  <c r="Y188" i="80" s="1"/>
  <c r="Y262" i="80" s="1" a="1"/>
  <c r="Y262" i="80" s="1"/>
  <c r="Y200" i="80" a="1"/>
  <c r="Y200" i="80" s="1"/>
  <c r="Y274" i="80" s="1" a="1"/>
  <c r="Y274" i="80" s="1"/>
  <c r="N179" i="80" a="1"/>
  <c r="N179" i="80" s="1"/>
  <c r="N237" i="80" s="1" a="1"/>
  <c r="N237" i="80" s="1"/>
  <c r="N183" i="80" a="1"/>
  <c r="N183" i="80" s="1"/>
  <c r="N241" i="80" s="1" a="1"/>
  <c r="N241" i="80" s="1"/>
  <c r="H147" i="78"/>
  <c r="I149" i="78"/>
  <c r="AD31" i="80" a="1"/>
  <c r="AD31" i="80" s="1"/>
  <c r="AB79" i="80" s="1" a="1"/>
  <c r="AB79" i="80" s="1"/>
  <c r="AB134" i="80" s="1" a="1"/>
  <c r="AB134" i="80" s="1"/>
  <c r="Y194" i="80" a="1"/>
  <c r="Y194" i="80" s="1"/>
  <c r="Y268" i="80" s="1" a="1"/>
  <c r="Y268" i="80" s="1"/>
  <c r="Y182" i="80" a="1"/>
  <c r="Y182" i="80" s="1"/>
  <c r="Y256" i="80" s="1" a="1"/>
  <c r="Y256" i="80" s="1"/>
  <c r="AF182" i="80" a="1"/>
  <c r="AF182" i="80" s="1"/>
  <c r="AF256" i="80" s="1" a="1"/>
  <c r="AF256" i="80" s="1"/>
  <c r="AF194" i="80" a="1"/>
  <c r="AF194" i="80" s="1"/>
  <c r="AF268" i="80" s="1" a="1"/>
  <c r="AF268" i="80" s="1"/>
  <c r="AG185" i="80" a="1"/>
  <c r="AG185" i="80" s="1"/>
  <c r="AG259" i="80" s="1" a="1"/>
  <c r="AG259" i="80" s="1"/>
  <c r="AG197" i="80" a="1"/>
  <c r="AG197" i="80" s="1"/>
  <c r="AG271" i="80" s="1" a="1"/>
  <c r="AG271" i="80" s="1"/>
  <c r="H184" i="80" a="1"/>
  <c r="H184" i="80" s="1"/>
  <c r="H242" i="80" s="1" a="1"/>
  <c r="H242" i="80" s="1"/>
  <c r="H180" i="80" a="1"/>
  <c r="H180" i="80" s="1"/>
  <c r="H238" i="80" s="1" a="1"/>
  <c r="H238" i="80" s="1"/>
  <c r="AE185" i="80" a="1"/>
  <c r="AE185" i="80" s="1"/>
  <c r="AE259" i="80" s="1" a="1"/>
  <c r="AE259" i="80" s="1"/>
  <c r="AE197" i="80" a="1"/>
  <c r="AE197" i="80" s="1"/>
  <c r="AE271" i="80" s="1" a="1"/>
  <c r="AE271" i="80" s="1"/>
  <c r="G180" i="80" a="1"/>
  <c r="G180" i="80" s="1"/>
  <c r="G238" i="80" s="1" a="1"/>
  <c r="G238" i="80" s="1"/>
  <c r="G184" i="80" a="1"/>
  <c r="G184" i="80" s="1"/>
  <c r="G242" i="80" s="1" a="1"/>
  <c r="G242" i="80" s="1"/>
  <c r="AE189" i="80" a="1"/>
  <c r="AE189" i="80" s="1"/>
  <c r="AE263" i="80" s="1" a="1"/>
  <c r="AE263" i="80" s="1"/>
  <c r="AE177" i="80" a="1"/>
  <c r="AE177" i="80" s="1"/>
  <c r="AE251" i="80" s="1" a="1"/>
  <c r="AE251" i="80" s="1"/>
  <c r="AB31" i="77" a="1"/>
  <c r="AB31" i="77" s="1"/>
  <c r="Z79" i="77" s="1" a="1"/>
  <c r="Z79" i="77" s="1"/>
  <c r="Z100" i="77" s="1" a="1"/>
  <c r="Z100" i="77" s="1"/>
  <c r="Z152" i="77" s="1" a="1"/>
  <c r="Z152" i="77" s="1"/>
  <c r="AA31" i="77" a="1"/>
  <c r="AA31" i="77" s="1"/>
  <c r="Y79" i="77" s="1" a="1"/>
  <c r="Y79" i="77" s="1"/>
  <c r="Y100" i="77" s="1" a="1"/>
  <c r="Y100" i="77" s="1"/>
  <c r="Y152" i="77" s="1" a="1"/>
  <c r="Y152" i="77" s="1"/>
  <c r="AB28" i="77" a="1"/>
  <c r="AB28" i="77" s="1"/>
  <c r="Z76" i="77" s="1" a="1"/>
  <c r="Z76" i="77" s="1"/>
  <c r="Z97" i="77" s="1" a="1"/>
  <c r="Z97" i="77" s="1"/>
  <c r="Z149" i="77" s="1" a="1"/>
  <c r="Z149" i="77" s="1"/>
  <c r="J146" i="78"/>
  <c r="G146" i="78"/>
  <c r="I146" i="78"/>
  <c r="AF133" i="77"/>
  <c r="H149" i="78"/>
  <c r="N121" i="79"/>
  <c r="O121" i="79" s="1"/>
  <c r="J149" i="78"/>
  <c r="E22" i="75"/>
  <c r="N148" i="78"/>
  <c r="P146" i="78"/>
  <c r="L148" i="78"/>
  <c r="O148" i="78"/>
  <c r="G149" i="78"/>
  <c r="P148" i="78"/>
  <c r="K148" i="78"/>
  <c r="P149" i="78"/>
  <c r="L147" i="78"/>
  <c r="J148" i="78"/>
  <c r="N149" i="78"/>
  <c r="M148" i="78"/>
  <c r="G147" i="78"/>
  <c r="K146" i="78"/>
  <c r="I148" i="78"/>
  <c r="O149" i="78"/>
  <c r="K147" i="78"/>
  <c r="L146" i="78"/>
  <c r="M149" i="78"/>
  <c r="K149" i="78"/>
  <c r="N147" i="78"/>
  <c r="I147" i="78"/>
  <c r="L149" i="78"/>
  <c r="O147" i="78"/>
  <c r="N146" i="78"/>
  <c r="H148" i="78"/>
  <c r="G148" i="78"/>
  <c r="O146" i="78"/>
  <c r="P147" i="78"/>
  <c r="M147" i="78"/>
  <c r="V76" i="77" a="1"/>
  <c r="V76" i="77" s="1"/>
  <c r="V97" i="77" s="1" a="1"/>
  <c r="V97" i="77" s="1"/>
  <c r="V149" i="77" s="1" a="1"/>
  <c r="V149" i="77" s="1"/>
  <c r="AC36" i="77" a="1"/>
  <c r="AC36" i="77" s="1"/>
  <c r="AA84" i="77" s="1" a="1"/>
  <c r="AA84" i="77" s="1"/>
  <c r="AA105" i="77" s="1" a="1"/>
  <c r="AA105" i="77" s="1"/>
  <c r="AA157" i="77" s="1" a="1"/>
  <c r="AA157" i="77" s="1"/>
  <c r="AA36" i="77" a="1"/>
  <c r="AA36" i="77" s="1"/>
  <c r="Y84" i="77" s="1" a="1"/>
  <c r="Y84" i="77" s="1"/>
  <c r="Y105" i="77" s="1" a="1"/>
  <c r="Y105" i="77" s="1"/>
  <c r="Y157" i="77" s="1" a="1"/>
  <c r="Y157" i="77" s="1"/>
  <c r="AB36" i="77" a="1"/>
  <c r="AB36" i="77" s="1"/>
  <c r="Z84" i="77" s="1" a="1"/>
  <c r="Z84" i="77" s="1"/>
  <c r="Z105" i="77" s="1" a="1"/>
  <c r="Z105" i="77" s="1"/>
  <c r="Z157" i="77" s="1" a="1"/>
  <c r="Z157" i="77" s="1"/>
  <c r="AC37" i="77" a="1"/>
  <c r="AC37" i="77" s="1"/>
  <c r="AA85" i="77" s="1" a="1"/>
  <c r="AA85" i="77" s="1"/>
  <c r="AA106" i="77" s="1" a="1"/>
  <c r="AA106" i="77" s="1"/>
  <c r="AA158" i="77" s="1" a="1"/>
  <c r="AA158" i="77" s="1"/>
  <c r="AB37" i="77" a="1"/>
  <c r="AB37" i="77" s="1"/>
  <c r="Z85" i="77" s="1" a="1"/>
  <c r="Z85" i="77" s="1"/>
  <c r="Z106" i="77" s="1" a="1"/>
  <c r="Z106" i="77" s="1"/>
  <c r="Z158" i="77" s="1" a="1"/>
  <c r="Z158" i="77" s="1"/>
  <c r="AA37" i="77" a="1"/>
  <c r="AA37" i="77" s="1"/>
  <c r="Y85" i="77" s="1" a="1"/>
  <c r="Y85" i="77" s="1"/>
  <c r="Y106" i="77" s="1" a="1"/>
  <c r="Y106" i="77" s="1"/>
  <c r="Y158" i="77" s="1" a="1"/>
  <c r="Y158" i="77" s="1"/>
  <c r="AB30" i="77" a="1"/>
  <c r="AB30" i="77" s="1"/>
  <c r="Z78" i="77" s="1" a="1"/>
  <c r="Z78" i="77" s="1"/>
  <c r="Z99" i="77" s="1" a="1"/>
  <c r="Z99" i="77" s="1"/>
  <c r="Z151" i="77" s="1" a="1"/>
  <c r="Z151" i="77" s="1"/>
  <c r="AA30" i="77" a="1"/>
  <c r="AA30" i="77" s="1"/>
  <c r="Y78" i="77" s="1" a="1"/>
  <c r="Y78" i="77" s="1"/>
  <c r="Y99" i="77" s="1" a="1"/>
  <c r="Y99" i="77" s="1"/>
  <c r="Y151" i="77" s="1" a="1"/>
  <c r="Y151" i="77" s="1"/>
  <c r="AB38" i="77" a="1"/>
  <c r="AB38" i="77" s="1"/>
  <c r="Z86" i="77" s="1" a="1"/>
  <c r="Z86" i="77" s="1"/>
  <c r="Z107" i="77" s="1" a="1"/>
  <c r="Z107" i="77" s="1"/>
  <c r="Z159" i="77" s="1" a="1"/>
  <c r="Z159" i="77" s="1"/>
  <c r="AC38" i="77" a="1"/>
  <c r="AC38" i="77" s="1"/>
  <c r="AA86" i="77" s="1" a="1"/>
  <c r="AA86" i="77" s="1"/>
  <c r="AA107" i="77" s="1" a="1"/>
  <c r="AA107" i="77" s="1"/>
  <c r="AA159" i="77" s="1" a="1"/>
  <c r="AA159" i="77" s="1"/>
  <c r="AA38" i="77" a="1"/>
  <c r="AA38" i="77" s="1"/>
  <c r="Y86" i="77" s="1" a="1"/>
  <c r="Y86" i="77" s="1"/>
  <c r="Y107" i="77" s="1" a="1"/>
  <c r="Y107" i="77" s="1"/>
  <c r="Y159" i="77" s="1" a="1"/>
  <c r="Y159" i="77" s="1"/>
  <c r="AC39" i="77" a="1"/>
  <c r="AC39" i="77" s="1"/>
  <c r="AA87" i="77" s="1" a="1"/>
  <c r="AA87" i="77" s="1"/>
  <c r="AA108" i="77" s="1" a="1"/>
  <c r="AA108" i="77" s="1"/>
  <c r="AA160" i="77" s="1" a="1"/>
  <c r="AA160" i="77" s="1"/>
  <c r="AB39" i="77" a="1"/>
  <c r="AB39" i="77" s="1"/>
  <c r="Z87" i="77" s="1" a="1"/>
  <c r="Z87" i="77" s="1"/>
  <c r="Z108" i="77" s="1" a="1"/>
  <c r="Z108" i="77" s="1"/>
  <c r="Z160" i="77" s="1" a="1"/>
  <c r="Z160" i="77" s="1"/>
  <c r="AA39" i="77" a="1"/>
  <c r="AA39" i="77" s="1"/>
  <c r="Y87" i="77" s="1" a="1"/>
  <c r="Y87" i="77" s="1"/>
  <c r="Y108" i="77" s="1" a="1"/>
  <c r="Y108" i="77" s="1"/>
  <c r="Y160" i="77" s="1" a="1"/>
  <c r="Y160" i="77" s="1"/>
  <c r="AA28" i="77" a="1"/>
  <c r="AA28" i="77" s="1"/>
  <c r="Y76" i="77" s="1" a="1"/>
  <c r="Y76" i="77" s="1"/>
  <c r="Y97" i="77" s="1" a="1"/>
  <c r="Y97" i="77" s="1"/>
  <c r="Y149" i="77" s="1" a="1"/>
  <c r="Y149" i="77" s="1"/>
  <c r="L28" i="77" a="1"/>
  <c r="L28" i="77" s="1"/>
  <c r="J66" i="77" s="1" a="1"/>
  <c r="J66" i="77" s="1"/>
  <c r="J87" i="77" s="1" a="1"/>
  <c r="J87" i="77" s="1"/>
  <c r="J125" i="77" s="1" a="1"/>
  <c r="J125" i="77" s="1"/>
  <c r="K28" i="77" a="1"/>
  <c r="K28" i="77" s="1"/>
  <c r="I66" i="77" s="1" a="1"/>
  <c r="I66" i="77" s="1"/>
  <c r="I87" i="77" s="1" a="1"/>
  <c r="I87" i="77" s="1"/>
  <c r="I125" i="77" s="1" a="1"/>
  <c r="I125" i="77" s="1"/>
  <c r="H27" i="13"/>
  <c r="F26" i="13"/>
  <c r="I26" i="13" s="1"/>
  <c r="N121" i="76"/>
  <c r="O121" i="76" s="1"/>
  <c r="E19" i="75"/>
  <c r="E20" i="75"/>
  <c r="E21" i="75" s="1"/>
  <c r="E37" i="13"/>
  <c r="E39" i="13"/>
  <c r="F39" i="13"/>
  <c r="H54" i="74"/>
  <c r="H51" i="74"/>
  <c r="H49" i="74"/>
  <c r="F62" i="13"/>
  <c r="H53" i="74"/>
  <c r="H48" i="74"/>
  <c r="H52" i="74"/>
  <c r="H50" i="74"/>
  <c r="J33" i="100" l="1"/>
  <c r="E40" i="100" s="1" a="1"/>
  <c r="E40" i="100" s="1"/>
  <c r="E25" i="101"/>
  <c r="I25" i="101" s="1" a="1"/>
  <c r="I25" i="101" s="1"/>
  <c r="D46" i="101" s="1"/>
  <c r="E46" i="101" s="1" a="1"/>
  <c r="E46" i="101" s="1"/>
  <c r="E48" i="101" s="1"/>
  <c r="T33" i="100"/>
  <c r="O40" i="100" s="1" a="1"/>
  <c r="O40" i="100" s="1"/>
  <c r="Q42" i="100" s="1"/>
  <c r="O45" i="100" s="1" a="1"/>
  <c r="O45" i="100" s="1"/>
  <c r="O25" i="101"/>
  <c r="S25" i="101" s="1" a="1"/>
  <c r="S25" i="101" s="1"/>
  <c r="N46" i="101" s="1"/>
  <c r="O46" i="101" s="1" a="1"/>
  <c r="O46" i="101" s="1"/>
  <c r="O48" i="101" s="1"/>
  <c r="E63" i="96"/>
  <c r="E56" i="96"/>
  <c r="AC110" i="81" a="1"/>
  <c r="AC110" i="81" s="1"/>
  <c r="Y177" i="80" a="1"/>
  <c r="Y177" i="80" s="1"/>
  <c r="Y251" i="80" s="1" a="1"/>
  <c r="Y251" i="80" s="1"/>
  <c r="E77" i="90"/>
  <c r="J90" i="90" s="1"/>
  <c r="H14" i="13" a="1"/>
  <c r="H14" i="13" s="1"/>
  <c r="G42" i="100"/>
  <c r="E45" i="100" s="1" a="1"/>
  <c r="E45" i="100" s="1"/>
  <c r="E18" i="13" a="1"/>
  <c r="E18" i="13" s="1"/>
  <c r="H18" i="13" s="1" a="1"/>
  <c r="H18" i="13" s="1"/>
  <c r="E52" i="97"/>
  <c r="E45" i="97"/>
  <c r="E43" i="97"/>
  <c r="E43" i="96"/>
  <c r="E45" i="96"/>
  <c r="E44" i="97"/>
  <c r="E55" i="96"/>
  <c r="E50" i="97"/>
  <c r="E46" i="97"/>
  <c r="E44" i="96"/>
  <c r="E46" i="96"/>
  <c r="E51" i="97"/>
  <c r="E57" i="96"/>
  <c r="E43" i="90"/>
  <c r="J89" i="90" s="1"/>
  <c r="E49" i="97"/>
  <c r="E58" i="96"/>
  <c r="E79" i="89"/>
  <c r="G81" i="89" s="1"/>
  <c r="E84" i="89" s="1" a="1"/>
  <c r="E84" i="89" s="1"/>
  <c r="E146" i="89"/>
  <c r="G148" i="89" s="1"/>
  <c r="E151" i="89" s="1" a="1"/>
  <c r="E151" i="89" s="1"/>
  <c r="H15" i="13"/>
  <c r="N30" i="80" a="1"/>
  <c r="N30" i="80" s="1"/>
  <c r="J84" i="80" s="1" a="1"/>
  <c r="J84" i="80" s="1"/>
  <c r="J131" i="80" s="1" a="1"/>
  <c r="J131" i="80" s="1"/>
  <c r="K177" i="80" s="1" a="1"/>
  <c r="K177" i="80" s="1"/>
  <c r="K235" i="80" s="1" a="1"/>
  <c r="K235" i="80" s="1"/>
  <c r="AD185" i="80" a="1"/>
  <c r="AD185" i="80" s="1"/>
  <c r="AD259" i="80" s="1" a="1"/>
  <c r="AD259" i="80" s="1"/>
  <c r="L95" i="81" a="1"/>
  <c r="L95" i="81" s="1"/>
  <c r="E80" i="85"/>
  <c r="G82" i="85" s="1"/>
  <c r="E85" i="85" s="1" a="1"/>
  <c r="E85" i="85" s="1"/>
  <c r="M30" i="80" a="1"/>
  <c r="M30" i="80" s="1"/>
  <c r="I84" i="80" s="1" a="1"/>
  <c r="I84" i="80" s="1"/>
  <c r="I131" i="80" s="1" a="1"/>
  <c r="I131" i="80" s="1"/>
  <c r="J181" i="80" s="1" a="1"/>
  <c r="J181" i="80" s="1"/>
  <c r="J239" i="80" s="1" a="1"/>
  <c r="J239" i="80" s="1"/>
  <c r="E78" i="86"/>
  <c r="E13" i="13" s="1" a="1"/>
  <c r="E13" i="13" s="1"/>
  <c r="F13" i="13" s="1"/>
  <c r="I13" i="13" s="1"/>
  <c r="AC36" i="80" a="1"/>
  <c r="AC36" i="80" s="1"/>
  <c r="AA84" i="80" s="1" a="1"/>
  <c r="AA84" i="80" s="1"/>
  <c r="AA139" i="80" s="1" a="1"/>
  <c r="AA139" i="80" s="1"/>
  <c r="AB197" i="80" s="1" a="1"/>
  <c r="AB197" i="80" s="1"/>
  <c r="AB271" i="80" s="1" a="1"/>
  <c r="AB271" i="80" s="1"/>
  <c r="AD36" i="80" a="1"/>
  <c r="AD36" i="80" s="1"/>
  <c r="AB84" i="80" s="1" a="1"/>
  <c r="AB84" i="80" s="1"/>
  <c r="AB139" i="80" s="1" a="1"/>
  <c r="AB139" i="80" s="1"/>
  <c r="AC185" i="80" s="1" a="1"/>
  <c r="AC185" i="80" s="1"/>
  <c r="AC259" i="80" s="1" a="1"/>
  <c r="AC259" i="80" s="1"/>
  <c r="N31" i="80" a="1"/>
  <c r="N31" i="80" s="1"/>
  <c r="J85" i="80" s="1" a="1"/>
  <c r="J85" i="80" s="1"/>
  <c r="J132" i="80" s="1" a="1"/>
  <c r="J132" i="80" s="1"/>
  <c r="K182" i="80" s="1" a="1"/>
  <c r="K182" i="80" s="1"/>
  <c r="K240" i="80" s="1" a="1"/>
  <c r="K240" i="80" s="1"/>
  <c r="AA100" i="81" a="1"/>
  <c r="AA100" i="81" s="1"/>
  <c r="M31" i="80" a="1"/>
  <c r="M31" i="80" s="1"/>
  <c r="I85" i="80" s="1" a="1"/>
  <c r="I85" i="80" s="1"/>
  <c r="I132" i="80" s="1" a="1"/>
  <c r="I132" i="80" s="1"/>
  <c r="J178" i="80" s="1" a="1"/>
  <c r="J178" i="80" s="1"/>
  <c r="J236" i="80" s="1" a="1"/>
  <c r="J236" i="80" s="1"/>
  <c r="N88" i="85"/>
  <c r="AA110" i="81" a="1"/>
  <c r="AA110" i="81" s="1"/>
  <c r="AB100" i="81" a="1"/>
  <c r="AB100" i="81" s="1"/>
  <c r="AB199" i="80" a="1"/>
  <c r="AB199" i="80" s="1"/>
  <c r="AB273" i="80" s="1" a="1"/>
  <c r="AB273" i="80" s="1"/>
  <c r="AB198" i="80" a="1"/>
  <c r="AB198" i="80" s="1"/>
  <c r="AB272" i="80" s="1" a="1"/>
  <c r="AB272" i="80" s="1"/>
  <c r="AD37" i="80" a="1"/>
  <c r="AD37" i="80" s="1"/>
  <c r="AB85" i="80" s="1" a="1"/>
  <c r="AB85" i="80" s="1"/>
  <c r="AB140" i="80" s="1" a="1"/>
  <c r="AB140" i="80" s="1"/>
  <c r="AC198" i="80" s="1" a="1"/>
  <c r="AC198" i="80" s="1"/>
  <c r="AC272" i="80" s="1" a="1"/>
  <c r="AC272" i="80" s="1"/>
  <c r="AA111" i="81" a="1"/>
  <c r="AA111" i="81" s="1"/>
  <c r="AC111" i="81" a="1"/>
  <c r="AC111" i="81" s="1"/>
  <c r="AE37" i="80" a="1"/>
  <c r="AE37" i="80" s="1"/>
  <c r="AC85" i="80" s="1" a="1"/>
  <c r="AC85" i="80" s="1"/>
  <c r="AC140" i="80" s="1" a="1"/>
  <c r="AC140" i="80" s="1"/>
  <c r="AD198" i="80" s="1" a="1"/>
  <c r="AD198" i="80" s="1"/>
  <c r="AD272" i="80" s="1" a="1"/>
  <c r="AD272" i="80" s="1"/>
  <c r="AD194" i="80" a="1"/>
  <c r="AD194" i="80" s="1"/>
  <c r="AD268" i="80" s="1" a="1"/>
  <c r="AD268" i="80" s="1"/>
  <c r="AB179" i="80" a="1"/>
  <c r="AB179" i="80" s="1"/>
  <c r="AB253" i="80" s="1" a="1"/>
  <c r="AB253" i="80" s="1"/>
  <c r="I178" i="80" a="1"/>
  <c r="I178" i="80" s="1"/>
  <c r="I236" i="80" s="1" a="1"/>
  <c r="I236" i="80" s="1"/>
  <c r="I182" i="80" a="1"/>
  <c r="I182" i="80" s="1"/>
  <c r="I240" i="80" s="1" a="1"/>
  <c r="I240" i="80" s="1"/>
  <c r="J179" i="80" a="1"/>
  <c r="J179" i="80" s="1"/>
  <c r="J237" i="80" s="1" a="1"/>
  <c r="J237" i="80" s="1"/>
  <c r="J95" i="81" a="1"/>
  <c r="J95" i="81" s="1"/>
  <c r="M33" i="80" a="1"/>
  <c r="M33" i="80" s="1"/>
  <c r="I87" i="80" s="1" a="1"/>
  <c r="I87" i="80" s="1"/>
  <c r="I134" i="80" s="1" a="1"/>
  <c r="I134" i="80" s="1"/>
  <c r="N33" i="80" a="1"/>
  <c r="N33" i="80" s="1"/>
  <c r="J87" i="80" s="1" a="1"/>
  <c r="J87" i="80" s="1"/>
  <c r="J134" i="80" s="1" a="1"/>
  <c r="J134" i="80" s="1"/>
  <c r="Y189" i="80" a="1"/>
  <c r="Y189" i="80" s="1"/>
  <c r="Y263" i="80" s="1" a="1"/>
  <c r="Y263" i="80" s="1"/>
  <c r="AD35" i="80" a="1"/>
  <c r="AD35" i="80" s="1"/>
  <c r="AB83" i="80" s="1" a="1"/>
  <c r="AB83" i="80" s="1"/>
  <c r="AB138" i="80" s="1" a="1"/>
  <c r="AB138" i="80" s="1"/>
  <c r="AC35" i="80" a="1"/>
  <c r="AC35" i="80" s="1"/>
  <c r="AA83" i="80" s="1" a="1"/>
  <c r="AA83" i="80" s="1"/>
  <c r="AA138" i="80" s="1" a="1"/>
  <c r="AA138" i="80" s="1"/>
  <c r="I179" i="80" a="1"/>
  <c r="I179" i="80" s="1"/>
  <c r="I237" i="80" s="1" a="1"/>
  <c r="I237" i="80" s="1"/>
  <c r="I180" i="80" a="1"/>
  <c r="I180" i="80" s="1"/>
  <c r="I238" i="80" s="1" a="1"/>
  <c r="I238" i="80" s="1"/>
  <c r="AC190" i="80" a="1"/>
  <c r="AC190" i="80" s="1"/>
  <c r="AC264" i="80" s="1" a="1"/>
  <c r="AC264" i="80" s="1"/>
  <c r="AB190" i="80" a="1"/>
  <c r="AB190" i="80" s="1"/>
  <c r="AB264" i="80" s="1" a="1"/>
  <c r="AB264" i="80" s="1"/>
  <c r="AD179" i="80" a="1"/>
  <c r="AD179" i="80" s="1"/>
  <c r="AD253" i="80" s="1" a="1"/>
  <c r="AD253" i="80" s="1"/>
  <c r="AD184" i="80" a="1"/>
  <c r="AD184" i="80" s="1"/>
  <c r="AD258" i="80" s="1" a="1"/>
  <c r="AD258" i="80" s="1"/>
  <c r="AB183" i="80" a="1"/>
  <c r="AB183" i="80" s="1"/>
  <c r="AB257" i="80" s="1" a="1"/>
  <c r="AB257" i="80" s="1"/>
  <c r="AB195" i="80" a="1"/>
  <c r="AB195" i="80" s="1"/>
  <c r="AB269" i="80" s="1" a="1"/>
  <c r="AB269" i="80" s="1"/>
  <c r="AC187" i="80" a="1"/>
  <c r="AC187" i="80" s="1"/>
  <c r="AC261" i="80" s="1" a="1"/>
  <c r="AC261" i="80" s="1"/>
  <c r="AC199" i="80" a="1"/>
  <c r="AC199" i="80" s="1"/>
  <c r="AC273" i="80" s="1" a="1"/>
  <c r="AC273" i="80" s="1"/>
  <c r="AD200" i="80" a="1"/>
  <c r="AD200" i="80" s="1"/>
  <c r="AD274" i="80" s="1" a="1"/>
  <c r="AD274" i="80" s="1"/>
  <c r="AD188" i="80" a="1"/>
  <c r="AD188" i="80" s="1"/>
  <c r="AD262" i="80" s="1" a="1"/>
  <c r="AD262" i="80" s="1"/>
  <c r="AC181" i="80" a="1"/>
  <c r="AC181" i="80" s="1"/>
  <c r="AC255" i="80" s="1" a="1"/>
  <c r="AC255" i="80" s="1"/>
  <c r="AC193" i="80" a="1"/>
  <c r="AC193" i="80" s="1"/>
  <c r="AC267" i="80" s="1" a="1"/>
  <c r="AC267" i="80" s="1"/>
  <c r="AD181" i="80" a="1"/>
  <c r="AD181" i="80" s="1"/>
  <c r="AD255" i="80" s="1" a="1"/>
  <c r="AD255" i="80" s="1"/>
  <c r="AD193" i="80" a="1"/>
  <c r="AD193" i="80" s="1"/>
  <c r="AD267" i="80" s="1" a="1"/>
  <c r="AD267" i="80" s="1"/>
  <c r="AB192" i="80" a="1"/>
  <c r="AB192" i="80" s="1"/>
  <c r="AB266" i="80" s="1" a="1"/>
  <c r="AB266" i="80" s="1"/>
  <c r="AB180" i="80" a="1"/>
  <c r="AB180" i="80" s="1"/>
  <c r="AB254" i="80" s="1" a="1"/>
  <c r="AB254" i="80" s="1"/>
  <c r="AB194" i="80" a="1"/>
  <c r="AB194" i="80" s="1"/>
  <c r="AB268" i="80" s="1" a="1"/>
  <c r="AB268" i="80" s="1"/>
  <c r="AB182" i="80" a="1"/>
  <c r="AB182" i="80" s="1"/>
  <c r="AB256" i="80" s="1" a="1"/>
  <c r="AB256" i="80" s="1"/>
  <c r="AC177" i="80" a="1"/>
  <c r="AC177" i="80" s="1"/>
  <c r="AC251" i="80" s="1" a="1"/>
  <c r="AC251" i="80" s="1"/>
  <c r="AC189" i="80" a="1"/>
  <c r="AC189" i="80" s="1"/>
  <c r="AC263" i="80" s="1" a="1"/>
  <c r="AC263" i="80" s="1"/>
  <c r="AD189" i="80" a="1"/>
  <c r="AD189" i="80" s="1"/>
  <c r="AD263" i="80" s="1" a="1"/>
  <c r="AD263" i="80" s="1"/>
  <c r="AD177" i="80" a="1"/>
  <c r="AD177" i="80" s="1"/>
  <c r="AD251" i="80" s="1" a="1"/>
  <c r="AD251" i="80" s="1"/>
  <c r="AC192" i="80" a="1"/>
  <c r="AC192" i="80" s="1"/>
  <c r="AC266" i="80" s="1" a="1"/>
  <c r="AC266" i="80" s="1"/>
  <c r="AC180" i="80" a="1"/>
  <c r="AC180" i="80" s="1"/>
  <c r="AC254" i="80" s="1" a="1"/>
  <c r="AC254" i="80" s="1"/>
  <c r="AC200" i="80" a="1"/>
  <c r="AC200" i="80" s="1"/>
  <c r="AC274" i="80" s="1" a="1"/>
  <c r="AC274" i="80" s="1"/>
  <c r="AC188" i="80" a="1"/>
  <c r="AC188" i="80" s="1"/>
  <c r="AC262" i="80" s="1" a="1"/>
  <c r="AC262" i="80" s="1"/>
  <c r="I177" i="80" a="1"/>
  <c r="I177" i="80" s="1"/>
  <c r="I235" i="80" s="1" a="1"/>
  <c r="I235" i="80" s="1"/>
  <c r="I181" i="80" a="1"/>
  <c r="I181" i="80" s="1"/>
  <c r="I239" i="80" s="1" a="1"/>
  <c r="I239" i="80" s="1"/>
  <c r="AC195" i="80" a="1"/>
  <c r="AC195" i="80" s="1"/>
  <c r="AC269" i="80" s="1" a="1"/>
  <c r="AC269" i="80" s="1"/>
  <c r="AC183" i="80" a="1"/>
  <c r="AC183" i="80" s="1"/>
  <c r="AC257" i="80" s="1" a="1"/>
  <c r="AC257" i="80" s="1"/>
  <c r="E128" i="77"/>
  <c r="G130" i="77" s="1"/>
  <c r="E133" i="77" s="1" a="1"/>
  <c r="E133" i="77" s="1"/>
  <c r="V161" i="77"/>
  <c r="X163" i="77" s="1"/>
  <c r="V166" i="77" s="1" a="1"/>
  <c r="V166" i="77" s="1"/>
  <c r="F18" i="13" l="1" a="1"/>
  <c r="F18" i="13" s="1"/>
  <c r="I18" i="13" s="1" a="1"/>
  <c r="I18" i="13" s="1"/>
  <c r="Q50" i="101"/>
  <c r="O53" i="101" s="1" a="1"/>
  <c r="O53" i="101" s="1"/>
  <c r="F19" i="13" a="1"/>
  <c r="F19" i="13" s="1"/>
  <c r="I19" i="13" s="1" a="1"/>
  <c r="I19" i="13" s="1"/>
  <c r="G50" i="101"/>
  <c r="E53" i="101" s="1" a="1"/>
  <c r="E53" i="101" s="1"/>
  <c r="E19" i="13" a="1"/>
  <c r="E19" i="13" s="1"/>
  <c r="H19" i="13" s="1" a="1"/>
  <c r="H19" i="13" s="1"/>
  <c r="E68" i="96"/>
  <c r="E21" i="13" s="1" a="1"/>
  <c r="E21" i="13" s="1"/>
  <c r="F21" i="13" s="1"/>
  <c r="I21" i="13" s="1" a="1"/>
  <c r="I21" i="13" s="1"/>
  <c r="E26" i="72"/>
  <c r="E25" i="72"/>
  <c r="F64" i="13" s="1"/>
  <c r="E58" i="97"/>
  <c r="E94" i="90" a="1"/>
  <c r="E94" i="90" s="1"/>
  <c r="G96" i="90" s="1"/>
  <c r="E99" i="90" s="1" a="1"/>
  <c r="E99" i="90" s="1"/>
  <c r="E16" i="13" a="1"/>
  <c r="E16" i="13" s="1"/>
  <c r="F16" i="13" s="1"/>
  <c r="I16" i="13" s="1" a="1"/>
  <c r="I16" i="13" s="1"/>
  <c r="E56" i="97"/>
  <c r="E24" i="13" s="1" a="1"/>
  <c r="E24" i="13" s="1"/>
  <c r="F24" i="13" s="1"/>
  <c r="I24" i="13" s="1" a="1"/>
  <c r="I24" i="13" s="1"/>
  <c r="E67" i="96"/>
  <c r="E20" i="13" s="1" a="1"/>
  <c r="E20" i="13" s="1"/>
  <c r="E70" i="96"/>
  <c r="E69" i="96"/>
  <c r="E22" i="13" s="1" a="1"/>
  <c r="E22" i="13" s="1"/>
  <c r="E55" i="97"/>
  <c r="E23" i="13" s="1" a="1"/>
  <c r="E23" i="13" s="1"/>
  <c r="E57" i="97"/>
  <c r="E25" i="13" s="1" a="1"/>
  <c r="E25" i="13" s="1"/>
  <c r="K181" i="80" a="1"/>
  <c r="K181" i="80" s="1"/>
  <c r="K239" i="80" s="1" a="1"/>
  <c r="K239" i="80" s="1"/>
  <c r="J177" i="80" a="1"/>
  <c r="J177" i="80" s="1"/>
  <c r="J235" i="80" s="1" a="1"/>
  <c r="J235" i="80" s="1"/>
  <c r="H13" i="13"/>
  <c r="AC197" i="80" a="1"/>
  <c r="AC197" i="80" s="1"/>
  <c r="AC271" i="80" s="1" a="1"/>
  <c r="AC271" i="80" s="1"/>
  <c r="AB185" i="80" a="1"/>
  <c r="AB185" i="80" s="1"/>
  <c r="AB259" i="80" s="1" a="1"/>
  <c r="AB259" i="80" s="1"/>
  <c r="E12" i="13" a="1"/>
  <c r="E12" i="13" s="1"/>
  <c r="H12" i="13" s="1" a="1"/>
  <c r="H12" i="13" s="1"/>
  <c r="K178" i="80" a="1"/>
  <c r="K178" i="80" s="1"/>
  <c r="K236" i="80" s="1" a="1"/>
  <c r="K236" i="80" s="1"/>
  <c r="J182" i="80" a="1"/>
  <c r="J182" i="80" s="1"/>
  <c r="J240" i="80" s="1" a="1"/>
  <c r="J240" i="80" s="1"/>
  <c r="AC186" i="80" a="1"/>
  <c r="AC186" i="80" s="1"/>
  <c r="AC260" i="80" s="1" a="1"/>
  <c r="AC260" i="80" s="1"/>
  <c r="P90" i="85"/>
  <c r="N93" i="85" s="1" a="1"/>
  <c r="N93" i="85" s="1"/>
  <c r="F12" i="13" a="1"/>
  <c r="F12" i="13" s="1"/>
  <c r="I12" i="13" s="1" a="1"/>
  <c r="I12" i="13" s="1"/>
  <c r="AD186" i="80" a="1"/>
  <c r="AD186" i="80" s="1"/>
  <c r="AD260" i="80" s="1" a="1"/>
  <c r="AD260" i="80" s="1"/>
  <c r="K184" i="80" a="1"/>
  <c r="K184" i="80" s="1"/>
  <c r="K242" i="80" s="1" a="1"/>
  <c r="K242" i="80" s="1"/>
  <c r="K180" i="80" a="1"/>
  <c r="K180" i="80" s="1"/>
  <c r="K238" i="80" s="1" a="1"/>
  <c r="K238" i="80" s="1"/>
  <c r="J180" i="80" a="1"/>
  <c r="J180" i="80" s="1"/>
  <c r="J238" i="80" s="1" a="1"/>
  <c r="J238" i="80" s="1"/>
  <c r="J184" i="80" a="1"/>
  <c r="J184" i="80" s="1"/>
  <c r="J242" i="80" s="1" a="1"/>
  <c r="J242" i="80" s="1"/>
  <c r="AB196" i="80" a="1"/>
  <c r="AB196" i="80" s="1"/>
  <c r="AB270" i="80" s="1" a="1"/>
  <c r="AB270" i="80" s="1"/>
  <c r="AB184" i="80" a="1"/>
  <c r="AB184" i="80" s="1"/>
  <c r="AB258" i="80" s="1" a="1"/>
  <c r="AB258" i="80" s="1"/>
  <c r="AC184" i="80" a="1"/>
  <c r="AC184" i="80" s="1"/>
  <c r="AC258" i="80" s="1" a="1"/>
  <c r="AC258" i="80" s="1"/>
  <c r="AC196" i="80" a="1"/>
  <c r="AC196" i="80" s="1"/>
  <c r="AC270" i="80" s="1" a="1"/>
  <c r="AC270" i="80" s="1"/>
  <c r="E7" i="13" a="1"/>
  <c r="E7" i="13" s="1"/>
  <c r="H7" i="13" s="1" a="1"/>
  <c r="H7" i="13" s="1"/>
  <c r="E17" i="13" l="1" a="1"/>
  <c r="E17" i="13" s="1"/>
  <c r="H17" i="13" s="1" a="1"/>
  <c r="H17" i="13" s="1"/>
  <c r="H21" i="13" a="1"/>
  <c r="H21" i="13" s="1"/>
  <c r="H16" i="13" a="1"/>
  <c r="H16" i="13" s="1"/>
  <c r="F63" i="13"/>
  <c r="G63" i="13" s="1"/>
  <c r="H24" i="13" a="1"/>
  <c r="H24" i="13" s="1"/>
  <c r="F17" i="13"/>
  <c r="I17" i="13" s="1" a="1"/>
  <c r="I17" i="13" s="1"/>
  <c r="F20" i="13"/>
  <c r="I20" i="13" s="1"/>
  <c r="H20" i="13"/>
  <c r="H23" i="13"/>
  <c r="F23" i="13"/>
  <c r="I23" i="13" s="1"/>
  <c r="F22" i="13"/>
  <c r="I22" i="13" s="1" a="1"/>
  <c r="I22" i="13" s="1"/>
  <c r="H22" i="13" a="1"/>
  <c r="H22" i="13" s="1"/>
  <c r="F25" i="13"/>
  <c r="I25" i="13" s="1" a="1"/>
  <c r="I25" i="13" s="1"/>
  <c r="H25" i="13" a="1"/>
  <c r="H25" i="13" s="1"/>
  <c r="X276" i="80"/>
  <c r="Z278" i="80" s="1"/>
  <c r="X281" i="80" s="1" a="1"/>
  <c r="X281" i="80" s="1"/>
  <c r="E244" i="80"/>
  <c r="G246" i="80" s="1"/>
  <c r="E249" i="80" s="1" a="1"/>
  <c r="E249" i="80" s="1"/>
  <c r="G62" i="13" l="1"/>
  <c r="V63" i="81" l="1"/>
  <c r="AC59" i="81"/>
  <c r="V57" i="81"/>
  <c r="Y60" i="81"/>
  <c r="AC64" i="81"/>
  <c r="Z63" i="81"/>
  <c r="Z57" i="81"/>
  <c r="AE65" i="81"/>
  <c r="AC58" i="81"/>
  <c r="X67" i="81"/>
  <c r="Y58" i="81"/>
  <c r="Z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AC82" i="81" l="1" a="1"/>
  <c r="AC82" i="81" s="1"/>
  <c r="AC146" i="81" s="1" a="1"/>
  <c r="AC146" i="81" s="1"/>
  <c r="AC206" i="81" s="1" a="1"/>
  <c r="AC206" i="81" s="1"/>
  <c r="AC258" i="81" s="1" a="1"/>
  <c r="AC258" i="81" s="1"/>
  <c r="Z81" i="81" a="1"/>
  <c r="Z81" i="81" s="1"/>
  <c r="Z145" i="81" s="1" a="1"/>
  <c r="Z145" i="81" s="1"/>
  <c r="Z205" i="81" s="1" a="1"/>
  <c r="Z205" i="81" s="1"/>
  <c r="Z257" i="81" s="1" a="1"/>
  <c r="Z257" i="81" s="1"/>
  <c r="Z73" i="81" a="1"/>
  <c r="Z73" i="81" s="1"/>
  <c r="Z137" i="81" s="1" a="1"/>
  <c r="Z137" i="81" s="1"/>
  <c r="Z197" i="81" s="1" a="1"/>
  <c r="Z197" i="81" s="1"/>
  <c r="Z249" i="81" s="1" a="1"/>
  <c r="Z249" i="81" s="1"/>
  <c r="N63" i="81" a="1"/>
  <c r="N63" i="81" s="1"/>
  <c r="N128" i="81" s="1" a="1"/>
  <c r="N128" i="81" s="1"/>
  <c r="N170" i="81" s="1" a="1"/>
  <c r="N170" i="81" s="1"/>
  <c r="N208" i="81" s="1" a="1"/>
  <c r="N208"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Z79" i="81" a="1"/>
  <c r="Z79" i="81" s="1"/>
  <c r="Z143" i="81" s="1" a="1"/>
  <c r="Z143" i="81" s="1"/>
  <c r="Z203" i="81" s="1" a="1"/>
  <c r="Z203" i="81" s="1"/>
  <c r="Z255" i="81" s="1" a="1"/>
  <c r="Z255" i="81" s="1"/>
  <c r="I64" i="81" a="1"/>
  <c r="I64" i="81" s="1"/>
  <c r="I129" i="81" s="1" a="1"/>
  <c r="I129" i="81" s="1"/>
  <c r="I171" i="81" s="1" a="1"/>
  <c r="I171" i="81" s="1"/>
  <c r="I209" i="81" s="1" a="1"/>
  <c r="I209" i="81" s="1"/>
  <c r="AC76" i="81" a="1"/>
  <c r="AC76" i="81" s="1"/>
  <c r="AC140" i="81" s="1" a="1"/>
  <c r="AC140" i="81" s="1"/>
  <c r="AC200" i="81" s="1" a="1"/>
  <c r="AC200" i="81" s="1"/>
  <c r="AC252" i="81" s="1" a="1"/>
  <c r="AC252" i="81" s="1"/>
  <c r="N62" i="81" a="1"/>
  <c r="N62" i="81" s="1"/>
  <c r="N127" i="81" s="1" a="1"/>
  <c r="N127" i="81" s="1"/>
  <c r="N169" i="81" s="1" a="1"/>
  <c r="N169" i="81" s="1"/>
  <c r="N207" i="81" s="1" a="1"/>
  <c r="N207" i="81" s="1"/>
  <c r="AE56" i="81"/>
  <c r="AB74" i="81" a="1"/>
  <c r="AB74" i="81" s="1"/>
  <c r="AB138" i="81" s="1" a="1"/>
  <c r="AB138" i="81" s="1"/>
  <c r="AB198" i="81" s="1" a="1"/>
  <c r="AB198" i="81" s="1"/>
  <c r="AB250" i="81" s="1" a="1"/>
  <c r="AB250" i="81" s="1"/>
  <c r="X72" i="81" a="1"/>
  <c r="X72" i="81" s="1"/>
  <c r="X136" i="81" s="1" a="1"/>
  <c r="X136" i="81" s="1"/>
  <c r="X196" i="81" s="1" a="1"/>
  <c r="X196" i="81" s="1"/>
  <c r="X248" i="81" s="1" a="1"/>
  <c r="X248" i="81" s="1"/>
  <c r="V64" i="81"/>
  <c r="AC73" i="81" a="1"/>
  <c r="AC73" i="81" s="1"/>
  <c r="AC137" i="81" s="1" a="1"/>
  <c r="AC137" i="81" s="1"/>
  <c r="AC197" i="81" s="1" a="1"/>
  <c r="AC197" i="81" s="1"/>
  <c r="AC249" i="81" s="1" a="1"/>
  <c r="AC249" i="81" s="1"/>
  <c r="J62" i="81" a="1"/>
  <c r="J62" i="81" s="1"/>
  <c r="J127" i="81" s="1" a="1"/>
  <c r="J127" i="81" s="1"/>
  <c r="J169" i="81" s="1" a="1"/>
  <c r="J169" i="81" s="1"/>
  <c r="J207" i="81" s="1" a="1"/>
  <c r="J207" i="81" s="1"/>
  <c r="AA78" i="81" a="1"/>
  <c r="AA78" i="81" s="1"/>
  <c r="AA142" i="81" s="1" a="1"/>
  <c r="AA142" i="81" s="1"/>
  <c r="AA202" i="81" s="1" a="1"/>
  <c r="AA202" i="81" s="1"/>
  <c r="AA254" i="81" s="1" a="1"/>
  <c r="AA254" i="81" s="1"/>
  <c r="Y57" i="81"/>
  <c r="Y74" i="81" a="1"/>
  <c r="Y74" i="81" s="1"/>
  <c r="Y138" i="81" s="1" a="1"/>
  <c r="Y138" i="81" s="1"/>
  <c r="Y198" i="81" s="1" a="1"/>
  <c r="Y198" i="81" s="1"/>
  <c r="Y250" i="81" s="1" a="1"/>
  <c r="Y250" i="81" s="1"/>
  <c r="Y76" i="81" a="1"/>
  <c r="Y76" i="81" s="1"/>
  <c r="Y140" i="81" s="1" a="1"/>
  <c r="Y140" i="81" s="1"/>
  <c r="Y200" i="81" s="1" a="1"/>
  <c r="Y200" i="81" s="1"/>
  <c r="Y252" i="81" s="1" a="1"/>
  <c r="Y252" i="81" s="1"/>
  <c r="AB56" i="81"/>
  <c r="AB82" i="81" a="1"/>
  <c r="AB82" i="81" s="1"/>
  <c r="AB146" i="81" s="1" a="1"/>
  <c r="AB146" i="81" s="1"/>
  <c r="AB206" i="81" s="1" a="1"/>
  <c r="AB206" i="81" s="1"/>
  <c r="AB258" i="81" s="1" a="1"/>
  <c r="AB258"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X83" i="81" a="1"/>
  <c r="X83" i="81" s="1"/>
  <c r="X147" i="81" s="1" a="1"/>
  <c r="X147" i="81" s="1"/>
  <c r="X207" i="81" s="1" a="1"/>
  <c r="X207" i="81" s="1"/>
  <c r="X259" i="81" s="1" a="1"/>
  <c r="X259" i="81" s="1"/>
  <c r="V73" i="81" a="1"/>
  <c r="V73" i="81" s="1"/>
  <c r="V137" i="81" s="1" a="1"/>
  <c r="V137" i="81" s="1"/>
  <c r="V197" i="81" s="1" a="1"/>
  <c r="V197" i="81" s="1"/>
  <c r="V249" i="81" s="1" a="1"/>
  <c r="V249" i="81" s="1"/>
  <c r="AB59" i="81"/>
  <c r="AE75" i="81" a="1"/>
  <c r="AE75" i="81" s="1"/>
  <c r="AE139" i="81" s="1" a="1"/>
  <c r="AE139" i="81" s="1"/>
  <c r="AE199" i="81" s="1" a="1"/>
  <c r="AE199" i="81" s="1"/>
  <c r="AE251" i="81" s="1" a="1"/>
  <c r="AE251" i="81" s="1"/>
  <c r="W57" i="81"/>
  <c r="G63" i="81" a="1"/>
  <c r="G63" i="81" s="1"/>
  <c r="G128" i="81" s="1" a="1"/>
  <c r="G128" i="81" s="1"/>
  <c r="G170" i="81" s="1" a="1"/>
  <c r="G170" i="81" s="1"/>
  <c r="G208" i="81" s="1" a="1"/>
  <c r="G208" i="81" s="1"/>
  <c r="AA77" i="81" a="1"/>
  <c r="AA77" i="81" s="1"/>
  <c r="AA141" i="81" s="1" a="1"/>
  <c r="AA141" i="81" s="1"/>
  <c r="AA201" i="81" s="1" a="1"/>
  <c r="AA201" i="81" s="1"/>
  <c r="AA253" i="81" s="1" a="1"/>
  <c r="AA253" i="81" s="1"/>
  <c r="J63" i="81" a="1"/>
  <c r="J63" i="81" s="1"/>
  <c r="J128" i="81" s="1" a="1"/>
  <c r="J128" i="81" s="1"/>
  <c r="J170" i="81" s="1" a="1"/>
  <c r="J170" i="81" s="1"/>
  <c r="J208" i="81" s="1" a="1"/>
  <c r="J208" i="81" s="1"/>
  <c r="Y81" i="81" a="1"/>
  <c r="Y81" i="81" s="1"/>
  <c r="Y145" i="81" s="1" a="1"/>
  <c r="Y145" i="81" s="1"/>
  <c r="Y205" i="81" s="1" a="1"/>
  <c r="Y205" i="81" s="1"/>
  <c r="Y257" i="81" s="1" a="1"/>
  <c r="Y257" i="81" s="1"/>
  <c r="AE78" i="81" a="1"/>
  <c r="AE78" i="81" s="1"/>
  <c r="AE142" i="81" s="1" a="1"/>
  <c r="AE142" i="81" s="1"/>
  <c r="AE202" i="81" s="1" a="1"/>
  <c r="AE202" i="81" s="1"/>
  <c r="AE254" i="81" s="1" a="1"/>
  <c r="AE254" i="81" s="1"/>
  <c r="H62" i="81" a="1"/>
  <c r="H62" i="81" s="1"/>
  <c r="H127" i="81" s="1" a="1"/>
  <c r="H127" i="81" s="1"/>
  <c r="H169" i="81" s="1" a="1"/>
  <c r="H169" i="81" s="1"/>
  <c r="H207" i="81" s="1" a="1"/>
  <c r="H207" i="81" s="1"/>
  <c r="Y82" i="81" a="1"/>
  <c r="Y82" i="81" s="1"/>
  <c r="Y146" i="81" s="1" a="1"/>
  <c r="Y146" i="81" s="1"/>
  <c r="Y206" i="81" s="1" a="1"/>
  <c r="Y206" i="81" s="1"/>
  <c r="Y258" i="81" s="1" a="1"/>
  <c r="Y258" i="81" s="1"/>
  <c r="H65" i="81" a="1"/>
  <c r="H65" i="81" s="1"/>
  <c r="H130" i="81" s="1" a="1"/>
  <c r="H130" i="81" s="1"/>
  <c r="H172" i="81" s="1" a="1"/>
  <c r="H172" i="81" s="1"/>
  <c r="H210" i="81" s="1" a="1"/>
  <c r="H210" i="81" s="1"/>
  <c r="E64" i="81" a="1"/>
  <c r="E64" i="81" s="1"/>
  <c r="E129" i="81" s="1" a="1"/>
  <c r="E129" i="81" s="1"/>
  <c r="E171" i="81" s="1" a="1"/>
  <c r="E171" i="81" s="1"/>
  <c r="E209" i="81" s="1" a="1"/>
  <c r="E209" i="81" s="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I65" i="81" a="1"/>
  <c r="I65" i="81" s="1"/>
  <c r="I130" i="81" s="1" a="1"/>
  <c r="I130" i="81" s="1"/>
  <c r="I172" i="81" s="1" a="1"/>
  <c r="I172" i="81" s="1"/>
  <c r="I210" i="81" s="1" a="1"/>
  <c r="I210" i="81" s="1"/>
  <c r="AA80" i="81" a="1"/>
  <c r="AA80" i="81" s="1"/>
  <c r="AA144" i="81" s="1" a="1"/>
  <c r="AA144" i="81" s="1"/>
  <c r="AA204" i="81" s="1" a="1"/>
  <c r="AA204" i="81" s="1"/>
  <c r="AA256" i="81" s="1" a="1"/>
  <c r="AA256" i="81" s="1"/>
  <c r="W76" i="81" a="1"/>
  <c r="W76" i="81" s="1"/>
  <c r="W140" i="81" s="1" a="1"/>
  <c r="W140" i="81" s="1"/>
  <c r="W200" i="81" s="1" a="1"/>
  <c r="W200" i="81" s="1"/>
  <c r="W252" i="81" s="1" a="1"/>
  <c r="W252" i="81" s="1"/>
  <c r="V74" i="81" a="1"/>
  <c r="V74" i="81" s="1"/>
  <c r="V138" i="81" s="1" a="1"/>
  <c r="V138" i="81" s="1"/>
  <c r="V198" i="81" s="1" a="1"/>
  <c r="V198" i="81" s="1"/>
  <c r="V250" i="81" s="1" a="1"/>
  <c r="V250" i="81" s="1"/>
  <c r="F63" i="81" a="1"/>
  <c r="F63" i="81" s="1"/>
  <c r="F128" i="81" s="1" a="1"/>
  <c r="F128" i="81" s="1"/>
  <c r="F170" i="81" s="1" a="1"/>
  <c r="F170" i="81" s="1"/>
  <c r="F208" i="81" s="1" a="1"/>
  <c r="F208" i="81" s="1"/>
  <c r="AB79" i="81" a="1"/>
  <c r="AB79" i="81" s="1"/>
  <c r="AB143" i="81" s="1" a="1"/>
  <c r="AB143" i="81" s="1"/>
  <c r="AB203" i="81" s="1" a="1"/>
  <c r="AB203" i="81" s="1"/>
  <c r="AB255" i="81" s="1" a="1"/>
  <c r="AB255" i="81" s="1"/>
  <c r="AD76" i="81" a="1"/>
  <c r="AD76" i="81" s="1"/>
  <c r="AD140" i="81" s="1" a="1"/>
  <c r="AD140" i="81" s="1"/>
  <c r="AD200" i="81" s="1" a="1"/>
  <c r="AD200" i="81" s="1"/>
  <c r="AD252" i="81" s="1" a="1"/>
  <c r="AD252" i="81" s="1"/>
  <c r="X80" i="81" a="1"/>
  <c r="X80" i="81" s="1"/>
  <c r="X144" i="81" s="1" a="1"/>
  <c r="X144" i="81" s="1"/>
  <c r="X204" i="81" s="1" a="1"/>
  <c r="X204" i="81" s="1"/>
  <c r="X256" i="81" s="1" a="1"/>
  <c r="X256" i="81" s="1"/>
  <c r="L63" i="81" a="1"/>
  <c r="L63" i="81" s="1"/>
  <c r="L128" i="81" s="1" a="1"/>
  <c r="L128" i="81" s="1"/>
  <c r="L170" i="81" s="1" a="1"/>
  <c r="L170" i="81" s="1"/>
  <c r="L208" i="81" s="1" a="1"/>
  <c r="L208" i="81" s="1"/>
  <c r="AB83" i="81" a="1"/>
  <c r="AB83" i="81" s="1"/>
  <c r="AB147" i="81" s="1" a="1"/>
  <c r="AB147" i="81" s="1"/>
  <c r="AB207" i="81" s="1" a="1"/>
  <c r="AB207" i="81" s="1"/>
  <c r="AB259" i="81" s="1" a="1"/>
  <c r="AB259" i="81" s="1"/>
  <c r="K64" i="81" a="1"/>
  <c r="K64" i="81" s="1"/>
  <c r="K129" i="81" s="1" a="1"/>
  <c r="K129" i="81" s="1"/>
  <c r="K171" i="81" s="1" a="1"/>
  <c r="K171" i="81" s="1"/>
  <c r="K209" i="81" s="1" a="1"/>
  <c r="K209" i="81" s="1"/>
  <c r="V59"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AC74" i="81" a="1"/>
  <c r="AC74" i="81" s="1"/>
  <c r="AC138" i="81" s="1" a="1"/>
  <c r="AC138" i="81" s="1"/>
  <c r="AC198" i="81" s="1" a="1"/>
  <c r="AC198" i="81" s="1"/>
  <c r="AC250" i="81" s="1" a="1"/>
  <c r="AC250" i="81" s="1"/>
  <c r="AC75" i="81" a="1"/>
  <c r="AC75" i="81" s="1"/>
  <c r="AC139" i="81" s="1" a="1"/>
  <c r="AC139" i="81" s="1"/>
  <c r="AC199" i="81" s="1" a="1"/>
  <c r="AC199" i="81" s="1"/>
  <c r="AC251" i="81" s="1" a="1"/>
  <c r="AC251" i="81" s="1"/>
  <c r="X60" i="81"/>
  <c r="Z67" i="81"/>
  <c r="J56" i="81"/>
  <c r="V76" i="81" a="1"/>
  <c r="V76" i="81" s="1"/>
  <c r="V140" i="81" s="1" a="1"/>
  <c r="V140" i="81" s="1"/>
  <c r="V200" i="81" s="1" a="1"/>
  <c r="V200" i="81" s="1"/>
  <c r="V252" i="81" s="1" a="1"/>
  <c r="V252" i="81" s="1"/>
  <c r="W78" i="81" a="1"/>
  <c r="W78" i="81" s="1"/>
  <c r="W142" i="81" s="1" a="1"/>
  <c r="W142" i="81" s="1"/>
  <c r="W202" i="81" s="1" a="1"/>
  <c r="W202" i="81" s="1"/>
  <c r="W254" i="81" s="1" a="1"/>
  <c r="W254" i="81" s="1"/>
  <c r="E54" i="81"/>
  <c r="AE57" i="81"/>
  <c r="AE83" i="81" a="1"/>
  <c r="AE83" i="81" s="1"/>
  <c r="AE147" i="81" s="1" a="1"/>
  <c r="AE147" i="81" s="1"/>
  <c r="AE207" i="81" s="1" a="1"/>
  <c r="AE207" i="81" s="1"/>
  <c r="AE259" i="81" s="1" a="1"/>
  <c r="AE259" i="81" s="1"/>
  <c r="M63" i="81" a="1"/>
  <c r="M63" i="81" s="1"/>
  <c r="M128" i="81" s="1" a="1"/>
  <c r="M128" i="81" s="1"/>
  <c r="M170" i="81" s="1" a="1"/>
  <c r="M170" i="81" s="1"/>
  <c r="M208" i="81" s="1" a="1"/>
  <c r="M208" i="81" s="1"/>
  <c r="AD58" i="81"/>
  <c r="Z77" i="81" a="1"/>
  <c r="Z77" i="81" s="1"/>
  <c r="Z141" i="81" s="1" a="1"/>
  <c r="Z141" i="81" s="1"/>
  <c r="Z201" i="81" s="1" a="1"/>
  <c r="Z201" i="81" s="1"/>
  <c r="Z253" i="81" s="1" a="1"/>
  <c r="Z253"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L62" i="81" a="1"/>
  <c r="L62" i="81" s="1"/>
  <c r="L127" i="81" s="1" a="1"/>
  <c r="L127" i="81" s="1"/>
  <c r="L169" i="81" s="1" a="1"/>
  <c r="L169" i="81" s="1"/>
  <c r="L207" i="81" s="1" a="1"/>
  <c r="L207" i="81" s="1"/>
  <c r="AA72" i="81" a="1"/>
  <c r="AA72" i="81" s="1"/>
  <c r="AA136" i="81" s="1" a="1"/>
  <c r="AA136" i="81" s="1"/>
  <c r="AA196" i="81" s="1" a="1"/>
  <c r="AA196" i="81" s="1"/>
  <c r="AA248" i="81" s="1" a="1"/>
  <c r="AA248" i="81" s="1"/>
  <c r="N64" i="81" a="1"/>
  <c r="N64" i="81" s="1"/>
  <c r="N129" i="81" s="1" a="1"/>
  <c r="N129" i="81" s="1"/>
  <c r="N171" i="81" s="1" a="1"/>
  <c r="N171" i="81" s="1"/>
  <c r="N209" i="81" s="1" a="1"/>
  <c r="N209" i="81" s="1"/>
  <c r="M62" i="81" a="1"/>
  <c r="M62" i="81" s="1"/>
  <c r="M127" i="81" s="1" a="1"/>
  <c r="M127" i="81" s="1"/>
  <c r="M169" i="81" s="1" a="1"/>
  <c r="M169" i="81" s="1"/>
  <c r="M207" i="81" s="1" a="1"/>
  <c r="M207" i="81" s="1"/>
  <c r="Y77" i="81" a="1"/>
  <c r="Y77" i="81" s="1"/>
  <c r="Y141" i="81" s="1" a="1"/>
  <c r="Y141" i="81" s="1"/>
  <c r="Y201" i="81" s="1" a="1"/>
  <c r="Y201" i="81" s="1"/>
  <c r="Y253" i="81" s="1" a="1"/>
  <c r="Y253" i="81" s="1"/>
  <c r="J65" i="81" a="1"/>
  <c r="J65" i="81" s="1"/>
  <c r="J130" i="81" s="1" a="1"/>
  <c r="J130" i="81" s="1"/>
  <c r="J172" i="81" s="1" a="1"/>
  <c r="J172" i="81" s="1"/>
  <c r="J210" i="81" s="1" a="1"/>
  <c r="J210" i="81" s="1"/>
  <c r="X82" i="81" a="1"/>
  <c r="X82" i="81" s="1"/>
  <c r="X146" i="81" s="1" a="1"/>
  <c r="X146" i="81" s="1"/>
  <c r="X206" i="81" s="1" a="1"/>
  <c r="X206" i="81" s="1"/>
  <c r="X258" i="81" s="1" a="1"/>
  <c r="X258" i="81" s="1"/>
  <c r="AC80" i="81" a="1"/>
  <c r="AC80" i="81" s="1"/>
  <c r="AC144" i="81" s="1" a="1"/>
  <c r="AC144" i="81" s="1"/>
  <c r="AC204" i="81" s="1" a="1"/>
  <c r="AC204" i="81" s="1"/>
  <c r="AC256" i="81" s="1" a="1"/>
  <c r="AC256" i="81" s="1"/>
  <c r="X75" i="81" a="1"/>
  <c r="X75" i="81" s="1"/>
  <c r="X139" i="81" s="1" a="1"/>
  <c r="X139" i="81" s="1"/>
  <c r="X199" i="81" s="1" a="1"/>
  <c r="X199" i="81" s="1"/>
  <c r="X251" i="81" s="1" a="1"/>
  <c r="X251" i="81" s="1"/>
  <c r="G56" i="81"/>
  <c r="AE74" i="81" a="1"/>
  <c r="AE74" i="81" s="1"/>
  <c r="AE138" i="81" s="1" a="1"/>
  <c r="AE138" i="81" s="1"/>
  <c r="AE198" i="81" s="1" a="1"/>
  <c r="AE198" i="81" s="1"/>
  <c r="AE250" i="81" s="1" a="1"/>
  <c r="AE250" i="81" s="1"/>
  <c r="M65" i="81" a="1"/>
  <c r="M65" i="81" s="1"/>
  <c r="M130" i="81" s="1" a="1"/>
  <c r="M130" i="81" s="1"/>
  <c r="M172" i="81" s="1" a="1"/>
  <c r="M172" i="81" s="1"/>
  <c r="M210" i="81" s="1" a="1"/>
  <c r="M210" i="81" s="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E81" i="81" a="1"/>
  <c r="AE81" i="81" s="1"/>
  <c r="AE145" i="81" s="1" a="1"/>
  <c r="AE145" i="81" s="1"/>
  <c r="AE205" i="81" s="1" a="1"/>
  <c r="AE205" i="81" s="1"/>
  <c r="AE257" i="81" s="1" a="1"/>
  <c r="AE257" i="81" s="1"/>
  <c r="V79" i="81" a="1"/>
  <c r="V79" i="81" s="1"/>
  <c r="V143" i="81" s="1" a="1"/>
  <c r="V143" i="81" s="1"/>
  <c r="V203" i="81" s="1" a="1"/>
  <c r="V203" i="81" s="1"/>
  <c r="V255" i="81" s="1" a="1"/>
  <c r="V255" i="81" s="1"/>
  <c r="AC61" i="81"/>
  <c r="AA60" i="81"/>
  <c r="H64" i="81" a="1"/>
  <c r="H64" i="81" s="1"/>
  <c r="H129" i="81" s="1" a="1"/>
  <c r="H129" i="81" s="1"/>
  <c r="H171" i="81" s="1" a="1"/>
  <c r="H171" i="81" s="1"/>
  <c r="H209" i="81" s="1" a="1"/>
  <c r="H209" i="81" s="1"/>
  <c r="AB62" i="81"/>
  <c r="Z74" i="81" a="1"/>
  <c r="Z74" i="81" s="1"/>
  <c r="Z138" i="81" s="1" a="1"/>
  <c r="Z138" i="81" s="1"/>
  <c r="Z198" i="81" s="1" a="1"/>
  <c r="Z198" i="81" s="1"/>
  <c r="Z250" i="81" s="1" a="1"/>
  <c r="Z250" i="81" s="1"/>
  <c r="K55" i="81"/>
  <c r="AB60" i="81"/>
  <c r="AA79" i="81" a="1"/>
  <c r="AA79" i="81" s="1"/>
  <c r="AA143" i="81" s="1" a="1"/>
  <c r="AA143" i="81" s="1"/>
  <c r="AA203" i="81" s="1" a="1"/>
  <c r="AA203" i="81" s="1"/>
  <c r="AA255" i="81" s="1" a="1"/>
  <c r="AA255" i="81" s="1"/>
  <c r="G62" i="81" a="1"/>
  <c r="G62" i="81" s="1"/>
  <c r="G127" i="81" s="1" a="1"/>
  <c r="G127" i="81" s="1"/>
  <c r="G169" i="81" s="1" a="1"/>
  <c r="G169" i="81" s="1"/>
  <c r="G207" i="81" s="1" a="1"/>
  <c r="G207" i="81" s="1"/>
  <c r="AE77" i="81" a="1"/>
  <c r="AE77" i="81" s="1"/>
  <c r="AE141" i="81" s="1" a="1"/>
  <c r="AE141" i="81" s="1"/>
  <c r="AE201" i="81" s="1" a="1"/>
  <c r="AE201" i="81" s="1"/>
  <c r="AE253" i="81" s="1" a="1"/>
  <c r="AE253" i="81" s="1"/>
  <c r="K57" i="81"/>
  <c r="V83" i="81" a="1"/>
  <c r="V83" i="81" s="1"/>
  <c r="V147" i="81" s="1" a="1"/>
  <c r="V147" i="81" s="1"/>
  <c r="V207" i="81" s="1" a="1"/>
  <c r="V207" i="81" s="1"/>
  <c r="V259" i="81" s="1" a="1"/>
  <c r="V259"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D75" i="81" l="1" a="1"/>
  <c r="AD75" i="81" s="1"/>
  <c r="AD139" i="81" s="1" a="1"/>
  <c r="AD139" i="81" s="1"/>
  <c r="AD199" i="81" s="1" a="1"/>
  <c r="AD199" i="81" s="1"/>
  <c r="AD251" i="81" s="1" a="1"/>
  <c r="AD251" i="81" s="1"/>
  <c r="AB72" i="81" a="1"/>
  <c r="AB72" i="81" s="1"/>
  <c r="AB136" i="81" s="1" a="1"/>
  <c r="AB136" i="81" s="1"/>
  <c r="AB196" i="81" s="1" a="1"/>
  <c r="AB196" i="81" s="1"/>
  <c r="AB248" i="81" s="1" a="1"/>
  <c r="AB248" i="81" s="1"/>
  <c r="AD79" i="81" a="1"/>
  <c r="AD79" i="81" s="1"/>
  <c r="AD143" i="81" s="1" a="1"/>
  <c r="AD143" i="81" s="1"/>
  <c r="AD203" i="81" s="1" a="1"/>
  <c r="AD203" i="81" s="1"/>
  <c r="AD255" i="81" s="1" a="1"/>
  <c r="AD255" i="81" s="1"/>
  <c r="AD78" i="81" a="1"/>
  <c r="AD78" i="81" s="1"/>
  <c r="AD142" i="81" s="1" a="1"/>
  <c r="AD142" i="81" s="1"/>
  <c r="AD202" i="81" s="1" a="1"/>
  <c r="AD202" i="81" s="1"/>
  <c r="AD254" i="81" s="1" a="1"/>
  <c r="AD254" i="81" s="1"/>
  <c r="AB76" i="81" a="1"/>
  <c r="AB76" i="81" s="1"/>
  <c r="AB140" i="81" s="1" a="1"/>
  <c r="AB140" i="81" s="1"/>
  <c r="AB200" i="81" s="1" a="1"/>
  <c r="AB200" i="81" s="1"/>
  <c r="AB252" i="81" s="1" a="1"/>
  <c r="AB252" i="81" s="1"/>
  <c r="V72" i="81" a="1"/>
  <c r="V72" i="81" s="1"/>
  <c r="V136" i="81" s="1" a="1"/>
  <c r="V136" i="81" s="1"/>
  <c r="V196" i="81" s="1" a="1"/>
  <c r="V196" i="81" s="1"/>
  <c r="V248" i="81" s="1" a="1"/>
  <c r="V248" i="81" s="1"/>
  <c r="G64" i="81" a="1"/>
  <c r="G64" i="81" s="1"/>
  <c r="G129" i="81" s="1" a="1"/>
  <c r="G129" i="81" s="1"/>
  <c r="G171" i="81" s="1" a="1"/>
  <c r="G171" i="81" s="1"/>
  <c r="G209" i="81" s="1" a="1"/>
  <c r="G209" i="81" s="1"/>
  <c r="AD83" i="81" a="1"/>
  <c r="AD83" i="81" s="1"/>
  <c r="AD147" i="81" s="1" a="1"/>
  <c r="AD147" i="81" s="1"/>
  <c r="AD207" i="81" s="1" a="1"/>
  <c r="AD207" i="81" s="1"/>
  <c r="AD259" i="81" s="1" a="1"/>
  <c r="AD259" i="81" s="1"/>
  <c r="Z83" i="81" a="1"/>
  <c r="Z83" i="81" s="1"/>
  <c r="Z147" i="81" s="1" a="1"/>
  <c r="Z147" i="81" s="1"/>
  <c r="Z207" i="81" s="1" a="1"/>
  <c r="Z207" i="81" s="1"/>
  <c r="Z259" i="81" s="1" a="1"/>
  <c r="Z259" i="81" s="1"/>
  <c r="Z80" i="81" a="1"/>
  <c r="Z80" i="81" s="1"/>
  <c r="Z144" i="81" s="1" a="1"/>
  <c r="Z144" i="81" s="1"/>
  <c r="Z204" i="81" s="1" a="1"/>
  <c r="Z204" i="81" s="1"/>
  <c r="Z256" i="81" s="1" a="1"/>
  <c r="Z256" i="81" s="1"/>
  <c r="Y75" i="81" a="1"/>
  <c r="Y75" i="81" s="1"/>
  <c r="Y139" i="81" s="1" a="1"/>
  <c r="Y139" i="81" s="1"/>
  <c r="Y199" i="81" s="1" a="1"/>
  <c r="Y199" i="81" s="1"/>
  <c r="Y251" i="81" s="1" a="1"/>
  <c r="Y251" i="81" s="1"/>
  <c r="Y73" i="81" a="1"/>
  <c r="Y73" i="81" s="1"/>
  <c r="Y137" i="81" s="1" a="1"/>
  <c r="Y137" i="81" s="1"/>
  <c r="Y197" i="81" s="1" a="1"/>
  <c r="Y197" i="81" s="1"/>
  <c r="Y249" i="81" s="1" a="1"/>
  <c r="Y249" i="81" s="1"/>
  <c r="AE72" i="81" a="1"/>
  <c r="AE72" i="81" s="1"/>
  <c r="AE136" i="81" s="1" a="1"/>
  <c r="AE136" i="81" s="1"/>
  <c r="AE196" i="81" s="1" a="1"/>
  <c r="AE196" i="81" s="1"/>
  <c r="AE248" i="81" s="1" a="1"/>
  <c r="AE248" i="81" s="1"/>
  <c r="AD73" i="81" a="1"/>
  <c r="AD73" i="81" s="1"/>
  <c r="AD137" i="81" s="1" a="1"/>
  <c r="AD137" i="81" s="1"/>
  <c r="AD197" i="81" s="1" a="1"/>
  <c r="AD197" i="81" s="1"/>
  <c r="AD249" i="81" s="1" a="1"/>
  <c r="AD249" i="81" s="1"/>
  <c r="W82" i="81" a="1"/>
  <c r="W82" i="81" s="1"/>
  <c r="W146" i="81" s="1" a="1"/>
  <c r="W146" i="81" s="1"/>
  <c r="W206" i="81" s="1" a="1"/>
  <c r="W206" i="81" s="1"/>
  <c r="W258" i="81" s="1" a="1"/>
  <c r="W258" i="81" s="1"/>
  <c r="W83" i="81" a="1"/>
  <c r="W83" i="81" s="1"/>
  <c r="W147" i="81" s="1" a="1"/>
  <c r="W147" i="81" s="1"/>
  <c r="W207" i="81" s="1" a="1"/>
  <c r="W207" i="81" s="1"/>
  <c r="W259" i="81" s="1" a="1"/>
  <c r="W259" i="81" s="1"/>
  <c r="AA75" i="81" a="1"/>
  <c r="AA75" i="81" s="1"/>
  <c r="AA139" i="81" s="1" a="1"/>
  <c r="AA139" i="81" s="1"/>
  <c r="AA199" i="81" s="1" a="1"/>
  <c r="AA199" i="81" s="1"/>
  <c r="AA251" i="81" s="1" a="1"/>
  <c r="AA251" i="81" s="1"/>
  <c r="AD74" i="81" a="1"/>
  <c r="AD74" i="81" s="1"/>
  <c r="AD138" i="81" s="1" a="1"/>
  <c r="AD138" i="81" s="1"/>
  <c r="AD198" i="81" s="1" a="1"/>
  <c r="AD198" i="81" s="1"/>
  <c r="AD250" i="81" s="1" a="1"/>
  <c r="AD250" i="81" s="1"/>
  <c r="J64" i="81" a="1"/>
  <c r="J64" i="81" s="1"/>
  <c r="J129" i="81" s="1" a="1"/>
  <c r="J129" i="81" s="1"/>
  <c r="J171" i="81" s="1" a="1"/>
  <c r="J171" i="81" s="1"/>
  <c r="J209" i="81" s="1" a="1"/>
  <c r="J209" i="81" s="1"/>
  <c r="AC79" i="81" a="1"/>
  <c r="AC79" i="81" s="1"/>
  <c r="AC143" i="81" s="1" a="1"/>
  <c r="AC143" i="81" s="1"/>
  <c r="AC203" i="81" s="1" a="1"/>
  <c r="AC203" i="81" s="1"/>
  <c r="AC255" i="81" s="1" a="1"/>
  <c r="AC255" i="81" s="1"/>
  <c r="AA81" i="81" a="1"/>
  <c r="AA81" i="81" s="1"/>
  <c r="AA145" i="81" s="1" a="1"/>
  <c r="AA145" i="81" s="1"/>
  <c r="AA205" i="81" s="1" a="1"/>
  <c r="AA205" i="81" s="1"/>
  <c r="AA257" i="81" s="1" a="1"/>
  <c r="AA257" i="81" s="1"/>
  <c r="K63" i="81" a="1"/>
  <c r="K63" i="81" s="1"/>
  <c r="K128" i="81" s="1" a="1"/>
  <c r="K128" i="81" s="1"/>
  <c r="K170" i="81" s="1" a="1"/>
  <c r="K170" i="81" s="1"/>
  <c r="K208" i="81" s="1" a="1"/>
  <c r="K208" i="81" s="1"/>
  <c r="X76" i="81" a="1"/>
  <c r="X76" i="81" s="1"/>
  <c r="X140" i="81" s="1" a="1"/>
  <c r="X140" i="81" s="1"/>
  <c r="X200" i="81" s="1" a="1"/>
  <c r="X200" i="81" s="1"/>
  <c r="X252" i="81" s="1" a="1"/>
  <c r="X252" i="81" s="1"/>
  <c r="Y79" i="81" a="1"/>
  <c r="Y79" i="81" s="1"/>
  <c r="Y143" i="81" s="1" a="1"/>
  <c r="Y143" i="81" s="1"/>
  <c r="Y203" i="81" s="1" a="1"/>
  <c r="Y203" i="81" s="1"/>
  <c r="Y255" i="81" s="1" a="1"/>
  <c r="Y255" i="81" s="1"/>
  <c r="V75" i="81" a="1"/>
  <c r="V75" i="81" s="1"/>
  <c r="V139" i="81" s="1" a="1"/>
  <c r="V139" i="81" s="1"/>
  <c r="V199" i="81" s="1" a="1"/>
  <c r="V199" i="81" s="1"/>
  <c r="V251" i="81" s="1" a="1"/>
  <c r="V251" i="81" s="1"/>
  <c r="W73" i="81" a="1"/>
  <c r="W73" i="81" s="1"/>
  <c r="W137" i="81" s="1" a="1"/>
  <c r="W137" i="81" s="1"/>
  <c r="W197" i="81" s="1" a="1"/>
  <c r="W197" i="81" s="1"/>
  <c r="W249" i="81" s="1" a="1"/>
  <c r="W249" i="81" s="1"/>
  <c r="Y80" i="81" a="1"/>
  <c r="Y80" i="81" s="1"/>
  <c r="Y144" i="81" s="1" a="1"/>
  <c r="Y144" i="81" s="1"/>
  <c r="Y204" i="81" s="1" a="1"/>
  <c r="Y204" i="81" s="1"/>
  <c r="Y256" i="81" s="1" a="1"/>
  <c r="Y256" i="81" s="1"/>
  <c r="AB77" i="81" a="1"/>
  <c r="AB77" i="81" s="1"/>
  <c r="AB141" i="81" s="1" a="1"/>
  <c r="AB141" i="81" s="1"/>
  <c r="AB201" i="81" s="1" a="1"/>
  <c r="AB201" i="81" s="1"/>
  <c r="AB253" i="81" s="1" a="1"/>
  <c r="AB253" i="81" s="1"/>
  <c r="W75" i="81" a="1"/>
  <c r="W75" i="81" s="1"/>
  <c r="W139" i="81" s="1" a="1"/>
  <c r="W139" i="81" s="1"/>
  <c r="W199" i="81" s="1" a="1"/>
  <c r="W199" i="81" s="1"/>
  <c r="W251" i="81" s="1" a="1"/>
  <c r="W251" i="81" s="1"/>
  <c r="Z78" i="81" a="1"/>
  <c r="Z78" i="81" s="1"/>
  <c r="Z142" i="81" s="1" a="1"/>
  <c r="Z142" i="81" s="1"/>
  <c r="Z202" i="81" s="1" a="1"/>
  <c r="Z202" i="81" s="1"/>
  <c r="Z254" i="81" s="1" a="1"/>
  <c r="Z254" i="81" s="1"/>
  <c r="V80" i="81" a="1"/>
  <c r="V80" i="81" s="1"/>
  <c r="V144" i="81" s="1" a="1"/>
  <c r="V144" i="81" s="1"/>
  <c r="V204" i="81" s="1" a="1"/>
  <c r="V204" i="81" s="1"/>
  <c r="V256" i="81" s="1" a="1"/>
  <c r="V256" i="81" s="1"/>
  <c r="AC81" i="81" a="1"/>
  <c r="AC81" i="81" s="1"/>
  <c r="AC145" i="81" s="1" a="1"/>
  <c r="AC145" i="81" s="1"/>
  <c r="AC205" i="81" s="1" a="1"/>
  <c r="AC205" i="81" s="1"/>
  <c r="AC257" i="81" s="1" a="1"/>
  <c r="AC257" i="81" s="1"/>
  <c r="V77" i="81" a="1"/>
  <c r="V77" i="81" s="1"/>
  <c r="V141" i="81" s="1" a="1"/>
  <c r="V141" i="81" s="1"/>
  <c r="V201" i="81" s="1" a="1"/>
  <c r="V201" i="81" s="1"/>
  <c r="V253" i="81" s="1" a="1"/>
  <c r="V253" i="81" s="1"/>
  <c r="Z76" i="81" a="1"/>
  <c r="Z76" i="81" s="1"/>
  <c r="Z140" i="81" s="1" a="1"/>
  <c r="Z140" i="81" s="1"/>
  <c r="Z200" i="81" s="1" a="1"/>
  <c r="Z200" i="81" s="1"/>
  <c r="Z252" i="81" s="1" a="1"/>
  <c r="Z252" i="81" s="1"/>
  <c r="AE73" i="81" a="1"/>
  <c r="AE73" i="81" s="1"/>
  <c r="AE137" i="81" s="1" a="1"/>
  <c r="AE137" i="81" s="1"/>
  <c r="AE197" i="81" s="1" a="1"/>
  <c r="AE197" i="81" s="1"/>
  <c r="AE249" i="81" s="1" a="1"/>
  <c r="AE249" i="81" s="1"/>
  <c r="AD81" i="81" a="1"/>
  <c r="AD81" i="81" s="1"/>
  <c r="AD145" i="81" s="1" a="1"/>
  <c r="AD145" i="81" s="1"/>
  <c r="AD205" i="81" s="1" a="1"/>
  <c r="AD205" i="81" s="1"/>
  <c r="AD257" i="81" s="1" a="1"/>
  <c r="AD257" i="81" s="1"/>
  <c r="Y78" i="81" a="1"/>
  <c r="Y78" i="81" s="1"/>
  <c r="Y142" i="81" s="1" a="1"/>
  <c r="Y142" i="81" s="1"/>
  <c r="Y202" i="81" s="1" a="1"/>
  <c r="Y202" i="81" s="1"/>
  <c r="Y254" i="81" s="1" a="1"/>
  <c r="Y254" i="81" s="1"/>
  <c r="AA76" i="81" a="1"/>
  <c r="AA76" i="81" s="1"/>
  <c r="AA140" i="81" s="1" a="1"/>
  <c r="AA140" i="81" s="1"/>
  <c r="AA200" i="81" s="1" a="1"/>
  <c r="AA200" i="81" s="1"/>
  <c r="AA252" i="81" s="1" a="1"/>
  <c r="AA252" i="81" s="1"/>
  <c r="AC77" i="81" a="1"/>
  <c r="AC77" i="81" s="1"/>
  <c r="AC141" i="81" s="1" a="1"/>
  <c r="AC141" i="81" s="1"/>
  <c r="AC201" i="81" s="1" a="1"/>
  <c r="AC201" i="81" s="1"/>
  <c r="AC253" i="81" s="1" a="1"/>
  <c r="AC253" i="81" s="1"/>
  <c r="Z72" i="81" a="1"/>
  <c r="Z72" i="81" s="1"/>
  <c r="Z136" i="81" s="1" a="1"/>
  <c r="Z136" i="81" s="1"/>
  <c r="Z196" i="81" s="1" a="1"/>
  <c r="Z196" i="81" s="1"/>
  <c r="Z248" i="81" s="1" a="1"/>
  <c r="Z248" i="81" s="1"/>
  <c r="K65" i="81" a="1"/>
  <c r="K65" i="81" s="1"/>
  <c r="K130" i="81" s="1" a="1"/>
  <c r="K130" i="81" s="1"/>
  <c r="K172" i="81" s="1" a="1"/>
  <c r="K172" i="81" s="1"/>
  <c r="K210" i="81" s="1" a="1"/>
  <c r="K210" i="81" s="1"/>
  <c r="AB78" i="81" a="1"/>
  <c r="AB78" i="81" s="1"/>
  <c r="AB142" i="81" s="1" a="1"/>
  <c r="AB142" i="81" s="1"/>
  <c r="AB202" i="81" s="1" a="1"/>
  <c r="AB202" i="81" s="1"/>
  <c r="AB254" i="81" s="1" a="1"/>
  <c r="AB254" i="81" s="1"/>
  <c r="AE82" i="81" a="1"/>
  <c r="AE82" i="81" s="1"/>
  <c r="AE146" i="81" s="1" a="1"/>
  <c r="AE146" i="81" s="1"/>
  <c r="AE206" i="81" s="1" a="1"/>
  <c r="AE206" i="81" s="1"/>
  <c r="AE258" i="81" s="1" a="1"/>
  <c r="AE258" i="81" s="1"/>
  <c r="E62" i="81" a="1"/>
  <c r="E62" i="81" s="1"/>
  <c r="E127" i="81" s="1" a="1"/>
  <c r="E127" i="81" s="1"/>
  <c r="E169" i="81" s="1" a="1"/>
  <c r="E169" i="81" s="1"/>
  <c r="E207" i="81" s="1" a="1"/>
  <c r="E207" i="81" s="1"/>
  <c r="AA83" i="81" a="1"/>
  <c r="AA83" i="81" s="1"/>
  <c r="AA147" i="81" s="1" a="1"/>
  <c r="AA147" i="81" s="1"/>
  <c r="AA207" i="81" s="1" a="1"/>
  <c r="AA207" i="81" s="1"/>
  <c r="AA259" i="81" s="1" a="1"/>
  <c r="AA259" i="81" s="1"/>
  <c r="AB75" i="81" a="1"/>
  <c r="AB75" i="81" s="1"/>
  <c r="AB139" i="81" s="1" a="1"/>
  <c r="AB139" i="81" s="1"/>
  <c r="AB199" i="81" s="1" a="1"/>
  <c r="AB199" i="81" s="1"/>
  <c r="AB251" i="81" s="1" a="1"/>
  <c r="AB251" i="81" s="1"/>
  <c r="G65" i="81" a="1"/>
  <c r="G65" i="81" s="1"/>
  <c r="G130" i="81" s="1" a="1"/>
  <c r="G130" i="81" s="1"/>
  <c r="G172" i="81" s="1" a="1"/>
  <c r="G172" i="81" s="1"/>
  <c r="G210" i="81" s="1" a="1"/>
  <c r="G210" i="81" s="1"/>
  <c r="AA74" i="81" a="1"/>
  <c r="AA74" i="81" s="1"/>
  <c r="AA138" i="81" s="1" a="1"/>
  <c r="AA138" i="81" s="1"/>
  <c r="AA198" i="81" s="1" a="1"/>
  <c r="AA198" i="81" s="1"/>
  <c r="AA250" i="81" s="1" a="1"/>
  <c r="AA250" i="81" s="1"/>
  <c r="AA73" i="81" a="1"/>
  <c r="AA73" i="81" s="1"/>
  <c r="AA137" i="81" s="1" a="1"/>
  <c r="AA137" i="81" s="1"/>
  <c r="AA197" i="81" s="1" a="1"/>
  <c r="AA197" i="81" s="1"/>
  <c r="AA249" i="81" s="1" a="1"/>
  <c r="AA249" i="81" s="1"/>
  <c r="E212" i="81" l="1"/>
  <c r="E229" i="81" s="1" a="1"/>
  <c r="E229" i="81" s="1"/>
  <c r="G231" i="81" s="1"/>
  <c r="E234" i="81" s="1" a="1"/>
  <c r="E234" i="81" s="1"/>
  <c r="V261" i="81"/>
  <c r="V267" i="81" s="1" a="1"/>
  <c r="V267" i="81" s="1"/>
  <c r="X269" i="81" s="1"/>
  <c r="V272" i="81" s="1" a="1"/>
  <c r="V272" i="81" s="1"/>
  <c r="E8" i="13" a="1"/>
  <c r="E8" i="13" s="1"/>
  <c r="H8" i="13" s="1" a="1"/>
  <c r="H8" i="13" s="1"/>
  <c r="I13" i="83" l="1"/>
  <c r="E20" i="83" s="1" a="1"/>
  <c r="E20" i="83" s="1"/>
  <c r="I32" i="83" s="1"/>
  <c r="E36" i="83" s="1" a="1"/>
  <c r="E36" i="83" s="1"/>
  <c r="G38" i="83" s="1"/>
  <c r="E41" i="83" s="1" a="1"/>
  <c r="E41" i="83" s="1"/>
  <c r="J13" i="82"/>
  <c r="E16" i="82" s="1" a="1"/>
  <c r="E16" i="82" s="1"/>
  <c r="I28" i="82" s="1"/>
  <c r="E35" i="82" s="1" a="1"/>
  <c r="E35" i="82" s="1"/>
  <c r="G37" i="82" s="1"/>
  <c r="E40" i="82" s="1" a="1"/>
  <c r="E40" i="82" s="1"/>
  <c r="E9" i="13" a="1"/>
  <c r="E9" i="13" s="1"/>
  <c r="H9" i="13" s="1" a="1"/>
  <c r="H9" i="13" s="1"/>
  <c r="F8" i="13" a="1"/>
  <c r="F8" i="13" s="1"/>
  <c r="I8" i="13" s="1" a="1"/>
  <c r="I8" i="13" s="1"/>
  <c r="E11" i="13" l="1" a="1"/>
  <c r="E11" i="13" s="1"/>
  <c r="H11" i="13" s="1" a="1"/>
  <c r="H11" i="13" s="1"/>
  <c r="E10" i="13" a="1"/>
  <c r="E10" i="13" s="1"/>
  <c r="H10" i="13" s="1" a="1"/>
  <c r="H10" i="13" s="1"/>
  <c r="T13" i="82"/>
  <c r="O16" i="82" s="1" a="1"/>
  <c r="O16" i="82" s="1"/>
  <c r="S28" i="82" s="1"/>
  <c r="O35" i="82" s="1" a="1"/>
  <c r="O35" i="82" s="1"/>
  <c r="Q37" i="82" s="1"/>
  <c r="O40" i="82" s="1" a="1"/>
  <c r="O40" i="82" s="1"/>
  <c r="R13" i="83"/>
  <c r="N20" i="83" s="1" a="1"/>
  <c r="N20" i="83" s="1"/>
  <c r="R32" i="83" s="1"/>
  <c r="N36" i="83" s="1" a="1"/>
  <c r="N36" i="83" s="1"/>
  <c r="P38" i="83" s="1"/>
  <c r="N41" i="83" s="1" a="1"/>
  <c r="N41" i="83" s="1"/>
  <c r="H28" i="13" l="1"/>
  <c r="E38" i="13" s="1"/>
  <c r="E42" i="13" s="1"/>
  <c r="E59" i="13" s="1"/>
  <c r="H66" i="13" s="1"/>
  <c r="F9" i="13" a="1"/>
  <c r="F9" i="13" s="1"/>
  <c r="I9" i="13" s="1" a="1"/>
  <c r="I9" i="13" s="1"/>
  <c r="F11" i="13" a="1"/>
  <c r="F11" i="13" s="1"/>
  <c r="I11" i="13" s="1" a="1"/>
  <c r="I11" i="13" s="1"/>
  <c r="F10" i="13" a="1"/>
  <c r="F10" i="13" s="1"/>
  <c r="I10" i="13" s="1" a="1"/>
  <c r="I10" i="13" s="1"/>
  <c r="H63" i="13" l="1"/>
  <c r="H62" i="13"/>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<sst xmlns="http://schemas.openxmlformats.org/spreadsheetml/2006/main" count="3591" uniqueCount="873">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</sst>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FB308384-8FA9-4FE1-9CC9-5878D3B11EAA}"/>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E22E5C5-B75E-4AC0-83EA-ABCD2DF86E2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4E22E5C5-B75E-4AC0-83EA-ABCD2DF86E2F}"/>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747EFA5-FE3B-4A6F-A267-F829812FCE5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2747EFA5-FE3B-4A6F-A267-F829812FCE5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ADEF964-E97C-42A0-8B2B-8E3E0CB2BD8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ADEF964-E97C-42A0-8B2B-8E3E0CB2BD8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E0F3045-8656-49EF-B235-BDF32418B15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5E0F3045-8656-49EF-B235-BDF32418B155}"/>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8F1C87A-2896-40A1-A7CB-BE133BA1BB80}"/>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18F1C87A-2896-40A1-A7CB-BE133BA1BB80}"/>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70EF165-69F3-48D3-A1D9-464E3608FC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C70EF165-69F3-48D3-A1D9-464E3608FC8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A6A33B1-5E72-43D4-AFAA-46C2FF6595E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8A6A33B1-5E72-43D4-AFAA-46C2FF6595E1}"/>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775A7341-7CFE-4580-8AF3-8130B1E1823A}"/>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775A7341-7CFE-4580-8AF3-8130B1E1823A}"/>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EDB32171-C600-46F4-8171-2A2650199AA0}"/>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EDB32171-C600-46F4-8171-2A2650199AA0}"/>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7275DF3E-01DA-4CBE-B2CA-663DCED05F8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7275DF3E-01DA-4CBE-B2CA-663DCED05F89}"/>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760F2DB-90ED-41A9-BDAF-9A83304C142C}"/>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8760F2DB-90ED-41A9-BDAF-9A83304C142C}"/>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24837D5-E52D-40EE-9DF6-B43005C2D7B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224837D5-E52D-40EE-9DF6-B43005C2D7B7}"/>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EEA812A-2EE5-4C8C-B75B-975DA987898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9EEA812A-2EE5-4C8C-B75B-975DA9878982}"/>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EF692D6-F498-4CFE-A2C9-54C069E0845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5EF692D6-F498-4CFE-A2C9-54C069E0845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5C0E0315-EBF0-430F-B164-E4ED26FE9E2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5C0E0315-EBF0-430F-B164-E4ED26FE9E2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64CBE448-B8EE-4D97-B089-44BBCB2792BF}"/>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64CBE448-B8EE-4D97-B089-44BBCB2792BF}"/>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E14479D-1138-404B-BC0D-FC0C29315A93}"/>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AE14479D-1138-404B-BC0D-FC0C29315A93}"/>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36FFC87-9D90-4B42-92F0-1169D122C11E}"/>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736FFC87-9D90-4B42-92F0-1169D122C11E}"/>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691EF89-2559-438F-8475-83106E898CE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A691EF89-2559-438F-8475-83106E898CE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652B446-3F04-469E-91DA-FED3DC762430}"/>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1652B446-3F04-469E-91DA-FED3DC762430}"/>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1C2B4D7-7DF2-46D5-9BB6-581043BB3A57}"/>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1C2B4D7-7DF2-46D5-9BB6-581043BB3A57}"/>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F7DAD7F-D774-4DD9-B92D-C106FB8C8AA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F7DAD7F-D774-4DD9-B92D-C106FB8C8AA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B53572D-3423-4F83-AF7E-6AFBD99D7C2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FB53572D-3423-4F83-AF7E-6AFBD99D7C24}"/>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F8BC768-8F0B-4494-A567-892026F982D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AF8BC768-8F0B-4494-A567-892026F982D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31C85BA7-D70E-480F-A38D-9C05DEE2725B}"/>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31C85BA7-D70E-480F-A38D-9C05DEE2725B}"/>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4D53BEF5-1C09-40F8-A232-B8B6235E5FF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4D53BEF5-1C09-40F8-A232-B8B6235E5FF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5C4693E0-FE44-42C5-879D-2E6BF9A159E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5C4693E0-FE44-42C5-879D-2E6BF9A159E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91952098-428D-48C0-85DA-7573D4EF983B}"/>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91952098-428D-48C0-85DA-7573D4EF983B}"/>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B53ED99-DE9F-42B4-A8D7-72EDB5E8A63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1B53ED99-DE9F-42B4-A8D7-72EDB5E8A63B}"/>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7FACF4A-EC40-40A2-A7AA-A81D4EE5D6B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77FACF4A-EC40-40A2-A7AA-A81D4EE5D6B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677BE9F-925E-41C1-9600-0425FD25523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1677BE9F-925E-41C1-9600-0425FD25523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A1DAE66-1C2F-40C4-BC55-37D285B6789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BA1DAE66-1C2F-40C4-BC55-37D285B6789C}"/>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42708D2-15A2-4D0D-8AB8-7AAE8A5A9C6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742708D2-15A2-4D0D-8AB8-7AAE8A5A9C6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5BE2FD1-1F3A-4705-8FE4-FB859601BE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85BE2FD1-1F3A-4705-8FE4-FB859601BE7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832076A-A4B3-4C37-9079-68E92FEE82D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8832076A-A4B3-4C37-9079-68E92FEE82D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C413A74-A837-4136-89FE-08A9F4B8923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4C413A74-A837-4136-89FE-08A9F4B8923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BB87C1DC-BA22-4F90-B2A3-4A50303D44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BB87C1DC-BA22-4F90-B2A3-4A50303D44F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9B20A1A-B4CD-4EC3-8CE8-963C7ABF5AB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09B20A1A-B4CD-4EC3-8CE8-963C7ABF5AB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934A9D1-03A3-4235-AFF8-682A72DAA6A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B934A9D1-03A3-4235-AFF8-682A72DAA6A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A4D173A-98B0-43F1-8600-C0E7396FAF2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A4D173A-98B0-43F1-8600-C0E7396FAF29}"/>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5876D20-C0A0-46E8-9D4D-71FB0B83EB3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05876D20-C0A0-46E8-9D4D-71FB0B83EB3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90E4450-BDBB-4D9F-B9D0-4ECFEDDE1B2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790E4450-BDBB-4D9F-B9D0-4ECFEDDE1B2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9580225-68C2-4618-A48C-7C33DCEFADA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49580225-68C2-4618-A48C-7C33DCEFADA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E3FA7E5-58AE-401E-9A41-7A341A193F87}"/>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FE3FA7E5-58AE-401E-9A41-7A341A193F87}"/>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5A34D61-733C-4AAE-A36E-485D99851EC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75A34D61-733C-4AAE-A36E-485D99851EC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A3DC262-D03A-483F-AE4B-B0E1B28D8E3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A3DC262-D03A-483F-AE4B-B0E1B28D8E3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D29A28F-A8E8-4859-969A-B34B164024D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7D29A28F-A8E8-4859-969A-B34B164024D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9A90B10-661A-4D70-BD63-E7325A3D55D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89A90B10-661A-4D70-BD63-E7325A3D55D0}"/>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2654363-E798-4F43-BA9E-867AE9166CA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2654363-E798-4F43-BA9E-867AE9166CA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2DCA262-8611-4DEB-8FEF-A084F4526B6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2DCA262-8611-4DEB-8FEF-A084F4526B6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BF16746-B0CF-4FF6-BF3E-33FE5ADD4B7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9BF16746-B0CF-4FF6-BF3E-33FE5ADD4B7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11C35F4-A592-482C-9568-E19AF5F4700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D11C35F4-A592-482C-9568-E19AF5F4700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641D258-7256-4A72-BDA0-1A9BB21CC89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D641D258-7256-4A72-BDA0-1A9BB21CC89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CCDBFAD9-B60B-4D48-886C-BABD2B337BA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CCDBFAD9-B60B-4D48-886C-BABD2B337BA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2BF96DB9-91B3-4289-BC5A-B0BEBFBADF27}"/>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F5DE64D-506E-47B5-8F42-19FB193B8DA5}"/>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0405EFF2-A6B6-450B-83B7-13910A74A85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E577A555-E520-44A9-BAF4-46ECB361D01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323419B-814F-471A-96F2-AE43914ABF1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F86ED50-3306-4F60-A1F7-CCCF39C1A704}"/>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8265D22F-6883-49A4-A54A-EC58628E27C3}"/>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0D2F9020-8CA1-4919-A102-46CB9F41DD91}"/>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63ECF764-83AA-444E-9044-537989E71C46}"/>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AF613492-BE65-4FA9-B754-CE389F1278B9}"/>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CBF27DA1-9468-4907-A904-5B663507FCA3}"/>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DE95205-CA2C-47CB-B8E9-7CA43A5C4577}"/>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93B88E2D-6671-42A9-AA88-7543D341B712}"/>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613E81FF-5E79-473A-8276-CF7AE911C3A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798612D-0087-4CB5-B54C-FAFD49E89341}"/>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7489666-2450-468A-B1C6-7BA50E654A40}"/>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5D0F65AF-E44B-4127-9146-B412FD138414}"/>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40CCA97-3FB3-4BB3-8F7E-1F91AF36F38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BD720C4C-8290-4AF0-B62C-880383E5E5A0}"/>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54F486B5-9CDB-48FD-8E82-640855F7BB9F}"/>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7839E220-2FC9-4AC2-BDBF-19F7401801AA}"/>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B71E9147-BE0B-49A7-BDEC-33B38FB8B146}"/>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58831758-C177-4F7A-8543-5D9DC79E8C43}"/>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84F28D09-D535-44F3-96D6-3C4FDFCBD2E4}"/>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1DF8BC2-F37A-4602-831C-3B9D91A02BD0}"/>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3B4D249B-F633-42AB-9CA9-7E96764BD328}"/>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5661756E-B17A-478E-B89A-0AF10D74668F}"/>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0E1D9CF-2E0F-4CC1-828B-888DBB235AFB}"/>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AA21A488-A83F-42E5-BA2B-2CE4D326BCD0}"/>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031BA8B-4281-4048-AF83-E798C6CA5F3E}"/>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9D432B57-0CD5-4BA4-9C20-81260A901A7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AD910DD8-0ABB-4BB6-9DB6-2051A14DF08B}"/>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E38899E7-20E9-4E37-8AFB-F103617036CC}"/>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4D65B98B-0B70-4BB4-B28E-8F7379E064B1}"/>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9FC9008F-9051-41F3-88AD-665285CF20C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026A2F4-B318-46AC-9E32-28C82BF95AE6}"/>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0C8B787D-B9AE-4AD7-B2B0-A47B3488202D}"/>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2.xlsx" TargetMode="External"/><Relationship Id="rId2" Type="http://schemas.openxmlformats.org/officeDocument/2006/relationships/externalLinkPath" Target="file:///C:\htdocs\zneagcrc\GAF-VEERG-Functions\Excel\14_Electricity_Scope2_WIP_v02.xlsx" TargetMode="External"/><Relationship Id="rId1" Type="http://schemas.openxmlformats.org/officeDocument/2006/relationships/externalLinkPath" Target="/htdocs/zneagcrc/GAF-VEERG-Functions/Excel/14_Electricity_Scope2_WIP_v0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C435467F-93E7-456A-B482-F434947C1499}"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68298BB6-5231-4496-9BAC-871ADFC841E2}" name="Transaction name" dataCellStyle="Input text"/>
    <tableColumn id="1" xr3:uid="{37AE5D8B-B873-423A-9C59-52471D8DBF49}" name="Class (select)" dataCellStyle="Input select"/>
    <tableColumn id="2" xr3:uid="{834404C9-FAA7-41CF-8976-7B891103EFDC}" name="Sale date" dataDxfId="285"/>
    <tableColumn id="3" xr3:uid="{1F682502-D9FA-4CA5-8D45-DA4B8F23E5D0}" name="Head sold"/>
    <tableColumn id="4" xr3:uid="{7F026F7E-0F2A-4486-8254-0679D8E588A5}" name="Average weight per head (kg)"/>
    <tableColumn id="5" xr3:uid="{DF66F309-4DC6-471D-98E6-85FE205FBD13}"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A4864FB-F570-4DB0-9E2F-B645A95643A4}"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336D3872-F57C-4147-B075-B10F3F911645}" name="Transaction name" dataCellStyle="Input text"/>
    <tableColumn id="13" xr3:uid="{4F09E602-8076-47FD-9582-FC6BD5BD6DB9}" name="Purchase date" dataCellStyle="Input text"/>
    <tableColumn id="11" xr3:uid="{AC49CE0A-87A5-4219-ACE8-A7011D28C1A5}" name="Class (select)" dataDxfId="284" dataCellStyle="Input select"/>
    <tableColumn id="2" xr3:uid="{C2D8988A-761A-4F89-92A6-05E1C48642E6}" name="Purchase class (select)" dataDxfId="283" dataCellStyle="Input select"/>
    <tableColumn id="6" xr3:uid="{FBC1AB46-9DC1-45BE-BDEC-3B440912E139}" name="Source region (Select)" dataDxfId="282" dataCellStyle="Input select"/>
    <tableColumn id="3" xr3:uid="{2C2BCD44-078E-42B2-B26A-266B53592910}" name="Quantity (head)" dataCellStyle="Input number general"/>
    <tableColumn id="12" xr3:uid="{38B4A28F-2EDB-4761-9B12-D15D848205AD}" name="Liveweight (kg/head) Method 1" dataCellStyle="Input number general calculated"/>
    <tableColumn id="4" xr3:uid="{3DBAF550-F619-4190-815C-CF85E6AB89EE}"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BE13FE-2ADD-435C-AE39-21B1D867A27B}" name="Table_Input_LivestockSales" displayName="Table_Input_LivestockSales" ref="D206:I216" totalsRowShown="0">
  <autoFilter ref="D206:I216" xr:uid="{484622CD-CCF3-4BB9-AAA9-4F75EF631CF3}"/>
  <tableColumns count="6">
    <tableColumn id="6" xr3:uid="{785BA051-A0EB-4264-B518-0AC6F3DB65F0}" name="Transaction name" dataCellStyle="Input text"/>
    <tableColumn id="1" xr3:uid="{F8F6C99F-ECBB-4078-B79F-090B55131A5D}" name="Class (select)" dataCellStyle="Input select"/>
    <tableColumn id="2" xr3:uid="{40E0534F-491F-4F86-B41D-F37765218412}" name="Sale date" dataDxfId="396"/>
    <tableColumn id="3" xr3:uid="{77BB6CBC-85DE-4DA6-9334-C7E814B3A095}" name="Head sold"/>
    <tableColumn id="4" xr3:uid="{675CF669-4DD9-4AFF-B6BE-B3D6D823547E}" name="Average weight per head (kg)"/>
    <tableColumn id="5" xr3:uid="{FDA94563-74FB-4BEE-876D-6E850C04B4DA}"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7624F3-196A-4505-B977-E382CF025BB7}" name="Table_Input_LivestockPurchases_Beefcattle" displayName="Table_Input_LivestockPurchases_Beefcattle" ref="D190:K200" totalsRowShown="0">
  <autoFilter ref="D190:K200" xr:uid="{AAB6424C-3730-40E0-8F0E-53BDFDC2DDBB}"/>
  <tableColumns count="8">
    <tableColumn id="9" xr3:uid="{F9012680-E554-4ECE-AF9F-A2F496805C6B}" name="Transaction name" dataCellStyle="Input text"/>
    <tableColumn id="13" xr3:uid="{51814699-DEF8-4622-BC51-699174E4F3D8}" name="Purchase date" dataCellStyle="Input text"/>
    <tableColumn id="11" xr3:uid="{CB626DEB-AF01-43FA-9491-0EA389BF718F}" name="Class (select)" dataDxfId="395" dataCellStyle="Input select"/>
    <tableColumn id="2" xr3:uid="{A610A1EA-F3F2-44D8-AFA0-03347D3F715A}" name="Purchase class (select)" dataDxfId="394" dataCellStyle="Input select"/>
    <tableColumn id="6" xr3:uid="{18894BA2-C881-427F-B577-BFBAFD4FB743}" name="Source region (Select)" dataDxfId="393" dataCellStyle="Input select"/>
    <tableColumn id="3" xr3:uid="{9DC90A15-0141-45FD-9102-CF75E35043AD}" name="Quantity (head)" dataCellStyle="Input number general"/>
    <tableColumn id="12" xr3:uid="{6F798A24-E854-4D41-AF9E-8F8AAF8C8550}" name="Liveweight (kg/head) Method 1" dataCellStyle="Input number general calculated"/>
    <tableColumn id="4" xr3:uid="{2C4B56CC-D8E1-4679-A811-059989AF4F05}"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A95A996-BB2D-4A23-AF0C-5ADD55F708EB}"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1CE148C3-108D-4A22-B33C-E32B486A53F7}" name="Product (select)" dataDxfId="249" totalsRowDxfId="250" dataCellStyle="Input select"/>
    <tableColumn id="23" xr3:uid="{FBC2FD05-36E9-43AC-B641-467F88744EB3}" name="Amount applied per hectare" totalsRowFunction="custom" dataDxfId="247" totalsRowDxfId="248">
      <totalsRowFormula>SUM(Table_Input_InorganicFertiliser_Brands[[#Headers],[#Data],[Amount applied per hectare]])</totalsRowFormula>
    </tableColumn>
    <tableColumn id="12" xr3:uid="{EDAFD87F-E484-4C7A-AD44-BBFEE55E43F6}" name="Application unit" dataDxfId="245" totalsRowDxfId="246" dataCellStyle="Input number 2 decimal places"/>
    <tableColumn id="9" xr3:uid="{EBA59A2B-9F9C-4470-B723-93AB0379EEE0}" name="Density" dataDxfId="243" totalsRowDxfId="244" dataCellStyle="Input number 2 decimal places"/>
    <tableColumn id="6" xr3:uid="{D01EEABF-77DF-4397-BD9D-D1DAF4709150}" name="Application area (ha)" dataDxfId="241" totalsRowDxfId="242">
      <calculatedColumnFormula>$E$9</calculatedColumnFormula>
    </tableColumn>
    <tableColumn id="1" xr3:uid="{D50E99D0-EF30-4F06-9789-6C886FF84476}"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A89F5C07-5F11-41A6-86D7-73BFDF0EABCB}" name="Ingredient 1" dataDxfId="237" totalsRowDxfId="238" dataCellStyle="Input number general calculated"/>
    <tableColumn id="4" xr3:uid="{2DF49D4F-235E-4448-8E13-A922E026F3A3}" name="Ingredient 1 percent" dataDxfId="235" totalsRowDxfId="236" dataCellStyle="Input number general calculated"/>
    <tableColumn id="7" xr3:uid="{7B77A684-93E7-405F-8790-BCA9D1692DEA}" name="Ingredient 2" dataDxfId="234" dataCellStyle="Input number general calculated"/>
    <tableColumn id="8" xr3:uid="{D0F463EF-A402-4B61-9C45-4BA10E0509E1}" name="Ingredient 2 percent" dataDxfId="232" totalsRowDxfId="233" dataCellStyle="Input number general calculated"/>
    <tableColumn id="10" xr3:uid="{19656CFC-5F95-4D6F-B5B8-9F9E596C467A}" name="Ingredient 3" dataDxfId="230" totalsRowDxfId="231" dataCellStyle="Input number general calculated"/>
    <tableColumn id="11" xr3:uid="{F335BE07-6255-4BE6-AFE9-7DC1C449B222}" name="Ingredient 3 percent" dataDxfId="228" totalsRowDxfId="229" dataCellStyle="Input number general calculated"/>
    <tableColumn id="13" xr3:uid="{04FC4F44-538C-4E6C-9D2C-A32FD186BB05}" name="Ingredient 4" dataDxfId="226" totalsRowDxfId="227" dataCellStyle="Input number general calculated"/>
    <tableColumn id="14" xr3:uid="{2EC86346-6B54-41D5-A8A2-19F93D5CC8A9}" name="Ingredient 4 percent" dataDxfId="225" dataCellStyle="Input number general calculated"/>
    <tableColumn id="16" xr3:uid="{06D60E1E-0FF3-44E0-9719-19CD704AE274}" name="Ingredient 5" dataDxfId="224" dataCellStyle="Input number general calculated"/>
    <tableColumn id="17" xr3:uid="{4C93C58D-0267-4716-9CAA-1997D8CC3343}" name="Ingredient 5 percent" dataDxfId="223" dataCellStyle="Input number general calculated"/>
    <tableColumn id="19" xr3:uid="{62B4D9A7-38C0-46DE-83DC-AD067E4DF074}" name="Ingredient 6" dataDxfId="222" dataCellStyle="Input number general calculated"/>
    <tableColumn id="20" xr3:uid="{7DA6E1D9-7852-4D49-B5B6-5B9D3C2DC434}" name="Ingredient 6 percent" dataDxfId="221" dataCellStyle="Input number general calculated"/>
    <tableColumn id="5" xr3:uid="{EE3B9454-B693-4062-8CA6-285750CDF70D}" name="N application rate (kg/ha)" dataDxfId="219" totalsRowDxfId="220" dataCellStyle="Input number general calculated"/>
    <tableColumn id="15" xr3:uid="{29AD7ED3-9289-4499-A3CA-1E12936BBDDE}" name="Urea source" dataDxfId="217" totalsRowDxfId="218" dataCellStyle="Input number general calculated"/>
    <tableColumn id="18" xr3:uid="{7EED8CE2-A87A-4086-9495-A5ACC30A571B}"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7650CC6-5F5A-4ABA-B85A-026ABAE46228}"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BA1E330-843A-44DB-812E-DEEC8DAA7F79}" name="Custom blend name" dataCellStyle="Input text"/>
    <tableColumn id="2" xr3:uid="{806B145D-F443-4FE7-AC63-43EBC40ED183}" name="Amount applied (kg / ha)" dataDxfId="212"/>
    <tableColumn id="3" xr3:uid="{78CCA06C-86F6-4D9A-9966-88BB07FC3D98}" name="Application area (ha)" dataDxfId="211" dataCellStyle="Input number 2 decimal places">
      <calculatedColumnFormula>$E$9</calculatedColumnFormula>
    </tableColumn>
    <tableColumn id="4" xr3:uid="{7E7EF964-1788-4C4D-8E98-A5972DAA74D6}"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4AE1BEB9-B9DE-4CAA-A0F2-9A05BB25F15D}" name="Ingredient 1 (select)" dataDxfId="209" dataCellStyle="Input select"/>
    <tableColumn id="6" xr3:uid="{C19430A8-8993-41B0-962D-F9C57B3E489B}" name="Ingredient 1 percent" dataDxfId="208"/>
    <tableColumn id="8" xr3:uid="{73310690-4301-41AB-804F-7C13D940AA78}" name="Ingredient 2" dataDxfId="207" dataCellStyle="Input select"/>
    <tableColumn id="9" xr3:uid="{EF779403-07C9-44A2-97E5-D5FA1B7247B6}" name="Ingredient 2 percent" dataDxfId="206"/>
    <tableColumn id="11" xr3:uid="{B23DB698-5CEC-4E1F-A624-1F346ED2776E}" name="Ingredient 3" dataDxfId="205" dataCellStyle="Input select"/>
    <tableColumn id="12" xr3:uid="{3289F98F-C5BB-485C-B791-3ADC1EDD176F}" name="Ingredient 3 percent" dataDxfId="204"/>
    <tableColumn id="14" xr3:uid="{FD4FE950-20F5-4E33-9DCC-FE985C157429}" name="Ingredient 4" dataDxfId="203" dataCellStyle="Input select"/>
    <tableColumn id="15" xr3:uid="{8CE8B19B-6DD5-4F1A-9A7A-4931D59F7A04}" name="Ingredient 4 percent" dataCellStyle="Input percent"/>
    <tableColumn id="7" xr3:uid="{859572EA-6CDF-4A99-9031-8B6AC7D79E41}" name="N application rate (kg/ha)" dataDxfId="202" dataCellStyle="Input number general calculated"/>
    <tableColumn id="10" xr3:uid="{DA9E74E4-6FD1-4B33-BAB8-92C59EFA28FA}" name="Urea source (Select)" dataCellStyle="Input select"/>
    <tableColumn id="13" xr3:uid="{98160EFA-BA5D-439A-90CC-D7B4E3148275}"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1C679AC-F9F9-4520-9458-734F7400E7AC}"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EE31B94-3507-446B-A010-30A6EFDF1BB2}" name="Product" dataDxfId="199"/>
    <tableColumn id="2" xr3:uid="{CD4DBE05-0199-414B-B090-264535CCA0C0}" name="Amount applied (t/hectare)" dataDxfId="198"/>
    <tableColumn id="4" xr3:uid="{500BECB9-F84A-4A37-B197-68516DE6E276}" name="Application area (ha)" dataDxfId="197">
      <calculatedColumnFormula>$E$9</calculatedColumnFormula>
    </tableColumn>
    <tableColumn id="3" xr3:uid="{4E0A33B1-992E-47B7-A7DD-8F3C840C7B56}" name="Total amount applied (t)" dataDxfId="196" dataCellStyle="Input number general calculated">
      <calculatedColumnFormula>IFERROR(Table_Input_Lime[[#This Row],[Amount applied (t/hectare)]]*Table_Input_Lime[[#This Row],[Application area (ha)]], 0)</calculatedColumnFormula>
    </tableColumn>
    <tableColumn id="6" xr3:uid="{9D7A0E9C-01F3-4D69-8EC3-6817CB25B259}" name="Percent Lime CaCO3" dataDxfId="195"/>
    <tableColumn id="8" xr3:uid="{EE26E4BD-0F52-4203-BEFE-B2E00D7455F2}" name="Percent Dolomite CaMg(CO3)2" dataDxfId="194"/>
    <tableColumn id="7" xr3:uid="{088ED390-0C47-4E8C-B22B-6020EFC2C38B}" name="Percent Gypsum" dataDxfId="193"/>
    <tableColumn id="10" xr3:uid="{101247D9-9C8D-479A-95BA-2386F90B2339}"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91B9AD5-C6BF-4CE2-B0D4-A7DF13B3DF11}"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F21BAD8-D26E-4889-B0EE-49EFAD070997}" name="Organic fertiliser type (select)" dataDxfId="189" dataCellStyle="Input select"/>
    <tableColumn id="5" xr3:uid="{BCD44506-ED32-484A-AD53-00AA8D049A19}" name="Percentage of N in fertiliser" dataDxfId="188"/>
    <tableColumn id="2" xr3:uid="{E720254C-DDB8-4B01-A460-4056964EF34D}" name="Amount applied (kg/hectare)" dataDxfId="187"/>
    <tableColumn id="11" xr3:uid="{73F84A47-88A3-48FB-8A3F-CC409CA7CB47}"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66A3F92F-2763-4EE5-8736-EDA69164A45C}" name="Application area (ha)" dataDxfId="185">
      <calculatedColumnFormula>$E$9</calculatedColumnFormula>
    </tableColumn>
    <tableColumn id="7" xr3:uid="{D2EA18C4-E021-4923-AA77-FEDE2F29AF4C}"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66F01F77-FC8D-4AFD-B2DF-DDC969AC3D5F}"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810A153-C1C8-4237-960F-02684C00A0A9}"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E37B672A-9916-4C1C-A43D-7AA2B5665691}" name="Fuel use (select)" totalsRowFunction="average" totalsRowDxfId="87" dataCellStyle="Input select" totalsRowCellStyle="Input select"/>
    <tableColumn id="3" xr3:uid="{8F3C1F42-E486-4F31-8498-4A4D1C332C3F}" name="Fuel type (select)" totalsRowDxfId="86" dataCellStyle="Input select" totalsRowCellStyle="Input select"/>
    <tableColumn id="4" xr3:uid="{279908DC-C5B1-4DE0-B73B-647E932183BD}" name="Amount purchased" totalsRowDxfId="85" totalsRowCellStyle="Content bold"/>
    <tableColumn id="6" xr3:uid="{51DA6C4A-A8DF-4330-92F9-892849BE96B2}" name="Amount unit" totalsRowDxfId="84" dataCellStyle="Input number general calculated" totalsRowCellStyle="Input text calculated"/>
    <tableColumn id="5" xr3:uid="{B137FF08-C491-414E-BF3D-682AA70B25E8}" name="Percent consumed" totalsRowDxfId="83" totalsRowCellStyle="Input percent">
      <calculatedColumnFormula>1</calculatedColumnFormula>
    </tableColumn>
    <tableColumn id="1" xr3:uid="{2B59D6B9-AF9C-4BDB-93CF-24D3B1C27025}"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E95A65C-AB5F-40B2-9C19-DA487E4FDEAA}"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92FE036-BC1D-4590-874D-A018563079D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ED7A570-7520-4A73-938C-CE5BB08A187F}" name="Description"/>
    <tableColumn id="5" xr3:uid="{5D535E26-FC2C-46E2-846F-367E2A736AC6}" name="Source (select)" dataCellStyle="Input select"/>
    <tableColumn id="2" xr3:uid="{81F9F9BC-F8AA-45D1-B22D-4914AFAC434D}" name="Generation date" dataDxfId="108"/>
    <tableColumn id="3" xr3:uid="{0453CFB7-85EA-4799-A09A-4CDF866ED8B9}" name="Number of certificates"/>
    <tableColumn id="4" xr3:uid="{AD5537A0-D564-4E2D-87BF-E06BE12BB993}" name="MWh" dataCellStyle="Input number general calculated">
      <calculatedColumnFormula>Table_Input_RECSurrendered[[#This Row],[Number of certificates]]</calculatedColumnFormula>
    </tableColumn>
    <tableColumn id="7" xr3:uid="{57626767-261B-4691-A919-0D2872C1D1F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D087527-7F93-466C-8D21-B059DEB3AB6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88D77FC-33DC-41B6-97FC-18561F408615}" name="Description"/>
    <tableColumn id="5" xr3:uid="{298E2CD6-D695-4A03-AB5D-B0DA6095BF2E}" name="Source" dataCellStyle="Input text calculated">
      <calculatedColumnFormula>"Issued for generated electricity"</calculatedColumnFormula>
    </tableColumn>
    <tableColumn id="2" xr3:uid="{366B6210-4AF4-4EB8-AC9D-AA91E00EE0D8}" name="Generation date" dataDxfId="107"/>
    <tableColumn id="3" xr3:uid="{85586FF0-0CDA-4CA9-8A6B-78E7F1D87693}" name="Number of certificates"/>
    <tableColumn id="4" xr3:uid="{A2AE0288-912B-4DF1-B4EB-18EE3112CFDA}" name="MWh" dataCellStyle="Input number general calculated">
      <calculatedColumnFormula>Table_Input_RECConsumedByEntity[[#This Row],[Number of certificates]]</calculatedColumnFormula>
    </tableColumn>
    <tableColumn id="7" xr3:uid="{D7A156A3-70B7-45CB-9F0E-FA43B1BFA84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4814F57-E440-46FD-A725-220C419B1049}" name="Table_SourceData_PastureBeef_CropProdSystems" displayName="Table_SourceData_PastureBeef_CropProdSystems" ref="D7:D9" totalsRowShown="0">
  <autoFilter ref="D7:D9" xr:uid="{B6F3FE3A-A0B5-47E7-85B2-8426FB75A7C8}">
    <filterColumn colId="0" hiddenButton="1"/>
  </autoFilter>
  <tableColumns count="1">
    <tableColumn id="1" xr3:uid="{55E9ED69-832E-41EB-AEA4-DC22459B818A}"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71E08DB-5BDA-41F3-A7CF-106ACCBEACBD}"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1EF661BB-A5E3-4ABD-A1A1-1835D78D08EF}"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006FEB0-E10C-4250-BCE7-0AC544D03FAF}"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EC432FA6-88DA-421F-B060-810D9BC6C898}" name="State">
      <calculatedColumnFormula array="1">Common_InputFunctions.Utility_DisplayArrayInTable(SourceData_PastureBeef.SourceData_PastureBeef_Liveweight_Data(), Table_SourceData_PastureBeef_Liveweight[[#Headers],[State]], 0)</calculatedColumnFormula>
    </tableColumn>
    <tableColumn id="2" xr3:uid="{3418E4AC-7DB7-424F-8DF4-18594E36754F}"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C6B1D54A-F177-482D-97B8-5F475FECC446}"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EE2E2F6F-B732-44FD-AB95-C064348F8FBB}"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98238B35-BDCC-4F6C-81FC-0FF1BBCC1651}"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E8D85B96-3687-4658-AA83-97050037E4E5}"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64D3281A-0571-4616-B627-1869BED1D539}"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1414FEB8-F5E4-40F6-A052-C1F3B01E4D70}"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EDA76613-1E05-42B7-B8D4-EA59F30039E8}"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84909D00-391C-446F-A5CC-B47F406FF8DD}"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E35DB8-FD34-471C-86D7-25B29BEE5C4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012FB14-E023-4276-9333-81E3C9A4DD4A}" name="State">
      <calculatedColumnFormula array="1">Common_InputFunctions.Utility_DisplayArrayInTable(SourceData_PastureBeef.SourceData_PastureBeef_LiveweightNTQLD_Data(),Table_SourceData_PastureBeef_LiveweightNTQD[[#Headers],[State]], 0)</calculatedColumnFormula>
    </tableColumn>
    <tableColumn id="2" xr3:uid="{5BDCCABF-EBC7-45EF-A7C9-D0A5D67C9898}"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2AD7A32-82F5-497A-A99B-D88525AA6A7D}"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257486E-2CB7-4EA1-9D4E-D0C954BFD188}"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701979A-FB41-4FCF-9CBD-5E7642A6B0E8}"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65BD2D64-A201-4A83-A15D-8A93E4D869D5}"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64907B43-D444-4437-A3F1-EFA24B40BD1C}"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DC4700BD-9BA2-4D4C-AC5A-E3922BD4BADE}"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538E9D31-0A9B-4070-9F57-7710DA55CB17}"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55171E1D-CB2E-4F2B-8966-62D52805EDAC}"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89ADD3B3-4202-4DAE-BD93-F9D98BD77CC8}"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BD29E5C4-2B0E-4098-AA1D-9D84324A7D78}"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6C73272A-40CF-45EC-8875-144B1AB7E68E}"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E35B624-00CB-4CAD-B89F-F4DA93D6195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161D61C-443D-4D02-9FC1-D7904EEB595C}" name="State"/>
    <tableColumn id="2" xr3:uid="{D9EB1649-A857-4A3A-B4A5-C01960F2A806}" name="Region">
      <calculatedColumnFormula>E22</calculatedColumnFormula>
    </tableColumn>
    <tableColumn id="3" xr3:uid="{835E47C4-F122-4016-BB8B-62C5746999BB}" name="Season">
      <calculatedColumnFormula>F22</calculatedColumnFormula>
    </tableColumn>
    <tableColumn id="4" xr3:uid="{74C191AE-0B2F-4284-8093-DB2A89873571}" name="Bulls &lt; 1 year">
      <calculatedColumnFormula>G22</calculatedColumnFormula>
    </tableColumn>
    <tableColumn id="5" xr3:uid="{8374B5C4-149A-486B-B5DD-4D9D4310642F}" name="Bulls &gt; 1 year">
      <calculatedColumnFormula>H22</calculatedColumnFormula>
    </tableColumn>
    <tableColumn id="6" xr3:uid="{934EBD31-09C1-4511-AF0A-3119FF8BA710}" name="Cows &lt; 1 year">
      <calculatedColumnFormula>I22</calculatedColumnFormula>
    </tableColumn>
    <tableColumn id="7" xr3:uid="{1E4DC0EB-2457-4736-9961-F8B9EC826154}" name="Cows 1-2 years">
      <calculatedColumnFormula>J22</calculatedColumnFormula>
    </tableColumn>
    <tableColumn id="8" xr3:uid="{1084D603-4C0E-43F4-BD2F-64270D20B48C}" name="Cows 2-3 years">
      <calculatedColumnFormula>K22</calculatedColumnFormula>
    </tableColumn>
    <tableColumn id="9" xr3:uid="{DB072474-E1B5-4516-8FA4-93EBCC58A1F6}" name="Cows &gt; 3 years">
      <calculatedColumnFormula>L22</calculatedColumnFormula>
    </tableColumn>
    <tableColumn id="10" xr3:uid="{0A9D515E-2F84-435A-8ABF-392C161F7428}" name="Steers &lt; 1 year">
      <calculatedColumnFormula>M22</calculatedColumnFormula>
    </tableColumn>
    <tableColumn id="11" xr3:uid="{C28BC82E-6238-40E3-952B-DC5F152328D5}" name="Steers 1-2 years">
      <calculatedColumnFormula>N22</calculatedColumnFormula>
    </tableColumn>
    <tableColumn id="12" xr3:uid="{F3868C01-1B8D-4201-A6E3-497F06AE029C}" name="Steers 2-3 years">
      <calculatedColumnFormula>O22</calculatedColumnFormula>
    </tableColumn>
    <tableColumn id="13" xr3:uid="{79F15F28-D202-4B22-8067-587EE4CD54D3}"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F8AB893-126D-4D89-B936-9D8ED07B8279}"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314287A-5FD1-490B-8B62-16B87C00581B}"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F96DB0C-8AAE-4578-B3AE-BAB21D6549E1}"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F86A1AD4-3CFF-4DD2-B732-6E6C1F09EAE8}"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0999DA3-75FB-489D-94D1-D35DDA38D45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AD2A90C1-058D-4321-958E-6F674744E1AB}"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57C4ABA-8B1C-4311-B730-A961854B7B0B}" name="Table_SourceData_PastureBeef_Region_Victoria" displayName="Table_SourceData_PastureBeef_Region_Victoria" ref="S7:S8" totalsRowShown="0">
  <autoFilter ref="S7:S8" xr:uid="{7D474D93-C1E0-4898-A434-69585070D0B9}">
    <filterColumn colId="0" hiddenButton="1"/>
  </autoFilter>
  <tableColumns count="1">
    <tableColumn id="1" xr3:uid="{96ED3989-7223-4848-B91E-10CC23EB00A6}"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0EC3C7E-2B91-4D72-8420-184E462AF57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A7FF273-002A-4A7D-A224-C1F46C7465A4}"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3E87BDE-ED3D-42D7-9F38-838EE707F35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258200B-060B-48E6-BBE1-BEC357F34527}"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BB6C2EE-57A9-43A3-ACD0-9B95FCE3F43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467F893-6C2E-4DA1-BF5F-707DC36DC012}"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E60A7DF-C1FD-4BB3-8C07-8E738A0A4253}" name="Table_SourceData_PastureBeef_Region_ACT" displayName="Table_SourceData_PastureBeef_Region_ACT" ref="S27:S28" totalsRowShown="0">
  <autoFilter ref="S27:S28" xr:uid="{3655B7FD-A2CC-4B05-9668-16F7A54ED6C1}">
    <filterColumn colId="0" hiddenButton="1"/>
  </autoFilter>
  <tableColumns count="1">
    <tableColumn id="1" xr3:uid="{814A0EBE-A119-411A-8268-4991D21AD587}"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403AF0A-F395-4557-A490-08889208A4C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7ABCCE7-69CC-4BAF-B56E-22ACE7204A5F}" name="State">
      <calculatedColumnFormula array="1">Common_InputFunctions.Utility_DisplayArrayInTable(SourceData_PastureBeef.SourceData_PastureBeef_LiveweightGain_Data(), Table_SourceData_PastureBeef_LiveweightGain[[#Headers],[State]],0)</calculatedColumnFormula>
    </tableColumn>
    <tableColumn id="2" xr3:uid="{03FEF151-03DA-4A1A-B42D-26DF189EDA80}"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92024F2E-BC7A-4830-B1A0-8C5A68451604}"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6A94163-E4C3-452A-BC56-EFBCF2B35ECC}"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D8F0E23C-5B45-41A1-A9D7-FBA40D07CCDC}"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0A2FA871-FF8E-457B-BC93-7AEC3DA54CE2}"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33FA21CA-CFB9-49AD-A468-D31850D60654}"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E9B89AD-8C6C-418A-9481-B083AF49F926}"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830DEFE-D722-4BE9-A96F-0F5632819299}"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F9A8BE2-92B4-4BA8-88EF-7556926C7E98}"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2A53675-A75F-4625-91D7-5FAB913D6B2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86F5BA2-82F9-44D7-B2C2-3FB167184EED}" name="State">
      <calculatedColumnFormula array="1">Common_InputFunctions.Utility_DisplayArrayInTable(SourceData_PastureBeef.SourceData_PastureBeef_LiveweightGainNTQLD_Data(),Table_SourceData_PastureBeef_LiveweightGainNTQLD[[#Headers],[State]],0)</calculatedColumnFormula>
    </tableColumn>
    <tableColumn id="2" xr3:uid="{F72363E0-658B-4B11-A612-E1A72592A68F}"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D8EF2109-671D-4230-BA7B-A43FF3423489}"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2CCB0C4-B4FF-47DF-92E0-20F86A46DCBC}"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8CB5B106-B56E-4866-A3BE-D2B7B166D91D}"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6D52133-FFF0-44D8-B287-CCC381719837}"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926CB314-B143-4775-A905-4C3069CB2DFF}"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FB0255F-86BA-4C1F-9D40-8007CE680579}"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1DA1BF4-79F4-4C1A-B02F-FEA4F4F4FF58}"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3CA02B20-7B52-4D1D-84A4-867D1784681D}"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BB854AF8-1B89-4BF1-A316-4A78F1C17FFA}"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C5A2D02A-A9CA-4844-89B7-3ABCDA6FA794}"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6205983A-DF47-42C6-8FA0-CCAF0C350D0C}"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512A4DD-2E43-48C8-8B9C-06D8B99A44D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D7DC502-75F3-497E-A27E-74D3E4B8B0EF}" name="State"/>
    <tableColumn id="2" xr3:uid="{A77C885E-EFD2-474B-B320-6A1F5DC95443}" name="Region">
      <calculatedColumnFormula>E159</calculatedColumnFormula>
    </tableColumn>
    <tableColumn id="3" xr3:uid="{40C9EEC3-9623-430A-950D-55247D7D00D5}" name="Season">
      <calculatedColumnFormula>F159</calculatedColumnFormula>
    </tableColumn>
    <tableColumn id="4" xr3:uid="{5CF7D4D5-29FB-4DC1-8DF6-AB4FA9BD2925}" name="Bulls &lt; 1 year">
      <calculatedColumnFormula>G159</calculatedColumnFormula>
    </tableColumn>
    <tableColumn id="5" xr3:uid="{1F279492-66F1-49C1-9C38-D48CA8BA1329}" name="Bulls &gt; 1 year">
      <calculatedColumnFormula>H159</calculatedColumnFormula>
    </tableColumn>
    <tableColumn id="6" xr3:uid="{A23022A5-3BEB-4F37-B69F-E3AAE38C3F49}" name="Cows &lt; 1 year">
      <calculatedColumnFormula>I159</calculatedColumnFormula>
    </tableColumn>
    <tableColumn id="7" xr3:uid="{06670D54-90D3-43D2-9902-1910E02A1FB0}" name="Cows 1-2 years">
      <calculatedColumnFormula>J159</calculatedColumnFormula>
    </tableColumn>
    <tableColumn id="8" xr3:uid="{BEF39BB6-077C-4E02-9C5A-93488F24C358}" name="Cows 2-3 years">
      <calculatedColumnFormula>K159</calculatedColumnFormula>
    </tableColumn>
    <tableColumn id="9" xr3:uid="{38E72993-EEB2-409B-8C8C-5D3DE5AF8D86}" name="Cows &gt; 3 years">
      <calculatedColumnFormula>L159</calculatedColumnFormula>
    </tableColumn>
    <tableColumn id="10" xr3:uid="{7207232E-A076-43BF-A959-88029B4071D3}" name="Steers &lt; 1 year">
      <calculatedColumnFormula>M159</calculatedColumnFormula>
    </tableColumn>
    <tableColumn id="11" xr3:uid="{BB664370-89E6-49FC-9FC9-3EA3B2D67576}" name="Steers 1-2 years">
      <calculatedColumnFormula>N159</calculatedColumnFormula>
    </tableColumn>
    <tableColumn id="12" xr3:uid="{D2C8F964-C774-47AF-B8A3-9AC9466C008A}" name="Steers 2-3 years">
      <calculatedColumnFormula>O159</calculatedColumnFormula>
    </tableColumn>
    <tableColumn id="13" xr3:uid="{6D466F3C-C6C2-41EC-888E-5D694C76EFAA}"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0C5A26-74D9-44F6-881A-E5423C841392}"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2D226B8-8D33-4DC6-B7AE-610F94E0B693}"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83C940F-57EE-4893-B58D-DC05408F5E97}"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62B7465D-E7C8-457C-9B61-3D7830B53616}"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6F016477-DE38-4208-A63B-B4174317CCA5}"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D260F233-4C6A-471E-BFFA-A456AABC4680}"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BF73E3B-B662-473F-A820-FE1FD5367622}"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F6FC888-040E-4F2E-A1DF-68A0A136ECE9}"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5FF78EB-6F1E-4FCF-8DDC-DD47D2CF4646}"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7127BDF-414F-4305-8530-7F71C2A402C4}"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4935D48B-8587-4F2C-88EB-3A5C7680BEDB}"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9E35711-DA58-4B99-B03B-CD7D6328E88E}"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EE963A3A-1625-419D-8404-F0BDBF5D5D8B}"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A480A1D-5E96-42C1-BA72-D716474FF7D7}"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5D6239E-0C61-48A4-AC10-05CB7FBC3342}"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B94764C-2667-49BE-A9D2-67A92D05FD79}"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3F7AAC4-ACC1-40CD-B5B1-866AD6EE53FD}"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8FC51906-C770-43FE-9EF4-6F2C8177419E}"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865F5078-EFC4-44CA-959B-3B2DF6CFCA4E}"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50AFE03-4F90-4DE9-B12E-CE3E5506FFD7}"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5B779D2-F93D-4C92-9DA1-69AF09A97FD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119ACB00-5347-47F2-8B78-8EE265B96394}"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0522914F-AAD5-447B-8CF5-816940F18493}"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874C922-EADB-4402-9511-ED57D9FE5854}"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C9EDA154-1AAB-4280-A956-FB6FDF55CF14}"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24EE4597-0836-43F6-9C5B-CE658901A4B0}"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D4CFFB4-78B7-4198-8E81-D745B5969E01}"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087631C9-C644-4854-91A6-C0A458FB28AC}"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B34F5D68-2E43-4C00-9875-43EC4FEC90BB}"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4880051-0F78-40E0-9D6B-A144C9366286}"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7DD43DD-7288-4A42-A64D-738EB81A3E66}" name="State" dataDxfId="327" dataCellStyle="Content normal">
      <calculatedColumnFormula>D351</calculatedColumnFormula>
    </tableColumn>
    <tableColumn id="2" xr3:uid="{688C679E-5C0C-4A07-8401-66D52E13BF07}" name="Bulls &lt; 1 year" dataDxfId="326" dataCellStyle="Content normal">
      <calculatedColumnFormula>E351</calculatedColumnFormula>
    </tableColumn>
    <tableColumn id="3" xr3:uid="{26B1C55A-ECF1-4AA6-8A10-32CC541631E2}" name="Bulls &gt; 1 year" dataDxfId="325" dataCellStyle="Content normal">
      <calculatedColumnFormula>F351</calculatedColumnFormula>
    </tableColumn>
    <tableColumn id="4" xr3:uid="{DCCBDFC9-E331-4231-B961-8FD228481F5A}" name="Cows &lt; 1 year" dataDxfId="324" dataCellStyle="Content normal">
      <calculatedColumnFormula>G351</calculatedColumnFormula>
    </tableColumn>
    <tableColumn id="5" xr3:uid="{F4A72DB9-44CA-4070-A96E-3F69EEC15D69}" name="Cows 1-2 years" dataDxfId="323" dataCellStyle="Content normal">
      <calculatedColumnFormula>H351</calculatedColumnFormula>
    </tableColumn>
    <tableColumn id="6" xr3:uid="{E4CE515D-1110-481E-9B4F-C4D64FFD3EDD}" name="Cows 2-3 years" dataDxfId="322" dataCellStyle="Content normal">
      <calculatedColumnFormula>I351</calculatedColumnFormula>
    </tableColumn>
    <tableColumn id="7" xr3:uid="{CE9AB660-3EA4-4499-B7D2-9813AFD96C39}" name="Cows &gt; 3 years" dataDxfId="321" dataCellStyle="Content normal">
      <calculatedColumnFormula>I351</calculatedColumnFormula>
    </tableColumn>
    <tableColumn id="8" xr3:uid="{DB68ABF8-867B-43D1-9BC4-6E0E61770981}" name="Steers &lt; 1 year" dataDxfId="320" dataCellStyle="Content normal">
      <calculatedColumnFormula>J351</calculatedColumnFormula>
    </tableColumn>
    <tableColumn id="9" xr3:uid="{5534CC1F-8B15-4220-A106-89935377018F}" name="Steers 1-2 years" dataDxfId="319" dataCellStyle="Content normal">
      <calculatedColumnFormula>K351</calculatedColumnFormula>
    </tableColumn>
    <tableColumn id="10" xr3:uid="{57CF0620-0F45-4A03-9199-A1D7346E44ED}" name="Steers 2-3 years" dataDxfId="318" dataCellStyle="Content normal">
      <calculatedColumnFormula>K351</calculatedColumnFormula>
    </tableColumn>
    <tableColumn id="11" xr3:uid="{3294145B-9BAD-469D-8EB7-CFA8BCB7B648}" name="Steers &gt;3 years" dataDxfId="317" dataCellStyle="Content normal">
      <calculatedColumnFormula>K351</calculatedColumnFormula>
    </tableColumn>
    <tableColumn id="12" xr3:uid="{DBAAE7DF-17C5-4EB3-AF02-747FA7A1C20A}"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7AFF022-95F3-4A31-9E00-4766EB825C28}"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9F21950-C863-4589-A1C6-4F26BC346E2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B00EF013-8EE4-4950-A83C-A4E74DA3FE32}"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B9E7B030-040E-4722-A87F-A26AFECA65AE}"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F75CD7A-C5C0-450C-911E-B75D2D38F28A}"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B429148-365F-42C0-A850-3CA4BFD8FF23}"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D810F088-9BFE-499C-9990-21488261D3ED}"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B63048E1-A306-4995-9599-C8A589CDD7B7}"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880E0034-1B34-4463-BDF6-D57DA9493F66}"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CD8395F0-7984-478A-9D72-70A5A97572C2}"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F0AFA9F2-61C8-405C-940C-23B6C8F7E330}"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6648BC4C-2DD4-43F2-BA13-8F43668DF64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369604E9-6D12-4031-9DCB-7B9746E6EA5A}"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69B61345-0246-450A-AAE6-7592A48DFE04}"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7E08ABE0-646D-42BF-A114-20EC60855271}"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5459DD5-C5A9-483F-8FB5-5F3530087969}" name="Table_LivestockClasses_Beefcattle" displayName="Table_LivestockClasses_Beefcattle" ref="O18:O28" totalsRowShown="0">
  <autoFilter ref="O18:O28" xr:uid="{96840E84-168C-4D51-8D9B-9C727DE4F3B7}">
    <filterColumn colId="0" hiddenButton="1"/>
  </autoFilter>
  <tableColumns count="1">
    <tableColumn id="1" xr3:uid="{48852DF9-FFD9-4463-AD5A-0E31E92A198F}"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8AFE4242-D1E2-45E6-B57E-762DF4B0DC01}"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B3426C19-AAAD-46ED-8EA9-D07522249110}" name="Region"/>
    <tableColumn id="2" xr3:uid="{8274C9A6-DB32-462C-8E24-2306050A6162}"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5DE801C-17C2-462D-A6C2-B8E7B7377557}"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FBA2807D-B9C3-4EE6-8E83-4C4118E69D70}"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10CE084C-2DC3-4908-B513-CFCE1B93364A}" name="Product" dataDxfId="303" dataCellStyle="Content normal">
      <calculatedColumnFormula array="1">Common_InputFunctions.Utility_DisplayArrayInTable(Scope3_SourceData.Scope3_Livestock_Data(), Table_SourceData_Scope3_Animals[[#Headers],[Category]], 0, 2)</calculatedColumnFormula>
    </tableColumn>
    <tableColumn id="3" xr3:uid="{53F8E6FE-E334-4E39-88F9-A5B33057E6F2}"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439036E2-88E5-4906-8C0B-4A4E99C91446}"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7BBE4793-D1AD-488C-B6EB-37388CED935E}"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0246460C-83A4-48EB-9E16-E91497DC4EF5}"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A5934BF-D5CC-4D41-8811-B2798525CF34}"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B95443A-7677-4531-B857-4D7FDBD8BA4A}" name="Crop type">
      <calculatedColumnFormula array="1">Common_InputFunctions.Utility_DisplayArrayInTable(Agresidue_SourceData.CropAttributes_Data(),Table_SourceData_CropAttributes[[#Headers],[Crop type]], -1)</calculatedColumnFormula>
    </tableColumn>
    <tableColumn id="2" xr3:uid="{C28F0E1A-7794-479C-8768-EBEA307732D4}" name="Residue: Crop ratio">
      <calculatedColumnFormula array="1">Common_InputFunctions.Utility_DisplayArrayInTable(Agresidue_SourceData.CropAttributes_Data(),Table_SourceData_CropAttributes[[#Headers],[Crop type]], -1)</calculatedColumnFormula>
    </tableColumn>
    <tableColumn id="3" xr3:uid="{0B0D3B4A-9A08-4904-A699-C5D4C0115E9D}" name="Below-ground: above-ground residue ratio">
      <calculatedColumnFormula array="1">Common_InputFunctions.Utility_DisplayArrayInTable(Agresidue_SourceData.CropAttributes_Data(),Table_SourceData_CropAttributes[[#Headers],[Crop type]], -1)</calculatedColumnFormula>
    </tableColumn>
    <tableColumn id="4" xr3:uid="{40D71751-F0DC-4DD5-888A-A50624E298AD}" name="Dry matter content">
      <calculatedColumnFormula array="1">Common_InputFunctions.Utility_DisplayArrayInTable(Agresidue_SourceData.CropAttributes_Data(),Table_SourceData_CropAttributes[[#Headers],[Crop type]], -1)</calculatedColumnFormula>
    </tableColumn>
    <tableColumn id="5" xr3:uid="{8D39ADD7-BB3F-4E73-BF42-FF6B40C58916}" name="Carbon fraction in dry matter">
      <calculatedColumnFormula array="1">Common_InputFunctions.Utility_DisplayArrayInTable(Agresidue_SourceData.CropAttributes_Data(),Table_SourceData_CropAttributes[[#Headers],[Crop type]], -1)</calculatedColumnFormula>
    </tableColumn>
    <tableColumn id="6" xr3:uid="{91264343-F2C1-4CF9-8CE8-70EF65354537}" name="N content above-ground">
      <calculatedColumnFormula array="1">Common_InputFunctions.Utility_DisplayArrayInTable(Agresidue_SourceData.CropAttributes_Data(),Table_SourceData_CropAttributes[[#Headers],[Crop type]], -1)</calculatedColumnFormula>
    </tableColumn>
    <tableColumn id="7" xr3:uid="{A254A390-336A-442B-9B0B-8FFECA83C4DE}" name="N content below-ground">
      <calculatedColumnFormula array="1">Common_InputFunctions.Utility_DisplayArrayInTable(Agresidue_SourceData.CropAttributes_Data(),Table_SourceData_CropAttributes[[#Headers],[Crop type]], -1)</calculatedColumnFormula>
    </tableColumn>
    <tableColumn id="8" xr3:uid="{6FCA5A78-0F50-455B-9A0F-B4197FC1AB8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F8D3EF3-8EF2-4375-A29E-575F0081F240}"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BB595F39-216C-4343-9DEA-A498DFB911AC}" name="Table76" displayName="Table76" ref="D73:F89" totalsRowShown="0">
  <autoFilter ref="D73:F89" xr:uid="{7CD0B032-9881-4EF1-81E3-483C7C16D9D0}">
    <filterColumn colId="0" hiddenButton="1"/>
    <filterColumn colId="1" hiddenButton="1"/>
    <filterColumn colId="2" hiddenButton="1"/>
  </autoFilter>
  <tableColumns count="3">
    <tableColumn id="1" xr3:uid="{B0C78E2E-DE30-4769-8E9E-389217DBFD41}" name="Crop type c">
      <calculatedColumnFormula array="1">Common_InputFunctions.Utility_DisplayArrayInTable(Agresidue_SourceData.CropFractionRemoved_Data(), Table76[[#Headers],[Crop type c]], 0)</calculatedColumnFormula>
    </tableColumn>
    <tableColumn id="2" xr3:uid="{9E664D18-84E0-48F1-86BD-5842D405090B}" name="State" dataDxfId="29">
      <calculatedColumnFormula array="1">Common_InputFunctions.Utility_DisplayArrayInTable(Agresidue_SourceData.CropFractionRemoved_Data(), Table76[[#Headers],[Crop type c]], 0)</calculatedColumnFormula>
    </tableColumn>
    <tableColumn id="3" xr3:uid="{A16C3D14-1F4D-48B3-BDA5-7A8E6EE34D0D}"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9516CF63-3659-41B2-9EF7-6AC99BAED959}" name="Table77" displayName="Table77" ref="D92:F235" totalsRowShown="0">
  <autoFilter ref="D92:F235" xr:uid="{1FA7CC86-1C1E-41FA-9AA1-AAD48AA2EEF0}">
    <filterColumn colId="0" hiddenButton="1"/>
    <filterColumn colId="1" hiddenButton="1"/>
    <filterColumn colId="2" hiddenButton="1"/>
  </autoFilter>
  <tableColumns count="3">
    <tableColumn id="1" xr3:uid="{60D753D8-3504-4859-B874-0FC69590BCC9}" name="Crop type c">
      <calculatedColumnFormula array="1">Common_InputFunctions.Utility_DisplayArrayInTable(Agresidue_SourceData.CropFractionRemoved_CustomisedData(), Table77[[#Headers],[Crop type c]], 0)</calculatedColumnFormula>
    </tableColumn>
    <tableColumn id="2" xr3:uid="{A411B64E-EC46-4CC8-842D-CE373323F726}" name="State" dataDxfId="27">
      <calculatedColumnFormula array="1">Common_InputFunctions.Utility_DisplayArrayInTable(Agresidue_SourceData.CropFractionRemoved_CustomisedData(), Table77[[#Headers],[Crop type c]], 0)</calculatedColumnFormula>
    </tableColumn>
    <tableColumn id="3" xr3:uid="{A6FAF0C3-A4FB-4B4C-A690-631C434047AC}"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BA1A92F-B24A-4F79-96DE-ABCE1182B9DE}"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BA987333-99B5-48FA-A78F-582A5C227176}"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ED386D25-CE3B-4E93-98EB-5091EC243521}"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25F92B5-E7EB-474A-95BC-636F46C5A2CC}"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EEE28565-05EA-4D64-9E40-E9885F763015}"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C932C7A-E796-4244-BF3F-E6B73749C4D2}"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A4E6273F-04FC-4A9A-9C7C-718D266EF5FB}"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402D6149-9938-4549-A3B2-77D883C8F18E}"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16DB036D-B5DE-463C-B887-25C779344815}"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7464045A-4928-4472-ADC2-F97FA6C1594D}"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E1B9D03-25B8-43C1-A2E3-C737AEE993C9}"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CED1431-E1B7-4EFF-A7D0-09E1C6142DA6}" name="Gas species">
      <calculatedColumnFormula array="1">Common_InputFunctions.Utility_DisplayArrayInTable(AgResidues_SourceData.BurningOfAgriculturalResiduesEFs_Data(), Table_SourceData_BurningResidueEFs[[#Headers],[Gas species]], 0)</calculatedColumnFormula>
    </tableColumn>
    <tableColumn id="2" xr3:uid="{E9645CE5-7877-4777-B47D-2763152F5BB2}"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614515E0-73EB-407B-A13F-5B8EE38452E2}"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C85C109-C7AD-43A1-92E5-51A0DFDE6596}"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97060ED-F99B-4473-8FDE-913DCDE139D0}" name="Purpose">
      <calculatedColumnFormula array="1">Common_InputFunctions.Utility_DisplayArrayInTable(Agresidue_SourceData.CropPurposeAndYield_Data(), Table_SourceData_CropPurposeAndYields[[#Headers],[Purpose]], 0)</calculatedColumnFormula>
    </tableColumn>
    <tableColumn id="2" xr3:uid="{F3F4A6B0-444B-4C58-83B5-791E97CB398F}" name="Per hectare unit">
      <calculatedColumnFormula array="1">Common_InputFunctions.Utility_DisplayArrayInTable(Agresidue_SourceData.CropPurposeAndYield_Data(), Table_SourceData_CropPurposeAndYields[[#Headers],[Purpose]], 0)</calculatedColumnFormula>
    </tableColumn>
    <tableColumn id="3" xr3:uid="{44B72299-398D-41F5-95B7-E473E7DC5972}" name="harvest term">
      <calculatedColumnFormula array="1">Common_InputFunctions.Utility_DisplayArrayInTable(Agresidue_SourceData.CropPurposeAndYield_Data(), Table_SourceData_CropPurposeAndYields[[#Headers],[Purpose]], 0)</calculatedColumnFormula>
    </tableColumn>
    <tableColumn id="4" xr3:uid="{1F63BEDD-A91A-4D4A-9858-44D0E07CD4BD}" name="harvest endpoint">
      <calculatedColumnFormula array="1">Common_InputFunctions.Utility_DisplayArrayInTable(Agresidue_SourceData.CropPurposeAndYield_Data(), Table_SourceData_CropPurposeAndYields[[#Headers],[Purpose]], 0)</calculatedColumnFormula>
    </tableColumn>
    <tableColumn id="5" xr3:uid="{5A346418-83D9-4B8C-A5AE-F83C0B4E8CBA}" name="Harvest uit">
      <calculatedColumnFormula array="1">Common_InputFunctions.Utility_DisplayArrayInTable(Agresidue_SourceData.CropPurposeAndYield_Data(), Table_SourceData_CropPurposeAndYields[[#Headers],[Purpose]], 0)</calculatedColumnFormula>
    </tableColumn>
    <tableColumn id="6" xr3:uid="{4E7DB432-793A-4ED3-93FE-AAED938AB8B6}" name="Yield note">
      <calculatedColumnFormula array="1">Common_InputFunctions.Utility_DisplayArrayInTable(Agresidue_SourceData.CropPurposeAndYield_Data(), Table_SourceData_CropPurposeAndYields[[#Headers],[Purpose]], 0)</calculatedColumnFormula>
    </tableColumn>
    <tableColumn id="8" xr3:uid="{0E79CC98-67F6-4EEE-8309-7FAAF8A6BB89}" name="Residue crop ratio note">
      <calculatedColumnFormula array="1">Common_InputFunctions.Utility_DisplayArrayInTable(Agresidue_SourceData.CropPurposeAndYield_Data(), Table_SourceData_CropPurposeAndYields[[#Headers],[Purpose]], 0)</calculatedColumnFormula>
    </tableColumn>
    <tableColumn id="9" xr3:uid="{021A5D26-A910-47A6-B126-7AC661CE5D72}"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28BFD0C-EDEE-4653-9AFF-78C558B7F210}"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69A7DD49-E4BE-486D-916B-8F0AB993FC17}"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2A8DA9E-55CA-45C5-8B2A-227A2439E9D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606F054A-DB6B-4309-9528-56D4730A645F}" name="Symbol">
      <calculatedColumnFormula array="1">Common_InputFunctions.Utility_DisplayArrayInTable(CommonLivestock_SourceData.SourceData_Livestock_Common_SymbolsMMS_Data(), Table_Data_MMSSymbols[[#Headers],[Symbol]], 0)</calculatedColumnFormula>
    </tableColumn>
    <tableColumn id="2" xr3:uid="{FEF74AE5-5E33-4558-BD75-6B213498163E}" name="Manure management system">
      <calculatedColumnFormula array="1">Common_InputFunctions.Utility_DisplayArrayInTable(CommonLivestock_SourceData.SourceData_Livestock_Common_SymbolsMMS_Data(), Table_Data_MMSSymbols[[#Headers],[Symbol]], 0)</calculatedColumnFormula>
    </tableColumn>
    <tableColumn id="3" xr3:uid="{FFCD63DD-A1C7-43F1-B641-D4ABFD8E1C1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B38C8CF6-56C0-4826-A63F-A2DC84874F0C}" name="Table_SourceData_LivestockProduct_Beefcattle" displayName="Table_SourceData_LivestockProduct_Beefcattle" ref="D31:E39" totalsRowShown="0">
  <autoFilter ref="D31:E39" xr:uid="{A0696731-6602-481C-9AD7-5F0AC3A93169}"/>
  <tableColumns count="2">
    <tableColumn id="1" xr3:uid="{42FF6134-DB86-44B7-B681-AF1D99E15772}" name="Product">
      <calculatedColumnFormula array="1">Common_InputFunctions.Utility_DisplayArrayInTable(CommonLivestock_SourceData.SourceData_Livestock_Product_BeefCattle_Data(),Table_SourceData_LivestockProduct_Beefcattle[[#Headers],[Product]],0)</calculatedColumnFormula>
    </tableColumn>
    <tableColumn id="2" xr3:uid="{406499E2-4806-408C-8025-748B8FDC824E}"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FFF418B2-C7FD-4087-B37F-552EB4F623D9}" name="Table_SourceData_LivestockProduct_Sheep" displayName="Table_SourceData_LivestockProduct_Sheep" ref="D43:E50" totalsRowShown="0" dataDxfId="11" dataCellStyle="Content normal">
  <autoFilter ref="D43:E50" xr:uid="{F711E95C-01C8-48A7-BB52-9F827483965C}"/>
  <tableColumns count="2">
    <tableColumn id="1" xr3:uid="{11A0C079-C6F2-439B-9288-A9518C695B83}"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8AFA2C4-2C53-40CE-8E38-14CE4133C6A6}"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8E5D7ED-A851-41E6-B772-9B001C566C1D}" name="Table_SourceData_LivestockProduct_Chickens" displayName="Table_SourceData_LivestockProduct_Chickens" ref="D54:E55" totalsRowShown="0" dataDxfId="8" dataCellStyle="Content normal">
  <autoFilter ref="D54:E55" xr:uid="{2A75A840-CA11-4C7B-8899-C3A821D14E27}"/>
  <tableColumns count="2">
    <tableColumn id="1" xr3:uid="{55E892F3-ACF0-4541-9374-BF6420AEA6D7}"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0BF558B6-DB5D-453F-93D9-C5AA2C1427A5}"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DA37DAF-F598-4B3A-869E-9F4CDBA7C274}" name="Table_SourceData_LivestockProduct_Dairycattle" displayName="Table_SourceData_LivestockProduct_Dairycattle" ref="D59:E60" totalsRowShown="0" dataDxfId="5" dataCellStyle="Content normal">
  <autoFilter ref="D59:E60" xr:uid="{2D888E1E-7753-4DC0-B298-BEAC22F6BD88}"/>
  <tableColumns count="2">
    <tableColumn id="1" xr3:uid="{00AA9611-0DBB-49AA-A465-750146BD6EAA}"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0C93985-93F8-4C3C-9771-35150E860BBC}"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C027BEBB-74EE-43C6-BA57-1C2E7A633473}" name="Table_SourceData_LivestockProduct_Pigs" displayName="Table_SourceData_LivestockProduct_Pigs" ref="D64:E65" totalsRowShown="0" dataDxfId="2" dataCellStyle="Content normal">
  <autoFilter ref="D64:E65" xr:uid="{4DB6C08B-3AF7-4AD1-AB80-46559AA7950B}"/>
  <tableColumns count="2">
    <tableColumn id="1" xr3:uid="{02FCB51E-6DED-4D18-A10F-A68D07D337E1}"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C7433A3A-99DD-4618-B33F-3039625A2C4D}"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0CC1CE3-8839-4062-BCBF-F960D1CD7289}"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FFCCF08A-E22C-49ED-96C0-EBFCB513B21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E643A08-4A02-4A45-A77D-B371BB86E33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50960A72-3FC6-4AAA-913D-A14D20F148F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D54171C-227F-4804-ACC2-F4402045583B}"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9AE2F06-0492-4123-A304-051E30D154A2}"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8E840CC-7A79-4315-87FB-8827C1CDDD8D}"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B0467843-0BB4-4117-BFCC-314EA7D450E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37595DF-7CA8-4D76-BFD0-65E8E552E8F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996DA7C5-3C59-44DE-B188-0AA0C3C3341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B93F5C5B-E8E7-4A26-9126-8B488EA0484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6DF39FD5-4688-41B9-8DB0-8DD5A298B29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2A5E7E1-0350-440B-9D5C-BD8E066D7258}" name="FNinorganic f">
      <calculatedColumnFormula array="1">Common_InputFunctions.Utility_DisplayArrayInTable(Fertiliser_SourceData.Fertiliser_ChemicalCompoundElements_Data(),Table_Fertiliser_ChemicalCompounds[[#Headers],[Fertiliser type f]], 0)</calculatedColumnFormula>
    </tableColumn>
    <tableColumn id="3" xr3:uid="{8C4A10E3-CCE0-47A3-A912-2E35FD6C6F87}" name="FU f">
      <calculatedColumnFormula array="1">Common_InputFunctions.Utility_DisplayArrayInTable(Fertiliser_SourceData.Fertiliser_ChemicalCompoundElements_Data(),Table_Fertiliser_ChemicalCompounds[[#Headers],[Fertiliser type f]], 0)</calculatedColumnFormula>
    </tableColumn>
    <tableColumn id="4" xr3:uid="{2CA38748-1F57-4747-8323-FB36399FDD41}" name="Basis">
      <calculatedColumnFormula array="1">Common_InputFunctions.Utility_DisplayArrayInTable(Fertiliser_SourceData.Fertiliser_ChemicalCompoundElements_Data(),Table_Fertiliser_ChemicalCompounds[[#Headers],[Fertiliser type f]], 0)</calculatedColumnFormula>
    </tableColumn>
    <tableColumn id="5" xr3:uid="{10CAF5AC-7516-49D1-BF6D-A6B5C04AFE8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A338F2E-239D-46DC-8F64-C40905308BA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115DA92-D83E-4C01-90C9-0F34C4F8918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CF62927E-AB6B-40E4-B3A9-05CECB889C99}"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3357FF06-FD5B-4861-9BE5-E619330895C8}" name="Notes" dataDxfId="179" totalsRowDxfId="180">
      <calculatedColumnFormula array="1">Common_InputFunctions.Utility_DisplayArrayInTable(Fertiliser_SourceData.Fertiliser_Products_Data1(),FertiliserProducts[[#Headers],[Include or Exclude]], 0)</calculatedColumnFormula>
    </tableColumn>
    <tableColumn id="3" xr3:uid="{3BB346A6-6BAC-4240-A69B-D73F9D360DA7}" name="Company" dataDxfId="177" totalsRowDxfId="178">
      <calculatedColumnFormula array="1">Common_InputFunctions.Utility_DisplayArrayInTable(Fertiliser_SourceData.Fertiliser_Products_Data1(),FertiliserProducts[[#Headers],[Include or Exclude]], 0)</calculatedColumnFormula>
    </tableColumn>
    <tableColumn id="4" xr3:uid="{03213E6B-C37C-43C2-A2F5-277257B0D621}" name="Product name" dataDxfId="175" totalsRowDxfId="176">
      <calculatedColumnFormula array="1">Common_InputFunctions.Utility_DisplayArrayInTable(Fertiliser_SourceData.Fertiliser_Products_Data1(),FertiliserProducts[[#Headers],[Include or Exclude]], 0)</calculatedColumnFormula>
    </tableColumn>
    <tableColumn id="5" xr3:uid="{D482873B-2C17-4BDF-A5D3-6BF13B019D3D}" name="Unit" dataDxfId="173" totalsRowDxfId="174">
      <calculatedColumnFormula array="1">Common_InputFunctions.Utility_DisplayArrayInTable(Fertiliser_SourceData.Fertiliser_Products_Data1(),FertiliserProducts[[#Headers],[Include or Exclude]], 0,4)</calculatedColumnFormula>
    </tableColumn>
    <tableColumn id="6" xr3:uid="{CF17998B-E584-44F4-A47B-6A05B6B90FB8}"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42AB0945-76C8-44D3-82FA-B2D678A650D5}" name="Urea source" dataDxfId="169" totalsRowDxfId="170">
      <calculatedColumnFormula array="1">Common_InputFunctions.Utility_DisplayArrayInTable(Fertiliser_SourceData.Fertiliser_Products_Data1(),FertiliserProducts[[#Headers],[Include or Exclude]], 0,4)</calculatedColumnFormula>
    </tableColumn>
    <tableColumn id="8" xr3:uid="{82A42984-C517-4ECB-9A59-250EE91F7537}" name="Ammonia source" dataDxfId="167" totalsRowDxfId="168">
      <calculatedColumnFormula array="1">Common_InputFunctions.Utility_DisplayArrayInTable(Fertiliser_SourceData.Fertiliser_Products_Data1(),FertiliserProducts[[#Headers],[Include or Exclude]], 0,4)</calculatedColumnFormula>
    </tableColumn>
    <tableColumn id="9" xr3:uid="{4FC6F89A-A858-4093-9FFD-4C38040E1AD0}" name="Ingredient 1" dataDxfId="165" totalsRowDxfId="166">
      <calculatedColumnFormula array="1">Common_InputFunctions.Utility_DisplayArrayInTable(Fertiliser_SourceData.Fertiliser_Products_Data1(),FertiliserProducts[[#Headers],[Include or Exclude]], 0,4)</calculatedColumnFormula>
    </tableColumn>
    <tableColumn id="10" xr3:uid="{21BCE217-D929-4E32-9D0E-5C90C9C54264}"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7094AE28-8BE3-4A23-BC9F-B642E8700E41}" name="Ingredient 2" dataDxfId="161" totalsRowDxfId="162">
      <calculatedColumnFormula array="1">Common_InputFunctions.Utility_DisplayArrayInTable(Fertiliser_SourceData.Fertiliser_Products_Data1(),FertiliserProducts[[#Headers],[Include or Exclude]], 0,4)</calculatedColumnFormula>
    </tableColumn>
    <tableColumn id="12" xr3:uid="{99B97428-46C5-4BA6-9CD7-DF694D091E8C}"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489D595D-729E-4810-B957-D79685489430}" name="Ingredient 3" dataDxfId="157" totalsRowDxfId="158">
      <calculatedColumnFormula array="1">Common_InputFunctions.Utility_DisplayArrayInTable(Fertiliser_SourceData.Fertiliser_Products_Data1(),FertiliserProducts[[#Headers],[Include or Exclude]], 0,4)</calculatedColumnFormula>
    </tableColumn>
    <tableColumn id="14" xr3:uid="{7E6AF918-82FE-4FE9-88D9-D488A8FF53E9}"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CF649CDB-07C7-4656-ADF7-592D272E1930}" name="Ingredient 4" dataDxfId="153" totalsRowDxfId="154">
      <calculatedColumnFormula array="1">Common_InputFunctions.Utility_DisplayArrayInTable(Fertiliser_SourceData.Fertiliser_Products_Data1(),FertiliserProducts[[#Headers],[Include or Exclude]], 0,4)</calculatedColumnFormula>
    </tableColumn>
    <tableColumn id="16" xr3:uid="{604DCB90-07AA-48EC-8669-78B2F8772EF9}"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0DE194D6-DF87-406C-8129-A13684B0A42B}" name="Ingredient 5" dataDxfId="149" totalsRowDxfId="150">
      <calculatedColumnFormula array="1">Common_InputFunctions.Utility_DisplayArrayInTable(Fertiliser_SourceData.Fertiliser_Products_Data1(),FertiliserProducts[[#Headers],[Include or Exclude]], 0,4)</calculatedColumnFormula>
    </tableColumn>
    <tableColumn id="18" xr3:uid="{22BCD8C0-6B2B-4A2B-842D-793AD6CA0DFB}"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38EE199C-2E3B-48EC-8DD9-7CB86DA0969D}" name="Ingredient 6" dataDxfId="145" totalsRowDxfId="146">
      <calculatedColumnFormula array="1">Common_InputFunctions.Utility_DisplayArrayInTable(Fertiliser_SourceData.Fertiliser_Products_Data1(),FertiliserProducts[[#Headers],[Include or Exclude]], 0,4)</calculatedColumnFormula>
    </tableColumn>
    <tableColumn id="37" xr3:uid="{DFB9E8CE-3573-442B-A3B8-6873E6035E36}"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215C9FD6-1B91-4EF3-B401-5E4A80DAFC45}" name="Ingredient 7" dataDxfId="142">
      <calculatedColumnFormula array="1">Common_InputFunctions.Utility_DisplayArrayInTable(Fertiliser_SourceData.Fertiliser_Products_Data1(),FertiliserProducts[[#Headers],[Include or Exclude]], 0,4)</calculatedColumnFormula>
    </tableColumn>
    <tableColumn id="24" xr3:uid="{180AE83A-DC9B-46F2-9A62-90B70C9D9990}" name="Ingredient 7 percent" dataDxfId="141">
      <calculatedColumnFormula array="1">Common_InputFunctions.Utility_DisplayArrayInTable(Fertiliser_SourceData.Fertiliser_Products_Data1(),FertiliserProducts[[#Headers],[Include or Exclude]], 0,4)</calculatedColumnFormula>
    </tableColumn>
    <tableColumn id="23" xr3:uid="{179CB763-025E-48D8-B2E2-911ED4044093}" name="Ingredient 8" dataDxfId="140">
      <calculatedColumnFormula array="1">Common_InputFunctions.Utility_DisplayArrayInTable(Fertiliser_SourceData.Fertiliser_Products_Data1(),FertiliserProducts[[#Headers],[Include or Exclude]], 0,4)</calculatedColumnFormula>
    </tableColumn>
    <tableColumn id="26" xr3:uid="{AAF294EC-6FB2-48EA-BB97-B194A6944BFA}" name="Ingredient 8 percent" dataDxfId="139">
      <calculatedColumnFormula array="1">Common_InputFunctions.Utility_DisplayArrayInTable(Fertiliser_SourceData.Fertiliser_Products_Data1(),FertiliserProducts[[#Headers],[Include or Exclude]], 0,4)</calculatedColumnFormula>
    </tableColumn>
    <tableColumn id="25" xr3:uid="{5EE8D22C-CC23-4A54-B199-787542A5BCE7}" name="Ingredient 9" dataDxfId="138">
      <calculatedColumnFormula array="1">Common_InputFunctions.Utility_DisplayArrayInTable(Fertiliser_SourceData.Fertiliser_Products_Data1(),FertiliserProducts[[#Headers],[Include or Exclude]], 0,4)</calculatedColumnFormula>
    </tableColumn>
    <tableColumn id="30" xr3:uid="{E6112C7E-8EF1-44EF-B49E-5133EDFDBF35}" name="Ingredient 9 percent" dataDxfId="137">
      <calculatedColumnFormula array="1">Common_InputFunctions.Utility_DisplayArrayInTable(Fertiliser_SourceData.Fertiliser_Products_Data1(),FertiliserProducts[[#Headers],[Include or Exclude]], 0,4)</calculatedColumnFormula>
    </tableColumn>
    <tableColumn id="29" xr3:uid="{AEFDDE7E-C2EB-4334-A3B3-48CC633EE622}" name="Imngredient 10" dataDxfId="136">
      <calculatedColumnFormula array="1">Common_InputFunctions.Utility_DisplayArrayInTable(Fertiliser_SourceData.Fertiliser_Products_Data1(),FertiliserProducts[[#Headers],[Include or Exclude]], 0,4)</calculatedColumnFormula>
    </tableColumn>
    <tableColumn id="28" xr3:uid="{4C90F15D-AA62-4DC8-B77F-6EF1DEC399ED}"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51D49251-5126-4853-AA46-56F3C5210334}"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4DD77B68-588F-4740-B8A1-E17E9A9BC728}" name="Fertiliser type f">
      <calculatedColumnFormula array="1">Common_InputFunctions.Utility_DisplayArrayInTable(Fertiliser_SourceData.Fertiliser_FracGASF_Data(), Table_SourceData_Fertiliser_FracGASF[[#Headers],[Fertiliser type f]], 0)</calculatedColumnFormula>
    </tableColumn>
    <tableColumn id="2" xr3:uid="{93A3BCD7-6297-4CCA-BB83-0D98B3F8B949}"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79DB5DC-3AA2-4BA4-B656-48B74D3DCCB7}" name="Table_SourceData_Fertiliser_CropProdSystems" displayName="Table_SourceData_Fertiliser_CropProdSystems" ref="D41:D43" totalsRowShown="0">
  <autoFilter ref="D41:D43" xr:uid="{24F3A11E-40F5-4BB9-BFF4-A71FA2ADA0EF}">
    <filterColumn colId="0" hiddenButton="1"/>
  </autoFilter>
  <tableColumns count="1">
    <tableColumn id="1" xr3:uid="{28A06C2E-9834-46B8-8F35-C2A0269289F0}"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CA7E535-6F53-4DED-B8F7-43A6EBA9676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4B3A00C-F9A4-45E0-98DC-2E4EFE791DEC}"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2807EC2-6CC5-482A-B29F-47CD4B701355}" name="Table_SourceData_Fertiliser_CropTypes" displayName="Table_SourceData_Fertiliser_CropTypes" ref="F41:F45" totalsRowShown="0">
  <autoFilter ref="F41:F45" xr:uid="{CB5044B5-FA3C-4AA2-B1AB-72F7E61D072F}">
    <filterColumn colId="0" hiddenButton="1"/>
  </autoFilter>
  <tableColumns count="1">
    <tableColumn id="1" xr3:uid="{DD599FF7-CA31-450B-B5BE-9EE3A977F265}"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E77FC036-C82B-47D2-A01E-43B197043506}" name="Table_SourceData_OrganicFertiliserTypes" displayName="Table_SourceData_OrganicFertiliserTypes" ref="J41:J46" totalsRowShown="0">
  <autoFilter ref="J41:J46" xr:uid="{B44627B1-537E-4ABC-92C3-57282CEE5B40}">
    <filterColumn colId="0" hiddenButton="1"/>
  </autoFilter>
  <tableColumns count="1">
    <tableColumn id="1" xr3:uid="{7E05C0B7-091D-4E7E-B82C-8E9F43EECDE5}"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E0B3FD0-375F-48F9-A4C6-EF8CF3620D1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16B5DCC-AC41-4C45-9F9C-DB0CDA54CB8F}"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71EADEB-2FD6-4ADB-A10C-C03899D3DD67}"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BC4A2AE-832B-4F04-BDF8-C67121B3B79A}"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C0E6D1C-4559-4BF3-B805-B931E64C36AD}" name="Table2" displayName="Table2" ref="K19:L28" totalsRowShown="0" dataDxfId="131" dataCellStyle="Content normal">
  <autoFilter ref="K19:L28" xr:uid="{27B93029-EB1F-4C4A-A946-CD673A8A6C46}">
    <filterColumn colId="0" hiddenButton="1"/>
    <filterColumn colId="1" hiddenButton="1"/>
  </autoFilter>
  <tableColumns count="2">
    <tableColumn id="1" xr3:uid="{5AEC8614-9460-4704-A371-820D775BAEEC}"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69DD4314-1E1C-47D9-9F31-981092CABBE1}"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88FF997-86A8-4DB0-899B-CDEF0A68DBB2}" name="Table28" displayName="Table28" ref="Q19:R28" totalsRowShown="0" dataDxfId="128" dataCellStyle="Content normal">
  <autoFilter ref="Q19:R28" xr:uid="{791CEA59-796C-47AB-86BC-41E8F699030C}">
    <filterColumn colId="0" hiddenButton="1"/>
    <filterColumn colId="1" hiddenButton="1"/>
  </autoFilter>
  <tableColumns count="2">
    <tableColumn id="1" xr3:uid="{25825A4B-BB64-4558-B49A-EA59705E060C}"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85B55E6B-37D1-451F-A8A7-1D88DCC00F7F}"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399C862-DF45-4E1C-B1BE-42920E8C0EB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1E7FE5B-A4A0-4DC5-B71C-E60D6576A85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1EED39E-0ED2-4681-AB45-F912A6A7F2E4}"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F6AAE06-4E01-45E7-8FC2-C3F5210FDB62}"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F75041A3-988B-4CA0-9E09-50B9DA82474D}"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F6ED9512-12F3-4304-AA38-746D982897DE}"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6DC3C5DD-ACDB-4E1A-AD5D-7E6C86F59CD9}"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F8183B47-82EB-4FC3-81DF-7CD4715F017F}"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6A0B9B7D-8A90-4E06-AF89-7136484EF255}"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6D96BE90-79CE-4B37-B5A3-EDD6C2429A45}"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3AD9203D-7163-4CF7-BBEC-F9440FEC23EA}"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CBA69B4-50DD-459C-851F-845724D69B24}"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CD26E3A-9FFC-46D5-BF21-F0CA4916E8FE}" name="Transport type" dataDxfId="68">
      <calculatedColumnFormula array="1">Common_InputFunctions.Utility_DisplayArrayInTable(Fuel_SourceData.Fuel_Scope1Scope3EmissionFactorsTransport_Data(), Table_Fuel_EFs_Transport[[#Headers],[Transport type]], 0)</calculatedColumnFormula>
    </tableColumn>
    <tableColumn id="2" xr3:uid="{4531BFE9-BFB1-4492-AE84-28941752C738}" name="Fuel combusted" dataDxfId="67">
      <calculatedColumnFormula array="1">Common_InputFunctions.Utility_DisplayArrayInTable(Fuel_SourceData.Fuel_Scope1Scope3EmissionFactorsTransport_Data(), Table_Fuel_EFs_Transport[[#Headers],[Transport type]], 0)</calculatedColumnFormula>
    </tableColumn>
    <tableColumn id="3" xr3:uid="{9891F0B4-56B4-40AD-A7C5-2DCA077C2DEE}"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C76A640F-8D6E-47C8-B6F1-62E24F21E46F}" name="Fuel unit" dataDxfId="65">
      <calculatedColumnFormula array="1">Common_InputFunctions.Utility_DisplayArrayInTable(Fuel_SourceData.Fuel_Scope1Scope3EmissionFactorsTransport_Data(), Table_Fuel_EFs_Transport[[#Headers],[Transport type]], 0)</calculatedColumnFormula>
    </tableColumn>
    <tableColumn id="8" xr3:uid="{8A40EE0B-A89F-45C7-A68B-347E61EF0160}"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0D88673D-CD90-4D01-894E-DC3EF12C329E}"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BC64FDC0-9FB6-4615-99ED-B04451E96A1D}"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91F67F26-3F0E-4AA3-A28B-FDCB16F37F2C}"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AE167094-21BF-4376-8A58-5E48F0410515}"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BCADA33-61E3-48BB-98B3-6B09282B70D0}"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C09EBD11-C5C4-4318-8074-C01C9C877BFC}" name="Generators" dataDxfId="57"/>
    <tableColumn id="2" xr3:uid="{8F142728-FD4B-4699-A020-7BF433D72336}" name="Power standalone machinery or heating" dataDxfId="56"/>
    <tableColumn id="3" xr3:uid="{A5F9A0CB-0B1E-4847-8159-9E9F7FB7C734}" name="Aviation" dataDxfId="55"/>
    <tableColumn id="5" xr3:uid="{929EE369-5391-4852-B646-2692261FAACD}" name="Cars and light commercial vehicles" dataDxfId="54"/>
    <tableColumn id="7" xr3:uid="{CD745ED0-D319-427F-829D-A997D5C85183}" name="Off-road Agriculture and forestry equipment" dataDxfId="53" dataCellStyle="Content bold"/>
    <tableColumn id="8" xr3:uid="{AA0C1BFC-0588-443B-A556-2DBA1D696D9F}"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0753AD7-F560-4B5D-8B8B-8EE128F7ECF7}"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3C63937-6A28-4104-9692-B8CC89814F2E}"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4302EFEF-895D-489E-BFB6-392F27FF6325}"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7B08EAF0-10BF-45E6-905C-4C465DE21DCC}"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6EA8BBC9-B0F6-4B2B-8078-0331F40CB86F}"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90AD433B-7144-4CB0-B9E3-E8134C55BCFB}"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A5D36A09-89D3-49F9-AA67-6E81BAC9CB79}"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5AFAE0AD-30F1-441D-A4C5-3608FD37A5F1}"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94A9D69-EFD1-4DB1-8CE4-5281E1B38827}"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72B92565-51C9-44CB-AC4E-8B155F19F7FC}"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28E00A8B-5B8E-404A-AD18-824EF2B6AA2F}"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CCFE2FC9-483A-4871-8AAE-8C96DB51EE59}"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5067DE87-34EC-49F2-8B29-59BEBE35DC5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EFB79E41-EECE-4520-AECC-51B37A37CE9C}" name="Fuel type"/>
    <tableColumn id="2" xr3:uid="{A1F12B16-1544-4A2A-8356-917EEBEE95D0}" name="Unit"/>
    <tableColumn id="3" xr3:uid="{9908256C-F91E-454F-A080-6A3146F88E4B}"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56C2BA4-1099-4713-8BA0-3A365B936D5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6C94653-618F-437D-9949-3833A727A13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DB52B37-029F-48A4-8112-072A15B78C1F}"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D652BB4-025B-4580-98BE-FCE2DAB39C58}"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3D4575BF-CD0D-43EC-AB62-A185288CA477}"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05984CEA-5676-4CCC-9C50-9E4C9F85E3A7}"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934DFB3F-11B4-4129-9092-A10F5E33EE3F}"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F19D65-45EA-44AA-B7DB-9F478193A77C}"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3.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4.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7.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t="e">
        <f ca="1">IF(ISBLANK($D38), "", IF(ISNUMBER(SEARCH("reporting", $D38)), Result_Enterprise_Method1, "Enter value"))</f>
        <v>#N/A</v>
      </c>
      <c r="F38" s="86"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t="e">
        <f ca="1">E42-E53</f>
        <v>#N/A</v>
      </c>
      <c r="F59" s="87"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1</v>
      </c>
      <c r="H62" s="18" t="e">
        <f ca="1">($E$42/F62)*G62</f>
        <v>#N/A</v>
      </c>
      <c r="I62" s="18" t="e">
        <f ca="1">($F$42/F62)*G62</f>
        <v>#VALUE!</v>
      </c>
      <c r="J62" s="15" t="s">
        <v>135</v>
      </c>
      <c r="K62" s="8"/>
    </row>
    <row r="63" spans="3:11" ht="20.100000000000001" customHeight="1" x14ac:dyDescent="0.25">
      <c r="C63" s="8"/>
      <c r="D63" s="1" t="s">
        <v>134</v>
      </c>
      <c r="E63" s="1" t="s">
        <v>141</v>
      </c>
      <c r="F63" s="18">
        <f ca="1">'Input - Enterprise'!E25*'Input - Enterprise'!E26</f>
        <v>0</v>
      </c>
      <c r="G63" s="18">
        <f ca="1">F63/(F62+F63)</f>
        <v>0</v>
      </c>
      <c r="H63" s="18" t="e">
        <f ca="1">($E$42/F63)*G63</f>
        <v>#N/A</v>
      </c>
      <c r="I63" s="18" t="e">
        <f ca="1">($F$42/F63)*G63</f>
        <v>#VALUE!</v>
      </c>
      <c r="J63" s="15" t="s">
        <v>136</v>
      </c>
      <c r="K63" s="8"/>
    </row>
    <row r="64" spans="3:11" ht="20.100000000000001" customHeight="1" x14ac:dyDescent="0.25">
      <c r="C64" s="8"/>
      <c r="D64" s="1" t="s">
        <v>142</v>
      </c>
      <c r="E64" s="1" t="s">
        <v>144</v>
      </c>
      <c r="F64" s="18">
        <f ca="1">'Input - Enterprise'!E25*'Input - Enterprise'!E27</f>
        <v>0</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0</v>
      </c>
      <c r="G66" s="18" t="s">
        <v>143</v>
      </c>
      <c r="H66" s="18" t="e">
        <f ca="1">E59/F66</f>
        <v>#N/A</v>
      </c>
      <c r="I66" s="18" t="s">
        <v>143</v>
      </c>
      <c r="J66" s="15" t="s">
        <v>156</v>
      </c>
      <c r="K66" s="8"/>
    </row>
    <row r="67" spans="3:11" ht="20.100000000000001" customHeight="1" x14ac:dyDescent="0.25">
      <c r="C67" s="8"/>
      <c r="D67" s="1" t="s">
        <v>154</v>
      </c>
      <c r="E67" s="1" t="s">
        <v>143</v>
      </c>
      <c r="F67" s="18">
        <f>'Input - Enterprise'!E24</f>
        <v>0</v>
      </c>
      <c r="G67" s="18" t="s">
        <v>143</v>
      </c>
      <c r="H67" s="18" t="s">
        <v>143</v>
      </c>
      <c r="I67" s="18" t="e">
        <f ca="1">F59/F67</f>
        <v>#VALUE!</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16"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0</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0</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Beef'!X_Table_PastureBeef_Head_Method1, 'Input - Pasture Beef'!X_Table_PastureBeef_Duration_Method1, '4.2.1.1-2 Methane'!M1_Table_VS_j_k_l))*10^-3</f>
        <v>0</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0</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0E2A6-CBE0-44FC-B9D0-8C16AA890DAE}">
  <dimension ref="A1:AA350"/>
  <sheetViews>
    <sheetView showGridLines="0" topLeftCell="A163"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Z205" s="91"/>
    </row>
    <row r="206" spans="4:27" ht="20.100000000000001" customHeight="1" x14ac:dyDescent="0.25">
      <c r="D206" s="30" t="s">
        <v>241</v>
      </c>
      <c r="E206" s="30" t="s">
        <v>243</v>
      </c>
      <c r="F206" s="30" t="s">
        <v>253</v>
      </c>
      <c r="G206" s="30" t="s">
        <v>254</v>
      </c>
      <c r="H206" s="30" t="s">
        <v>255</v>
      </c>
      <c r="I206" s="30" t="s">
        <v>256</v>
      </c>
      <c r="Z206" s="91"/>
      <c r="AA206" s="91"/>
    </row>
    <row r="207" spans="4:27" ht="20.100000000000001" customHeight="1" x14ac:dyDescent="0.25">
      <c r="D207" s="44"/>
      <c r="E207" s="23" t="s">
        <v>191</v>
      </c>
      <c r="F207" s="104">
        <v>45566</v>
      </c>
      <c r="G207" s="30">
        <v>10</v>
      </c>
      <c r="H207" s="30">
        <v>500</v>
      </c>
      <c r="I207" s="25">
        <f t="shared" ref="I207:I216" si="2">G207*H207</f>
        <v>5000</v>
      </c>
      <c r="Z207" s="91"/>
      <c r="AA207" s="91"/>
    </row>
    <row r="208" spans="4:27" ht="20.100000000000001" customHeight="1" x14ac:dyDescent="0.25">
      <c r="D208" s="44"/>
      <c r="E208" s="23"/>
      <c r="F208" s="104"/>
      <c r="G208" s="30"/>
      <c r="H208" s="30"/>
      <c r="I208" s="25">
        <f t="shared" si="2"/>
        <v>0</v>
      </c>
      <c r="Z208" s="91"/>
      <c r="AA208" s="91"/>
    </row>
    <row r="209" spans="4:27" ht="20.100000000000001" customHeight="1" x14ac:dyDescent="0.25">
      <c r="D209" s="44"/>
      <c r="E209" s="23"/>
      <c r="F209" s="104"/>
      <c r="G209" s="30"/>
      <c r="H209" s="30"/>
      <c r="I209" s="25">
        <f t="shared" si="2"/>
        <v>0</v>
      </c>
      <c r="Z209" s="91"/>
      <c r="AA209" s="91"/>
    </row>
    <row r="210" spans="4:27" ht="20.100000000000001" customHeight="1" x14ac:dyDescent="0.25">
      <c r="D210" s="44"/>
      <c r="E210" s="23"/>
      <c r="F210" s="104"/>
      <c r="G210" s="30"/>
      <c r="H210" s="30"/>
      <c r="I210" s="25">
        <f t="shared" si="2"/>
        <v>0</v>
      </c>
      <c r="Z210" s="91"/>
      <c r="AA210" s="91"/>
    </row>
    <row r="211" spans="4:27" ht="20.100000000000001" customHeight="1" x14ac:dyDescent="0.25">
      <c r="D211" s="44"/>
      <c r="E211" s="23"/>
      <c r="F211" s="104"/>
      <c r="G211" s="30"/>
      <c r="H211" s="30"/>
      <c r="I211" s="25">
        <f t="shared" si="2"/>
        <v>0</v>
      </c>
      <c r="Z211" s="91"/>
      <c r="AA211" s="91"/>
    </row>
    <row r="212" spans="4:27" ht="20.100000000000001" customHeight="1" x14ac:dyDescent="0.25">
      <c r="D212" s="44"/>
      <c r="E212" s="23"/>
      <c r="F212" s="104"/>
      <c r="G212" s="30"/>
      <c r="H212" s="30"/>
      <c r="I212" s="25">
        <f t="shared" si="2"/>
        <v>0</v>
      </c>
      <c r="Z212" s="91"/>
      <c r="AA212" s="91"/>
    </row>
    <row r="213" spans="4:27" ht="20.100000000000001" customHeight="1" x14ac:dyDescent="0.25">
      <c r="D213" s="44"/>
      <c r="E213" s="23"/>
      <c r="F213" s="104"/>
      <c r="G213" s="30"/>
      <c r="H213" s="30"/>
      <c r="I213" s="25">
        <f t="shared" si="2"/>
        <v>0</v>
      </c>
      <c r="Z213" s="91"/>
      <c r="AA213" s="91"/>
    </row>
    <row r="214" spans="4:27" ht="20.100000000000001" customHeight="1" x14ac:dyDescent="0.25">
      <c r="D214" s="44"/>
      <c r="E214" s="23"/>
      <c r="F214" s="104"/>
      <c r="G214" s="30"/>
      <c r="H214" s="30"/>
      <c r="I214" s="25">
        <f t="shared" si="2"/>
        <v>0</v>
      </c>
      <c r="Z214" s="91"/>
      <c r="AA214" s="91"/>
    </row>
    <row r="215" spans="4:27" ht="20.100000000000001" customHeight="1" x14ac:dyDescent="0.25">
      <c r="D215" s="44"/>
      <c r="E215" s="23"/>
      <c r="F215" s="104"/>
      <c r="G215" s="30"/>
      <c r="H215" s="30"/>
      <c r="I215" s="25">
        <f t="shared" si="2"/>
        <v>0</v>
      </c>
      <c r="Z215" s="91"/>
      <c r="AA215" s="91"/>
    </row>
    <row r="216" spans="4:27" ht="20.100000000000001" customHeight="1" x14ac:dyDescent="0.25">
      <c r="D216" s="44"/>
      <c r="E216" s="23"/>
      <c r="F216" s="104"/>
      <c r="G216" s="30"/>
      <c r="H216" s="30"/>
      <c r="I216" s="25">
        <f t="shared" si="2"/>
        <v>0</v>
      </c>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D9E24B09-BCBF-4875-A570-1689A4A16D61}">
      <formula1>INDIRECT("Table_ProductRegions_Beefcattle[Region]")</formula1>
    </dataValidation>
    <dataValidation type="list" allowBlank="1" showInputMessage="1" showErrorMessage="1" sqref="G191:G200" xr:uid="{E8AE0115-E333-4920-AC0F-31AAF8ED951A}">
      <formula1>INDIRECT(TRIM("Table_SourceData_LivestockProduct_Beefcattle[Product]"))</formula1>
    </dataValidation>
    <dataValidation type="list" allowBlank="1" showInputMessage="1" showErrorMessage="1" sqref="F191:F200 E207:E216" xr:uid="{82F07B0B-85D7-4CD0-90B7-AF8A88302329}">
      <formula1>INDIRECT("Table_LivestockClasses_Beefcattle[Livestock class]")</formula1>
    </dataValidation>
    <dataValidation type="list" allowBlank="1" showInputMessage="1" showErrorMessage="1" sqref="E119" xr:uid="{86F307CA-1B54-4C74-8F76-971B764B0E50}">
      <formula1>$D$23:$D$34</formula1>
    </dataValidation>
    <dataValidation type="list" allowBlank="1" showInputMessage="1" showErrorMessage="1" sqref="E105" xr:uid="{E8289466-7800-4F47-9FD9-4FE01944A2A3}">
      <formula1>"Spring, Summer, Autumn, Winter"</formula1>
    </dataValidation>
    <dataValidation type="list" allowBlank="1" showInputMessage="1" showErrorMessage="1" sqref="E184" xr:uid="{B22FFA85-E009-48D5-A265-856382C130F0}">
      <formula1>INDIRECT("Table_SourceData_PastureBeef_CropProdSystems[Production system]")</formula1>
    </dataValidation>
    <dataValidation type="list" allowBlank="1" showInputMessage="1" showErrorMessage="1" sqref="E185" xr:uid="{3B301352-29BF-447F-B706-2247C178840E}">
      <formula1>INDIRECT("Table_SourceData_PastureBeef_IrrigationMethods[Irrigation method]")</formula1>
    </dataValidation>
    <dataValidation type="list" allowBlank="1" showInputMessage="1" showErrorMessage="1" sqref="E9" xr:uid="{E949F634-1955-45F9-A343-77BC5201F1C5}">
      <formula1>INDIRECT("Table_SourceData_PastureBeef_FeedIntakeAdjustment[Breed]")</formula1>
    </dataValidation>
    <dataValidation type="list" allowBlank="1" showInputMessage="1" showErrorMessage="1" sqref="E8" xr:uid="{E701083D-A831-4560-B4A4-A3F331525B87}">
      <formula1>INDIRECT("Table_SourceData_PastureBeef_Region_" &amp; SUBSTITUTE($E$7, " ", "") &amp; "[Region]")</formula1>
    </dataValidation>
    <dataValidation type="list" allowBlank="1" showInputMessage="1" showErrorMessage="1" sqref="E15 E37 E59 E81" xr:uid="{938FA326-23AA-4A61-BF58-85BCBF62B976}">
      <formula1>INDIRECT("Table_SourceData_Dairy_WjCowsHeifers[Breed]")</formula1>
    </dataValidation>
    <dataValidation type="list" allowBlank="1" showInputMessage="1" showErrorMessage="1" sqref="E238 E243 E248 E282 E277 E272 E177" xr:uid="{190A21D4-447C-43F9-85B5-14789883F003}">
      <formula1>"Yes, No"</formula1>
    </dataValidation>
    <dataValidation type="list" allowBlank="1" showInputMessage="1" showErrorMessage="1" sqref="D266" xr:uid="{B4C6BF87-4E1B-411C-B464-6381A92C839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4A7F4-2DBF-4A11-8676-004CB4A48E26}">
  <dimension ref="A1:AA350"/>
  <sheetViews>
    <sheetView showGridLines="0" topLeftCell="D18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209</v>
      </c>
      <c r="P61" s="35"/>
      <c r="T61" s="32"/>
    </row>
    <row r="62" spans="4:20" ht="20.100000000000001" customHeight="1" x14ac:dyDescent="0.25">
      <c r="D62" s="1" t="s">
        <v>201</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209</v>
      </c>
      <c r="P62" s="35"/>
      <c r="T62" s="32"/>
    </row>
    <row r="63" spans="4:20" ht="20.100000000000001" customHeight="1" x14ac:dyDescent="0.25">
      <c r="D63" s="1" t="s">
        <v>202</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209</v>
      </c>
      <c r="P63" s="35"/>
      <c r="T63" s="32"/>
    </row>
    <row r="64" spans="4:20" ht="20.100000000000001" customHeight="1" x14ac:dyDescent="0.25">
      <c r="D64" s="1" t="s">
        <v>203</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209</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209</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209</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209</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209</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209</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209</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209</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209</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209</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209</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211</v>
      </c>
      <c r="T83" s="32"/>
    </row>
    <row r="84" spans="4:20" ht="20.100000000000001" customHeight="1" x14ac:dyDescent="0.25">
      <c r="D84" s="1" t="s">
        <v>201</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211</v>
      </c>
      <c r="T84" s="32"/>
    </row>
    <row r="85" spans="4:20" ht="20.100000000000001" customHeight="1" x14ac:dyDescent="0.25">
      <c r="D85" s="1" t="s">
        <v>202</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211</v>
      </c>
      <c r="T85" s="32"/>
    </row>
    <row r="86" spans="4:20" ht="20.100000000000001" customHeight="1" x14ac:dyDescent="0.25">
      <c r="D86" s="1" t="s">
        <v>203</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211</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211</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211</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211</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211</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211</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211</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211</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211</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211</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211</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230</v>
      </c>
    </row>
    <row r="134" spans="4:15" ht="20.100000000000001" customHeight="1" x14ac:dyDescent="0.25">
      <c r="D134" s="1" t="s">
        <v>201</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230</v>
      </c>
    </row>
    <row r="135" spans="4:15" ht="20.100000000000001" customHeight="1" x14ac:dyDescent="0.25">
      <c r="D135" s="1" t="s">
        <v>202</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230</v>
      </c>
    </row>
    <row r="136" spans="4:15" ht="20.100000000000001" customHeight="1" x14ac:dyDescent="0.25">
      <c r="D136" s="1" t="s">
        <v>203</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230</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230</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230</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230</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230</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230</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230</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230</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230</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230</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230</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230</v>
      </c>
    </row>
    <row r="156" spans="4:15" ht="20.100000000000001" customHeight="1" x14ac:dyDescent="0.25">
      <c r="D156" s="1" t="s">
        <v>201</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230</v>
      </c>
    </row>
    <row r="157" spans="4:15" ht="20.100000000000001" customHeight="1" x14ac:dyDescent="0.25">
      <c r="D157" s="1" t="s">
        <v>202</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230</v>
      </c>
    </row>
    <row r="158" spans="4:15" ht="20.100000000000001" customHeight="1" x14ac:dyDescent="0.25">
      <c r="D158" s="1" t="s">
        <v>203</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230</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230</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230</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230</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230</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230</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230</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230</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230</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230</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230</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217</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D926A749-CDA6-427B-B976-2D24CDA0489A}">
      <formula1>$D$23:$D$34</formula1>
    </dataValidation>
    <dataValidation type="list" allowBlank="1" showInputMessage="1" showErrorMessage="1" sqref="F191:F200 E207:E216" xr:uid="{B741BFBB-AA5F-4146-8163-687EDDF2BDB9}">
      <formula1>INDIRECT("Table_LivestockClasses_Beefcattle[Livestock class]")</formula1>
    </dataValidation>
    <dataValidation type="list" allowBlank="1" showInputMessage="1" showErrorMessage="1" sqref="G191:G200" xr:uid="{5BB3F481-E2BA-49B7-9B6E-510370E200C9}">
      <formula1>INDIRECT(TRIM("Table_SourceData_LivestockProduct_Beefcattle[Product]"))</formula1>
    </dataValidation>
    <dataValidation type="list" allowBlank="1" showInputMessage="1" showErrorMessage="1" sqref="H191:H200" xr:uid="{5D49135C-BD22-418B-BE95-6DCE595808F7}">
      <formula1>INDIRECT("Table_ProductRegions_Beefcattle[Region]")</formula1>
    </dataValidation>
    <dataValidation type="list" allowBlank="1" showInputMessage="1" showErrorMessage="1" sqref="E105" xr:uid="{D0CE4BBC-2918-4687-B8BA-84B95064AAB5}">
      <formula1>"Spring, Summer, Autumn, Winter"</formula1>
    </dataValidation>
    <dataValidation type="list" allowBlank="1" showInputMessage="1" showErrorMessage="1" sqref="E184" xr:uid="{8E455EEB-FD25-4C30-A77D-55F2A45A218B}">
      <formula1>INDIRECT("Table_SourceData_PastureBeef_CropProdSystems[Production system]")</formula1>
    </dataValidation>
    <dataValidation type="list" allowBlank="1" showInputMessage="1" showErrorMessage="1" sqref="E185" xr:uid="{55557EE6-49CF-4388-9696-ACB083266178}">
      <formula1>INDIRECT("Table_SourceData_PastureBeef_IrrigationMethods[Irrigation method]")</formula1>
    </dataValidation>
    <dataValidation type="list" allowBlank="1" showInputMessage="1" showErrorMessage="1" sqref="E9" xr:uid="{7BEA1628-FEB1-4A6D-B387-0C009CDC6F5D}">
      <formula1>INDIRECT("Table_SourceData_PastureBeef_FeedIntakeAdjustment[Breed]")</formula1>
    </dataValidation>
    <dataValidation type="list" allowBlank="1" showInputMessage="1" showErrorMessage="1" sqref="E8" xr:uid="{1E895C6B-8043-4FEC-B843-BEADC5F3C558}">
      <formula1>INDIRECT("Table_SourceData_PastureBeef_Region_" &amp; SUBSTITUTE($E$7, " ", "") &amp; "[Region]")</formula1>
    </dataValidation>
    <dataValidation type="list" allowBlank="1" showInputMessage="1" showErrorMessage="1" sqref="E15 E37 E59 E81" xr:uid="{0BF1C9B9-E60C-4A03-ACEE-717225B62180}">
      <formula1>INDIRECT("Table_SourceData_Dairy_WjCowsHeifers[Breed]")</formula1>
    </dataValidation>
    <dataValidation type="list" allowBlank="1" showInputMessage="1" showErrorMessage="1" sqref="E238 E243 E248 E282 E277 E272 E177" xr:uid="{255B641F-722B-423F-8D7A-DCFC7FDFF0E1}">
      <formula1>"Yes, No"</formula1>
    </dataValidation>
    <dataValidation type="list" allowBlank="1" showInputMessage="1" showErrorMessage="1" sqref="D266" xr:uid="{EA7181DD-2764-4164-98A7-6722657BC21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D709B-F22C-477D-A1DA-AF5A2742841B}">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B5BEB578-574B-4626-B04E-F055F50AB398}">
      <formula1>INDIRECT("Table_SourceData_Fertiliser_IrrigationMethods[Irrigation method]")</formula1>
    </dataValidation>
    <dataValidation type="list" allowBlank="1" showInputMessage="1" showErrorMessage="1" sqref="E9" xr:uid="{9743C21A-17B5-4498-88A2-9C26E1DC1C0C}">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9E887-3A69-44AB-910A-C50462995A88}">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94752E8A-0763-4720-9C0B-0FFADEBE7399}">
      <formula1>INDIRECT("Table_SourceData_Fertiliser_UreaAmmoniaSources[Source]")</formula1>
    </dataValidation>
    <dataValidation type="list" allowBlank="1" showInputMessage="1" showErrorMessage="1" sqref="D18:D22" xr:uid="{1DBCF1BF-1230-495F-BC4D-97B0D39CECAC}">
      <formula1>INDIRECT("FertiliserProducts[Product Name]")</formula1>
    </dataValidation>
    <dataValidation type="list" allowBlank="1" showInputMessage="1" showErrorMessage="1" sqref="D48:D50" xr:uid="{0D2F50B6-521F-48F6-BEA8-3F3E3153F990}">
      <formula1>INDIRECT("Table_SourceData_OrganicFertiliserTypes[Organic fertiliser type]")</formula1>
    </dataValidation>
    <dataValidation type="list" allowBlank="1" showInputMessage="1" showErrorMessage="1" sqref="H26:H28 J26:J28 L26:L28 N26:N28" xr:uid="{0B060CC3-3912-45DD-ABD7-1386FAEED839}">
      <formula1>INDIRECT("Table_Fertiliser_ChemicalCompounds[Fertiliser type f]")</formula1>
    </dataValidation>
    <dataValidation type="list" allowBlank="1" showInputMessage="1" showErrorMessage="1" sqref="E7" xr:uid="{CC173E74-8460-4EC4-8A34-25475EA80917}">
      <formula1>INDIRECT("Table_SourceData_Fertiliser_CropTypes[Production system]")</formula1>
    </dataValidation>
    <dataValidation type="list" allowBlank="1" showInputMessage="1" showErrorMessage="1" sqref="E8" xr:uid="{344A8115-8FC4-4CE5-B4C5-1B4AFA44B5E9}">
      <formula1>INDIRECT("Table_SourceData_Fertiliser_IrrigationMethods[Irrigation method]")</formula1>
    </dataValidation>
    <dataValidation type="list" allowBlank="1" showInputMessage="1" showErrorMessage="1" sqref="E6" xr:uid="{F8EA00E7-A458-444D-AAB2-97D51DED7F03}">
      <formula1>INDIRECT("Table_SourceData_Fertiliser_CropProdSystems[Production system]")</formula1>
    </dataValidation>
    <dataValidation type="list" allowBlank="1" showInputMessage="1" showErrorMessage="1" sqref="E69" xr:uid="{48F94AA7-9A6B-4D5E-B307-D288EEAAC6A6}">
      <formula1>INDIRECT("Table_SourceData_Swine_CropProdSystems[Production system]")</formula1>
    </dataValidation>
    <dataValidation type="list" allowBlank="1" showInputMessage="1" showErrorMessage="1" sqref="E70" xr:uid="{1DFA077E-E0B2-4830-9DB5-850EE1A0F404}">
      <formula1>INDIRECT("Table_SourceData_Swine_IrrigationMethods[Irrigation method]")</formula1>
    </dataValidation>
    <dataValidation type="list" allowBlank="1" showInputMessage="1" showErrorMessage="1" sqref="E254 E259 E264 E298 E293 E288 E166 E154 E130 E142" xr:uid="{B0D47A13-959D-4863-9988-3363E5595E89}">
      <formula1>"Yes, No"</formula1>
    </dataValidation>
    <dataValidation type="list" allowBlank="1" showInputMessage="1" showErrorMessage="1" sqref="E230" xr:uid="{D55C6C99-AB1E-4E71-B1C8-8C55B63AD9E2}">
      <formula1>INDIRECT("Table_SourceData_Dairy_ProductionSystemTemplates[Area]")</formula1>
    </dataValidation>
    <dataValidation type="list" allowBlank="1" showInputMessage="1" showErrorMessage="1" sqref="D282" xr:uid="{FF7C588E-9BD9-470B-93B2-7D14DD49B75D}">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95E82-8B58-45CF-9AFF-653E10B2F57A}">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4EFBDE44-F6D0-40FA-B741-BE856BD8279B}">
      <formula1>_xlfn.TRIMRANGE(INDIRECT("Table_FuelTypesPerUse["&amp;D17&amp;"]"))</formula1>
    </dataValidation>
    <dataValidation type="list" allowBlank="1" showInputMessage="1" showErrorMessage="1" sqref="D17:D21" xr:uid="{91290F7B-9EB0-4A27-A1A8-ABCF0EA84969}">
      <formula1>INDIRECT("Table_FuelTypesPerUse[#Headers]")</formula1>
    </dataValidation>
    <dataValidation type="list" allowBlank="1" showInputMessage="1" showErrorMessage="1" sqref="E11" xr:uid="{E697498F-50D4-4FF7-942D-25D7EECD4E62}">
      <formula1>"Metro, Non-metro"</formula1>
    </dataValidation>
    <dataValidation type="list" allowBlank="1" showInputMessage="1" showErrorMessage="1" sqref="D29:D30" xr:uid="{AE61BD7D-EA1F-4D76-8C52-69EC12BFFE6F}">
      <formula1>INDIRECT("Table_SourceData_OrganicFertiliserTypes[Organic fertiliser type]")</formula1>
    </dataValidation>
    <dataValidation type="list" allowBlank="1" showInputMessage="1" showErrorMessage="1" sqref="E49" xr:uid="{8D9A8EBB-B0A2-462F-9795-B12CCAA59AF9}">
      <formula1>INDIRECT("Table_SourceData_Swine_CropProdSystems[Production system]")</formula1>
    </dataValidation>
    <dataValidation type="list" allowBlank="1" showInputMessage="1" showErrorMessage="1" sqref="E50" xr:uid="{AA926E89-B8D6-4958-8745-311782A89FFC}">
      <formula1>INDIRECT("Table_SourceData_Swine_IrrigationMethods[Irrigation method]")</formula1>
    </dataValidation>
    <dataValidation type="list" allowBlank="1" showInputMessage="1" showErrorMessage="1" sqref="E234 E239 E244 E278 E273 E268 E146 E134 E110 E122" xr:uid="{8990BAEF-62E6-4F22-8CC7-E41E1B748F37}">
      <formula1>"Yes, No"</formula1>
    </dataValidation>
    <dataValidation type="list" allowBlank="1" showInputMessage="1" showErrorMessage="1" sqref="E210" xr:uid="{4BB4AB42-45AD-4BE5-B804-6CB12177403A}">
      <formula1>INDIRECT("Table_SourceData_Dairy_ProductionSystemTemplates[Area]")</formula1>
    </dataValidation>
    <dataValidation type="list" allowBlank="1" showInputMessage="1" showErrorMessage="1" sqref="D262" xr:uid="{BE7FD407-0BC6-428E-8976-842C45A093B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E23F9-25F1-4AEC-8264-F232EDF2BFB6}">
  <dimension ref="A1:L365"/>
  <sheetViews>
    <sheetView showGridLines="0" topLeftCell="A24"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IF(X_Cell_Site_State="Western Australia", X_Cell_Site_Region, X_Cell_Site_State)</f>
        <v>Dry climate zone</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5 I49:I50 H51:H53 I52 I54:I55 I206 I212 E214:G214">
    <cfRule type="cellIs" dxfId="110" priority="11" operator="lessThan">
      <formula>0</formula>
    </cfRule>
  </conditionalFormatting>
  <conditionalFormatting sqref="J39 I40 J41 I43">
    <cfRule type="cellIs" dxfId="109" priority="9" operator="lessThan">
      <formula>0</formula>
    </cfRule>
  </conditionalFormatting>
  <dataValidations count="7">
    <dataValidation type="list" allowBlank="1" showInputMessage="1" showErrorMessage="1" sqref="E5" xr:uid="{7C2060DA-8C8C-4CE8-A3EE-6A378319F6E3}">
      <formula1>"Location-based (simpler), Market-based (more complex)"</formula1>
    </dataValidation>
    <dataValidation type="list" allowBlank="1" showInputMessage="1" showErrorMessage="1" sqref="E37:E39" xr:uid="{D8F9B67B-A527-4054-96BD-4225A0C57A86}">
      <formula1>"Purchased certificate, Issued for generated electricity"</formula1>
    </dataValidation>
    <dataValidation type="list" allowBlank="1" showInputMessage="1" showErrorMessage="1" sqref="E17" xr:uid="{D13D4F28-88B5-4AFA-AE99-89F78444850B}">
      <formula1>INDIRECT("Table_SourceData_ElectricityEFs[State, Territory or grid description]")</formula1>
    </dataValidation>
    <dataValidation type="list" allowBlank="1" showInputMessage="1" showErrorMessage="1" sqref="E69" xr:uid="{848F5478-C651-4D71-9279-69938A9B2488}">
      <formula1>INDIRECT("Table_SourceData_Swine_IrrigationMethods[Irrigation method]")</formula1>
    </dataValidation>
    <dataValidation type="list" allowBlank="1" showInputMessage="1" showErrorMessage="1" sqref="E253 E258 E263 E297 E292 E287 E165 E153 E129 E141" xr:uid="{FB52B57C-9CFD-4A65-8390-2E96A44DF728}">
      <formula1>"Yes, No"</formula1>
    </dataValidation>
    <dataValidation type="list" allowBlank="1" showInputMessage="1" showErrorMessage="1" sqref="E229" xr:uid="{1FA7ADAC-3022-495C-AFD8-223CFE29F6D8}">
      <formula1>INDIRECT("Table_SourceData_Dairy_ProductionSystemTemplates[Area]")</formula1>
    </dataValidation>
    <dataValidation type="list" allowBlank="1" showInputMessage="1" showErrorMessage="1" sqref="D281" xr:uid="{E42322D6-D8BE-4754-BDF9-206C94CA9BF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506B1-175A-4CBA-A975-10D543F4866B}">
  <dimension ref="A1:AI274"/>
  <sheetViews>
    <sheetView showGridLines="0" topLeftCell="J13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TEXT(EDATE(X_Cell_Site_StartDate,1),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TEXT(EDATE(X_Cell_Site_StartDate,2),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TEXT(EDATE(X_Cell_Site_StartDate,3),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TEXT(EDATE(X_Cell_Site_StartDate,4),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TEXT(EDATE(X_Cell_Site_StartDate,5),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TEXT(EDATE(X_Cell_Site_StartDate,6),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e">
        <f>TEXT(EDATE(X_Cell_Site_StartDate,7),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TEXT(EDATE(X_Cell_Site_StartDate,8),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TEXT(EDATE(X_Cell_Site_StartDate,9),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e">
        <f>TEXT(EDATE(X_Cell_Site_StartDate,10),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TEXT(EDATE(X_Cell_Site_StartDate,11),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TEXT(X_Cell_Site_StartDate,"mmmm")</f>
        <v>NO - Not in leaching zone</v>
      </c>
      <c r="V44" s="25" t="e" cm="1">
        <f t="array" aca="1" ref="V44:AE55" ca="1">OFFSET(X_Table_PastureBeef_Liveweight_Method2,1,1,12,10)</f>
        <v>#N/A</v>
      </c>
      <c r="W44" s="25" t="e">
        <f ca="1"/>
        <v>#N/A</v>
      </c>
      <c r="X44" s="25" t="e">
        <f ca="1"/>
        <v>#N/A</v>
      </c>
      <c r="Y44" s="25" t="e">
        <f ca="1"/>
        <v>#N/A</v>
      </c>
      <c r="Z44" s="25" t="e">
        <f ca="1"/>
        <v>#N/A</v>
      </c>
      <c r="AA44" s="25" t="e">
        <f ca="1"/>
        <v>#N/A</v>
      </c>
      <c r="AB44" s="25" t="e">
        <f ca="1"/>
        <v>#N/A</v>
      </c>
      <c r="AC44" s="25" t="e">
        <f ca="1"/>
        <v>#N/A</v>
      </c>
      <c r="AD44" s="25" t="e">
        <f ca="1"/>
        <v>#N/A</v>
      </c>
      <c r="AE44" s="25" t="e">
        <f ca="1"/>
        <v>#N/A</v>
      </c>
      <c r="AF44" s="26" t="s">
        <v>209</v>
      </c>
    </row>
    <row r="45" spans="1:34" ht="20.100000000000001" customHeight="1" x14ac:dyDescent="0.25">
      <c r="A45" s="5" t="str">
        <f>HYPERLINK("#'Acknowledgements'!A1", "Acknowledgements")</f>
        <v>Acknowledgements</v>
      </c>
      <c r="D45" s="114" t="s">
        <v>273</v>
      </c>
      <c r="U45" s="25" t="e">
        <f>TEXT(EDATE(X_Cell_Site_StartDate,1), "mmmm")</f>
        <v>#VALUE!</v>
      </c>
      <c r="V45" s="25" t="e">
        <f ca="1"/>
        <v>#N/A</v>
      </c>
      <c r="W45" s="25" t="e">
        <f ca="1"/>
        <v>#N/A</v>
      </c>
      <c r="X45" s="25" t="e">
        <f ca="1"/>
        <v>#N/A</v>
      </c>
      <c r="Y45" s="25" t="e">
        <f ca="1"/>
        <v>#N/A</v>
      </c>
      <c r="Z45" s="25" t="e">
        <f ca="1"/>
        <v>#N/A</v>
      </c>
      <c r="AA45" s="25" t="e">
        <f ca="1"/>
        <v>#N/A</v>
      </c>
      <c r="AB45" s="25" t="e">
        <f ca="1"/>
        <v>#N/A</v>
      </c>
      <c r="AC45" s="25" t="e">
        <f ca="1"/>
        <v>#N/A</v>
      </c>
      <c r="AD45" s="25" t="e">
        <f ca="1"/>
        <v>#N/A</v>
      </c>
      <c r="AE45" s="25" t="e">
        <f ca="1"/>
        <v>#N/A</v>
      </c>
      <c r="AF45" s="26" t="s">
        <v>209</v>
      </c>
    </row>
    <row r="46" spans="1:34" ht="20.100000000000001" customHeight="1" x14ac:dyDescent="0.25">
      <c r="A46" s="5" t="str">
        <f>HYPERLINK("#'Overview'!A1", "Overview")</f>
        <v>Overview</v>
      </c>
      <c r="D46" s="115" t="s">
        <v>274</v>
      </c>
      <c r="U46" s="25" t="e">
        <f>TEXT(EDATE(X_Cell_Site_StartDate,2), "mmmm")</f>
        <v>#VALUE!</v>
      </c>
      <c r="V46" s="25" t="e">
        <f ca="1"/>
        <v>#N/A</v>
      </c>
      <c r="W46" s="25" t="e">
        <f ca="1"/>
        <v>#N/A</v>
      </c>
      <c r="X46" s="25" t="e">
        <f ca="1"/>
        <v>#N/A</v>
      </c>
      <c r="Y46" s="25" t="e">
        <f ca="1"/>
        <v>#N/A</v>
      </c>
      <c r="Z46" s="25" t="e">
        <f ca="1"/>
        <v>#N/A</v>
      </c>
      <c r="AA46" s="25" t="e">
        <f ca="1"/>
        <v>#N/A</v>
      </c>
      <c r="AB46" s="25" t="e">
        <f ca="1"/>
        <v>#N/A</v>
      </c>
      <c r="AC46" s="25" t="e">
        <f ca="1"/>
        <v>#N/A</v>
      </c>
      <c r="AD46" s="25" t="e">
        <f ca="1"/>
        <v>#N/A</v>
      </c>
      <c r="AE46" s="25" t="e">
        <f ca="1"/>
        <v>#N/A</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e">
        <f>TEXT(EDATE(X_Cell_Site_StartDate,3), "mmmm")</f>
        <v>#VALUE!</v>
      </c>
      <c r="V47" s="25" t="e">
        <f ca="1"/>
        <v>#N/A</v>
      </c>
      <c r="W47" s="25" t="e">
        <f ca="1"/>
        <v>#N/A</v>
      </c>
      <c r="X47" s="25" t="e">
        <f ca="1"/>
        <v>#N/A</v>
      </c>
      <c r="Y47" s="25" t="e">
        <f ca="1"/>
        <v>#N/A</v>
      </c>
      <c r="Z47" s="25" t="e">
        <f ca="1"/>
        <v>#N/A</v>
      </c>
      <c r="AA47" s="25" t="e">
        <f ca="1"/>
        <v>#N/A</v>
      </c>
      <c r="AB47" s="25" t="e">
        <f ca="1"/>
        <v>#N/A</v>
      </c>
      <c r="AC47" s="25" t="e">
        <f ca="1"/>
        <v>#N/A</v>
      </c>
      <c r="AD47" s="25" t="e">
        <f ca="1"/>
        <v>#N/A</v>
      </c>
      <c r="AE47" s="25" t="e">
        <f ca="1"/>
        <v>#N/A</v>
      </c>
      <c r="AF47" s="26" t="s">
        <v>209</v>
      </c>
    </row>
    <row r="48" spans="1:34" ht="20.100000000000001" customHeight="1" x14ac:dyDescent="0.25">
      <c r="D48" s="25" t="str">
        <f>INDEX(X_Table_PastureBeef_Liveweight_Method1,2,1)</f>
        <v>Spring</v>
      </c>
      <c r="E48" s="25" t="e" cm="1">
        <f t="array" aca="1" ref="E48:N51" ca="1">OFFSET(X_Table_PastureBeef_Liveweight_Method1, 1,1, 4,10)</f>
        <v>#N/A</v>
      </c>
      <c r="F48" s="25" t="e">
        <f ca="1"/>
        <v>#N/A</v>
      </c>
      <c r="G48" s="25" t="e">
        <f ca="1"/>
        <v>#N/A</v>
      </c>
      <c r="H48" s="25" t="e">
        <f ca="1"/>
        <v>#N/A</v>
      </c>
      <c r="I48" s="25" t="e">
        <f ca="1"/>
        <v>#N/A</v>
      </c>
      <c r="J48" s="25" t="e">
        <f ca="1"/>
        <v>#N/A</v>
      </c>
      <c r="K48" s="25" t="e">
        <f ca="1"/>
        <v>#N/A</v>
      </c>
      <c r="L48" s="25" t="e">
        <f ca="1"/>
        <v>#N/A</v>
      </c>
      <c r="M48" s="25" t="e">
        <f ca="1"/>
        <v>#N/A</v>
      </c>
      <c r="N48" s="25" t="e">
        <f ca="1"/>
        <v>#N/A</v>
      </c>
      <c r="O48" s="26" t="s">
        <v>209</v>
      </c>
      <c r="P48" s="26"/>
      <c r="Q48" s="26"/>
      <c r="U48" s="25" t="e">
        <f>TEXT(EDATE(X_Cell_Site_StartDate,4), "mmmm")</f>
        <v>#VALUE!</v>
      </c>
      <c r="V48" s="25" t="e">
        <f ca="1"/>
        <v>#N/A</v>
      </c>
      <c r="W48" s="25" t="e">
        <f ca="1"/>
        <v>#N/A</v>
      </c>
      <c r="X48" s="25" t="e">
        <f ca="1"/>
        <v>#N/A</v>
      </c>
      <c r="Y48" s="25" t="e">
        <f ca="1"/>
        <v>#N/A</v>
      </c>
      <c r="Z48" s="25" t="e">
        <f ca="1"/>
        <v>#N/A</v>
      </c>
      <c r="AA48" s="25" t="e">
        <f ca="1"/>
        <v>#N/A</v>
      </c>
      <c r="AB48" s="25" t="e">
        <f ca="1"/>
        <v>#N/A</v>
      </c>
      <c r="AC48" s="25" t="e">
        <f ca="1"/>
        <v>#N/A</v>
      </c>
      <c r="AD48" s="25" t="e">
        <f ca="1"/>
        <v>#N/A</v>
      </c>
      <c r="AE48" s="25" t="e">
        <f ca="1"/>
        <v>#N/A</v>
      </c>
      <c r="AF48" s="26" t="s">
        <v>209</v>
      </c>
    </row>
    <row r="49" spans="4:34" ht="20.100000000000001" customHeight="1" x14ac:dyDescent="0.25">
      <c r="D49" s="25" t="str">
        <f>INDEX(X_Table_PastureBeef_Liveweight_Method1,3,1)</f>
        <v>Summer</v>
      </c>
      <c r="E49" s="25" t="e">
        <f ca="1"/>
        <v>#N/A</v>
      </c>
      <c r="F49" s="25" t="e">
        <f ca="1"/>
        <v>#N/A</v>
      </c>
      <c r="G49" s="25" t="e">
        <f ca="1"/>
        <v>#N/A</v>
      </c>
      <c r="H49" s="25" t="e">
        <f ca="1"/>
        <v>#N/A</v>
      </c>
      <c r="I49" s="25" t="e">
        <f ca="1"/>
        <v>#N/A</v>
      </c>
      <c r="J49" s="25" t="e">
        <f ca="1"/>
        <v>#N/A</v>
      </c>
      <c r="K49" s="25" t="e">
        <f ca="1"/>
        <v>#N/A</v>
      </c>
      <c r="L49" s="25" t="e">
        <f ca="1"/>
        <v>#N/A</v>
      </c>
      <c r="M49" s="25" t="e">
        <f ca="1"/>
        <v>#N/A</v>
      </c>
      <c r="N49" s="25" t="e">
        <f ca="1"/>
        <v>#N/A</v>
      </c>
      <c r="O49" s="26" t="s">
        <v>209</v>
      </c>
      <c r="P49" s="26"/>
      <c r="Q49" s="26"/>
      <c r="U49" s="25" t="e">
        <f>TEXT(EDATE(X_Cell_Site_StartDate,5), "mmmm")</f>
        <v>#VALUE!</v>
      </c>
      <c r="V49" s="25" t="e">
        <f ca="1"/>
        <v>#N/A</v>
      </c>
      <c r="W49" s="25" t="e">
        <f ca="1"/>
        <v>#N/A</v>
      </c>
      <c r="X49" s="25" t="e">
        <f ca="1"/>
        <v>#N/A</v>
      </c>
      <c r="Y49" s="25" t="e">
        <f ca="1"/>
        <v>#N/A</v>
      </c>
      <c r="Z49" s="25" t="e">
        <f ca="1"/>
        <v>#N/A</v>
      </c>
      <c r="AA49" s="25" t="e">
        <f ca="1"/>
        <v>#N/A</v>
      </c>
      <c r="AB49" s="25" t="e">
        <f ca="1"/>
        <v>#N/A</v>
      </c>
      <c r="AC49" s="25" t="e">
        <f ca="1"/>
        <v>#N/A</v>
      </c>
      <c r="AD49" s="25" t="e">
        <f ca="1"/>
        <v>#N/A</v>
      </c>
      <c r="AE49" s="25" t="e">
        <f ca="1"/>
        <v>#N/A</v>
      </c>
      <c r="AF49" s="26" t="s">
        <v>209</v>
      </c>
    </row>
    <row r="50" spans="4:34" ht="20.100000000000001" customHeight="1" x14ac:dyDescent="0.25">
      <c r="D50" s="25" t="str">
        <f>INDEX(X_Table_PastureBeef_Liveweight_Method1,4,1)</f>
        <v>Autumn</v>
      </c>
      <c r="E50" s="25" t="e">
        <f ca="1"/>
        <v>#N/A</v>
      </c>
      <c r="F50" s="25" t="e">
        <f ca="1"/>
        <v>#N/A</v>
      </c>
      <c r="G50" s="25" t="e">
        <f ca="1"/>
        <v>#N/A</v>
      </c>
      <c r="H50" s="25" t="e">
        <f ca="1"/>
        <v>#N/A</v>
      </c>
      <c r="I50" s="25" t="e">
        <f ca="1"/>
        <v>#N/A</v>
      </c>
      <c r="J50" s="25" t="e">
        <f ca="1"/>
        <v>#N/A</v>
      </c>
      <c r="K50" s="25" t="e">
        <f ca="1"/>
        <v>#N/A</v>
      </c>
      <c r="L50" s="25" t="e">
        <f ca="1"/>
        <v>#N/A</v>
      </c>
      <c r="M50" s="25" t="e">
        <f ca="1"/>
        <v>#N/A</v>
      </c>
      <c r="N50" s="25" t="e">
        <f ca="1"/>
        <v>#N/A</v>
      </c>
      <c r="O50" s="26" t="s">
        <v>209</v>
      </c>
      <c r="P50" s="26"/>
      <c r="Q50" s="26"/>
      <c r="U50" s="25" t="e">
        <f>TEXT(EDATE(X_Cell_Site_StartDate,6), "mmmm")</f>
        <v>#VALUE!</v>
      </c>
      <c r="V50" s="25" t="e">
        <f ca="1"/>
        <v>#N/A</v>
      </c>
      <c r="W50" s="25" t="e">
        <f ca="1"/>
        <v>#N/A</v>
      </c>
      <c r="X50" s="25" t="e">
        <f ca="1"/>
        <v>#N/A</v>
      </c>
      <c r="Y50" s="25" t="e">
        <f ca="1"/>
        <v>#N/A</v>
      </c>
      <c r="Z50" s="25" t="e">
        <f ca="1"/>
        <v>#N/A</v>
      </c>
      <c r="AA50" s="25" t="e">
        <f ca="1"/>
        <v>#N/A</v>
      </c>
      <c r="AB50" s="25" t="e">
        <f ca="1"/>
        <v>#N/A</v>
      </c>
      <c r="AC50" s="25" t="e">
        <f ca="1"/>
        <v>#N/A</v>
      </c>
      <c r="AD50" s="25" t="e">
        <f ca="1"/>
        <v>#N/A</v>
      </c>
      <c r="AE50" s="25" t="e">
        <f ca="1"/>
        <v>#N/A</v>
      </c>
      <c r="AF50" s="26" t="s">
        <v>209</v>
      </c>
    </row>
    <row r="51" spans="4:34" ht="20.100000000000001" customHeight="1" x14ac:dyDescent="0.25">
      <c r="D51" s="25" t="str">
        <f>INDEX(X_Table_PastureBeef_Liveweight_Method1,5,1)</f>
        <v>Winter</v>
      </c>
      <c r="E51" s="25" t="e">
        <f ca="1"/>
        <v>#N/A</v>
      </c>
      <c r="F51" s="25" t="e">
        <f ca="1"/>
        <v>#N/A</v>
      </c>
      <c r="G51" s="25" t="e">
        <f ca="1"/>
        <v>#N/A</v>
      </c>
      <c r="H51" s="25" t="e">
        <f ca="1"/>
        <v>#N/A</v>
      </c>
      <c r="I51" s="25" t="e">
        <f ca="1"/>
        <v>#N/A</v>
      </c>
      <c r="J51" s="25" t="e">
        <f ca="1"/>
        <v>#N/A</v>
      </c>
      <c r="K51" s="25" t="e">
        <f ca="1"/>
        <v>#N/A</v>
      </c>
      <c r="L51" s="25" t="e">
        <f ca="1"/>
        <v>#N/A</v>
      </c>
      <c r="M51" s="25" t="e">
        <f ca="1"/>
        <v>#N/A</v>
      </c>
      <c r="N51" s="25" t="e">
        <f ca="1"/>
        <v>#N/A</v>
      </c>
      <c r="O51" s="26" t="s">
        <v>209</v>
      </c>
      <c r="P51" s="26"/>
      <c r="Q51" s="26"/>
      <c r="U51" s="25" t="e">
        <f>TEXT(EDATE(X_Cell_Site_StartDate,7), "mmmm")</f>
        <v>#VALUE!</v>
      </c>
      <c r="V51" s="25" t="e">
        <f ca="1"/>
        <v>#N/A</v>
      </c>
      <c r="W51" s="25" t="e">
        <f ca="1"/>
        <v>#N/A</v>
      </c>
      <c r="X51" s="25" t="e">
        <f ca="1"/>
        <v>#N/A</v>
      </c>
      <c r="Y51" s="25" t="e">
        <f ca="1"/>
        <v>#N/A</v>
      </c>
      <c r="Z51" s="25" t="e">
        <f ca="1"/>
        <v>#N/A</v>
      </c>
      <c r="AA51" s="25" t="e">
        <f ca="1"/>
        <v>#N/A</v>
      </c>
      <c r="AB51" s="25" t="e">
        <f ca="1"/>
        <v>#N/A</v>
      </c>
      <c r="AC51" s="25" t="e">
        <f ca="1"/>
        <v>#N/A</v>
      </c>
      <c r="AD51" s="25" t="e">
        <f ca="1"/>
        <v>#N/A</v>
      </c>
      <c r="AE51" s="25" t="e">
        <f ca="1"/>
        <v>#N/A</v>
      </c>
      <c r="AF51" s="26" t="s">
        <v>209</v>
      </c>
      <c r="AG51" s="26"/>
      <c r="AH51" s="26"/>
    </row>
    <row r="52" spans="4:34" ht="20.100000000000001" customHeight="1" x14ac:dyDescent="0.25">
      <c r="U52" s="25" t="e">
        <f>TEXT(EDATE(X_Cell_Site_StartDate,8), "mmmm")</f>
        <v>#VALUE!</v>
      </c>
      <c r="V52" s="25" t="e">
        <f ca="1"/>
        <v>#N/A</v>
      </c>
      <c r="W52" s="25" t="e">
        <f ca="1"/>
        <v>#N/A</v>
      </c>
      <c r="X52" s="25" t="e">
        <f ca="1"/>
        <v>#N/A</v>
      </c>
      <c r="Y52" s="25" t="e">
        <f ca="1"/>
        <v>#N/A</v>
      </c>
      <c r="Z52" s="25" t="e">
        <f ca="1"/>
        <v>#N/A</v>
      </c>
      <c r="AA52" s="25" t="e">
        <f ca="1"/>
        <v>#N/A</v>
      </c>
      <c r="AB52" s="25" t="e">
        <f ca="1"/>
        <v>#N/A</v>
      </c>
      <c r="AC52" s="25" t="e">
        <f ca="1"/>
        <v>#N/A</v>
      </c>
      <c r="AD52" s="25" t="e">
        <f ca="1"/>
        <v>#N/A</v>
      </c>
      <c r="AE52" s="25" t="e">
        <f ca="1"/>
        <v>#N/A</v>
      </c>
      <c r="AF52" s="26" t="s">
        <v>209</v>
      </c>
      <c r="AG52" s="26"/>
      <c r="AH52" s="26"/>
    </row>
    <row r="53" spans="4:34" ht="20.100000000000001" customHeight="1" x14ac:dyDescent="0.25">
      <c r="D53" s="114" t="s">
        <v>275</v>
      </c>
      <c r="U53" s="25" t="e">
        <f>TEXT(EDATE(X_Cell_Site_StartDate,9), "mmmm")</f>
        <v>#VALUE!</v>
      </c>
      <c r="V53" s="25" t="e">
        <f ca="1"/>
        <v>#N/A</v>
      </c>
      <c r="W53" s="25" t="e">
        <f ca="1"/>
        <v>#N/A</v>
      </c>
      <c r="X53" s="25" t="e">
        <f ca="1"/>
        <v>#N/A</v>
      </c>
      <c r="Y53" s="25" t="e">
        <f ca="1"/>
        <v>#N/A</v>
      </c>
      <c r="Z53" s="25" t="e">
        <f ca="1"/>
        <v>#N/A</v>
      </c>
      <c r="AA53" s="25" t="e">
        <f ca="1"/>
        <v>#N/A</v>
      </c>
      <c r="AB53" s="25" t="e">
        <f ca="1"/>
        <v>#N/A</v>
      </c>
      <c r="AC53" s="25" t="e">
        <f ca="1"/>
        <v>#N/A</v>
      </c>
      <c r="AD53" s="25" t="e">
        <f ca="1"/>
        <v>#N/A</v>
      </c>
      <c r="AE53" s="25" t="e">
        <f ca="1"/>
        <v>#N/A</v>
      </c>
      <c r="AF53" s="26" t="s">
        <v>209</v>
      </c>
      <c r="AG53" s="26"/>
      <c r="AH53" s="26"/>
    </row>
    <row r="54" spans="4:34" ht="20.100000000000001" customHeight="1" x14ac:dyDescent="0.25">
      <c r="D54" s="115" t="s">
        <v>276</v>
      </c>
      <c r="U54" s="25" t="e">
        <f>TEXT(EDATE(X_Cell_Site_StartDate,10), "mmmm")</f>
        <v>#VALUE!</v>
      </c>
      <c r="V54" s="25" t="e">
        <f ca="1"/>
        <v>#N/A</v>
      </c>
      <c r="W54" s="25" t="e">
        <f ca="1"/>
        <v>#N/A</v>
      </c>
      <c r="X54" s="25" t="e">
        <f ca="1"/>
        <v>#N/A</v>
      </c>
      <c r="Y54" s="25" t="e">
        <f ca="1"/>
        <v>#N/A</v>
      </c>
      <c r="Z54" s="25" t="e">
        <f ca="1"/>
        <v>#N/A</v>
      </c>
      <c r="AA54" s="25" t="e">
        <f ca="1"/>
        <v>#N/A</v>
      </c>
      <c r="AB54" s="25" t="e">
        <f ca="1"/>
        <v>#N/A</v>
      </c>
      <c r="AC54" s="25" t="e">
        <f ca="1"/>
        <v>#N/A</v>
      </c>
      <c r="AD54" s="25" t="e">
        <f ca="1"/>
        <v>#N/A</v>
      </c>
      <c r="AE54" s="25" t="e">
        <f ca="1"/>
        <v>#N/A</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e">
        <f>TEXT(EDATE(X_Cell_Site_StartDate,11), "mmmm")</f>
        <v>#VALUE!</v>
      </c>
      <c r="V55" s="25" t="e">
        <f ca="1"/>
        <v>#N/A</v>
      </c>
      <c r="W55" s="25" t="e">
        <f ca="1"/>
        <v>#N/A</v>
      </c>
      <c r="X55" s="25" t="e">
        <f ca="1"/>
        <v>#N/A</v>
      </c>
      <c r="Y55" s="25" t="e">
        <f ca="1"/>
        <v>#N/A</v>
      </c>
      <c r="Z55" s="25" t="e">
        <f ca="1"/>
        <v>#N/A</v>
      </c>
      <c r="AA55" s="25" t="e">
        <f ca="1"/>
        <v>#N/A</v>
      </c>
      <c r="AB55" s="25" t="e">
        <f ca="1"/>
        <v>#N/A</v>
      </c>
      <c r="AC55" s="25" t="e">
        <f ca="1"/>
        <v>#N/A</v>
      </c>
      <c r="AD55" s="25" t="e">
        <f ca="1"/>
        <v>#N/A</v>
      </c>
      <c r="AE55" s="25" t="e">
        <f ca="1"/>
        <v>#N/A</v>
      </c>
      <c r="AF55" s="26" t="s">
        <v>209</v>
      </c>
      <c r="AG55" s="26"/>
      <c r="AH55" s="26"/>
    </row>
    <row r="56" spans="4:34" ht="20.100000000000001" customHeight="1" x14ac:dyDescent="0.25">
      <c r="D56" s="25" t="str">
        <f>INDEX(X_Table_PastureBeef_LiveweightGain_Method1,2,1)</f>
        <v>Spring</v>
      </c>
      <c r="E56" s="25" t="e" cm="1">
        <f t="array" aca="1" ref="E56:N59" ca="1">OFFSET(X_Table_PastureBeef_LiveweightGain_Method1, 1,1, 4,10)</f>
        <v>#N/A</v>
      </c>
      <c r="F56" s="25" t="e">
        <f ca="1"/>
        <v>#N/A</v>
      </c>
      <c r="G56" s="25" t="e">
        <f ca="1"/>
        <v>#N/A</v>
      </c>
      <c r="H56" s="25" t="e">
        <f ca="1"/>
        <v>#N/A</v>
      </c>
      <c r="I56" s="25" t="e">
        <f ca="1"/>
        <v>#N/A</v>
      </c>
      <c r="J56" s="25" t="e">
        <f ca="1"/>
        <v>#N/A</v>
      </c>
      <c r="K56" s="25" t="e">
        <f ca="1"/>
        <v>#N/A</v>
      </c>
      <c r="L56" s="25" t="e">
        <f ca="1"/>
        <v>#N/A</v>
      </c>
      <c r="M56" s="25" t="e">
        <f ca="1"/>
        <v>#N/A</v>
      </c>
      <c r="N56" s="25" t="e">
        <f ca="1"/>
        <v>#N/A</v>
      </c>
      <c r="O56" s="26" t="s">
        <v>209</v>
      </c>
      <c r="P56" s="26"/>
      <c r="Q56" s="26"/>
      <c r="AG56" s="26"/>
      <c r="AH56" s="26"/>
    </row>
    <row r="57" spans="4:34" ht="20.100000000000001" customHeight="1" x14ac:dyDescent="0.25">
      <c r="D57" s="25" t="str">
        <f>INDEX(X_Table_PastureBeef_LiveweightGain_Method1,3,1)</f>
        <v>Summer</v>
      </c>
      <c r="E57" s="25" t="e">
        <f ca="1"/>
        <v>#N/A</v>
      </c>
      <c r="F57" s="25" t="e">
        <f ca="1"/>
        <v>#N/A</v>
      </c>
      <c r="G57" s="25" t="e">
        <f ca="1"/>
        <v>#N/A</v>
      </c>
      <c r="H57" s="25" t="e">
        <f ca="1"/>
        <v>#N/A</v>
      </c>
      <c r="I57" s="25" t="e">
        <f ca="1"/>
        <v>#N/A</v>
      </c>
      <c r="J57" s="25" t="e">
        <f ca="1"/>
        <v>#N/A</v>
      </c>
      <c r="K57" s="25" t="e">
        <f ca="1"/>
        <v>#N/A</v>
      </c>
      <c r="L57" s="25" t="e">
        <f ca="1"/>
        <v>#N/A</v>
      </c>
      <c r="M57" s="25" t="e">
        <f ca="1"/>
        <v>#N/A</v>
      </c>
      <c r="N57" s="25" t="e">
        <f ca="1"/>
        <v>#N/A</v>
      </c>
      <c r="O57" s="26" t="s">
        <v>209</v>
      </c>
      <c r="P57" s="26"/>
      <c r="Q57" s="26"/>
      <c r="U57" s="114" t="s">
        <v>277</v>
      </c>
      <c r="AG57" s="26"/>
      <c r="AH57" s="26"/>
    </row>
    <row r="58" spans="4:34" ht="20.100000000000001" customHeight="1" x14ac:dyDescent="0.25">
      <c r="D58" s="25" t="str">
        <f>INDEX(X_Table_PastureBeef_LiveweightGain_Method1,4,1)</f>
        <v>Autumn</v>
      </c>
      <c r="E58" s="25" t="e">
        <f ca="1"/>
        <v>#N/A</v>
      </c>
      <c r="F58" s="25" t="e">
        <f ca="1"/>
        <v>#N/A</v>
      </c>
      <c r="G58" s="25" t="e">
        <f ca="1"/>
        <v>#N/A</v>
      </c>
      <c r="H58" s="25" t="e">
        <f ca="1"/>
        <v>#N/A</v>
      </c>
      <c r="I58" s="25" t="e">
        <f ca="1"/>
        <v>#N/A</v>
      </c>
      <c r="J58" s="25" t="e">
        <f ca="1"/>
        <v>#N/A</v>
      </c>
      <c r="K58" s="25" t="e">
        <f ca="1"/>
        <v>#N/A</v>
      </c>
      <c r="L58" s="25" t="e">
        <f ca="1"/>
        <v>#N/A</v>
      </c>
      <c r="M58" s="25" t="e">
        <f ca="1"/>
        <v>#N/A</v>
      </c>
      <c r="N58" s="25" t="e">
        <f ca="1"/>
        <v>#N/A</v>
      </c>
      <c r="O58" s="26" t="s">
        <v>209</v>
      </c>
      <c r="P58" s="26"/>
      <c r="Q58" s="26"/>
      <c r="U58" s="115" t="s">
        <v>278</v>
      </c>
      <c r="AG58" s="26"/>
      <c r="AH58" s="26"/>
    </row>
    <row r="59" spans="4:34" ht="20.100000000000001" customHeight="1" x14ac:dyDescent="0.25">
      <c r="D59" s="25" t="str">
        <f>INDEX(X_Table_PastureBeef_LiveweightGain_Method1,5,1)</f>
        <v>Winter</v>
      </c>
      <c r="E59" s="25" t="e">
        <f ca="1"/>
        <v>#N/A</v>
      </c>
      <c r="F59" s="25" t="e">
        <f ca="1"/>
        <v>#N/A</v>
      </c>
      <c r="G59" s="25" t="e">
        <f ca="1"/>
        <v>#N/A</v>
      </c>
      <c r="H59" s="25" t="e">
        <f ca="1"/>
        <v>#N/A</v>
      </c>
      <c r="I59" s="25" t="e">
        <f ca="1"/>
        <v>#N/A</v>
      </c>
      <c r="J59" s="25" t="e">
        <f ca="1"/>
        <v>#N/A</v>
      </c>
      <c r="K59" s="25" t="e">
        <f ca="1"/>
        <v>#N/A</v>
      </c>
      <c r="L59" s="25" t="e">
        <f ca="1"/>
        <v>#N/A</v>
      </c>
      <c r="M59" s="25" t="e">
        <f ca="1"/>
        <v>#N/A</v>
      </c>
      <c r="N59" s="25" t="e">
        <f ca="1"/>
        <v>#N/A</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TEXT(X_Cell_Site_StartDate,"mmmm")</f>
        <v>NO - Not in leaching zone</v>
      </c>
      <c r="V60" s="25" t="e" cm="1">
        <f t="array" aca="1" ref="V60:AE71" ca="1">OFFSET(X_Table_PastureBeef_LiveweightGain_Method2,1,1,12,10)</f>
        <v>#N/A</v>
      </c>
      <c r="W60" s="25" t="e">
        <f ca="1"/>
        <v>#N/A</v>
      </c>
      <c r="X60" s="25" t="e">
        <f ca="1"/>
        <v>#N/A</v>
      </c>
      <c r="Y60" s="25" t="e">
        <f ca="1"/>
        <v>#N/A</v>
      </c>
      <c r="Z60" s="25" t="e">
        <f ca="1"/>
        <v>#N/A</v>
      </c>
      <c r="AA60" s="25" t="e">
        <f ca="1"/>
        <v>#N/A</v>
      </c>
      <c r="AB60" s="25" t="e">
        <f ca="1"/>
        <v>#N/A</v>
      </c>
      <c r="AC60" s="25" t="e">
        <f ca="1"/>
        <v>#N/A</v>
      </c>
      <c r="AD60" s="25" t="e">
        <f ca="1"/>
        <v>#N/A</v>
      </c>
      <c r="AE60" s="25" t="e">
        <f ca="1"/>
        <v>#N/A</v>
      </c>
      <c r="AF60" s="26" t="s">
        <v>211</v>
      </c>
      <c r="AG60" s="26"/>
      <c r="AH60" s="26"/>
    </row>
    <row r="61" spans="4:34" ht="20.100000000000001" customHeight="1" x14ac:dyDescent="0.25">
      <c r="D61" s="114" t="s">
        <v>279</v>
      </c>
      <c r="U61" s="25" t="e">
        <f>TEXT(EDATE(X_Cell_Site_StartDate,1), "mmmm")</f>
        <v>#VALUE!</v>
      </c>
      <c r="V61" s="25" t="e">
        <f ca="1"/>
        <v>#N/A</v>
      </c>
      <c r="W61" s="25" t="e">
        <f ca="1"/>
        <v>#N/A</v>
      </c>
      <c r="X61" s="25" t="e">
        <f ca="1"/>
        <v>#N/A</v>
      </c>
      <c r="Y61" s="25" t="e">
        <f ca="1"/>
        <v>#N/A</v>
      </c>
      <c r="Z61" s="25" t="e">
        <f ca="1"/>
        <v>#N/A</v>
      </c>
      <c r="AA61" s="25" t="e">
        <f ca="1"/>
        <v>#N/A</v>
      </c>
      <c r="AB61" s="25" t="e">
        <f ca="1"/>
        <v>#N/A</v>
      </c>
      <c r="AC61" s="25" t="e">
        <f ca="1"/>
        <v>#N/A</v>
      </c>
      <c r="AD61" s="25" t="e">
        <f ca="1"/>
        <v>#N/A</v>
      </c>
      <c r="AE61" s="25" t="e">
        <f ca="1"/>
        <v>#N/A</v>
      </c>
      <c r="AF61" s="26" t="s">
        <v>211</v>
      </c>
      <c r="AG61" s="26"/>
      <c r="AH61" s="26"/>
    </row>
    <row r="62" spans="4:34" ht="20.100000000000001" customHeight="1" x14ac:dyDescent="0.25">
      <c r="D62" s="115" t="s">
        <v>280</v>
      </c>
      <c r="U62" s="25" t="e">
        <f>TEXT(EDATE(X_Cell_Site_StartDate,2), "mmmm")</f>
        <v>#VALUE!</v>
      </c>
      <c r="V62" s="25" t="e">
        <f ca="1"/>
        <v>#N/A</v>
      </c>
      <c r="W62" s="25" t="e">
        <f ca="1"/>
        <v>#N/A</v>
      </c>
      <c r="X62" s="25" t="e">
        <f ca="1"/>
        <v>#N/A</v>
      </c>
      <c r="Y62" s="25" t="e">
        <f ca="1"/>
        <v>#N/A</v>
      </c>
      <c r="Z62" s="25" t="e">
        <f ca="1"/>
        <v>#N/A</v>
      </c>
      <c r="AA62" s="25" t="e">
        <f ca="1"/>
        <v>#N/A</v>
      </c>
      <c r="AB62" s="25" t="e">
        <f ca="1"/>
        <v>#N/A</v>
      </c>
      <c r="AC62" s="25" t="e">
        <f ca="1"/>
        <v>#N/A</v>
      </c>
      <c r="AD62" s="25" t="e">
        <f ca="1"/>
        <v>#N/A</v>
      </c>
      <c r="AE62" s="25" t="e">
        <f ca="1"/>
        <v>#N/A</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e">
        <f>TEXT(EDATE(X_Cell_Site_StartDate,3), "mmmm")</f>
        <v>#VALUE!</v>
      </c>
      <c r="V63" s="25" t="e">
        <f ca="1"/>
        <v>#N/A</v>
      </c>
      <c r="W63" s="25" t="e">
        <f ca="1"/>
        <v>#N/A</v>
      </c>
      <c r="X63" s="25" t="e">
        <f ca="1"/>
        <v>#N/A</v>
      </c>
      <c r="Y63" s="25" t="e">
        <f ca="1"/>
        <v>#N/A</v>
      </c>
      <c r="Z63" s="25" t="e">
        <f ca="1"/>
        <v>#N/A</v>
      </c>
      <c r="AA63" s="25" t="e">
        <f ca="1"/>
        <v>#N/A</v>
      </c>
      <c r="AB63" s="25" t="e">
        <f ca="1"/>
        <v>#N/A</v>
      </c>
      <c r="AC63" s="25" t="e">
        <f ca="1"/>
        <v>#N/A</v>
      </c>
      <c r="AD63" s="25" t="e">
        <f ca="1"/>
        <v>#N/A</v>
      </c>
      <c r="AE63" s="25" t="e">
        <f ca="1"/>
        <v>#N/A</v>
      </c>
      <c r="AF63" s="26" t="s">
        <v>211</v>
      </c>
      <c r="AG63" s="26"/>
      <c r="AH63" s="26"/>
    </row>
    <row r="64" spans="4:34" ht="20.100000000000001" customHeight="1" x14ac:dyDescent="0.25">
      <c r="D64" s="25" t="s">
        <v>200</v>
      </c>
      <c r="E64" s="25" t="e" cm="1">
        <f t="array" aca="1" ref="E64" ca="1">EntericMethane_PastureBeef_Equations.VEERG_3_2_1_1__3_FeedIntakeForGrazingBeef(E48,E56,G26)</f>
        <v>#N/A</v>
      </c>
      <c r="F64" s="25" t="e" cm="1">
        <f t="array" aca="1" ref="F64" ca="1">EntericMethane_PastureBeef_Equations.VEERG_3_2_1_1__3_FeedIntakeForGrazingBeef(F48,F56,H26)</f>
        <v>#N/A</v>
      </c>
      <c r="G64" s="25" t="e" cm="1">
        <f t="array" aca="1" ref="G64" ca="1">EntericMethane_PastureBeef_Equations.VEERG_3_2_1_1__3_FeedIntakeForGrazingBeef(G48,G56,I26)</f>
        <v>#N/A</v>
      </c>
      <c r="H64" s="25" t="e" cm="1">
        <f t="array" aca="1" ref="H64" ca="1">EntericMethane_PastureBeef_Equations.VEERG_3_2_1_1__3_FeedIntakeForGrazingBeef(H48,H56,J26)</f>
        <v>#N/A</v>
      </c>
      <c r="I64" s="25" t="e" cm="1">
        <f t="array" aca="1" ref="I64" ca="1">EntericMethane_PastureBeef_Equations.VEERG_3_2_1_1__3_FeedIntakeForGrazingBeef(I48,I56,K26)</f>
        <v>#N/A</v>
      </c>
      <c r="J64" s="25" t="e" cm="1">
        <f t="array" aca="1" ref="J64" ca="1">EntericMethane_PastureBeef_Equations.VEERG_3_2_1_1__3_FeedIntakeForGrazingBeef(J48,J56,L26)</f>
        <v>#N/A</v>
      </c>
      <c r="K64" s="25" t="e" cm="1">
        <f t="array" aca="1" ref="K64" ca="1">EntericMethane_PastureBeef_Equations.VEERG_3_2_1_1__3_FeedIntakeForGrazingBeef(K48,K56,M26)</f>
        <v>#N/A</v>
      </c>
      <c r="L64" s="25" t="e" cm="1">
        <f t="array" aca="1" ref="L64" ca="1">EntericMethane_PastureBeef_Equations.VEERG_3_2_1_1__3_FeedIntakeForGrazingBeef(L48,L56,N26)</f>
        <v>#N/A</v>
      </c>
      <c r="M64" s="25" t="e" cm="1">
        <f t="array" aca="1" ref="M64" ca="1">EntericMethane_PastureBeef_Equations.VEERG_3_2_1_1__3_FeedIntakeForGrazingBeef(M48,M56,O26)</f>
        <v>#N/A</v>
      </c>
      <c r="N64" s="25" t="e" cm="1">
        <f t="array" aca="1" ref="N64" ca="1">EntericMethane_PastureBeef_Equations.VEERG_3_2_1_1__3_FeedIntakeForGrazingBeef(N48,N56,P26)</f>
        <v>#N/A</v>
      </c>
      <c r="O64" s="26" t="str">
        <f>$E$39</f>
        <v>kg DM/head/day</v>
      </c>
      <c r="P64" s="26"/>
      <c r="Q64" s="26"/>
      <c r="U64" s="25" t="e">
        <f>TEXT(EDATE(X_Cell_Site_StartDate,4), "mmmm")</f>
        <v>#VALUE!</v>
      </c>
      <c r="V64" s="25" t="e">
        <f ca="1"/>
        <v>#N/A</v>
      </c>
      <c r="W64" s="25" t="e">
        <f ca="1"/>
        <v>#N/A</v>
      </c>
      <c r="X64" s="25" t="e">
        <f ca="1"/>
        <v>#N/A</v>
      </c>
      <c r="Y64" s="25" t="e">
        <f ca="1"/>
        <v>#N/A</v>
      </c>
      <c r="Z64" s="25" t="e">
        <f ca="1"/>
        <v>#N/A</v>
      </c>
      <c r="AA64" s="25" t="e">
        <f ca="1"/>
        <v>#N/A</v>
      </c>
      <c r="AB64" s="25" t="e">
        <f ca="1"/>
        <v>#N/A</v>
      </c>
      <c r="AC64" s="25" t="e">
        <f ca="1"/>
        <v>#N/A</v>
      </c>
      <c r="AD64" s="25" t="e">
        <f ca="1"/>
        <v>#N/A</v>
      </c>
      <c r="AE64" s="25" t="e">
        <f ca="1"/>
        <v>#N/A</v>
      </c>
      <c r="AF64" s="26" t="s">
        <v>211</v>
      </c>
    </row>
    <row r="65" spans="3:34" ht="20.100000000000001" customHeight="1" x14ac:dyDescent="0.25">
      <c r="D65" s="25" t="s">
        <v>201</v>
      </c>
      <c r="E65" s="25" t="e" cm="1">
        <f t="array" aca="1" ref="E65" ca="1">EntericMethane_PastureBeef_Equations.VEERG_3_2_1_1__3_FeedIntakeForGrazingBeef(E49,E57,G27)</f>
        <v>#N/A</v>
      </c>
      <c r="F65" s="25" t="e" cm="1">
        <f t="array" aca="1" ref="F65" ca="1">EntericMethane_PastureBeef_Equations.VEERG_3_2_1_1__3_FeedIntakeForGrazingBeef(F49,F57,H27)</f>
        <v>#N/A</v>
      </c>
      <c r="G65" s="25" t="e" cm="1">
        <f t="array" aca="1" ref="G65" ca="1">EntericMethane_PastureBeef_Equations.VEERG_3_2_1_1__3_FeedIntakeForGrazingBeef(G49,G57,I27)</f>
        <v>#N/A</v>
      </c>
      <c r="H65" s="25" t="e" cm="1">
        <f t="array" aca="1" ref="H65" ca="1">EntericMethane_PastureBeef_Equations.VEERG_3_2_1_1__3_FeedIntakeForGrazingBeef(H49,H57,J27)</f>
        <v>#N/A</v>
      </c>
      <c r="I65" s="25" t="e" cm="1">
        <f t="array" aca="1" ref="I65" ca="1">EntericMethane_PastureBeef_Equations.VEERG_3_2_1_1__3_FeedIntakeForGrazingBeef(I49,I57,K27)</f>
        <v>#N/A</v>
      </c>
      <c r="J65" s="25" t="e" cm="1">
        <f t="array" aca="1" ref="J65" ca="1">EntericMethane_PastureBeef_Equations.VEERG_3_2_1_1__3_FeedIntakeForGrazingBeef(J49,J57,L27)</f>
        <v>#N/A</v>
      </c>
      <c r="K65" s="25" t="e" cm="1">
        <f t="array" aca="1" ref="K65" ca="1">EntericMethane_PastureBeef_Equations.VEERG_3_2_1_1__3_FeedIntakeForGrazingBeef(K49,K57,M27)</f>
        <v>#N/A</v>
      </c>
      <c r="L65" s="25" t="e" cm="1">
        <f t="array" aca="1" ref="L65" ca="1">EntericMethane_PastureBeef_Equations.VEERG_3_2_1_1__3_FeedIntakeForGrazingBeef(L49,L57,N27)</f>
        <v>#N/A</v>
      </c>
      <c r="M65" s="25" t="e" cm="1">
        <f t="array" aca="1" ref="M65" ca="1">EntericMethane_PastureBeef_Equations.VEERG_3_2_1_1__3_FeedIntakeForGrazingBeef(M49,M57,O27)</f>
        <v>#N/A</v>
      </c>
      <c r="N65" s="25" t="e" cm="1">
        <f t="array" aca="1" ref="N65" ca="1">EntericMethane_PastureBeef_Equations.VEERG_3_2_1_1__3_FeedIntakeForGrazingBeef(N49,N57,P27)</f>
        <v>#N/A</v>
      </c>
      <c r="O65" s="26" t="str">
        <f>$E$39</f>
        <v>kg DM/head/day</v>
      </c>
      <c r="P65" s="26"/>
      <c r="Q65" s="26"/>
      <c r="U65" s="25" t="e">
        <f>TEXT(EDATE(X_Cell_Site_StartDate,5), "mmmm")</f>
        <v>#VALUE!</v>
      </c>
      <c r="V65" s="25" t="e">
        <f ca="1"/>
        <v>#N/A</v>
      </c>
      <c r="W65" s="25" t="e">
        <f ca="1"/>
        <v>#N/A</v>
      </c>
      <c r="X65" s="25" t="e">
        <f ca="1"/>
        <v>#N/A</v>
      </c>
      <c r="Y65" s="25" t="e">
        <f ca="1"/>
        <v>#N/A</v>
      </c>
      <c r="Z65" s="25" t="e">
        <f ca="1"/>
        <v>#N/A</v>
      </c>
      <c r="AA65" s="25" t="e">
        <f ca="1"/>
        <v>#N/A</v>
      </c>
      <c r="AB65" s="25" t="e">
        <f ca="1"/>
        <v>#N/A</v>
      </c>
      <c r="AC65" s="25" t="e">
        <f ca="1"/>
        <v>#N/A</v>
      </c>
      <c r="AD65" s="25" t="e">
        <f ca="1"/>
        <v>#N/A</v>
      </c>
      <c r="AE65" s="25" t="e">
        <f ca="1"/>
        <v>#N/A</v>
      </c>
      <c r="AF65" s="26" t="s">
        <v>211</v>
      </c>
    </row>
    <row r="66" spans="3:34" ht="20.100000000000001" customHeight="1" x14ac:dyDescent="0.25">
      <c r="D66" s="25" t="s">
        <v>202</v>
      </c>
      <c r="E66" s="25" t="e" cm="1">
        <f t="array" aca="1" ref="E66" ca="1">EntericMethane_PastureBeef_Equations.VEERG_3_2_1_1__3_FeedIntakeForGrazingBeef(E50,E58,G28)</f>
        <v>#N/A</v>
      </c>
      <c r="F66" s="25" t="e" cm="1">
        <f t="array" aca="1" ref="F66" ca="1">EntericMethane_PastureBeef_Equations.VEERG_3_2_1_1__3_FeedIntakeForGrazingBeef(F50,F58,H28)</f>
        <v>#N/A</v>
      </c>
      <c r="G66" s="25" t="e" cm="1">
        <f t="array" aca="1" ref="G66" ca="1">EntericMethane_PastureBeef_Equations.VEERG_3_2_1_1__3_FeedIntakeForGrazingBeef(G50,G58,I28)</f>
        <v>#N/A</v>
      </c>
      <c r="H66" s="25" t="e" cm="1">
        <f t="array" aca="1" ref="H66" ca="1">EntericMethane_PastureBeef_Equations.VEERG_3_2_1_1__3_FeedIntakeForGrazingBeef(H50,H58,J28)</f>
        <v>#N/A</v>
      </c>
      <c r="I66" s="25" t="e" cm="1">
        <f t="array" aca="1" ref="I66" ca="1">EntericMethane_PastureBeef_Equations.VEERG_3_2_1_1__3_FeedIntakeForGrazingBeef(I50,I58,K28)</f>
        <v>#N/A</v>
      </c>
      <c r="J66" s="25" t="e" cm="1">
        <f t="array" aca="1" ref="J66" ca="1">EntericMethane_PastureBeef_Equations.VEERG_3_2_1_1__3_FeedIntakeForGrazingBeef(J50,J58,L28)</f>
        <v>#N/A</v>
      </c>
      <c r="K66" s="25" t="e" cm="1">
        <f t="array" aca="1" ref="K66" ca="1">EntericMethane_PastureBeef_Equations.VEERG_3_2_1_1__3_FeedIntakeForGrazingBeef(K50,K58,M28)</f>
        <v>#N/A</v>
      </c>
      <c r="L66" s="25" t="e" cm="1">
        <f t="array" aca="1" ref="L66" ca="1">EntericMethane_PastureBeef_Equations.VEERG_3_2_1_1__3_FeedIntakeForGrazingBeef(L50,L58,N28)</f>
        <v>#N/A</v>
      </c>
      <c r="M66" s="25" t="e" cm="1">
        <f t="array" aca="1" ref="M66" ca="1">EntericMethane_PastureBeef_Equations.VEERG_3_2_1_1__3_FeedIntakeForGrazingBeef(M50,M58,O28)</f>
        <v>#N/A</v>
      </c>
      <c r="N66" s="25" t="e" cm="1">
        <f t="array" aca="1" ref="N66" ca="1">EntericMethane_PastureBeef_Equations.VEERG_3_2_1_1__3_FeedIntakeForGrazingBeef(N50,N58,P28)</f>
        <v>#N/A</v>
      </c>
      <c r="O66" s="26" t="str">
        <f>$E$39</f>
        <v>kg DM/head/day</v>
      </c>
      <c r="P66" s="26"/>
      <c r="Q66" s="26"/>
      <c r="U66" s="25" t="e">
        <f>TEXT(EDATE(X_Cell_Site_StartDate,6), "mmmm")</f>
        <v>#VALUE!</v>
      </c>
      <c r="V66" s="25" t="e">
        <f ca="1"/>
        <v>#N/A</v>
      </c>
      <c r="W66" s="25" t="e">
        <f ca="1"/>
        <v>#N/A</v>
      </c>
      <c r="X66" s="25" t="e">
        <f ca="1"/>
        <v>#N/A</v>
      </c>
      <c r="Y66" s="25" t="e">
        <f ca="1"/>
        <v>#N/A</v>
      </c>
      <c r="Z66" s="25" t="e">
        <f ca="1"/>
        <v>#N/A</v>
      </c>
      <c r="AA66" s="25" t="e">
        <f ca="1"/>
        <v>#N/A</v>
      </c>
      <c r="AB66" s="25" t="e">
        <f ca="1"/>
        <v>#N/A</v>
      </c>
      <c r="AC66" s="25" t="e">
        <f ca="1"/>
        <v>#N/A</v>
      </c>
      <c r="AD66" s="25" t="e">
        <f ca="1"/>
        <v>#N/A</v>
      </c>
      <c r="AE66" s="25" t="e">
        <f ca="1"/>
        <v>#N/A</v>
      </c>
      <c r="AF66" s="26" t="s">
        <v>211</v>
      </c>
    </row>
    <row r="67" spans="3:34" ht="20.100000000000001" customHeight="1" x14ac:dyDescent="0.25">
      <c r="D67" s="25" t="s">
        <v>203</v>
      </c>
      <c r="E67" s="25" t="e" cm="1">
        <f t="array" aca="1" ref="E67" ca="1">EntericMethane_PastureBeef_Equations.VEERG_3_2_1_1__3_FeedIntakeForGrazingBeef(E51,E59,G29)</f>
        <v>#N/A</v>
      </c>
      <c r="F67" s="25" t="e" cm="1">
        <f t="array" aca="1" ref="F67" ca="1">EntericMethane_PastureBeef_Equations.VEERG_3_2_1_1__3_FeedIntakeForGrazingBeef(F51,F59,H29)</f>
        <v>#N/A</v>
      </c>
      <c r="G67" s="25" t="e" cm="1">
        <f t="array" aca="1" ref="G67" ca="1">EntericMethane_PastureBeef_Equations.VEERG_3_2_1_1__3_FeedIntakeForGrazingBeef(G51,G59,I29)</f>
        <v>#N/A</v>
      </c>
      <c r="H67" s="25" t="e" cm="1">
        <f t="array" aca="1" ref="H67" ca="1">EntericMethane_PastureBeef_Equations.VEERG_3_2_1_1__3_FeedIntakeForGrazingBeef(H51,H59,J29)</f>
        <v>#N/A</v>
      </c>
      <c r="I67" s="25" t="e" cm="1">
        <f t="array" aca="1" ref="I67" ca="1">EntericMethane_PastureBeef_Equations.VEERG_3_2_1_1__3_FeedIntakeForGrazingBeef(I51,I59,K29)</f>
        <v>#N/A</v>
      </c>
      <c r="J67" s="25" t="e" cm="1">
        <f t="array" aca="1" ref="J67" ca="1">EntericMethane_PastureBeef_Equations.VEERG_3_2_1_1__3_FeedIntakeForGrazingBeef(J51,J59,L29)</f>
        <v>#N/A</v>
      </c>
      <c r="K67" s="25" t="e" cm="1">
        <f t="array" aca="1" ref="K67" ca="1">EntericMethane_PastureBeef_Equations.VEERG_3_2_1_1__3_FeedIntakeForGrazingBeef(K51,K59,M29)</f>
        <v>#N/A</v>
      </c>
      <c r="L67" s="25" t="e" cm="1">
        <f t="array" aca="1" ref="L67" ca="1">EntericMethane_PastureBeef_Equations.VEERG_3_2_1_1__3_FeedIntakeForGrazingBeef(L51,L59,N29)</f>
        <v>#N/A</v>
      </c>
      <c r="M67" s="25" t="e" cm="1">
        <f t="array" aca="1" ref="M67" ca="1">EntericMethane_PastureBeef_Equations.VEERG_3_2_1_1__3_FeedIntakeForGrazingBeef(M51,M59,O29)</f>
        <v>#N/A</v>
      </c>
      <c r="N67" s="25" t="e" cm="1">
        <f t="array" aca="1" ref="N67" ca="1">EntericMethane_PastureBeef_Equations.VEERG_3_2_1_1__3_FeedIntakeForGrazingBeef(N51,N59,P29)</f>
        <v>#N/A</v>
      </c>
      <c r="O67" s="26" t="str">
        <f>$E$39</f>
        <v>kg DM/head/day</v>
      </c>
      <c r="P67" s="26"/>
      <c r="Q67" s="26"/>
      <c r="U67" s="25" t="e">
        <f>TEXT(EDATE(X_Cell_Site_StartDate,7), "mmmm")</f>
        <v>#VALUE!</v>
      </c>
      <c r="V67" s="25" t="e">
        <f ca="1"/>
        <v>#N/A</v>
      </c>
      <c r="W67" s="25" t="e">
        <f ca="1"/>
        <v>#N/A</v>
      </c>
      <c r="X67" s="25" t="e">
        <f ca="1"/>
        <v>#N/A</v>
      </c>
      <c r="Y67" s="25" t="e">
        <f ca="1"/>
        <v>#N/A</v>
      </c>
      <c r="Z67" s="25" t="e">
        <f ca="1"/>
        <v>#N/A</v>
      </c>
      <c r="AA67" s="25" t="e">
        <f ca="1"/>
        <v>#N/A</v>
      </c>
      <c r="AB67" s="25" t="e">
        <f ca="1"/>
        <v>#N/A</v>
      </c>
      <c r="AC67" s="25" t="e">
        <f ca="1"/>
        <v>#N/A</v>
      </c>
      <c r="AD67" s="25" t="e">
        <f ca="1"/>
        <v>#N/A</v>
      </c>
      <c r="AE67" s="25" t="e">
        <f ca="1"/>
        <v>#N/A</v>
      </c>
      <c r="AF67" s="26" t="s">
        <v>211</v>
      </c>
    </row>
    <row r="68" spans="3:34" ht="20.100000000000001" customHeight="1" x14ac:dyDescent="0.25">
      <c r="U68" s="25" t="e">
        <f>TEXT(EDATE(X_Cell_Site_StartDate,8), "mmmm")</f>
        <v>#VALUE!</v>
      </c>
      <c r="V68" s="25" t="e">
        <f ca="1"/>
        <v>#N/A</v>
      </c>
      <c r="W68" s="25" t="e">
        <f ca="1"/>
        <v>#N/A</v>
      </c>
      <c r="X68" s="25" t="e">
        <f ca="1"/>
        <v>#N/A</v>
      </c>
      <c r="Y68" s="25" t="e">
        <f ca="1"/>
        <v>#N/A</v>
      </c>
      <c r="Z68" s="25" t="e">
        <f ca="1"/>
        <v>#N/A</v>
      </c>
      <c r="AA68" s="25" t="e">
        <f ca="1"/>
        <v>#N/A</v>
      </c>
      <c r="AB68" s="25" t="e">
        <f ca="1"/>
        <v>#N/A</v>
      </c>
      <c r="AC68" s="25" t="e">
        <f ca="1"/>
        <v>#N/A</v>
      </c>
      <c r="AD68" s="25" t="e">
        <f ca="1"/>
        <v>#N/A</v>
      </c>
      <c r="AE68" s="25" t="e">
        <f ca="1"/>
        <v>#N/A</v>
      </c>
      <c r="AF68" s="26" t="s">
        <v>211</v>
      </c>
      <c r="AG68" s="26"/>
      <c r="AH68" s="26"/>
    </row>
    <row r="69" spans="3:34" ht="20.100000000000001" customHeight="1" x14ac:dyDescent="0.25">
      <c r="U69" s="25" t="e">
        <f>TEXT(EDATE(X_Cell_Site_StartDate,9), "mmmm")</f>
        <v>#VALUE!</v>
      </c>
      <c r="V69" s="25" t="e">
        <f ca="1"/>
        <v>#N/A</v>
      </c>
      <c r="W69" s="25" t="e">
        <f ca="1"/>
        <v>#N/A</v>
      </c>
      <c r="X69" s="25" t="e">
        <f ca="1"/>
        <v>#N/A</v>
      </c>
      <c r="Y69" s="25" t="e">
        <f ca="1"/>
        <v>#N/A</v>
      </c>
      <c r="Z69" s="25" t="e">
        <f ca="1"/>
        <v>#N/A</v>
      </c>
      <c r="AA69" s="25" t="e">
        <f ca="1"/>
        <v>#N/A</v>
      </c>
      <c r="AB69" s="25" t="e">
        <f ca="1"/>
        <v>#N/A</v>
      </c>
      <c r="AC69" s="25" t="e">
        <f ca="1"/>
        <v>#N/A</v>
      </c>
      <c r="AD69" s="25" t="e">
        <f ca="1"/>
        <v>#N/A</v>
      </c>
      <c r="AE69" s="25" t="e">
        <f ca="1"/>
        <v>#N/A</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TEXT(EDATE(X_Cell_Site_StartDate,10), "mmmm")</f>
        <v>#VALUE!</v>
      </c>
      <c r="V70" s="25" t="e">
        <f ca="1"/>
        <v>#N/A</v>
      </c>
      <c r="W70" s="25" t="e">
        <f ca="1"/>
        <v>#N/A</v>
      </c>
      <c r="X70" s="25" t="e">
        <f ca="1"/>
        <v>#N/A</v>
      </c>
      <c r="Y70" s="25" t="e">
        <f ca="1"/>
        <v>#N/A</v>
      </c>
      <c r="Z70" s="25" t="e">
        <f ca="1"/>
        <v>#N/A</v>
      </c>
      <c r="AA70" s="25" t="e">
        <f ca="1"/>
        <v>#N/A</v>
      </c>
      <c r="AB70" s="25" t="e">
        <f ca="1"/>
        <v>#N/A</v>
      </c>
      <c r="AC70" s="25" t="e">
        <f ca="1"/>
        <v>#N/A</v>
      </c>
      <c r="AD70" s="25" t="e">
        <f ca="1"/>
        <v>#N/A</v>
      </c>
      <c r="AE70" s="25" t="e">
        <f ca="1"/>
        <v>#N/A</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TEXT(EDATE(X_Cell_Site_StartDate,11), "mmmm")</f>
        <v>#VALUE!</v>
      </c>
      <c r="V71" s="25" t="e">
        <f ca="1"/>
        <v>#N/A</v>
      </c>
      <c r="W71" s="25" t="e">
        <f ca="1"/>
        <v>#N/A</v>
      </c>
      <c r="X71" s="25" t="e">
        <f ca="1"/>
        <v>#N/A</v>
      </c>
      <c r="Y71" s="25" t="e">
        <f ca="1"/>
        <v>#N/A</v>
      </c>
      <c r="Z71" s="25" t="e">
        <f ca="1"/>
        <v>#N/A</v>
      </c>
      <c r="AA71" s="25" t="e">
        <f ca="1"/>
        <v>#N/A</v>
      </c>
      <c r="AB71" s="25" t="e">
        <f ca="1"/>
        <v>#N/A</v>
      </c>
      <c r="AC71" s="25" t="e">
        <f ca="1"/>
        <v>#N/A</v>
      </c>
      <c r="AD71" s="25" t="e">
        <f ca="1"/>
        <v>#N/A</v>
      </c>
      <c r="AE71" s="25" t="e">
        <f ca="1"/>
        <v>#N/A</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TEXT(X_Cell_Site_StartDate,"mmmm")</f>
        <v>NO - Not in leaching zone</v>
      </c>
      <c r="V76" s="25" t="e" cm="1">
        <f t="array" aca="1" ref="V76" ca="1">EntericMethane_PastureBeef_Equations.VEERG_3_2_1_1__3_FeedIntakeForGrazingBeef(V44,V60,X28)</f>
        <v>#N/A</v>
      </c>
      <c r="W76" s="25" t="e" cm="1">
        <f t="array" aca="1" ref="W76" ca="1">EntericMethane_PastureBeef_Equations.VEERG_3_2_1_1__3_FeedIntakeForGrazingBeef(W44,W60,Y28)</f>
        <v>#N/A</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e">
        <f>TEXT(EDATE(X_Cell_Site_StartDate,1), "mmmm")</f>
        <v>#VALUE!</v>
      </c>
      <c r="V77" s="25" t="e" cm="1">
        <f t="array" aca="1" ref="V77" ca="1">EntericMethane_PastureBeef_Equations.VEERG_3_2_1_1__3_FeedIntakeForGrazingBeef(V45,V61,X29)</f>
        <v>#N/A</v>
      </c>
      <c r="W77" s="25" t="e" cm="1">
        <f t="array" aca="1" ref="W77" ca="1">EntericMethane_PastureBeef_Equations.VEERG_3_2_1_1__3_FeedIntakeForGrazingBeef(W45,W61,Y29)</f>
        <v>#N/A</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TEXT(EDATE(X_Cell_Site_StartDate,2), "mmmm")</f>
        <v>#VALUE!</v>
      </c>
      <c r="V78" s="25" t="e" cm="1">
        <f t="array" aca="1" ref="V78" ca="1">EntericMethane_PastureBeef_Equations.VEERG_3_2_1_1__3_FeedIntakeForGrazingBeef(V46,V62,X30)</f>
        <v>#N/A</v>
      </c>
      <c r="W78" s="25" t="e" cm="1">
        <f t="array" aca="1" ref="W78" ca="1">EntericMethane_PastureBeef_Equations.VEERG_3_2_1_1__3_FeedIntakeForGrazingBeef(W46,W62,Y30)</f>
        <v>#N/A</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6" t="str">
        <f t="shared" si="2"/>
        <v>kg DM/head/day</v>
      </c>
      <c r="AG78" s="26"/>
      <c r="AH78" s="26"/>
    </row>
    <row r="79" spans="3:34" ht="20.100000000000001" customHeight="1" x14ac:dyDescent="0.25">
      <c r="U79" s="25" t="e">
        <f>TEXT(EDATE(X_Cell_Site_StartDate,3), "mmmm")</f>
        <v>#VALUE!</v>
      </c>
      <c r="V79" s="25" t="e" cm="1">
        <f t="array" aca="1" ref="V79" ca="1">EntericMethane_PastureBeef_Equations.VEERG_3_2_1_1__3_FeedIntakeForGrazingBeef(V47,V63,X31)</f>
        <v>#N/A</v>
      </c>
      <c r="W79" s="25" t="e" cm="1">
        <f t="array" aca="1" ref="W79" ca="1">EntericMethane_PastureBeef_Equations.VEERG_3_2_1_1__3_FeedIntakeForGrazingBeef(W47,W63,Y31)</f>
        <v>#N/A</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TEXT(EDATE(X_Cell_Site_StartDate,4), "mmmm")</f>
        <v>#VALUE!</v>
      </c>
      <c r="V80" s="25" t="e" cm="1">
        <f t="array" aca="1" ref="V80" ca="1">EntericMethane_PastureBeef_Equations.VEERG_3_2_1_1__3_FeedIntakeForGrazingBeef(V48,V64,X32)</f>
        <v>#N/A</v>
      </c>
      <c r="W80" s="25" t="e" cm="1">
        <f t="array" aca="1" ref="W80" ca="1">EntericMethane_PastureBeef_Equations.VEERG_3_2_1_1__3_FeedIntakeForGrazingBeef(W48,W64,Y32)</f>
        <v>#N/A</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6" t="str">
        <f t="shared" si="2"/>
        <v>kg DM/head/day</v>
      </c>
    </row>
    <row r="81" spans="3:35" ht="20.100000000000001" customHeight="1" x14ac:dyDescent="0.25">
      <c r="U81" s="25" t="e">
        <f>TEXT(EDATE(X_Cell_Site_StartDate,5), "mmmm")</f>
        <v>#VALUE!</v>
      </c>
      <c r="V81" s="25" t="e" cm="1">
        <f t="array" aca="1" ref="V81" ca="1">EntericMethane_PastureBeef_Equations.VEERG_3_2_1_1__3_FeedIntakeForGrazingBeef(V49,V65,X33)</f>
        <v>#N/A</v>
      </c>
      <c r="W81" s="25" t="e" cm="1">
        <f t="array" aca="1" ref="W81" ca="1">EntericMethane_PastureBeef_Equations.VEERG_3_2_1_1__3_FeedIntakeForGrazingBeef(W49,W65,Y33)</f>
        <v>#N/A</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6" t="str">
        <f t="shared" si="2"/>
        <v>kg DM/head/day</v>
      </c>
    </row>
    <row r="82" spans="3:35" ht="20.100000000000001" customHeight="1" x14ac:dyDescent="0.25">
      <c r="D82" s="114" t="s">
        <v>283</v>
      </c>
      <c r="U82" s="25" t="e">
        <f>TEXT(EDATE(X_Cell_Site_StartDate,6), "mmmm")</f>
        <v>#VALUE!</v>
      </c>
      <c r="V82" s="25" t="e" cm="1">
        <f t="array" aca="1" ref="V82" ca="1">EntericMethane_PastureBeef_Equations.VEERG_3_2_1_1__3_FeedIntakeForGrazingBeef(V50,V66,X34)</f>
        <v>#N/A</v>
      </c>
      <c r="W82" s="25" t="e" cm="1">
        <f t="array" aca="1" ref="W82" ca="1">EntericMethane_PastureBeef_Equations.VEERG_3_2_1_1__3_FeedIntakeForGrazingBeef(W50,W66,Y34)</f>
        <v>#N/A</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6" t="str">
        <f t="shared" si="2"/>
        <v>kg DM/head/day</v>
      </c>
    </row>
    <row r="83" spans="3:35" ht="20.100000000000001" customHeight="1" x14ac:dyDescent="0.25">
      <c r="D83" s="115" t="s">
        <v>284</v>
      </c>
      <c r="U83" s="25" t="e">
        <f>TEXT(EDATE(X_Cell_Site_StartDate,7), "mmmm")</f>
        <v>#VALUE!</v>
      </c>
      <c r="V83" s="25" t="e" cm="1">
        <f t="array" aca="1" ref="V83" ca="1">EntericMethane_PastureBeef_Equations.VEERG_3_2_1_1__3_FeedIntakeForGrazingBeef(V51,V67,X35)</f>
        <v>#N/A</v>
      </c>
      <c r="W83" s="25" t="e" cm="1">
        <f t="array" aca="1" ref="W83" ca="1">EntericMethane_PastureBeef_Equations.VEERG_3_2_1_1__3_FeedIntakeForGrazingBeef(W51,W67,Y35)</f>
        <v>#N/A</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e">
        <f>TEXT(EDATE(X_Cell_Site_StartDate,8), "mmmm")</f>
        <v>#VALUE!</v>
      </c>
      <c r="V84" s="25" t="e" cm="1">
        <f t="array" aca="1" ref="V84" ca="1">EntericMethane_PastureBeef_Equations.VEERG_3_2_1_1__3_FeedIntakeForGrazingBeef(V52,V68,X36)</f>
        <v>#N/A</v>
      </c>
      <c r="W84" s="25" t="e" cm="1">
        <f t="array" aca="1" ref="W84" ca="1">EntericMethane_PastureBeef_Equations.VEERG_3_2_1_1__3_FeedIntakeForGrazingBeef(W52,W68,Y36)</f>
        <v>#N/A</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6" t="str">
        <f t="shared" si="2"/>
        <v>kg DM/head/day</v>
      </c>
      <c r="AG84" s="26"/>
      <c r="AH84" s="26"/>
    </row>
    <row r="85" spans="3:35" ht="20.100000000000001" customHeight="1" x14ac:dyDescent="0.25">
      <c r="D85" s="25" t="s">
        <v>200</v>
      </c>
      <c r="E85" s="25" t="e" cm="1">
        <f t="array" aca="1" ref="E85" ca="1">EntericMethane_PastureBeef_Equations.VEERG_3_2_1_1__2_DailyEntericMethaneProduction(E64)</f>
        <v>#N/A</v>
      </c>
      <c r="F85" s="25" t="e" cm="1">
        <f t="array" aca="1" ref="F85" ca="1">EntericMethane_PastureBeef_Equations.VEERG_3_2_1_1__2_DailyEntericMethaneProduction(F64)</f>
        <v>#N/A</v>
      </c>
      <c r="G85" s="25" t="e" cm="1">
        <f t="array" aca="1" ref="G85" ca="1">EntericMethane_PastureBeef_Equations.VEERG_3_2_1_1__2_DailyEntericMethaneProduction(G64)</f>
        <v>#N/A</v>
      </c>
      <c r="H85" s="25" t="e" cm="1">
        <f t="array" aca="1" ref="H85" ca="1">EntericMethane_PastureBeef_Equations.VEERG_3_2_1_1__2_DailyEntericMethaneProduction(H64)</f>
        <v>#N/A</v>
      </c>
      <c r="I85" s="25" t="e" cm="1">
        <f t="array" aca="1" ref="I85" ca="1">EntericMethane_PastureBeef_Equations.VEERG_3_2_1_1__2_DailyEntericMethaneProduction(I64)</f>
        <v>#N/A</v>
      </c>
      <c r="J85" s="25" t="e" cm="1">
        <f t="array" aca="1" ref="J85" ca="1">EntericMethane_PastureBeef_Equations.VEERG_3_2_1_1__2_DailyEntericMethaneProduction(J64)</f>
        <v>#N/A</v>
      </c>
      <c r="K85" s="25" t="e" cm="1">
        <f t="array" aca="1" ref="K85" ca="1">EntericMethane_PastureBeef_Equations.VEERG_3_2_1_1__2_DailyEntericMethaneProduction(K64)</f>
        <v>#N/A</v>
      </c>
      <c r="L85" s="25" t="e" cm="1">
        <f t="array" aca="1" ref="L85" ca="1">EntericMethane_PastureBeef_Equations.VEERG_3_2_1_1__2_DailyEntericMethaneProduction(L64)</f>
        <v>#N/A</v>
      </c>
      <c r="M85" s="25" t="e" cm="1">
        <f t="array" aca="1" ref="M85" ca="1">EntericMethane_PastureBeef_Equations.VEERG_3_2_1_1__2_DailyEntericMethaneProduction(M64)</f>
        <v>#N/A</v>
      </c>
      <c r="N85" s="25" t="e" cm="1">
        <f t="array" aca="1" ref="N85" ca="1">EntericMethane_PastureBeef_Equations.VEERG_3_2_1_1__2_DailyEntericMethaneProduction(N64)</f>
        <v>#N/A</v>
      </c>
      <c r="O85" s="26" t="str">
        <f>G80</f>
        <v>kg DM/head/day</v>
      </c>
      <c r="P85" s="26"/>
      <c r="Q85" s="26"/>
      <c r="U85" s="25" t="e">
        <f>TEXT(EDATE(X_Cell_Site_StartDate,9), "mmmm")</f>
        <v>#VALUE!</v>
      </c>
      <c r="V85" s="25" t="e" cm="1">
        <f t="array" aca="1" ref="V85" ca="1">EntericMethane_PastureBeef_Equations.VEERG_3_2_1_1__3_FeedIntakeForGrazingBeef(V53,V69,X37)</f>
        <v>#N/A</v>
      </c>
      <c r="W85" s="25" t="e" cm="1">
        <f t="array" aca="1" ref="W85" ca="1">EntericMethane_PastureBeef_Equations.VEERG_3_2_1_1__3_FeedIntakeForGrazingBeef(W53,W69,Y37)</f>
        <v>#N/A</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6" t="str">
        <f t="shared" si="2"/>
        <v>kg DM/head/day</v>
      </c>
      <c r="AG85" s="26"/>
      <c r="AH85" s="26"/>
    </row>
    <row r="86" spans="3:35" ht="20.100000000000001" customHeight="1" x14ac:dyDescent="0.25">
      <c r="D86" s="25" t="s">
        <v>201</v>
      </c>
      <c r="E86" s="25" t="e" cm="1">
        <f t="array" aca="1" ref="E86" ca="1">EntericMethane_PastureBeef_Equations.VEERG_3_2_1_1__2_DailyEntericMethaneProduction(E65)</f>
        <v>#N/A</v>
      </c>
      <c r="F86" s="25" t="e" cm="1">
        <f t="array" aca="1" ref="F86" ca="1">EntericMethane_PastureBeef_Equations.VEERG_3_2_1_1__2_DailyEntericMethaneProduction(F65)</f>
        <v>#N/A</v>
      </c>
      <c r="G86" s="25" t="e" cm="1">
        <f t="array" aca="1" ref="G86" ca="1">EntericMethane_PastureBeef_Equations.VEERG_3_2_1_1__2_DailyEntericMethaneProduction(G65)</f>
        <v>#N/A</v>
      </c>
      <c r="H86" s="25" t="e" cm="1">
        <f t="array" aca="1" ref="H86" ca="1">EntericMethane_PastureBeef_Equations.VEERG_3_2_1_1__2_DailyEntericMethaneProduction(H65)</f>
        <v>#N/A</v>
      </c>
      <c r="I86" s="25" t="e" cm="1">
        <f t="array" aca="1" ref="I86" ca="1">EntericMethane_PastureBeef_Equations.VEERG_3_2_1_1__2_DailyEntericMethaneProduction(I65)</f>
        <v>#N/A</v>
      </c>
      <c r="J86" s="25" t="e" cm="1">
        <f t="array" aca="1" ref="J86" ca="1">EntericMethane_PastureBeef_Equations.VEERG_3_2_1_1__2_DailyEntericMethaneProduction(J65)</f>
        <v>#N/A</v>
      </c>
      <c r="K86" s="25" t="e" cm="1">
        <f t="array" aca="1" ref="K86" ca="1">EntericMethane_PastureBeef_Equations.VEERG_3_2_1_1__2_DailyEntericMethaneProduction(K65)</f>
        <v>#N/A</v>
      </c>
      <c r="L86" s="25" t="e" cm="1">
        <f t="array" aca="1" ref="L86" ca="1">EntericMethane_PastureBeef_Equations.VEERG_3_2_1_1__2_DailyEntericMethaneProduction(L65)</f>
        <v>#N/A</v>
      </c>
      <c r="M86" s="25" t="e" cm="1">
        <f t="array" aca="1" ref="M86" ca="1">EntericMethane_PastureBeef_Equations.VEERG_3_2_1_1__2_DailyEntericMethaneProduction(M65)</f>
        <v>#N/A</v>
      </c>
      <c r="N86" s="25" t="e" cm="1">
        <f t="array" aca="1" ref="N86" ca="1">EntericMethane_PastureBeef_Equations.VEERG_3_2_1_1__2_DailyEntericMethaneProduction(N65)</f>
        <v>#N/A</v>
      </c>
      <c r="O86" s="26"/>
      <c r="P86" s="26"/>
      <c r="Q86" s="26"/>
      <c r="U86" s="25" t="e">
        <f>TEXT(EDATE(X_Cell_Site_StartDate,10), "mmmm")</f>
        <v>#VALUE!</v>
      </c>
      <c r="V86" s="25" t="e" cm="1">
        <f t="array" aca="1" ref="V86" ca="1">EntericMethane_PastureBeef_Equations.VEERG_3_2_1_1__3_FeedIntakeForGrazingBeef(V54,V70,X38)</f>
        <v>#N/A</v>
      </c>
      <c r="W86" s="25" t="e" cm="1">
        <f t="array" aca="1" ref="W86" ca="1">EntericMethane_PastureBeef_Equations.VEERG_3_2_1_1__3_FeedIntakeForGrazingBeef(W54,W70,Y38)</f>
        <v>#N/A</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6" t="str">
        <f t="shared" si="2"/>
        <v>kg DM/head/day</v>
      </c>
      <c r="AG86" s="26"/>
      <c r="AH86" s="26"/>
    </row>
    <row r="87" spans="3:35" ht="20.100000000000001" customHeight="1" x14ac:dyDescent="0.25">
      <c r="D87" s="25" t="s">
        <v>202</v>
      </c>
      <c r="E87" s="25" t="e" cm="1">
        <f t="array" aca="1" ref="E87" ca="1">EntericMethane_PastureBeef_Equations.VEERG_3_2_1_1__2_DailyEntericMethaneProduction(E66)</f>
        <v>#N/A</v>
      </c>
      <c r="F87" s="25" t="e" cm="1">
        <f t="array" aca="1" ref="F87" ca="1">EntericMethane_PastureBeef_Equations.VEERG_3_2_1_1__2_DailyEntericMethaneProduction(F66)</f>
        <v>#N/A</v>
      </c>
      <c r="G87" s="25" t="e" cm="1">
        <f t="array" aca="1" ref="G87" ca="1">EntericMethane_PastureBeef_Equations.VEERG_3_2_1_1__2_DailyEntericMethaneProduction(G66)</f>
        <v>#N/A</v>
      </c>
      <c r="H87" s="25" t="e" cm="1">
        <f t="array" aca="1" ref="H87" ca="1">EntericMethane_PastureBeef_Equations.VEERG_3_2_1_1__2_DailyEntericMethaneProduction(H66)</f>
        <v>#N/A</v>
      </c>
      <c r="I87" s="25" t="e" cm="1">
        <f t="array" aca="1" ref="I87" ca="1">EntericMethane_PastureBeef_Equations.VEERG_3_2_1_1__2_DailyEntericMethaneProduction(I66)</f>
        <v>#N/A</v>
      </c>
      <c r="J87" s="25" t="e" cm="1">
        <f t="array" aca="1" ref="J87" ca="1">EntericMethane_PastureBeef_Equations.VEERG_3_2_1_1__2_DailyEntericMethaneProduction(J66)</f>
        <v>#N/A</v>
      </c>
      <c r="K87" s="25" t="e" cm="1">
        <f t="array" aca="1" ref="K87" ca="1">EntericMethane_PastureBeef_Equations.VEERG_3_2_1_1__2_DailyEntericMethaneProduction(K66)</f>
        <v>#N/A</v>
      </c>
      <c r="L87" s="25" t="e" cm="1">
        <f t="array" aca="1" ref="L87" ca="1">EntericMethane_PastureBeef_Equations.VEERG_3_2_1_1__2_DailyEntericMethaneProduction(L66)</f>
        <v>#N/A</v>
      </c>
      <c r="M87" s="25" t="e" cm="1">
        <f t="array" aca="1" ref="M87" ca="1">EntericMethane_PastureBeef_Equations.VEERG_3_2_1_1__2_DailyEntericMethaneProduction(M66)</f>
        <v>#N/A</v>
      </c>
      <c r="N87" s="25" t="e" cm="1">
        <f t="array" aca="1" ref="N87" ca="1">EntericMethane_PastureBeef_Equations.VEERG_3_2_1_1__2_DailyEntericMethaneProduction(N66)</f>
        <v>#N/A</v>
      </c>
      <c r="O87" s="26"/>
      <c r="P87" s="26"/>
      <c r="Q87" s="26"/>
      <c r="U87" s="25" t="e">
        <f>TEXT(EDATE(X_Cell_Site_StartDate,11), "mmmm")</f>
        <v>#VALUE!</v>
      </c>
      <c r="V87" s="25" t="e" cm="1">
        <f t="array" aca="1" ref="V87" ca="1">EntericMethane_PastureBeef_Equations.VEERG_3_2_1_1__3_FeedIntakeForGrazingBeef(V55,V71,X39)</f>
        <v>#N/A</v>
      </c>
      <c r="W87" s="25" t="e" cm="1">
        <f t="array" aca="1" ref="W87" ca="1">EntericMethane_PastureBeef_Equations.VEERG_3_2_1_1__3_FeedIntakeForGrazingBeef(W55,W71,Y39)</f>
        <v>#N/A</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6" t="str">
        <f t="shared" si="2"/>
        <v>kg DM/head/day</v>
      </c>
      <c r="AG87" s="26"/>
      <c r="AH87" s="26"/>
    </row>
    <row r="88" spans="3:35" ht="20.100000000000001" customHeight="1" x14ac:dyDescent="0.25">
      <c r="D88" s="25" t="s">
        <v>203</v>
      </c>
      <c r="E88" s="25" t="e" cm="1">
        <f t="array" aca="1" ref="E88" ca="1">EntericMethane_PastureBeef_Equations.VEERG_3_2_1_1__2_DailyEntericMethaneProduction(E67)</f>
        <v>#N/A</v>
      </c>
      <c r="F88" s="25" t="e" cm="1">
        <f t="array" aca="1" ref="F88" ca="1">EntericMethane_PastureBeef_Equations.VEERG_3_2_1_1__2_DailyEntericMethaneProduction(F67)</f>
        <v>#N/A</v>
      </c>
      <c r="G88" s="25" t="e" cm="1">
        <f t="array" aca="1" ref="G88" ca="1">EntericMethane_PastureBeef_Equations.VEERG_3_2_1_1__2_DailyEntericMethaneProduction(G67)</f>
        <v>#N/A</v>
      </c>
      <c r="H88" s="25" t="e" cm="1">
        <f t="array" aca="1" ref="H88" ca="1">EntericMethane_PastureBeef_Equations.VEERG_3_2_1_1__2_DailyEntericMethaneProduction(H67)</f>
        <v>#N/A</v>
      </c>
      <c r="I88" s="25" t="e" cm="1">
        <f t="array" aca="1" ref="I88" ca="1">EntericMethane_PastureBeef_Equations.VEERG_3_2_1_1__2_DailyEntericMethaneProduction(I67)</f>
        <v>#N/A</v>
      </c>
      <c r="J88" s="25" t="e" cm="1">
        <f t="array" aca="1" ref="J88" ca="1">EntericMethane_PastureBeef_Equations.VEERG_3_2_1_1__2_DailyEntericMethaneProduction(J67)</f>
        <v>#N/A</v>
      </c>
      <c r="K88" s="25" t="e" cm="1">
        <f t="array" aca="1" ref="K88" ca="1">EntericMethane_PastureBeef_Equations.VEERG_3_2_1_1__2_DailyEntericMethaneProduction(K67)</f>
        <v>#N/A</v>
      </c>
      <c r="L88" s="25" t="e" cm="1">
        <f t="array" aca="1" ref="L88" ca="1">EntericMethane_PastureBeef_Equations.VEERG_3_2_1_1__2_DailyEntericMethaneProduction(L67)</f>
        <v>#N/A</v>
      </c>
      <c r="M88" s="25" t="e" cm="1">
        <f t="array" aca="1" ref="M88" ca="1">EntericMethane_PastureBeef_Equations.VEERG_3_2_1_1__2_DailyEntericMethaneProduction(M67)</f>
        <v>#N/A</v>
      </c>
      <c r="N88" s="25" t="e" cm="1">
        <f t="array" aca="1" ref="N88" ca="1">EntericMethane_PastureBeef_Equations.VEERG_3_2_1_1__2_DailyEntericMethaneProduction(N67)</f>
        <v>#N/A</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TEXT(X_Cell_Site_StartDate,"mmmm")</f>
        <v>NO - Not in leaching zone</v>
      </c>
      <c r="V97" s="25" t="e" cm="1">
        <f t="array" aca="1" ref="V97" ca="1">EntericMethane_PastureBeef_Equations.VEERG_3_2_1_1__2_DailyEntericMethaneProduction(V76)</f>
        <v>#N/A</v>
      </c>
      <c r="W97" s="25" t="e" cm="1">
        <f t="array" aca="1" ref="W97" ca="1">EntericMethane_PastureBeef_Equations.VEERG_3_2_1_1__2_DailyEntericMethaneProduction(W76)</f>
        <v>#N/A</v>
      </c>
      <c r="X97" s="25" t="e" cm="1">
        <f t="array" aca="1" ref="X97" ca="1">EntericMethane_PastureBeef_Equations.VEERG_3_2_1_1__2_DailyEntericMethaneProduction(X76)</f>
        <v>#N/A</v>
      </c>
      <c r="Y97" s="25" t="e" cm="1">
        <f t="array" aca="1" ref="Y97" ca="1">EntericMethane_PastureBeef_Equations.VEERG_3_2_1_1__2_DailyEntericMethaneProduction(Y76)</f>
        <v>#N/A</v>
      </c>
      <c r="Z97" s="25" t="e" cm="1">
        <f t="array" aca="1" ref="Z97" ca="1">EntericMethane_PastureBeef_Equations.VEERG_3_2_1_1__2_DailyEntericMethaneProduction(Z76)</f>
        <v>#N/A</v>
      </c>
      <c r="AA97" s="25" t="e" cm="1">
        <f t="array" aca="1" ref="AA97" ca="1">EntericMethane_PastureBeef_Equations.VEERG_3_2_1_1__2_DailyEntericMethaneProduction(AA76)</f>
        <v>#N/A</v>
      </c>
      <c r="AB97" s="25" t="e" cm="1">
        <f t="array" aca="1" ref="AB97" ca="1">EntericMethane_PastureBeef_Equations.VEERG_3_2_1_1__2_DailyEntericMethaneProduction(AB76)</f>
        <v>#N/A</v>
      </c>
      <c r="AC97" s="25" t="e" cm="1">
        <f t="array" aca="1" ref="AC97" ca="1">EntericMethane_PastureBeef_Equations.VEERG_3_2_1_1__2_DailyEntericMethaneProduction(AC76)</f>
        <v>#N/A</v>
      </c>
      <c r="AD97" s="25" t="e" cm="1">
        <f t="array" aca="1" ref="AD97" ca="1">EntericMethane_PastureBeef_Equations.VEERG_3_2_1_1__2_DailyEntericMethaneProduction(AD76)</f>
        <v>#N/A</v>
      </c>
      <c r="AE97" s="25" t="e" cm="1">
        <f t="array" aca="1" ref="AE97" ca="1">EntericMethane_PastureBeef_Equations.VEERG_3_2_1_1__2_DailyEntericMethaneProduction(AE76)</f>
        <v>#N/A</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TEXT(EDATE(X_Cell_Site_StartDate,1), "mmmm")</f>
        <v>#VALUE!</v>
      </c>
      <c r="V98" s="25" t="e" cm="1">
        <f t="array" aca="1" ref="V98" ca="1">EntericMethane_PastureBeef_Equations.VEERG_3_2_1_1__2_DailyEntericMethaneProduction(V77)</f>
        <v>#N/A</v>
      </c>
      <c r="W98" s="25" t="e" cm="1">
        <f t="array" aca="1" ref="W98" ca="1">EntericMethane_PastureBeef_Equations.VEERG_3_2_1_1__2_DailyEntericMethaneProduction(W77)</f>
        <v>#N/A</v>
      </c>
      <c r="X98" s="25" t="e" cm="1">
        <f t="array" aca="1" ref="X98" ca="1">EntericMethane_PastureBeef_Equations.VEERG_3_2_1_1__2_DailyEntericMethaneProduction(X77)</f>
        <v>#N/A</v>
      </c>
      <c r="Y98" s="25" t="e" cm="1">
        <f t="array" aca="1" ref="Y98" ca="1">EntericMethane_PastureBeef_Equations.VEERG_3_2_1_1__2_DailyEntericMethaneProduction(Y77)</f>
        <v>#N/A</v>
      </c>
      <c r="Z98" s="25" t="e" cm="1">
        <f t="array" aca="1" ref="Z98" ca="1">EntericMethane_PastureBeef_Equations.VEERG_3_2_1_1__2_DailyEntericMethaneProduction(Z77)</f>
        <v>#N/A</v>
      </c>
      <c r="AA98" s="25" t="e" cm="1">
        <f t="array" aca="1" ref="AA98" ca="1">EntericMethane_PastureBeef_Equations.VEERG_3_2_1_1__2_DailyEntericMethaneProduction(AA77)</f>
        <v>#N/A</v>
      </c>
      <c r="AB98" s="25" t="e" cm="1">
        <f t="array" aca="1" ref="AB98" ca="1">EntericMethane_PastureBeef_Equations.VEERG_3_2_1_1__2_DailyEntericMethaneProduction(AB77)</f>
        <v>#N/A</v>
      </c>
      <c r="AC98" s="25" t="e" cm="1">
        <f t="array" aca="1" ref="AC98" ca="1">EntericMethane_PastureBeef_Equations.VEERG_3_2_1_1__2_DailyEntericMethaneProduction(AC77)</f>
        <v>#N/A</v>
      </c>
      <c r="AD98" s="25" t="e" cm="1">
        <f t="array" aca="1" ref="AD98" ca="1">EntericMethane_PastureBeef_Equations.VEERG_3_2_1_1__2_DailyEntericMethaneProduction(AD77)</f>
        <v>#N/A</v>
      </c>
      <c r="AE98" s="25" t="e" cm="1">
        <f t="array" aca="1" ref="AE98" ca="1">EntericMethane_PastureBeef_Equations.VEERG_3_2_1_1__2_DailyEntericMethaneProduction(AE77)</f>
        <v>#N/A</v>
      </c>
      <c r="AF98" s="26"/>
    </row>
    <row r="99" spans="4:35" ht="20.100000000000001" customHeight="1" x14ac:dyDescent="0.25">
      <c r="U99" s="25" t="e">
        <f>TEXT(EDATE(X_Cell_Site_StartDate,2), "mmmm")</f>
        <v>#VALUE!</v>
      </c>
      <c r="V99" s="25" t="e" cm="1">
        <f t="array" aca="1" ref="V99" ca="1">EntericMethane_PastureBeef_Equations.VEERG_3_2_1_1__2_DailyEntericMethaneProduction(V78)</f>
        <v>#N/A</v>
      </c>
      <c r="W99" s="25" t="e" cm="1">
        <f t="array" aca="1" ref="W99" ca="1">EntericMethane_PastureBeef_Equations.VEERG_3_2_1_1__2_DailyEntericMethaneProduction(W78)</f>
        <v>#N/A</v>
      </c>
      <c r="X99" s="25" t="e" cm="1">
        <f t="array" aca="1" ref="X99" ca="1">EntericMethane_PastureBeef_Equations.VEERG_3_2_1_1__2_DailyEntericMethaneProduction(X78)</f>
        <v>#N/A</v>
      </c>
      <c r="Y99" s="25" t="e" cm="1">
        <f t="array" aca="1" ref="Y99" ca="1">EntericMethane_PastureBeef_Equations.VEERG_3_2_1_1__2_DailyEntericMethaneProduction(Y78)</f>
        <v>#N/A</v>
      </c>
      <c r="Z99" s="25" t="e" cm="1">
        <f t="array" aca="1" ref="Z99" ca="1">EntericMethane_PastureBeef_Equations.VEERG_3_2_1_1__2_DailyEntericMethaneProduction(Z78)</f>
        <v>#N/A</v>
      </c>
      <c r="AA99" s="25" t="e" cm="1">
        <f t="array" aca="1" ref="AA99" ca="1">EntericMethane_PastureBeef_Equations.VEERG_3_2_1_1__2_DailyEntericMethaneProduction(AA78)</f>
        <v>#N/A</v>
      </c>
      <c r="AB99" s="25" t="e" cm="1">
        <f t="array" aca="1" ref="AB99" ca="1">EntericMethane_PastureBeef_Equations.VEERG_3_2_1_1__2_DailyEntericMethaneProduction(AB78)</f>
        <v>#N/A</v>
      </c>
      <c r="AC99" s="25" t="e" cm="1">
        <f t="array" aca="1" ref="AC99" ca="1">EntericMethane_PastureBeef_Equations.VEERG_3_2_1_1__2_DailyEntericMethaneProduction(AC78)</f>
        <v>#N/A</v>
      </c>
      <c r="AD99" s="25" t="e" cm="1">
        <f t="array" aca="1" ref="AD99" ca="1">EntericMethane_PastureBeef_Equations.VEERG_3_2_1_1__2_DailyEntericMethaneProduction(AD78)</f>
        <v>#N/A</v>
      </c>
      <c r="AE99" s="25" t="e" cm="1">
        <f t="array" aca="1" ref="AE99" ca="1">EntericMethane_PastureBeef_Equations.VEERG_3_2_1_1__2_DailyEntericMethaneProduction(AE78)</f>
        <v>#N/A</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TEXT(EDATE(X_Cell_Site_StartDate,3), "mmmm")</f>
        <v>#VALUE!</v>
      </c>
      <c r="V100" s="25" t="e" cm="1">
        <f t="array" aca="1" ref="V100" ca="1">EntericMethane_PastureBeef_Equations.VEERG_3_2_1_1__2_DailyEntericMethaneProduction(V79)</f>
        <v>#N/A</v>
      </c>
      <c r="W100" s="25" t="e" cm="1">
        <f t="array" aca="1" ref="W100" ca="1">EntericMethane_PastureBeef_Equations.VEERG_3_2_1_1__2_DailyEntericMethaneProduction(W79)</f>
        <v>#N/A</v>
      </c>
      <c r="X100" s="25" t="e" cm="1">
        <f t="array" aca="1" ref="X100" ca="1">EntericMethane_PastureBeef_Equations.VEERG_3_2_1_1__2_DailyEntericMethaneProduction(X79)</f>
        <v>#N/A</v>
      </c>
      <c r="Y100" s="25" t="e" cm="1">
        <f t="array" aca="1" ref="Y100" ca="1">EntericMethane_PastureBeef_Equations.VEERG_3_2_1_1__2_DailyEntericMethaneProduction(Y79)</f>
        <v>#N/A</v>
      </c>
      <c r="Z100" s="25" t="e" cm="1">
        <f t="array" aca="1" ref="Z100" ca="1">EntericMethane_PastureBeef_Equations.VEERG_3_2_1_1__2_DailyEntericMethaneProduction(Z79)</f>
        <v>#N/A</v>
      </c>
      <c r="AA100" s="25" t="e" cm="1">
        <f t="array" aca="1" ref="AA100" ca="1">EntericMethane_PastureBeef_Equations.VEERG_3_2_1_1__2_DailyEntericMethaneProduction(AA79)</f>
        <v>#N/A</v>
      </c>
      <c r="AB100" s="25" t="e" cm="1">
        <f t="array" aca="1" ref="AB100" ca="1">EntericMethane_PastureBeef_Equations.VEERG_3_2_1_1__2_DailyEntericMethaneProduction(AB79)</f>
        <v>#N/A</v>
      </c>
      <c r="AC100" s="25" t="e" cm="1">
        <f t="array" aca="1" ref="AC100" ca="1">EntericMethane_PastureBeef_Equations.VEERG_3_2_1_1__2_DailyEntericMethaneProduction(AC79)</f>
        <v>#N/A</v>
      </c>
      <c r="AD100" s="25" t="e" cm="1">
        <f t="array" aca="1" ref="AD100" ca="1">EntericMethane_PastureBeef_Equations.VEERG_3_2_1_1__2_DailyEntericMethaneProduction(AD79)</f>
        <v>#N/A</v>
      </c>
      <c r="AE100" s="25" t="e" cm="1">
        <f t="array" aca="1" ref="AE100" ca="1">EntericMethane_PastureBeef_Equations.VEERG_3_2_1_1__2_DailyEntericMethaneProduction(AE79)</f>
        <v>#N/A</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TEXT(EDATE(X_Cell_Site_StartDate,4), "mmmm")</f>
        <v>#VALUE!</v>
      </c>
      <c r="V101" s="25" t="e" cm="1">
        <f t="array" aca="1" ref="V101" ca="1">EntericMethane_PastureBeef_Equations.VEERG_3_2_1_1__2_DailyEntericMethaneProduction(V80)</f>
        <v>#N/A</v>
      </c>
      <c r="W101" s="25" t="e" cm="1">
        <f t="array" aca="1" ref="W101" ca="1">EntericMethane_PastureBeef_Equations.VEERG_3_2_1_1__2_DailyEntericMethaneProduction(W80)</f>
        <v>#N/A</v>
      </c>
      <c r="X101" s="25" t="e" cm="1">
        <f t="array" aca="1" ref="X101" ca="1">EntericMethane_PastureBeef_Equations.VEERG_3_2_1_1__2_DailyEntericMethaneProduction(X80)</f>
        <v>#N/A</v>
      </c>
      <c r="Y101" s="25" t="e" cm="1">
        <f t="array" aca="1" ref="Y101" ca="1">EntericMethane_PastureBeef_Equations.VEERG_3_2_1_1__2_DailyEntericMethaneProduction(Y80)</f>
        <v>#N/A</v>
      </c>
      <c r="Z101" s="25" t="e" cm="1">
        <f t="array" aca="1" ref="Z101" ca="1">EntericMethane_PastureBeef_Equations.VEERG_3_2_1_1__2_DailyEntericMethaneProduction(Z80)</f>
        <v>#N/A</v>
      </c>
      <c r="AA101" s="25" t="e" cm="1">
        <f t="array" aca="1" ref="AA101" ca="1">EntericMethane_PastureBeef_Equations.VEERG_3_2_1_1__2_DailyEntericMethaneProduction(AA80)</f>
        <v>#N/A</v>
      </c>
      <c r="AB101" s="25" t="e" cm="1">
        <f t="array" aca="1" ref="AB101" ca="1">EntericMethane_PastureBeef_Equations.VEERG_3_2_1_1__2_DailyEntericMethaneProduction(AB80)</f>
        <v>#N/A</v>
      </c>
      <c r="AC101" s="25" t="e" cm="1">
        <f t="array" aca="1" ref="AC101" ca="1">EntericMethane_PastureBeef_Equations.VEERG_3_2_1_1__2_DailyEntericMethaneProduction(AC80)</f>
        <v>#N/A</v>
      </c>
      <c r="AD101" s="25" t="e" cm="1">
        <f t="array" aca="1" ref="AD101" ca="1">EntericMethane_PastureBeef_Equations.VEERG_3_2_1_1__2_DailyEntericMethaneProduction(AD80)</f>
        <v>#N/A</v>
      </c>
      <c r="AE101" s="25" t="e" cm="1">
        <f t="array" aca="1" ref="AE101" ca="1">EntericMethane_PastureBeef_Equations.VEERG_3_2_1_1__2_DailyEntericMethaneProduction(AE80)</f>
        <v>#N/A</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TEXT(EDATE(X_Cell_Site_StartDate,5), "mmmm")</f>
        <v>#VALUE!</v>
      </c>
      <c r="V102" s="25" t="e" cm="1">
        <f t="array" aca="1" ref="V102" ca="1">EntericMethane_PastureBeef_Equations.VEERG_3_2_1_1__2_DailyEntericMethaneProduction(V81)</f>
        <v>#N/A</v>
      </c>
      <c r="W102" s="25" t="e" cm="1">
        <f t="array" aca="1" ref="W102" ca="1">EntericMethane_PastureBeef_Equations.VEERG_3_2_1_1__2_DailyEntericMethaneProduction(W81)</f>
        <v>#N/A</v>
      </c>
      <c r="X102" s="25" t="e" cm="1">
        <f t="array" aca="1" ref="X102" ca="1">EntericMethane_PastureBeef_Equations.VEERG_3_2_1_1__2_DailyEntericMethaneProduction(X81)</f>
        <v>#N/A</v>
      </c>
      <c r="Y102" s="25" t="e" cm="1">
        <f t="array" aca="1" ref="Y102" ca="1">EntericMethane_PastureBeef_Equations.VEERG_3_2_1_1__2_DailyEntericMethaneProduction(Y81)</f>
        <v>#N/A</v>
      </c>
      <c r="Z102" s="25" t="e" cm="1">
        <f t="array" aca="1" ref="Z102" ca="1">EntericMethane_PastureBeef_Equations.VEERG_3_2_1_1__2_DailyEntericMethaneProduction(Z81)</f>
        <v>#N/A</v>
      </c>
      <c r="AA102" s="25" t="e" cm="1">
        <f t="array" aca="1" ref="AA102" ca="1">EntericMethane_PastureBeef_Equations.VEERG_3_2_1_1__2_DailyEntericMethaneProduction(AA81)</f>
        <v>#N/A</v>
      </c>
      <c r="AB102" s="25" t="e" cm="1">
        <f t="array" aca="1" ref="AB102" ca="1">EntericMethane_PastureBeef_Equations.VEERG_3_2_1_1__2_DailyEntericMethaneProduction(AB81)</f>
        <v>#N/A</v>
      </c>
      <c r="AC102" s="25" t="e" cm="1">
        <f t="array" aca="1" ref="AC102" ca="1">EntericMethane_PastureBeef_Equations.VEERG_3_2_1_1__2_DailyEntericMethaneProduction(AC81)</f>
        <v>#N/A</v>
      </c>
      <c r="AD102" s="25" t="e" cm="1">
        <f t="array" aca="1" ref="AD102" ca="1">EntericMethane_PastureBeef_Equations.VEERG_3_2_1_1__2_DailyEntericMethaneProduction(AD81)</f>
        <v>#N/A</v>
      </c>
      <c r="AE102" s="25" t="e" cm="1">
        <f t="array" aca="1" ref="AE102" ca="1">EntericMethane_PastureBeef_Equations.VEERG_3_2_1_1__2_DailyEntericMethaneProduction(AE81)</f>
        <v>#N/A</v>
      </c>
      <c r="AF102" s="26"/>
    </row>
    <row r="103" spans="4:35" ht="20.100000000000001" customHeight="1" x14ac:dyDescent="0.25">
      <c r="U103" s="25" t="e">
        <f>TEXT(EDATE(X_Cell_Site_StartDate,6), "mmmm")</f>
        <v>#VALUE!</v>
      </c>
      <c r="V103" s="25" t="e" cm="1">
        <f t="array" aca="1" ref="V103" ca="1">EntericMethane_PastureBeef_Equations.VEERG_3_2_1_1__2_DailyEntericMethaneProduction(V82)</f>
        <v>#N/A</v>
      </c>
      <c r="W103" s="25" t="e" cm="1">
        <f t="array" aca="1" ref="W103" ca="1">EntericMethane_PastureBeef_Equations.VEERG_3_2_1_1__2_DailyEntericMethaneProduction(W82)</f>
        <v>#N/A</v>
      </c>
      <c r="X103" s="25" t="e" cm="1">
        <f t="array" aca="1" ref="X103" ca="1">EntericMethane_PastureBeef_Equations.VEERG_3_2_1_1__2_DailyEntericMethaneProduction(X82)</f>
        <v>#N/A</v>
      </c>
      <c r="Y103" s="25" t="e" cm="1">
        <f t="array" aca="1" ref="Y103" ca="1">EntericMethane_PastureBeef_Equations.VEERG_3_2_1_1__2_DailyEntericMethaneProduction(Y82)</f>
        <v>#N/A</v>
      </c>
      <c r="Z103" s="25" t="e" cm="1">
        <f t="array" aca="1" ref="Z103" ca="1">EntericMethane_PastureBeef_Equations.VEERG_3_2_1_1__2_DailyEntericMethaneProduction(Z82)</f>
        <v>#N/A</v>
      </c>
      <c r="AA103" s="25" t="e" cm="1">
        <f t="array" aca="1" ref="AA103" ca="1">EntericMethane_PastureBeef_Equations.VEERG_3_2_1_1__2_DailyEntericMethaneProduction(AA82)</f>
        <v>#N/A</v>
      </c>
      <c r="AB103" s="25" t="e" cm="1">
        <f t="array" aca="1" ref="AB103" ca="1">EntericMethane_PastureBeef_Equations.VEERG_3_2_1_1__2_DailyEntericMethaneProduction(AB82)</f>
        <v>#N/A</v>
      </c>
      <c r="AC103" s="25" t="e" cm="1">
        <f t="array" aca="1" ref="AC103" ca="1">EntericMethane_PastureBeef_Equations.VEERG_3_2_1_1__2_DailyEntericMethaneProduction(AC82)</f>
        <v>#N/A</v>
      </c>
      <c r="AD103" s="25" t="e" cm="1">
        <f t="array" aca="1" ref="AD103" ca="1">EntericMethane_PastureBeef_Equations.VEERG_3_2_1_1__2_DailyEntericMethaneProduction(AD82)</f>
        <v>#N/A</v>
      </c>
      <c r="AE103" s="25" t="e" cm="1">
        <f t="array" aca="1" ref="AE103" ca="1">EntericMethane_PastureBeef_Equations.VEERG_3_2_1_1__2_DailyEntericMethaneProduction(AE82)</f>
        <v>#N/A</v>
      </c>
      <c r="AF103" s="26"/>
    </row>
    <row r="104" spans="4:35" ht="20.100000000000001" customHeight="1" x14ac:dyDescent="0.25">
      <c r="D104" s="114" t="s">
        <v>287</v>
      </c>
      <c r="U104" s="25" t="e">
        <f>TEXT(EDATE(X_Cell_Site_StartDate,7), "mmmm")</f>
        <v>#VALUE!</v>
      </c>
      <c r="V104" s="25" t="e" cm="1">
        <f t="array" aca="1" ref="V104" ca="1">EntericMethane_PastureBeef_Equations.VEERG_3_2_1_1__2_DailyEntericMethaneProduction(V83)</f>
        <v>#N/A</v>
      </c>
      <c r="W104" s="25" t="e" cm="1">
        <f t="array" aca="1" ref="W104" ca="1">EntericMethane_PastureBeef_Equations.VEERG_3_2_1_1__2_DailyEntericMethaneProduction(W83)</f>
        <v>#N/A</v>
      </c>
      <c r="X104" s="25" t="e" cm="1">
        <f t="array" aca="1" ref="X104" ca="1">EntericMethane_PastureBeef_Equations.VEERG_3_2_1_1__2_DailyEntericMethaneProduction(X83)</f>
        <v>#N/A</v>
      </c>
      <c r="Y104" s="25" t="e" cm="1">
        <f t="array" aca="1" ref="Y104" ca="1">EntericMethane_PastureBeef_Equations.VEERG_3_2_1_1__2_DailyEntericMethaneProduction(Y83)</f>
        <v>#N/A</v>
      </c>
      <c r="Z104" s="25" t="e" cm="1">
        <f t="array" aca="1" ref="Z104" ca="1">EntericMethane_PastureBeef_Equations.VEERG_3_2_1_1__2_DailyEntericMethaneProduction(Z83)</f>
        <v>#N/A</v>
      </c>
      <c r="AA104" s="25" t="e" cm="1">
        <f t="array" aca="1" ref="AA104" ca="1">EntericMethane_PastureBeef_Equations.VEERG_3_2_1_1__2_DailyEntericMethaneProduction(AA83)</f>
        <v>#N/A</v>
      </c>
      <c r="AB104" s="25" t="e" cm="1">
        <f t="array" aca="1" ref="AB104" ca="1">EntericMethane_PastureBeef_Equations.VEERG_3_2_1_1__2_DailyEntericMethaneProduction(AB83)</f>
        <v>#N/A</v>
      </c>
      <c r="AC104" s="25" t="e" cm="1">
        <f t="array" aca="1" ref="AC104" ca="1">EntericMethane_PastureBeef_Equations.VEERG_3_2_1_1__2_DailyEntericMethaneProduction(AC83)</f>
        <v>#N/A</v>
      </c>
      <c r="AD104" s="25" t="e" cm="1">
        <f t="array" aca="1" ref="AD104" ca="1">EntericMethane_PastureBeef_Equations.VEERG_3_2_1_1__2_DailyEntericMethaneProduction(AD83)</f>
        <v>#N/A</v>
      </c>
      <c r="AE104" s="25" t="e" cm="1">
        <f t="array" aca="1" ref="AE104" ca="1">EntericMethane_PastureBeef_Equations.VEERG_3_2_1_1__2_DailyEntericMethaneProduction(AE83)</f>
        <v>#N/A</v>
      </c>
      <c r="AF104" s="26"/>
    </row>
    <row r="105" spans="4:35" ht="20.100000000000001" customHeight="1" x14ac:dyDescent="0.25">
      <c r="D105" s="115" t="s">
        <v>288</v>
      </c>
      <c r="U105" s="25" t="e">
        <f>TEXT(EDATE(X_Cell_Site_StartDate,8), "mmmm")</f>
        <v>#VALUE!</v>
      </c>
      <c r="V105" s="25" t="e" cm="1">
        <f t="array" aca="1" ref="V105" ca="1">EntericMethane_PastureBeef_Equations.VEERG_3_2_1_1__2_DailyEntericMethaneProduction(V84)</f>
        <v>#N/A</v>
      </c>
      <c r="W105" s="25" t="e" cm="1">
        <f t="array" aca="1" ref="W105" ca="1">EntericMethane_PastureBeef_Equations.VEERG_3_2_1_1__2_DailyEntericMethaneProduction(W84)</f>
        <v>#N/A</v>
      </c>
      <c r="X105" s="25" t="e" cm="1">
        <f t="array" aca="1" ref="X105" ca="1">EntericMethane_PastureBeef_Equations.VEERG_3_2_1_1__2_DailyEntericMethaneProduction(X84)</f>
        <v>#N/A</v>
      </c>
      <c r="Y105" s="25" t="e" cm="1">
        <f t="array" aca="1" ref="Y105" ca="1">EntericMethane_PastureBeef_Equations.VEERG_3_2_1_1__2_DailyEntericMethaneProduction(Y84)</f>
        <v>#N/A</v>
      </c>
      <c r="Z105" s="25" t="e" cm="1">
        <f t="array" aca="1" ref="Z105" ca="1">EntericMethane_PastureBeef_Equations.VEERG_3_2_1_1__2_DailyEntericMethaneProduction(Z84)</f>
        <v>#N/A</v>
      </c>
      <c r="AA105" s="25" t="e" cm="1">
        <f t="array" aca="1" ref="AA105" ca="1">EntericMethane_PastureBeef_Equations.VEERG_3_2_1_1__2_DailyEntericMethaneProduction(AA84)</f>
        <v>#N/A</v>
      </c>
      <c r="AB105" s="25" t="e" cm="1">
        <f t="array" aca="1" ref="AB105" ca="1">EntericMethane_PastureBeef_Equations.VEERG_3_2_1_1__2_DailyEntericMethaneProduction(AB84)</f>
        <v>#N/A</v>
      </c>
      <c r="AC105" s="25" t="e" cm="1">
        <f t="array" aca="1" ref="AC105" ca="1">EntericMethane_PastureBeef_Equations.VEERG_3_2_1_1__2_DailyEntericMethaneProduction(AC84)</f>
        <v>#N/A</v>
      </c>
      <c r="AD105" s="25" t="e" cm="1">
        <f t="array" aca="1" ref="AD105" ca="1">EntericMethane_PastureBeef_Equations.VEERG_3_2_1_1__2_DailyEntericMethaneProduction(AD84)</f>
        <v>#N/A</v>
      </c>
      <c r="AE105" s="25" t="e" cm="1">
        <f t="array" aca="1" ref="AE105" ca="1">EntericMethane_PastureBeef_Equations.VEERG_3_2_1_1__2_DailyEntericMethaneProduction(AE84)</f>
        <v>#N/A</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e">
        <f>TEXT(EDATE(X_Cell_Site_StartDate,9), "mmmm")</f>
        <v>#VALUE!</v>
      </c>
      <c r="V106" s="25" t="e" cm="1">
        <f t="array" aca="1" ref="V106" ca="1">EntericMethane_PastureBeef_Equations.VEERG_3_2_1_1__2_DailyEntericMethaneProduction(V85)</f>
        <v>#N/A</v>
      </c>
      <c r="W106" s="25" t="e" cm="1">
        <f t="array" aca="1" ref="W106" ca="1">EntericMethane_PastureBeef_Equations.VEERG_3_2_1_1__2_DailyEntericMethaneProduction(W85)</f>
        <v>#N/A</v>
      </c>
      <c r="X106" s="25" t="e" cm="1">
        <f t="array" aca="1" ref="X106" ca="1">EntericMethane_PastureBeef_Equations.VEERG_3_2_1_1__2_DailyEntericMethaneProduction(X85)</f>
        <v>#N/A</v>
      </c>
      <c r="Y106" s="25" t="e" cm="1">
        <f t="array" aca="1" ref="Y106" ca="1">EntericMethane_PastureBeef_Equations.VEERG_3_2_1_1__2_DailyEntericMethaneProduction(Y85)</f>
        <v>#N/A</v>
      </c>
      <c r="Z106" s="25" t="e" cm="1">
        <f t="array" aca="1" ref="Z106" ca="1">EntericMethane_PastureBeef_Equations.VEERG_3_2_1_1__2_DailyEntericMethaneProduction(Z85)</f>
        <v>#N/A</v>
      </c>
      <c r="AA106" s="25" t="e" cm="1">
        <f t="array" aca="1" ref="AA106" ca="1">EntericMethane_PastureBeef_Equations.VEERG_3_2_1_1__2_DailyEntericMethaneProduction(AA85)</f>
        <v>#N/A</v>
      </c>
      <c r="AB106" s="25" t="e" cm="1">
        <f t="array" aca="1" ref="AB106" ca="1">EntericMethane_PastureBeef_Equations.VEERG_3_2_1_1__2_DailyEntericMethaneProduction(AB85)</f>
        <v>#N/A</v>
      </c>
      <c r="AC106" s="25" t="e" cm="1">
        <f t="array" aca="1" ref="AC106" ca="1">EntericMethane_PastureBeef_Equations.VEERG_3_2_1_1__2_DailyEntericMethaneProduction(AC85)</f>
        <v>#N/A</v>
      </c>
      <c r="AD106" s="25" t="e" cm="1">
        <f t="array" aca="1" ref="AD106" ca="1">EntericMethane_PastureBeef_Equations.VEERG_3_2_1_1__2_DailyEntericMethaneProduction(AD85)</f>
        <v>#N/A</v>
      </c>
      <c r="AE106" s="25" t="e" cm="1">
        <f t="array" aca="1" ref="AE106" ca="1">EntericMethane_PastureBeef_Equations.VEERG_3_2_1_1__2_DailyEntericMethaneProduction(AE85)</f>
        <v>#N/A</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TEXT(EDATE(X_Cell_Site_StartDate,10), "mmmm")</f>
        <v>#VALUE!</v>
      </c>
      <c r="V107" s="25" t="e" cm="1">
        <f t="array" aca="1" ref="V107" ca="1">EntericMethane_PastureBeef_Equations.VEERG_3_2_1_1__2_DailyEntericMethaneProduction(V86)</f>
        <v>#N/A</v>
      </c>
      <c r="W107" s="25" t="e" cm="1">
        <f t="array" aca="1" ref="W107" ca="1">EntericMethane_PastureBeef_Equations.VEERG_3_2_1_1__2_DailyEntericMethaneProduction(W86)</f>
        <v>#N/A</v>
      </c>
      <c r="X107" s="25" t="e" cm="1">
        <f t="array" aca="1" ref="X107" ca="1">EntericMethane_PastureBeef_Equations.VEERG_3_2_1_1__2_DailyEntericMethaneProduction(X86)</f>
        <v>#N/A</v>
      </c>
      <c r="Y107" s="25" t="e" cm="1">
        <f t="array" aca="1" ref="Y107" ca="1">EntericMethane_PastureBeef_Equations.VEERG_3_2_1_1__2_DailyEntericMethaneProduction(Y86)</f>
        <v>#N/A</v>
      </c>
      <c r="Z107" s="25" t="e" cm="1">
        <f t="array" aca="1" ref="Z107" ca="1">EntericMethane_PastureBeef_Equations.VEERG_3_2_1_1__2_DailyEntericMethaneProduction(Z86)</f>
        <v>#N/A</v>
      </c>
      <c r="AA107" s="25" t="e" cm="1">
        <f t="array" aca="1" ref="AA107" ca="1">EntericMethane_PastureBeef_Equations.VEERG_3_2_1_1__2_DailyEntericMethaneProduction(AA86)</f>
        <v>#N/A</v>
      </c>
      <c r="AB107" s="25" t="e" cm="1">
        <f t="array" aca="1" ref="AB107" ca="1">EntericMethane_PastureBeef_Equations.VEERG_3_2_1_1__2_DailyEntericMethaneProduction(AB86)</f>
        <v>#N/A</v>
      </c>
      <c r="AC107" s="25" t="e" cm="1">
        <f t="array" aca="1" ref="AC107" ca="1">EntericMethane_PastureBeef_Equations.VEERG_3_2_1_1__2_DailyEntericMethaneProduction(AC86)</f>
        <v>#N/A</v>
      </c>
      <c r="AD107" s="25" t="e" cm="1">
        <f t="array" aca="1" ref="AD107" ca="1">EntericMethane_PastureBeef_Equations.VEERG_3_2_1_1__2_DailyEntericMethaneProduction(AD86)</f>
        <v>#N/A</v>
      </c>
      <c r="AE107" s="25" t="e" cm="1">
        <f t="array" aca="1" ref="AE107" ca="1">EntericMethane_PastureBeef_Equations.VEERG_3_2_1_1__2_DailyEntericMethaneProduction(AE86)</f>
        <v>#N/A</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TEXT(EDATE(X_Cell_Site_StartDate,11), "mmmm")</f>
        <v>#VALUE!</v>
      </c>
      <c r="V108" s="25" t="e" cm="1">
        <f t="array" aca="1" ref="V108" ca="1">EntericMethane_PastureBeef_Equations.VEERG_3_2_1_1__2_DailyEntericMethaneProduction(V87)</f>
        <v>#N/A</v>
      </c>
      <c r="W108" s="25" t="e" cm="1">
        <f t="array" aca="1" ref="W108" ca="1">EntericMethane_PastureBeef_Equations.VEERG_3_2_1_1__2_DailyEntericMethaneProduction(W87)</f>
        <v>#N/A</v>
      </c>
      <c r="X108" s="25" t="e" cm="1">
        <f t="array" aca="1" ref="X108" ca="1">EntericMethane_PastureBeef_Equations.VEERG_3_2_1_1__2_DailyEntericMethaneProduction(X87)</f>
        <v>#N/A</v>
      </c>
      <c r="Y108" s="25" t="e" cm="1">
        <f t="array" aca="1" ref="Y108" ca="1">EntericMethane_PastureBeef_Equations.VEERG_3_2_1_1__2_DailyEntericMethaneProduction(Y87)</f>
        <v>#N/A</v>
      </c>
      <c r="Z108" s="25" t="e" cm="1">
        <f t="array" aca="1" ref="Z108" ca="1">EntericMethane_PastureBeef_Equations.VEERG_3_2_1_1__2_DailyEntericMethaneProduction(Z87)</f>
        <v>#N/A</v>
      </c>
      <c r="AA108" s="25" t="e" cm="1">
        <f t="array" aca="1" ref="AA108" ca="1">EntericMethane_PastureBeef_Equations.VEERG_3_2_1_1__2_DailyEntericMethaneProduction(AA87)</f>
        <v>#N/A</v>
      </c>
      <c r="AB108" s="25" t="e" cm="1">
        <f t="array" aca="1" ref="AB108" ca="1">EntericMethane_PastureBeef_Equations.VEERG_3_2_1_1__2_DailyEntericMethaneProduction(AB87)</f>
        <v>#N/A</v>
      </c>
      <c r="AC108" s="25" t="e" cm="1">
        <f t="array" aca="1" ref="AC108" ca="1">EntericMethane_PastureBeef_Equations.VEERG_3_2_1_1__2_DailyEntericMethaneProduction(AC87)</f>
        <v>#N/A</v>
      </c>
      <c r="AD108" s="25" t="e" cm="1">
        <f t="array" aca="1" ref="AD108" ca="1">EntericMethane_PastureBeef_Equations.VEERG_3_2_1_1__2_DailyEntericMethaneProduction(AD87)</f>
        <v>#N/A</v>
      </c>
      <c r="AE108" s="25" t="e" cm="1">
        <f t="array" aca="1" ref="AE108" ca="1">EntericMethane_PastureBeef_Equations.VEERG_3_2_1_1__2_DailyEntericMethaneProduction(AE87)</f>
        <v>#N/A</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TEXT(EDATE(X_Cell_Site_StartDate,1), "mmmm")</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TEXT(EDATE(X_Cell_Site_StartDate,2), "mmmm")</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e">
        <f>TEXT(EDATE(X_Cell_Site_StartDate,3), "mmmm")</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e">
        <f>TEXT(EDATE(X_Cell_Site_StartDate,4), "mmmm")</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e">
        <f>TEXT(EDATE(X_Cell_Site_StartDate,5), "mmmm")</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t="e" cm="1">
        <f t="array" aca="1" ref="E123" ca="1">EntericMethane_PastureBeef_Equations.VEERG_3_2_1_1__1_TotalAnnualMethaneFromEntericFermentation(E115,E85,E107)</f>
        <v>#N/A</v>
      </c>
      <c r="F123" s="25" t="e" cm="1">
        <f t="array" aca="1" ref="F123" ca="1">EntericMethane_PastureBeef_Equations.VEERG_3_2_1_1__1_TotalAnnualMethaneFromEntericFermentation(F115,F85,F107)</f>
        <v>#N/A</v>
      </c>
      <c r="G123" s="25" t="e" cm="1">
        <f t="array" aca="1" ref="G123" ca="1">EntericMethane_PastureBeef_Equations.VEERG_3_2_1_1__1_TotalAnnualMethaneFromEntericFermentation(G115,G85,G107)</f>
        <v>#N/A</v>
      </c>
      <c r="H123" s="25" t="e" cm="1">
        <f t="array" aca="1" ref="H123" ca="1">EntericMethane_PastureBeef_Equations.VEERG_3_2_1_1__1_TotalAnnualMethaneFromEntericFermentation(H115,H85,H107)</f>
        <v>#N/A</v>
      </c>
      <c r="I123" s="25" t="e" cm="1">
        <f t="array" aca="1" ref="I123" ca="1">EntericMethane_PastureBeef_Equations.VEERG_3_2_1_1__1_TotalAnnualMethaneFromEntericFermentation(I115,I85,I107)</f>
        <v>#N/A</v>
      </c>
      <c r="J123" s="25" t="e" cm="1">
        <f t="array" aca="1" ref="J123" ca="1">EntericMethane_PastureBeef_Equations.VEERG_3_2_1_1__1_TotalAnnualMethaneFromEntericFermentation(J115,J85,J107)</f>
        <v>#N/A</v>
      </c>
      <c r="K123" s="25" t="e" cm="1">
        <f t="array" aca="1" ref="K123" ca="1">EntericMethane_PastureBeef_Equations.VEERG_3_2_1_1__1_TotalAnnualMethaneFromEntericFermentation(K115,K85,K107)</f>
        <v>#N/A</v>
      </c>
      <c r="L123" s="25" t="e" cm="1">
        <f t="array" aca="1" ref="L123" ca="1">EntericMethane_PastureBeef_Equations.VEERG_3_2_1_1__1_TotalAnnualMethaneFromEntericFermentation(L115,L85,L107)</f>
        <v>#N/A</v>
      </c>
      <c r="M123" s="25" t="e" cm="1">
        <f t="array" aca="1" ref="M123" ca="1">EntericMethane_PastureBeef_Equations.VEERG_3_2_1_1__1_TotalAnnualMethaneFromEntericFermentation(M115,M85,M107)</f>
        <v>#N/A</v>
      </c>
      <c r="N123" s="25" t="e" cm="1">
        <f t="array" aca="1" ref="N123" ca="1">EntericMethane_PastureBeef_Equations.VEERG_3_2_1_1__1_TotalAnnualMethaneFromEntericFermentation(N115,N85,N107)</f>
        <v>#N/A</v>
      </c>
      <c r="O123" s="26" t="str">
        <f>E98</f>
        <v>t CH4</v>
      </c>
      <c r="Q123" s="26"/>
      <c r="U123" s="25" t="e">
        <f>TEXT(EDATE(X_Cell_Site_StartDate,6), "mmmm")</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t="e" cm="1">
        <f t="array" aca="1" ref="E124" ca="1">EntericMethane_PastureBeef_Equations.VEERG_3_2_1_1__1_TotalAnnualMethaneFromEntericFermentation(E116,E86,E108)</f>
        <v>#N/A</v>
      </c>
      <c r="F124" s="25" t="e" cm="1">
        <f t="array" aca="1" ref="F124" ca="1">EntericMethane_PastureBeef_Equations.VEERG_3_2_1_1__1_TotalAnnualMethaneFromEntericFermentation(F116,F86,F108)</f>
        <v>#N/A</v>
      </c>
      <c r="G124" s="25" t="e" cm="1">
        <f t="array" aca="1" ref="G124" ca="1">EntericMethane_PastureBeef_Equations.VEERG_3_2_1_1__1_TotalAnnualMethaneFromEntericFermentation(G116,G86,G108)</f>
        <v>#N/A</v>
      </c>
      <c r="H124" s="25" t="e" cm="1">
        <f t="array" aca="1" ref="H124" ca="1">EntericMethane_PastureBeef_Equations.VEERG_3_2_1_1__1_TotalAnnualMethaneFromEntericFermentation(H116,H86,H108)</f>
        <v>#N/A</v>
      </c>
      <c r="I124" s="25" t="e" cm="1">
        <f t="array" aca="1" ref="I124" ca="1">EntericMethane_PastureBeef_Equations.VEERG_3_2_1_1__1_TotalAnnualMethaneFromEntericFermentation(I116,I86,I108)</f>
        <v>#N/A</v>
      </c>
      <c r="J124" s="25" t="e" cm="1">
        <f t="array" aca="1" ref="J124" ca="1">EntericMethane_PastureBeef_Equations.VEERG_3_2_1_1__1_TotalAnnualMethaneFromEntericFermentation(J116,J86,J108)</f>
        <v>#N/A</v>
      </c>
      <c r="K124" s="25" t="e" cm="1">
        <f t="array" aca="1" ref="K124" ca="1">EntericMethane_PastureBeef_Equations.VEERG_3_2_1_1__1_TotalAnnualMethaneFromEntericFermentation(K116,K86,K108)</f>
        <v>#N/A</v>
      </c>
      <c r="L124" s="25" t="e" cm="1">
        <f t="array" aca="1" ref="L124" ca="1">EntericMethane_PastureBeef_Equations.VEERG_3_2_1_1__1_TotalAnnualMethaneFromEntericFermentation(L116,L86,L108)</f>
        <v>#N/A</v>
      </c>
      <c r="M124" s="25" t="e" cm="1">
        <f t="array" aca="1" ref="M124" ca="1">EntericMethane_PastureBeef_Equations.VEERG_3_2_1_1__1_TotalAnnualMethaneFromEntericFermentation(M116,M86,M108)</f>
        <v>#N/A</v>
      </c>
      <c r="N124" s="25" t="e" cm="1">
        <f t="array" aca="1" ref="N124" ca="1">EntericMethane_PastureBeef_Equations.VEERG_3_2_1_1__1_TotalAnnualMethaneFromEntericFermentation(N116,N86,N108)</f>
        <v>#N/A</v>
      </c>
      <c r="O124" s="26"/>
      <c r="Q124" s="26"/>
      <c r="U124" s="25" t="e">
        <f>TEXT(EDATE(X_Cell_Site_StartDate,7), "mmmm")</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t="e" cm="1">
        <f t="array" aca="1" ref="E125" ca="1">EntericMethane_PastureBeef_Equations.VEERG_3_2_1_1__1_TotalAnnualMethaneFromEntericFermentation(E117,E87,E109)</f>
        <v>#N/A</v>
      </c>
      <c r="F125" s="25" t="e" cm="1">
        <f t="array" aca="1" ref="F125" ca="1">EntericMethane_PastureBeef_Equations.VEERG_3_2_1_1__1_TotalAnnualMethaneFromEntericFermentation(F117,F87,F109)</f>
        <v>#N/A</v>
      </c>
      <c r="G125" s="25" t="e" cm="1">
        <f t="array" aca="1" ref="G125" ca="1">EntericMethane_PastureBeef_Equations.VEERG_3_2_1_1__1_TotalAnnualMethaneFromEntericFermentation(G117,G87,G109)</f>
        <v>#N/A</v>
      </c>
      <c r="H125" s="25" t="e" cm="1">
        <f t="array" aca="1" ref="H125" ca="1">EntericMethane_PastureBeef_Equations.VEERG_3_2_1_1__1_TotalAnnualMethaneFromEntericFermentation(H117,H87,H109)</f>
        <v>#N/A</v>
      </c>
      <c r="I125" s="25" t="e" cm="1">
        <f t="array" aca="1" ref="I125" ca="1">EntericMethane_PastureBeef_Equations.VEERG_3_2_1_1__1_TotalAnnualMethaneFromEntericFermentation(I117,I87,I109)</f>
        <v>#N/A</v>
      </c>
      <c r="J125" s="25" t="e" cm="1">
        <f t="array" aca="1" ref="J125" ca="1">EntericMethane_PastureBeef_Equations.VEERG_3_2_1_1__1_TotalAnnualMethaneFromEntericFermentation(J117,J87,J109)</f>
        <v>#N/A</v>
      </c>
      <c r="K125" s="25" t="e" cm="1">
        <f t="array" aca="1" ref="K125" ca="1">EntericMethane_PastureBeef_Equations.VEERG_3_2_1_1__1_TotalAnnualMethaneFromEntericFermentation(K117,K87,K109)</f>
        <v>#N/A</v>
      </c>
      <c r="L125" s="25" t="e" cm="1">
        <f t="array" aca="1" ref="L125" ca="1">EntericMethane_PastureBeef_Equations.VEERG_3_2_1_1__1_TotalAnnualMethaneFromEntericFermentation(L117,L87,L109)</f>
        <v>#N/A</v>
      </c>
      <c r="M125" s="25" t="e" cm="1">
        <f t="array" aca="1" ref="M125" ca="1">EntericMethane_PastureBeef_Equations.VEERG_3_2_1_1__1_TotalAnnualMethaneFromEntericFermentation(M117,M87,M109)</f>
        <v>#N/A</v>
      </c>
      <c r="N125" s="25" t="e" cm="1">
        <f t="array" aca="1" ref="N125" ca="1">EntericMethane_PastureBeef_Equations.VEERG_3_2_1_1__1_TotalAnnualMethaneFromEntericFermentation(N117,N87,N109)</f>
        <v>#N/A</v>
      </c>
      <c r="O125" s="26"/>
      <c r="Q125" s="26"/>
      <c r="U125" s="25" t="e">
        <f>TEXT(EDATE(X_Cell_Site_StartDate,8), "mmmm")</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t="e" cm="1">
        <f t="array" aca="1" ref="E126" ca="1">EntericMethane_PastureBeef_Equations.VEERG_3_2_1_1__1_TotalAnnualMethaneFromEntericFermentation(E118,E88,E110)</f>
        <v>#N/A</v>
      </c>
      <c r="F126" s="25" t="e" cm="1">
        <f t="array" aca="1" ref="F126" ca="1">EntericMethane_PastureBeef_Equations.VEERG_3_2_1_1__1_TotalAnnualMethaneFromEntericFermentation(F118,F88,F110)</f>
        <v>#N/A</v>
      </c>
      <c r="G126" s="25" t="e" cm="1">
        <f t="array" aca="1" ref="G126" ca="1">EntericMethane_PastureBeef_Equations.VEERG_3_2_1_1__1_TotalAnnualMethaneFromEntericFermentation(G118,G88,G110)</f>
        <v>#N/A</v>
      </c>
      <c r="H126" s="25" t="e" cm="1">
        <f t="array" aca="1" ref="H126" ca="1">EntericMethane_PastureBeef_Equations.VEERG_3_2_1_1__1_TotalAnnualMethaneFromEntericFermentation(H118,H88,H110)</f>
        <v>#N/A</v>
      </c>
      <c r="I126" s="25" t="e" cm="1">
        <f t="array" aca="1" ref="I126" ca="1">EntericMethane_PastureBeef_Equations.VEERG_3_2_1_1__1_TotalAnnualMethaneFromEntericFermentation(I118,I88,I110)</f>
        <v>#N/A</v>
      </c>
      <c r="J126" s="25" t="e" cm="1">
        <f t="array" aca="1" ref="J126" ca="1">EntericMethane_PastureBeef_Equations.VEERG_3_2_1_1__1_TotalAnnualMethaneFromEntericFermentation(J118,J88,J110)</f>
        <v>#N/A</v>
      </c>
      <c r="K126" s="25" t="e" cm="1">
        <f t="array" aca="1" ref="K126" ca="1">EntericMethane_PastureBeef_Equations.VEERG_3_2_1_1__1_TotalAnnualMethaneFromEntericFermentation(K118,K88,K110)</f>
        <v>#N/A</v>
      </c>
      <c r="L126" s="25" t="e" cm="1">
        <f t="array" aca="1" ref="L126" ca="1">EntericMethane_PastureBeef_Equations.VEERG_3_2_1_1__1_TotalAnnualMethaneFromEntericFermentation(L118,L88,L110)</f>
        <v>#N/A</v>
      </c>
      <c r="M126" s="25" t="e" cm="1">
        <f t="array" aca="1" ref="M126" ca="1">EntericMethane_PastureBeef_Equations.VEERG_3_2_1_1__1_TotalAnnualMethaneFromEntericFermentation(M118,M88,M110)</f>
        <v>#N/A</v>
      </c>
      <c r="N126" s="25" t="e" cm="1">
        <f t="array" aca="1" ref="N126" ca="1">EntericMethane_PastureBeef_Equations.VEERG_3_2_1_1__1_TotalAnnualMethaneFromEntericFermentation(N118,N88,N110)</f>
        <v>#N/A</v>
      </c>
      <c r="O126" s="26"/>
      <c r="Q126" s="26"/>
      <c r="U126" s="25" t="e">
        <f>TEXT(EDATE(X_Cell_Site_StartDate,9), "mmmm")</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TEXT(EDATE(X_Cell_Site_StartDate,10), "mmmm")</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t="e">
        <f ca="1">SUM(E123:N126)</f>
        <v>#N/A</v>
      </c>
      <c r="F128" s="121" t="str">
        <f>$E$98</f>
        <v>t CH4</v>
      </c>
      <c r="Q128" s="26"/>
      <c r="U128" s="25" t="e">
        <f>TEXT(EDATE(X_Cell_Site_StartDate,11), "mmmm")</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t="e">
        <f ca="1">E128</f>
        <v>#N/A</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t="e" cm="1">
        <f t="array" aca="1" ref="E133" ca="1">Common_Equations.Common_ConvertN2OToCO2e(G130,G131)</f>
        <v>#N/A</v>
      </c>
      <c r="F133" s="125" t="str" cm="1">
        <f t="array" ref="F133">Common_Equations.Common_ConvertN2OToCO2e_Unit()</f>
        <v>t CO2e</v>
      </c>
      <c r="U133" s="25" t="str">
        <f>TEXT(X_Cell_Site_StartDate,"mmmm")</f>
        <v>NO - Not in leaching zone</v>
      </c>
      <c r="V133" s="25" t="e" cm="1">
        <f t="array" aca="1" ref="V133:AE144" ca="1">OFFSET(X_Table_PastureBeef_Duration_Method2,1,1,12,10)</f>
        <v>#VALUE!</v>
      </c>
      <c r="W133" s="25" t="e">
        <f ca="1"/>
        <v>#VALUE!</v>
      </c>
      <c r="X133" s="25" t="e">
        <f ca="1"/>
        <v>#VALUE!</v>
      </c>
      <c r="Y133" s="25" t="e">
        <f ca="1"/>
        <v>#VALUE!</v>
      </c>
      <c r="Z133" s="25" t="e">
        <f ca="1"/>
        <v>#VALUE!</v>
      </c>
      <c r="AA133" s="25" t="e">
        <f ca="1"/>
        <v>#VALUE!</v>
      </c>
      <c r="AB133" s="25" t="e">
        <f ca="1"/>
        <v>#VALUE!</v>
      </c>
      <c r="AC133" s="25" t="e">
        <f ca="1"/>
        <v>#VALUE!</v>
      </c>
      <c r="AD133" s="25" t="e">
        <f ca="1"/>
        <v>#VALUE!</v>
      </c>
      <c r="AE133" s="25" t="e">
        <f ca="1"/>
        <v>#VALUE!</v>
      </c>
      <c r="AF133" s="26" t="str">
        <f>$G$100</f>
        <v>days</v>
      </c>
      <c r="AH133" s="26"/>
    </row>
    <row r="134" spans="4:34" ht="20.100000000000001" customHeight="1" x14ac:dyDescent="0.25">
      <c r="U134" s="25" t="e">
        <f>TEXT(EDATE(X_Cell_Site_StartDate,1), "mmmm")</f>
        <v>#VALUE!</v>
      </c>
      <c r="V134" s="25" t="e">
        <f ca="1"/>
        <v>#VALUE!</v>
      </c>
      <c r="W134" s="25" t="e">
        <f ca="1"/>
        <v>#VALUE!</v>
      </c>
      <c r="X134" s="25" t="e">
        <f ca="1"/>
        <v>#VALUE!</v>
      </c>
      <c r="Y134" s="25" t="e">
        <f ca="1"/>
        <v>#VALUE!</v>
      </c>
      <c r="Z134" s="25" t="e">
        <f ca="1"/>
        <v>#VALUE!</v>
      </c>
      <c r="AA134" s="25" t="e">
        <f ca="1"/>
        <v>#VALUE!</v>
      </c>
      <c r="AB134" s="25" t="e">
        <f ca="1"/>
        <v>#VALUE!</v>
      </c>
      <c r="AC134" s="25" t="e">
        <f ca="1"/>
        <v>#VALUE!</v>
      </c>
      <c r="AD134" s="25" t="e">
        <f ca="1"/>
        <v>#VALUE!</v>
      </c>
      <c r="AE134" s="25" t="e">
        <f ca="1"/>
        <v>#VALUE!</v>
      </c>
      <c r="AF134" s="26"/>
      <c r="AH134" s="26"/>
    </row>
    <row r="135" spans="4:34" ht="20.100000000000001" customHeight="1" x14ac:dyDescent="0.25">
      <c r="U135" s="25" t="e">
        <f>TEXT(EDATE(X_Cell_Site_StartDate,2), "mmmm")</f>
        <v>#VALUE!</v>
      </c>
      <c r="V135" s="25" t="e">
        <f ca="1"/>
        <v>#VALUE!</v>
      </c>
      <c r="W135" s="25" t="e">
        <f ca="1"/>
        <v>#VALUE!</v>
      </c>
      <c r="X135" s="25" t="e">
        <f ca="1"/>
        <v>#VALUE!</v>
      </c>
      <c r="Y135" s="25" t="e">
        <f ca="1"/>
        <v>#VALUE!</v>
      </c>
      <c r="Z135" s="25" t="e">
        <f ca="1"/>
        <v>#VALUE!</v>
      </c>
      <c r="AA135" s="25" t="e">
        <f ca="1"/>
        <v>#VALUE!</v>
      </c>
      <c r="AB135" s="25" t="e">
        <f ca="1"/>
        <v>#VALUE!</v>
      </c>
      <c r="AC135" s="25" t="e">
        <f ca="1"/>
        <v>#VALUE!</v>
      </c>
      <c r="AD135" s="25" t="e">
        <f ca="1"/>
        <v>#VALUE!</v>
      </c>
      <c r="AE135" s="25" t="e">
        <f ca="1"/>
        <v>#VALUE!</v>
      </c>
      <c r="AF135" s="26"/>
      <c r="AH135" s="26"/>
    </row>
    <row r="136" spans="4:34" ht="20.100000000000001" customHeight="1" x14ac:dyDescent="0.25">
      <c r="U136" s="25" t="e">
        <f>TEXT(EDATE(X_Cell_Site_StartDate,3), "mmmm")</f>
        <v>#VALUE!</v>
      </c>
      <c r="V136" s="25" t="e">
        <f ca="1"/>
        <v>#VALUE!</v>
      </c>
      <c r="W136" s="25" t="e">
        <f ca="1"/>
        <v>#VALUE!</v>
      </c>
      <c r="X136" s="25" t="e">
        <f ca="1"/>
        <v>#VALUE!</v>
      </c>
      <c r="Y136" s="25" t="e">
        <f ca="1"/>
        <v>#VALUE!</v>
      </c>
      <c r="Z136" s="25" t="e">
        <f ca="1"/>
        <v>#VALUE!</v>
      </c>
      <c r="AA136" s="25" t="e">
        <f ca="1"/>
        <v>#VALUE!</v>
      </c>
      <c r="AB136" s="25" t="e">
        <f ca="1"/>
        <v>#VALUE!</v>
      </c>
      <c r="AC136" s="25" t="e">
        <f ca="1"/>
        <v>#VALUE!</v>
      </c>
      <c r="AD136" s="25" t="e">
        <f ca="1"/>
        <v>#VALUE!</v>
      </c>
      <c r="AE136" s="25" t="e">
        <f ca="1"/>
        <v>#VALUE!</v>
      </c>
      <c r="AF136" s="26"/>
      <c r="AH136" s="26"/>
    </row>
    <row r="137" spans="4:34" ht="20.100000000000001" customHeight="1" x14ac:dyDescent="0.25">
      <c r="U137" s="25" t="e">
        <f>TEXT(EDATE(X_Cell_Site_StartDate,4), "mmmm")</f>
        <v>#VALUE!</v>
      </c>
      <c r="V137" s="25" t="e">
        <f ca="1"/>
        <v>#VALUE!</v>
      </c>
      <c r="W137" s="25" t="e">
        <f ca="1"/>
        <v>#VALUE!</v>
      </c>
      <c r="X137" s="25" t="e">
        <f ca="1"/>
        <v>#VALUE!</v>
      </c>
      <c r="Y137" s="25" t="e">
        <f ca="1"/>
        <v>#VALUE!</v>
      </c>
      <c r="Z137" s="25" t="e">
        <f ca="1"/>
        <v>#VALUE!</v>
      </c>
      <c r="AA137" s="25" t="e">
        <f ca="1"/>
        <v>#VALUE!</v>
      </c>
      <c r="AB137" s="25" t="e">
        <f ca="1"/>
        <v>#VALUE!</v>
      </c>
      <c r="AC137" s="25" t="e">
        <f ca="1"/>
        <v>#VALUE!</v>
      </c>
      <c r="AD137" s="25" t="e">
        <f ca="1"/>
        <v>#VALUE!</v>
      </c>
      <c r="AE137" s="25" t="e">
        <f ca="1"/>
        <v>#VALUE!</v>
      </c>
      <c r="AF137" s="26"/>
      <c r="AH137" s="26"/>
    </row>
    <row r="138" spans="4:34" ht="20.100000000000001" customHeight="1" x14ac:dyDescent="0.25">
      <c r="U138" s="25" t="e">
        <f>TEXT(EDATE(X_Cell_Site_StartDate,5), "mmmm")</f>
        <v>#VALUE!</v>
      </c>
      <c r="V138" s="25" t="e">
        <f ca="1"/>
        <v>#VALUE!</v>
      </c>
      <c r="W138" s="25" t="e">
        <f ca="1"/>
        <v>#VALUE!</v>
      </c>
      <c r="X138" s="25" t="e">
        <f ca="1"/>
        <v>#VALUE!</v>
      </c>
      <c r="Y138" s="25" t="e">
        <f ca="1"/>
        <v>#VALUE!</v>
      </c>
      <c r="Z138" s="25" t="e">
        <f ca="1"/>
        <v>#VALUE!</v>
      </c>
      <c r="AA138" s="25" t="e">
        <f ca="1"/>
        <v>#VALUE!</v>
      </c>
      <c r="AB138" s="25" t="e">
        <f ca="1"/>
        <v>#VALUE!</v>
      </c>
      <c r="AC138" s="25" t="e">
        <f ca="1"/>
        <v>#VALUE!</v>
      </c>
      <c r="AD138" s="25" t="e">
        <f ca="1"/>
        <v>#VALUE!</v>
      </c>
      <c r="AE138" s="25" t="e">
        <f ca="1"/>
        <v>#VALUE!</v>
      </c>
      <c r="AF138" s="26"/>
      <c r="AH138" s="26"/>
    </row>
    <row r="139" spans="4:34" ht="20.100000000000001" customHeight="1" x14ac:dyDescent="0.25">
      <c r="U139" s="25" t="e">
        <f>TEXT(EDATE(X_Cell_Site_StartDate,6), "mmmm")</f>
        <v>#VALUE!</v>
      </c>
      <c r="V139" s="25" t="e">
        <f ca="1"/>
        <v>#VALUE!</v>
      </c>
      <c r="W139" s="25" t="e">
        <f ca="1"/>
        <v>#VALUE!</v>
      </c>
      <c r="X139" s="25" t="e">
        <f ca="1"/>
        <v>#VALUE!</v>
      </c>
      <c r="Y139" s="25" t="e">
        <f ca="1"/>
        <v>#VALUE!</v>
      </c>
      <c r="Z139" s="25" t="e">
        <f ca="1"/>
        <v>#VALUE!</v>
      </c>
      <c r="AA139" s="25" t="e">
        <f ca="1"/>
        <v>#VALUE!</v>
      </c>
      <c r="AB139" s="25" t="e">
        <f ca="1"/>
        <v>#VALUE!</v>
      </c>
      <c r="AC139" s="25" t="e">
        <f ca="1"/>
        <v>#VALUE!</v>
      </c>
      <c r="AD139" s="25" t="e">
        <f ca="1"/>
        <v>#VALUE!</v>
      </c>
      <c r="AE139" s="25" t="e">
        <f ca="1"/>
        <v>#VALUE!</v>
      </c>
      <c r="AF139" s="26"/>
      <c r="AH139" s="26"/>
    </row>
    <row r="140" spans="4:34" ht="20.100000000000001" customHeight="1" x14ac:dyDescent="0.25">
      <c r="U140" s="25" t="e">
        <f>TEXT(EDATE(X_Cell_Site_StartDate,7), "mmmm")</f>
        <v>#VALUE!</v>
      </c>
      <c r="V140" s="25" t="e">
        <f ca="1"/>
        <v>#VALUE!</v>
      </c>
      <c r="W140" s="25" t="e">
        <f ca="1"/>
        <v>#VALUE!</v>
      </c>
      <c r="X140" s="25" t="e">
        <f ca="1"/>
        <v>#VALUE!</v>
      </c>
      <c r="Y140" s="25" t="e">
        <f ca="1"/>
        <v>#VALUE!</v>
      </c>
      <c r="Z140" s="25" t="e">
        <f ca="1"/>
        <v>#VALUE!</v>
      </c>
      <c r="AA140" s="25" t="e">
        <f ca="1"/>
        <v>#VALUE!</v>
      </c>
      <c r="AB140" s="25" t="e">
        <f ca="1"/>
        <v>#VALUE!</v>
      </c>
      <c r="AC140" s="25" t="e">
        <f ca="1"/>
        <v>#VALUE!</v>
      </c>
      <c r="AD140" s="25" t="e">
        <f ca="1"/>
        <v>#VALUE!</v>
      </c>
      <c r="AE140" s="25" t="e">
        <f ca="1"/>
        <v>#VALUE!</v>
      </c>
      <c r="AF140" s="26"/>
      <c r="AH140" s="26"/>
    </row>
    <row r="141" spans="4:34" ht="20.100000000000001" customHeight="1" x14ac:dyDescent="0.25">
      <c r="U141" s="25" t="e">
        <f>TEXT(EDATE(X_Cell_Site_StartDate,8), "mmmm")</f>
        <v>#VALUE!</v>
      </c>
      <c r="V141" s="25" t="e">
        <f ca="1"/>
        <v>#VALUE!</v>
      </c>
      <c r="W141" s="25" t="e">
        <f ca="1"/>
        <v>#VALUE!</v>
      </c>
      <c r="X141" s="25" t="e">
        <f ca="1"/>
        <v>#VALUE!</v>
      </c>
      <c r="Y141" s="25" t="e">
        <f ca="1"/>
        <v>#VALUE!</v>
      </c>
      <c r="Z141" s="25" t="e">
        <f ca="1"/>
        <v>#VALUE!</v>
      </c>
      <c r="AA141" s="25" t="e">
        <f ca="1"/>
        <v>#VALUE!</v>
      </c>
      <c r="AB141" s="25" t="e">
        <f ca="1"/>
        <v>#VALUE!</v>
      </c>
      <c r="AC141" s="25" t="e">
        <f ca="1"/>
        <v>#VALUE!</v>
      </c>
      <c r="AD141" s="25" t="e">
        <f ca="1"/>
        <v>#VALUE!</v>
      </c>
      <c r="AE141" s="25" t="e">
        <f ca="1"/>
        <v>#VALUE!</v>
      </c>
      <c r="AF141" s="26"/>
      <c r="AH141" s="26"/>
    </row>
    <row r="142" spans="4:34" ht="20.100000000000001" customHeight="1" x14ac:dyDescent="0.25">
      <c r="U142" s="25" t="e">
        <f>TEXT(EDATE(X_Cell_Site_StartDate,9), "mmmm")</f>
        <v>#VALUE!</v>
      </c>
      <c r="V142" s="25" t="e">
        <f ca="1"/>
        <v>#VALUE!</v>
      </c>
      <c r="W142" s="25" t="e">
        <f ca="1"/>
        <v>#VALUE!</v>
      </c>
      <c r="X142" s="25" t="e">
        <f ca="1"/>
        <v>#VALUE!</v>
      </c>
      <c r="Y142" s="25" t="e">
        <f ca="1"/>
        <v>#VALUE!</v>
      </c>
      <c r="Z142" s="25" t="e">
        <f ca="1"/>
        <v>#VALUE!</v>
      </c>
      <c r="AA142" s="25" t="e">
        <f ca="1"/>
        <v>#VALUE!</v>
      </c>
      <c r="AB142" s="25" t="e">
        <f ca="1"/>
        <v>#VALUE!</v>
      </c>
      <c r="AC142" s="25" t="e">
        <f ca="1"/>
        <v>#VALUE!</v>
      </c>
      <c r="AD142" s="25" t="e">
        <f ca="1"/>
        <v>#VALUE!</v>
      </c>
      <c r="AE142" s="25" t="e">
        <f ca="1"/>
        <v>#VALUE!</v>
      </c>
      <c r="AF142" s="26"/>
      <c r="AH142" s="26"/>
    </row>
    <row r="143" spans="4:34" ht="20.100000000000001" customHeight="1" x14ac:dyDescent="0.25">
      <c r="U143" s="25" t="e">
        <f>TEXT(EDATE(X_Cell_Site_StartDate,10), "mmmm")</f>
        <v>#VALUE!</v>
      </c>
      <c r="V143" s="25" t="e">
        <f ca="1"/>
        <v>#VALUE!</v>
      </c>
      <c r="W143" s="25" t="e">
        <f ca="1"/>
        <v>#VALUE!</v>
      </c>
      <c r="X143" s="25" t="e">
        <f ca="1"/>
        <v>#VALUE!</v>
      </c>
      <c r="Y143" s="25" t="e">
        <f ca="1"/>
        <v>#VALUE!</v>
      </c>
      <c r="Z143" s="25" t="e">
        <f ca="1"/>
        <v>#VALUE!</v>
      </c>
      <c r="AA143" s="25" t="e">
        <f ca="1"/>
        <v>#VALUE!</v>
      </c>
      <c r="AB143" s="25" t="e">
        <f ca="1"/>
        <v>#VALUE!</v>
      </c>
      <c r="AC143" s="25" t="e">
        <f ca="1"/>
        <v>#VALUE!</v>
      </c>
      <c r="AD143" s="25" t="e">
        <f ca="1"/>
        <v>#VALUE!</v>
      </c>
      <c r="AE143" s="25" t="e">
        <f ca="1"/>
        <v>#VALUE!</v>
      </c>
      <c r="AF143" s="26"/>
    </row>
    <row r="144" spans="4:34" ht="20.100000000000001" customHeight="1" x14ac:dyDescent="0.25">
      <c r="U144" s="25" t="e">
        <f>TEXT(EDATE(X_Cell_Site_StartDate,11), "mmmm")</f>
        <v>#VALUE!</v>
      </c>
      <c r="V144" s="25" t="e">
        <f ca="1"/>
        <v>#VALUE!</v>
      </c>
      <c r="W144" s="25" t="e">
        <f ca="1"/>
        <v>#VALUE!</v>
      </c>
      <c r="X144" s="25" t="e">
        <f ca="1"/>
        <v>#VALUE!</v>
      </c>
      <c r="Y144" s="25" t="e">
        <f ca="1"/>
        <v>#VALUE!</v>
      </c>
      <c r="Z144" s="25" t="e">
        <f ca="1"/>
        <v>#VALUE!</v>
      </c>
      <c r="AA144" s="25" t="e">
        <f ca="1"/>
        <v>#VALUE!</v>
      </c>
      <c r="AB144" s="25" t="e">
        <f ca="1"/>
        <v>#VALUE!</v>
      </c>
      <c r="AC144" s="25" t="e">
        <f ca="1"/>
        <v>#VALUE!</v>
      </c>
      <c r="AD144" s="25" t="e">
        <f ca="1"/>
        <v>#VALUE!</v>
      </c>
      <c r="AE144" s="25" t="e">
        <f ca="1"/>
        <v>#VALUE!</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NO - Not in leaching zone</v>
      </c>
      <c r="V149" s="25" t="e" cm="1">
        <f t="array" aca="1" ref="V149" ca="1">EntericMethane_PastureBeef_Equations.VEERG_3_2_1_1__1_TotalAnnualMethaneFromEntericFermentation(V133,V97,V117)</f>
        <v>#VALUE!</v>
      </c>
      <c r="W149" s="25" t="e" cm="1">
        <f t="array" aca="1" ref="W149" ca="1">EntericMethane_PastureBeef_Equations.VEERG_3_2_1_1__1_TotalAnnualMethaneFromEntericFermentation(W133,W97,W117)</f>
        <v>#VALUE!</v>
      </c>
      <c r="X149" s="25" t="e" cm="1">
        <f t="array" aca="1" ref="X149" ca="1">EntericMethane_PastureBeef_Equations.VEERG_3_2_1_1__1_TotalAnnualMethaneFromEntericFermentation(X133,X97,X117)</f>
        <v>#VALUE!</v>
      </c>
      <c r="Y149" s="25" t="e" cm="1">
        <f t="array" aca="1" ref="Y149" ca="1">EntericMethane_PastureBeef_Equations.VEERG_3_2_1_1__1_TotalAnnualMethaneFromEntericFermentation(Y133,Y97,Y117)</f>
        <v>#VALUE!</v>
      </c>
      <c r="Z149" s="25" t="e" cm="1">
        <f t="array" aca="1" ref="Z149" ca="1">EntericMethane_PastureBeef_Equations.VEERG_3_2_1_1__1_TotalAnnualMethaneFromEntericFermentation(Z133,Z97,Z117)</f>
        <v>#VALUE!</v>
      </c>
      <c r="AA149" s="25" t="e" cm="1">
        <f t="array" aca="1" ref="AA149" ca="1">EntericMethane_PastureBeef_Equations.VEERG_3_2_1_1__1_TotalAnnualMethaneFromEntericFermentation(AA133,AA97,AA117)</f>
        <v>#VALUE!</v>
      </c>
      <c r="AB149" s="25" t="e" cm="1">
        <f t="array" aca="1" ref="AB149" ca="1">EntericMethane_PastureBeef_Equations.VEERG_3_2_1_1__1_TotalAnnualMethaneFromEntericFermentation(AB133,AB97,AB117)</f>
        <v>#VALUE!</v>
      </c>
      <c r="AC149" s="25" t="e" cm="1">
        <f t="array" aca="1" ref="AC149" ca="1">EntericMethane_PastureBeef_Equations.VEERG_3_2_1_1__1_TotalAnnualMethaneFromEntericFermentation(AC133,AC97,AC117)</f>
        <v>#VALUE!</v>
      </c>
      <c r="AD149" s="25" t="e" cm="1">
        <f t="array" aca="1" ref="AD149" ca="1">EntericMethane_PastureBeef_Equations.VEERG_3_2_1_1__1_TotalAnnualMethaneFromEntericFermentation(AD133,AD97,AD117)</f>
        <v>#VALUE!</v>
      </c>
      <c r="AE149" s="25" t="e" cm="1">
        <f t="array" aca="1" ref="AE149" ca="1">EntericMethane_PastureBeef_Equations.VEERG_3_2_1_1__1_TotalAnnualMethaneFromEntericFermentation(AE133,AE97,AE117)</f>
        <v>#VALUE!</v>
      </c>
      <c r="AF149" s="26" t="str">
        <f>$E$98</f>
        <v>t CH4</v>
      </c>
    </row>
    <row r="150" spans="21:32" ht="20.100000000000001" customHeight="1" x14ac:dyDescent="0.25">
      <c r="U150" s="25" t="e">
        <f t="shared" si="3"/>
        <v>#VALUE!</v>
      </c>
      <c r="V150" s="25" t="e" cm="1">
        <f t="array" aca="1" ref="V150" ca="1">EntericMethane_PastureBeef_Equations.VEERG_3_2_1_1__1_TotalAnnualMethaneFromEntericFermentation(V134,V98,V118)</f>
        <v>#VALUE!</v>
      </c>
      <c r="W150" s="25" t="e" cm="1">
        <f t="array" aca="1" ref="W150" ca="1">EntericMethane_PastureBeef_Equations.VEERG_3_2_1_1__1_TotalAnnualMethaneFromEntericFermentation(W134,W98,W118)</f>
        <v>#VALUE!</v>
      </c>
      <c r="X150" s="25" t="e" cm="1">
        <f t="array" aca="1" ref="X150" ca="1">EntericMethane_PastureBeef_Equations.VEERG_3_2_1_1__1_TotalAnnualMethaneFromEntericFermentation(X134,X98,X118)</f>
        <v>#VALUE!</v>
      </c>
      <c r="Y150" s="25" t="e" cm="1">
        <f t="array" aca="1" ref="Y150" ca="1">EntericMethane_PastureBeef_Equations.VEERG_3_2_1_1__1_TotalAnnualMethaneFromEntericFermentation(Y134,Y98,Y118)</f>
        <v>#VALUE!</v>
      </c>
      <c r="Z150" s="25" t="e" cm="1">
        <f t="array" aca="1" ref="Z150" ca="1">EntericMethane_PastureBeef_Equations.VEERG_3_2_1_1__1_TotalAnnualMethaneFromEntericFermentation(Z134,Z98,Z118)</f>
        <v>#VALUE!</v>
      </c>
      <c r="AA150" s="25" t="e" cm="1">
        <f t="array" aca="1" ref="AA150" ca="1">EntericMethane_PastureBeef_Equations.VEERG_3_2_1_1__1_TotalAnnualMethaneFromEntericFermentation(AA134,AA98,AA118)</f>
        <v>#VALUE!</v>
      </c>
      <c r="AB150" s="25" t="e" cm="1">
        <f t="array" aca="1" ref="AB150" ca="1">EntericMethane_PastureBeef_Equations.VEERG_3_2_1_1__1_TotalAnnualMethaneFromEntericFermentation(AB134,AB98,AB118)</f>
        <v>#VALUE!</v>
      </c>
      <c r="AC150" s="25" t="e" cm="1">
        <f t="array" aca="1" ref="AC150" ca="1">EntericMethane_PastureBeef_Equations.VEERG_3_2_1_1__1_TotalAnnualMethaneFromEntericFermentation(AC134,AC98,AC118)</f>
        <v>#VALUE!</v>
      </c>
      <c r="AD150" s="25" t="e" cm="1">
        <f t="array" aca="1" ref="AD150" ca="1">EntericMethane_PastureBeef_Equations.VEERG_3_2_1_1__1_TotalAnnualMethaneFromEntericFermentation(AD134,AD98,AD118)</f>
        <v>#VALUE!</v>
      </c>
      <c r="AE150" s="25" t="e" cm="1">
        <f t="array" aca="1" ref="AE150" ca="1">EntericMethane_PastureBeef_Equations.VEERG_3_2_1_1__1_TotalAnnualMethaneFromEntericFermentation(AE134,AE98,AE118)</f>
        <v>#VALUE!</v>
      </c>
      <c r="AF150" s="26"/>
    </row>
    <row r="151" spans="21:32" ht="20.100000000000001" customHeight="1" x14ac:dyDescent="0.25">
      <c r="U151" s="25" t="e">
        <f t="shared" si="3"/>
        <v>#VALUE!</v>
      </c>
      <c r="V151" s="25" t="e" cm="1">
        <f t="array" aca="1" ref="V151" ca="1">EntericMethane_PastureBeef_Equations.VEERG_3_2_1_1__1_TotalAnnualMethaneFromEntericFermentation(V135,V99,V119)</f>
        <v>#VALUE!</v>
      </c>
      <c r="W151" s="25" t="e" cm="1">
        <f t="array" aca="1" ref="W151" ca="1">EntericMethane_PastureBeef_Equations.VEERG_3_2_1_1__1_TotalAnnualMethaneFromEntericFermentation(W135,W99,W119)</f>
        <v>#VALUE!</v>
      </c>
      <c r="X151" s="25" t="e" cm="1">
        <f t="array" aca="1" ref="X151" ca="1">EntericMethane_PastureBeef_Equations.VEERG_3_2_1_1__1_TotalAnnualMethaneFromEntericFermentation(X135,X99,X119)</f>
        <v>#VALUE!</v>
      </c>
      <c r="Y151" s="25" t="e" cm="1">
        <f t="array" aca="1" ref="Y151" ca="1">EntericMethane_PastureBeef_Equations.VEERG_3_2_1_1__1_TotalAnnualMethaneFromEntericFermentation(Y135,Y99,Y119)</f>
        <v>#VALUE!</v>
      </c>
      <c r="Z151" s="25" t="e" cm="1">
        <f t="array" aca="1" ref="Z151" ca="1">EntericMethane_PastureBeef_Equations.VEERG_3_2_1_1__1_TotalAnnualMethaneFromEntericFermentation(Z135,Z99,Z119)</f>
        <v>#VALUE!</v>
      </c>
      <c r="AA151" s="25" t="e" cm="1">
        <f t="array" aca="1" ref="AA151" ca="1">EntericMethane_PastureBeef_Equations.VEERG_3_2_1_1__1_TotalAnnualMethaneFromEntericFermentation(AA135,AA99,AA119)</f>
        <v>#VALUE!</v>
      </c>
      <c r="AB151" s="25" t="e" cm="1">
        <f t="array" aca="1" ref="AB151" ca="1">EntericMethane_PastureBeef_Equations.VEERG_3_2_1_1__1_TotalAnnualMethaneFromEntericFermentation(AB135,AB99,AB119)</f>
        <v>#VALUE!</v>
      </c>
      <c r="AC151" s="25" t="e" cm="1">
        <f t="array" aca="1" ref="AC151" ca="1">EntericMethane_PastureBeef_Equations.VEERG_3_2_1_1__1_TotalAnnualMethaneFromEntericFermentation(AC135,AC99,AC119)</f>
        <v>#VALUE!</v>
      </c>
      <c r="AD151" s="25" t="e" cm="1">
        <f t="array" aca="1" ref="AD151" ca="1">EntericMethane_PastureBeef_Equations.VEERG_3_2_1_1__1_TotalAnnualMethaneFromEntericFermentation(AD135,AD99,AD119)</f>
        <v>#VALUE!</v>
      </c>
      <c r="AE151" s="25" t="e" cm="1">
        <f t="array" aca="1" ref="AE151" ca="1">EntericMethane_PastureBeef_Equations.VEERG_3_2_1_1__1_TotalAnnualMethaneFromEntericFermentation(AE135,AE99,AE119)</f>
        <v>#VALUE!</v>
      </c>
      <c r="AF151" s="26"/>
    </row>
    <row r="152" spans="21:32" ht="20.100000000000001" customHeight="1" x14ac:dyDescent="0.25">
      <c r="U152" s="25" t="e">
        <f t="shared" si="3"/>
        <v>#VALUE!</v>
      </c>
      <c r="V152" s="25" t="e" cm="1">
        <f t="array" aca="1" ref="V152" ca="1">EntericMethane_PastureBeef_Equations.VEERG_3_2_1_1__1_TotalAnnualMethaneFromEntericFermentation(V136,V100,V120)</f>
        <v>#VALUE!</v>
      </c>
      <c r="W152" s="25" t="e" cm="1">
        <f t="array" aca="1" ref="W152" ca="1">EntericMethane_PastureBeef_Equations.VEERG_3_2_1_1__1_TotalAnnualMethaneFromEntericFermentation(W136,W100,W120)</f>
        <v>#VALUE!</v>
      </c>
      <c r="X152" s="25" t="e" cm="1">
        <f t="array" aca="1" ref="X152" ca="1">EntericMethane_PastureBeef_Equations.VEERG_3_2_1_1__1_TotalAnnualMethaneFromEntericFermentation(X136,X100,X120)</f>
        <v>#VALUE!</v>
      </c>
      <c r="Y152" s="25" t="e" cm="1">
        <f t="array" aca="1" ref="Y152" ca="1">EntericMethane_PastureBeef_Equations.VEERG_3_2_1_1__1_TotalAnnualMethaneFromEntericFermentation(Y136,Y100,Y120)</f>
        <v>#VALUE!</v>
      </c>
      <c r="Z152" s="25" t="e" cm="1">
        <f t="array" aca="1" ref="Z152" ca="1">EntericMethane_PastureBeef_Equations.VEERG_3_2_1_1__1_TotalAnnualMethaneFromEntericFermentation(Z136,Z100,Z120)</f>
        <v>#VALUE!</v>
      </c>
      <c r="AA152" s="25" t="e" cm="1">
        <f t="array" aca="1" ref="AA152" ca="1">EntericMethane_PastureBeef_Equations.VEERG_3_2_1_1__1_TotalAnnualMethaneFromEntericFermentation(AA136,AA100,AA120)</f>
        <v>#VALUE!</v>
      </c>
      <c r="AB152" s="25" t="e" cm="1">
        <f t="array" aca="1" ref="AB152" ca="1">EntericMethane_PastureBeef_Equations.VEERG_3_2_1_1__1_TotalAnnualMethaneFromEntericFermentation(AB136,AB100,AB120)</f>
        <v>#VALUE!</v>
      </c>
      <c r="AC152" s="25" t="e" cm="1">
        <f t="array" aca="1" ref="AC152" ca="1">EntericMethane_PastureBeef_Equations.VEERG_3_2_1_1__1_TotalAnnualMethaneFromEntericFermentation(AC136,AC100,AC120)</f>
        <v>#VALUE!</v>
      </c>
      <c r="AD152" s="25" t="e" cm="1">
        <f t="array" aca="1" ref="AD152" ca="1">EntericMethane_PastureBeef_Equations.VEERG_3_2_1_1__1_TotalAnnualMethaneFromEntericFermentation(AD136,AD100,AD120)</f>
        <v>#VALUE!</v>
      </c>
      <c r="AE152" s="25" t="e" cm="1">
        <f t="array" aca="1" ref="AE152" ca="1">EntericMethane_PastureBeef_Equations.VEERG_3_2_1_1__1_TotalAnnualMethaneFromEntericFermentation(AE136,AE100,AE120)</f>
        <v>#VALUE!</v>
      </c>
      <c r="AF152" s="26"/>
    </row>
    <row r="153" spans="21:32" ht="20.100000000000001" customHeight="1" x14ac:dyDescent="0.25">
      <c r="U153" s="25" t="e">
        <f t="shared" si="3"/>
        <v>#VALUE!</v>
      </c>
      <c r="V153" s="25" t="e" cm="1">
        <f t="array" aca="1" ref="V153" ca="1">EntericMethane_PastureBeef_Equations.VEERG_3_2_1_1__1_TotalAnnualMethaneFromEntericFermentation(V137,V101,V121)</f>
        <v>#VALUE!</v>
      </c>
      <c r="W153" s="25" t="e" cm="1">
        <f t="array" aca="1" ref="W153" ca="1">EntericMethane_PastureBeef_Equations.VEERG_3_2_1_1__1_TotalAnnualMethaneFromEntericFermentation(W137,W101,W121)</f>
        <v>#VALUE!</v>
      </c>
      <c r="X153" s="25" t="e" cm="1">
        <f t="array" aca="1" ref="X153" ca="1">EntericMethane_PastureBeef_Equations.VEERG_3_2_1_1__1_TotalAnnualMethaneFromEntericFermentation(X137,X101,X121)</f>
        <v>#VALUE!</v>
      </c>
      <c r="Y153" s="25" t="e" cm="1">
        <f t="array" aca="1" ref="Y153" ca="1">EntericMethane_PastureBeef_Equations.VEERG_3_2_1_1__1_TotalAnnualMethaneFromEntericFermentation(Y137,Y101,Y121)</f>
        <v>#VALUE!</v>
      </c>
      <c r="Z153" s="25" t="e" cm="1">
        <f t="array" aca="1" ref="Z153" ca="1">EntericMethane_PastureBeef_Equations.VEERG_3_2_1_1__1_TotalAnnualMethaneFromEntericFermentation(Z137,Z101,Z121)</f>
        <v>#VALUE!</v>
      </c>
      <c r="AA153" s="25" t="e" cm="1">
        <f t="array" aca="1" ref="AA153" ca="1">EntericMethane_PastureBeef_Equations.VEERG_3_2_1_1__1_TotalAnnualMethaneFromEntericFermentation(AA137,AA101,AA121)</f>
        <v>#VALUE!</v>
      </c>
      <c r="AB153" s="25" t="e" cm="1">
        <f t="array" aca="1" ref="AB153" ca="1">EntericMethane_PastureBeef_Equations.VEERG_3_2_1_1__1_TotalAnnualMethaneFromEntericFermentation(AB137,AB101,AB121)</f>
        <v>#VALUE!</v>
      </c>
      <c r="AC153" s="25" t="e" cm="1">
        <f t="array" aca="1" ref="AC153" ca="1">EntericMethane_PastureBeef_Equations.VEERG_3_2_1_1__1_TotalAnnualMethaneFromEntericFermentation(AC137,AC101,AC121)</f>
        <v>#VALUE!</v>
      </c>
      <c r="AD153" s="25" t="e" cm="1">
        <f t="array" aca="1" ref="AD153" ca="1">EntericMethane_PastureBeef_Equations.VEERG_3_2_1_1__1_TotalAnnualMethaneFromEntericFermentation(AD137,AD101,AD121)</f>
        <v>#VALUE!</v>
      </c>
      <c r="AE153" s="25" t="e" cm="1">
        <f t="array" aca="1" ref="AE153" ca="1">EntericMethane_PastureBeef_Equations.VEERG_3_2_1_1__1_TotalAnnualMethaneFromEntericFermentation(AE137,AE101,AE121)</f>
        <v>#VALUE!</v>
      </c>
      <c r="AF153" s="26"/>
    </row>
    <row r="154" spans="21:32" ht="20.100000000000001" customHeight="1" x14ac:dyDescent="0.25">
      <c r="U154" s="25" t="e">
        <f t="shared" si="3"/>
        <v>#VALUE!</v>
      </c>
      <c r="V154" s="25" t="e" cm="1">
        <f t="array" aca="1" ref="V154" ca="1">EntericMethane_PastureBeef_Equations.VEERG_3_2_1_1__1_TotalAnnualMethaneFromEntericFermentation(V138,V102,V122)</f>
        <v>#VALUE!</v>
      </c>
      <c r="W154" s="25" t="e" cm="1">
        <f t="array" aca="1" ref="W154" ca="1">EntericMethane_PastureBeef_Equations.VEERG_3_2_1_1__1_TotalAnnualMethaneFromEntericFermentation(W138,W102,W122)</f>
        <v>#VALUE!</v>
      </c>
      <c r="X154" s="25" t="e" cm="1">
        <f t="array" aca="1" ref="X154" ca="1">EntericMethane_PastureBeef_Equations.VEERG_3_2_1_1__1_TotalAnnualMethaneFromEntericFermentation(X138,X102,X122)</f>
        <v>#VALUE!</v>
      </c>
      <c r="Y154" s="25" t="e" cm="1">
        <f t="array" aca="1" ref="Y154" ca="1">EntericMethane_PastureBeef_Equations.VEERG_3_2_1_1__1_TotalAnnualMethaneFromEntericFermentation(Y138,Y102,Y122)</f>
        <v>#VALUE!</v>
      </c>
      <c r="Z154" s="25" t="e" cm="1">
        <f t="array" aca="1" ref="Z154" ca="1">EntericMethane_PastureBeef_Equations.VEERG_3_2_1_1__1_TotalAnnualMethaneFromEntericFermentation(Z138,Z102,Z122)</f>
        <v>#VALUE!</v>
      </c>
      <c r="AA154" s="25" t="e" cm="1">
        <f t="array" aca="1" ref="AA154" ca="1">EntericMethane_PastureBeef_Equations.VEERG_3_2_1_1__1_TotalAnnualMethaneFromEntericFermentation(AA138,AA102,AA122)</f>
        <v>#VALUE!</v>
      </c>
      <c r="AB154" s="25" t="e" cm="1">
        <f t="array" aca="1" ref="AB154" ca="1">EntericMethane_PastureBeef_Equations.VEERG_3_2_1_1__1_TotalAnnualMethaneFromEntericFermentation(AB138,AB102,AB122)</f>
        <v>#VALUE!</v>
      </c>
      <c r="AC154" s="25" t="e" cm="1">
        <f t="array" aca="1" ref="AC154" ca="1">EntericMethane_PastureBeef_Equations.VEERG_3_2_1_1__1_TotalAnnualMethaneFromEntericFermentation(AC138,AC102,AC122)</f>
        <v>#VALUE!</v>
      </c>
      <c r="AD154" s="25" t="e" cm="1">
        <f t="array" aca="1" ref="AD154" ca="1">EntericMethane_PastureBeef_Equations.VEERG_3_2_1_1__1_TotalAnnualMethaneFromEntericFermentation(AD138,AD102,AD122)</f>
        <v>#VALUE!</v>
      </c>
      <c r="AE154" s="25" t="e" cm="1">
        <f t="array" aca="1" ref="AE154" ca="1">EntericMethane_PastureBeef_Equations.VEERG_3_2_1_1__1_TotalAnnualMethaneFromEntericFermentation(AE138,AE102,AE122)</f>
        <v>#VALUE!</v>
      </c>
      <c r="AF154" s="26"/>
    </row>
    <row r="155" spans="21:32" ht="20.100000000000001" customHeight="1" x14ac:dyDescent="0.25">
      <c r="U155" s="25" t="e">
        <f t="shared" si="3"/>
        <v>#VALUE!</v>
      </c>
      <c r="V155" s="25" t="e" cm="1">
        <f t="array" aca="1" ref="V155" ca="1">EntericMethane_PastureBeef_Equations.VEERG_3_2_1_1__1_TotalAnnualMethaneFromEntericFermentation(V139,V103,V123)</f>
        <v>#VALUE!</v>
      </c>
      <c r="W155" s="25" t="e" cm="1">
        <f t="array" aca="1" ref="W155" ca="1">EntericMethane_PastureBeef_Equations.VEERG_3_2_1_1__1_TotalAnnualMethaneFromEntericFermentation(W139,W103,W123)</f>
        <v>#VALUE!</v>
      </c>
      <c r="X155" s="25" t="e" cm="1">
        <f t="array" aca="1" ref="X155" ca="1">EntericMethane_PastureBeef_Equations.VEERG_3_2_1_1__1_TotalAnnualMethaneFromEntericFermentation(X139,X103,X123)</f>
        <v>#VALUE!</v>
      </c>
      <c r="Y155" s="25" t="e" cm="1">
        <f t="array" aca="1" ref="Y155" ca="1">EntericMethane_PastureBeef_Equations.VEERG_3_2_1_1__1_TotalAnnualMethaneFromEntericFermentation(Y139,Y103,Y123)</f>
        <v>#VALUE!</v>
      </c>
      <c r="Z155" s="25" t="e" cm="1">
        <f t="array" aca="1" ref="Z155" ca="1">EntericMethane_PastureBeef_Equations.VEERG_3_2_1_1__1_TotalAnnualMethaneFromEntericFermentation(Z139,Z103,Z123)</f>
        <v>#VALUE!</v>
      </c>
      <c r="AA155" s="25" t="e" cm="1">
        <f t="array" aca="1" ref="AA155" ca="1">EntericMethane_PastureBeef_Equations.VEERG_3_2_1_1__1_TotalAnnualMethaneFromEntericFermentation(AA139,AA103,AA123)</f>
        <v>#VALUE!</v>
      </c>
      <c r="AB155" s="25" t="e" cm="1">
        <f t="array" aca="1" ref="AB155" ca="1">EntericMethane_PastureBeef_Equations.VEERG_3_2_1_1__1_TotalAnnualMethaneFromEntericFermentation(AB139,AB103,AB123)</f>
        <v>#VALUE!</v>
      </c>
      <c r="AC155" s="25" t="e" cm="1">
        <f t="array" aca="1" ref="AC155" ca="1">EntericMethane_PastureBeef_Equations.VEERG_3_2_1_1__1_TotalAnnualMethaneFromEntericFermentation(AC139,AC103,AC123)</f>
        <v>#VALUE!</v>
      </c>
      <c r="AD155" s="25" t="e" cm="1">
        <f t="array" aca="1" ref="AD155" ca="1">EntericMethane_PastureBeef_Equations.VEERG_3_2_1_1__1_TotalAnnualMethaneFromEntericFermentation(AD139,AD103,AD123)</f>
        <v>#VALUE!</v>
      </c>
      <c r="AE155" s="25" t="e" cm="1">
        <f t="array" aca="1" ref="AE155" ca="1">EntericMethane_PastureBeef_Equations.VEERG_3_2_1_1__1_TotalAnnualMethaneFromEntericFermentation(AE139,AE103,AE123)</f>
        <v>#VALUE!</v>
      </c>
      <c r="AF155" s="26"/>
    </row>
    <row r="156" spans="21:32" ht="20.100000000000001" customHeight="1" x14ac:dyDescent="0.25">
      <c r="U156" s="25" t="e">
        <f t="shared" si="3"/>
        <v>#VALUE!</v>
      </c>
      <c r="V156" s="25" t="e" cm="1">
        <f t="array" aca="1" ref="V156" ca="1">EntericMethane_PastureBeef_Equations.VEERG_3_2_1_1__1_TotalAnnualMethaneFromEntericFermentation(V140,V104,V124)</f>
        <v>#VALUE!</v>
      </c>
      <c r="W156" s="25" t="e" cm="1">
        <f t="array" aca="1" ref="W156" ca="1">EntericMethane_PastureBeef_Equations.VEERG_3_2_1_1__1_TotalAnnualMethaneFromEntericFermentation(W140,W104,W124)</f>
        <v>#VALUE!</v>
      </c>
      <c r="X156" s="25" t="e" cm="1">
        <f t="array" aca="1" ref="X156" ca="1">EntericMethane_PastureBeef_Equations.VEERG_3_2_1_1__1_TotalAnnualMethaneFromEntericFermentation(X140,X104,X124)</f>
        <v>#VALUE!</v>
      </c>
      <c r="Y156" s="25" t="e" cm="1">
        <f t="array" aca="1" ref="Y156" ca="1">EntericMethane_PastureBeef_Equations.VEERG_3_2_1_1__1_TotalAnnualMethaneFromEntericFermentation(Y140,Y104,Y124)</f>
        <v>#VALUE!</v>
      </c>
      <c r="Z156" s="25" t="e" cm="1">
        <f t="array" aca="1" ref="Z156" ca="1">EntericMethane_PastureBeef_Equations.VEERG_3_2_1_1__1_TotalAnnualMethaneFromEntericFermentation(Z140,Z104,Z124)</f>
        <v>#VALUE!</v>
      </c>
      <c r="AA156" s="25" t="e" cm="1">
        <f t="array" aca="1" ref="AA156" ca="1">EntericMethane_PastureBeef_Equations.VEERG_3_2_1_1__1_TotalAnnualMethaneFromEntericFermentation(AA140,AA104,AA124)</f>
        <v>#VALUE!</v>
      </c>
      <c r="AB156" s="25" t="e" cm="1">
        <f t="array" aca="1" ref="AB156" ca="1">EntericMethane_PastureBeef_Equations.VEERG_3_2_1_1__1_TotalAnnualMethaneFromEntericFermentation(AB140,AB104,AB124)</f>
        <v>#VALUE!</v>
      </c>
      <c r="AC156" s="25" t="e" cm="1">
        <f t="array" aca="1" ref="AC156" ca="1">EntericMethane_PastureBeef_Equations.VEERG_3_2_1_1__1_TotalAnnualMethaneFromEntericFermentation(AC140,AC104,AC124)</f>
        <v>#VALUE!</v>
      </c>
      <c r="AD156" s="25" t="e" cm="1">
        <f t="array" aca="1" ref="AD156" ca="1">EntericMethane_PastureBeef_Equations.VEERG_3_2_1_1__1_TotalAnnualMethaneFromEntericFermentation(AD140,AD104,AD124)</f>
        <v>#VALUE!</v>
      </c>
      <c r="AE156" s="25" t="e" cm="1">
        <f t="array" aca="1" ref="AE156" ca="1">EntericMethane_PastureBeef_Equations.VEERG_3_2_1_1__1_TotalAnnualMethaneFromEntericFermentation(AE140,AE104,AE124)</f>
        <v>#VALUE!</v>
      </c>
      <c r="AF156" s="26"/>
    </row>
    <row r="157" spans="21:32" ht="20.100000000000001" customHeight="1" x14ac:dyDescent="0.25">
      <c r="U157" s="25" t="e">
        <f t="shared" si="3"/>
        <v>#VALUE!</v>
      </c>
      <c r="V157" s="25" t="e" cm="1">
        <f t="array" aca="1" ref="V157" ca="1">EntericMethane_PastureBeef_Equations.VEERG_3_2_1_1__1_TotalAnnualMethaneFromEntericFermentation(V141,V105,V125)</f>
        <v>#VALUE!</v>
      </c>
      <c r="W157" s="25" t="e" cm="1">
        <f t="array" aca="1" ref="W157" ca="1">EntericMethane_PastureBeef_Equations.VEERG_3_2_1_1__1_TotalAnnualMethaneFromEntericFermentation(W141,W105,W125)</f>
        <v>#VALUE!</v>
      </c>
      <c r="X157" s="25" t="e" cm="1">
        <f t="array" aca="1" ref="X157" ca="1">EntericMethane_PastureBeef_Equations.VEERG_3_2_1_1__1_TotalAnnualMethaneFromEntericFermentation(X141,X105,X125)</f>
        <v>#VALUE!</v>
      </c>
      <c r="Y157" s="25" t="e" cm="1">
        <f t="array" aca="1" ref="Y157" ca="1">EntericMethane_PastureBeef_Equations.VEERG_3_2_1_1__1_TotalAnnualMethaneFromEntericFermentation(Y141,Y105,Y125)</f>
        <v>#VALUE!</v>
      </c>
      <c r="Z157" s="25" t="e" cm="1">
        <f t="array" aca="1" ref="Z157" ca="1">EntericMethane_PastureBeef_Equations.VEERG_3_2_1_1__1_TotalAnnualMethaneFromEntericFermentation(Z141,Z105,Z125)</f>
        <v>#VALUE!</v>
      </c>
      <c r="AA157" s="25" t="e" cm="1">
        <f t="array" aca="1" ref="AA157" ca="1">EntericMethane_PastureBeef_Equations.VEERG_3_2_1_1__1_TotalAnnualMethaneFromEntericFermentation(AA141,AA105,AA125)</f>
        <v>#VALUE!</v>
      </c>
      <c r="AB157" s="25" t="e" cm="1">
        <f t="array" aca="1" ref="AB157" ca="1">EntericMethane_PastureBeef_Equations.VEERG_3_2_1_1__1_TotalAnnualMethaneFromEntericFermentation(AB141,AB105,AB125)</f>
        <v>#VALUE!</v>
      </c>
      <c r="AC157" s="25" t="e" cm="1">
        <f t="array" aca="1" ref="AC157" ca="1">EntericMethane_PastureBeef_Equations.VEERG_3_2_1_1__1_TotalAnnualMethaneFromEntericFermentation(AC141,AC105,AC125)</f>
        <v>#VALUE!</v>
      </c>
      <c r="AD157" s="25" t="e" cm="1">
        <f t="array" aca="1" ref="AD157" ca="1">EntericMethane_PastureBeef_Equations.VEERG_3_2_1_1__1_TotalAnnualMethaneFromEntericFermentation(AD141,AD105,AD125)</f>
        <v>#VALUE!</v>
      </c>
      <c r="AE157" s="25" t="e" cm="1">
        <f t="array" aca="1" ref="AE157" ca="1">EntericMethane_PastureBeef_Equations.VEERG_3_2_1_1__1_TotalAnnualMethaneFromEntericFermentation(AE141,AE105,AE125)</f>
        <v>#VALUE!</v>
      </c>
      <c r="AF157" s="26"/>
    </row>
    <row r="158" spans="21:32" ht="20.100000000000001" customHeight="1" x14ac:dyDescent="0.25">
      <c r="U158" s="25" t="e">
        <f t="shared" si="3"/>
        <v>#VALUE!</v>
      </c>
      <c r="V158" s="25" t="e" cm="1">
        <f t="array" aca="1" ref="V158" ca="1">EntericMethane_PastureBeef_Equations.VEERG_3_2_1_1__1_TotalAnnualMethaneFromEntericFermentation(V142,V106,V126)</f>
        <v>#VALUE!</v>
      </c>
      <c r="W158" s="25" t="e" cm="1">
        <f t="array" aca="1" ref="W158" ca="1">EntericMethane_PastureBeef_Equations.VEERG_3_2_1_1__1_TotalAnnualMethaneFromEntericFermentation(W142,W106,W126)</f>
        <v>#VALUE!</v>
      </c>
      <c r="X158" s="25" t="e" cm="1">
        <f t="array" aca="1" ref="X158" ca="1">EntericMethane_PastureBeef_Equations.VEERG_3_2_1_1__1_TotalAnnualMethaneFromEntericFermentation(X142,X106,X126)</f>
        <v>#VALUE!</v>
      </c>
      <c r="Y158" s="25" t="e" cm="1">
        <f t="array" aca="1" ref="Y158" ca="1">EntericMethane_PastureBeef_Equations.VEERG_3_2_1_1__1_TotalAnnualMethaneFromEntericFermentation(Y142,Y106,Y126)</f>
        <v>#VALUE!</v>
      </c>
      <c r="Z158" s="25" t="e" cm="1">
        <f t="array" aca="1" ref="Z158" ca="1">EntericMethane_PastureBeef_Equations.VEERG_3_2_1_1__1_TotalAnnualMethaneFromEntericFermentation(Z142,Z106,Z126)</f>
        <v>#VALUE!</v>
      </c>
      <c r="AA158" s="25" t="e" cm="1">
        <f t="array" aca="1" ref="AA158" ca="1">EntericMethane_PastureBeef_Equations.VEERG_3_2_1_1__1_TotalAnnualMethaneFromEntericFermentation(AA142,AA106,AA126)</f>
        <v>#VALUE!</v>
      </c>
      <c r="AB158" s="25" t="e" cm="1">
        <f t="array" aca="1" ref="AB158" ca="1">EntericMethane_PastureBeef_Equations.VEERG_3_2_1_1__1_TotalAnnualMethaneFromEntericFermentation(AB142,AB106,AB126)</f>
        <v>#VALUE!</v>
      </c>
      <c r="AC158" s="25" t="e" cm="1">
        <f t="array" aca="1" ref="AC158" ca="1">EntericMethane_PastureBeef_Equations.VEERG_3_2_1_1__1_TotalAnnualMethaneFromEntericFermentation(AC142,AC106,AC126)</f>
        <v>#VALUE!</v>
      </c>
      <c r="AD158" s="25" t="e" cm="1">
        <f t="array" aca="1" ref="AD158" ca="1">EntericMethane_PastureBeef_Equations.VEERG_3_2_1_1__1_TotalAnnualMethaneFromEntericFermentation(AD142,AD106,AD126)</f>
        <v>#VALUE!</v>
      </c>
      <c r="AE158" s="25" t="e" cm="1">
        <f t="array" aca="1" ref="AE158" ca="1">EntericMethane_PastureBeef_Equations.VEERG_3_2_1_1__1_TotalAnnualMethaneFromEntericFermentation(AE142,AE106,AE126)</f>
        <v>#VALUE!</v>
      </c>
      <c r="AF158" s="26"/>
    </row>
    <row r="159" spans="21:32" ht="20.100000000000001" customHeight="1" x14ac:dyDescent="0.25">
      <c r="U159" s="25" t="e">
        <f t="shared" si="3"/>
        <v>#VALUE!</v>
      </c>
      <c r="V159" s="25" t="e" cm="1">
        <f t="array" aca="1" ref="V159" ca="1">EntericMethane_PastureBeef_Equations.VEERG_3_2_1_1__1_TotalAnnualMethaneFromEntericFermentation(V143,V107,V127)</f>
        <v>#VALUE!</v>
      </c>
      <c r="W159" s="25" t="e" cm="1">
        <f t="array" aca="1" ref="W159" ca="1">EntericMethane_PastureBeef_Equations.VEERG_3_2_1_1__1_TotalAnnualMethaneFromEntericFermentation(W143,W107,W127)</f>
        <v>#VALUE!</v>
      </c>
      <c r="X159" s="25" t="e" cm="1">
        <f t="array" aca="1" ref="X159" ca="1">EntericMethane_PastureBeef_Equations.VEERG_3_2_1_1__1_TotalAnnualMethaneFromEntericFermentation(X143,X107,X127)</f>
        <v>#VALUE!</v>
      </c>
      <c r="Y159" s="25" t="e" cm="1">
        <f t="array" aca="1" ref="Y159" ca="1">EntericMethane_PastureBeef_Equations.VEERG_3_2_1_1__1_TotalAnnualMethaneFromEntericFermentation(Y143,Y107,Y127)</f>
        <v>#VALUE!</v>
      </c>
      <c r="Z159" s="25" t="e" cm="1">
        <f t="array" aca="1" ref="Z159" ca="1">EntericMethane_PastureBeef_Equations.VEERG_3_2_1_1__1_TotalAnnualMethaneFromEntericFermentation(Z143,Z107,Z127)</f>
        <v>#VALUE!</v>
      </c>
      <c r="AA159" s="25" t="e" cm="1">
        <f t="array" aca="1" ref="AA159" ca="1">EntericMethane_PastureBeef_Equations.VEERG_3_2_1_1__1_TotalAnnualMethaneFromEntericFermentation(AA143,AA107,AA127)</f>
        <v>#VALUE!</v>
      </c>
      <c r="AB159" s="25" t="e" cm="1">
        <f t="array" aca="1" ref="AB159" ca="1">EntericMethane_PastureBeef_Equations.VEERG_3_2_1_1__1_TotalAnnualMethaneFromEntericFermentation(AB143,AB107,AB127)</f>
        <v>#VALUE!</v>
      </c>
      <c r="AC159" s="25" t="e" cm="1">
        <f t="array" aca="1" ref="AC159" ca="1">EntericMethane_PastureBeef_Equations.VEERG_3_2_1_1__1_TotalAnnualMethaneFromEntericFermentation(AC143,AC107,AC127)</f>
        <v>#VALUE!</v>
      </c>
      <c r="AD159" s="25" t="e" cm="1">
        <f t="array" aca="1" ref="AD159" ca="1">EntericMethane_PastureBeef_Equations.VEERG_3_2_1_1__1_TotalAnnualMethaneFromEntericFermentation(AD143,AD107,AD127)</f>
        <v>#VALUE!</v>
      </c>
      <c r="AE159" s="25" t="e" cm="1">
        <f t="array" aca="1" ref="AE159" ca="1">EntericMethane_PastureBeef_Equations.VEERG_3_2_1_1__1_TotalAnnualMethaneFromEntericFermentation(AE143,AE107,AE127)</f>
        <v>#VALUE!</v>
      </c>
      <c r="AF159" s="26"/>
    </row>
    <row r="160" spans="21:32" ht="20.100000000000001" customHeight="1" x14ac:dyDescent="0.25">
      <c r="U160" s="25" t="e">
        <f t="shared" si="3"/>
        <v>#VALUE!</v>
      </c>
      <c r="V160" s="25" t="e" cm="1">
        <f t="array" aca="1" ref="V160" ca="1">EntericMethane_PastureBeef_Equations.VEERG_3_2_1_1__1_TotalAnnualMethaneFromEntericFermentation(V144,V108,V128)</f>
        <v>#VALUE!</v>
      </c>
      <c r="W160" s="25" t="e" cm="1">
        <f t="array" aca="1" ref="W160" ca="1">EntericMethane_PastureBeef_Equations.VEERG_3_2_1_1__1_TotalAnnualMethaneFromEntericFermentation(W144,W108,W128)</f>
        <v>#VALUE!</v>
      </c>
      <c r="X160" s="25" t="e" cm="1">
        <f t="array" aca="1" ref="X160" ca="1">EntericMethane_PastureBeef_Equations.VEERG_3_2_1_1__1_TotalAnnualMethaneFromEntericFermentation(X144,X108,X128)</f>
        <v>#VALUE!</v>
      </c>
      <c r="Y160" s="25" t="e" cm="1">
        <f t="array" aca="1" ref="Y160" ca="1">EntericMethane_PastureBeef_Equations.VEERG_3_2_1_1__1_TotalAnnualMethaneFromEntericFermentation(Y144,Y108,Y128)</f>
        <v>#VALUE!</v>
      </c>
      <c r="Z160" s="25" t="e" cm="1">
        <f t="array" aca="1" ref="Z160" ca="1">EntericMethane_PastureBeef_Equations.VEERG_3_2_1_1__1_TotalAnnualMethaneFromEntericFermentation(Z144,Z108,Z128)</f>
        <v>#VALUE!</v>
      </c>
      <c r="AA160" s="25" t="e" cm="1">
        <f t="array" aca="1" ref="AA160" ca="1">EntericMethane_PastureBeef_Equations.VEERG_3_2_1_1__1_TotalAnnualMethaneFromEntericFermentation(AA144,AA108,AA128)</f>
        <v>#VALUE!</v>
      </c>
      <c r="AB160" s="25" t="e" cm="1">
        <f t="array" aca="1" ref="AB160" ca="1">EntericMethane_PastureBeef_Equations.VEERG_3_2_1_1__1_TotalAnnualMethaneFromEntericFermentation(AB144,AB108,AB128)</f>
        <v>#VALUE!</v>
      </c>
      <c r="AC160" s="25" t="e" cm="1">
        <f t="array" aca="1" ref="AC160" ca="1">EntericMethane_PastureBeef_Equations.VEERG_3_2_1_1__1_TotalAnnualMethaneFromEntericFermentation(AC144,AC108,AC128)</f>
        <v>#VALUE!</v>
      </c>
      <c r="AD160" s="25" t="e" cm="1">
        <f t="array" aca="1" ref="AD160" ca="1">EntericMethane_PastureBeef_Equations.VEERG_3_2_1_1__1_TotalAnnualMethaneFromEntericFermentation(AD144,AD108,AD128)</f>
        <v>#VALUE!</v>
      </c>
      <c r="AE160" s="25" t="e" cm="1">
        <f t="array" aca="1" ref="AE160" ca="1">EntericMethane_PastureBeef_Equations.VEERG_3_2_1_1__1_TotalAnnualMethaneFromEntericFermentation(AE144,AE108,AE128)</f>
        <v>#VALUE!</v>
      </c>
      <c r="AF160" s="26"/>
    </row>
    <row r="161" spans="21:24" ht="20.100000000000001" customHeight="1" x14ac:dyDescent="0.25">
      <c r="U161" s="119" t="s">
        <v>295</v>
      </c>
      <c r="V161" s="120" t="e">
        <f ca="1">SUM(V149:AE160)</f>
        <v>#VALUE!</v>
      </c>
      <c r="W161" s="121" t="e">
        <f ca="1">V140</f>
        <v>#VALUE!</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t="e">
        <f ca="1">V161</f>
        <v>#VALUE!</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t="e" cm="1">
        <f t="array" aca="1" ref="V166" ca="1">Common_Equations.Common_ConvertN2OToCO2e(X163,X164)</f>
        <v>#VALUE!</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85A898C0-7F87-4CCB-8D31-235E90F74508}"/>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A6820-B85B-46C7-ABCB-0EA84F9DA66A}">
  <dimension ref="A1:AK281"/>
  <sheetViews>
    <sheetView showGridLines="0" topLeftCell="A209"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TEXT(X_Cell_Site_StartDate,"mmmm")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e">
        <f>TEXT(EDATE(X_Cell_Site_StartDate,1),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TEXT(EDATE(X_Cell_Site_StartDate,2),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TEXT(EDATE(X_Cell_Site_StartDate,3),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TEXT(EDATE(X_Cell_Site_StartDate,4),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TEXT(EDATE(X_Cell_Site_StartDate,5),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TEXT(EDATE(X_Cell_Site_StartDate,6),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TEXT(EDATE(X_Cell_Site_StartDate,7),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TEXT(EDATE(X_Cell_Site_StartDate,8),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TEXT(EDATE(X_Cell_Site_StartDate,9),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e">
        <f>TEXT(EDATE(X_Cell_Site_StartDate,10),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e">
        <f>TEXT(EDATE(X_Cell_Site_StartDate,11),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TEXT(X_Cell_Site_StartDate,"mmmm")</f>
        <v>NO - Not in leaching zone</v>
      </c>
      <c r="X44" s="25" t="e" cm="1">
        <f t="array" aca="1" ref="X44:AG55" ca="1">OFFSET(X_Table_PastureBeef_Liveweight_Method2, 1,1, 12,10)</f>
        <v>#N/A</v>
      </c>
      <c r="Y44" s="25" t="e">
        <f ca="1"/>
        <v>#N/A</v>
      </c>
      <c r="Z44" s="25" t="e">
        <f ca="1"/>
        <v>#N/A</v>
      </c>
      <c r="AA44" s="25" t="e">
        <f ca="1"/>
        <v>#N/A</v>
      </c>
      <c r="AB44" s="25" t="e">
        <f ca="1"/>
        <v>#N/A</v>
      </c>
      <c r="AC44" s="25" t="e">
        <f ca="1"/>
        <v>#N/A</v>
      </c>
      <c r="AD44" s="25" t="e">
        <f ca="1"/>
        <v>#N/A</v>
      </c>
      <c r="AE44" s="25" t="e">
        <f ca="1"/>
        <v>#N/A</v>
      </c>
      <c r="AF44" s="25" t="e">
        <f ca="1"/>
        <v>#N/A</v>
      </c>
      <c r="AG44" s="25" t="e">
        <f ca="1"/>
        <v>#N/A</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TEXT(EDATE(X_Cell_Site_StartDate,1), "mmmm")</f>
        <v>#VALUE!</v>
      </c>
      <c r="X45" s="25" t="e">
        <f ca="1"/>
        <v>#N/A</v>
      </c>
      <c r="Y45" s="25" t="e">
        <f ca="1"/>
        <v>#N/A</v>
      </c>
      <c r="Z45" s="25" t="e">
        <f ca="1"/>
        <v>#N/A</v>
      </c>
      <c r="AA45" s="25" t="e">
        <f ca="1"/>
        <v>#N/A</v>
      </c>
      <c r="AB45" s="25" t="e">
        <f ca="1"/>
        <v>#N/A</v>
      </c>
      <c r="AC45" s="25" t="e">
        <f ca="1"/>
        <v>#N/A</v>
      </c>
      <c r="AD45" s="25" t="e">
        <f ca="1"/>
        <v>#N/A</v>
      </c>
      <c r="AE45" s="25" t="e">
        <f ca="1"/>
        <v>#N/A</v>
      </c>
      <c r="AF45" s="25" t="e">
        <f ca="1"/>
        <v>#N/A</v>
      </c>
      <c r="AG45" s="25" t="e">
        <f ca="1"/>
        <v>#N/A</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TEXT(EDATE(X_Cell_Site_StartDate,2), "mmmm")</f>
        <v>#VALUE!</v>
      </c>
      <c r="X46" s="25" t="e">
        <f ca="1"/>
        <v>#N/A</v>
      </c>
      <c r="Y46" s="25" t="e">
        <f ca="1"/>
        <v>#N/A</v>
      </c>
      <c r="Z46" s="25" t="e">
        <f ca="1"/>
        <v>#N/A</v>
      </c>
      <c r="AA46" s="25" t="e">
        <f ca="1"/>
        <v>#N/A</v>
      </c>
      <c r="AB46" s="25" t="e">
        <f ca="1"/>
        <v>#N/A</v>
      </c>
      <c r="AC46" s="25" t="e">
        <f ca="1"/>
        <v>#N/A</v>
      </c>
      <c r="AD46" s="25" t="e">
        <f ca="1"/>
        <v>#N/A</v>
      </c>
      <c r="AE46" s="25" t="e">
        <f ca="1"/>
        <v>#N/A</v>
      </c>
      <c r="AF46" s="25" t="e">
        <f ca="1"/>
        <v>#N/A</v>
      </c>
      <c r="AG46" s="25" t="e">
        <f ca="1"/>
        <v>#N/A</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TEXT(EDATE(X_Cell_Site_StartDate,3), "mmmm")</f>
        <v>#VALUE!</v>
      </c>
      <c r="X47" s="25" t="e">
        <f ca="1"/>
        <v>#N/A</v>
      </c>
      <c r="Y47" s="25" t="e">
        <f ca="1"/>
        <v>#N/A</v>
      </c>
      <c r="Z47" s="25" t="e">
        <f ca="1"/>
        <v>#N/A</v>
      </c>
      <c r="AA47" s="25" t="e">
        <f ca="1"/>
        <v>#N/A</v>
      </c>
      <c r="AB47" s="25" t="e">
        <f ca="1"/>
        <v>#N/A</v>
      </c>
      <c r="AC47" s="25" t="e">
        <f ca="1"/>
        <v>#N/A</v>
      </c>
      <c r="AD47" s="25" t="e">
        <f ca="1"/>
        <v>#N/A</v>
      </c>
      <c r="AE47" s="25" t="e">
        <f ca="1"/>
        <v>#N/A</v>
      </c>
      <c r="AF47" s="25" t="e">
        <f ca="1"/>
        <v>#N/A</v>
      </c>
      <c r="AG47" s="25" t="e">
        <f ca="1"/>
        <v>#N/A</v>
      </c>
      <c r="AH47" s="26" t="s">
        <v>209</v>
      </c>
    </row>
    <row r="48" spans="1:36" ht="20.100000000000001" customHeight="1" x14ac:dyDescent="0.25">
      <c r="W48" s="25" t="e">
        <f>TEXT(EDATE(X_Cell_Site_StartDate,4), "mmmm")</f>
        <v>#VALUE!</v>
      </c>
      <c r="X48" s="25" t="e">
        <f ca="1"/>
        <v>#N/A</v>
      </c>
      <c r="Y48" s="25" t="e">
        <f ca="1"/>
        <v>#N/A</v>
      </c>
      <c r="Z48" s="25" t="e">
        <f ca="1"/>
        <v>#N/A</v>
      </c>
      <c r="AA48" s="25" t="e">
        <f ca="1"/>
        <v>#N/A</v>
      </c>
      <c r="AB48" s="25" t="e">
        <f ca="1"/>
        <v>#N/A</v>
      </c>
      <c r="AC48" s="25" t="e">
        <f ca="1"/>
        <v>#N/A</v>
      </c>
      <c r="AD48" s="25" t="e">
        <f ca="1"/>
        <v>#N/A</v>
      </c>
      <c r="AE48" s="25" t="e">
        <f ca="1"/>
        <v>#N/A</v>
      </c>
      <c r="AF48" s="25" t="e">
        <f ca="1"/>
        <v>#N/A</v>
      </c>
      <c r="AG48" s="25" t="e">
        <f ca="1"/>
        <v>#N/A</v>
      </c>
      <c r="AH48" s="26" t="s">
        <v>209</v>
      </c>
    </row>
    <row r="49" spans="4:36" ht="20.100000000000001" customHeight="1" x14ac:dyDescent="0.25">
      <c r="D49" s="114" t="s">
        <v>273</v>
      </c>
      <c r="W49" s="25" t="e">
        <f>TEXT(EDATE(X_Cell_Site_StartDate,5), "mmmm")</f>
        <v>#VALUE!</v>
      </c>
      <c r="X49" s="25" t="e">
        <f ca="1"/>
        <v>#N/A</v>
      </c>
      <c r="Y49" s="25" t="e">
        <f ca="1"/>
        <v>#N/A</v>
      </c>
      <c r="Z49" s="25" t="e">
        <f ca="1"/>
        <v>#N/A</v>
      </c>
      <c r="AA49" s="25" t="e">
        <f ca="1"/>
        <v>#N/A</v>
      </c>
      <c r="AB49" s="25" t="e">
        <f ca="1"/>
        <v>#N/A</v>
      </c>
      <c r="AC49" s="25" t="e">
        <f ca="1"/>
        <v>#N/A</v>
      </c>
      <c r="AD49" s="25" t="e">
        <f ca="1"/>
        <v>#N/A</v>
      </c>
      <c r="AE49" s="25" t="e">
        <f ca="1"/>
        <v>#N/A</v>
      </c>
      <c r="AF49" s="25" t="e">
        <f ca="1"/>
        <v>#N/A</v>
      </c>
      <c r="AG49" s="25" t="e">
        <f ca="1"/>
        <v>#N/A</v>
      </c>
      <c r="AH49" s="26" t="s">
        <v>209</v>
      </c>
    </row>
    <row r="50" spans="4:36" ht="20.100000000000001" customHeight="1" x14ac:dyDescent="0.25">
      <c r="D50" s="115" t="s">
        <v>274</v>
      </c>
      <c r="W50" s="25" t="e">
        <f>TEXT(EDATE(X_Cell_Site_StartDate,6), "mmmm")</f>
        <v>#VALUE!</v>
      </c>
      <c r="X50" s="25" t="e">
        <f ca="1"/>
        <v>#N/A</v>
      </c>
      <c r="Y50" s="25" t="e">
        <f ca="1"/>
        <v>#N/A</v>
      </c>
      <c r="Z50" s="25" t="e">
        <f ca="1"/>
        <v>#N/A</v>
      </c>
      <c r="AA50" s="25" t="e">
        <f ca="1"/>
        <v>#N/A</v>
      </c>
      <c r="AB50" s="25" t="e">
        <f ca="1"/>
        <v>#N/A</v>
      </c>
      <c r="AC50" s="25" t="e">
        <f ca="1"/>
        <v>#N/A</v>
      </c>
      <c r="AD50" s="25" t="e">
        <f ca="1"/>
        <v>#N/A</v>
      </c>
      <c r="AE50" s="25" t="e">
        <f ca="1"/>
        <v>#N/A</v>
      </c>
      <c r="AF50" s="25" t="e">
        <f ca="1"/>
        <v>#N/A</v>
      </c>
      <c r="AG50" s="25" t="e">
        <f ca="1"/>
        <v>#N/A</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e">
        <f>TEXT(EDATE(X_Cell_Site_StartDate,7), "mmmm")</f>
        <v>#VALUE!</v>
      </c>
      <c r="X51" s="25" t="e">
        <f ca="1"/>
        <v>#N/A</v>
      </c>
      <c r="Y51" s="25" t="e">
        <f ca="1"/>
        <v>#N/A</v>
      </c>
      <c r="Z51" s="25" t="e">
        <f ca="1"/>
        <v>#N/A</v>
      </c>
      <c r="AA51" s="25" t="e">
        <f ca="1"/>
        <v>#N/A</v>
      </c>
      <c r="AB51" s="25" t="e">
        <f ca="1"/>
        <v>#N/A</v>
      </c>
      <c r="AC51" s="25" t="e">
        <f ca="1"/>
        <v>#N/A</v>
      </c>
      <c r="AD51" s="25" t="e">
        <f ca="1"/>
        <v>#N/A</v>
      </c>
      <c r="AE51" s="25" t="e">
        <f ca="1"/>
        <v>#N/A</v>
      </c>
      <c r="AF51" s="25" t="e">
        <f ca="1"/>
        <v>#N/A</v>
      </c>
      <c r="AG51" s="25" t="e">
        <f ca="1"/>
        <v>#N/A</v>
      </c>
      <c r="AH51" s="26" t="s">
        <v>209</v>
      </c>
      <c r="AI51" s="26"/>
      <c r="AJ51" s="26"/>
    </row>
    <row r="52" spans="4:36" ht="20.100000000000001" customHeight="1" x14ac:dyDescent="0.25">
      <c r="D52" s="25" t="str">
        <f>INDEX(X_Table_PastureBeef_Liveweight_Method1,2,1)</f>
        <v>Spring</v>
      </c>
      <c r="E52" s="25" t="e" cm="1">
        <f t="array" aca="1" ref="E52:N55" ca="1">OFFSET(X_Table_PastureBeef_Liveweight_Method1, 1,1, 4,10)</f>
        <v>#N/A</v>
      </c>
      <c r="F52" s="25" t="e">
        <f ca="1"/>
        <v>#N/A</v>
      </c>
      <c r="G52" s="25" t="e">
        <f ca="1"/>
        <v>#N/A</v>
      </c>
      <c r="H52" s="25" t="e">
        <f ca="1"/>
        <v>#N/A</v>
      </c>
      <c r="I52" s="25" t="e">
        <f ca="1"/>
        <v>#N/A</v>
      </c>
      <c r="J52" s="25" t="e">
        <f ca="1"/>
        <v>#N/A</v>
      </c>
      <c r="K52" s="25" t="e">
        <f ca="1"/>
        <v>#N/A</v>
      </c>
      <c r="L52" s="25" t="e">
        <f ca="1"/>
        <v>#N/A</v>
      </c>
      <c r="M52" s="25" t="e">
        <f ca="1"/>
        <v>#N/A</v>
      </c>
      <c r="N52" s="25" t="e">
        <f ca="1"/>
        <v>#N/A</v>
      </c>
      <c r="O52" s="26" t="s">
        <v>209</v>
      </c>
      <c r="P52" s="26"/>
      <c r="Q52" s="26"/>
      <c r="R52" s="26"/>
      <c r="S52" s="26"/>
      <c r="W52" s="25" t="e">
        <f>TEXT(EDATE(X_Cell_Site_StartDate,8), "mmmm")</f>
        <v>#VALUE!</v>
      </c>
      <c r="X52" s="25" t="e">
        <f ca="1"/>
        <v>#N/A</v>
      </c>
      <c r="Y52" s="25" t="e">
        <f ca="1"/>
        <v>#N/A</v>
      </c>
      <c r="Z52" s="25" t="e">
        <f ca="1"/>
        <v>#N/A</v>
      </c>
      <c r="AA52" s="25" t="e">
        <f ca="1"/>
        <v>#N/A</v>
      </c>
      <c r="AB52" s="25" t="e">
        <f ca="1"/>
        <v>#N/A</v>
      </c>
      <c r="AC52" s="25" t="e">
        <f ca="1"/>
        <v>#N/A</v>
      </c>
      <c r="AD52" s="25" t="e">
        <f ca="1"/>
        <v>#N/A</v>
      </c>
      <c r="AE52" s="25" t="e">
        <f ca="1"/>
        <v>#N/A</v>
      </c>
      <c r="AF52" s="25" t="e">
        <f ca="1"/>
        <v>#N/A</v>
      </c>
      <c r="AG52" s="25" t="e">
        <f ca="1"/>
        <v>#N/A</v>
      </c>
      <c r="AH52" s="26" t="s">
        <v>209</v>
      </c>
      <c r="AI52" s="26"/>
      <c r="AJ52" s="26"/>
    </row>
    <row r="53" spans="4:36" ht="20.100000000000001" customHeight="1" x14ac:dyDescent="0.25">
      <c r="D53" s="25" t="str">
        <f>INDEX(X_Table_PastureBeef_Liveweight_Method1,3,1)</f>
        <v>Summer</v>
      </c>
      <c r="E53" s="25" t="e">
        <f ca="1"/>
        <v>#N/A</v>
      </c>
      <c r="F53" s="25" t="e">
        <f ca="1"/>
        <v>#N/A</v>
      </c>
      <c r="G53" s="25" t="e">
        <f ca="1"/>
        <v>#N/A</v>
      </c>
      <c r="H53" s="25" t="e">
        <f ca="1"/>
        <v>#N/A</v>
      </c>
      <c r="I53" s="25" t="e">
        <f ca="1"/>
        <v>#N/A</v>
      </c>
      <c r="J53" s="25" t="e">
        <f ca="1"/>
        <v>#N/A</v>
      </c>
      <c r="K53" s="25" t="e">
        <f ca="1"/>
        <v>#N/A</v>
      </c>
      <c r="L53" s="25" t="e">
        <f ca="1"/>
        <v>#N/A</v>
      </c>
      <c r="M53" s="25" t="e">
        <f ca="1"/>
        <v>#N/A</v>
      </c>
      <c r="N53" s="25" t="e">
        <f ca="1"/>
        <v>#N/A</v>
      </c>
      <c r="O53" s="26" t="s">
        <v>209</v>
      </c>
      <c r="P53" s="26"/>
      <c r="Q53" s="26"/>
      <c r="R53" s="26"/>
      <c r="S53" s="26"/>
      <c r="W53" s="25" t="e">
        <f>TEXT(EDATE(X_Cell_Site_StartDate,9), "mmmm")</f>
        <v>#VALUE!</v>
      </c>
      <c r="X53" s="25" t="e">
        <f ca="1"/>
        <v>#N/A</v>
      </c>
      <c r="Y53" s="25" t="e">
        <f ca="1"/>
        <v>#N/A</v>
      </c>
      <c r="Z53" s="25" t="e">
        <f ca="1"/>
        <v>#N/A</v>
      </c>
      <c r="AA53" s="25" t="e">
        <f ca="1"/>
        <v>#N/A</v>
      </c>
      <c r="AB53" s="25" t="e">
        <f ca="1"/>
        <v>#N/A</v>
      </c>
      <c r="AC53" s="25" t="e">
        <f ca="1"/>
        <v>#N/A</v>
      </c>
      <c r="AD53" s="25" t="e">
        <f ca="1"/>
        <v>#N/A</v>
      </c>
      <c r="AE53" s="25" t="e">
        <f ca="1"/>
        <v>#N/A</v>
      </c>
      <c r="AF53" s="25" t="e">
        <f ca="1"/>
        <v>#N/A</v>
      </c>
      <c r="AG53" s="25" t="e">
        <f ca="1"/>
        <v>#N/A</v>
      </c>
      <c r="AH53" s="26" t="s">
        <v>209</v>
      </c>
      <c r="AI53" s="26"/>
      <c r="AJ53" s="26"/>
    </row>
    <row r="54" spans="4:36" ht="20.100000000000001" customHeight="1" x14ac:dyDescent="0.25">
      <c r="D54" s="25" t="str">
        <f>INDEX(X_Table_PastureBeef_Liveweight_Method1,4,1)</f>
        <v>Autumn</v>
      </c>
      <c r="E54" s="25" t="e">
        <f ca="1"/>
        <v>#N/A</v>
      </c>
      <c r="F54" s="25" t="e">
        <f ca="1"/>
        <v>#N/A</v>
      </c>
      <c r="G54" s="25" t="e">
        <f ca="1"/>
        <v>#N/A</v>
      </c>
      <c r="H54" s="25" t="e">
        <f ca="1"/>
        <v>#N/A</v>
      </c>
      <c r="I54" s="25" t="e">
        <f ca="1"/>
        <v>#N/A</v>
      </c>
      <c r="J54" s="25" t="e">
        <f ca="1"/>
        <v>#N/A</v>
      </c>
      <c r="K54" s="25" t="e">
        <f ca="1"/>
        <v>#N/A</v>
      </c>
      <c r="L54" s="25" t="e">
        <f ca="1"/>
        <v>#N/A</v>
      </c>
      <c r="M54" s="25" t="e">
        <f ca="1"/>
        <v>#N/A</v>
      </c>
      <c r="N54" s="25" t="e">
        <f ca="1"/>
        <v>#N/A</v>
      </c>
      <c r="O54" s="26" t="s">
        <v>209</v>
      </c>
      <c r="P54" s="26"/>
      <c r="Q54" s="26"/>
      <c r="R54" s="26"/>
      <c r="S54" s="26"/>
      <c r="W54" s="25" t="e">
        <f>TEXT(EDATE(X_Cell_Site_StartDate,10), "mmmm")</f>
        <v>#VALUE!</v>
      </c>
      <c r="X54" s="25" t="e">
        <f ca="1"/>
        <v>#N/A</v>
      </c>
      <c r="Y54" s="25" t="e">
        <f ca="1"/>
        <v>#N/A</v>
      </c>
      <c r="Z54" s="25" t="e">
        <f ca="1"/>
        <v>#N/A</v>
      </c>
      <c r="AA54" s="25" t="e">
        <f ca="1"/>
        <v>#N/A</v>
      </c>
      <c r="AB54" s="25" t="e">
        <f ca="1"/>
        <v>#N/A</v>
      </c>
      <c r="AC54" s="25" t="e">
        <f ca="1"/>
        <v>#N/A</v>
      </c>
      <c r="AD54" s="25" t="e">
        <f ca="1"/>
        <v>#N/A</v>
      </c>
      <c r="AE54" s="25" t="e">
        <f ca="1"/>
        <v>#N/A</v>
      </c>
      <c r="AF54" s="25" t="e">
        <f ca="1"/>
        <v>#N/A</v>
      </c>
      <c r="AG54" s="25" t="e">
        <f ca="1"/>
        <v>#N/A</v>
      </c>
      <c r="AH54" s="26" t="s">
        <v>209</v>
      </c>
      <c r="AI54" s="26"/>
      <c r="AJ54" s="26"/>
    </row>
    <row r="55" spans="4:36" ht="20.100000000000001" customHeight="1" x14ac:dyDescent="0.25">
      <c r="D55" s="25" t="str">
        <f>INDEX(X_Table_PastureBeef_Liveweight_Method1,5,1)</f>
        <v>Winter</v>
      </c>
      <c r="E55" s="25" t="e">
        <f ca="1"/>
        <v>#N/A</v>
      </c>
      <c r="F55" s="25" t="e">
        <f ca="1"/>
        <v>#N/A</v>
      </c>
      <c r="G55" s="25" t="e">
        <f ca="1"/>
        <v>#N/A</v>
      </c>
      <c r="H55" s="25" t="e">
        <f ca="1"/>
        <v>#N/A</v>
      </c>
      <c r="I55" s="25" t="e">
        <f ca="1"/>
        <v>#N/A</v>
      </c>
      <c r="J55" s="25" t="e">
        <f ca="1"/>
        <v>#N/A</v>
      </c>
      <c r="K55" s="25" t="e">
        <f ca="1"/>
        <v>#N/A</v>
      </c>
      <c r="L55" s="25" t="e">
        <f ca="1"/>
        <v>#N/A</v>
      </c>
      <c r="M55" s="25" t="e">
        <f ca="1"/>
        <v>#N/A</v>
      </c>
      <c r="N55" s="25" t="e">
        <f ca="1"/>
        <v>#N/A</v>
      </c>
      <c r="O55" s="26" t="s">
        <v>209</v>
      </c>
      <c r="P55" s="26"/>
      <c r="Q55" s="26"/>
      <c r="R55" s="26"/>
      <c r="S55" s="26"/>
      <c r="W55" s="25" t="e">
        <f>TEXT(EDATE(X_Cell_Site_StartDate,11), "mmmm")</f>
        <v>#VALUE!</v>
      </c>
      <c r="X55" s="25" t="e">
        <f ca="1"/>
        <v>#N/A</v>
      </c>
      <c r="Y55" s="25" t="e">
        <f ca="1"/>
        <v>#N/A</v>
      </c>
      <c r="Z55" s="25" t="e">
        <f ca="1"/>
        <v>#N/A</v>
      </c>
      <c r="AA55" s="25" t="e">
        <f ca="1"/>
        <v>#N/A</v>
      </c>
      <c r="AB55" s="25" t="e">
        <f ca="1"/>
        <v>#N/A</v>
      </c>
      <c r="AC55" s="25" t="e">
        <f ca="1"/>
        <v>#N/A</v>
      </c>
      <c r="AD55" s="25" t="e">
        <f ca="1"/>
        <v>#N/A</v>
      </c>
      <c r="AE55" s="25" t="e">
        <f ca="1"/>
        <v>#N/A</v>
      </c>
      <c r="AF55" s="25" t="e">
        <f ca="1"/>
        <v>#N/A</v>
      </c>
      <c r="AG55" s="25" t="e">
        <f ca="1"/>
        <v>#N/A</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TEXT(X_Cell_Site_StartDate,"mmmm")</f>
        <v>NO - Not in leaching zone</v>
      </c>
      <c r="X60" s="25" t="e" cm="1">
        <f t="array" aca="1" ref="X60:AG71" ca="1">OFFSET(X_Table_PastureBeef_LiveweightGain_Method2, 1,1, 12,10)</f>
        <v>#N/A</v>
      </c>
      <c r="Y60" s="25" t="e">
        <f ca="1"/>
        <v>#N/A</v>
      </c>
      <c r="Z60" s="25" t="e">
        <f ca="1"/>
        <v>#N/A</v>
      </c>
      <c r="AA60" s="25" t="e">
        <f ca="1"/>
        <v>#N/A</v>
      </c>
      <c r="AB60" s="25" t="e">
        <f ca="1"/>
        <v>#N/A</v>
      </c>
      <c r="AC60" s="25" t="e">
        <f ca="1"/>
        <v>#N/A</v>
      </c>
      <c r="AD60" s="25" t="e">
        <f ca="1"/>
        <v>#N/A</v>
      </c>
      <c r="AE60" s="25" t="e">
        <f ca="1"/>
        <v>#N/A</v>
      </c>
      <c r="AF60" s="25" t="e">
        <f ca="1"/>
        <v>#N/A</v>
      </c>
      <c r="AG60" s="25" t="e">
        <f ca="1"/>
        <v>#N/A</v>
      </c>
      <c r="AH60" s="26" t="s">
        <v>211</v>
      </c>
      <c r="AI60" s="26"/>
      <c r="AJ60" s="26"/>
    </row>
    <row r="61" spans="4:36" ht="20.100000000000001" customHeight="1" x14ac:dyDescent="0.25">
      <c r="W61" s="25" t="e">
        <f>TEXT(EDATE(X_Cell_Site_StartDate,1), "mmmm")</f>
        <v>#VALUE!</v>
      </c>
      <c r="X61" s="25" t="e">
        <f ca="1"/>
        <v>#N/A</v>
      </c>
      <c r="Y61" s="25" t="e">
        <f ca="1"/>
        <v>#N/A</v>
      </c>
      <c r="Z61" s="25" t="e">
        <f ca="1"/>
        <v>#N/A</v>
      </c>
      <c r="AA61" s="25" t="e">
        <f ca="1"/>
        <v>#N/A</v>
      </c>
      <c r="AB61" s="25" t="e">
        <f ca="1"/>
        <v>#N/A</v>
      </c>
      <c r="AC61" s="25" t="e">
        <f ca="1"/>
        <v>#N/A</v>
      </c>
      <c r="AD61" s="25" t="e">
        <f ca="1"/>
        <v>#N/A</v>
      </c>
      <c r="AE61" s="25" t="e">
        <f ca="1"/>
        <v>#N/A</v>
      </c>
      <c r="AF61" s="25" t="e">
        <f ca="1"/>
        <v>#N/A</v>
      </c>
      <c r="AG61" s="25" t="e">
        <f ca="1"/>
        <v>#N/A</v>
      </c>
      <c r="AH61" s="26" t="s">
        <v>211</v>
      </c>
      <c r="AI61" s="26"/>
      <c r="AJ61" s="26"/>
    </row>
    <row r="62" spans="4:36" ht="20.100000000000001" customHeight="1" x14ac:dyDescent="0.25">
      <c r="W62" s="25" t="e">
        <f>TEXT(EDATE(X_Cell_Site_StartDate,2), "mmmm")</f>
        <v>#VALUE!</v>
      </c>
      <c r="X62" s="25" t="e">
        <f ca="1"/>
        <v>#N/A</v>
      </c>
      <c r="Y62" s="25" t="e">
        <f ca="1"/>
        <v>#N/A</v>
      </c>
      <c r="Z62" s="25" t="e">
        <f ca="1"/>
        <v>#N/A</v>
      </c>
      <c r="AA62" s="25" t="e">
        <f ca="1"/>
        <v>#N/A</v>
      </c>
      <c r="AB62" s="25" t="e">
        <f ca="1"/>
        <v>#N/A</v>
      </c>
      <c r="AC62" s="25" t="e">
        <f ca="1"/>
        <v>#N/A</v>
      </c>
      <c r="AD62" s="25" t="e">
        <f ca="1"/>
        <v>#N/A</v>
      </c>
      <c r="AE62" s="25" t="e">
        <f ca="1"/>
        <v>#N/A</v>
      </c>
      <c r="AF62" s="25" t="e">
        <f ca="1"/>
        <v>#N/A</v>
      </c>
      <c r="AG62" s="25" t="e">
        <f ca="1"/>
        <v>#N/A</v>
      </c>
      <c r="AH62" s="26" t="s">
        <v>211</v>
      </c>
      <c r="AI62" s="26"/>
      <c r="AJ62" s="26"/>
    </row>
    <row r="63" spans="4:36" ht="20.100000000000001" customHeight="1" x14ac:dyDescent="0.25">
      <c r="W63" s="25" t="e">
        <f>TEXT(EDATE(X_Cell_Site_StartDate,3), "mmmm")</f>
        <v>#VALUE!</v>
      </c>
      <c r="X63" s="25" t="e">
        <f ca="1"/>
        <v>#N/A</v>
      </c>
      <c r="Y63" s="25" t="e">
        <f ca="1"/>
        <v>#N/A</v>
      </c>
      <c r="Z63" s="25" t="e">
        <f ca="1"/>
        <v>#N/A</v>
      </c>
      <c r="AA63" s="25" t="e">
        <f ca="1"/>
        <v>#N/A</v>
      </c>
      <c r="AB63" s="25" t="e">
        <f ca="1"/>
        <v>#N/A</v>
      </c>
      <c r="AC63" s="25" t="e">
        <f ca="1"/>
        <v>#N/A</v>
      </c>
      <c r="AD63" s="25" t="e">
        <f ca="1"/>
        <v>#N/A</v>
      </c>
      <c r="AE63" s="25" t="e">
        <f ca="1"/>
        <v>#N/A</v>
      </c>
      <c r="AF63" s="25" t="e">
        <f ca="1"/>
        <v>#N/A</v>
      </c>
      <c r="AG63" s="25" t="e">
        <f ca="1"/>
        <v>#N/A</v>
      </c>
      <c r="AH63" s="26" t="s">
        <v>211</v>
      </c>
      <c r="AI63" s="26"/>
      <c r="AJ63" s="26"/>
    </row>
    <row r="64" spans="4:36" ht="20.100000000000001" customHeight="1" x14ac:dyDescent="0.25">
      <c r="W64" s="25" t="e">
        <f>TEXT(EDATE(X_Cell_Site_StartDate,4), "mmmm")</f>
        <v>#VALUE!</v>
      </c>
      <c r="X64" s="25" t="e">
        <f ca="1"/>
        <v>#N/A</v>
      </c>
      <c r="Y64" s="25" t="e">
        <f ca="1"/>
        <v>#N/A</v>
      </c>
      <c r="Z64" s="25" t="e">
        <f ca="1"/>
        <v>#N/A</v>
      </c>
      <c r="AA64" s="25" t="e">
        <f ca="1"/>
        <v>#N/A</v>
      </c>
      <c r="AB64" s="25" t="e">
        <f ca="1"/>
        <v>#N/A</v>
      </c>
      <c r="AC64" s="25" t="e">
        <f ca="1"/>
        <v>#N/A</v>
      </c>
      <c r="AD64" s="25" t="e">
        <f ca="1"/>
        <v>#N/A</v>
      </c>
      <c r="AE64" s="25" t="e">
        <f ca="1"/>
        <v>#N/A</v>
      </c>
      <c r="AF64" s="25" t="e">
        <f ca="1"/>
        <v>#N/A</v>
      </c>
      <c r="AG64" s="25" t="e">
        <f ca="1"/>
        <v>#N/A</v>
      </c>
      <c r="AH64" s="26" t="s">
        <v>211</v>
      </c>
    </row>
    <row r="65" spans="4:36" ht="20.100000000000001" customHeight="1" x14ac:dyDescent="0.25">
      <c r="D65" s="114" t="s">
        <v>275</v>
      </c>
      <c r="W65" s="25" t="e">
        <f>TEXT(EDATE(X_Cell_Site_StartDate,5), "mmmm")</f>
        <v>#VALUE!</v>
      </c>
      <c r="X65" s="25" t="e">
        <f ca="1"/>
        <v>#N/A</v>
      </c>
      <c r="Y65" s="25" t="e">
        <f ca="1"/>
        <v>#N/A</v>
      </c>
      <c r="Z65" s="25" t="e">
        <f ca="1"/>
        <v>#N/A</v>
      </c>
      <c r="AA65" s="25" t="e">
        <f ca="1"/>
        <v>#N/A</v>
      </c>
      <c r="AB65" s="25" t="e">
        <f ca="1"/>
        <v>#N/A</v>
      </c>
      <c r="AC65" s="25" t="e">
        <f ca="1"/>
        <v>#N/A</v>
      </c>
      <c r="AD65" s="25" t="e">
        <f ca="1"/>
        <v>#N/A</v>
      </c>
      <c r="AE65" s="25" t="e">
        <f ca="1"/>
        <v>#N/A</v>
      </c>
      <c r="AF65" s="25" t="e">
        <f ca="1"/>
        <v>#N/A</v>
      </c>
      <c r="AG65" s="25" t="e">
        <f ca="1"/>
        <v>#N/A</v>
      </c>
      <c r="AH65" s="26" t="s">
        <v>211</v>
      </c>
    </row>
    <row r="66" spans="4:36" ht="20.100000000000001" customHeight="1" x14ac:dyDescent="0.25">
      <c r="D66" s="115" t="s">
        <v>276</v>
      </c>
      <c r="W66" s="25" t="e">
        <f>TEXT(EDATE(X_Cell_Site_StartDate,6), "mmmm")</f>
        <v>#VALUE!</v>
      </c>
      <c r="X66" s="25" t="e">
        <f ca="1"/>
        <v>#N/A</v>
      </c>
      <c r="Y66" s="25" t="e">
        <f ca="1"/>
        <v>#N/A</v>
      </c>
      <c r="Z66" s="25" t="e">
        <f ca="1"/>
        <v>#N/A</v>
      </c>
      <c r="AA66" s="25" t="e">
        <f ca="1"/>
        <v>#N/A</v>
      </c>
      <c r="AB66" s="25" t="e">
        <f ca="1"/>
        <v>#N/A</v>
      </c>
      <c r="AC66" s="25" t="e">
        <f ca="1"/>
        <v>#N/A</v>
      </c>
      <c r="AD66" s="25" t="e">
        <f ca="1"/>
        <v>#N/A</v>
      </c>
      <c r="AE66" s="25" t="e">
        <f ca="1"/>
        <v>#N/A</v>
      </c>
      <c r="AF66" s="25" t="e">
        <f ca="1"/>
        <v>#N/A</v>
      </c>
      <c r="AG66" s="25" t="e">
        <f ca="1"/>
        <v>#N/A</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e">
        <f>TEXT(EDATE(X_Cell_Site_StartDate,7), "mmmm")</f>
        <v>#VALUE!</v>
      </c>
      <c r="X67" s="25" t="e">
        <f ca="1"/>
        <v>#N/A</v>
      </c>
      <c r="Y67" s="25" t="e">
        <f ca="1"/>
        <v>#N/A</v>
      </c>
      <c r="Z67" s="25" t="e">
        <f ca="1"/>
        <v>#N/A</v>
      </c>
      <c r="AA67" s="25" t="e">
        <f ca="1"/>
        <v>#N/A</v>
      </c>
      <c r="AB67" s="25" t="e">
        <f ca="1"/>
        <v>#N/A</v>
      </c>
      <c r="AC67" s="25" t="e">
        <f ca="1"/>
        <v>#N/A</v>
      </c>
      <c r="AD67" s="25" t="e">
        <f ca="1"/>
        <v>#N/A</v>
      </c>
      <c r="AE67" s="25" t="e">
        <f ca="1"/>
        <v>#N/A</v>
      </c>
      <c r="AF67" s="25" t="e">
        <f ca="1"/>
        <v>#N/A</v>
      </c>
      <c r="AG67" s="25" t="e">
        <f ca="1"/>
        <v>#N/A</v>
      </c>
      <c r="AH67" s="26" t="s">
        <v>211</v>
      </c>
    </row>
    <row r="68" spans="4:36" ht="20.100000000000001" customHeight="1" x14ac:dyDescent="0.25">
      <c r="D68" s="25" t="str">
        <f>INDEX(X_Table_PastureBeef_LiveweightGain_Method1,2,1)</f>
        <v>Spring</v>
      </c>
      <c r="E68" s="25" t="e" cm="1">
        <f t="array" aca="1" ref="E68:N71" ca="1">OFFSET(X_Table_PastureBeef_LiveweightGain_Method1, 1,1, 4,10)</f>
        <v>#N/A</v>
      </c>
      <c r="F68" s="25" t="e">
        <f ca="1"/>
        <v>#N/A</v>
      </c>
      <c r="G68" s="25" t="e">
        <f ca="1"/>
        <v>#N/A</v>
      </c>
      <c r="H68" s="25" t="e">
        <f ca="1"/>
        <v>#N/A</v>
      </c>
      <c r="I68" s="25" t="e">
        <f ca="1"/>
        <v>#N/A</v>
      </c>
      <c r="J68" s="25" t="e">
        <f ca="1"/>
        <v>#N/A</v>
      </c>
      <c r="K68" s="25" t="e">
        <f ca="1"/>
        <v>#N/A</v>
      </c>
      <c r="L68" s="25" t="e">
        <f ca="1"/>
        <v>#N/A</v>
      </c>
      <c r="M68" s="25" t="e">
        <f ca="1"/>
        <v>#N/A</v>
      </c>
      <c r="N68" s="25" t="e">
        <f ca="1"/>
        <v>#N/A</v>
      </c>
      <c r="O68" s="26" t="s">
        <v>209</v>
      </c>
      <c r="P68" s="26"/>
      <c r="Q68" s="26"/>
      <c r="R68" s="26"/>
      <c r="S68" s="26"/>
      <c r="W68" s="25" t="e">
        <f>TEXT(EDATE(X_Cell_Site_StartDate,8), "mmmm")</f>
        <v>#VALUE!</v>
      </c>
      <c r="X68" s="25" t="e">
        <f ca="1"/>
        <v>#N/A</v>
      </c>
      <c r="Y68" s="25" t="e">
        <f ca="1"/>
        <v>#N/A</v>
      </c>
      <c r="Z68" s="25" t="e">
        <f ca="1"/>
        <v>#N/A</v>
      </c>
      <c r="AA68" s="25" t="e">
        <f ca="1"/>
        <v>#N/A</v>
      </c>
      <c r="AB68" s="25" t="e">
        <f ca="1"/>
        <v>#N/A</v>
      </c>
      <c r="AC68" s="25" t="e">
        <f ca="1"/>
        <v>#N/A</v>
      </c>
      <c r="AD68" s="25" t="e">
        <f ca="1"/>
        <v>#N/A</v>
      </c>
      <c r="AE68" s="25" t="e">
        <f ca="1"/>
        <v>#N/A</v>
      </c>
      <c r="AF68" s="25" t="e">
        <f ca="1"/>
        <v>#N/A</v>
      </c>
      <c r="AG68" s="25" t="e">
        <f ca="1"/>
        <v>#N/A</v>
      </c>
      <c r="AH68" s="26" t="s">
        <v>211</v>
      </c>
      <c r="AI68" s="26"/>
      <c r="AJ68" s="26"/>
    </row>
    <row r="69" spans="4:36" ht="20.100000000000001" customHeight="1" x14ac:dyDescent="0.25">
      <c r="D69" s="25" t="str">
        <f>INDEX(X_Table_PastureBeef_LiveweightGain_Method1,3,1)</f>
        <v>Summer</v>
      </c>
      <c r="E69" s="25" t="e">
        <f ca="1"/>
        <v>#N/A</v>
      </c>
      <c r="F69" s="25" t="e">
        <f ca="1"/>
        <v>#N/A</v>
      </c>
      <c r="G69" s="25" t="e">
        <f ca="1"/>
        <v>#N/A</v>
      </c>
      <c r="H69" s="25" t="e">
        <f ca="1"/>
        <v>#N/A</v>
      </c>
      <c r="I69" s="25" t="e">
        <f ca="1"/>
        <v>#N/A</v>
      </c>
      <c r="J69" s="25" t="e">
        <f ca="1"/>
        <v>#N/A</v>
      </c>
      <c r="K69" s="25" t="e">
        <f ca="1"/>
        <v>#N/A</v>
      </c>
      <c r="L69" s="25" t="e">
        <f ca="1"/>
        <v>#N/A</v>
      </c>
      <c r="M69" s="25" t="e">
        <f ca="1"/>
        <v>#N/A</v>
      </c>
      <c r="N69" s="25" t="e">
        <f ca="1"/>
        <v>#N/A</v>
      </c>
      <c r="O69" s="26" t="s">
        <v>209</v>
      </c>
      <c r="P69" s="26"/>
      <c r="Q69" s="26"/>
      <c r="R69" s="26"/>
      <c r="S69" s="26"/>
      <c r="W69" s="25" t="e">
        <f>TEXT(EDATE(X_Cell_Site_StartDate,9), "mmmm")</f>
        <v>#VALUE!</v>
      </c>
      <c r="X69" s="25" t="e">
        <f ca="1"/>
        <v>#N/A</v>
      </c>
      <c r="Y69" s="25" t="e">
        <f ca="1"/>
        <v>#N/A</v>
      </c>
      <c r="Z69" s="25" t="e">
        <f ca="1"/>
        <v>#N/A</v>
      </c>
      <c r="AA69" s="25" t="e">
        <f ca="1"/>
        <v>#N/A</v>
      </c>
      <c r="AB69" s="25" t="e">
        <f ca="1"/>
        <v>#N/A</v>
      </c>
      <c r="AC69" s="25" t="e">
        <f ca="1"/>
        <v>#N/A</v>
      </c>
      <c r="AD69" s="25" t="e">
        <f ca="1"/>
        <v>#N/A</v>
      </c>
      <c r="AE69" s="25" t="e">
        <f ca="1"/>
        <v>#N/A</v>
      </c>
      <c r="AF69" s="25" t="e">
        <f ca="1"/>
        <v>#N/A</v>
      </c>
      <c r="AG69" s="25" t="e">
        <f ca="1"/>
        <v>#N/A</v>
      </c>
      <c r="AH69" s="26" t="s">
        <v>211</v>
      </c>
      <c r="AI69" s="26"/>
      <c r="AJ69" s="26"/>
    </row>
    <row r="70" spans="4:36" ht="20.100000000000001" customHeight="1" x14ac:dyDescent="0.25">
      <c r="D70" s="25" t="str">
        <f>INDEX(X_Table_PastureBeef_LiveweightGain_Method1,4,1)</f>
        <v>Autumn</v>
      </c>
      <c r="E70" s="25" t="e">
        <f ca="1"/>
        <v>#N/A</v>
      </c>
      <c r="F70" s="25" t="e">
        <f ca="1"/>
        <v>#N/A</v>
      </c>
      <c r="G70" s="25" t="e">
        <f ca="1"/>
        <v>#N/A</v>
      </c>
      <c r="H70" s="25" t="e">
        <f ca="1"/>
        <v>#N/A</v>
      </c>
      <c r="I70" s="25" t="e">
        <f ca="1"/>
        <v>#N/A</v>
      </c>
      <c r="J70" s="25" t="e">
        <f ca="1"/>
        <v>#N/A</v>
      </c>
      <c r="K70" s="25" t="e">
        <f ca="1"/>
        <v>#N/A</v>
      </c>
      <c r="L70" s="25" t="e">
        <f ca="1"/>
        <v>#N/A</v>
      </c>
      <c r="M70" s="25" t="e">
        <f ca="1"/>
        <v>#N/A</v>
      </c>
      <c r="N70" s="25" t="e">
        <f ca="1"/>
        <v>#N/A</v>
      </c>
      <c r="O70" s="26" t="s">
        <v>209</v>
      </c>
      <c r="P70" s="26"/>
      <c r="Q70" s="26"/>
      <c r="R70" s="26"/>
      <c r="S70" s="26"/>
      <c r="W70" s="25" t="e">
        <f>TEXT(EDATE(X_Cell_Site_StartDate,10), "mmmm")</f>
        <v>#VALUE!</v>
      </c>
      <c r="X70" s="25" t="e">
        <f ca="1"/>
        <v>#N/A</v>
      </c>
      <c r="Y70" s="25" t="e">
        <f ca="1"/>
        <v>#N/A</v>
      </c>
      <c r="Z70" s="25" t="e">
        <f ca="1"/>
        <v>#N/A</v>
      </c>
      <c r="AA70" s="25" t="e">
        <f ca="1"/>
        <v>#N/A</v>
      </c>
      <c r="AB70" s="25" t="e">
        <f ca="1"/>
        <v>#N/A</v>
      </c>
      <c r="AC70" s="25" t="e">
        <f ca="1"/>
        <v>#N/A</v>
      </c>
      <c r="AD70" s="25" t="e">
        <f ca="1"/>
        <v>#N/A</v>
      </c>
      <c r="AE70" s="25" t="e">
        <f ca="1"/>
        <v>#N/A</v>
      </c>
      <c r="AF70" s="25" t="e">
        <f ca="1"/>
        <v>#N/A</v>
      </c>
      <c r="AG70" s="25" t="e">
        <f ca="1"/>
        <v>#N/A</v>
      </c>
      <c r="AH70" s="26" t="s">
        <v>211</v>
      </c>
      <c r="AI70" s="26"/>
      <c r="AJ70" s="26"/>
    </row>
    <row r="71" spans="4:36" ht="20.100000000000001" customHeight="1" x14ac:dyDescent="0.25">
      <c r="D71" s="25" t="str">
        <f>INDEX(X_Table_PastureBeef_LiveweightGain_Method1,5,1)</f>
        <v>Winter</v>
      </c>
      <c r="E71" s="25" t="e">
        <f ca="1"/>
        <v>#N/A</v>
      </c>
      <c r="F71" s="25" t="e">
        <f ca="1"/>
        <v>#N/A</v>
      </c>
      <c r="G71" s="25" t="e">
        <f ca="1"/>
        <v>#N/A</v>
      </c>
      <c r="H71" s="25" t="e">
        <f ca="1"/>
        <v>#N/A</v>
      </c>
      <c r="I71" s="25" t="e">
        <f ca="1"/>
        <v>#N/A</v>
      </c>
      <c r="J71" s="25" t="e">
        <f ca="1"/>
        <v>#N/A</v>
      </c>
      <c r="K71" s="25" t="e">
        <f ca="1"/>
        <v>#N/A</v>
      </c>
      <c r="L71" s="25" t="e">
        <f ca="1"/>
        <v>#N/A</v>
      </c>
      <c r="M71" s="25" t="e">
        <f ca="1"/>
        <v>#N/A</v>
      </c>
      <c r="N71" s="25" t="e">
        <f ca="1"/>
        <v>#N/A</v>
      </c>
      <c r="O71" s="26" t="s">
        <v>209</v>
      </c>
      <c r="P71" s="26"/>
      <c r="Q71" s="26"/>
      <c r="R71" s="26"/>
      <c r="S71" s="26"/>
      <c r="W71" s="25" t="e">
        <f>TEXT(EDATE(X_Cell_Site_StartDate,11), "mmmm")</f>
        <v>#VALUE!</v>
      </c>
      <c r="X71" s="25" t="e">
        <f ca="1"/>
        <v>#N/A</v>
      </c>
      <c r="Y71" s="25" t="e">
        <f ca="1"/>
        <v>#N/A</v>
      </c>
      <c r="Z71" s="25" t="e">
        <f ca="1"/>
        <v>#N/A</v>
      </c>
      <c r="AA71" s="25" t="e">
        <f ca="1"/>
        <v>#N/A</v>
      </c>
      <c r="AB71" s="25" t="e">
        <f ca="1"/>
        <v>#N/A</v>
      </c>
      <c r="AC71" s="25" t="e">
        <f ca="1"/>
        <v>#N/A</v>
      </c>
      <c r="AD71" s="25" t="e">
        <f ca="1"/>
        <v>#N/A</v>
      </c>
      <c r="AE71" s="25" t="e">
        <f ca="1"/>
        <v>#N/A</v>
      </c>
      <c r="AF71" s="25" t="e">
        <f ca="1"/>
        <v>#N/A</v>
      </c>
      <c r="AG71" s="25" t="e">
        <f ca="1"/>
        <v>#N/A</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TEXT(X_Cell_Site_StartDate,"mmmm")</f>
        <v>NO - Not in leaching zone</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5" t="e" cm="1">
        <f t="array" aca="1" ref="AF76" ca="1">EntericMethane_PastureBeef_Equations.VEERG_3_2_1_1__3_FeedIntakeForGrazingBeef(AF44,AF60,AH28)</f>
        <v>#N/A</v>
      </c>
      <c r="AG76" s="25" t="e" cm="1">
        <f t="array" aca="1" ref="AG76" ca="1">EntericMethane_PastureBeef_Equations.VEERG_3_2_1_1__3_FeedIntakeForGrazingBeef(AG44,AG60,AI28)</f>
        <v>#N/A</v>
      </c>
      <c r="AH76" s="26" t="str">
        <f t="shared" ref="AH76:AH87" si="2">$E$43</f>
        <v>kg DM/head/day</v>
      </c>
      <c r="AI76" s="26"/>
      <c r="AJ76" s="26"/>
    </row>
    <row r="77" spans="4:36" ht="20.100000000000001" customHeight="1" x14ac:dyDescent="0.25">
      <c r="W77" s="25" t="e">
        <f>TEXT(EDATE(X_Cell_Site_StartDate,1), "mmmm")</f>
        <v>#VALUE!</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5" t="e" cm="1">
        <f t="array" aca="1" ref="AF77" ca="1">EntericMethane_PastureBeef_Equations.VEERG_3_2_1_1__3_FeedIntakeForGrazingBeef(AF45,AF61,AH29)</f>
        <v>#N/A</v>
      </c>
      <c r="AG77" s="25" t="e" cm="1">
        <f t="array" aca="1" ref="AG77" ca="1">EntericMethane_PastureBeef_Equations.VEERG_3_2_1_1__3_FeedIntakeForGrazingBeef(AG45,AG61,AI29)</f>
        <v>#N/A</v>
      </c>
      <c r="AH77" s="26" t="str">
        <f t="shared" si="2"/>
        <v>kg DM/head/day</v>
      </c>
      <c r="AI77" s="26"/>
      <c r="AJ77" s="26"/>
    </row>
    <row r="78" spans="4:36" ht="20.100000000000001" customHeight="1" x14ac:dyDescent="0.25">
      <c r="W78" s="25" t="e">
        <f>TEXT(EDATE(X_Cell_Site_StartDate,2), "mmmm")</f>
        <v>#VALUE!</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5" t="e" cm="1">
        <f t="array" aca="1" ref="AF78" ca="1">EntericMethane_PastureBeef_Equations.VEERG_3_2_1_1__3_FeedIntakeForGrazingBeef(AF46,AF62,AH30)</f>
        <v>#N/A</v>
      </c>
      <c r="AG78" s="25" t="e" cm="1">
        <f t="array" aca="1" ref="AG78" ca="1">EntericMethane_PastureBeef_Equations.VEERG_3_2_1_1__3_FeedIntakeForGrazingBeef(AG46,AG62,AI30)</f>
        <v>#N/A</v>
      </c>
      <c r="AH78" s="26" t="str">
        <f t="shared" si="2"/>
        <v>kg DM/head/day</v>
      </c>
      <c r="AI78" s="26"/>
      <c r="AJ78" s="26"/>
    </row>
    <row r="79" spans="4:36" ht="20.100000000000001" customHeight="1" x14ac:dyDescent="0.25">
      <c r="W79" s="25" t="e">
        <f>TEXT(EDATE(X_Cell_Site_StartDate,3), "mmmm")</f>
        <v>#VALUE!</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5" t="e" cm="1">
        <f t="array" aca="1" ref="AF79" ca="1">EntericMethane_PastureBeef_Equations.VEERG_3_2_1_1__3_FeedIntakeForGrazingBeef(AF47,AF63,AH31)</f>
        <v>#N/A</v>
      </c>
      <c r="AG79" s="25" t="e" cm="1">
        <f t="array" aca="1" ref="AG79" ca="1">EntericMethane_PastureBeef_Equations.VEERG_3_2_1_1__3_FeedIntakeForGrazingBeef(AG47,AG63,AI31)</f>
        <v>#N/A</v>
      </c>
      <c r="AH79" s="26" t="str">
        <f t="shared" si="2"/>
        <v>kg DM/head/day</v>
      </c>
      <c r="AI79" s="26"/>
      <c r="AJ79" s="26"/>
    </row>
    <row r="80" spans="4:36" ht="20.100000000000001" customHeight="1" x14ac:dyDescent="0.25">
      <c r="W80" s="25" t="e">
        <f>TEXT(EDATE(X_Cell_Site_StartDate,4), "mmmm")</f>
        <v>#VALUE!</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5" t="e" cm="1">
        <f t="array" aca="1" ref="AF80" ca="1">EntericMethane_PastureBeef_Equations.VEERG_3_2_1_1__3_FeedIntakeForGrazingBeef(AF48,AF64,AH32)</f>
        <v>#N/A</v>
      </c>
      <c r="AG80" s="25" t="e" cm="1">
        <f t="array" aca="1" ref="AG80" ca="1">EntericMethane_PastureBeef_Equations.VEERG_3_2_1_1__3_FeedIntakeForGrazingBeef(AG48,AG64,AI32)</f>
        <v>#N/A</v>
      </c>
      <c r="AH80" s="26" t="str">
        <f t="shared" si="2"/>
        <v>kg DM/head/day</v>
      </c>
    </row>
    <row r="81" spans="4:36" ht="20.100000000000001" customHeight="1" x14ac:dyDescent="0.25">
      <c r="D81" s="114" t="s">
        <v>279</v>
      </c>
      <c r="W81" s="25" t="e">
        <f>TEXT(EDATE(X_Cell_Site_StartDate,5), "mmmm")</f>
        <v>#VALUE!</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5" t="e" cm="1">
        <f t="array" aca="1" ref="AF81" ca="1">EntericMethane_PastureBeef_Equations.VEERG_3_2_1_1__3_FeedIntakeForGrazingBeef(AF49,AF65,AH33)</f>
        <v>#N/A</v>
      </c>
      <c r="AG81" s="25" t="e" cm="1">
        <f t="array" aca="1" ref="AG81" ca="1">EntericMethane_PastureBeef_Equations.VEERG_3_2_1_1__3_FeedIntakeForGrazingBeef(AG49,AG65,AI33)</f>
        <v>#N/A</v>
      </c>
      <c r="AH81" s="26" t="str">
        <f t="shared" si="2"/>
        <v>kg DM/head/day</v>
      </c>
    </row>
    <row r="82" spans="4:36" ht="20.100000000000001" customHeight="1" x14ac:dyDescent="0.25">
      <c r="D82" s="115" t="s">
        <v>280</v>
      </c>
      <c r="W82" s="25" t="e">
        <f>TEXT(EDATE(X_Cell_Site_StartDate,6), "mmmm")</f>
        <v>#VALUE!</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5" t="e" cm="1">
        <f t="array" aca="1" ref="AF82" ca="1">EntericMethane_PastureBeef_Equations.VEERG_3_2_1_1__3_FeedIntakeForGrazingBeef(AF50,AF66,AH34)</f>
        <v>#N/A</v>
      </c>
      <c r="AG82" s="25" t="e" cm="1">
        <f t="array" aca="1" ref="AG82" ca="1">EntericMethane_PastureBeef_Equations.VEERG_3_2_1_1__3_FeedIntakeForGrazingBeef(AG50,AG66,AI34)</f>
        <v>#N/A</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e">
        <f>TEXT(EDATE(X_Cell_Site_StartDate,7), "mmmm")</f>
        <v>#VALUE!</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5" t="e" cm="1">
        <f t="array" aca="1" ref="AF83" ca="1">EntericMethane_PastureBeef_Equations.VEERG_3_2_1_1__3_FeedIntakeForGrazingBeef(AF51,AF67,AH35)</f>
        <v>#N/A</v>
      </c>
      <c r="AG83" s="25" t="e" cm="1">
        <f t="array" aca="1" ref="AG83" ca="1">EntericMethane_PastureBeef_Equations.VEERG_3_2_1_1__3_FeedIntakeForGrazingBeef(AG51,AG67,AI35)</f>
        <v>#N/A</v>
      </c>
      <c r="AH83" s="26" t="str">
        <f t="shared" si="2"/>
        <v>kg DM/head/day</v>
      </c>
    </row>
    <row r="84" spans="4:36" ht="20.100000000000001" customHeight="1" x14ac:dyDescent="0.25">
      <c r="D84" s="25" t="s">
        <v>200</v>
      </c>
      <c r="E84" s="25" t="e" cm="1">
        <f t="array" aca="1" ref="E84" ca="1">EntericMethane_PastureBeef_Equations.VEERG_3_2_1_1__3_FeedIntakeForGrazingBeef(E52,E68,I30)</f>
        <v>#N/A</v>
      </c>
      <c r="F84" s="25" t="e" cm="1">
        <f t="array" aca="1" ref="F84" ca="1">EntericMethane_PastureBeef_Equations.VEERG_3_2_1_1__3_FeedIntakeForGrazingBeef(F52,F68,J30)</f>
        <v>#N/A</v>
      </c>
      <c r="G84" s="25" t="e" cm="1">
        <f t="array" aca="1" ref="G84" ca="1">EntericMethane_PastureBeef_Equations.VEERG_3_2_1_1__3_FeedIntakeForGrazingBeef(G52,G68,K30)</f>
        <v>#N/A</v>
      </c>
      <c r="H84" s="25" t="e" cm="1">
        <f t="array" aca="1" ref="H84" ca="1">EntericMethane_PastureBeef_Equations.VEERG_3_2_1_1__3_FeedIntakeForGrazingBeef(H52,H68,L30)</f>
        <v>#N/A</v>
      </c>
      <c r="I84" s="25" t="e" cm="1">
        <f t="array" aca="1" ref="I84" ca="1">EntericMethane_PastureBeef_Equations.VEERG_3_2_1_1__3_FeedIntakeForGrazingBeef(I52,I68,M30)</f>
        <v>#N/A</v>
      </c>
      <c r="J84" s="25" t="e" cm="1">
        <f t="array" aca="1" ref="J84" ca="1">EntericMethane_PastureBeef_Equations.VEERG_3_2_1_1__3_FeedIntakeForGrazingBeef(J52,J68,N30)</f>
        <v>#N/A</v>
      </c>
      <c r="K84" s="25" t="e" cm="1">
        <f t="array" aca="1" ref="K84" ca="1">EntericMethane_PastureBeef_Equations.VEERG_3_2_1_1__3_FeedIntakeForGrazingBeef(K52,K68,O30)</f>
        <v>#N/A</v>
      </c>
      <c r="L84" s="25" t="e" cm="1">
        <f t="array" aca="1" ref="L84" ca="1">EntericMethane_PastureBeef_Equations.VEERG_3_2_1_1__3_FeedIntakeForGrazingBeef(L52,L68,P30)</f>
        <v>#N/A</v>
      </c>
      <c r="M84" s="25" t="e" cm="1">
        <f t="array" aca="1" ref="M84" ca="1">EntericMethane_PastureBeef_Equations.VEERG_3_2_1_1__3_FeedIntakeForGrazingBeef(M52,M68,Q30)</f>
        <v>#N/A</v>
      </c>
      <c r="N84" s="25" t="e" cm="1">
        <f t="array" aca="1" ref="N84" ca="1">EntericMethane_PastureBeef_Equations.VEERG_3_2_1_1__3_FeedIntakeForGrazingBeef(N52,N68,R30)</f>
        <v>#N/A</v>
      </c>
      <c r="O84" s="26" t="str">
        <f>$E$43</f>
        <v>kg DM/head/day</v>
      </c>
      <c r="P84" s="26"/>
      <c r="Q84" s="26"/>
      <c r="R84" s="26"/>
      <c r="S84" s="26"/>
      <c r="W84" s="25" t="e">
        <f>TEXT(EDATE(X_Cell_Site_StartDate,8), "mmmm")</f>
        <v>#VALUE!</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5" t="e" cm="1">
        <f t="array" aca="1" ref="AF84" ca="1">EntericMethane_PastureBeef_Equations.VEERG_3_2_1_1__3_FeedIntakeForGrazingBeef(AF52,AF68,AH36)</f>
        <v>#N/A</v>
      </c>
      <c r="AG84" s="25" t="e" cm="1">
        <f t="array" aca="1" ref="AG84" ca="1">EntericMethane_PastureBeef_Equations.VEERG_3_2_1_1__3_FeedIntakeForGrazingBeef(AG52,AG68,AI36)</f>
        <v>#N/A</v>
      </c>
      <c r="AH84" s="26" t="str">
        <f t="shared" si="2"/>
        <v>kg DM/head/day</v>
      </c>
      <c r="AI84" s="26"/>
      <c r="AJ84" s="26"/>
    </row>
    <row r="85" spans="4:36" ht="20.100000000000001" customHeight="1" x14ac:dyDescent="0.25">
      <c r="D85" s="25" t="s">
        <v>201</v>
      </c>
      <c r="E85" s="25" t="e" cm="1">
        <f t="array" aca="1" ref="E85" ca="1">EntericMethane_PastureBeef_Equations.VEERG_3_2_1_1__3_FeedIntakeForGrazingBeef(E53,E69,I31)</f>
        <v>#N/A</v>
      </c>
      <c r="F85" s="25" t="e" cm="1">
        <f t="array" aca="1" ref="F85" ca="1">EntericMethane_PastureBeef_Equations.VEERG_3_2_1_1__3_FeedIntakeForGrazingBeef(F53,F69,J31)</f>
        <v>#N/A</v>
      </c>
      <c r="G85" s="25" t="e" cm="1">
        <f t="array" aca="1" ref="G85" ca="1">EntericMethane_PastureBeef_Equations.VEERG_3_2_1_1__3_FeedIntakeForGrazingBeef(G53,G69,K31)</f>
        <v>#N/A</v>
      </c>
      <c r="H85" s="25" t="e" cm="1">
        <f t="array" aca="1" ref="H85" ca="1">EntericMethane_PastureBeef_Equations.VEERG_3_2_1_1__3_FeedIntakeForGrazingBeef(H53,H69,L31)</f>
        <v>#N/A</v>
      </c>
      <c r="I85" s="25" t="e" cm="1">
        <f t="array" aca="1" ref="I85" ca="1">EntericMethane_PastureBeef_Equations.VEERG_3_2_1_1__3_FeedIntakeForGrazingBeef(I53,I69,M31)</f>
        <v>#N/A</v>
      </c>
      <c r="J85" s="25" t="e" cm="1">
        <f t="array" aca="1" ref="J85" ca="1">EntericMethane_PastureBeef_Equations.VEERG_3_2_1_1__3_FeedIntakeForGrazingBeef(J53,J69,N31)</f>
        <v>#N/A</v>
      </c>
      <c r="K85" s="25" t="e" cm="1">
        <f t="array" aca="1" ref="K85" ca="1">EntericMethane_PastureBeef_Equations.VEERG_3_2_1_1__3_FeedIntakeForGrazingBeef(K53,K69,O31)</f>
        <v>#N/A</v>
      </c>
      <c r="L85" s="25" t="e" cm="1">
        <f t="array" aca="1" ref="L85" ca="1">EntericMethane_PastureBeef_Equations.VEERG_3_2_1_1__3_FeedIntakeForGrazingBeef(L53,L69,P31)</f>
        <v>#N/A</v>
      </c>
      <c r="M85" s="25" t="e" cm="1">
        <f t="array" aca="1" ref="M85" ca="1">EntericMethane_PastureBeef_Equations.VEERG_3_2_1_1__3_FeedIntakeForGrazingBeef(M53,M69,Q31)</f>
        <v>#N/A</v>
      </c>
      <c r="N85" s="25" t="e" cm="1">
        <f t="array" aca="1" ref="N85" ca="1">EntericMethane_PastureBeef_Equations.VEERG_3_2_1_1__3_FeedIntakeForGrazingBeef(N53,N69,R31)</f>
        <v>#N/A</v>
      </c>
      <c r="O85" s="26" t="str">
        <f>$E$43</f>
        <v>kg DM/head/day</v>
      </c>
      <c r="P85" s="26"/>
      <c r="Q85" s="26"/>
      <c r="R85" s="26"/>
      <c r="S85" s="26"/>
      <c r="W85" s="25" t="e">
        <f>TEXT(EDATE(X_Cell_Site_StartDate,9), "mmmm")</f>
        <v>#VALUE!</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5" t="e" cm="1">
        <f t="array" aca="1" ref="AF85" ca="1">EntericMethane_PastureBeef_Equations.VEERG_3_2_1_1__3_FeedIntakeForGrazingBeef(AF53,AF69,AH37)</f>
        <v>#N/A</v>
      </c>
      <c r="AG85" s="25" t="e" cm="1">
        <f t="array" aca="1" ref="AG85" ca="1">EntericMethane_PastureBeef_Equations.VEERG_3_2_1_1__3_FeedIntakeForGrazingBeef(AG53,AG69,AI37)</f>
        <v>#N/A</v>
      </c>
      <c r="AH85" s="26" t="str">
        <f t="shared" si="2"/>
        <v>kg DM/head/day</v>
      </c>
      <c r="AI85" s="26"/>
      <c r="AJ85" s="26"/>
    </row>
    <row r="86" spans="4:36" ht="20.100000000000001" customHeight="1" x14ac:dyDescent="0.25">
      <c r="D86" s="25" t="s">
        <v>202</v>
      </c>
      <c r="E86" s="25" t="e" cm="1">
        <f t="array" aca="1" ref="E86" ca="1">EntericMethane_PastureBeef_Equations.VEERG_3_2_1_1__3_FeedIntakeForGrazingBeef(E54,E70,I32)</f>
        <v>#N/A</v>
      </c>
      <c r="F86" s="25" t="e" cm="1">
        <f t="array" aca="1" ref="F86" ca="1">EntericMethane_PastureBeef_Equations.VEERG_3_2_1_1__3_FeedIntakeForGrazingBeef(F54,F70,J32)</f>
        <v>#N/A</v>
      </c>
      <c r="G86" s="25" t="e" cm="1">
        <f t="array" aca="1" ref="G86" ca="1">EntericMethane_PastureBeef_Equations.VEERG_3_2_1_1__3_FeedIntakeForGrazingBeef(G54,G70,K32)</f>
        <v>#N/A</v>
      </c>
      <c r="H86" s="25" t="e" cm="1">
        <f t="array" aca="1" ref="H86" ca="1">EntericMethane_PastureBeef_Equations.VEERG_3_2_1_1__3_FeedIntakeForGrazingBeef(H54,H70,L32)</f>
        <v>#N/A</v>
      </c>
      <c r="I86" s="25" t="e" cm="1">
        <f t="array" aca="1" ref="I86" ca="1">EntericMethane_PastureBeef_Equations.VEERG_3_2_1_1__3_FeedIntakeForGrazingBeef(I54,I70,M32)</f>
        <v>#N/A</v>
      </c>
      <c r="J86" s="25" t="e" cm="1">
        <f t="array" aca="1" ref="J86" ca="1">EntericMethane_PastureBeef_Equations.VEERG_3_2_1_1__3_FeedIntakeForGrazingBeef(J54,J70,N32)</f>
        <v>#N/A</v>
      </c>
      <c r="K86" s="25" t="e" cm="1">
        <f t="array" aca="1" ref="K86" ca="1">EntericMethane_PastureBeef_Equations.VEERG_3_2_1_1__3_FeedIntakeForGrazingBeef(K54,K70,O32)</f>
        <v>#N/A</v>
      </c>
      <c r="L86" s="25" t="e" cm="1">
        <f t="array" aca="1" ref="L86" ca="1">EntericMethane_PastureBeef_Equations.VEERG_3_2_1_1__3_FeedIntakeForGrazingBeef(L54,L70,P32)</f>
        <v>#N/A</v>
      </c>
      <c r="M86" s="25" t="e" cm="1">
        <f t="array" aca="1" ref="M86" ca="1">EntericMethane_PastureBeef_Equations.VEERG_3_2_1_1__3_FeedIntakeForGrazingBeef(M54,M70,Q32)</f>
        <v>#N/A</v>
      </c>
      <c r="N86" s="25" t="e" cm="1">
        <f t="array" aca="1" ref="N86" ca="1">EntericMethane_PastureBeef_Equations.VEERG_3_2_1_1__3_FeedIntakeForGrazingBeef(N54,N70,R32)</f>
        <v>#N/A</v>
      </c>
      <c r="O86" s="26" t="str">
        <f>$E$43</f>
        <v>kg DM/head/day</v>
      </c>
      <c r="P86" s="26"/>
      <c r="Q86" s="26"/>
      <c r="R86" s="26"/>
      <c r="S86" s="26"/>
      <c r="W86" s="25" t="e">
        <f>TEXT(EDATE(X_Cell_Site_StartDate,10), "mmmm")</f>
        <v>#VALUE!</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5" t="e" cm="1">
        <f t="array" aca="1" ref="AF86" ca="1">EntericMethane_PastureBeef_Equations.VEERG_3_2_1_1__3_FeedIntakeForGrazingBeef(AF54,AF70,AH38)</f>
        <v>#N/A</v>
      </c>
      <c r="AG86" s="25" t="e" cm="1">
        <f t="array" aca="1" ref="AG86" ca="1">EntericMethane_PastureBeef_Equations.VEERG_3_2_1_1__3_FeedIntakeForGrazingBeef(AG54,AG70,AI38)</f>
        <v>#N/A</v>
      </c>
      <c r="AH86" s="26" t="str">
        <f t="shared" si="2"/>
        <v>kg DM/head/day</v>
      </c>
      <c r="AI86" s="26"/>
      <c r="AJ86" s="26"/>
    </row>
    <row r="87" spans="4:36" ht="20.100000000000001" customHeight="1" x14ac:dyDescent="0.25">
      <c r="D87" s="25" t="s">
        <v>203</v>
      </c>
      <c r="E87" s="25" t="e" cm="1">
        <f t="array" aca="1" ref="E87" ca="1">EntericMethane_PastureBeef_Equations.VEERG_3_2_1_1__3_FeedIntakeForGrazingBeef(E55,E71,I33)</f>
        <v>#N/A</v>
      </c>
      <c r="F87" s="25" t="e" cm="1">
        <f t="array" aca="1" ref="F87" ca="1">EntericMethane_PastureBeef_Equations.VEERG_3_2_1_1__3_FeedIntakeForGrazingBeef(F55,F71,J33)</f>
        <v>#N/A</v>
      </c>
      <c r="G87" s="25" t="e" cm="1">
        <f t="array" aca="1" ref="G87" ca="1">EntericMethane_PastureBeef_Equations.VEERG_3_2_1_1__3_FeedIntakeForGrazingBeef(G55,G71,K33)</f>
        <v>#N/A</v>
      </c>
      <c r="H87" s="25" t="e" cm="1">
        <f t="array" aca="1" ref="H87" ca="1">EntericMethane_PastureBeef_Equations.VEERG_3_2_1_1__3_FeedIntakeForGrazingBeef(H55,H71,L33)</f>
        <v>#N/A</v>
      </c>
      <c r="I87" s="25" t="e" cm="1">
        <f t="array" aca="1" ref="I87" ca="1">EntericMethane_PastureBeef_Equations.VEERG_3_2_1_1__3_FeedIntakeForGrazingBeef(I55,I71,M33)</f>
        <v>#N/A</v>
      </c>
      <c r="J87" s="25" t="e" cm="1">
        <f t="array" aca="1" ref="J87" ca="1">EntericMethane_PastureBeef_Equations.VEERG_3_2_1_1__3_FeedIntakeForGrazingBeef(J55,J71,N33)</f>
        <v>#N/A</v>
      </c>
      <c r="K87" s="25" t="e" cm="1">
        <f t="array" aca="1" ref="K87" ca="1">EntericMethane_PastureBeef_Equations.VEERG_3_2_1_1__3_FeedIntakeForGrazingBeef(K55,K71,O33)</f>
        <v>#N/A</v>
      </c>
      <c r="L87" s="25" t="e" cm="1">
        <f t="array" aca="1" ref="L87" ca="1">EntericMethane_PastureBeef_Equations.VEERG_3_2_1_1__3_FeedIntakeForGrazingBeef(L55,L71,P33)</f>
        <v>#N/A</v>
      </c>
      <c r="M87" s="25" t="e" cm="1">
        <f t="array" aca="1" ref="M87" ca="1">EntericMethane_PastureBeef_Equations.VEERG_3_2_1_1__3_FeedIntakeForGrazingBeef(M55,M71,Q33)</f>
        <v>#N/A</v>
      </c>
      <c r="N87" s="25" t="e" cm="1">
        <f t="array" aca="1" ref="N87" ca="1">EntericMethane_PastureBeef_Equations.VEERG_3_2_1_1__3_FeedIntakeForGrazingBeef(N55,N71,R33)</f>
        <v>#N/A</v>
      </c>
      <c r="O87" s="26" t="str">
        <f>$E$43</f>
        <v>kg DM/head/day</v>
      </c>
      <c r="P87" s="26"/>
      <c r="Q87" s="26"/>
      <c r="R87" s="26"/>
      <c r="S87" s="26"/>
      <c r="W87" s="25" t="e">
        <f>TEXT(EDATE(X_Cell_Site_StartDate,11), "mmmm")</f>
        <v>#VALUE!</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5" t="e" cm="1">
        <f t="array" aca="1" ref="AF87" ca="1">EntericMethane_PastureBeef_Equations.VEERG_3_2_1_1__3_FeedIntakeForGrazingBeef(AF55,AF71,AH39)</f>
        <v>#N/A</v>
      </c>
      <c r="AG87" s="25" t="e" cm="1">
        <f t="array" aca="1" ref="AG87" ca="1">EntericMethane_PastureBeef_Equations.VEERG_3_2_1_1__3_FeedIntakeForGrazingBeef(AG55,AG71,AI39)</f>
        <v>#N/A</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SourceData_PastureBeef_AshContentOfFeedIntake_Data</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t="e" cm="1">
        <f t="array" aca="1" ref="E115:N118" ca="1">OFFSET(X_Table_PastureBeef_DryMatterDigestibility_Method1, 1,1, 4,10)</f>
        <v>#N/A</v>
      </c>
      <c r="F115" s="25" t="e">
        <f ca="1"/>
        <v>#N/A</v>
      </c>
      <c r="G115" s="25" t="e">
        <f ca="1"/>
        <v>#N/A</v>
      </c>
      <c r="H115" s="25" t="e">
        <f ca="1"/>
        <v>#N/A</v>
      </c>
      <c r="I115" s="25" t="e">
        <f ca="1"/>
        <v>#N/A</v>
      </c>
      <c r="J115" s="25" t="e">
        <f ca="1"/>
        <v>#N/A</v>
      </c>
      <c r="K115" s="25" t="e">
        <f ca="1"/>
        <v>#N/A</v>
      </c>
      <c r="L115" s="25" t="e">
        <f ca="1"/>
        <v>#N/A</v>
      </c>
      <c r="M115" s="25" t="e">
        <f ca="1"/>
        <v>#N/A</v>
      </c>
      <c r="N115" s="25" t="e">
        <f ca="1"/>
        <v>#N/A</v>
      </c>
      <c r="O115" s="26" t="s">
        <v>230</v>
      </c>
      <c r="P115" s="26"/>
      <c r="Q115" s="26"/>
      <c r="R115" s="26"/>
      <c r="S115" s="26"/>
      <c r="W115" s="25" t="str">
        <f>TEXT(X_Cell_Site_StartDate,"mmmm")</f>
        <v>NO - Not in leaching zone</v>
      </c>
      <c r="X115" s="25" t="e" cm="1">
        <f t="array" aca="1" ref="X115:AG126" ca="1">OFFSET(X_Table_PastureBeef_DryMatterDigestibility_Method2, 1,1, 12,10)</f>
        <v>#N/A</v>
      </c>
      <c r="Y115" s="25" t="e">
        <f ca="1"/>
        <v>#N/A</v>
      </c>
      <c r="Z115" s="25" t="e">
        <f ca="1"/>
        <v>#N/A</v>
      </c>
      <c r="AA115" s="25" t="e">
        <f ca="1"/>
        <v>#N/A</v>
      </c>
      <c r="AB115" s="25" t="e">
        <f ca="1"/>
        <v>#N/A</v>
      </c>
      <c r="AC115" s="25" t="e">
        <f ca="1"/>
        <v>#N/A</v>
      </c>
      <c r="AD115" s="25" t="e">
        <f ca="1"/>
        <v>#N/A</v>
      </c>
      <c r="AE115" s="25" t="e">
        <f ca="1"/>
        <v>#N/A</v>
      </c>
      <c r="AF115" s="25" t="e">
        <f ca="1"/>
        <v>#N/A</v>
      </c>
      <c r="AG115" s="25" t="e">
        <f ca="1"/>
        <v>#N/A</v>
      </c>
      <c r="AH115" s="26" t="s">
        <v>230</v>
      </c>
      <c r="AI115" s="26"/>
      <c r="AJ115" s="26"/>
    </row>
    <row r="116" spans="4:36" ht="20.100000000000001" customHeight="1" x14ac:dyDescent="0.25">
      <c r="D116" s="25" t="s">
        <v>201</v>
      </c>
      <c r="E116" s="25" t="e">
        <f ca="1"/>
        <v>#N/A</v>
      </c>
      <c r="F116" s="25" t="e">
        <f ca="1"/>
        <v>#N/A</v>
      </c>
      <c r="G116" s="25" t="e">
        <f ca="1"/>
        <v>#N/A</v>
      </c>
      <c r="H116" s="25" t="e">
        <f ca="1"/>
        <v>#N/A</v>
      </c>
      <c r="I116" s="25" t="e">
        <f ca="1"/>
        <v>#N/A</v>
      </c>
      <c r="J116" s="25" t="e">
        <f ca="1"/>
        <v>#N/A</v>
      </c>
      <c r="K116" s="25" t="e">
        <f ca="1"/>
        <v>#N/A</v>
      </c>
      <c r="L116" s="25" t="e">
        <f ca="1"/>
        <v>#N/A</v>
      </c>
      <c r="M116" s="25" t="e">
        <f ca="1"/>
        <v>#N/A</v>
      </c>
      <c r="N116" s="25" t="e">
        <f ca="1"/>
        <v>#N/A</v>
      </c>
      <c r="O116" s="26" t="s">
        <v>230</v>
      </c>
      <c r="P116" s="26"/>
      <c r="Q116" s="26"/>
      <c r="R116" s="26"/>
      <c r="S116" s="26"/>
      <c r="W116" s="25" t="e">
        <f>TEXT(EDATE(X_Cell_Site_StartDate,1), "mmmm")</f>
        <v>#VALUE!</v>
      </c>
      <c r="X116" s="25" t="e">
        <f ca="1"/>
        <v>#VALUE!</v>
      </c>
      <c r="Y116" s="25" t="e">
        <f ca="1"/>
        <v>#VALUE!</v>
      </c>
      <c r="Z116" s="25" t="e">
        <f ca="1"/>
        <v>#VALUE!</v>
      </c>
      <c r="AA116" s="25" t="e">
        <f ca="1"/>
        <v>#VALUE!</v>
      </c>
      <c r="AB116" s="25" t="e">
        <f ca="1"/>
        <v>#VALUE!</v>
      </c>
      <c r="AC116" s="25" t="e">
        <f ca="1"/>
        <v>#VALUE!</v>
      </c>
      <c r="AD116" s="25" t="e">
        <f ca="1"/>
        <v>#VALUE!</v>
      </c>
      <c r="AE116" s="25" t="e">
        <f ca="1"/>
        <v>#VALUE!</v>
      </c>
      <c r="AF116" s="25" t="e">
        <f ca="1"/>
        <v>#VALUE!</v>
      </c>
      <c r="AG116" s="25" t="e">
        <f ca="1"/>
        <v>#VALUE!</v>
      </c>
      <c r="AH116" s="26" t="s">
        <v>230</v>
      </c>
      <c r="AI116" s="26"/>
      <c r="AJ116" s="26"/>
    </row>
    <row r="117" spans="4:36" ht="20.100000000000001" customHeight="1" x14ac:dyDescent="0.25">
      <c r="D117" s="25" t="s">
        <v>202</v>
      </c>
      <c r="E117" s="25" t="e">
        <f ca="1"/>
        <v>#N/A</v>
      </c>
      <c r="F117" s="25" t="e">
        <f ca="1"/>
        <v>#N/A</v>
      </c>
      <c r="G117" s="25" t="e">
        <f ca="1"/>
        <v>#N/A</v>
      </c>
      <c r="H117" s="25" t="e">
        <f ca="1"/>
        <v>#N/A</v>
      </c>
      <c r="I117" s="25" t="e">
        <f ca="1"/>
        <v>#N/A</v>
      </c>
      <c r="J117" s="25" t="e">
        <f ca="1"/>
        <v>#N/A</v>
      </c>
      <c r="K117" s="25" t="e">
        <f ca="1"/>
        <v>#N/A</v>
      </c>
      <c r="L117" s="25" t="e">
        <f ca="1"/>
        <v>#N/A</v>
      </c>
      <c r="M117" s="25" t="e">
        <f ca="1"/>
        <v>#N/A</v>
      </c>
      <c r="N117" s="25" t="e">
        <f ca="1"/>
        <v>#N/A</v>
      </c>
      <c r="O117" s="26" t="s">
        <v>230</v>
      </c>
      <c r="P117" s="26"/>
      <c r="Q117" s="26"/>
      <c r="R117" s="26"/>
      <c r="S117" s="26"/>
      <c r="W117" s="25" t="e">
        <f>TEXT(EDATE(X_Cell_Site_StartDate,2), "mmmm")</f>
        <v>#VALUE!</v>
      </c>
      <c r="X117" s="25" t="e">
        <f ca="1"/>
        <v>#VALUE!</v>
      </c>
      <c r="Y117" s="25" t="e">
        <f ca="1"/>
        <v>#VALUE!</v>
      </c>
      <c r="Z117" s="25" t="e">
        <f ca="1"/>
        <v>#VALUE!</v>
      </c>
      <c r="AA117" s="25" t="e">
        <f ca="1"/>
        <v>#VALUE!</v>
      </c>
      <c r="AB117" s="25" t="e">
        <f ca="1"/>
        <v>#VALUE!</v>
      </c>
      <c r="AC117" s="25" t="e">
        <f ca="1"/>
        <v>#VALUE!</v>
      </c>
      <c r="AD117" s="25" t="e">
        <f ca="1"/>
        <v>#VALUE!</v>
      </c>
      <c r="AE117" s="25" t="e">
        <f ca="1"/>
        <v>#VALUE!</v>
      </c>
      <c r="AF117" s="25" t="e">
        <f ca="1"/>
        <v>#VALUE!</v>
      </c>
      <c r="AG117" s="25" t="e">
        <f ca="1"/>
        <v>#VALUE!</v>
      </c>
      <c r="AH117" s="26" t="s">
        <v>230</v>
      </c>
      <c r="AI117" s="26"/>
      <c r="AJ117" s="26"/>
    </row>
    <row r="118" spans="4:36" ht="20.100000000000001" customHeight="1" x14ac:dyDescent="0.25">
      <c r="D118" s="25" t="s">
        <v>203</v>
      </c>
      <c r="E118" s="25" t="e">
        <f ca="1"/>
        <v>#N/A</v>
      </c>
      <c r="F118" s="25" t="e">
        <f ca="1"/>
        <v>#N/A</v>
      </c>
      <c r="G118" s="25" t="e">
        <f ca="1"/>
        <v>#N/A</v>
      </c>
      <c r="H118" s="25" t="e">
        <f ca="1"/>
        <v>#N/A</v>
      </c>
      <c r="I118" s="25" t="e">
        <f ca="1"/>
        <v>#N/A</v>
      </c>
      <c r="J118" s="25" t="e">
        <f ca="1"/>
        <v>#N/A</v>
      </c>
      <c r="K118" s="25" t="e">
        <f ca="1"/>
        <v>#N/A</v>
      </c>
      <c r="L118" s="25" t="e">
        <f ca="1"/>
        <v>#N/A</v>
      </c>
      <c r="M118" s="25" t="e">
        <f ca="1"/>
        <v>#N/A</v>
      </c>
      <c r="N118" s="25" t="e">
        <f ca="1"/>
        <v>#N/A</v>
      </c>
      <c r="O118" s="26" t="s">
        <v>230</v>
      </c>
      <c r="P118" s="26"/>
      <c r="Q118" s="26"/>
      <c r="R118" s="26"/>
      <c r="S118" s="26"/>
      <c r="W118" s="25" t="e">
        <f>TEXT(EDATE(X_Cell_Site_StartDate,3), "mmmm")</f>
        <v>#VALUE!</v>
      </c>
      <c r="X118" s="25" t="e">
        <f ca="1"/>
        <v>#VALUE!</v>
      </c>
      <c r="Y118" s="25" t="e">
        <f ca="1"/>
        <v>#VALUE!</v>
      </c>
      <c r="Z118" s="25" t="e">
        <f ca="1"/>
        <v>#VALUE!</v>
      </c>
      <c r="AA118" s="25" t="e">
        <f ca="1"/>
        <v>#VALUE!</v>
      </c>
      <c r="AB118" s="25" t="e">
        <f ca="1"/>
        <v>#VALUE!</v>
      </c>
      <c r="AC118" s="25" t="e">
        <f ca="1"/>
        <v>#VALUE!</v>
      </c>
      <c r="AD118" s="25" t="e">
        <f ca="1"/>
        <v>#VALUE!</v>
      </c>
      <c r="AE118" s="25" t="e">
        <f ca="1"/>
        <v>#VALUE!</v>
      </c>
      <c r="AF118" s="25" t="e">
        <f ca="1"/>
        <v>#VALUE!</v>
      </c>
      <c r="AG118" s="25" t="e">
        <f ca="1"/>
        <v>#VALUE!</v>
      </c>
      <c r="AH118" s="26" t="s">
        <v>230</v>
      </c>
      <c r="AI118" s="26"/>
      <c r="AJ118" s="26"/>
    </row>
    <row r="119" spans="4:36" ht="20.100000000000001" customHeight="1" x14ac:dyDescent="0.25">
      <c r="W119" s="25" t="e">
        <f>TEXT(EDATE(X_Cell_Site_StartDate,4), "mmmm")</f>
        <v>#VALUE!</v>
      </c>
      <c r="X119" s="25" t="e">
        <f ca="1"/>
        <v>#VALUE!</v>
      </c>
      <c r="Y119" s="25" t="e">
        <f ca="1"/>
        <v>#VALUE!</v>
      </c>
      <c r="Z119" s="25" t="e">
        <f ca="1"/>
        <v>#VALUE!</v>
      </c>
      <c r="AA119" s="25" t="e">
        <f ca="1"/>
        <v>#VALUE!</v>
      </c>
      <c r="AB119" s="25" t="e">
        <f ca="1"/>
        <v>#VALUE!</v>
      </c>
      <c r="AC119" s="25" t="e">
        <f ca="1"/>
        <v>#VALUE!</v>
      </c>
      <c r="AD119" s="25" t="e">
        <f ca="1"/>
        <v>#VALUE!</v>
      </c>
      <c r="AE119" s="25" t="e">
        <f ca="1"/>
        <v>#VALUE!</v>
      </c>
      <c r="AF119" s="25" t="e">
        <f ca="1"/>
        <v>#VALUE!</v>
      </c>
      <c r="AG119" s="25" t="e">
        <f ca="1"/>
        <v>#VALUE!</v>
      </c>
      <c r="AH119" s="26" t="s">
        <v>230</v>
      </c>
      <c r="AI119" s="26"/>
      <c r="AJ119" s="26"/>
    </row>
    <row r="120" spans="4:36" ht="20.100000000000001" customHeight="1" x14ac:dyDescent="0.25">
      <c r="W120" s="25" t="e">
        <f>TEXT(EDATE(X_Cell_Site_StartDate,5), "mmmm")</f>
        <v>#VALUE!</v>
      </c>
      <c r="X120" s="25" t="e">
        <f ca="1"/>
        <v>#VALUE!</v>
      </c>
      <c r="Y120" s="25" t="e">
        <f ca="1"/>
        <v>#VALUE!</v>
      </c>
      <c r="Z120" s="25" t="e">
        <f ca="1"/>
        <v>#VALUE!</v>
      </c>
      <c r="AA120" s="25" t="e">
        <f ca="1"/>
        <v>#VALUE!</v>
      </c>
      <c r="AB120" s="25" t="e">
        <f ca="1"/>
        <v>#VALUE!</v>
      </c>
      <c r="AC120" s="25" t="e">
        <f ca="1"/>
        <v>#VALUE!</v>
      </c>
      <c r="AD120" s="25" t="e">
        <f ca="1"/>
        <v>#VALUE!</v>
      </c>
      <c r="AE120" s="25" t="e">
        <f ca="1"/>
        <v>#VALUE!</v>
      </c>
      <c r="AF120" s="25" t="e">
        <f ca="1"/>
        <v>#VALUE!</v>
      </c>
      <c r="AG120" s="25" t="e">
        <f ca="1"/>
        <v>#VALUE!</v>
      </c>
      <c r="AH120" s="26" t="s">
        <v>230</v>
      </c>
      <c r="AI120" s="26"/>
      <c r="AJ120" s="26"/>
    </row>
    <row r="121" spans="4:36" ht="20.100000000000001" customHeight="1" x14ac:dyDescent="0.25">
      <c r="W121" s="25" t="e">
        <f>TEXT(EDATE(X_Cell_Site_StartDate,6), "mmmm")</f>
        <v>#VALUE!</v>
      </c>
      <c r="X121" s="25" t="e">
        <f ca="1"/>
        <v>#VALUE!</v>
      </c>
      <c r="Y121" s="25" t="e">
        <f ca="1"/>
        <v>#VALUE!</v>
      </c>
      <c r="Z121" s="25" t="e">
        <f ca="1"/>
        <v>#VALUE!</v>
      </c>
      <c r="AA121" s="25" t="e">
        <f ca="1"/>
        <v>#VALUE!</v>
      </c>
      <c r="AB121" s="25" t="e">
        <f ca="1"/>
        <v>#VALUE!</v>
      </c>
      <c r="AC121" s="25" t="e">
        <f ca="1"/>
        <v>#VALUE!</v>
      </c>
      <c r="AD121" s="25" t="e">
        <f ca="1"/>
        <v>#VALUE!</v>
      </c>
      <c r="AE121" s="25" t="e">
        <f ca="1"/>
        <v>#VALUE!</v>
      </c>
      <c r="AF121" s="25" t="e">
        <f ca="1"/>
        <v>#VALUE!</v>
      </c>
      <c r="AG121" s="25" t="e">
        <f ca="1"/>
        <v>#VALUE!</v>
      </c>
      <c r="AH121" s="26" t="s">
        <v>230</v>
      </c>
      <c r="AI121" s="26"/>
      <c r="AJ121" s="26"/>
    </row>
    <row r="122" spans="4:36" ht="20.100000000000001" customHeight="1" x14ac:dyDescent="0.25">
      <c r="W122" s="25" t="e">
        <f>TEXT(EDATE(X_Cell_Site_StartDate,7), "mmmm")</f>
        <v>#VALUE!</v>
      </c>
      <c r="X122" s="25" t="e">
        <f ca="1"/>
        <v>#VALUE!</v>
      </c>
      <c r="Y122" s="25" t="e">
        <f ca="1"/>
        <v>#VALUE!</v>
      </c>
      <c r="Z122" s="25" t="e">
        <f ca="1"/>
        <v>#VALUE!</v>
      </c>
      <c r="AA122" s="25" t="e">
        <f ca="1"/>
        <v>#VALUE!</v>
      </c>
      <c r="AB122" s="25" t="e">
        <f ca="1"/>
        <v>#VALUE!</v>
      </c>
      <c r="AC122" s="25" t="e">
        <f ca="1"/>
        <v>#VALUE!</v>
      </c>
      <c r="AD122" s="25" t="e">
        <f ca="1"/>
        <v>#VALUE!</v>
      </c>
      <c r="AE122" s="25" t="e">
        <f ca="1"/>
        <v>#VALUE!</v>
      </c>
      <c r="AF122" s="25" t="e">
        <f ca="1"/>
        <v>#VALUE!</v>
      </c>
      <c r="AG122" s="25" t="e">
        <f ca="1"/>
        <v>#VALUE!</v>
      </c>
      <c r="AH122" s="26" t="s">
        <v>230</v>
      </c>
      <c r="AI122" s="26"/>
      <c r="AJ122" s="26"/>
    </row>
    <row r="123" spans="4:36" ht="20.100000000000001" customHeight="1" x14ac:dyDescent="0.25">
      <c r="W123" s="25" t="e">
        <f>TEXT(EDATE(X_Cell_Site_StartDate,8), "mmmm")</f>
        <v>#VALUE!</v>
      </c>
      <c r="X123" s="25" t="e">
        <f ca="1"/>
        <v>#VALUE!</v>
      </c>
      <c r="Y123" s="25" t="e">
        <f ca="1"/>
        <v>#VALUE!</v>
      </c>
      <c r="Z123" s="25" t="e">
        <f ca="1"/>
        <v>#VALUE!</v>
      </c>
      <c r="AA123" s="25" t="e">
        <f ca="1"/>
        <v>#VALUE!</v>
      </c>
      <c r="AB123" s="25" t="e">
        <f ca="1"/>
        <v>#VALUE!</v>
      </c>
      <c r="AC123" s="25" t="e">
        <f ca="1"/>
        <v>#VALUE!</v>
      </c>
      <c r="AD123" s="25" t="e">
        <f ca="1"/>
        <v>#VALUE!</v>
      </c>
      <c r="AE123" s="25" t="e">
        <f ca="1"/>
        <v>#VALUE!</v>
      </c>
      <c r="AF123" s="25" t="e">
        <f ca="1"/>
        <v>#VALUE!</v>
      </c>
      <c r="AG123" s="25" t="e">
        <f ca="1"/>
        <v>#VALUE!</v>
      </c>
      <c r="AH123" s="26" t="s">
        <v>230</v>
      </c>
      <c r="AI123" s="26"/>
      <c r="AJ123" s="26"/>
    </row>
    <row r="124" spans="4:36" ht="20.100000000000001" customHeight="1" x14ac:dyDescent="0.25">
      <c r="W124" s="25" t="e">
        <f>TEXT(EDATE(X_Cell_Site_StartDate,9), "mmmm")</f>
        <v>#VALUE!</v>
      </c>
      <c r="X124" s="25" t="e">
        <f ca="1"/>
        <v>#VALUE!</v>
      </c>
      <c r="Y124" s="25" t="e">
        <f ca="1"/>
        <v>#VALUE!</v>
      </c>
      <c r="Z124" s="25" t="e">
        <f ca="1"/>
        <v>#VALUE!</v>
      </c>
      <c r="AA124" s="25" t="e">
        <f ca="1"/>
        <v>#VALUE!</v>
      </c>
      <c r="AB124" s="25" t="e">
        <f ca="1"/>
        <v>#VALUE!</v>
      </c>
      <c r="AC124" s="25" t="e">
        <f ca="1"/>
        <v>#VALUE!</v>
      </c>
      <c r="AD124" s="25" t="e">
        <f ca="1"/>
        <v>#VALUE!</v>
      </c>
      <c r="AE124" s="25" t="e">
        <f ca="1"/>
        <v>#VALUE!</v>
      </c>
      <c r="AF124" s="25" t="e">
        <f ca="1"/>
        <v>#VALUE!</v>
      </c>
      <c r="AG124" s="25" t="e">
        <f ca="1"/>
        <v>#VALUE!</v>
      </c>
      <c r="AH124" s="26" t="s">
        <v>230</v>
      </c>
      <c r="AI124" s="26"/>
      <c r="AJ124" s="26"/>
    </row>
    <row r="125" spans="4:36" ht="20.100000000000001" customHeight="1" x14ac:dyDescent="0.25">
      <c r="W125" s="25" t="e">
        <f>TEXT(EDATE(X_Cell_Site_StartDate,10), "mmmm")</f>
        <v>#VALUE!</v>
      </c>
      <c r="X125" s="25" t="e">
        <f ca="1"/>
        <v>#VALUE!</v>
      </c>
      <c r="Y125" s="25" t="e">
        <f ca="1"/>
        <v>#VALUE!</v>
      </c>
      <c r="Z125" s="25" t="e">
        <f ca="1"/>
        <v>#VALUE!</v>
      </c>
      <c r="AA125" s="25" t="e">
        <f ca="1"/>
        <v>#VALUE!</v>
      </c>
      <c r="AB125" s="25" t="e">
        <f ca="1"/>
        <v>#VALUE!</v>
      </c>
      <c r="AC125" s="25" t="e">
        <f ca="1"/>
        <v>#VALUE!</v>
      </c>
      <c r="AD125" s="25" t="e">
        <f ca="1"/>
        <v>#VALUE!</v>
      </c>
      <c r="AE125" s="25" t="e">
        <f ca="1"/>
        <v>#VALUE!</v>
      </c>
      <c r="AF125" s="25" t="e">
        <f ca="1"/>
        <v>#VALUE!</v>
      </c>
      <c r="AG125" s="25" t="e">
        <f ca="1"/>
        <v>#VALUE!</v>
      </c>
      <c r="AH125" s="26" t="s">
        <v>230</v>
      </c>
      <c r="AI125" s="26"/>
      <c r="AJ125" s="26"/>
    </row>
    <row r="126" spans="4:36" ht="20.100000000000001" customHeight="1" x14ac:dyDescent="0.25">
      <c r="W126" s="25" t="e">
        <f>TEXT(EDATE(X_Cell_Site_StartDate,11), "mmmm")</f>
        <v>#VALUE!</v>
      </c>
      <c r="X126" s="25" t="e">
        <f ca="1"/>
        <v>#VALUE!</v>
      </c>
      <c r="Y126" s="25" t="e">
        <f ca="1"/>
        <v>#VALUE!</v>
      </c>
      <c r="Z126" s="25" t="e">
        <f ca="1"/>
        <v>#VALUE!</v>
      </c>
      <c r="AA126" s="25" t="e">
        <f ca="1"/>
        <v>#VALUE!</v>
      </c>
      <c r="AB126" s="25" t="e">
        <f ca="1"/>
        <v>#VALUE!</v>
      </c>
      <c r="AC126" s="25" t="e">
        <f ca="1"/>
        <v>#VALUE!</v>
      </c>
      <c r="AD126" s="25" t="e">
        <f ca="1"/>
        <v>#VALUE!</v>
      </c>
      <c r="AE126" s="25" t="e">
        <f ca="1"/>
        <v>#VALUE!</v>
      </c>
      <c r="AF126" s="25" t="e">
        <f ca="1"/>
        <v>#VALUE!</v>
      </c>
      <c r="AG126" s="25" t="e">
        <f ca="1"/>
        <v>#VALUE!</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t="e" cm="1">
        <f t="array" aca="1" ref="E131" ca="1">MMS_PastureBeef_Methane_Equations.VEERG_4_2_1_1__3_VolatileSolidProductionFromGrazingBeef(E84,E115,$I$110)</f>
        <v>#N/A</v>
      </c>
      <c r="F131" s="25" t="e" cm="1">
        <f t="array" aca="1" ref="F131" ca="1">MMS_PastureBeef_Methane_Equations.VEERG_4_2_1_1__3_VolatileSolidProductionFromGrazingBeef(F84,F115,$I$110)</f>
        <v>#N/A</v>
      </c>
      <c r="G131" s="25" t="e" cm="1">
        <f t="array" aca="1" ref="G131" ca="1">MMS_PastureBeef_Methane_Equations.VEERG_4_2_1_1__3_VolatileSolidProductionFromGrazingBeef(G84,G115,$I$110)</f>
        <v>#N/A</v>
      </c>
      <c r="H131" s="25" t="e" cm="1">
        <f t="array" aca="1" ref="H131" ca="1">MMS_PastureBeef_Methane_Equations.VEERG_4_2_1_1__3_VolatileSolidProductionFromGrazingBeef(H84,H115,$I$110)</f>
        <v>#N/A</v>
      </c>
      <c r="I131" s="25" t="e" cm="1">
        <f t="array" aca="1" ref="I131" ca="1">MMS_PastureBeef_Methane_Equations.VEERG_4_2_1_1__3_VolatileSolidProductionFromGrazingBeef(I84,I115,$I$110)</f>
        <v>#N/A</v>
      </c>
      <c r="J131" s="25" t="e" cm="1">
        <f t="array" aca="1" ref="J131" ca="1">MMS_PastureBeef_Methane_Equations.VEERG_4_2_1_1__3_VolatileSolidProductionFromGrazingBeef(J84,J115,$I$110)</f>
        <v>#N/A</v>
      </c>
      <c r="K131" s="25" t="e" cm="1">
        <f t="array" aca="1" ref="K131" ca="1">MMS_PastureBeef_Methane_Equations.VEERG_4_2_1_1__3_VolatileSolidProductionFromGrazingBeef(K84,K115,$I$110)</f>
        <v>#N/A</v>
      </c>
      <c r="L131" s="25" t="e" cm="1">
        <f t="array" aca="1" ref="L131" ca="1">MMS_PastureBeef_Methane_Equations.VEERG_4_2_1_1__3_VolatileSolidProductionFromGrazingBeef(L84,L115,$I$110)</f>
        <v>#N/A</v>
      </c>
      <c r="M131" s="25" t="e" cm="1">
        <f t="array" aca="1" ref="M131" ca="1">MMS_PastureBeef_Methane_Equations.VEERG_4_2_1_1__3_VolatileSolidProductionFromGrazingBeef(M84,M115,$I$110)</f>
        <v>#N/A</v>
      </c>
      <c r="N131" s="25" t="e" cm="1">
        <f t="array" aca="1" ref="N131" ca="1">MMS_PastureBeef_Methane_Equations.VEERG_4_2_1_1__3_VolatileSolidProductionFromGrazingBeef(N84,N115,$I$110)</f>
        <v>#N/A</v>
      </c>
      <c r="O131" s="26" t="str">
        <f>$E$106</f>
        <v>kg/head/day</v>
      </c>
      <c r="P131" s="26"/>
      <c r="Q131" s="26"/>
      <c r="R131" s="26"/>
      <c r="S131" s="26"/>
      <c r="W131" s="25" t="str">
        <f>W115</f>
        <v>NO - Not in leaching zone</v>
      </c>
      <c r="X131" s="25" t="e" cm="1">
        <f t="array" aca="1" ref="X131" ca="1">MMS_PastureBeef_Methane_Equations.VEERG_4_2_1_1__3_VolatileSolidProductionFromGrazingBeef(X76,X115,$I$110)</f>
        <v>#N/A</v>
      </c>
      <c r="Y131" s="25" t="e" cm="1">
        <f t="array" aca="1" ref="Y131" ca="1">MMS_PastureBeef_Methane_Equations.VEERG_4_2_1_1__3_VolatileSolidProductionFromGrazingBeef(Y76,Y115,$I$110)</f>
        <v>#N/A</v>
      </c>
      <c r="Z131" s="25" t="e" cm="1">
        <f t="array" aca="1" ref="Z131" ca="1">MMS_PastureBeef_Methane_Equations.VEERG_4_2_1_1__3_VolatileSolidProductionFromGrazingBeef(Z76,Z115,$I$110)</f>
        <v>#N/A</v>
      </c>
      <c r="AA131" s="25" t="e" cm="1">
        <f t="array" aca="1" ref="AA131" ca="1">MMS_PastureBeef_Methane_Equations.VEERG_4_2_1_1__3_VolatileSolidProductionFromGrazingBeef(AA76,AA115,$I$110)</f>
        <v>#N/A</v>
      </c>
      <c r="AB131" s="25" t="e" cm="1">
        <f t="array" aca="1" ref="AB131" ca="1">MMS_PastureBeef_Methane_Equations.VEERG_4_2_1_1__3_VolatileSolidProductionFromGrazingBeef(AB76,AB115,$I$110)</f>
        <v>#N/A</v>
      </c>
      <c r="AC131" s="25" t="e" cm="1">
        <f t="array" aca="1" ref="AC131" ca="1">MMS_PastureBeef_Methane_Equations.VEERG_4_2_1_1__3_VolatileSolidProductionFromGrazingBeef(AC76,AC115,$I$110)</f>
        <v>#N/A</v>
      </c>
      <c r="AD131" s="25" t="e" cm="1">
        <f t="array" aca="1" ref="AD131" ca="1">MMS_PastureBeef_Methane_Equations.VEERG_4_2_1_1__3_VolatileSolidProductionFromGrazingBeef(AD76,AD115,$I$110)</f>
        <v>#N/A</v>
      </c>
      <c r="AE131" s="25" t="e" cm="1">
        <f t="array" aca="1" ref="AE131" ca="1">MMS_PastureBeef_Methane_Equations.VEERG_4_2_1_1__3_VolatileSolidProductionFromGrazingBeef(AE76,AE115,$I$110)</f>
        <v>#N/A</v>
      </c>
      <c r="AF131" s="25" t="e" cm="1">
        <f t="array" aca="1" ref="AF131" ca="1">MMS_PastureBeef_Methane_Equations.VEERG_4_2_1_1__3_VolatileSolidProductionFromGrazingBeef(AF76,AF115,$I$110)</f>
        <v>#N/A</v>
      </c>
      <c r="AG131" s="25" t="e" cm="1">
        <f t="array" aca="1" ref="AG131" ca="1">MMS_PastureBeef_Methane_Equations.VEERG_4_2_1_1__3_VolatileSolidProductionFromGrazingBeef(AG76,AG115,$I$110)</f>
        <v>#N/A</v>
      </c>
      <c r="AH131" s="26" t="str">
        <f t="shared" ref="AH131:AH142" si="3">$E$106</f>
        <v>kg/head/day</v>
      </c>
      <c r="AI131" s="26"/>
      <c r="AJ131" s="26"/>
    </row>
    <row r="132" spans="4:36" ht="20.100000000000001" customHeight="1" x14ac:dyDescent="0.25">
      <c r="D132" s="25" t="s">
        <v>201</v>
      </c>
      <c r="E132" s="25" t="e" cm="1">
        <f t="array" aca="1" ref="E132" ca="1">MMS_PastureBeef_Methane_Equations.VEERG_4_2_1_1__3_VolatileSolidProductionFromGrazingBeef(E85,E116,$I$110)</f>
        <v>#N/A</v>
      </c>
      <c r="F132" s="25" t="e" cm="1">
        <f t="array" aca="1" ref="F132" ca="1">MMS_PastureBeef_Methane_Equations.VEERG_4_2_1_1__3_VolatileSolidProductionFromGrazingBeef(F85,F116,$I$110)</f>
        <v>#N/A</v>
      </c>
      <c r="G132" s="25" t="e" cm="1">
        <f t="array" aca="1" ref="G132" ca="1">MMS_PastureBeef_Methane_Equations.VEERG_4_2_1_1__3_VolatileSolidProductionFromGrazingBeef(G85,G116,$I$110)</f>
        <v>#N/A</v>
      </c>
      <c r="H132" s="25" t="e" cm="1">
        <f t="array" aca="1" ref="H132" ca="1">MMS_PastureBeef_Methane_Equations.VEERG_4_2_1_1__3_VolatileSolidProductionFromGrazingBeef(H85,H116,$I$110)</f>
        <v>#N/A</v>
      </c>
      <c r="I132" s="25" t="e" cm="1">
        <f t="array" aca="1" ref="I132" ca="1">MMS_PastureBeef_Methane_Equations.VEERG_4_2_1_1__3_VolatileSolidProductionFromGrazingBeef(I85,I116,$I$110)</f>
        <v>#N/A</v>
      </c>
      <c r="J132" s="25" t="e" cm="1">
        <f t="array" aca="1" ref="J132" ca="1">MMS_PastureBeef_Methane_Equations.VEERG_4_2_1_1__3_VolatileSolidProductionFromGrazingBeef(J85,J116,$I$110)</f>
        <v>#N/A</v>
      </c>
      <c r="K132" s="25" t="e" cm="1">
        <f t="array" aca="1" ref="K132" ca="1">MMS_PastureBeef_Methane_Equations.VEERG_4_2_1_1__3_VolatileSolidProductionFromGrazingBeef(K85,K116,$I$110)</f>
        <v>#N/A</v>
      </c>
      <c r="L132" s="25" t="e" cm="1">
        <f t="array" aca="1" ref="L132" ca="1">MMS_PastureBeef_Methane_Equations.VEERG_4_2_1_1__3_VolatileSolidProductionFromGrazingBeef(L85,L116,$I$110)</f>
        <v>#N/A</v>
      </c>
      <c r="M132" s="25" t="e" cm="1">
        <f t="array" aca="1" ref="M132" ca="1">MMS_PastureBeef_Methane_Equations.VEERG_4_2_1_1__3_VolatileSolidProductionFromGrazingBeef(M85,M116,$I$110)</f>
        <v>#N/A</v>
      </c>
      <c r="N132" s="25" t="e" cm="1">
        <f t="array" aca="1" ref="N132" ca="1">MMS_PastureBeef_Methane_Equations.VEERG_4_2_1_1__3_VolatileSolidProductionFromGrazingBeef(N85,N116,$I$110)</f>
        <v>#N/A</v>
      </c>
      <c r="O132" s="26" t="str">
        <f t="shared" ref="O132:O134" si="4">$E$106</f>
        <v>kg/head/day</v>
      </c>
      <c r="P132" s="26"/>
      <c r="Q132" s="26"/>
      <c r="R132" s="26"/>
      <c r="S132" s="26"/>
      <c r="W132" s="25" t="e">
        <f t="shared" ref="W132:W142" si="5">W116</f>
        <v>#VALUE!</v>
      </c>
      <c r="X132" s="25" t="e" cm="1">
        <f t="array" aca="1" ref="X132" ca="1">MMS_PastureBeef_Methane_Equations.VEERG_4_2_1_1__3_VolatileSolidProductionFromGrazingBeef(X77,X116,$I$110)</f>
        <v>#N/A</v>
      </c>
      <c r="Y132" s="25" t="e" cm="1">
        <f t="array" aca="1" ref="Y132" ca="1">MMS_PastureBeef_Methane_Equations.VEERG_4_2_1_1__3_VolatileSolidProductionFromGrazingBeef(Y77,Y116,$I$110)</f>
        <v>#N/A</v>
      </c>
      <c r="Z132" s="25" t="e" cm="1">
        <f t="array" aca="1" ref="Z132" ca="1">MMS_PastureBeef_Methane_Equations.VEERG_4_2_1_1__3_VolatileSolidProductionFromGrazingBeef(Z77,Z116,$I$110)</f>
        <v>#N/A</v>
      </c>
      <c r="AA132" s="25" t="e" cm="1">
        <f t="array" aca="1" ref="AA132" ca="1">MMS_PastureBeef_Methane_Equations.VEERG_4_2_1_1__3_VolatileSolidProductionFromGrazingBeef(AA77,AA116,$I$110)</f>
        <v>#N/A</v>
      </c>
      <c r="AB132" s="25" t="e" cm="1">
        <f t="array" aca="1" ref="AB132" ca="1">MMS_PastureBeef_Methane_Equations.VEERG_4_2_1_1__3_VolatileSolidProductionFromGrazingBeef(AB77,AB116,$I$110)</f>
        <v>#N/A</v>
      </c>
      <c r="AC132" s="25" t="e" cm="1">
        <f t="array" aca="1" ref="AC132" ca="1">MMS_PastureBeef_Methane_Equations.VEERG_4_2_1_1__3_VolatileSolidProductionFromGrazingBeef(AC77,AC116,$I$110)</f>
        <v>#N/A</v>
      </c>
      <c r="AD132" s="25" t="e" cm="1">
        <f t="array" aca="1" ref="AD132" ca="1">MMS_PastureBeef_Methane_Equations.VEERG_4_2_1_1__3_VolatileSolidProductionFromGrazingBeef(AD77,AD116,$I$110)</f>
        <v>#N/A</v>
      </c>
      <c r="AE132" s="25" t="e" cm="1">
        <f t="array" aca="1" ref="AE132" ca="1">MMS_PastureBeef_Methane_Equations.VEERG_4_2_1_1__3_VolatileSolidProductionFromGrazingBeef(AE77,AE116,$I$110)</f>
        <v>#N/A</v>
      </c>
      <c r="AF132" s="25" t="e" cm="1">
        <f t="array" aca="1" ref="AF132" ca="1">MMS_PastureBeef_Methane_Equations.VEERG_4_2_1_1__3_VolatileSolidProductionFromGrazingBeef(AF77,AF116,$I$110)</f>
        <v>#N/A</v>
      </c>
      <c r="AG132" s="25" t="e" cm="1">
        <f t="array" aca="1" ref="AG132" ca="1">MMS_PastureBeef_Methane_Equations.VEERG_4_2_1_1__3_VolatileSolidProductionFromGrazingBeef(AG77,AG116,$I$110)</f>
        <v>#N/A</v>
      </c>
      <c r="AH132" s="26" t="str">
        <f t="shared" si="3"/>
        <v>kg/head/day</v>
      </c>
      <c r="AI132" s="26"/>
      <c r="AJ132" s="26"/>
    </row>
    <row r="133" spans="4:36" ht="20.100000000000001" customHeight="1" x14ac:dyDescent="0.25">
      <c r="D133" s="25" t="s">
        <v>202</v>
      </c>
      <c r="E133" s="25" t="e" cm="1">
        <f t="array" aca="1" ref="E133" ca="1">MMS_PastureBeef_Methane_Equations.VEERG_4_2_1_1__3_VolatileSolidProductionFromGrazingBeef(E86,E117,$I$110)</f>
        <v>#N/A</v>
      </c>
      <c r="F133" s="25" t="e" cm="1">
        <f t="array" aca="1" ref="F133" ca="1">MMS_PastureBeef_Methane_Equations.VEERG_4_2_1_1__3_VolatileSolidProductionFromGrazingBeef(F86,F117,$I$110)</f>
        <v>#N/A</v>
      </c>
      <c r="G133" s="25" t="e" cm="1">
        <f t="array" aca="1" ref="G133" ca="1">MMS_PastureBeef_Methane_Equations.VEERG_4_2_1_1__3_VolatileSolidProductionFromGrazingBeef(G86,G117,$I$110)</f>
        <v>#N/A</v>
      </c>
      <c r="H133" s="25" t="e" cm="1">
        <f t="array" aca="1" ref="H133" ca="1">MMS_PastureBeef_Methane_Equations.VEERG_4_2_1_1__3_VolatileSolidProductionFromGrazingBeef(H86,H117,$I$110)</f>
        <v>#N/A</v>
      </c>
      <c r="I133" s="25" t="e" cm="1">
        <f t="array" aca="1" ref="I133" ca="1">MMS_PastureBeef_Methane_Equations.VEERG_4_2_1_1__3_VolatileSolidProductionFromGrazingBeef(I86,I117,$I$110)</f>
        <v>#N/A</v>
      </c>
      <c r="J133" s="25" t="e" cm="1">
        <f t="array" aca="1" ref="J133" ca="1">MMS_PastureBeef_Methane_Equations.VEERG_4_2_1_1__3_VolatileSolidProductionFromGrazingBeef(J86,J117,$I$110)</f>
        <v>#N/A</v>
      </c>
      <c r="K133" s="25" t="e" cm="1">
        <f t="array" aca="1" ref="K133" ca="1">MMS_PastureBeef_Methane_Equations.VEERG_4_2_1_1__3_VolatileSolidProductionFromGrazingBeef(K86,K117,$I$110)</f>
        <v>#N/A</v>
      </c>
      <c r="L133" s="25" t="e" cm="1">
        <f t="array" aca="1" ref="L133" ca="1">MMS_PastureBeef_Methane_Equations.VEERG_4_2_1_1__3_VolatileSolidProductionFromGrazingBeef(L86,L117,$I$110)</f>
        <v>#N/A</v>
      </c>
      <c r="M133" s="25" t="e" cm="1">
        <f t="array" aca="1" ref="M133" ca="1">MMS_PastureBeef_Methane_Equations.VEERG_4_2_1_1__3_VolatileSolidProductionFromGrazingBeef(M86,M117,$I$110)</f>
        <v>#N/A</v>
      </c>
      <c r="N133" s="25" t="e" cm="1">
        <f t="array" aca="1" ref="N133" ca="1">MMS_PastureBeef_Methane_Equations.VEERG_4_2_1_1__3_VolatileSolidProductionFromGrazingBeef(N86,N117,$I$110)</f>
        <v>#N/A</v>
      </c>
      <c r="O133" s="26" t="str">
        <f t="shared" si="4"/>
        <v>kg/head/day</v>
      </c>
      <c r="P133" s="26"/>
      <c r="Q133" s="26"/>
      <c r="R133" s="26"/>
      <c r="S133" s="26"/>
      <c r="W133" s="25" t="e">
        <f t="shared" si="5"/>
        <v>#VALUE!</v>
      </c>
      <c r="X133" s="25" t="e" cm="1">
        <f t="array" aca="1" ref="X133" ca="1">MMS_PastureBeef_Methane_Equations.VEERG_4_2_1_1__3_VolatileSolidProductionFromGrazingBeef(X78,X117,$I$110)</f>
        <v>#N/A</v>
      </c>
      <c r="Y133" s="25" t="e" cm="1">
        <f t="array" aca="1" ref="Y133" ca="1">MMS_PastureBeef_Methane_Equations.VEERG_4_2_1_1__3_VolatileSolidProductionFromGrazingBeef(Y78,Y117,$I$110)</f>
        <v>#N/A</v>
      </c>
      <c r="Z133" s="25" t="e" cm="1">
        <f t="array" aca="1" ref="Z133" ca="1">MMS_PastureBeef_Methane_Equations.VEERG_4_2_1_1__3_VolatileSolidProductionFromGrazingBeef(Z78,Z117,$I$110)</f>
        <v>#N/A</v>
      </c>
      <c r="AA133" s="25" t="e" cm="1">
        <f t="array" aca="1" ref="AA133" ca="1">MMS_PastureBeef_Methane_Equations.VEERG_4_2_1_1__3_VolatileSolidProductionFromGrazingBeef(AA78,AA117,$I$110)</f>
        <v>#N/A</v>
      </c>
      <c r="AB133" s="25" t="e" cm="1">
        <f t="array" aca="1" ref="AB133" ca="1">MMS_PastureBeef_Methane_Equations.VEERG_4_2_1_1__3_VolatileSolidProductionFromGrazingBeef(AB78,AB117,$I$110)</f>
        <v>#N/A</v>
      </c>
      <c r="AC133" s="25" t="e" cm="1">
        <f t="array" aca="1" ref="AC133" ca="1">MMS_PastureBeef_Methane_Equations.VEERG_4_2_1_1__3_VolatileSolidProductionFromGrazingBeef(AC78,AC117,$I$110)</f>
        <v>#N/A</v>
      </c>
      <c r="AD133" s="25" t="e" cm="1">
        <f t="array" aca="1" ref="AD133" ca="1">MMS_PastureBeef_Methane_Equations.VEERG_4_2_1_1__3_VolatileSolidProductionFromGrazingBeef(AD78,AD117,$I$110)</f>
        <v>#N/A</v>
      </c>
      <c r="AE133" s="25" t="e" cm="1">
        <f t="array" aca="1" ref="AE133" ca="1">MMS_PastureBeef_Methane_Equations.VEERG_4_2_1_1__3_VolatileSolidProductionFromGrazingBeef(AE78,AE117,$I$110)</f>
        <v>#N/A</v>
      </c>
      <c r="AF133" s="25" t="e" cm="1">
        <f t="array" aca="1" ref="AF133" ca="1">MMS_PastureBeef_Methane_Equations.VEERG_4_2_1_1__3_VolatileSolidProductionFromGrazingBeef(AF78,AF117,$I$110)</f>
        <v>#N/A</v>
      </c>
      <c r="AG133" s="25" t="e" cm="1">
        <f t="array" aca="1" ref="AG133" ca="1">MMS_PastureBeef_Methane_Equations.VEERG_4_2_1_1__3_VolatileSolidProductionFromGrazingBeef(AG78,AG117,$I$110)</f>
        <v>#N/A</v>
      </c>
      <c r="AH133" s="26" t="str">
        <f t="shared" si="3"/>
        <v>kg/head/day</v>
      </c>
      <c r="AI133" s="26"/>
      <c r="AJ133" s="26"/>
    </row>
    <row r="134" spans="4:36" ht="20.100000000000001" customHeight="1" x14ac:dyDescent="0.25">
      <c r="D134" s="25" t="s">
        <v>203</v>
      </c>
      <c r="E134" s="25" t="e" cm="1">
        <f t="array" aca="1" ref="E134" ca="1">MMS_PastureBeef_Methane_Equations.VEERG_4_2_1_1__3_VolatileSolidProductionFromGrazingBeef(E87,E118,$I$110)</f>
        <v>#N/A</v>
      </c>
      <c r="F134" s="25" t="e" cm="1">
        <f t="array" aca="1" ref="F134" ca="1">MMS_PastureBeef_Methane_Equations.VEERG_4_2_1_1__3_VolatileSolidProductionFromGrazingBeef(F87,F118,$I$110)</f>
        <v>#N/A</v>
      </c>
      <c r="G134" s="25" t="e" cm="1">
        <f t="array" aca="1" ref="G134" ca="1">MMS_PastureBeef_Methane_Equations.VEERG_4_2_1_1__3_VolatileSolidProductionFromGrazingBeef(G87,G118,$I$110)</f>
        <v>#N/A</v>
      </c>
      <c r="H134" s="25" t="e" cm="1">
        <f t="array" aca="1" ref="H134" ca="1">MMS_PastureBeef_Methane_Equations.VEERG_4_2_1_1__3_VolatileSolidProductionFromGrazingBeef(H87,H118,$I$110)</f>
        <v>#N/A</v>
      </c>
      <c r="I134" s="25" t="e" cm="1">
        <f t="array" aca="1" ref="I134" ca="1">MMS_PastureBeef_Methane_Equations.VEERG_4_2_1_1__3_VolatileSolidProductionFromGrazingBeef(I87,I118,$I$110)</f>
        <v>#N/A</v>
      </c>
      <c r="J134" s="25" t="e" cm="1">
        <f t="array" aca="1" ref="J134" ca="1">MMS_PastureBeef_Methane_Equations.VEERG_4_2_1_1__3_VolatileSolidProductionFromGrazingBeef(J87,J118,$I$110)</f>
        <v>#N/A</v>
      </c>
      <c r="K134" s="25" t="e" cm="1">
        <f t="array" aca="1" ref="K134" ca="1">MMS_PastureBeef_Methane_Equations.VEERG_4_2_1_1__3_VolatileSolidProductionFromGrazingBeef(K87,K118,$I$110)</f>
        <v>#N/A</v>
      </c>
      <c r="L134" s="25" t="e" cm="1">
        <f t="array" aca="1" ref="L134" ca="1">MMS_PastureBeef_Methane_Equations.VEERG_4_2_1_1__3_VolatileSolidProductionFromGrazingBeef(L87,L118,$I$110)</f>
        <v>#N/A</v>
      </c>
      <c r="M134" s="25" t="e" cm="1">
        <f t="array" aca="1" ref="M134" ca="1">MMS_PastureBeef_Methane_Equations.VEERG_4_2_1_1__3_VolatileSolidProductionFromGrazingBeef(M87,M118,$I$110)</f>
        <v>#N/A</v>
      </c>
      <c r="N134" s="25" t="e" cm="1">
        <f t="array" aca="1" ref="N134" ca="1">MMS_PastureBeef_Methane_Equations.VEERG_4_2_1_1__3_VolatileSolidProductionFromGrazingBeef(N87,N118,$I$110)</f>
        <v>#N/A</v>
      </c>
      <c r="O134" s="26" t="str">
        <f t="shared" si="4"/>
        <v>kg/head/day</v>
      </c>
      <c r="P134" s="26"/>
      <c r="Q134" s="26"/>
      <c r="R134" s="26"/>
      <c r="S134" s="26"/>
      <c r="W134" s="25" t="e">
        <f t="shared" si="5"/>
        <v>#VALUE!</v>
      </c>
      <c r="X134" s="25" t="e" cm="1">
        <f t="array" aca="1" ref="X134" ca="1">MMS_PastureBeef_Methane_Equations.VEERG_4_2_1_1__3_VolatileSolidProductionFromGrazingBeef(X79,X118,$I$110)</f>
        <v>#N/A</v>
      </c>
      <c r="Y134" s="25" t="e" cm="1">
        <f t="array" aca="1" ref="Y134" ca="1">MMS_PastureBeef_Methane_Equations.VEERG_4_2_1_1__3_VolatileSolidProductionFromGrazingBeef(Y79,Y118,$I$110)</f>
        <v>#N/A</v>
      </c>
      <c r="Z134" s="25" t="e" cm="1">
        <f t="array" aca="1" ref="Z134" ca="1">MMS_PastureBeef_Methane_Equations.VEERG_4_2_1_1__3_VolatileSolidProductionFromGrazingBeef(Z79,Z118,$I$110)</f>
        <v>#N/A</v>
      </c>
      <c r="AA134" s="25" t="e" cm="1">
        <f t="array" aca="1" ref="AA134" ca="1">MMS_PastureBeef_Methane_Equations.VEERG_4_2_1_1__3_VolatileSolidProductionFromGrazingBeef(AA79,AA118,$I$110)</f>
        <v>#N/A</v>
      </c>
      <c r="AB134" s="25" t="e" cm="1">
        <f t="array" aca="1" ref="AB134" ca="1">MMS_PastureBeef_Methane_Equations.VEERG_4_2_1_1__3_VolatileSolidProductionFromGrazingBeef(AB79,AB118,$I$110)</f>
        <v>#N/A</v>
      </c>
      <c r="AC134" s="25" t="e" cm="1">
        <f t="array" aca="1" ref="AC134" ca="1">MMS_PastureBeef_Methane_Equations.VEERG_4_2_1_1__3_VolatileSolidProductionFromGrazingBeef(AC79,AC118,$I$110)</f>
        <v>#N/A</v>
      </c>
      <c r="AD134" s="25" t="e" cm="1">
        <f t="array" aca="1" ref="AD134" ca="1">MMS_PastureBeef_Methane_Equations.VEERG_4_2_1_1__3_VolatileSolidProductionFromGrazingBeef(AD79,AD118,$I$110)</f>
        <v>#N/A</v>
      </c>
      <c r="AE134" s="25" t="e" cm="1">
        <f t="array" aca="1" ref="AE134" ca="1">MMS_PastureBeef_Methane_Equations.VEERG_4_2_1_1__3_VolatileSolidProductionFromGrazingBeef(AE79,AE118,$I$110)</f>
        <v>#N/A</v>
      </c>
      <c r="AF134" s="25" t="e" cm="1">
        <f t="array" aca="1" ref="AF134" ca="1">MMS_PastureBeef_Methane_Equations.VEERG_4_2_1_1__3_VolatileSolidProductionFromGrazingBeef(AF79,AF118,$I$110)</f>
        <v>#N/A</v>
      </c>
      <c r="AG134" s="25" t="e" cm="1">
        <f t="array" aca="1" ref="AG134" ca="1">MMS_PastureBeef_Methane_Equations.VEERG_4_2_1_1__3_VolatileSolidProductionFromGrazingBeef(AG79,AG118,$I$110)</f>
        <v>#N/A</v>
      </c>
      <c r="AH134" s="26" t="str">
        <f t="shared" si="3"/>
        <v>kg/head/day</v>
      </c>
      <c r="AI134" s="26"/>
      <c r="AJ134" s="26"/>
    </row>
    <row r="135" spans="4:36" ht="20.100000000000001" customHeight="1" x14ac:dyDescent="0.25">
      <c r="W135" s="25" t="e">
        <f t="shared" si="5"/>
        <v>#VALUE!</v>
      </c>
      <c r="X135" s="25" t="e" cm="1">
        <f t="array" aca="1" ref="X135" ca="1">MMS_PastureBeef_Methane_Equations.VEERG_4_2_1_1__3_VolatileSolidProductionFromGrazingBeef(X80,X119,$I$110)</f>
        <v>#N/A</v>
      </c>
      <c r="Y135" s="25" t="e" cm="1">
        <f t="array" aca="1" ref="Y135" ca="1">MMS_PastureBeef_Methane_Equations.VEERG_4_2_1_1__3_VolatileSolidProductionFromGrazingBeef(Y80,Y119,$I$110)</f>
        <v>#N/A</v>
      </c>
      <c r="Z135" s="25" t="e" cm="1">
        <f t="array" aca="1" ref="Z135" ca="1">MMS_PastureBeef_Methane_Equations.VEERG_4_2_1_1__3_VolatileSolidProductionFromGrazingBeef(Z80,Z119,$I$110)</f>
        <v>#N/A</v>
      </c>
      <c r="AA135" s="25" t="e" cm="1">
        <f t="array" aca="1" ref="AA135" ca="1">MMS_PastureBeef_Methane_Equations.VEERG_4_2_1_1__3_VolatileSolidProductionFromGrazingBeef(AA80,AA119,$I$110)</f>
        <v>#N/A</v>
      </c>
      <c r="AB135" s="25" t="e" cm="1">
        <f t="array" aca="1" ref="AB135" ca="1">MMS_PastureBeef_Methane_Equations.VEERG_4_2_1_1__3_VolatileSolidProductionFromGrazingBeef(AB80,AB119,$I$110)</f>
        <v>#N/A</v>
      </c>
      <c r="AC135" s="25" t="e" cm="1">
        <f t="array" aca="1" ref="AC135" ca="1">MMS_PastureBeef_Methane_Equations.VEERG_4_2_1_1__3_VolatileSolidProductionFromGrazingBeef(AC80,AC119,$I$110)</f>
        <v>#N/A</v>
      </c>
      <c r="AD135" s="25" t="e" cm="1">
        <f t="array" aca="1" ref="AD135" ca="1">MMS_PastureBeef_Methane_Equations.VEERG_4_2_1_1__3_VolatileSolidProductionFromGrazingBeef(AD80,AD119,$I$110)</f>
        <v>#N/A</v>
      </c>
      <c r="AE135" s="25" t="e" cm="1">
        <f t="array" aca="1" ref="AE135" ca="1">MMS_PastureBeef_Methane_Equations.VEERG_4_2_1_1__3_VolatileSolidProductionFromGrazingBeef(AE80,AE119,$I$110)</f>
        <v>#N/A</v>
      </c>
      <c r="AF135" s="25" t="e" cm="1">
        <f t="array" aca="1" ref="AF135" ca="1">MMS_PastureBeef_Methane_Equations.VEERG_4_2_1_1__3_VolatileSolidProductionFromGrazingBeef(AF80,AF119,$I$110)</f>
        <v>#N/A</v>
      </c>
      <c r="AG135" s="25" t="e" cm="1">
        <f t="array" aca="1" ref="AG135" ca="1">MMS_PastureBeef_Methane_Equations.VEERG_4_2_1_1__3_VolatileSolidProductionFromGrazingBeef(AG80,AG119,$I$110)</f>
        <v>#N/A</v>
      </c>
      <c r="AH135" s="26" t="str">
        <f t="shared" si="3"/>
        <v>kg/head/day</v>
      </c>
      <c r="AI135" s="26"/>
      <c r="AJ135" s="26"/>
    </row>
    <row r="136" spans="4:36" ht="20.100000000000001" customHeight="1" x14ac:dyDescent="0.25">
      <c r="W136" s="25" t="e">
        <f t="shared" si="5"/>
        <v>#VALUE!</v>
      </c>
      <c r="X136" s="25" t="e" cm="1">
        <f t="array" aca="1" ref="X136" ca="1">MMS_PastureBeef_Methane_Equations.VEERG_4_2_1_1__3_VolatileSolidProductionFromGrazingBeef(X81,X120,$I$110)</f>
        <v>#N/A</v>
      </c>
      <c r="Y136" s="25" t="e" cm="1">
        <f t="array" aca="1" ref="Y136" ca="1">MMS_PastureBeef_Methane_Equations.VEERG_4_2_1_1__3_VolatileSolidProductionFromGrazingBeef(Y81,Y120,$I$110)</f>
        <v>#N/A</v>
      </c>
      <c r="Z136" s="25" t="e" cm="1">
        <f t="array" aca="1" ref="Z136" ca="1">MMS_PastureBeef_Methane_Equations.VEERG_4_2_1_1__3_VolatileSolidProductionFromGrazingBeef(Z81,Z120,$I$110)</f>
        <v>#N/A</v>
      </c>
      <c r="AA136" s="25" t="e" cm="1">
        <f t="array" aca="1" ref="AA136" ca="1">MMS_PastureBeef_Methane_Equations.VEERG_4_2_1_1__3_VolatileSolidProductionFromGrazingBeef(AA81,AA120,$I$110)</f>
        <v>#N/A</v>
      </c>
      <c r="AB136" s="25" t="e" cm="1">
        <f t="array" aca="1" ref="AB136" ca="1">MMS_PastureBeef_Methane_Equations.VEERG_4_2_1_1__3_VolatileSolidProductionFromGrazingBeef(AB81,AB120,$I$110)</f>
        <v>#N/A</v>
      </c>
      <c r="AC136" s="25" t="e" cm="1">
        <f t="array" aca="1" ref="AC136" ca="1">MMS_PastureBeef_Methane_Equations.VEERG_4_2_1_1__3_VolatileSolidProductionFromGrazingBeef(AC81,AC120,$I$110)</f>
        <v>#N/A</v>
      </c>
      <c r="AD136" s="25" t="e" cm="1">
        <f t="array" aca="1" ref="AD136" ca="1">MMS_PastureBeef_Methane_Equations.VEERG_4_2_1_1__3_VolatileSolidProductionFromGrazingBeef(AD81,AD120,$I$110)</f>
        <v>#N/A</v>
      </c>
      <c r="AE136" s="25" t="e" cm="1">
        <f t="array" aca="1" ref="AE136" ca="1">MMS_PastureBeef_Methane_Equations.VEERG_4_2_1_1__3_VolatileSolidProductionFromGrazingBeef(AE81,AE120,$I$110)</f>
        <v>#N/A</v>
      </c>
      <c r="AF136" s="25" t="e" cm="1">
        <f t="array" aca="1" ref="AF136" ca="1">MMS_PastureBeef_Methane_Equations.VEERG_4_2_1_1__3_VolatileSolidProductionFromGrazingBeef(AF81,AF120,$I$110)</f>
        <v>#N/A</v>
      </c>
      <c r="AG136" s="25" t="e" cm="1">
        <f t="array" aca="1" ref="AG136" ca="1">MMS_PastureBeef_Methane_Equations.VEERG_4_2_1_1__3_VolatileSolidProductionFromGrazingBeef(AG81,AG120,$I$110)</f>
        <v>#N/A</v>
      </c>
      <c r="AH136" s="26" t="str">
        <f t="shared" si="3"/>
        <v>kg/head/day</v>
      </c>
      <c r="AI136" s="26"/>
      <c r="AJ136" s="26"/>
    </row>
    <row r="137" spans="4:36" ht="20.100000000000001" customHeight="1" x14ac:dyDescent="0.25">
      <c r="W137" s="25" t="e">
        <f t="shared" si="5"/>
        <v>#VALUE!</v>
      </c>
      <c r="X137" s="25" t="e" cm="1">
        <f t="array" aca="1" ref="X137" ca="1">MMS_PastureBeef_Methane_Equations.VEERG_4_2_1_1__3_VolatileSolidProductionFromGrazingBeef(X82,X121,$I$110)</f>
        <v>#N/A</v>
      </c>
      <c r="Y137" s="25" t="e" cm="1">
        <f t="array" aca="1" ref="Y137" ca="1">MMS_PastureBeef_Methane_Equations.VEERG_4_2_1_1__3_VolatileSolidProductionFromGrazingBeef(Y82,Y121,$I$110)</f>
        <v>#N/A</v>
      </c>
      <c r="Z137" s="25" t="e" cm="1">
        <f t="array" aca="1" ref="Z137" ca="1">MMS_PastureBeef_Methane_Equations.VEERG_4_2_1_1__3_VolatileSolidProductionFromGrazingBeef(Z82,Z121,$I$110)</f>
        <v>#N/A</v>
      </c>
      <c r="AA137" s="25" t="e" cm="1">
        <f t="array" aca="1" ref="AA137" ca="1">MMS_PastureBeef_Methane_Equations.VEERG_4_2_1_1__3_VolatileSolidProductionFromGrazingBeef(AA82,AA121,$I$110)</f>
        <v>#N/A</v>
      </c>
      <c r="AB137" s="25" t="e" cm="1">
        <f t="array" aca="1" ref="AB137" ca="1">MMS_PastureBeef_Methane_Equations.VEERG_4_2_1_1__3_VolatileSolidProductionFromGrazingBeef(AB82,AB121,$I$110)</f>
        <v>#N/A</v>
      </c>
      <c r="AC137" s="25" t="e" cm="1">
        <f t="array" aca="1" ref="AC137" ca="1">MMS_PastureBeef_Methane_Equations.VEERG_4_2_1_1__3_VolatileSolidProductionFromGrazingBeef(AC82,AC121,$I$110)</f>
        <v>#N/A</v>
      </c>
      <c r="AD137" s="25" t="e" cm="1">
        <f t="array" aca="1" ref="AD137" ca="1">MMS_PastureBeef_Methane_Equations.VEERG_4_2_1_1__3_VolatileSolidProductionFromGrazingBeef(AD82,AD121,$I$110)</f>
        <v>#N/A</v>
      </c>
      <c r="AE137" s="25" t="e" cm="1">
        <f t="array" aca="1" ref="AE137" ca="1">MMS_PastureBeef_Methane_Equations.VEERG_4_2_1_1__3_VolatileSolidProductionFromGrazingBeef(AE82,AE121,$I$110)</f>
        <v>#N/A</v>
      </c>
      <c r="AF137" s="25" t="e" cm="1">
        <f t="array" aca="1" ref="AF137" ca="1">MMS_PastureBeef_Methane_Equations.VEERG_4_2_1_1__3_VolatileSolidProductionFromGrazingBeef(AF82,AF121,$I$110)</f>
        <v>#N/A</v>
      </c>
      <c r="AG137" s="25" t="e" cm="1">
        <f t="array" aca="1" ref="AG137" ca="1">MMS_PastureBeef_Methane_Equations.VEERG_4_2_1_1__3_VolatileSolidProductionFromGrazingBeef(AG82,AG121,$I$110)</f>
        <v>#N/A</v>
      </c>
      <c r="AH137" s="26" t="str">
        <f t="shared" si="3"/>
        <v>kg/head/day</v>
      </c>
      <c r="AI137" s="26"/>
      <c r="AJ137" s="26"/>
    </row>
    <row r="138" spans="4:36" ht="20.100000000000001" customHeight="1" x14ac:dyDescent="0.25">
      <c r="W138" s="25" t="e">
        <f t="shared" si="5"/>
        <v>#VALUE!</v>
      </c>
      <c r="X138" s="25" t="e" cm="1">
        <f t="array" aca="1" ref="X138" ca="1">MMS_PastureBeef_Methane_Equations.VEERG_4_2_1_1__3_VolatileSolidProductionFromGrazingBeef(X83,X122,$I$110)</f>
        <v>#N/A</v>
      </c>
      <c r="Y138" s="25" t="e" cm="1">
        <f t="array" aca="1" ref="Y138" ca="1">MMS_PastureBeef_Methane_Equations.VEERG_4_2_1_1__3_VolatileSolidProductionFromGrazingBeef(Y83,Y122,$I$110)</f>
        <v>#N/A</v>
      </c>
      <c r="Z138" s="25" t="e" cm="1">
        <f t="array" aca="1" ref="Z138" ca="1">MMS_PastureBeef_Methane_Equations.VEERG_4_2_1_1__3_VolatileSolidProductionFromGrazingBeef(Z83,Z122,$I$110)</f>
        <v>#N/A</v>
      </c>
      <c r="AA138" s="25" t="e" cm="1">
        <f t="array" aca="1" ref="AA138" ca="1">MMS_PastureBeef_Methane_Equations.VEERG_4_2_1_1__3_VolatileSolidProductionFromGrazingBeef(AA83,AA122,$I$110)</f>
        <v>#N/A</v>
      </c>
      <c r="AB138" s="25" t="e" cm="1">
        <f t="array" aca="1" ref="AB138" ca="1">MMS_PastureBeef_Methane_Equations.VEERG_4_2_1_1__3_VolatileSolidProductionFromGrazingBeef(AB83,AB122,$I$110)</f>
        <v>#N/A</v>
      </c>
      <c r="AC138" s="25" t="e" cm="1">
        <f t="array" aca="1" ref="AC138" ca="1">MMS_PastureBeef_Methane_Equations.VEERG_4_2_1_1__3_VolatileSolidProductionFromGrazingBeef(AC83,AC122,$I$110)</f>
        <v>#N/A</v>
      </c>
      <c r="AD138" s="25" t="e" cm="1">
        <f t="array" aca="1" ref="AD138" ca="1">MMS_PastureBeef_Methane_Equations.VEERG_4_2_1_1__3_VolatileSolidProductionFromGrazingBeef(AD83,AD122,$I$110)</f>
        <v>#N/A</v>
      </c>
      <c r="AE138" s="25" t="e" cm="1">
        <f t="array" aca="1" ref="AE138" ca="1">MMS_PastureBeef_Methane_Equations.VEERG_4_2_1_1__3_VolatileSolidProductionFromGrazingBeef(AE83,AE122,$I$110)</f>
        <v>#N/A</v>
      </c>
      <c r="AF138" s="25" t="e" cm="1">
        <f t="array" aca="1" ref="AF138" ca="1">MMS_PastureBeef_Methane_Equations.VEERG_4_2_1_1__3_VolatileSolidProductionFromGrazingBeef(AF83,AF122,$I$110)</f>
        <v>#N/A</v>
      </c>
      <c r="AG138" s="25" t="e" cm="1">
        <f t="array" aca="1" ref="AG138" ca="1">MMS_PastureBeef_Methane_Equations.VEERG_4_2_1_1__3_VolatileSolidProductionFromGrazingBeef(AG83,AG122,$I$110)</f>
        <v>#N/A</v>
      </c>
      <c r="AH138" s="26" t="str">
        <f t="shared" si="3"/>
        <v>kg/head/day</v>
      </c>
      <c r="AI138" s="26"/>
      <c r="AJ138" s="26"/>
    </row>
    <row r="139" spans="4:36" ht="20.100000000000001" customHeight="1" x14ac:dyDescent="0.25">
      <c r="W139" s="25" t="e">
        <f t="shared" si="5"/>
        <v>#VALUE!</v>
      </c>
      <c r="X139" s="25" t="e" cm="1">
        <f t="array" aca="1" ref="X139" ca="1">MMS_PastureBeef_Methane_Equations.VEERG_4_2_1_1__3_VolatileSolidProductionFromGrazingBeef(X84,X123,$I$110)</f>
        <v>#N/A</v>
      </c>
      <c r="Y139" s="25" t="e" cm="1">
        <f t="array" aca="1" ref="Y139" ca="1">MMS_PastureBeef_Methane_Equations.VEERG_4_2_1_1__3_VolatileSolidProductionFromGrazingBeef(Y84,Y123,$I$110)</f>
        <v>#N/A</v>
      </c>
      <c r="Z139" s="25" t="e" cm="1">
        <f t="array" aca="1" ref="Z139" ca="1">MMS_PastureBeef_Methane_Equations.VEERG_4_2_1_1__3_VolatileSolidProductionFromGrazingBeef(Z84,Z123,$I$110)</f>
        <v>#N/A</v>
      </c>
      <c r="AA139" s="25" t="e" cm="1">
        <f t="array" aca="1" ref="AA139" ca="1">MMS_PastureBeef_Methane_Equations.VEERG_4_2_1_1__3_VolatileSolidProductionFromGrazingBeef(AA84,AA123,$I$110)</f>
        <v>#N/A</v>
      </c>
      <c r="AB139" s="25" t="e" cm="1">
        <f t="array" aca="1" ref="AB139" ca="1">MMS_PastureBeef_Methane_Equations.VEERG_4_2_1_1__3_VolatileSolidProductionFromGrazingBeef(AB84,AB123,$I$110)</f>
        <v>#N/A</v>
      </c>
      <c r="AC139" s="25" t="e" cm="1">
        <f t="array" aca="1" ref="AC139" ca="1">MMS_PastureBeef_Methane_Equations.VEERG_4_2_1_1__3_VolatileSolidProductionFromGrazingBeef(AC84,AC123,$I$110)</f>
        <v>#N/A</v>
      </c>
      <c r="AD139" s="25" t="e" cm="1">
        <f t="array" aca="1" ref="AD139" ca="1">MMS_PastureBeef_Methane_Equations.VEERG_4_2_1_1__3_VolatileSolidProductionFromGrazingBeef(AD84,AD123,$I$110)</f>
        <v>#N/A</v>
      </c>
      <c r="AE139" s="25" t="e" cm="1">
        <f t="array" aca="1" ref="AE139" ca="1">MMS_PastureBeef_Methane_Equations.VEERG_4_2_1_1__3_VolatileSolidProductionFromGrazingBeef(AE84,AE123,$I$110)</f>
        <v>#N/A</v>
      </c>
      <c r="AF139" s="25" t="e" cm="1">
        <f t="array" aca="1" ref="AF139" ca="1">MMS_PastureBeef_Methane_Equations.VEERG_4_2_1_1__3_VolatileSolidProductionFromGrazingBeef(AF84,AF123,$I$110)</f>
        <v>#N/A</v>
      </c>
      <c r="AG139" s="25" t="e" cm="1">
        <f t="array" aca="1" ref="AG139" ca="1">MMS_PastureBeef_Methane_Equations.VEERG_4_2_1_1__3_VolatileSolidProductionFromGrazingBeef(AG84,AG123,$I$110)</f>
        <v>#N/A</v>
      </c>
      <c r="AH139" s="26" t="str">
        <f t="shared" si="3"/>
        <v>kg/head/day</v>
      </c>
      <c r="AI139" s="26"/>
      <c r="AJ139" s="26"/>
    </row>
    <row r="140" spans="4:36" ht="20.100000000000001" customHeight="1" x14ac:dyDescent="0.25">
      <c r="W140" s="25" t="e">
        <f t="shared" si="5"/>
        <v>#VALUE!</v>
      </c>
      <c r="X140" s="25" t="e" cm="1">
        <f t="array" aca="1" ref="X140" ca="1">MMS_PastureBeef_Methane_Equations.VEERG_4_2_1_1__3_VolatileSolidProductionFromGrazingBeef(X85,X124,$I$110)</f>
        <v>#N/A</v>
      </c>
      <c r="Y140" s="25" t="e" cm="1">
        <f t="array" aca="1" ref="Y140" ca="1">MMS_PastureBeef_Methane_Equations.VEERG_4_2_1_1__3_VolatileSolidProductionFromGrazingBeef(Y85,Y124,$I$110)</f>
        <v>#N/A</v>
      </c>
      <c r="Z140" s="25" t="e" cm="1">
        <f t="array" aca="1" ref="Z140" ca="1">MMS_PastureBeef_Methane_Equations.VEERG_4_2_1_1__3_VolatileSolidProductionFromGrazingBeef(Z85,Z124,$I$110)</f>
        <v>#N/A</v>
      </c>
      <c r="AA140" s="25" t="e" cm="1">
        <f t="array" aca="1" ref="AA140" ca="1">MMS_PastureBeef_Methane_Equations.VEERG_4_2_1_1__3_VolatileSolidProductionFromGrazingBeef(AA85,AA124,$I$110)</f>
        <v>#N/A</v>
      </c>
      <c r="AB140" s="25" t="e" cm="1">
        <f t="array" aca="1" ref="AB140" ca="1">MMS_PastureBeef_Methane_Equations.VEERG_4_2_1_1__3_VolatileSolidProductionFromGrazingBeef(AB85,AB124,$I$110)</f>
        <v>#N/A</v>
      </c>
      <c r="AC140" s="25" t="e" cm="1">
        <f t="array" aca="1" ref="AC140" ca="1">MMS_PastureBeef_Methane_Equations.VEERG_4_2_1_1__3_VolatileSolidProductionFromGrazingBeef(AC85,AC124,$I$110)</f>
        <v>#N/A</v>
      </c>
      <c r="AD140" s="25" t="e" cm="1">
        <f t="array" aca="1" ref="AD140" ca="1">MMS_PastureBeef_Methane_Equations.VEERG_4_2_1_1__3_VolatileSolidProductionFromGrazingBeef(AD85,AD124,$I$110)</f>
        <v>#N/A</v>
      </c>
      <c r="AE140" s="25" t="e" cm="1">
        <f t="array" aca="1" ref="AE140" ca="1">MMS_PastureBeef_Methane_Equations.VEERG_4_2_1_1__3_VolatileSolidProductionFromGrazingBeef(AE85,AE124,$I$110)</f>
        <v>#N/A</v>
      </c>
      <c r="AF140" s="25" t="e" cm="1">
        <f t="array" aca="1" ref="AF140" ca="1">MMS_PastureBeef_Methane_Equations.VEERG_4_2_1_1__3_VolatileSolidProductionFromGrazingBeef(AF85,AF124,$I$110)</f>
        <v>#N/A</v>
      </c>
      <c r="AG140" s="25" t="e" cm="1">
        <f t="array" aca="1" ref="AG140" ca="1">MMS_PastureBeef_Methane_Equations.VEERG_4_2_1_1__3_VolatileSolidProductionFromGrazingBeef(AG85,AG124,$I$110)</f>
        <v>#N/A</v>
      </c>
      <c r="AH140" s="26" t="str">
        <f t="shared" si="3"/>
        <v>kg/head/day</v>
      </c>
      <c r="AI140" s="26"/>
      <c r="AJ140" s="26"/>
    </row>
    <row r="141" spans="4:36" ht="20.100000000000001" customHeight="1" x14ac:dyDescent="0.25">
      <c r="W141" s="25" t="e">
        <f t="shared" si="5"/>
        <v>#VALUE!</v>
      </c>
      <c r="X141" s="25" t="e" cm="1">
        <f t="array" aca="1" ref="X141" ca="1">MMS_PastureBeef_Methane_Equations.VEERG_4_2_1_1__3_VolatileSolidProductionFromGrazingBeef(X86,X125,$I$110)</f>
        <v>#N/A</v>
      </c>
      <c r="Y141" s="25" t="e" cm="1">
        <f t="array" aca="1" ref="Y141" ca="1">MMS_PastureBeef_Methane_Equations.VEERG_4_2_1_1__3_VolatileSolidProductionFromGrazingBeef(Y86,Y125,$I$110)</f>
        <v>#N/A</v>
      </c>
      <c r="Z141" s="25" t="e" cm="1">
        <f t="array" aca="1" ref="Z141" ca="1">MMS_PastureBeef_Methane_Equations.VEERG_4_2_1_1__3_VolatileSolidProductionFromGrazingBeef(Z86,Z125,$I$110)</f>
        <v>#N/A</v>
      </c>
      <c r="AA141" s="25" t="e" cm="1">
        <f t="array" aca="1" ref="AA141" ca="1">MMS_PastureBeef_Methane_Equations.VEERG_4_2_1_1__3_VolatileSolidProductionFromGrazingBeef(AA86,AA125,$I$110)</f>
        <v>#N/A</v>
      </c>
      <c r="AB141" s="25" t="e" cm="1">
        <f t="array" aca="1" ref="AB141" ca="1">MMS_PastureBeef_Methane_Equations.VEERG_4_2_1_1__3_VolatileSolidProductionFromGrazingBeef(AB86,AB125,$I$110)</f>
        <v>#N/A</v>
      </c>
      <c r="AC141" s="25" t="e" cm="1">
        <f t="array" aca="1" ref="AC141" ca="1">MMS_PastureBeef_Methane_Equations.VEERG_4_2_1_1__3_VolatileSolidProductionFromGrazingBeef(AC86,AC125,$I$110)</f>
        <v>#N/A</v>
      </c>
      <c r="AD141" s="25" t="e" cm="1">
        <f t="array" aca="1" ref="AD141" ca="1">MMS_PastureBeef_Methane_Equations.VEERG_4_2_1_1__3_VolatileSolidProductionFromGrazingBeef(AD86,AD125,$I$110)</f>
        <v>#N/A</v>
      </c>
      <c r="AE141" s="25" t="e" cm="1">
        <f t="array" aca="1" ref="AE141" ca="1">MMS_PastureBeef_Methane_Equations.VEERG_4_2_1_1__3_VolatileSolidProductionFromGrazingBeef(AE86,AE125,$I$110)</f>
        <v>#N/A</v>
      </c>
      <c r="AF141" s="25" t="e" cm="1">
        <f t="array" aca="1" ref="AF141" ca="1">MMS_PastureBeef_Methane_Equations.VEERG_4_2_1_1__3_VolatileSolidProductionFromGrazingBeef(AF86,AF125,$I$110)</f>
        <v>#N/A</v>
      </c>
      <c r="AG141" s="25" t="e" cm="1">
        <f t="array" aca="1" ref="AG141" ca="1">MMS_PastureBeef_Methane_Equations.VEERG_4_2_1_1__3_VolatileSolidProductionFromGrazingBeef(AG86,AG125,$I$110)</f>
        <v>#N/A</v>
      </c>
      <c r="AH141" s="26" t="str">
        <f t="shared" si="3"/>
        <v>kg/head/day</v>
      </c>
      <c r="AI141" s="26"/>
      <c r="AJ141" s="26"/>
    </row>
    <row r="142" spans="4:36" ht="20.100000000000001" customHeight="1" x14ac:dyDescent="0.25">
      <c r="W142" s="25" t="e">
        <f t="shared" si="5"/>
        <v>#VALUE!</v>
      </c>
      <c r="X142" s="25" t="e" cm="1">
        <f t="array" aca="1" ref="X142" ca="1">MMS_PastureBeef_Methane_Equations.VEERG_4_2_1_1__3_VolatileSolidProductionFromGrazingBeef(X87,X126,$I$110)</f>
        <v>#N/A</v>
      </c>
      <c r="Y142" s="25" t="e" cm="1">
        <f t="array" aca="1" ref="Y142" ca="1">MMS_PastureBeef_Methane_Equations.VEERG_4_2_1_1__3_VolatileSolidProductionFromGrazingBeef(Y87,Y126,$I$110)</f>
        <v>#N/A</v>
      </c>
      <c r="Z142" s="25" t="e" cm="1">
        <f t="array" aca="1" ref="Z142" ca="1">MMS_PastureBeef_Methane_Equations.VEERG_4_2_1_1__3_VolatileSolidProductionFromGrazingBeef(Z87,Z126,$I$110)</f>
        <v>#N/A</v>
      </c>
      <c r="AA142" s="25" t="e" cm="1">
        <f t="array" aca="1" ref="AA142" ca="1">MMS_PastureBeef_Methane_Equations.VEERG_4_2_1_1__3_VolatileSolidProductionFromGrazingBeef(AA87,AA126,$I$110)</f>
        <v>#N/A</v>
      </c>
      <c r="AB142" s="25" t="e" cm="1">
        <f t="array" aca="1" ref="AB142" ca="1">MMS_PastureBeef_Methane_Equations.VEERG_4_2_1_1__3_VolatileSolidProductionFromGrazingBeef(AB87,AB126,$I$110)</f>
        <v>#N/A</v>
      </c>
      <c r="AC142" s="25" t="e" cm="1">
        <f t="array" aca="1" ref="AC142" ca="1">MMS_PastureBeef_Methane_Equations.VEERG_4_2_1_1__3_VolatileSolidProductionFromGrazingBeef(AC87,AC126,$I$110)</f>
        <v>#N/A</v>
      </c>
      <c r="AD142" s="25" t="e" cm="1">
        <f t="array" aca="1" ref="AD142" ca="1">MMS_PastureBeef_Methane_Equations.VEERG_4_2_1_1__3_VolatileSolidProductionFromGrazingBeef(AD87,AD126,$I$110)</f>
        <v>#N/A</v>
      </c>
      <c r="AE142" s="25" t="e" cm="1">
        <f t="array" aca="1" ref="AE142" ca="1">MMS_PastureBeef_Methane_Equations.VEERG_4_2_1_1__3_VolatileSolidProductionFromGrazingBeef(AE87,AE126,$I$110)</f>
        <v>#N/A</v>
      </c>
      <c r="AF142" s="25" t="e" cm="1">
        <f t="array" aca="1" ref="AF142" ca="1">MMS_PastureBeef_Methane_Equations.VEERG_4_2_1_1__3_VolatileSolidProductionFromGrazingBeef(AF87,AF126,$I$110)</f>
        <v>#N/A</v>
      </c>
      <c r="AG142" s="25" t="e" cm="1">
        <f t="array" aca="1" ref="AG142" ca="1">MMS_PastureBeef_Methane_Equations.VEERG_4_2_1_1__3_VolatileSolidProductionFromGrazingBeef(AG87,AG126,$I$110)</f>
        <v>#N/A</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SourceData_PastureBeef_MethaneEmissionsPotential_Data</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Common_SourceData_DensityOfMethane_Data</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Dry climate zone</v>
      </c>
      <c r="W159" s="107" t="str">
        <v>MAT</v>
      </c>
      <c r="X159" s="108" t="str">
        <v>Mean annual temperature</v>
      </c>
      <c r="Y159" s="110"/>
      <c r="Z159" s="107" t="str">
        <v>°C</v>
      </c>
      <c r="AA159" s="111" t="str">
        <v>Input</v>
      </c>
      <c r="AB159" s="107">
        <f>X_Cell_Site_AverageTemperature</f>
        <v>0</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t="e">
        <f>X_Cell_PastureBeef_CalculatedMMSPastureRangeAndPaddock</f>
        <v>#VALUE!</v>
      </c>
      <c r="F165" s="26" t="s">
        <v>230</v>
      </c>
    </row>
    <row r="166" spans="4:34" ht="20.100000000000001" customHeight="1" x14ac:dyDescent="0.25">
      <c r="D166" s="25" t="str">
        <f>'Input - Pasture Beef'!$D$181</f>
        <v>Anaerobic lagoon</v>
      </c>
      <c r="E166" s="25" t="e">
        <f>X_Cell_PastureBeef_CalculatedMMSAnaerobicLagoon</f>
        <v>#VALUE!</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t="e" cm="1">
        <f t="array" aca="1" ref="F177" ca="1">MMS_PastureBeef_Methane_Equations.VEERG_4_2_1_1__2_MethaneProductionFromManure(E131,$I$155,$E$165,$E$171,$I$158)</f>
        <v>#N/A</v>
      </c>
      <c r="G177" s="25" t="e" cm="1">
        <f t="array" aca="1" ref="G177" ca="1">MMS_PastureBeef_Methane_Equations.VEERG_4_2_1_1__2_MethaneProductionFromManure(F131,$I$155,$E$165,$E$171,$I$158)</f>
        <v>#N/A</v>
      </c>
      <c r="H177" s="25" t="e" cm="1">
        <f t="array" aca="1" ref="H177" ca="1">MMS_PastureBeef_Methane_Equations.VEERG_4_2_1_1__2_MethaneProductionFromManure(G131,$I$155,$E$165,$E$171,$I$158)</f>
        <v>#N/A</v>
      </c>
      <c r="I177" s="25" t="e" cm="1">
        <f t="array" aca="1" ref="I177" ca="1">MMS_PastureBeef_Methane_Equations.VEERG_4_2_1_1__2_MethaneProductionFromManure(H131,$I$155,$E$165,$E$171,$I$158)</f>
        <v>#N/A</v>
      </c>
      <c r="J177" s="25" t="e" cm="1">
        <f t="array" aca="1" ref="J177" ca="1">MMS_PastureBeef_Methane_Equations.VEERG_4_2_1_1__2_MethaneProductionFromManure(I131,$I$155,$E$165,$E$171,$I$158)</f>
        <v>#N/A</v>
      </c>
      <c r="K177" s="25" t="e" cm="1">
        <f t="array" aca="1" ref="K177" ca="1">MMS_PastureBeef_Methane_Equations.VEERG_4_2_1_1__2_MethaneProductionFromManure(J131,$I$155,$E$165,$E$171,$I$158)</f>
        <v>#N/A</v>
      </c>
      <c r="L177" s="25" t="e" cm="1">
        <f t="array" aca="1" ref="L177" ca="1">MMS_PastureBeef_Methane_Equations.VEERG_4_2_1_1__2_MethaneProductionFromManure(K131,$I$155,$E$165,$E$171,$I$158)</f>
        <v>#N/A</v>
      </c>
      <c r="M177" s="25" t="e" cm="1">
        <f t="array" aca="1" ref="M177" ca="1">MMS_PastureBeef_Methane_Equations.VEERG_4_2_1_1__2_MethaneProductionFromManure(L131,$I$155,$E$165,$E$171,$I$158)</f>
        <v>#N/A</v>
      </c>
      <c r="N177" s="25" t="e" cm="1">
        <f t="array" aca="1" ref="N177" ca="1">MMS_PastureBeef_Methane_Equations.VEERG_4_2_1_1__2_MethaneProductionFromManure(M131,$I$155,$E$165,$E$171,$I$158)</f>
        <v>#N/A</v>
      </c>
      <c r="O177" s="25" t="e" cm="1">
        <f t="array" aca="1" ref="O177" ca="1">MMS_PastureBeef_Methane_Equations.VEERG_4_2_1_1__2_MethaneProductionFromManure(N131,$I$155,$E$165,$E$171,$I$158)</f>
        <v>#N/A</v>
      </c>
      <c r="P177" s="26" t="str">
        <f t="shared" ref="P177:P184" si="6">$E$152</f>
        <v>kg CH4/head/day</v>
      </c>
      <c r="Q177" s="26"/>
      <c r="R177" s="26"/>
      <c r="S177" s="26"/>
      <c r="W177" s="25" t="str">
        <f>'Input - Pasture Beef'!$D$180</f>
        <v>Pasture range and paddock</v>
      </c>
      <c r="X177" s="25" t="str">
        <f t="shared" ref="X177:X188" si="7">W131</f>
        <v>NO - Not in leaching zone</v>
      </c>
      <c r="Y177" s="25" t="e" cm="1">
        <f t="array" aca="1" ref="Y177" ca="1">MMS_PastureBeef_Methane_Equations.VEERG_4_2_1_1__2_MethaneProductionFromManure(X131,$I$155,$E$165,$X$171,$I$158)</f>
        <v>#N/A</v>
      </c>
      <c r="Z177" s="25" t="e" cm="1">
        <f t="array" aca="1" ref="Z177" ca="1">MMS_PastureBeef_Methane_Equations.VEERG_4_2_1_1__2_MethaneProductionFromManure(Y131,$I$155,$E$165,$X$171,$I$158)</f>
        <v>#N/A</v>
      </c>
      <c r="AA177" s="25" t="e" cm="1">
        <f t="array" aca="1" ref="AA177" ca="1">MMS_PastureBeef_Methane_Equations.VEERG_4_2_1_1__2_MethaneProductionFromManure(Z131,$I$155,$E$165,$X$171,$I$158)</f>
        <v>#N/A</v>
      </c>
      <c r="AB177" s="25" t="e" cm="1">
        <f t="array" aca="1" ref="AB177" ca="1">MMS_PastureBeef_Methane_Equations.VEERG_4_2_1_1__2_MethaneProductionFromManure(AA131,$I$155,$E$165,$X$171,$I$158)</f>
        <v>#N/A</v>
      </c>
      <c r="AC177" s="25" t="e" cm="1">
        <f t="array" aca="1" ref="AC177" ca="1">MMS_PastureBeef_Methane_Equations.VEERG_4_2_1_1__2_MethaneProductionFromManure(AB131,$I$155,$E$165,$X$171,$I$158)</f>
        <v>#N/A</v>
      </c>
      <c r="AD177" s="25" t="e" cm="1">
        <f t="array" aca="1" ref="AD177" ca="1">MMS_PastureBeef_Methane_Equations.VEERG_4_2_1_1__2_MethaneProductionFromManure(AC131,$I$155,$E$165,$X$171,$I$158)</f>
        <v>#N/A</v>
      </c>
      <c r="AE177" s="25" t="e" cm="1">
        <f t="array" aca="1" ref="AE177" ca="1">MMS_PastureBeef_Methane_Equations.VEERG_4_2_1_1__2_MethaneProductionFromManure(AD131,$I$155,$E$165,$X$171,$I$158)</f>
        <v>#N/A</v>
      </c>
      <c r="AF177" s="25" t="e" cm="1">
        <f t="array" aca="1" ref="AF177" ca="1">MMS_PastureBeef_Methane_Equations.VEERG_4_2_1_1__2_MethaneProductionFromManure(AE131,$I$155,$E$165,$X$171,$I$158)</f>
        <v>#N/A</v>
      </c>
      <c r="AG177" s="25" t="e" cm="1">
        <f t="array" aca="1" ref="AG177" ca="1">MMS_PastureBeef_Methane_Equations.VEERG_4_2_1_1__2_MethaneProductionFromManure(AF131,$I$155,$E$165,$X$171,$I$158)</f>
        <v>#N/A</v>
      </c>
      <c r="AH177" s="25" t="e" cm="1">
        <f t="array" aca="1" ref="AH177" ca="1">MMS_PastureBeef_Methane_Equations.VEERG_4_2_1_1__2_MethaneProductionFromManure(AG131,$I$155,$E$165,$X$171,$I$158)</f>
        <v>#N/A</v>
      </c>
      <c r="AI177" s="26" t="str">
        <f t="shared" ref="AI177:AI200" si="8">$E$152</f>
        <v>kg CH4/head/day</v>
      </c>
      <c r="AJ177" s="26"/>
    </row>
    <row r="178" spans="4:36" ht="20.100000000000001" customHeight="1" x14ac:dyDescent="0.25">
      <c r="D178" s="25" t="str">
        <f>'Input - Pasture Beef'!$D$180</f>
        <v>Pasture range and paddock</v>
      </c>
      <c r="E178" s="25" t="s">
        <v>201</v>
      </c>
      <c r="F178" s="25" t="e" cm="1">
        <f t="array" aca="1" ref="F178" ca="1">MMS_PastureBeef_Methane_Equations.VEERG_4_2_1_1__2_MethaneProductionFromManure(E132,$I$155,$E$165,$E$171,$I$158)</f>
        <v>#N/A</v>
      </c>
      <c r="G178" s="25" t="e" cm="1">
        <f t="array" aca="1" ref="G178" ca="1">MMS_PastureBeef_Methane_Equations.VEERG_4_2_1_1__2_MethaneProductionFromManure(F132,$I$155,$E$165,$E$171,$I$158)</f>
        <v>#N/A</v>
      </c>
      <c r="H178" s="25" t="e" cm="1">
        <f t="array" aca="1" ref="H178" ca="1">MMS_PastureBeef_Methane_Equations.VEERG_4_2_1_1__2_MethaneProductionFromManure(G132,$I$155,$E$165,$E$171,$I$158)</f>
        <v>#N/A</v>
      </c>
      <c r="I178" s="25" t="e" cm="1">
        <f t="array" aca="1" ref="I178" ca="1">MMS_PastureBeef_Methane_Equations.VEERG_4_2_1_1__2_MethaneProductionFromManure(H132,$I$155,$E$165,$E$171,$I$158)</f>
        <v>#N/A</v>
      </c>
      <c r="J178" s="25" t="e" cm="1">
        <f t="array" aca="1" ref="J178" ca="1">MMS_PastureBeef_Methane_Equations.VEERG_4_2_1_1__2_MethaneProductionFromManure(I132,$I$155,$E$165,$E$171,$I$158)</f>
        <v>#N/A</v>
      </c>
      <c r="K178" s="25" t="e" cm="1">
        <f t="array" aca="1" ref="K178" ca="1">MMS_PastureBeef_Methane_Equations.VEERG_4_2_1_1__2_MethaneProductionFromManure(J132,$I$155,$E$165,$E$171,$I$158)</f>
        <v>#N/A</v>
      </c>
      <c r="L178" s="25" t="e" cm="1">
        <f t="array" aca="1" ref="L178" ca="1">MMS_PastureBeef_Methane_Equations.VEERG_4_2_1_1__2_MethaneProductionFromManure(K132,$I$155,$E$165,$E$171,$I$158)</f>
        <v>#N/A</v>
      </c>
      <c r="M178" s="25" t="e" cm="1">
        <f t="array" aca="1" ref="M178" ca="1">MMS_PastureBeef_Methane_Equations.VEERG_4_2_1_1__2_MethaneProductionFromManure(L132,$I$155,$E$165,$E$171,$I$158)</f>
        <v>#N/A</v>
      </c>
      <c r="N178" s="25" t="e" cm="1">
        <f t="array" aca="1" ref="N178" ca="1">MMS_PastureBeef_Methane_Equations.VEERG_4_2_1_1__2_MethaneProductionFromManure(M132,$I$155,$E$165,$E$171,$I$158)</f>
        <v>#N/A</v>
      </c>
      <c r="O178" s="25" t="e" cm="1">
        <f t="array" aca="1" ref="O178" ca="1">MMS_PastureBeef_Methane_Equations.VEERG_4_2_1_1__2_MethaneProductionFromManure(N132,$I$155,$E$165,$E$171,$I$158)</f>
        <v>#N/A</v>
      </c>
      <c r="P178" s="26" t="str">
        <f t="shared" si="6"/>
        <v>kg CH4/head/day</v>
      </c>
      <c r="Q178" s="26"/>
      <c r="R178" s="26"/>
      <c r="S178" s="26"/>
      <c r="W178" s="25" t="str">
        <f>'Input - Pasture Beef'!$D$180</f>
        <v>Pasture range and paddock</v>
      </c>
      <c r="X178" s="25" t="e">
        <f t="shared" si="7"/>
        <v>#VALUE!</v>
      </c>
      <c r="Y178" s="25" t="e" cm="1">
        <f t="array" aca="1" ref="Y178" ca="1">MMS_PastureBeef_Methane_Equations.VEERG_4_2_1_1__2_MethaneProductionFromManure(X132,$I$155,$E$165,$X$171,$I$158)</f>
        <v>#N/A</v>
      </c>
      <c r="Z178" s="25" t="e" cm="1">
        <f t="array" aca="1" ref="Z178" ca="1">MMS_PastureBeef_Methane_Equations.VEERG_4_2_1_1__2_MethaneProductionFromManure(Y132,$I$155,$E$165,$X$171,$I$158)</f>
        <v>#N/A</v>
      </c>
      <c r="AA178" s="25" t="e" cm="1">
        <f t="array" aca="1" ref="AA178" ca="1">MMS_PastureBeef_Methane_Equations.VEERG_4_2_1_1__2_MethaneProductionFromManure(Z132,$I$155,$E$165,$X$171,$I$158)</f>
        <v>#N/A</v>
      </c>
      <c r="AB178" s="25" t="e" cm="1">
        <f t="array" aca="1" ref="AB178" ca="1">MMS_PastureBeef_Methane_Equations.VEERG_4_2_1_1__2_MethaneProductionFromManure(AA132,$I$155,$E$165,$X$171,$I$158)</f>
        <v>#N/A</v>
      </c>
      <c r="AC178" s="25" t="e" cm="1">
        <f t="array" aca="1" ref="AC178" ca="1">MMS_PastureBeef_Methane_Equations.VEERG_4_2_1_1__2_MethaneProductionFromManure(AB132,$I$155,$E$165,$X$171,$I$158)</f>
        <v>#N/A</v>
      </c>
      <c r="AD178" s="25" t="e" cm="1">
        <f t="array" aca="1" ref="AD178" ca="1">MMS_PastureBeef_Methane_Equations.VEERG_4_2_1_1__2_MethaneProductionFromManure(AC132,$I$155,$E$165,$X$171,$I$158)</f>
        <v>#N/A</v>
      </c>
      <c r="AE178" s="25" t="e" cm="1">
        <f t="array" aca="1" ref="AE178" ca="1">MMS_PastureBeef_Methane_Equations.VEERG_4_2_1_1__2_MethaneProductionFromManure(AD132,$I$155,$E$165,$X$171,$I$158)</f>
        <v>#N/A</v>
      </c>
      <c r="AF178" s="25" t="e" cm="1">
        <f t="array" aca="1" ref="AF178" ca="1">MMS_PastureBeef_Methane_Equations.VEERG_4_2_1_1__2_MethaneProductionFromManure(AE132,$I$155,$E$165,$X$171,$I$158)</f>
        <v>#N/A</v>
      </c>
      <c r="AG178" s="25" t="e" cm="1">
        <f t="array" aca="1" ref="AG178" ca="1">MMS_PastureBeef_Methane_Equations.VEERG_4_2_1_1__2_MethaneProductionFromManure(AF132,$I$155,$E$165,$X$171,$I$158)</f>
        <v>#N/A</v>
      </c>
      <c r="AH178" s="25" t="e" cm="1">
        <f t="array" aca="1" ref="AH178" ca="1">MMS_PastureBeef_Methane_Equations.VEERG_4_2_1_1__2_MethaneProductionFromManure(AG132,$I$155,$E$165,$X$171,$I$158)</f>
        <v>#N/A</v>
      </c>
      <c r="AI178" s="26" t="str">
        <f t="shared" si="8"/>
        <v>kg CH4/head/day</v>
      </c>
      <c r="AJ178" s="26"/>
    </row>
    <row r="179" spans="4:36" ht="20.100000000000001" customHeight="1" x14ac:dyDescent="0.25">
      <c r="D179" s="25" t="str">
        <f>'Input - Pasture Beef'!$D$180</f>
        <v>Pasture range and paddock</v>
      </c>
      <c r="E179" s="25" t="s">
        <v>202</v>
      </c>
      <c r="F179" s="25" t="e" cm="1">
        <f t="array" aca="1" ref="F179" ca="1">MMS_PastureBeef_Methane_Equations.VEERG_4_2_1_1__2_MethaneProductionFromManure(E133,$I$155,$E$165,$E$171,$I$158)</f>
        <v>#N/A</v>
      </c>
      <c r="G179" s="25" t="e" cm="1">
        <f t="array" aca="1" ref="G179" ca="1">MMS_PastureBeef_Methane_Equations.VEERG_4_2_1_1__2_MethaneProductionFromManure(F133,$I$155,$E$165,$E$171,$I$158)</f>
        <v>#N/A</v>
      </c>
      <c r="H179" s="25" t="e" cm="1">
        <f t="array" aca="1" ref="H179" ca="1">MMS_PastureBeef_Methane_Equations.VEERG_4_2_1_1__2_MethaneProductionFromManure(G133,$I$155,$E$165,$E$171,$I$158)</f>
        <v>#N/A</v>
      </c>
      <c r="I179" s="25" t="e" cm="1">
        <f t="array" aca="1" ref="I179" ca="1">MMS_PastureBeef_Methane_Equations.VEERG_4_2_1_1__2_MethaneProductionFromManure(H133,$I$155,$E$165,$E$171,$I$158)</f>
        <v>#N/A</v>
      </c>
      <c r="J179" s="25" t="e" cm="1">
        <f t="array" aca="1" ref="J179" ca="1">MMS_PastureBeef_Methane_Equations.VEERG_4_2_1_1__2_MethaneProductionFromManure(I133,$I$155,$E$165,$E$171,$I$158)</f>
        <v>#N/A</v>
      </c>
      <c r="K179" s="25" t="e" cm="1">
        <f t="array" aca="1" ref="K179" ca="1">MMS_PastureBeef_Methane_Equations.VEERG_4_2_1_1__2_MethaneProductionFromManure(J133,$I$155,$E$165,$E$171,$I$158)</f>
        <v>#N/A</v>
      </c>
      <c r="L179" s="25" t="e" cm="1">
        <f t="array" aca="1" ref="L179" ca="1">MMS_PastureBeef_Methane_Equations.VEERG_4_2_1_1__2_MethaneProductionFromManure(K133,$I$155,$E$165,$E$171,$I$158)</f>
        <v>#N/A</v>
      </c>
      <c r="M179" s="25" t="e" cm="1">
        <f t="array" aca="1" ref="M179" ca="1">MMS_PastureBeef_Methane_Equations.VEERG_4_2_1_1__2_MethaneProductionFromManure(L133,$I$155,$E$165,$E$171,$I$158)</f>
        <v>#N/A</v>
      </c>
      <c r="N179" s="25" t="e" cm="1">
        <f t="array" aca="1" ref="N179" ca="1">MMS_PastureBeef_Methane_Equations.VEERG_4_2_1_1__2_MethaneProductionFromManure(M133,$I$155,$E$165,$E$171,$I$158)</f>
        <v>#N/A</v>
      </c>
      <c r="O179" s="25" t="e" cm="1">
        <f t="array" aca="1" ref="O179" ca="1">MMS_PastureBeef_Methane_Equations.VEERG_4_2_1_1__2_MethaneProductionFromManure(N133,$I$155,$E$165,$E$171,$I$158)</f>
        <v>#N/A</v>
      </c>
      <c r="P179" s="26" t="str">
        <f t="shared" si="6"/>
        <v>kg CH4/head/day</v>
      </c>
      <c r="Q179" s="26"/>
      <c r="R179" s="26"/>
      <c r="S179" s="26"/>
      <c r="W179" s="25" t="str">
        <f>'Input - Pasture Beef'!$D$180</f>
        <v>Pasture range and paddock</v>
      </c>
      <c r="X179" s="25" t="e">
        <f t="shared" si="7"/>
        <v>#VALUE!</v>
      </c>
      <c r="Y179" s="25" t="e" cm="1">
        <f t="array" aca="1" ref="Y179" ca="1">MMS_PastureBeef_Methane_Equations.VEERG_4_2_1_1__2_MethaneProductionFromManure(X133,$I$155,$E$165,$X$171,$I$158)</f>
        <v>#N/A</v>
      </c>
      <c r="Z179" s="25" t="e" cm="1">
        <f t="array" aca="1" ref="Z179" ca="1">MMS_PastureBeef_Methane_Equations.VEERG_4_2_1_1__2_MethaneProductionFromManure(Y133,$I$155,$E$165,$X$171,$I$158)</f>
        <v>#N/A</v>
      </c>
      <c r="AA179" s="25" t="e" cm="1">
        <f t="array" aca="1" ref="AA179" ca="1">MMS_PastureBeef_Methane_Equations.VEERG_4_2_1_1__2_MethaneProductionFromManure(Z133,$I$155,$E$165,$X$171,$I$158)</f>
        <v>#N/A</v>
      </c>
      <c r="AB179" s="25" t="e" cm="1">
        <f t="array" aca="1" ref="AB179" ca="1">MMS_PastureBeef_Methane_Equations.VEERG_4_2_1_1__2_MethaneProductionFromManure(AA133,$I$155,$E$165,$X$171,$I$158)</f>
        <v>#N/A</v>
      </c>
      <c r="AC179" s="25" t="e" cm="1">
        <f t="array" aca="1" ref="AC179" ca="1">MMS_PastureBeef_Methane_Equations.VEERG_4_2_1_1__2_MethaneProductionFromManure(AB133,$I$155,$E$165,$X$171,$I$158)</f>
        <v>#N/A</v>
      </c>
      <c r="AD179" s="25" t="e" cm="1">
        <f t="array" aca="1" ref="AD179" ca="1">MMS_PastureBeef_Methane_Equations.VEERG_4_2_1_1__2_MethaneProductionFromManure(AC133,$I$155,$E$165,$X$171,$I$158)</f>
        <v>#N/A</v>
      </c>
      <c r="AE179" s="25" t="e" cm="1">
        <f t="array" aca="1" ref="AE179" ca="1">MMS_PastureBeef_Methane_Equations.VEERG_4_2_1_1__2_MethaneProductionFromManure(AD133,$I$155,$E$165,$X$171,$I$158)</f>
        <v>#N/A</v>
      </c>
      <c r="AF179" s="25" t="e" cm="1">
        <f t="array" aca="1" ref="AF179" ca="1">MMS_PastureBeef_Methane_Equations.VEERG_4_2_1_1__2_MethaneProductionFromManure(AE133,$I$155,$E$165,$X$171,$I$158)</f>
        <v>#N/A</v>
      </c>
      <c r="AG179" s="25" t="e" cm="1">
        <f t="array" aca="1" ref="AG179" ca="1">MMS_PastureBeef_Methane_Equations.VEERG_4_2_1_1__2_MethaneProductionFromManure(AF133,$I$155,$E$165,$X$171,$I$158)</f>
        <v>#N/A</v>
      </c>
      <c r="AH179" s="25" t="e" cm="1">
        <f t="array" aca="1" ref="AH179" ca="1">MMS_PastureBeef_Methane_Equations.VEERG_4_2_1_1__2_MethaneProductionFromManure(AG133,$I$155,$E$165,$X$171,$I$158)</f>
        <v>#N/A</v>
      </c>
      <c r="AI179" s="26" t="str">
        <f t="shared" si="8"/>
        <v>kg CH4/head/day</v>
      </c>
      <c r="AJ179" s="26"/>
    </row>
    <row r="180" spans="4:36" ht="20.100000000000001" customHeight="1" x14ac:dyDescent="0.25">
      <c r="D180" s="25" t="str">
        <f>'Input - Pasture Beef'!$D$180</f>
        <v>Pasture range and paddock</v>
      </c>
      <c r="E180" s="25" t="s">
        <v>203</v>
      </c>
      <c r="F180" s="25" t="e" cm="1">
        <f t="array" aca="1" ref="F180" ca="1">MMS_PastureBeef_Methane_Equations.VEERG_4_2_1_1__2_MethaneProductionFromManure(E134,$I$155,$E$165,$E$171,$I$158)</f>
        <v>#N/A</v>
      </c>
      <c r="G180" s="25" t="e" cm="1">
        <f t="array" aca="1" ref="G180" ca="1">MMS_PastureBeef_Methane_Equations.VEERG_4_2_1_1__2_MethaneProductionFromManure(F134,$I$155,$E$165,$E$171,$I$158)</f>
        <v>#N/A</v>
      </c>
      <c r="H180" s="25" t="e" cm="1">
        <f t="array" aca="1" ref="H180" ca="1">MMS_PastureBeef_Methane_Equations.VEERG_4_2_1_1__2_MethaneProductionFromManure(G134,$I$155,$E$165,$E$171,$I$158)</f>
        <v>#N/A</v>
      </c>
      <c r="I180" s="25" t="e" cm="1">
        <f t="array" aca="1" ref="I180" ca="1">MMS_PastureBeef_Methane_Equations.VEERG_4_2_1_1__2_MethaneProductionFromManure(H134,$I$155,$E$165,$E$171,$I$158)</f>
        <v>#N/A</v>
      </c>
      <c r="J180" s="25" t="e" cm="1">
        <f t="array" aca="1" ref="J180" ca="1">MMS_PastureBeef_Methane_Equations.VEERG_4_2_1_1__2_MethaneProductionFromManure(I134,$I$155,$E$165,$E$171,$I$158)</f>
        <v>#N/A</v>
      </c>
      <c r="K180" s="25" t="e" cm="1">
        <f t="array" aca="1" ref="K180" ca="1">MMS_PastureBeef_Methane_Equations.VEERG_4_2_1_1__2_MethaneProductionFromManure(J134,$I$155,$E$165,$E$171,$I$158)</f>
        <v>#N/A</v>
      </c>
      <c r="L180" s="25" t="e" cm="1">
        <f t="array" aca="1" ref="L180" ca="1">MMS_PastureBeef_Methane_Equations.VEERG_4_2_1_1__2_MethaneProductionFromManure(K134,$I$155,$E$165,$E$171,$I$158)</f>
        <v>#N/A</v>
      </c>
      <c r="M180" s="25" t="e" cm="1">
        <f t="array" aca="1" ref="M180" ca="1">MMS_PastureBeef_Methane_Equations.VEERG_4_2_1_1__2_MethaneProductionFromManure(L134,$I$155,$E$165,$E$171,$I$158)</f>
        <v>#N/A</v>
      </c>
      <c r="N180" s="25" t="e" cm="1">
        <f t="array" aca="1" ref="N180" ca="1">MMS_PastureBeef_Methane_Equations.VEERG_4_2_1_1__2_MethaneProductionFromManure(M134,$I$155,$E$165,$E$171,$I$158)</f>
        <v>#N/A</v>
      </c>
      <c r="O180" s="25" t="e" cm="1">
        <f t="array" aca="1" ref="O180" ca="1">MMS_PastureBeef_Methane_Equations.VEERG_4_2_1_1__2_MethaneProductionFromManure(N134,$I$155,$E$165,$E$171,$I$158)</f>
        <v>#N/A</v>
      </c>
      <c r="P180" s="26" t="str">
        <f t="shared" si="6"/>
        <v>kg CH4/head/day</v>
      </c>
      <c r="Q180" s="26"/>
      <c r="R180" s="26"/>
      <c r="S180" s="26"/>
      <c r="W180" s="25" t="str">
        <f>'Input - Pasture Beef'!$D$180</f>
        <v>Pasture range and paddock</v>
      </c>
      <c r="X180" s="25" t="e">
        <f t="shared" si="7"/>
        <v>#VALUE!</v>
      </c>
      <c r="Y180" s="25" t="e" cm="1">
        <f t="array" aca="1" ref="Y180" ca="1">MMS_PastureBeef_Methane_Equations.VEERG_4_2_1_1__2_MethaneProductionFromManure(X134,$I$155,$E$165,$X$171,$I$158)</f>
        <v>#N/A</v>
      </c>
      <c r="Z180" s="25" t="e" cm="1">
        <f t="array" aca="1" ref="Z180" ca="1">MMS_PastureBeef_Methane_Equations.VEERG_4_2_1_1__2_MethaneProductionFromManure(Y134,$I$155,$E$165,$X$171,$I$158)</f>
        <v>#N/A</v>
      </c>
      <c r="AA180" s="25" t="e" cm="1">
        <f t="array" aca="1" ref="AA180" ca="1">MMS_PastureBeef_Methane_Equations.VEERG_4_2_1_1__2_MethaneProductionFromManure(Z134,$I$155,$E$165,$X$171,$I$158)</f>
        <v>#N/A</v>
      </c>
      <c r="AB180" s="25" t="e" cm="1">
        <f t="array" aca="1" ref="AB180" ca="1">MMS_PastureBeef_Methane_Equations.VEERG_4_2_1_1__2_MethaneProductionFromManure(AA134,$I$155,$E$165,$X$171,$I$158)</f>
        <v>#N/A</v>
      </c>
      <c r="AC180" s="25" t="e" cm="1">
        <f t="array" aca="1" ref="AC180" ca="1">MMS_PastureBeef_Methane_Equations.VEERG_4_2_1_1__2_MethaneProductionFromManure(AB134,$I$155,$E$165,$X$171,$I$158)</f>
        <v>#N/A</v>
      </c>
      <c r="AD180" s="25" t="e" cm="1">
        <f t="array" aca="1" ref="AD180" ca="1">MMS_PastureBeef_Methane_Equations.VEERG_4_2_1_1__2_MethaneProductionFromManure(AC134,$I$155,$E$165,$X$171,$I$158)</f>
        <v>#N/A</v>
      </c>
      <c r="AE180" s="25" t="e" cm="1">
        <f t="array" aca="1" ref="AE180" ca="1">MMS_PastureBeef_Methane_Equations.VEERG_4_2_1_1__2_MethaneProductionFromManure(AD134,$I$155,$E$165,$X$171,$I$158)</f>
        <v>#N/A</v>
      </c>
      <c r="AF180" s="25" t="e" cm="1">
        <f t="array" aca="1" ref="AF180" ca="1">MMS_PastureBeef_Methane_Equations.VEERG_4_2_1_1__2_MethaneProductionFromManure(AE134,$I$155,$E$165,$X$171,$I$158)</f>
        <v>#N/A</v>
      </c>
      <c r="AG180" s="25" t="e" cm="1">
        <f t="array" aca="1" ref="AG180" ca="1">MMS_PastureBeef_Methane_Equations.VEERG_4_2_1_1__2_MethaneProductionFromManure(AF134,$I$155,$E$165,$X$171,$I$158)</f>
        <v>#N/A</v>
      </c>
      <c r="AH180" s="25" t="e" cm="1">
        <f t="array" aca="1" ref="AH180" ca="1">MMS_PastureBeef_Methane_Equations.VEERG_4_2_1_1__2_MethaneProductionFromManure(AG134,$I$155,$E$165,$X$171,$I$158)</f>
        <v>#N/A</v>
      </c>
      <c r="AI180" s="26" t="str">
        <f t="shared" si="8"/>
        <v>kg CH4/head/day</v>
      </c>
      <c r="AJ180" s="26"/>
    </row>
    <row r="181" spans="4:36" ht="20.100000000000001" customHeight="1" x14ac:dyDescent="0.25">
      <c r="D181" s="25" t="str">
        <f>'Input - Pasture Beef'!$D$181</f>
        <v>Anaerobic lagoon</v>
      </c>
      <c r="E181" s="25" t="s">
        <v>200</v>
      </c>
      <c r="F181" s="25" t="e" cm="1">
        <f t="array" aca="1" ref="F181" ca="1">MMS_PastureBeef_Methane_Equations.VEERG_4_2_1_1__2_MethaneProductionFromManure(E131,$I$155,$E$166,$E$172,$I$158)</f>
        <v>#N/A</v>
      </c>
      <c r="G181" s="25" t="e" cm="1">
        <f t="array" aca="1" ref="G181" ca="1">MMS_PastureBeef_Methane_Equations.VEERG_4_2_1_1__2_MethaneProductionFromManure(F131,$I$155,$E$166,$E$172,$I$158)</f>
        <v>#N/A</v>
      </c>
      <c r="H181" s="25" t="e" cm="1">
        <f t="array" aca="1" ref="H181" ca="1">MMS_PastureBeef_Methane_Equations.VEERG_4_2_1_1__2_MethaneProductionFromManure(G131,$I$155,$E$166,$E$172,$I$158)</f>
        <v>#N/A</v>
      </c>
      <c r="I181" s="25" t="e" cm="1">
        <f t="array" aca="1" ref="I181" ca="1">MMS_PastureBeef_Methane_Equations.VEERG_4_2_1_1__2_MethaneProductionFromManure(H131,$I$155,$E$166,$E$172,$I$158)</f>
        <v>#N/A</v>
      </c>
      <c r="J181" s="25" t="e" cm="1">
        <f t="array" aca="1" ref="J181" ca="1">MMS_PastureBeef_Methane_Equations.VEERG_4_2_1_1__2_MethaneProductionFromManure(I131,$I$155,$E$166,$E$172,$I$158)</f>
        <v>#N/A</v>
      </c>
      <c r="K181" s="25" t="e" cm="1">
        <f t="array" aca="1" ref="K181" ca="1">MMS_PastureBeef_Methane_Equations.VEERG_4_2_1_1__2_MethaneProductionFromManure(J131,$I$155,$E$166,$E$172,$I$158)</f>
        <v>#N/A</v>
      </c>
      <c r="L181" s="25" t="e" cm="1">
        <f t="array" aca="1" ref="L181" ca="1">MMS_PastureBeef_Methane_Equations.VEERG_4_2_1_1__2_MethaneProductionFromManure(K131,$I$155,$E$166,$E$172,$I$158)</f>
        <v>#N/A</v>
      </c>
      <c r="M181" s="25" t="e" cm="1">
        <f t="array" aca="1" ref="M181" ca="1">MMS_PastureBeef_Methane_Equations.VEERG_4_2_1_1__2_MethaneProductionFromManure(L131,$I$155,$E$166,$E$172,$I$158)</f>
        <v>#N/A</v>
      </c>
      <c r="N181" s="25" t="e" cm="1">
        <f t="array" aca="1" ref="N181" ca="1">MMS_PastureBeef_Methane_Equations.VEERG_4_2_1_1__2_MethaneProductionFromManure(M131,$I$155,$E$166,$E$172,$I$158)</f>
        <v>#N/A</v>
      </c>
      <c r="O181" s="25" t="e" cm="1">
        <f t="array" aca="1" ref="O181" ca="1">MMS_PastureBeef_Methane_Equations.VEERG_4_2_1_1__2_MethaneProductionFromManure(N131,$I$155,$E$166,$E$172,$I$158)</f>
        <v>#N/A</v>
      </c>
      <c r="P181" s="26" t="str">
        <f t="shared" si="6"/>
        <v>kg CH4/head/day</v>
      </c>
      <c r="Q181" s="26"/>
      <c r="R181" s="26"/>
      <c r="S181" s="26"/>
      <c r="W181" s="25" t="str">
        <f>'Input - Pasture Beef'!$D$180</f>
        <v>Pasture range and paddock</v>
      </c>
      <c r="X181" s="25" t="e">
        <f t="shared" si="7"/>
        <v>#VALUE!</v>
      </c>
      <c r="Y181" s="25" t="e" cm="1">
        <f t="array" aca="1" ref="Y181" ca="1">MMS_PastureBeef_Methane_Equations.VEERG_4_2_1_1__2_MethaneProductionFromManure(X135,$I$155,$E$165,$X$171,$I$158)</f>
        <v>#N/A</v>
      </c>
      <c r="Z181" s="25" t="e" cm="1">
        <f t="array" aca="1" ref="Z181" ca="1">MMS_PastureBeef_Methane_Equations.VEERG_4_2_1_1__2_MethaneProductionFromManure(Y135,$I$155,$E$165,$X$171,$I$158)</f>
        <v>#N/A</v>
      </c>
      <c r="AA181" s="25" t="e" cm="1">
        <f t="array" aca="1" ref="AA181" ca="1">MMS_PastureBeef_Methane_Equations.VEERG_4_2_1_1__2_MethaneProductionFromManure(Z135,$I$155,$E$165,$X$171,$I$158)</f>
        <v>#N/A</v>
      </c>
      <c r="AB181" s="25" t="e" cm="1">
        <f t="array" aca="1" ref="AB181" ca="1">MMS_PastureBeef_Methane_Equations.VEERG_4_2_1_1__2_MethaneProductionFromManure(AA135,$I$155,$E$165,$X$171,$I$158)</f>
        <v>#N/A</v>
      </c>
      <c r="AC181" s="25" t="e" cm="1">
        <f t="array" aca="1" ref="AC181" ca="1">MMS_PastureBeef_Methane_Equations.VEERG_4_2_1_1__2_MethaneProductionFromManure(AB135,$I$155,$E$165,$X$171,$I$158)</f>
        <v>#N/A</v>
      </c>
      <c r="AD181" s="25" t="e" cm="1">
        <f t="array" aca="1" ref="AD181" ca="1">MMS_PastureBeef_Methane_Equations.VEERG_4_2_1_1__2_MethaneProductionFromManure(AC135,$I$155,$E$165,$X$171,$I$158)</f>
        <v>#N/A</v>
      </c>
      <c r="AE181" s="25" t="e" cm="1">
        <f t="array" aca="1" ref="AE181" ca="1">MMS_PastureBeef_Methane_Equations.VEERG_4_2_1_1__2_MethaneProductionFromManure(AD135,$I$155,$E$165,$X$171,$I$158)</f>
        <v>#N/A</v>
      </c>
      <c r="AF181" s="25" t="e" cm="1">
        <f t="array" aca="1" ref="AF181" ca="1">MMS_PastureBeef_Methane_Equations.VEERG_4_2_1_1__2_MethaneProductionFromManure(AE135,$I$155,$E$165,$X$171,$I$158)</f>
        <v>#N/A</v>
      </c>
      <c r="AG181" s="25" t="e" cm="1">
        <f t="array" aca="1" ref="AG181" ca="1">MMS_PastureBeef_Methane_Equations.VEERG_4_2_1_1__2_MethaneProductionFromManure(AF135,$I$155,$E$165,$X$171,$I$158)</f>
        <v>#N/A</v>
      </c>
      <c r="AH181" s="25" t="e" cm="1">
        <f t="array" aca="1" ref="AH181" ca="1">MMS_PastureBeef_Methane_Equations.VEERG_4_2_1_1__2_MethaneProductionFromManure(AG135,$I$155,$E$165,$X$171,$I$158)</f>
        <v>#N/A</v>
      </c>
      <c r="AI181" s="26" t="str">
        <f t="shared" si="8"/>
        <v>kg CH4/head/day</v>
      </c>
      <c r="AJ181" s="26"/>
    </row>
    <row r="182" spans="4:36" ht="20.100000000000001" customHeight="1" x14ac:dyDescent="0.25">
      <c r="D182" s="25" t="str">
        <f>'Input - Pasture Beef'!$D$181</f>
        <v>Anaerobic lagoon</v>
      </c>
      <c r="E182" s="25" t="s">
        <v>201</v>
      </c>
      <c r="F182" s="25" t="e" cm="1">
        <f t="array" aca="1" ref="F182" ca="1">MMS_PastureBeef_Methane_Equations.VEERG_4_2_1_1__2_MethaneProductionFromManure(E132,$I$155,$E$166,$E$172,$I$158)</f>
        <v>#N/A</v>
      </c>
      <c r="G182" s="25" t="e" cm="1">
        <f t="array" aca="1" ref="G182" ca="1">MMS_PastureBeef_Methane_Equations.VEERG_4_2_1_1__2_MethaneProductionFromManure(F132,$I$155,$E$166,$E$172,$I$158)</f>
        <v>#N/A</v>
      </c>
      <c r="H182" s="25" t="e" cm="1">
        <f t="array" aca="1" ref="H182" ca="1">MMS_PastureBeef_Methane_Equations.VEERG_4_2_1_1__2_MethaneProductionFromManure(G132,$I$155,$E$166,$E$172,$I$158)</f>
        <v>#N/A</v>
      </c>
      <c r="I182" s="25" t="e" cm="1">
        <f t="array" aca="1" ref="I182" ca="1">MMS_PastureBeef_Methane_Equations.VEERG_4_2_1_1__2_MethaneProductionFromManure(H132,$I$155,$E$166,$E$172,$I$158)</f>
        <v>#N/A</v>
      </c>
      <c r="J182" s="25" t="e" cm="1">
        <f t="array" aca="1" ref="J182" ca="1">MMS_PastureBeef_Methane_Equations.VEERG_4_2_1_1__2_MethaneProductionFromManure(I132,$I$155,$E$166,$E$172,$I$158)</f>
        <v>#N/A</v>
      </c>
      <c r="K182" s="25" t="e" cm="1">
        <f t="array" aca="1" ref="K182" ca="1">MMS_PastureBeef_Methane_Equations.VEERG_4_2_1_1__2_MethaneProductionFromManure(J132,$I$155,$E$166,$E$172,$I$158)</f>
        <v>#N/A</v>
      </c>
      <c r="L182" s="25" t="e" cm="1">
        <f t="array" aca="1" ref="L182" ca="1">MMS_PastureBeef_Methane_Equations.VEERG_4_2_1_1__2_MethaneProductionFromManure(K132,$I$155,$E$166,$E$172,$I$158)</f>
        <v>#N/A</v>
      </c>
      <c r="M182" s="25" t="e" cm="1">
        <f t="array" aca="1" ref="M182" ca="1">MMS_PastureBeef_Methane_Equations.VEERG_4_2_1_1__2_MethaneProductionFromManure(L132,$I$155,$E$166,$E$172,$I$158)</f>
        <v>#N/A</v>
      </c>
      <c r="N182" s="25" t="e" cm="1">
        <f t="array" aca="1" ref="N182" ca="1">MMS_PastureBeef_Methane_Equations.VEERG_4_2_1_1__2_MethaneProductionFromManure(M132,$I$155,$E$166,$E$172,$I$158)</f>
        <v>#N/A</v>
      </c>
      <c r="O182" s="25" t="e" cm="1">
        <f t="array" aca="1" ref="O182" ca="1">MMS_PastureBeef_Methane_Equations.VEERG_4_2_1_1__2_MethaneProductionFromManure(N132,$I$155,$E$166,$E$172,$I$158)</f>
        <v>#N/A</v>
      </c>
      <c r="P182" s="26" t="str">
        <f t="shared" si="6"/>
        <v>kg CH4/head/day</v>
      </c>
      <c r="Q182" s="26"/>
      <c r="R182" s="26"/>
      <c r="S182" s="26"/>
      <c r="W182" s="25" t="str">
        <f>'Input - Pasture Beef'!$D$180</f>
        <v>Pasture range and paddock</v>
      </c>
      <c r="X182" s="25" t="e">
        <f t="shared" si="7"/>
        <v>#VALUE!</v>
      </c>
      <c r="Y182" s="25" t="e" cm="1">
        <f t="array" aca="1" ref="Y182" ca="1">MMS_PastureBeef_Methane_Equations.VEERG_4_2_1_1__2_MethaneProductionFromManure(X136,$I$155,$E$165,$X$171,$I$158)</f>
        <v>#N/A</v>
      </c>
      <c r="Z182" s="25" t="e" cm="1">
        <f t="array" aca="1" ref="Z182" ca="1">MMS_PastureBeef_Methane_Equations.VEERG_4_2_1_1__2_MethaneProductionFromManure(Y136,$I$155,$E$165,$X$171,$I$158)</f>
        <v>#N/A</v>
      </c>
      <c r="AA182" s="25" t="e" cm="1">
        <f t="array" aca="1" ref="AA182" ca="1">MMS_PastureBeef_Methane_Equations.VEERG_4_2_1_1__2_MethaneProductionFromManure(Z136,$I$155,$E$165,$X$171,$I$158)</f>
        <v>#N/A</v>
      </c>
      <c r="AB182" s="25" t="e" cm="1">
        <f t="array" aca="1" ref="AB182" ca="1">MMS_PastureBeef_Methane_Equations.VEERG_4_2_1_1__2_MethaneProductionFromManure(AA136,$I$155,$E$165,$X$171,$I$158)</f>
        <v>#N/A</v>
      </c>
      <c r="AC182" s="25" t="e" cm="1">
        <f t="array" aca="1" ref="AC182" ca="1">MMS_PastureBeef_Methane_Equations.VEERG_4_2_1_1__2_MethaneProductionFromManure(AB136,$I$155,$E$165,$X$171,$I$158)</f>
        <v>#N/A</v>
      </c>
      <c r="AD182" s="25" t="e" cm="1">
        <f t="array" aca="1" ref="AD182" ca="1">MMS_PastureBeef_Methane_Equations.VEERG_4_2_1_1__2_MethaneProductionFromManure(AC136,$I$155,$E$165,$X$171,$I$158)</f>
        <v>#N/A</v>
      </c>
      <c r="AE182" s="25" t="e" cm="1">
        <f t="array" aca="1" ref="AE182" ca="1">MMS_PastureBeef_Methane_Equations.VEERG_4_2_1_1__2_MethaneProductionFromManure(AD136,$I$155,$E$165,$X$171,$I$158)</f>
        <v>#N/A</v>
      </c>
      <c r="AF182" s="25" t="e" cm="1">
        <f t="array" aca="1" ref="AF182" ca="1">MMS_PastureBeef_Methane_Equations.VEERG_4_2_1_1__2_MethaneProductionFromManure(AE136,$I$155,$E$165,$X$171,$I$158)</f>
        <v>#N/A</v>
      </c>
      <c r="AG182" s="25" t="e" cm="1">
        <f t="array" aca="1" ref="AG182" ca="1">MMS_PastureBeef_Methane_Equations.VEERG_4_2_1_1__2_MethaneProductionFromManure(AF136,$I$155,$E$165,$X$171,$I$158)</f>
        <v>#N/A</v>
      </c>
      <c r="AH182" s="25" t="e" cm="1">
        <f t="array" aca="1" ref="AH182" ca="1">MMS_PastureBeef_Methane_Equations.VEERG_4_2_1_1__2_MethaneProductionFromManure(AG136,$I$155,$E$165,$X$171,$I$158)</f>
        <v>#N/A</v>
      </c>
      <c r="AI182" s="26" t="str">
        <f t="shared" si="8"/>
        <v>kg CH4/head/day</v>
      </c>
      <c r="AJ182" s="26"/>
    </row>
    <row r="183" spans="4:36" ht="20.100000000000001" customHeight="1" x14ac:dyDescent="0.25">
      <c r="D183" s="25" t="str">
        <f>'Input - Pasture Beef'!$D$181</f>
        <v>Anaerobic lagoon</v>
      </c>
      <c r="E183" s="25" t="s">
        <v>202</v>
      </c>
      <c r="F183" s="25" t="e" cm="1">
        <f t="array" aca="1" ref="F183" ca="1">MMS_PastureBeef_Methane_Equations.VEERG_4_2_1_1__2_MethaneProductionFromManure(E133,$I$155,$E$166,$E$172,$I$158)</f>
        <v>#N/A</v>
      </c>
      <c r="G183" s="25" t="e" cm="1">
        <f t="array" aca="1" ref="G183" ca="1">MMS_PastureBeef_Methane_Equations.VEERG_4_2_1_1__2_MethaneProductionFromManure(F133,$I$155,$E$166,$E$172,$I$158)</f>
        <v>#N/A</v>
      </c>
      <c r="H183" s="25" t="e" cm="1">
        <f t="array" aca="1" ref="H183" ca="1">MMS_PastureBeef_Methane_Equations.VEERG_4_2_1_1__2_MethaneProductionFromManure(G133,$I$155,$E$166,$E$172,$I$158)</f>
        <v>#N/A</v>
      </c>
      <c r="I183" s="25" t="e" cm="1">
        <f t="array" aca="1" ref="I183" ca="1">MMS_PastureBeef_Methane_Equations.VEERG_4_2_1_1__2_MethaneProductionFromManure(H133,$I$155,$E$166,$E$172,$I$158)</f>
        <v>#N/A</v>
      </c>
      <c r="J183" s="25" t="e" cm="1">
        <f t="array" aca="1" ref="J183" ca="1">MMS_PastureBeef_Methane_Equations.VEERG_4_2_1_1__2_MethaneProductionFromManure(I133,$I$155,$E$166,$E$172,$I$158)</f>
        <v>#N/A</v>
      </c>
      <c r="K183" s="25" t="e" cm="1">
        <f t="array" aca="1" ref="K183" ca="1">MMS_PastureBeef_Methane_Equations.VEERG_4_2_1_1__2_MethaneProductionFromManure(J133,$I$155,$E$166,$E$172,$I$158)</f>
        <v>#N/A</v>
      </c>
      <c r="L183" s="25" t="e" cm="1">
        <f t="array" aca="1" ref="L183" ca="1">MMS_PastureBeef_Methane_Equations.VEERG_4_2_1_1__2_MethaneProductionFromManure(K133,$I$155,$E$166,$E$172,$I$158)</f>
        <v>#N/A</v>
      </c>
      <c r="M183" s="25" t="e" cm="1">
        <f t="array" aca="1" ref="M183" ca="1">MMS_PastureBeef_Methane_Equations.VEERG_4_2_1_1__2_MethaneProductionFromManure(L133,$I$155,$E$166,$E$172,$I$158)</f>
        <v>#N/A</v>
      </c>
      <c r="N183" s="25" t="e" cm="1">
        <f t="array" aca="1" ref="N183" ca="1">MMS_PastureBeef_Methane_Equations.VEERG_4_2_1_1__2_MethaneProductionFromManure(M133,$I$155,$E$166,$E$172,$I$158)</f>
        <v>#N/A</v>
      </c>
      <c r="O183" s="25" t="e" cm="1">
        <f t="array" aca="1" ref="O183" ca="1">MMS_PastureBeef_Methane_Equations.VEERG_4_2_1_1__2_MethaneProductionFromManure(N133,$I$155,$E$166,$E$172,$I$158)</f>
        <v>#N/A</v>
      </c>
      <c r="P183" s="26" t="str">
        <f t="shared" si="6"/>
        <v>kg CH4/head/day</v>
      </c>
      <c r="Q183" s="26"/>
      <c r="R183" s="26"/>
      <c r="S183" s="26"/>
      <c r="W183" s="25" t="str">
        <f>'Input - Pasture Beef'!$D$180</f>
        <v>Pasture range and paddock</v>
      </c>
      <c r="X183" s="25" t="e">
        <f t="shared" si="7"/>
        <v>#VALUE!</v>
      </c>
      <c r="Y183" s="25" t="e" cm="1">
        <f t="array" aca="1" ref="Y183" ca="1">MMS_PastureBeef_Methane_Equations.VEERG_4_2_1_1__2_MethaneProductionFromManure(X137,$I$155,$E$165,$X$171,$I$158)</f>
        <v>#N/A</v>
      </c>
      <c r="Z183" s="25" t="e" cm="1">
        <f t="array" aca="1" ref="Z183" ca="1">MMS_PastureBeef_Methane_Equations.VEERG_4_2_1_1__2_MethaneProductionFromManure(Y137,$I$155,$E$165,$X$171,$I$158)</f>
        <v>#N/A</v>
      </c>
      <c r="AA183" s="25" t="e" cm="1">
        <f t="array" aca="1" ref="AA183" ca="1">MMS_PastureBeef_Methane_Equations.VEERG_4_2_1_1__2_MethaneProductionFromManure(Z137,$I$155,$E$165,$X$171,$I$158)</f>
        <v>#N/A</v>
      </c>
      <c r="AB183" s="25" t="e" cm="1">
        <f t="array" aca="1" ref="AB183" ca="1">MMS_PastureBeef_Methane_Equations.VEERG_4_2_1_1__2_MethaneProductionFromManure(AA137,$I$155,$E$165,$X$171,$I$158)</f>
        <v>#N/A</v>
      </c>
      <c r="AC183" s="25" t="e" cm="1">
        <f t="array" aca="1" ref="AC183" ca="1">MMS_PastureBeef_Methane_Equations.VEERG_4_2_1_1__2_MethaneProductionFromManure(AB137,$I$155,$E$165,$X$171,$I$158)</f>
        <v>#N/A</v>
      </c>
      <c r="AD183" s="25" t="e" cm="1">
        <f t="array" aca="1" ref="AD183" ca="1">MMS_PastureBeef_Methane_Equations.VEERG_4_2_1_1__2_MethaneProductionFromManure(AC137,$I$155,$E$165,$X$171,$I$158)</f>
        <v>#N/A</v>
      </c>
      <c r="AE183" s="25" t="e" cm="1">
        <f t="array" aca="1" ref="AE183" ca="1">MMS_PastureBeef_Methane_Equations.VEERG_4_2_1_1__2_MethaneProductionFromManure(AD137,$I$155,$E$165,$X$171,$I$158)</f>
        <v>#N/A</v>
      </c>
      <c r="AF183" s="25" t="e" cm="1">
        <f t="array" aca="1" ref="AF183" ca="1">MMS_PastureBeef_Methane_Equations.VEERG_4_2_1_1__2_MethaneProductionFromManure(AE137,$I$155,$E$165,$X$171,$I$158)</f>
        <v>#N/A</v>
      </c>
      <c r="AG183" s="25" t="e" cm="1">
        <f t="array" aca="1" ref="AG183" ca="1">MMS_PastureBeef_Methane_Equations.VEERG_4_2_1_1__2_MethaneProductionFromManure(AF137,$I$155,$E$165,$X$171,$I$158)</f>
        <v>#N/A</v>
      </c>
      <c r="AH183" s="25" t="e" cm="1">
        <f t="array" aca="1" ref="AH183" ca="1">MMS_PastureBeef_Methane_Equations.VEERG_4_2_1_1__2_MethaneProductionFromManure(AG137,$I$155,$E$165,$X$171,$I$158)</f>
        <v>#N/A</v>
      </c>
      <c r="AI183" s="26" t="str">
        <f t="shared" si="8"/>
        <v>kg CH4/head/day</v>
      </c>
      <c r="AJ183" s="26"/>
    </row>
    <row r="184" spans="4:36" ht="20.100000000000001" customHeight="1" x14ac:dyDescent="0.25">
      <c r="D184" s="25" t="str">
        <f>'Input - Pasture Beef'!$D$181</f>
        <v>Anaerobic lagoon</v>
      </c>
      <c r="E184" s="25" t="s">
        <v>203</v>
      </c>
      <c r="F184" s="25" t="e" cm="1">
        <f t="array" aca="1" ref="F184" ca="1">MMS_PastureBeef_Methane_Equations.VEERG_4_2_1_1__2_MethaneProductionFromManure(E134,$I$155,$E$166,$E$172,$I$158)</f>
        <v>#N/A</v>
      </c>
      <c r="G184" s="25" t="e" cm="1">
        <f t="array" aca="1" ref="G184" ca="1">MMS_PastureBeef_Methane_Equations.VEERG_4_2_1_1__2_MethaneProductionFromManure(F134,$I$155,$E$166,$E$172,$I$158)</f>
        <v>#N/A</v>
      </c>
      <c r="H184" s="25" t="e" cm="1">
        <f t="array" aca="1" ref="H184" ca="1">MMS_PastureBeef_Methane_Equations.VEERG_4_2_1_1__2_MethaneProductionFromManure(G134,$I$155,$E$166,$E$172,$I$158)</f>
        <v>#N/A</v>
      </c>
      <c r="I184" s="25" t="e" cm="1">
        <f t="array" aca="1" ref="I184" ca="1">MMS_PastureBeef_Methane_Equations.VEERG_4_2_1_1__2_MethaneProductionFromManure(H134,$I$155,$E$166,$E$172,$I$158)</f>
        <v>#N/A</v>
      </c>
      <c r="J184" s="25" t="e" cm="1">
        <f t="array" aca="1" ref="J184" ca="1">MMS_PastureBeef_Methane_Equations.VEERG_4_2_1_1__2_MethaneProductionFromManure(I134,$I$155,$E$166,$E$172,$I$158)</f>
        <v>#N/A</v>
      </c>
      <c r="K184" s="25" t="e" cm="1">
        <f t="array" aca="1" ref="K184" ca="1">MMS_PastureBeef_Methane_Equations.VEERG_4_2_1_1__2_MethaneProductionFromManure(J134,$I$155,$E$166,$E$172,$I$158)</f>
        <v>#N/A</v>
      </c>
      <c r="L184" s="25" t="e" cm="1">
        <f t="array" aca="1" ref="L184" ca="1">MMS_PastureBeef_Methane_Equations.VEERG_4_2_1_1__2_MethaneProductionFromManure(K134,$I$155,$E$166,$E$172,$I$158)</f>
        <v>#N/A</v>
      </c>
      <c r="M184" s="25" t="e" cm="1">
        <f t="array" aca="1" ref="M184" ca="1">MMS_PastureBeef_Methane_Equations.VEERG_4_2_1_1__2_MethaneProductionFromManure(L134,$I$155,$E$166,$E$172,$I$158)</f>
        <v>#N/A</v>
      </c>
      <c r="N184" s="25" t="e" cm="1">
        <f t="array" aca="1" ref="N184" ca="1">MMS_PastureBeef_Methane_Equations.VEERG_4_2_1_1__2_MethaneProductionFromManure(M134,$I$155,$E$166,$E$172,$I$158)</f>
        <v>#N/A</v>
      </c>
      <c r="O184" s="25" t="e" cm="1">
        <f t="array" aca="1" ref="O184" ca="1">MMS_PastureBeef_Methane_Equations.VEERG_4_2_1_1__2_MethaneProductionFromManure(N134,$I$155,$E$166,$E$172,$I$158)</f>
        <v>#N/A</v>
      </c>
      <c r="P184" s="26" t="str">
        <f t="shared" si="6"/>
        <v>kg CH4/head/day</v>
      </c>
      <c r="Q184" s="26"/>
      <c r="R184" s="26"/>
      <c r="S184" s="26"/>
      <c r="W184" s="25" t="str">
        <f>'Input - Pasture Beef'!$D$180</f>
        <v>Pasture range and paddock</v>
      </c>
      <c r="X184" s="25" t="e">
        <f t="shared" si="7"/>
        <v>#VALUE!</v>
      </c>
      <c r="Y184" s="25" t="e" cm="1">
        <f t="array" aca="1" ref="Y184" ca="1">MMS_PastureBeef_Methane_Equations.VEERG_4_2_1_1__2_MethaneProductionFromManure(X138,$I$155,$E$165,$X$171,$I$158)</f>
        <v>#N/A</v>
      </c>
      <c r="Z184" s="25" t="e" cm="1">
        <f t="array" aca="1" ref="Z184" ca="1">MMS_PastureBeef_Methane_Equations.VEERG_4_2_1_1__2_MethaneProductionFromManure(Y138,$I$155,$E$165,$X$171,$I$158)</f>
        <v>#N/A</v>
      </c>
      <c r="AA184" s="25" t="e" cm="1">
        <f t="array" aca="1" ref="AA184" ca="1">MMS_PastureBeef_Methane_Equations.VEERG_4_2_1_1__2_MethaneProductionFromManure(Z138,$I$155,$E$165,$X$171,$I$158)</f>
        <v>#N/A</v>
      </c>
      <c r="AB184" s="25" t="e" cm="1">
        <f t="array" aca="1" ref="AB184" ca="1">MMS_PastureBeef_Methane_Equations.VEERG_4_2_1_1__2_MethaneProductionFromManure(AA138,$I$155,$E$165,$X$171,$I$158)</f>
        <v>#N/A</v>
      </c>
      <c r="AC184" s="25" t="e" cm="1">
        <f t="array" aca="1" ref="AC184" ca="1">MMS_PastureBeef_Methane_Equations.VEERG_4_2_1_1__2_MethaneProductionFromManure(AB138,$I$155,$E$165,$X$171,$I$158)</f>
        <v>#N/A</v>
      </c>
      <c r="AD184" s="25" t="e" cm="1">
        <f t="array" aca="1" ref="AD184" ca="1">MMS_PastureBeef_Methane_Equations.VEERG_4_2_1_1__2_MethaneProductionFromManure(AC138,$I$155,$E$165,$X$171,$I$158)</f>
        <v>#N/A</v>
      </c>
      <c r="AE184" s="25" t="e" cm="1">
        <f t="array" aca="1" ref="AE184" ca="1">MMS_PastureBeef_Methane_Equations.VEERG_4_2_1_1__2_MethaneProductionFromManure(AD138,$I$155,$E$165,$X$171,$I$158)</f>
        <v>#N/A</v>
      </c>
      <c r="AF184" s="25" t="e" cm="1">
        <f t="array" aca="1" ref="AF184" ca="1">MMS_PastureBeef_Methane_Equations.VEERG_4_2_1_1__2_MethaneProductionFromManure(AE138,$I$155,$E$165,$X$171,$I$158)</f>
        <v>#N/A</v>
      </c>
      <c r="AG184" s="25" t="e" cm="1">
        <f t="array" aca="1" ref="AG184" ca="1">MMS_PastureBeef_Methane_Equations.VEERG_4_2_1_1__2_MethaneProductionFromManure(AF138,$I$155,$E$165,$X$171,$I$158)</f>
        <v>#N/A</v>
      </c>
      <c r="AH184" s="25" t="e" cm="1">
        <f t="array" aca="1" ref="AH184" ca="1">MMS_PastureBeef_Methane_Equations.VEERG_4_2_1_1__2_MethaneProductionFromManure(AG138,$I$155,$E$165,$X$171,$I$158)</f>
        <v>#N/A</v>
      </c>
      <c r="AI184" s="26" t="str">
        <f t="shared" si="8"/>
        <v>kg CH4/head/day</v>
      </c>
      <c r="AJ184" s="26"/>
    </row>
    <row r="185" spans="4:36" ht="20.100000000000001" customHeight="1" x14ac:dyDescent="0.25">
      <c r="W185" s="25" t="str">
        <f>'Input - Pasture Beef'!$D$180</f>
        <v>Pasture range and paddock</v>
      </c>
      <c r="X185" s="25" t="e">
        <f t="shared" si="7"/>
        <v>#VALUE!</v>
      </c>
      <c r="Y185" s="25" t="e" cm="1">
        <f t="array" aca="1" ref="Y185" ca="1">MMS_PastureBeef_Methane_Equations.VEERG_4_2_1_1__2_MethaneProductionFromManure(X139,$I$155,$E$165,$X$171,$I$158)</f>
        <v>#N/A</v>
      </c>
      <c r="Z185" s="25" t="e" cm="1">
        <f t="array" aca="1" ref="Z185" ca="1">MMS_PastureBeef_Methane_Equations.VEERG_4_2_1_1__2_MethaneProductionFromManure(Y139,$I$155,$E$165,$X$171,$I$158)</f>
        <v>#N/A</v>
      </c>
      <c r="AA185" s="25" t="e" cm="1">
        <f t="array" aca="1" ref="AA185" ca="1">MMS_PastureBeef_Methane_Equations.VEERG_4_2_1_1__2_MethaneProductionFromManure(Z139,$I$155,$E$165,$X$171,$I$158)</f>
        <v>#N/A</v>
      </c>
      <c r="AB185" s="25" t="e" cm="1">
        <f t="array" aca="1" ref="AB185" ca="1">MMS_PastureBeef_Methane_Equations.VEERG_4_2_1_1__2_MethaneProductionFromManure(AA139,$I$155,$E$165,$X$171,$I$158)</f>
        <v>#N/A</v>
      </c>
      <c r="AC185" s="25" t="e" cm="1">
        <f t="array" aca="1" ref="AC185" ca="1">MMS_PastureBeef_Methane_Equations.VEERG_4_2_1_1__2_MethaneProductionFromManure(AB139,$I$155,$E$165,$X$171,$I$158)</f>
        <v>#N/A</v>
      </c>
      <c r="AD185" s="25" t="e" cm="1">
        <f t="array" aca="1" ref="AD185" ca="1">MMS_PastureBeef_Methane_Equations.VEERG_4_2_1_1__2_MethaneProductionFromManure(AC139,$I$155,$E$165,$X$171,$I$158)</f>
        <v>#N/A</v>
      </c>
      <c r="AE185" s="25" t="e" cm="1">
        <f t="array" aca="1" ref="AE185" ca="1">MMS_PastureBeef_Methane_Equations.VEERG_4_2_1_1__2_MethaneProductionFromManure(AD139,$I$155,$E$165,$X$171,$I$158)</f>
        <v>#N/A</v>
      </c>
      <c r="AF185" s="25" t="e" cm="1">
        <f t="array" aca="1" ref="AF185" ca="1">MMS_PastureBeef_Methane_Equations.VEERG_4_2_1_1__2_MethaneProductionFromManure(AE139,$I$155,$E$165,$X$171,$I$158)</f>
        <v>#N/A</v>
      </c>
      <c r="AG185" s="25" t="e" cm="1">
        <f t="array" aca="1" ref="AG185" ca="1">MMS_PastureBeef_Methane_Equations.VEERG_4_2_1_1__2_MethaneProductionFromManure(AF139,$I$155,$E$165,$X$171,$I$158)</f>
        <v>#N/A</v>
      </c>
      <c r="AH185" s="25" t="e" cm="1">
        <f t="array" aca="1" ref="AH185" ca="1">MMS_PastureBeef_Methane_Equations.VEERG_4_2_1_1__2_MethaneProductionFromManure(AG139,$I$155,$E$165,$X$171,$I$158)</f>
        <v>#N/A</v>
      </c>
      <c r="AI185" s="26" t="str">
        <f t="shared" si="8"/>
        <v>kg CH4/head/day</v>
      </c>
      <c r="AJ185" s="26"/>
    </row>
    <row r="186" spans="4:36" ht="20.100000000000001" customHeight="1" x14ac:dyDescent="0.25">
      <c r="W186" s="25" t="str">
        <f>'Input - Pasture Beef'!$D$180</f>
        <v>Pasture range and paddock</v>
      </c>
      <c r="X186" s="25" t="e">
        <f t="shared" si="7"/>
        <v>#VALUE!</v>
      </c>
      <c r="Y186" s="25" t="e" cm="1">
        <f t="array" aca="1" ref="Y186" ca="1">MMS_PastureBeef_Methane_Equations.VEERG_4_2_1_1__2_MethaneProductionFromManure(X140,$I$155,$E$165,$X$171,$I$158)</f>
        <v>#N/A</v>
      </c>
      <c r="Z186" s="25" t="e" cm="1">
        <f t="array" aca="1" ref="Z186" ca="1">MMS_PastureBeef_Methane_Equations.VEERG_4_2_1_1__2_MethaneProductionFromManure(Y140,$I$155,$E$165,$X$171,$I$158)</f>
        <v>#N/A</v>
      </c>
      <c r="AA186" s="25" t="e" cm="1">
        <f t="array" aca="1" ref="AA186" ca="1">MMS_PastureBeef_Methane_Equations.VEERG_4_2_1_1__2_MethaneProductionFromManure(Z140,$I$155,$E$165,$X$171,$I$158)</f>
        <v>#N/A</v>
      </c>
      <c r="AB186" s="25" t="e" cm="1">
        <f t="array" aca="1" ref="AB186" ca="1">MMS_PastureBeef_Methane_Equations.VEERG_4_2_1_1__2_MethaneProductionFromManure(AA140,$I$155,$E$165,$X$171,$I$158)</f>
        <v>#N/A</v>
      </c>
      <c r="AC186" s="25" t="e" cm="1">
        <f t="array" aca="1" ref="AC186" ca="1">MMS_PastureBeef_Methane_Equations.VEERG_4_2_1_1__2_MethaneProductionFromManure(AB140,$I$155,$E$165,$X$171,$I$158)</f>
        <v>#N/A</v>
      </c>
      <c r="AD186" s="25" t="e" cm="1">
        <f t="array" aca="1" ref="AD186" ca="1">MMS_PastureBeef_Methane_Equations.VEERG_4_2_1_1__2_MethaneProductionFromManure(AC140,$I$155,$E$165,$X$171,$I$158)</f>
        <v>#N/A</v>
      </c>
      <c r="AE186" s="25" t="e" cm="1">
        <f t="array" aca="1" ref="AE186" ca="1">MMS_PastureBeef_Methane_Equations.VEERG_4_2_1_1__2_MethaneProductionFromManure(AD140,$I$155,$E$165,$X$171,$I$158)</f>
        <v>#N/A</v>
      </c>
      <c r="AF186" s="25" t="e" cm="1">
        <f t="array" aca="1" ref="AF186" ca="1">MMS_PastureBeef_Methane_Equations.VEERG_4_2_1_1__2_MethaneProductionFromManure(AE140,$I$155,$E$165,$X$171,$I$158)</f>
        <v>#N/A</v>
      </c>
      <c r="AG186" s="25" t="e" cm="1">
        <f t="array" aca="1" ref="AG186" ca="1">MMS_PastureBeef_Methane_Equations.VEERG_4_2_1_1__2_MethaneProductionFromManure(AF140,$I$155,$E$165,$X$171,$I$158)</f>
        <v>#N/A</v>
      </c>
      <c r="AH186" s="25" t="e" cm="1">
        <f t="array" aca="1" ref="AH186" ca="1">MMS_PastureBeef_Methane_Equations.VEERG_4_2_1_1__2_MethaneProductionFromManure(AG140,$I$155,$E$165,$X$171,$I$158)</f>
        <v>#N/A</v>
      </c>
      <c r="AI186" s="26" t="str">
        <f t="shared" si="8"/>
        <v>kg CH4/head/day</v>
      </c>
      <c r="AJ186" s="26"/>
    </row>
    <row r="187" spans="4:36" ht="20.100000000000001" customHeight="1" x14ac:dyDescent="0.25">
      <c r="W187" s="25" t="str">
        <f>'Input - Pasture Beef'!$D$180</f>
        <v>Pasture range and paddock</v>
      </c>
      <c r="X187" s="25" t="e">
        <f t="shared" si="7"/>
        <v>#VALUE!</v>
      </c>
      <c r="Y187" s="25" t="e" cm="1">
        <f t="array" aca="1" ref="Y187" ca="1">MMS_PastureBeef_Methane_Equations.VEERG_4_2_1_1__2_MethaneProductionFromManure(X141,$I$155,$E$165,$X$171,$I$158)</f>
        <v>#N/A</v>
      </c>
      <c r="Z187" s="25" t="e" cm="1">
        <f t="array" aca="1" ref="Z187" ca="1">MMS_PastureBeef_Methane_Equations.VEERG_4_2_1_1__2_MethaneProductionFromManure(Y141,$I$155,$E$165,$X$171,$I$158)</f>
        <v>#N/A</v>
      </c>
      <c r="AA187" s="25" t="e" cm="1">
        <f t="array" aca="1" ref="AA187" ca="1">MMS_PastureBeef_Methane_Equations.VEERG_4_2_1_1__2_MethaneProductionFromManure(Z141,$I$155,$E$165,$X$171,$I$158)</f>
        <v>#N/A</v>
      </c>
      <c r="AB187" s="25" t="e" cm="1">
        <f t="array" aca="1" ref="AB187" ca="1">MMS_PastureBeef_Methane_Equations.VEERG_4_2_1_1__2_MethaneProductionFromManure(AA141,$I$155,$E$165,$X$171,$I$158)</f>
        <v>#N/A</v>
      </c>
      <c r="AC187" s="25" t="e" cm="1">
        <f t="array" aca="1" ref="AC187" ca="1">MMS_PastureBeef_Methane_Equations.VEERG_4_2_1_1__2_MethaneProductionFromManure(AB141,$I$155,$E$165,$X$171,$I$158)</f>
        <v>#N/A</v>
      </c>
      <c r="AD187" s="25" t="e" cm="1">
        <f t="array" aca="1" ref="AD187" ca="1">MMS_PastureBeef_Methane_Equations.VEERG_4_2_1_1__2_MethaneProductionFromManure(AC141,$I$155,$E$165,$X$171,$I$158)</f>
        <v>#N/A</v>
      </c>
      <c r="AE187" s="25" t="e" cm="1">
        <f t="array" aca="1" ref="AE187" ca="1">MMS_PastureBeef_Methane_Equations.VEERG_4_2_1_1__2_MethaneProductionFromManure(AD141,$I$155,$E$165,$X$171,$I$158)</f>
        <v>#N/A</v>
      </c>
      <c r="AF187" s="25" t="e" cm="1">
        <f t="array" aca="1" ref="AF187" ca="1">MMS_PastureBeef_Methane_Equations.VEERG_4_2_1_1__2_MethaneProductionFromManure(AE141,$I$155,$E$165,$X$171,$I$158)</f>
        <v>#N/A</v>
      </c>
      <c r="AG187" s="25" t="e" cm="1">
        <f t="array" aca="1" ref="AG187" ca="1">MMS_PastureBeef_Methane_Equations.VEERG_4_2_1_1__2_MethaneProductionFromManure(AF141,$I$155,$E$165,$X$171,$I$158)</f>
        <v>#N/A</v>
      </c>
      <c r="AH187" s="25" t="e" cm="1">
        <f t="array" aca="1" ref="AH187" ca="1">MMS_PastureBeef_Methane_Equations.VEERG_4_2_1_1__2_MethaneProductionFromManure(AG141,$I$155,$E$165,$X$171,$I$158)</f>
        <v>#N/A</v>
      </c>
      <c r="AI187" s="26" t="str">
        <f t="shared" si="8"/>
        <v>kg CH4/head/day</v>
      </c>
      <c r="AJ187" s="26"/>
    </row>
    <row r="188" spans="4:36" ht="20.100000000000001" customHeight="1" x14ac:dyDescent="0.25">
      <c r="W188" s="25" t="str">
        <f>'Input - Pasture Beef'!$D$180</f>
        <v>Pasture range and paddock</v>
      </c>
      <c r="X188" s="25" t="e">
        <f t="shared" si="7"/>
        <v>#VALUE!</v>
      </c>
      <c r="Y188" s="25" t="e" cm="1">
        <f t="array" aca="1" ref="Y188" ca="1">MMS_PastureBeef_Methane_Equations.VEERG_4_2_1_1__2_MethaneProductionFromManure(X142,$I$155,$E$165,$X$171,$I$158)</f>
        <v>#N/A</v>
      </c>
      <c r="Z188" s="25" t="e" cm="1">
        <f t="array" aca="1" ref="Z188" ca="1">MMS_PastureBeef_Methane_Equations.VEERG_4_2_1_1__2_MethaneProductionFromManure(Y142,$I$155,$E$165,$X$171,$I$158)</f>
        <v>#N/A</v>
      </c>
      <c r="AA188" s="25" t="e" cm="1">
        <f t="array" aca="1" ref="AA188" ca="1">MMS_PastureBeef_Methane_Equations.VEERG_4_2_1_1__2_MethaneProductionFromManure(Z142,$I$155,$E$165,$X$171,$I$158)</f>
        <v>#N/A</v>
      </c>
      <c r="AB188" s="25" t="e" cm="1">
        <f t="array" aca="1" ref="AB188" ca="1">MMS_PastureBeef_Methane_Equations.VEERG_4_2_1_1__2_MethaneProductionFromManure(AA142,$I$155,$E$165,$X$171,$I$158)</f>
        <v>#N/A</v>
      </c>
      <c r="AC188" s="25" t="e" cm="1">
        <f t="array" aca="1" ref="AC188" ca="1">MMS_PastureBeef_Methane_Equations.VEERG_4_2_1_1__2_MethaneProductionFromManure(AB142,$I$155,$E$165,$X$171,$I$158)</f>
        <v>#N/A</v>
      </c>
      <c r="AD188" s="25" t="e" cm="1">
        <f t="array" aca="1" ref="AD188" ca="1">MMS_PastureBeef_Methane_Equations.VEERG_4_2_1_1__2_MethaneProductionFromManure(AC142,$I$155,$E$165,$X$171,$I$158)</f>
        <v>#N/A</v>
      </c>
      <c r="AE188" s="25" t="e" cm="1">
        <f t="array" aca="1" ref="AE188" ca="1">MMS_PastureBeef_Methane_Equations.VEERG_4_2_1_1__2_MethaneProductionFromManure(AD142,$I$155,$E$165,$X$171,$I$158)</f>
        <v>#N/A</v>
      </c>
      <c r="AF188" s="25" t="e" cm="1">
        <f t="array" aca="1" ref="AF188" ca="1">MMS_PastureBeef_Methane_Equations.VEERG_4_2_1_1__2_MethaneProductionFromManure(AE142,$I$155,$E$165,$X$171,$I$158)</f>
        <v>#N/A</v>
      </c>
      <c r="AG188" s="25" t="e" cm="1">
        <f t="array" aca="1" ref="AG188" ca="1">MMS_PastureBeef_Methane_Equations.VEERG_4_2_1_1__2_MethaneProductionFromManure(AF142,$I$155,$E$165,$X$171,$I$158)</f>
        <v>#N/A</v>
      </c>
      <c r="AH188" s="25" t="e" cm="1">
        <f t="array" aca="1" ref="AH188" ca="1">MMS_PastureBeef_Methane_Equations.VEERG_4_2_1_1__2_MethaneProductionFromManure(AG142,$I$155,$E$165,$X$171,$I$158)</f>
        <v>#N/A</v>
      </c>
      <c r="AI188" s="26" t="str">
        <f t="shared" si="8"/>
        <v>kg CH4/head/day</v>
      </c>
      <c r="AJ188" s="26"/>
    </row>
    <row r="189" spans="4:36" ht="20.100000000000001" customHeight="1" x14ac:dyDescent="0.25">
      <c r="W189" s="25" t="str">
        <f>'Input - Pasture Beef'!$D$181</f>
        <v>Anaerobic lagoon</v>
      </c>
      <c r="X189" s="25" t="str">
        <f>W131</f>
        <v>NO - Not in leaching zone</v>
      </c>
      <c r="Y189" s="25" t="e" cm="1">
        <f t="array" aca="1" ref="Y189" ca="1">MMS_PastureBeef_Methane_Equations.VEERG_4_2_1_1__2_MethaneProductionFromManure(X131,$I$155,$E$166,$X$172,$I$158)</f>
        <v>#N/A</v>
      </c>
      <c r="Z189" s="25" t="e" cm="1">
        <f t="array" aca="1" ref="Z189" ca="1">MMS_PastureBeef_Methane_Equations.VEERG_4_2_1_1__2_MethaneProductionFromManure(Y131,$I$155,$E$166,$X$172,$I$158)</f>
        <v>#N/A</v>
      </c>
      <c r="AA189" s="25" t="e" cm="1">
        <f t="array" aca="1" ref="AA189" ca="1">MMS_PastureBeef_Methane_Equations.VEERG_4_2_1_1__2_MethaneProductionFromManure(Z131,$I$155,$E$166,$X$172,$I$158)</f>
        <v>#N/A</v>
      </c>
      <c r="AB189" s="25" t="e" cm="1">
        <f t="array" aca="1" ref="AB189" ca="1">MMS_PastureBeef_Methane_Equations.VEERG_4_2_1_1__2_MethaneProductionFromManure(AA131,$I$155,$E$166,$X$172,$I$158)</f>
        <v>#N/A</v>
      </c>
      <c r="AC189" s="25" t="e" cm="1">
        <f t="array" aca="1" ref="AC189" ca="1">MMS_PastureBeef_Methane_Equations.VEERG_4_2_1_1__2_MethaneProductionFromManure(AB131,$I$155,$E$166,$X$172,$I$158)</f>
        <v>#N/A</v>
      </c>
      <c r="AD189" s="25" t="e" cm="1">
        <f t="array" aca="1" ref="AD189" ca="1">MMS_PastureBeef_Methane_Equations.VEERG_4_2_1_1__2_MethaneProductionFromManure(AC131,$I$155,$E$166,$X$172,$I$158)</f>
        <v>#N/A</v>
      </c>
      <c r="AE189" s="25" t="e" cm="1">
        <f t="array" aca="1" ref="AE189" ca="1">MMS_PastureBeef_Methane_Equations.VEERG_4_2_1_1__2_MethaneProductionFromManure(AD131,$I$155,$E$166,$X$172,$I$158)</f>
        <v>#N/A</v>
      </c>
      <c r="AF189" s="25" t="e" cm="1">
        <f t="array" aca="1" ref="AF189" ca="1">MMS_PastureBeef_Methane_Equations.VEERG_4_2_1_1__2_MethaneProductionFromManure(AE131,$I$155,$E$166,$X$172,$I$158)</f>
        <v>#N/A</v>
      </c>
      <c r="AG189" s="25" t="e" cm="1">
        <f t="array" aca="1" ref="AG189" ca="1">MMS_PastureBeef_Methane_Equations.VEERG_4_2_1_1__2_MethaneProductionFromManure(AF131,$I$155,$E$166,$X$172,$I$158)</f>
        <v>#N/A</v>
      </c>
      <c r="AH189" s="25" t="e" cm="1">
        <f t="array" aca="1" ref="AH189" ca="1">MMS_PastureBeef_Methane_Equations.VEERG_4_2_1_1__2_MethaneProductionFromManure(AG131,$I$155,$E$166,$X$172,$I$158)</f>
        <v>#N/A</v>
      </c>
      <c r="AI189" s="26" t="str">
        <f t="shared" si="8"/>
        <v>kg CH4/head/day</v>
      </c>
      <c r="AJ189" s="26"/>
    </row>
    <row r="190" spans="4:36" ht="20.100000000000001" customHeight="1" x14ac:dyDescent="0.25">
      <c r="W190" s="25" t="str">
        <f>'Input - Pasture Beef'!$D$181</f>
        <v>Anaerobic lagoon</v>
      </c>
      <c r="X190" s="25" t="e">
        <f t="shared" ref="X190:X200" si="9">W132</f>
        <v>#VALUE!</v>
      </c>
      <c r="Y190" s="25" t="e" cm="1">
        <f t="array" aca="1" ref="Y190" ca="1">MMS_PastureBeef_Methane_Equations.VEERG_4_2_1_1__2_MethaneProductionFromManure(X132,$I$155,$E$166,$X$172,$I$158)</f>
        <v>#N/A</v>
      </c>
      <c r="Z190" s="25" t="e" cm="1">
        <f t="array" aca="1" ref="Z190" ca="1">MMS_PastureBeef_Methane_Equations.VEERG_4_2_1_1__2_MethaneProductionFromManure(Y132,$I$155,$E$166,$X$172,$I$158)</f>
        <v>#N/A</v>
      </c>
      <c r="AA190" s="25" t="e" cm="1">
        <f t="array" aca="1" ref="AA190" ca="1">MMS_PastureBeef_Methane_Equations.VEERG_4_2_1_1__2_MethaneProductionFromManure(Z132,$I$155,$E$166,$X$172,$I$158)</f>
        <v>#N/A</v>
      </c>
      <c r="AB190" s="25" t="e" cm="1">
        <f t="array" aca="1" ref="AB190" ca="1">MMS_PastureBeef_Methane_Equations.VEERG_4_2_1_1__2_MethaneProductionFromManure(AA132,$I$155,$E$166,$X$172,$I$158)</f>
        <v>#N/A</v>
      </c>
      <c r="AC190" s="25" t="e" cm="1">
        <f t="array" aca="1" ref="AC190" ca="1">MMS_PastureBeef_Methane_Equations.VEERG_4_2_1_1__2_MethaneProductionFromManure(AB132,$I$155,$E$166,$X$172,$I$158)</f>
        <v>#N/A</v>
      </c>
      <c r="AD190" s="25" t="e" cm="1">
        <f t="array" aca="1" ref="AD190" ca="1">MMS_PastureBeef_Methane_Equations.VEERG_4_2_1_1__2_MethaneProductionFromManure(AC132,$I$155,$E$166,$X$172,$I$158)</f>
        <v>#N/A</v>
      </c>
      <c r="AE190" s="25" t="e" cm="1">
        <f t="array" aca="1" ref="AE190" ca="1">MMS_PastureBeef_Methane_Equations.VEERG_4_2_1_1__2_MethaneProductionFromManure(AD132,$I$155,$E$166,$X$172,$I$158)</f>
        <v>#N/A</v>
      </c>
      <c r="AF190" s="25" t="e" cm="1">
        <f t="array" aca="1" ref="AF190" ca="1">MMS_PastureBeef_Methane_Equations.VEERG_4_2_1_1__2_MethaneProductionFromManure(AE132,$I$155,$E$166,$X$172,$I$158)</f>
        <v>#N/A</v>
      </c>
      <c r="AG190" s="25" t="e" cm="1">
        <f t="array" aca="1" ref="AG190" ca="1">MMS_PastureBeef_Methane_Equations.VEERG_4_2_1_1__2_MethaneProductionFromManure(AF132,$I$155,$E$166,$X$172,$I$158)</f>
        <v>#N/A</v>
      </c>
      <c r="AH190" s="25" t="e" cm="1">
        <f t="array" aca="1" ref="AH190" ca="1">MMS_PastureBeef_Methane_Equations.VEERG_4_2_1_1__2_MethaneProductionFromManure(AG132,$I$155,$E$166,$X$172,$I$158)</f>
        <v>#N/A</v>
      </c>
      <c r="AI190" s="26" t="str">
        <f t="shared" si="8"/>
        <v>kg CH4/head/day</v>
      </c>
      <c r="AJ190" s="26"/>
    </row>
    <row r="191" spans="4:36" ht="20.100000000000001" customHeight="1" x14ac:dyDescent="0.25">
      <c r="W191" s="25" t="str">
        <f>'Input - Pasture Beef'!$D$181</f>
        <v>Anaerobic lagoon</v>
      </c>
      <c r="X191" s="25" t="e">
        <f t="shared" si="9"/>
        <v>#VALUE!</v>
      </c>
      <c r="Y191" s="25" t="e" cm="1">
        <f t="array" aca="1" ref="Y191" ca="1">MMS_PastureBeef_Methane_Equations.VEERG_4_2_1_1__2_MethaneProductionFromManure(X133,$I$155,$E$166,$X$172,$I$158)</f>
        <v>#N/A</v>
      </c>
      <c r="Z191" s="25" t="e" cm="1">
        <f t="array" aca="1" ref="Z191" ca="1">MMS_PastureBeef_Methane_Equations.VEERG_4_2_1_1__2_MethaneProductionFromManure(Y133,$I$155,$E$166,$X$172,$I$158)</f>
        <v>#N/A</v>
      </c>
      <c r="AA191" s="25" t="e" cm="1">
        <f t="array" aca="1" ref="AA191" ca="1">MMS_PastureBeef_Methane_Equations.VEERG_4_2_1_1__2_MethaneProductionFromManure(Z133,$I$155,$E$166,$X$172,$I$158)</f>
        <v>#N/A</v>
      </c>
      <c r="AB191" s="25" t="e" cm="1">
        <f t="array" aca="1" ref="AB191" ca="1">MMS_PastureBeef_Methane_Equations.VEERG_4_2_1_1__2_MethaneProductionFromManure(AA133,$I$155,$E$166,$X$172,$I$158)</f>
        <v>#N/A</v>
      </c>
      <c r="AC191" s="25" t="e" cm="1">
        <f t="array" aca="1" ref="AC191" ca="1">MMS_PastureBeef_Methane_Equations.VEERG_4_2_1_1__2_MethaneProductionFromManure(AB133,$I$155,$E$166,$X$172,$I$158)</f>
        <v>#N/A</v>
      </c>
      <c r="AD191" s="25" t="e" cm="1">
        <f t="array" aca="1" ref="AD191" ca="1">MMS_PastureBeef_Methane_Equations.VEERG_4_2_1_1__2_MethaneProductionFromManure(AC133,$I$155,$E$166,$X$172,$I$158)</f>
        <v>#N/A</v>
      </c>
      <c r="AE191" s="25" t="e" cm="1">
        <f t="array" aca="1" ref="AE191" ca="1">MMS_PastureBeef_Methane_Equations.VEERG_4_2_1_1__2_MethaneProductionFromManure(AD133,$I$155,$E$166,$X$172,$I$158)</f>
        <v>#N/A</v>
      </c>
      <c r="AF191" s="25" t="e" cm="1">
        <f t="array" aca="1" ref="AF191" ca="1">MMS_PastureBeef_Methane_Equations.VEERG_4_2_1_1__2_MethaneProductionFromManure(AE133,$I$155,$E$166,$X$172,$I$158)</f>
        <v>#N/A</v>
      </c>
      <c r="AG191" s="25" t="e" cm="1">
        <f t="array" aca="1" ref="AG191" ca="1">MMS_PastureBeef_Methane_Equations.VEERG_4_2_1_1__2_MethaneProductionFromManure(AF133,$I$155,$E$166,$X$172,$I$158)</f>
        <v>#N/A</v>
      </c>
      <c r="AH191" s="25" t="e" cm="1">
        <f t="array" aca="1" ref="AH191" ca="1">MMS_PastureBeef_Methane_Equations.VEERG_4_2_1_1__2_MethaneProductionFromManure(AG133,$I$155,$E$166,$X$172,$I$158)</f>
        <v>#N/A</v>
      </c>
      <c r="AI191" s="26" t="str">
        <f t="shared" si="8"/>
        <v>kg CH4/head/day</v>
      </c>
      <c r="AJ191" s="26"/>
    </row>
    <row r="192" spans="4:36" ht="20.100000000000001" customHeight="1" x14ac:dyDescent="0.25">
      <c r="W192" s="25" t="str">
        <f>'Input - Pasture Beef'!$D$181</f>
        <v>Anaerobic lagoon</v>
      </c>
      <c r="X192" s="25" t="e">
        <f t="shared" si="9"/>
        <v>#VALUE!</v>
      </c>
      <c r="Y192" s="25" t="e" cm="1">
        <f t="array" aca="1" ref="Y192" ca="1">MMS_PastureBeef_Methane_Equations.VEERG_4_2_1_1__2_MethaneProductionFromManure(X134,$I$155,$E$166,$X$172,$I$158)</f>
        <v>#N/A</v>
      </c>
      <c r="Z192" s="25" t="e" cm="1">
        <f t="array" aca="1" ref="Z192" ca="1">MMS_PastureBeef_Methane_Equations.VEERG_4_2_1_1__2_MethaneProductionFromManure(Y134,$I$155,$E$166,$X$172,$I$158)</f>
        <v>#N/A</v>
      </c>
      <c r="AA192" s="25" t="e" cm="1">
        <f t="array" aca="1" ref="AA192" ca="1">MMS_PastureBeef_Methane_Equations.VEERG_4_2_1_1__2_MethaneProductionFromManure(Z134,$I$155,$E$166,$X$172,$I$158)</f>
        <v>#N/A</v>
      </c>
      <c r="AB192" s="25" t="e" cm="1">
        <f t="array" aca="1" ref="AB192" ca="1">MMS_PastureBeef_Methane_Equations.VEERG_4_2_1_1__2_MethaneProductionFromManure(AA134,$I$155,$E$166,$X$172,$I$158)</f>
        <v>#N/A</v>
      </c>
      <c r="AC192" s="25" t="e" cm="1">
        <f t="array" aca="1" ref="AC192" ca="1">MMS_PastureBeef_Methane_Equations.VEERG_4_2_1_1__2_MethaneProductionFromManure(AB134,$I$155,$E$166,$X$172,$I$158)</f>
        <v>#N/A</v>
      </c>
      <c r="AD192" s="25" t="e" cm="1">
        <f t="array" aca="1" ref="AD192" ca="1">MMS_PastureBeef_Methane_Equations.VEERG_4_2_1_1__2_MethaneProductionFromManure(AC134,$I$155,$E$166,$X$172,$I$158)</f>
        <v>#N/A</v>
      </c>
      <c r="AE192" s="25" t="e" cm="1">
        <f t="array" aca="1" ref="AE192" ca="1">MMS_PastureBeef_Methane_Equations.VEERG_4_2_1_1__2_MethaneProductionFromManure(AD134,$I$155,$E$166,$X$172,$I$158)</f>
        <v>#N/A</v>
      </c>
      <c r="AF192" s="25" t="e" cm="1">
        <f t="array" aca="1" ref="AF192" ca="1">MMS_PastureBeef_Methane_Equations.VEERG_4_2_1_1__2_MethaneProductionFromManure(AE134,$I$155,$E$166,$X$172,$I$158)</f>
        <v>#N/A</v>
      </c>
      <c r="AG192" s="25" t="e" cm="1">
        <f t="array" aca="1" ref="AG192" ca="1">MMS_PastureBeef_Methane_Equations.VEERG_4_2_1_1__2_MethaneProductionFromManure(AF134,$I$155,$E$166,$X$172,$I$158)</f>
        <v>#N/A</v>
      </c>
      <c r="AH192" s="25" t="e" cm="1">
        <f t="array" aca="1" ref="AH192" ca="1">MMS_PastureBeef_Methane_Equations.VEERG_4_2_1_1__2_MethaneProductionFromManure(AG134,$I$155,$E$166,$X$172,$I$158)</f>
        <v>#N/A</v>
      </c>
      <c r="AI192" s="26" t="str">
        <f t="shared" si="8"/>
        <v>kg CH4/head/day</v>
      </c>
      <c r="AJ192" s="26"/>
    </row>
    <row r="193" spans="3:37" ht="20.100000000000001" customHeight="1" x14ac:dyDescent="0.25">
      <c r="W193" s="25" t="str">
        <f>'Input - Pasture Beef'!$D$181</f>
        <v>Anaerobic lagoon</v>
      </c>
      <c r="X193" s="25" t="e">
        <f t="shared" si="9"/>
        <v>#VALUE!</v>
      </c>
      <c r="Y193" s="25" t="e" cm="1">
        <f t="array" aca="1" ref="Y193" ca="1">MMS_PastureBeef_Methane_Equations.VEERG_4_2_1_1__2_MethaneProductionFromManure(X135,$I$155,$E$166,$X$172,$I$158)</f>
        <v>#N/A</v>
      </c>
      <c r="Z193" s="25" t="e" cm="1">
        <f t="array" aca="1" ref="Z193" ca="1">MMS_PastureBeef_Methane_Equations.VEERG_4_2_1_1__2_MethaneProductionFromManure(Y135,$I$155,$E$166,$X$172,$I$158)</f>
        <v>#N/A</v>
      </c>
      <c r="AA193" s="25" t="e" cm="1">
        <f t="array" aca="1" ref="AA193" ca="1">MMS_PastureBeef_Methane_Equations.VEERG_4_2_1_1__2_MethaneProductionFromManure(Z135,$I$155,$E$166,$X$172,$I$158)</f>
        <v>#N/A</v>
      </c>
      <c r="AB193" s="25" t="e" cm="1">
        <f t="array" aca="1" ref="AB193" ca="1">MMS_PastureBeef_Methane_Equations.VEERG_4_2_1_1__2_MethaneProductionFromManure(AA135,$I$155,$E$166,$X$172,$I$158)</f>
        <v>#N/A</v>
      </c>
      <c r="AC193" s="25" t="e" cm="1">
        <f t="array" aca="1" ref="AC193" ca="1">MMS_PastureBeef_Methane_Equations.VEERG_4_2_1_1__2_MethaneProductionFromManure(AB135,$I$155,$E$166,$X$172,$I$158)</f>
        <v>#N/A</v>
      </c>
      <c r="AD193" s="25" t="e" cm="1">
        <f t="array" aca="1" ref="AD193" ca="1">MMS_PastureBeef_Methane_Equations.VEERG_4_2_1_1__2_MethaneProductionFromManure(AC135,$I$155,$E$166,$X$172,$I$158)</f>
        <v>#N/A</v>
      </c>
      <c r="AE193" s="25" t="e" cm="1">
        <f t="array" aca="1" ref="AE193" ca="1">MMS_PastureBeef_Methane_Equations.VEERG_4_2_1_1__2_MethaneProductionFromManure(AD135,$I$155,$E$166,$X$172,$I$158)</f>
        <v>#N/A</v>
      </c>
      <c r="AF193" s="25" t="e" cm="1">
        <f t="array" aca="1" ref="AF193" ca="1">MMS_PastureBeef_Methane_Equations.VEERG_4_2_1_1__2_MethaneProductionFromManure(AE135,$I$155,$E$166,$X$172,$I$158)</f>
        <v>#N/A</v>
      </c>
      <c r="AG193" s="25" t="e" cm="1">
        <f t="array" aca="1" ref="AG193" ca="1">MMS_PastureBeef_Methane_Equations.VEERG_4_2_1_1__2_MethaneProductionFromManure(AF135,$I$155,$E$166,$X$172,$I$158)</f>
        <v>#N/A</v>
      </c>
      <c r="AH193" s="25" t="e" cm="1">
        <f t="array" aca="1" ref="AH193" ca="1">MMS_PastureBeef_Methane_Equations.VEERG_4_2_1_1__2_MethaneProductionFromManure(AG135,$I$155,$E$166,$X$172,$I$158)</f>
        <v>#N/A</v>
      </c>
      <c r="AI193" s="26" t="str">
        <f t="shared" si="8"/>
        <v>kg CH4/head/day</v>
      </c>
      <c r="AJ193" s="26"/>
    </row>
    <row r="194" spans="3:37" ht="20.100000000000001" customHeight="1" x14ac:dyDescent="0.25">
      <c r="W194" s="25" t="str">
        <f>'Input - Pasture Beef'!$D$181</f>
        <v>Anaerobic lagoon</v>
      </c>
      <c r="X194" s="25" t="e">
        <f t="shared" si="9"/>
        <v>#VALUE!</v>
      </c>
      <c r="Y194" s="25" t="e" cm="1">
        <f t="array" aca="1" ref="Y194" ca="1">MMS_PastureBeef_Methane_Equations.VEERG_4_2_1_1__2_MethaneProductionFromManure(X136,$I$155,$E$166,$X$172,$I$158)</f>
        <v>#N/A</v>
      </c>
      <c r="Z194" s="25" t="e" cm="1">
        <f t="array" aca="1" ref="Z194" ca="1">MMS_PastureBeef_Methane_Equations.VEERG_4_2_1_1__2_MethaneProductionFromManure(Y136,$I$155,$E$166,$X$172,$I$158)</f>
        <v>#N/A</v>
      </c>
      <c r="AA194" s="25" t="e" cm="1">
        <f t="array" aca="1" ref="AA194" ca="1">MMS_PastureBeef_Methane_Equations.VEERG_4_2_1_1__2_MethaneProductionFromManure(Z136,$I$155,$E$166,$X$172,$I$158)</f>
        <v>#N/A</v>
      </c>
      <c r="AB194" s="25" t="e" cm="1">
        <f t="array" aca="1" ref="AB194" ca="1">MMS_PastureBeef_Methane_Equations.VEERG_4_2_1_1__2_MethaneProductionFromManure(AA136,$I$155,$E$166,$X$172,$I$158)</f>
        <v>#N/A</v>
      </c>
      <c r="AC194" s="25" t="e" cm="1">
        <f t="array" aca="1" ref="AC194" ca="1">MMS_PastureBeef_Methane_Equations.VEERG_4_2_1_1__2_MethaneProductionFromManure(AB136,$I$155,$E$166,$X$172,$I$158)</f>
        <v>#N/A</v>
      </c>
      <c r="AD194" s="25" t="e" cm="1">
        <f t="array" aca="1" ref="AD194" ca="1">MMS_PastureBeef_Methane_Equations.VEERG_4_2_1_1__2_MethaneProductionFromManure(AC136,$I$155,$E$166,$X$172,$I$158)</f>
        <v>#N/A</v>
      </c>
      <c r="AE194" s="25" t="e" cm="1">
        <f t="array" aca="1" ref="AE194" ca="1">MMS_PastureBeef_Methane_Equations.VEERG_4_2_1_1__2_MethaneProductionFromManure(AD136,$I$155,$E$166,$X$172,$I$158)</f>
        <v>#N/A</v>
      </c>
      <c r="AF194" s="25" t="e" cm="1">
        <f t="array" aca="1" ref="AF194" ca="1">MMS_PastureBeef_Methane_Equations.VEERG_4_2_1_1__2_MethaneProductionFromManure(AE136,$I$155,$E$166,$X$172,$I$158)</f>
        <v>#N/A</v>
      </c>
      <c r="AG194" s="25" t="e" cm="1">
        <f t="array" aca="1" ref="AG194" ca="1">MMS_PastureBeef_Methane_Equations.VEERG_4_2_1_1__2_MethaneProductionFromManure(AF136,$I$155,$E$166,$X$172,$I$158)</f>
        <v>#N/A</v>
      </c>
      <c r="AH194" s="25" t="e" cm="1">
        <f t="array" aca="1" ref="AH194" ca="1">MMS_PastureBeef_Methane_Equations.VEERG_4_2_1_1__2_MethaneProductionFromManure(AG136,$I$155,$E$166,$X$172,$I$158)</f>
        <v>#N/A</v>
      </c>
      <c r="AI194" s="26" t="str">
        <f t="shared" si="8"/>
        <v>kg CH4/head/day</v>
      </c>
      <c r="AJ194" s="26"/>
    </row>
    <row r="195" spans="3:37" ht="20.100000000000001" customHeight="1" x14ac:dyDescent="0.25">
      <c r="W195" s="25" t="str">
        <f>'Input - Pasture Beef'!$D$181</f>
        <v>Anaerobic lagoon</v>
      </c>
      <c r="X195" s="25" t="e">
        <f t="shared" si="9"/>
        <v>#VALUE!</v>
      </c>
      <c r="Y195" s="25" t="e" cm="1">
        <f t="array" aca="1" ref="Y195" ca="1">MMS_PastureBeef_Methane_Equations.VEERG_4_2_1_1__2_MethaneProductionFromManure(X137,$I$155,$E$166,$X$172,$I$158)</f>
        <v>#N/A</v>
      </c>
      <c r="Z195" s="25" t="e" cm="1">
        <f t="array" aca="1" ref="Z195" ca="1">MMS_PastureBeef_Methane_Equations.VEERG_4_2_1_1__2_MethaneProductionFromManure(Y137,$I$155,$E$166,$X$172,$I$158)</f>
        <v>#N/A</v>
      </c>
      <c r="AA195" s="25" t="e" cm="1">
        <f t="array" aca="1" ref="AA195" ca="1">MMS_PastureBeef_Methane_Equations.VEERG_4_2_1_1__2_MethaneProductionFromManure(Z137,$I$155,$E$166,$X$172,$I$158)</f>
        <v>#N/A</v>
      </c>
      <c r="AB195" s="25" t="e" cm="1">
        <f t="array" aca="1" ref="AB195" ca="1">MMS_PastureBeef_Methane_Equations.VEERG_4_2_1_1__2_MethaneProductionFromManure(AA137,$I$155,$E$166,$X$172,$I$158)</f>
        <v>#N/A</v>
      </c>
      <c r="AC195" s="25" t="e" cm="1">
        <f t="array" aca="1" ref="AC195" ca="1">MMS_PastureBeef_Methane_Equations.VEERG_4_2_1_1__2_MethaneProductionFromManure(AB137,$I$155,$E$166,$X$172,$I$158)</f>
        <v>#N/A</v>
      </c>
      <c r="AD195" s="25" t="e" cm="1">
        <f t="array" aca="1" ref="AD195" ca="1">MMS_PastureBeef_Methane_Equations.VEERG_4_2_1_1__2_MethaneProductionFromManure(AC137,$I$155,$E$166,$X$172,$I$158)</f>
        <v>#N/A</v>
      </c>
      <c r="AE195" s="25" t="e" cm="1">
        <f t="array" aca="1" ref="AE195" ca="1">MMS_PastureBeef_Methane_Equations.VEERG_4_2_1_1__2_MethaneProductionFromManure(AD137,$I$155,$E$166,$X$172,$I$158)</f>
        <v>#N/A</v>
      </c>
      <c r="AF195" s="25" t="e" cm="1">
        <f t="array" aca="1" ref="AF195" ca="1">MMS_PastureBeef_Methane_Equations.VEERG_4_2_1_1__2_MethaneProductionFromManure(AE137,$I$155,$E$166,$X$172,$I$158)</f>
        <v>#N/A</v>
      </c>
      <c r="AG195" s="25" t="e" cm="1">
        <f t="array" aca="1" ref="AG195" ca="1">MMS_PastureBeef_Methane_Equations.VEERG_4_2_1_1__2_MethaneProductionFromManure(AF137,$I$155,$E$166,$X$172,$I$158)</f>
        <v>#N/A</v>
      </c>
      <c r="AH195" s="25" t="e" cm="1">
        <f t="array" aca="1" ref="AH195" ca="1">MMS_PastureBeef_Methane_Equations.VEERG_4_2_1_1__2_MethaneProductionFromManure(AG137,$I$155,$E$166,$X$172,$I$158)</f>
        <v>#N/A</v>
      </c>
      <c r="AI195" s="26" t="str">
        <f t="shared" si="8"/>
        <v>kg CH4/head/day</v>
      </c>
      <c r="AJ195" s="26"/>
    </row>
    <row r="196" spans="3:37" ht="20.100000000000001" customHeight="1" x14ac:dyDescent="0.25">
      <c r="W196" s="25" t="str">
        <f>'Input - Pasture Beef'!$D$181</f>
        <v>Anaerobic lagoon</v>
      </c>
      <c r="X196" s="25" t="e">
        <f t="shared" si="9"/>
        <v>#VALUE!</v>
      </c>
      <c r="Y196" s="25" t="e" cm="1">
        <f t="array" aca="1" ref="Y196" ca="1">MMS_PastureBeef_Methane_Equations.VEERG_4_2_1_1__2_MethaneProductionFromManure(X138,$I$155,$E$166,$X$172,$I$158)</f>
        <v>#N/A</v>
      </c>
      <c r="Z196" s="25" t="e" cm="1">
        <f t="array" aca="1" ref="Z196" ca="1">MMS_PastureBeef_Methane_Equations.VEERG_4_2_1_1__2_MethaneProductionFromManure(Y138,$I$155,$E$166,$X$172,$I$158)</f>
        <v>#N/A</v>
      </c>
      <c r="AA196" s="25" t="e" cm="1">
        <f t="array" aca="1" ref="AA196" ca="1">MMS_PastureBeef_Methane_Equations.VEERG_4_2_1_1__2_MethaneProductionFromManure(Z138,$I$155,$E$166,$X$172,$I$158)</f>
        <v>#N/A</v>
      </c>
      <c r="AB196" s="25" t="e" cm="1">
        <f t="array" aca="1" ref="AB196" ca="1">MMS_PastureBeef_Methane_Equations.VEERG_4_2_1_1__2_MethaneProductionFromManure(AA138,$I$155,$E$166,$X$172,$I$158)</f>
        <v>#N/A</v>
      </c>
      <c r="AC196" s="25" t="e" cm="1">
        <f t="array" aca="1" ref="AC196" ca="1">MMS_PastureBeef_Methane_Equations.VEERG_4_2_1_1__2_MethaneProductionFromManure(AB138,$I$155,$E$166,$X$172,$I$158)</f>
        <v>#N/A</v>
      </c>
      <c r="AD196" s="25" t="e" cm="1">
        <f t="array" aca="1" ref="AD196" ca="1">MMS_PastureBeef_Methane_Equations.VEERG_4_2_1_1__2_MethaneProductionFromManure(AC138,$I$155,$E$166,$X$172,$I$158)</f>
        <v>#N/A</v>
      </c>
      <c r="AE196" s="25" t="e" cm="1">
        <f t="array" aca="1" ref="AE196" ca="1">MMS_PastureBeef_Methane_Equations.VEERG_4_2_1_1__2_MethaneProductionFromManure(AD138,$I$155,$E$166,$X$172,$I$158)</f>
        <v>#N/A</v>
      </c>
      <c r="AF196" s="25" t="e" cm="1">
        <f t="array" aca="1" ref="AF196" ca="1">MMS_PastureBeef_Methane_Equations.VEERG_4_2_1_1__2_MethaneProductionFromManure(AE138,$I$155,$E$166,$X$172,$I$158)</f>
        <v>#N/A</v>
      </c>
      <c r="AG196" s="25" t="e" cm="1">
        <f t="array" aca="1" ref="AG196" ca="1">MMS_PastureBeef_Methane_Equations.VEERG_4_2_1_1__2_MethaneProductionFromManure(AF138,$I$155,$E$166,$X$172,$I$158)</f>
        <v>#N/A</v>
      </c>
      <c r="AH196" s="25" t="e" cm="1">
        <f t="array" aca="1" ref="AH196" ca="1">MMS_PastureBeef_Methane_Equations.VEERG_4_2_1_1__2_MethaneProductionFromManure(AG138,$I$155,$E$166,$X$172,$I$158)</f>
        <v>#N/A</v>
      </c>
      <c r="AI196" s="26" t="str">
        <f t="shared" si="8"/>
        <v>kg CH4/head/day</v>
      </c>
      <c r="AJ196" s="26"/>
    </row>
    <row r="197" spans="3:37" ht="20.100000000000001" customHeight="1" x14ac:dyDescent="0.25">
      <c r="W197" s="25" t="str">
        <f>'Input - Pasture Beef'!$D$181</f>
        <v>Anaerobic lagoon</v>
      </c>
      <c r="X197" s="25" t="e">
        <f t="shared" si="9"/>
        <v>#VALUE!</v>
      </c>
      <c r="Y197" s="25" t="e" cm="1">
        <f t="array" aca="1" ref="Y197" ca="1">MMS_PastureBeef_Methane_Equations.VEERG_4_2_1_1__2_MethaneProductionFromManure(X139,$I$155,$E$166,$X$172,$I$158)</f>
        <v>#N/A</v>
      </c>
      <c r="Z197" s="25" t="e" cm="1">
        <f t="array" aca="1" ref="Z197" ca="1">MMS_PastureBeef_Methane_Equations.VEERG_4_2_1_1__2_MethaneProductionFromManure(Y139,$I$155,$E$166,$X$172,$I$158)</f>
        <v>#N/A</v>
      </c>
      <c r="AA197" s="25" t="e" cm="1">
        <f t="array" aca="1" ref="AA197" ca="1">MMS_PastureBeef_Methane_Equations.VEERG_4_2_1_1__2_MethaneProductionFromManure(Z139,$I$155,$E$166,$X$172,$I$158)</f>
        <v>#N/A</v>
      </c>
      <c r="AB197" s="25" t="e" cm="1">
        <f t="array" aca="1" ref="AB197" ca="1">MMS_PastureBeef_Methane_Equations.VEERG_4_2_1_1__2_MethaneProductionFromManure(AA139,$I$155,$E$166,$X$172,$I$158)</f>
        <v>#N/A</v>
      </c>
      <c r="AC197" s="25" t="e" cm="1">
        <f t="array" aca="1" ref="AC197" ca="1">MMS_PastureBeef_Methane_Equations.VEERG_4_2_1_1__2_MethaneProductionFromManure(AB139,$I$155,$E$166,$X$172,$I$158)</f>
        <v>#N/A</v>
      </c>
      <c r="AD197" s="25" t="e" cm="1">
        <f t="array" aca="1" ref="AD197" ca="1">MMS_PastureBeef_Methane_Equations.VEERG_4_2_1_1__2_MethaneProductionFromManure(AC139,$I$155,$E$166,$X$172,$I$158)</f>
        <v>#N/A</v>
      </c>
      <c r="AE197" s="25" t="e" cm="1">
        <f t="array" aca="1" ref="AE197" ca="1">MMS_PastureBeef_Methane_Equations.VEERG_4_2_1_1__2_MethaneProductionFromManure(AD139,$I$155,$E$166,$X$172,$I$158)</f>
        <v>#N/A</v>
      </c>
      <c r="AF197" s="25" t="e" cm="1">
        <f t="array" aca="1" ref="AF197" ca="1">MMS_PastureBeef_Methane_Equations.VEERG_4_2_1_1__2_MethaneProductionFromManure(AE139,$I$155,$E$166,$X$172,$I$158)</f>
        <v>#N/A</v>
      </c>
      <c r="AG197" s="25" t="e" cm="1">
        <f t="array" aca="1" ref="AG197" ca="1">MMS_PastureBeef_Methane_Equations.VEERG_4_2_1_1__2_MethaneProductionFromManure(AF139,$I$155,$E$166,$X$172,$I$158)</f>
        <v>#N/A</v>
      </c>
      <c r="AH197" s="25" t="e" cm="1">
        <f t="array" aca="1" ref="AH197" ca="1">MMS_PastureBeef_Methane_Equations.VEERG_4_2_1_1__2_MethaneProductionFromManure(AG139,$I$155,$E$166,$X$172,$I$158)</f>
        <v>#N/A</v>
      </c>
      <c r="AI197" s="26" t="str">
        <f t="shared" si="8"/>
        <v>kg CH4/head/day</v>
      </c>
      <c r="AJ197" s="26"/>
    </row>
    <row r="198" spans="3:37" ht="20.100000000000001" customHeight="1" x14ac:dyDescent="0.25">
      <c r="W198" s="25" t="str">
        <f>'Input - Pasture Beef'!$D$181</f>
        <v>Anaerobic lagoon</v>
      </c>
      <c r="X198" s="25" t="e">
        <f t="shared" si="9"/>
        <v>#VALUE!</v>
      </c>
      <c r="Y198" s="25" t="e" cm="1">
        <f t="array" aca="1" ref="Y198" ca="1">MMS_PastureBeef_Methane_Equations.VEERG_4_2_1_1__2_MethaneProductionFromManure(X140,$I$155,$E$166,$X$172,$I$158)</f>
        <v>#N/A</v>
      </c>
      <c r="Z198" s="25" t="e" cm="1">
        <f t="array" aca="1" ref="Z198" ca="1">MMS_PastureBeef_Methane_Equations.VEERG_4_2_1_1__2_MethaneProductionFromManure(Y140,$I$155,$E$166,$X$172,$I$158)</f>
        <v>#N/A</v>
      </c>
      <c r="AA198" s="25" t="e" cm="1">
        <f t="array" aca="1" ref="AA198" ca="1">MMS_PastureBeef_Methane_Equations.VEERG_4_2_1_1__2_MethaneProductionFromManure(Z140,$I$155,$E$166,$X$172,$I$158)</f>
        <v>#N/A</v>
      </c>
      <c r="AB198" s="25" t="e" cm="1">
        <f t="array" aca="1" ref="AB198" ca="1">MMS_PastureBeef_Methane_Equations.VEERG_4_2_1_1__2_MethaneProductionFromManure(AA140,$I$155,$E$166,$X$172,$I$158)</f>
        <v>#N/A</v>
      </c>
      <c r="AC198" s="25" t="e" cm="1">
        <f t="array" aca="1" ref="AC198" ca="1">MMS_PastureBeef_Methane_Equations.VEERG_4_2_1_1__2_MethaneProductionFromManure(AB140,$I$155,$E$166,$X$172,$I$158)</f>
        <v>#N/A</v>
      </c>
      <c r="AD198" s="25" t="e" cm="1">
        <f t="array" aca="1" ref="AD198" ca="1">MMS_PastureBeef_Methane_Equations.VEERG_4_2_1_1__2_MethaneProductionFromManure(AC140,$I$155,$E$166,$X$172,$I$158)</f>
        <v>#N/A</v>
      </c>
      <c r="AE198" s="25" t="e" cm="1">
        <f t="array" aca="1" ref="AE198" ca="1">MMS_PastureBeef_Methane_Equations.VEERG_4_2_1_1__2_MethaneProductionFromManure(AD140,$I$155,$E$166,$X$172,$I$158)</f>
        <v>#N/A</v>
      </c>
      <c r="AF198" s="25" t="e" cm="1">
        <f t="array" aca="1" ref="AF198" ca="1">MMS_PastureBeef_Methane_Equations.VEERG_4_2_1_1__2_MethaneProductionFromManure(AE140,$I$155,$E$166,$X$172,$I$158)</f>
        <v>#N/A</v>
      </c>
      <c r="AG198" s="25" t="e" cm="1">
        <f t="array" aca="1" ref="AG198" ca="1">MMS_PastureBeef_Methane_Equations.VEERG_4_2_1_1__2_MethaneProductionFromManure(AF140,$I$155,$E$166,$X$172,$I$158)</f>
        <v>#N/A</v>
      </c>
      <c r="AH198" s="25" t="e" cm="1">
        <f t="array" aca="1" ref="AH198" ca="1">MMS_PastureBeef_Methane_Equations.VEERG_4_2_1_1__2_MethaneProductionFromManure(AG140,$I$155,$E$166,$X$172,$I$158)</f>
        <v>#N/A</v>
      </c>
      <c r="AI198" s="26" t="str">
        <f t="shared" si="8"/>
        <v>kg CH4/head/day</v>
      </c>
      <c r="AJ198" s="26"/>
    </row>
    <row r="199" spans="3:37" ht="20.100000000000001" customHeight="1" x14ac:dyDescent="0.25">
      <c r="W199" s="25" t="str">
        <f>'Input - Pasture Beef'!$D$181</f>
        <v>Anaerobic lagoon</v>
      </c>
      <c r="X199" s="25" t="e">
        <f t="shared" si="9"/>
        <v>#VALUE!</v>
      </c>
      <c r="Y199" s="25" t="e" cm="1">
        <f t="array" aca="1" ref="Y199" ca="1">MMS_PastureBeef_Methane_Equations.VEERG_4_2_1_1__2_MethaneProductionFromManure(X141,$I$155,$E$166,$X$172,$I$158)</f>
        <v>#N/A</v>
      </c>
      <c r="Z199" s="25" t="e" cm="1">
        <f t="array" aca="1" ref="Z199" ca="1">MMS_PastureBeef_Methane_Equations.VEERG_4_2_1_1__2_MethaneProductionFromManure(Y141,$I$155,$E$166,$X$172,$I$158)</f>
        <v>#N/A</v>
      </c>
      <c r="AA199" s="25" t="e" cm="1">
        <f t="array" aca="1" ref="AA199" ca="1">MMS_PastureBeef_Methane_Equations.VEERG_4_2_1_1__2_MethaneProductionFromManure(Z141,$I$155,$E$166,$X$172,$I$158)</f>
        <v>#N/A</v>
      </c>
      <c r="AB199" s="25" t="e" cm="1">
        <f t="array" aca="1" ref="AB199" ca="1">MMS_PastureBeef_Methane_Equations.VEERG_4_2_1_1__2_MethaneProductionFromManure(AA141,$I$155,$E$166,$X$172,$I$158)</f>
        <v>#N/A</v>
      </c>
      <c r="AC199" s="25" t="e" cm="1">
        <f t="array" aca="1" ref="AC199" ca="1">MMS_PastureBeef_Methane_Equations.VEERG_4_2_1_1__2_MethaneProductionFromManure(AB141,$I$155,$E$166,$X$172,$I$158)</f>
        <v>#N/A</v>
      </c>
      <c r="AD199" s="25" t="e" cm="1">
        <f t="array" aca="1" ref="AD199" ca="1">MMS_PastureBeef_Methane_Equations.VEERG_4_2_1_1__2_MethaneProductionFromManure(AC141,$I$155,$E$166,$X$172,$I$158)</f>
        <v>#N/A</v>
      </c>
      <c r="AE199" s="25" t="e" cm="1">
        <f t="array" aca="1" ref="AE199" ca="1">MMS_PastureBeef_Methane_Equations.VEERG_4_2_1_1__2_MethaneProductionFromManure(AD141,$I$155,$E$166,$X$172,$I$158)</f>
        <v>#N/A</v>
      </c>
      <c r="AF199" s="25" t="e" cm="1">
        <f t="array" aca="1" ref="AF199" ca="1">MMS_PastureBeef_Methane_Equations.VEERG_4_2_1_1__2_MethaneProductionFromManure(AE141,$I$155,$E$166,$X$172,$I$158)</f>
        <v>#N/A</v>
      </c>
      <c r="AG199" s="25" t="e" cm="1">
        <f t="array" aca="1" ref="AG199" ca="1">MMS_PastureBeef_Methane_Equations.VEERG_4_2_1_1__2_MethaneProductionFromManure(AF141,$I$155,$E$166,$X$172,$I$158)</f>
        <v>#N/A</v>
      </c>
      <c r="AH199" s="25" t="e" cm="1">
        <f t="array" aca="1" ref="AH199" ca="1">MMS_PastureBeef_Methane_Equations.VEERG_4_2_1_1__2_MethaneProductionFromManure(AG141,$I$155,$E$166,$X$172,$I$158)</f>
        <v>#N/A</v>
      </c>
      <c r="AI199" s="26" t="str">
        <f t="shared" si="8"/>
        <v>kg CH4/head/day</v>
      </c>
      <c r="AJ199" s="26"/>
    </row>
    <row r="200" spans="3:37" ht="20.100000000000001" customHeight="1" x14ac:dyDescent="0.25">
      <c r="W200" s="25" t="str">
        <f>'Input - Pasture Beef'!$D$181</f>
        <v>Anaerobic lagoon</v>
      </c>
      <c r="X200" s="25" t="e">
        <f t="shared" si="9"/>
        <v>#VALUE!</v>
      </c>
      <c r="Y200" s="25" t="e" cm="1">
        <f t="array" aca="1" ref="Y200" ca="1">MMS_PastureBeef_Methane_Equations.VEERG_4_2_1_1__2_MethaneProductionFromManure(X142,$I$155,$E$166,$X$172,$I$158)</f>
        <v>#N/A</v>
      </c>
      <c r="Z200" s="25" t="e" cm="1">
        <f t="array" aca="1" ref="Z200" ca="1">MMS_PastureBeef_Methane_Equations.VEERG_4_2_1_1__2_MethaneProductionFromManure(Y142,$I$155,$E$166,$X$172,$I$158)</f>
        <v>#N/A</v>
      </c>
      <c r="AA200" s="25" t="e" cm="1">
        <f t="array" aca="1" ref="AA200" ca="1">MMS_PastureBeef_Methane_Equations.VEERG_4_2_1_1__2_MethaneProductionFromManure(Z142,$I$155,$E$166,$X$172,$I$158)</f>
        <v>#N/A</v>
      </c>
      <c r="AB200" s="25" t="e" cm="1">
        <f t="array" aca="1" ref="AB200" ca="1">MMS_PastureBeef_Methane_Equations.VEERG_4_2_1_1__2_MethaneProductionFromManure(AA142,$I$155,$E$166,$X$172,$I$158)</f>
        <v>#N/A</v>
      </c>
      <c r="AC200" s="25" t="e" cm="1">
        <f t="array" aca="1" ref="AC200" ca="1">MMS_PastureBeef_Methane_Equations.VEERG_4_2_1_1__2_MethaneProductionFromManure(AB142,$I$155,$E$166,$X$172,$I$158)</f>
        <v>#N/A</v>
      </c>
      <c r="AD200" s="25" t="e" cm="1">
        <f t="array" aca="1" ref="AD200" ca="1">MMS_PastureBeef_Methane_Equations.VEERG_4_2_1_1__2_MethaneProductionFromManure(AC142,$I$155,$E$166,$X$172,$I$158)</f>
        <v>#N/A</v>
      </c>
      <c r="AE200" s="25" t="e" cm="1">
        <f t="array" aca="1" ref="AE200" ca="1">MMS_PastureBeef_Methane_Equations.VEERG_4_2_1_1__2_MethaneProductionFromManure(AD142,$I$155,$E$166,$X$172,$I$158)</f>
        <v>#N/A</v>
      </c>
      <c r="AF200" s="25" t="e" cm="1">
        <f t="array" aca="1" ref="AF200" ca="1">MMS_PastureBeef_Methane_Equations.VEERG_4_2_1_1__2_MethaneProductionFromManure(AE142,$I$155,$E$166,$X$172,$I$158)</f>
        <v>#N/A</v>
      </c>
      <c r="AG200" s="25" t="e" cm="1">
        <f t="array" aca="1" ref="AG200" ca="1">MMS_PastureBeef_Methane_Equations.VEERG_4_2_1_1__2_MethaneProductionFromManure(AF142,$I$155,$E$166,$X$172,$I$158)</f>
        <v>#N/A</v>
      </c>
      <c r="AH200" s="25" t="e" cm="1">
        <f t="array" aca="1" ref="AH200" ca="1">MMS_PastureBeef_Methane_Equations.VEERG_4_2_1_1__2_MethaneProductionFromManure(AG142,$I$155,$E$166,$X$172,$I$158)</f>
        <v>#N/A</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TEXT(X_Cell_Site_StartDate,"mmmm")</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e">
        <f>TEXT(EDATE(X_Cell_Site_StartDate,1), "mmmm")</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e">
        <f>TEXT(EDATE(X_Cell_Site_StartDate,2), "mmmm")</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e">
        <f>TEXT(EDATE(X_Cell_Site_StartDate,3), "mmmm")</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e">
        <f>TEXT(EDATE(X_Cell_Site_StartDate,4), "mmmm")</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e">
        <f>TEXT(EDATE(X_Cell_Site_StartDate,5), "mmmm")</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e">
        <f>TEXT(EDATE(X_Cell_Site_StartDate,6), "mmmm")</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e">
        <f>TEXT(EDATE(X_Cell_Site_StartDate,7), "mmmm")</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e">
        <f>TEXT(EDATE(X_Cell_Site_StartDate,8), "mmmm")</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e">
        <f>TEXT(EDATE(X_Cell_Site_StartDate,9), "mmmm")</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e">
        <f>TEXT(EDATE(X_Cell_Site_StartDate,10), "mmmm")</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e">
        <f>TEXT(EDATE(X_Cell_Site_StartDate,11), "mmmm")</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t="e" cm="1">
        <f t="array" aca="1" ref="F235" ca="1">MMS_PastureBeef_Methane_Equations.VEERG_4_2_1_1__1_TotalAnnualMethaneProductionFromManureManagement(E219,F177,E227)</f>
        <v>#N/A</v>
      </c>
      <c r="G235" s="25" t="e" cm="1">
        <f t="array" aca="1" ref="G235" ca="1">MMS_PastureBeef_Methane_Equations.VEERG_4_2_1_1__1_TotalAnnualMethaneProductionFromManureManagement(F219,G177,F227)</f>
        <v>#N/A</v>
      </c>
      <c r="H235" s="25" t="e" cm="1">
        <f t="array" aca="1" ref="H235" ca="1">MMS_PastureBeef_Methane_Equations.VEERG_4_2_1_1__1_TotalAnnualMethaneProductionFromManureManagement(G219,H177,G227)</f>
        <v>#N/A</v>
      </c>
      <c r="I235" s="25" t="e" cm="1">
        <f t="array" aca="1" ref="I235" ca="1">MMS_PastureBeef_Methane_Equations.VEERG_4_2_1_1__1_TotalAnnualMethaneProductionFromManureManagement(H219,I177,H227)</f>
        <v>#N/A</v>
      </c>
      <c r="J235" s="25" t="e" cm="1">
        <f t="array" aca="1" ref="J235" ca="1">MMS_PastureBeef_Methane_Equations.VEERG_4_2_1_1__1_TotalAnnualMethaneProductionFromManureManagement(I219,J177,I227)</f>
        <v>#N/A</v>
      </c>
      <c r="K235" s="25" t="e" cm="1">
        <f t="array" aca="1" ref="K235" ca="1">MMS_PastureBeef_Methane_Equations.VEERG_4_2_1_1__1_TotalAnnualMethaneProductionFromManureManagement(J219,K177,J227)</f>
        <v>#N/A</v>
      </c>
      <c r="L235" s="25" t="e" cm="1">
        <f t="array" aca="1" ref="L235" ca="1">MMS_PastureBeef_Methane_Equations.VEERG_4_2_1_1__1_TotalAnnualMethaneProductionFromManureManagement(K219,L177,K227)</f>
        <v>#N/A</v>
      </c>
      <c r="M235" s="25" t="e" cm="1">
        <f t="array" aca="1" ref="M235" ca="1">MMS_PastureBeef_Methane_Equations.VEERG_4_2_1_1__1_TotalAnnualMethaneProductionFromManureManagement(L219,M177,L227)</f>
        <v>#N/A</v>
      </c>
      <c r="N235" s="25" t="e" cm="1">
        <f t="array" aca="1" ref="N235" ca="1">MMS_PastureBeef_Methane_Equations.VEERG_4_2_1_1__1_TotalAnnualMethaneProductionFromManureManagement(M219,N177,M227)</f>
        <v>#N/A</v>
      </c>
      <c r="O235" s="25" t="e" cm="1">
        <f t="array" aca="1" ref="O235" ca="1">MMS_PastureBeef_Methane_Equations.VEERG_4_2_1_1__1_TotalAnnualMethaneProductionFromManureManagement(N219,O177,N227)</f>
        <v>#N/A</v>
      </c>
      <c r="P235" s="26" t="str">
        <f>$E$210</f>
        <v>t CH4</v>
      </c>
      <c r="Q235" s="26"/>
      <c r="R235" s="26"/>
      <c r="S235" s="26"/>
      <c r="W235" s="25" t="str">
        <f>TEXT(X_Cell_Site_StartDate,"mmmm")</f>
        <v>NO - Not in leaching zone</v>
      </c>
      <c r="X235" s="25" t="e" cm="1">
        <f t="array" aca="1" ref="X235:AG246" ca="1">OFFSET(X_Table_PastureBeef_Duration_Method2, 1,1, 12,10)</f>
        <v>#VALUE!</v>
      </c>
      <c r="Y235" s="25" t="e">
        <f ca="1"/>
        <v>#VALUE!</v>
      </c>
      <c r="Z235" s="25" t="e">
        <f ca="1"/>
        <v>#VALUE!</v>
      </c>
      <c r="AA235" s="25" t="e">
        <f ca="1"/>
        <v>#VALUE!</v>
      </c>
      <c r="AB235" s="25" t="e">
        <f ca="1"/>
        <v>#VALUE!</v>
      </c>
      <c r="AC235" s="25" t="e">
        <f ca="1"/>
        <v>#VALUE!</v>
      </c>
      <c r="AD235" s="25" t="e">
        <f ca="1"/>
        <v>#VALUE!</v>
      </c>
      <c r="AE235" s="25" t="e">
        <f ca="1"/>
        <v>#VALUE!</v>
      </c>
      <c r="AF235" s="25" t="e">
        <f ca="1"/>
        <v>#VALUE!</v>
      </c>
      <c r="AG235" s="25" t="e">
        <f ca="1"/>
        <v>#VALUE!</v>
      </c>
      <c r="AH235" s="26" t="s">
        <v>415</v>
      </c>
    </row>
    <row r="236" spans="4:34" ht="20.100000000000001" customHeight="1" x14ac:dyDescent="0.25">
      <c r="D236" s="25" t="str">
        <f>'Input - Pasture Beef'!$D$180</f>
        <v>Pasture range and paddock</v>
      </c>
      <c r="E236" s="25" t="s">
        <v>201</v>
      </c>
      <c r="F236" s="25" t="e" cm="1">
        <f t="array" aca="1" ref="F236" ca="1">MMS_PastureBeef_Methane_Equations.VEERG_4_2_1_1__1_TotalAnnualMethaneProductionFromManureManagement(E220,F178,E228)</f>
        <v>#N/A</v>
      </c>
      <c r="G236" s="25" t="e" cm="1">
        <f t="array" aca="1" ref="G236" ca="1">MMS_PastureBeef_Methane_Equations.VEERG_4_2_1_1__1_TotalAnnualMethaneProductionFromManureManagement(F220,G178,F228)</f>
        <v>#N/A</v>
      </c>
      <c r="H236" s="25" t="e" cm="1">
        <f t="array" aca="1" ref="H236" ca="1">MMS_PastureBeef_Methane_Equations.VEERG_4_2_1_1__1_TotalAnnualMethaneProductionFromManureManagement(G220,H178,G228)</f>
        <v>#N/A</v>
      </c>
      <c r="I236" s="25" t="e" cm="1">
        <f t="array" aca="1" ref="I236" ca="1">MMS_PastureBeef_Methane_Equations.VEERG_4_2_1_1__1_TotalAnnualMethaneProductionFromManureManagement(H220,I178,H228)</f>
        <v>#N/A</v>
      </c>
      <c r="J236" s="25" t="e" cm="1">
        <f t="array" aca="1" ref="J236" ca="1">MMS_PastureBeef_Methane_Equations.VEERG_4_2_1_1__1_TotalAnnualMethaneProductionFromManureManagement(I220,J178,I228)</f>
        <v>#N/A</v>
      </c>
      <c r="K236" s="25" t="e" cm="1">
        <f t="array" aca="1" ref="K236" ca="1">MMS_PastureBeef_Methane_Equations.VEERG_4_2_1_1__1_TotalAnnualMethaneProductionFromManureManagement(J220,K178,J228)</f>
        <v>#N/A</v>
      </c>
      <c r="L236" s="25" t="e" cm="1">
        <f t="array" aca="1" ref="L236" ca="1">MMS_PastureBeef_Methane_Equations.VEERG_4_2_1_1__1_TotalAnnualMethaneProductionFromManureManagement(K220,L178,K228)</f>
        <v>#N/A</v>
      </c>
      <c r="M236" s="25" t="e" cm="1">
        <f t="array" aca="1" ref="M236" ca="1">MMS_PastureBeef_Methane_Equations.VEERG_4_2_1_1__1_TotalAnnualMethaneProductionFromManureManagement(L220,M178,L228)</f>
        <v>#N/A</v>
      </c>
      <c r="N236" s="25" t="e" cm="1">
        <f t="array" aca="1" ref="N236" ca="1">MMS_PastureBeef_Methane_Equations.VEERG_4_2_1_1__1_TotalAnnualMethaneProductionFromManureManagement(M220,N178,M228)</f>
        <v>#N/A</v>
      </c>
      <c r="O236" s="25" t="e" cm="1">
        <f t="array" aca="1" ref="O236" ca="1">MMS_PastureBeef_Methane_Equations.VEERG_4_2_1_1__1_TotalAnnualMethaneProductionFromManureManagement(N220,O178,N228)</f>
        <v>#N/A</v>
      </c>
      <c r="P236" s="26" t="str">
        <f t="shared" ref="P236:P242" si="10">$E$210</f>
        <v>t CH4</v>
      </c>
      <c r="Q236" s="26"/>
      <c r="R236" s="26"/>
      <c r="S236" s="26"/>
      <c r="W236" s="25" t="e">
        <f>TEXT(EDATE(X_Cell_Site_StartDate,1), "mmmm")</f>
        <v>#VALUE!</v>
      </c>
      <c r="X236" s="25" t="e">
        <f ca="1"/>
        <v>#VALUE!</v>
      </c>
      <c r="Y236" s="25" t="e">
        <f ca="1"/>
        <v>#VALUE!</v>
      </c>
      <c r="Z236" s="25" t="e">
        <f ca="1"/>
        <v>#VALUE!</v>
      </c>
      <c r="AA236" s="25" t="e">
        <f ca="1"/>
        <v>#VALUE!</v>
      </c>
      <c r="AB236" s="25" t="e">
        <f ca="1"/>
        <v>#VALUE!</v>
      </c>
      <c r="AC236" s="25" t="e">
        <f ca="1"/>
        <v>#VALUE!</v>
      </c>
      <c r="AD236" s="25" t="e">
        <f ca="1"/>
        <v>#VALUE!</v>
      </c>
      <c r="AE236" s="25" t="e">
        <f ca="1"/>
        <v>#VALUE!</v>
      </c>
      <c r="AF236" s="25" t="e">
        <f ca="1"/>
        <v>#VALUE!</v>
      </c>
      <c r="AG236" s="25" t="e">
        <f ca="1"/>
        <v>#VALUE!</v>
      </c>
      <c r="AH236" s="26" t="s">
        <v>415</v>
      </c>
    </row>
    <row r="237" spans="4:34" ht="20.100000000000001" customHeight="1" x14ac:dyDescent="0.25">
      <c r="D237" s="25" t="str">
        <f>'Input - Pasture Beef'!$D$180</f>
        <v>Pasture range and paddock</v>
      </c>
      <c r="E237" s="25" t="s">
        <v>202</v>
      </c>
      <c r="F237" s="25" t="e" cm="1">
        <f t="array" aca="1" ref="F237" ca="1">MMS_PastureBeef_Methane_Equations.VEERG_4_2_1_1__1_TotalAnnualMethaneProductionFromManureManagement(E221,F179,E229)</f>
        <v>#N/A</v>
      </c>
      <c r="G237" s="25" t="e" cm="1">
        <f t="array" aca="1" ref="G237" ca="1">MMS_PastureBeef_Methane_Equations.VEERG_4_2_1_1__1_TotalAnnualMethaneProductionFromManureManagement(F221,G179,F229)</f>
        <v>#N/A</v>
      </c>
      <c r="H237" s="25" t="e" cm="1">
        <f t="array" aca="1" ref="H237" ca="1">MMS_PastureBeef_Methane_Equations.VEERG_4_2_1_1__1_TotalAnnualMethaneProductionFromManureManagement(G221,H179,G229)</f>
        <v>#N/A</v>
      </c>
      <c r="I237" s="25" t="e" cm="1">
        <f t="array" aca="1" ref="I237" ca="1">MMS_PastureBeef_Methane_Equations.VEERG_4_2_1_1__1_TotalAnnualMethaneProductionFromManureManagement(H221,I179,H229)</f>
        <v>#N/A</v>
      </c>
      <c r="J237" s="25" t="e" cm="1">
        <f t="array" aca="1" ref="J237" ca="1">MMS_PastureBeef_Methane_Equations.VEERG_4_2_1_1__1_TotalAnnualMethaneProductionFromManureManagement(I221,J179,I229)</f>
        <v>#N/A</v>
      </c>
      <c r="K237" s="25" t="e" cm="1">
        <f t="array" aca="1" ref="K237" ca="1">MMS_PastureBeef_Methane_Equations.VEERG_4_2_1_1__1_TotalAnnualMethaneProductionFromManureManagement(J221,K179,J229)</f>
        <v>#N/A</v>
      </c>
      <c r="L237" s="25" t="e" cm="1">
        <f t="array" aca="1" ref="L237" ca="1">MMS_PastureBeef_Methane_Equations.VEERG_4_2_1_1__1_TotalAnnualMethaneProductionFromManureManagement(K221,L179,K229)</f>
        <v>#N/A</v>
      </c>
      <c r="M237" s="25" t="e" cm="1">
        <f t="array" aca="1" ref="M237" ca="1">MMS_PastureBeef_Methane_Equations.VEERG_4_2_1_1__1_TotalAnnualMethaneProductionFromManureManagement(L221,M179,L229)</f>
        <v>#N/A</v>
      </c>
      <c r="N237" s="25" t="e" cm="1">
        <f t="array" aca="1" ref="N237" ca="1">MMS_PastureBeef_Methane_Equations.VEERG_4_2_1_1__1_TotalAnnualMethaneProductionFromManureManagement(M221,N179,M229)</f>
        <v>#N/A</v>
      </c>
      <c r="O237" s="25" t="e" cm="1">
        <f t="array" aca="1" ref="O237" ca="1">MMS_PastureBeef_Methane_Equations.VEERG_4_2_1_1__1_TotalAnnualMethaneProductionFromManureManagement(N221,O179,N229)</f>
        <v>#N/A</v>
      </c>
      <c r="P237" s="26" t="str">
        <f t="shared" si="10"/>
        <v>t CH4</v>
      </c>
      <c r="Q237" s="26"/>
      <c r="R237" s="26"/>
      <c r="S237" s="26"/>
      <c r="W237" s="25" t="e">
        <f>TEXT(EDATE(X_Cell_Site_StartDate,2), "mmmm")</f>
        <v>#VALUE!</v>
      </c>
      <c r="X237" s="25" t="e">
        <f ca="1"/>
        <v>#VALUE!</v>
      </c>
      <c r="Y237" s="25" t="e">
        <f ca="1"/>
        <v>#VALUE!</v>
      </c>
      <c r="Z237" s="25" t="e">
        <f ca="1"/>
        <v>#VALUE!</v>
      </c>
      <c r="AA237" s="25" t="e">
        <f ca="1"/>
        <v>#VALUE!</v>
      </c>
      <c r="AB237" s="25" t="e">
        <f ca="1"/>
        <v>#VALUE!</v>
      </c>
      <c r="AC237" s="25" t="e">
        <f ca="1"/>
        <v>#VALUE!</v>
      </c>
      <c r="AD237" s="25" t="e">
        <f ca="1"/>
        <v>#VALUE!</v>
      </c>
      <c r="AE237" s="25" t="e">
        <f ca="1"/>
        <v>#VALUE!</v>
      </c>
      <c r="AF237" s="25" t="e">
        <f ca="1"/>
        <v>#VALUE!</v>
      </c>
      <c r="AG237" s="25" t="e">
        <f ca="1"/>
        <v>#VALUE!</v>
      </c>
      <c r="AH237" s="26" t="s">
        <v>415</v>
      </c>
    </row>
    <row r="238" spans="4:34" ht="20.100000000000001" customHeight="1" x14ac:dyDescent="0.25">
      <c r="D238" s="25" t="str">
        <f>'Input - Pasture Beef'!$D$180</f>
        <v>Pasture range and paddock</v>
      </c>
      <c r="E238" s="25" t="s">
        <v>203</v>
      </c>
      <c r="F238" s="25" t="e" cm="1">
        <f t="array" aca="1" ref="F238" ca="1">MMS_PastureBeef_Methane_Equations.VEERG_4_2_1_1__1_TotalAnnualMethaneProductionFromManureManagement(E222,F180,E230)</f>
        <v>#N/A</v>
      </c>
      <c r="G238" s="25" t="e" cm="1">
        <f t="array" aca="1" ref="G238" ca="1">MMS_PastureBeef_Methane_Equations.VEERG_4_2_1_1__1_TotalAnnualMethaneProductionFromManureManagement(F222,G180,F230)</f>
        <v>#N/A</v>
      </c>
      <c r="H238" s="25" t="e" cm="1">
        <f t="array" aca="1" ref="H238" ca="1">MMS_PastureBeef_Methane_Equations.VEERG_4_2_1_1__1_TotalAnnualMethaneProductionFromManureManagement(G222,H180,G230)</f>
        <v>#N/A</v>
      </c>
      <c r="I238" s="25" t="e" cm="1">
        <f t="array" aca="1" ref="I238" ca="1">MMS_PastureBeef_Methane_Equations.VEERG_4_2_1_1__1_TotalAnnualMethaneProductionFromManureManagement(H222,I180,H230)</f>
        <v>#N/A</v>
      </c>
      <c r="J238" s="25" t="e" cm="1">
        <f t="array" aca="1" ref="J238" ca="1">MMS_PastureBeef_Methane_Equations.VEERG_4_2_1_1__1_TotalAnnualMethaneProductionFromManureManagement(I222,J180,I230)</f>
        <v>#N/A</v>
      </c>
      <c r="K238" s="25" t="e" cm="1">
        <f t="array" aca="1" ref="K238" ca="1">MMS_PastureBeef_Methane_Equations.VEERG_4_2_1_1__1_TotalAnnualMethaneProductionFromManureManagement(J222,K180,J230)</f>
        <v>#N/A</v>
      </c>
      <c r="L238" s="25" t="e" cm="1">
        <f t="array" aca="1" ref="L238" ca="1">MMS_PastureBeef_Methane_Equations.VEERG_4_2_1_1__1_TotalAnnualMethaneProductionFromManureManagement(K222,L180,K230)</f>
        <v>#N/A</v>
      </c>
      <c r="M238" s="25" t="e" cm="1">
        <f t="array" aca="1" ref="M238" ca="1">MMS_PastureBeef_Methane_Equations.VEERG_4_2_1_1__1_TotalAnnualMethaneProductionFromManureManagement(L222,M180,L230)</f>
        <v>#N/A</v>
      </c>
      <c r="N238" s="25" t="e" cm="1">
        <f t="array" aca="1" ref="N238" ca="1">MMS_PastureBeef_Methane_Equations.VEERG_4_2_1_1__1_TotalAnnualMethaneProductionFromManureManagement(M222,N180,M230)</f>
        <v>#N/A</v>
      </c>
      <c r="O238" s="25" t="e" cm="1">
        <f t="array" aca="1" ref="O238" ca="1">MMS_PastureBeef_Methane_Equations.VEERG_4_2_1_1__1_TotalAnnualMethaneProductionFromManureManagement(N222,O180,N230)</f>
        <v>#N/A</v>
      </c>
      <c r="P238" s="26" t="str">
        <f t="shared" si="10"/>
        <v>t CH4</v>
      </c>
      <c r="Q238" s="26"/>
      <c r="R238" s="26"/>
      <c r="S238" s="26"/>
      <c r="W238" s="25" t="e">
        <f>TEXT(EDATE(X_Cell_Site_StartDate,3), "mmmm")</f>
        <v>#VALUE!</v>
      </c>
      <c r="X238" s="25" t="e">
        <f ca="1"/>
        <v>#VALUE!</v>
      </c>
      <c r="Y238" s="25" t="e">
        <f ca="1"/>
        <v>#VALUE!</v>
      </c>
      <c r="Z238" s="25" t="e">
        <f ca="1"/>
        <v>#VALUE!</v>
      </c>
      <c r="AA238" s="25" t="e">
        <f ca="1"/>
        <v>#VALUE!</v>
      </c>
      <c r="AB238" s="25" t="e">
        <f ca="1"/>
        <v>#VALUE!</v>
      </c>
      <c r="AC238" s="25" t="e">
        <f ca="1"/>
        <v>#VALUE!</v>
      </c>
      <c r="AD238" s="25" t="e">
        <f ca="1"/>
        <v>#VALUE!</v>
      </c>
      <c r="AE238" s="25" t="e">
        <f ca="1"/>
        <v>#VALUE!</v>
      </c>
      <c r="AF238" s="25" t="e">
        <f ca="1"/>
        <v>#VALUE!</v>
      </c>
      <c r="AG238" s="25" t="e">
        <f ca="1"/>
        <v>#VALUE!</v>
      </c>
      <c r="AH238" s="26" t="s">
        <v>415</v>
      </c>
    </row>
    <row r="239" spans="4:34" ht="20.100000000000001" customHeight="1" x14ac:dyDescent="0.25">
      <c r="D239" s="25" t="str">
        <f>'Input - Pasture Beef'!$D$181</f>
        <v>Anaerobic lagoon</v>
      </c>
      <c r="E239" s="25" t="s">
        <v>200</v>
      </c>
      <c r="F239" s="25" t="e" cm="1">
        <f t="array" aca="1" ref="F239" ca="1">MMS_PastureBeef_Methane_Equations.VEERG_4_2_1_1__1_TotalAnnualMethaneProductionFromManureManagement(E219,F181,E227)</f>
        <v>#N/A</v>
      </c>
      <c r="G239" s="25" t="e" cm="1">
        <f t="array" aca="1" ref="G239" ca="1">MMS_PastureBeef_Methane_Equations.VEERG_4_2_1_1__1_TotalAnnualMethaneProductionFromManureManagement(F219,G181,F227)</f>
        <v>#N/A</v>
      </c>
      <c r="H239" s="25" t="e" cm="1">
        <f t="array" aca="1" ref="H239" ca="1">MMS_PastureBeef_Methane_Equations.VEERG_4_2_1_1__1_TotalAnnualMethaneProductionFromManureManagement(G219,H181,G227)</f>
        <v>#N/A</v>
      </c>
      <c r="I239" s="25" t="e" cm="1">
        <f t="array" aca="1" ref="I239" ca="1">MMS_PastureBeef_Methane_Equations.VEERG_4_2_1_1__1_TotalAnnualMethaneProductionFromManureManagement(H219,I181,H227)</f>
        <v>#N/A</v>
      </c>
      <c r="J239" s="25" t="e" cm="1">
        <f t="array" aca="1" ref="J239" ca="1">MMS_PastureBeef_Methane_Equations.VEERG_4_2_1_1__1_TotalAnnualMethaneProductionFromManureManagement(I219,J181,I227)</f>
        <v>#N/A</v>
      </c>
      <c r="K239" s="25" t="e" cm="1">
        <f t="array" aca="1" ref="K239" ca="1">MMS_PastureBeef_Methane_Equations.VEERG_4_2_1_1__1_TotalAnnualMethaneProductionFromManureManagement(J219,K181,J227)</f>
        <v>#N/A</v>
      </c>
      <c r="L239" s="25" t="e" cm="1">
        <f t="array" aca="1" ref="L239" ca="1">MMS_PastureBeef_Methane_Equations.VEERG_4_2_1_1__1_TotalAnnualMethaneProductionFromManureManagement(K219,L181,K227)</f>
        <v>#N/A</v>
      </c>
      <c r="M239" s="25" t="e" cm="1">
        <f t="array" aca="1" ref="M239" ca="1">MMS_PastureBeef_Methane_Equations.VEERG_4_2_1_1__1_TotalAnnualMethaneProductionFromManureManagement(L219,M181,L227)</f>
        <v>#N/A</v>
      </c>
      <c r="N239" s="25" t="e" cm="1">
        <f t="array" aca="1" ref="N239" ca="1">MMS_PastureBeef_Methane_Equations.VEERG_4_2_1_1__1_TotalAnnualMethaneProductionFromManureManagement(M219,N181,M227)</f>
        <v>#N/A</v>
      </c>
      <c r="O239" s="25" t="e" cm="1">
        <f t="array" aca="1" ref="O239" ca="1">MMS_PastureBeef_Methane_Equations.VEERG_4_2_1_1__1_TotalAnnualMethaneProductionFromManureManagement(N219,O181,N227)</f>
        <v>#N/A</v>
      </c>
      <c r="P239" s="26" t="str">
        <f t="shared" si="10"/>
        <v>t CH4</v>
      </c>
      <c r="Q239" s="26"/>
      <c r="R239" s="26"/>
      <c r="S239" s="26"/>
      <c r="W239" s="25" t="e">
        <f>TEXT(EDATE(X_Cell_Site_StartDate,4), "mmmm")</f>
        <v>#VALUE!</v>
      </c>
      <c r="X239" s="25" t="e">
        <f ca="1"/>
        <v>#VALUE!</v>
      </c>
      <c r="Y239" s="25" t="e">
        <f ca="1"/>
        <v>#VALUE!</v>
      </c>
      <c r="Z239" s="25" t="e">
        <f ca="1"/>
        <v>#VALUE!</v>
      </c>
      <c r="AA239" s="25" t="e">
        <f ca="1"/>
        <v>#VALUE!</v>
      </c>
      <c r="AB239" s="25" t="e">
        <f ca="1"/>
        <v>#VALUE!</v>
      </c>
      <c r="AC239" s="25" t="e">
        <f ca="1"/>
        <v>#VALUE!</v>
      </c>
      <c r="AD239" s="25" t="e">
        <f ca="1"/>
        <v>#VALUE!</v>
      </c>
      <c r="AE239" s="25" t="e">
        <f ca="1"/>
        <v>#VALUE!</v>
      </c>
      <c r="AF239" s="25" t="e">
        <f ca="1"/>
        <v>#VALUE!</v>
      </c>
      <c r="AG239" s="25" t="e">
        <f ca="1"/>
        <v>#VALUE!</v>
      </c>
      <c r="AH239" s="26" t="s">
        <v>415</v>
      </c>
    </row>
    <row r="240" spans="4:34" ht="20.100000000000001" customHeight="1" x14ac:dyDescent="0.25">
      <c r="D240" s="25" t="str">
        <f>'Input - Pasture Beef'!$D$181</f>
        <v>Anaerobic lagoon</v>
      </c>
      <c r="E240" s="25" t="s">
        <v>201</v>
      </c>
      <c r="F240" s="25" t="e" cm="1">
        <f t="array" aca="1" ref="F240" ca="1">MMS_PastureBeef_Methane_Equations.VEERG_4_2_1_1__1_TotalAnnualMethaneProductionFromManureManagement(E220,F182,E228)</f>
        <v>#N/A</v>
      </c>
      <c r="G240" s="25" t="e" cm="1">
        <f t="array" aca="1" ref="G240" ca="1">MMS_PastureBeef_Methane_Equations.VEERG_4_2_1_1__1_TotalAnnualMethaneProductionFromManureManagement(F220,G182,F228)</f>
        <v>#N/A</v>
      </c>
      <c r="H240" s="25" t="e" cm="1">
        <f t="array" aca="1" ref="H240" ca="1">MMS_PastureBeef_Methane_Equations.VEERG_4_2_1_1__1_TotalAnnualMethaneProductionFromManureManagement(G220,H182,G228)</f>
        <v>#N/A</v>
      </c>
      <c r="I240" s="25" t="e" cm="1">
        <f t="array" aca="1" ref="I240" ca="1">MMS_PastureBeef_Methane_Equations.VEERG_4_2_1_1__1_TotalAnnualMethaneProductionFromManureManagement(H220,I182,H228)</f>
        <v>#N/A</v>
      </c>
      <c r="J240" s="25" t="e" cm="1">
        <f t="array" aca="1" ref="J240" ca="1">MMS_PastureBeef_Methane_Equations.VEERG_4_2_1_1__1_TotalAnnualMethaneProductionFromManureManagement(I220,J182,I228)</f>
        <v>#N/A</v>
      </c>
      <c r="K240" s="25" t="e" cm="1">
        <f t="array" aca="1" ref="K240" ca="1">MMS_PastureBeef_Methane_Equations.VEERG_4_2_1_1__1_TotalAnnualMethaneProductionFromManureManagement(J220,K182,J228)</f>
        <v>#N/A</v>
      </c>
      <c r="L240" s="25" t="e" cm="1">
        <f t="array" aca="1" ref="L240" ca="1">MMS_PastureBeef_Methane_Equations.VEERG_4_2_1_1__1_TotalAnnualMethaneProductionFromManureManagement(K220,L182,K228)</f>
        <v>#N/A</v>
      </c>
      <c r="M240" s="25" t="e" cm="1">
        <f t="array" aca="1" ref="M240" ca="1">MMS_PastureBeef_Methane_Equations.VEERG_4_2_1_1__1_TotalAnnualMethaneProductionFromManureManagement(L220,M182,L228)</f>
        <v>#N/A</v>
      </c>
      <c r="N240" s="25" t="e" cm="1">
        <f t="array" aca="1" ref="N240" ca="1">MMS_PastureBeef_Methane_Equations.VEERG_4_2_1_1__1_TotalAnnualMethaneProductionFromManureManagement(M220,N182,M228)</f>
        <v>#N/A</v>
      </c>
      <c r="O240" s="25" t="e" cm="1">
        <f t="array" aca="1" ref="O240" ca="1">MMS_PastureBeef_Methane_Equations.VEERG_4_2_1_1__1_TotalAnnualMethaneProductionFromManureManagement(N220,O182,N228)</f>
        <v>#N/A</v>
      </c>
      <c r="P240" s="26" t="str">
        <f t="shared" si="10"/>
        <v>t CH4</v>
      </c>
      <c r="Q240" s="26"/>
      <c r="R240" s="26"/>
      <c r="S240" s="26"/>
      <c r="W240" s="25" t="e">
        <f>TEXT(EDATE(X_Cell_Site_StartDate,5), "mmmm")</f>
        <v>#VALUE!</v>
      </c>
      <c r="X240" s="25" t="e">
        <f ca="1"/>
        <v>#VALUE!</v>
      </c>
      <c r="Y240" s="25" t="e">
        <f ca="1"/>
        <v>#VALUE!</v>
      </c>
      <c r="Z240" s="25" t="e">
        <f ca="1"/>
        <v>#VALUE!</v>
      </c>
      <c r="AA240" s="25" t="e">
        <f ca="1"/>
        <v>#VALUE!</v>
      </c>
      <c r="AB240" s="25" t="e">
        <f ca="1"/>
        <v>#VALUE!</v>
      </c>
      <c r="AC240" s="25" t="e">
        <f ca="1"/>
        <v>#VALUE!</v>
      </c>
      <c r="AD240" s="25" t="e">
        <f ca="1"/>
        <v>#VALUE!</v>
      </c>
      <c r="AE240" s="25" t="e">
        <f ca="1"/>
        <v>#VALUE!</v>
      </c>
      <c r="AF240" s="25" t="e">
        <f ca="1"/>
        <v>#VALUE!</v>
      </c>
      <c r="AG240" s="25" t="e">
        <f ca="1"/>
        <v>#VALUE!</v>
      </c>
      <c r="AH240" s="26" t="s">
        <v>415</v>
      </c>
    </row>
    <row r="241" spans="4:36" ht="20.100000000000001" customHeight="1" x14ac:dyDescent="0.25">
      <c r="D241" s="25" t="str">
        <f>'Input - Pasture Beef'!$D$181</f>
        <v>Anaerobic lagoon</v>
      </c>
      <c r="E241" s="25" t="s">
        <v>202</v>
      </c>
      <c r="F241" s="25" t="e" cm="1">
        <f t="array" aca="1" ref="F241" ca="1">MMS_PastureBeef_Methane_Equations.VEERG_4_2_1_1__1_TotalAnnualMethaneProductionFromManureManagement(E221,F183,E229)</f>
        <v>#N/A</v>
      </c>
      <c r="G241" s="25" t="e" cm="1">
        <f t="array" aca="1" ref="G241" ca="1">MMS_PastureBeef_Methane_Equations.VEERG_4_2_1_1__1_TotalAnnualMethaneProductionFromManureManagement(F221,G183,F229)</f>
        <v>#N/A</v>
      </c>
      <c r="H241" s="25" t="e" cm="1">
        <f t="array" aca="1" ref="H241" ca="1">MMS_PastureBeef_Methane_Equations.VEERG_4_2_1_1__1_TotalAnnualMethaneProductionFromManureManagement(G221,H183,G229)</f>
        <v>#N/A</v>
      </c>
      <c r="I241" s="25" t="e" cm="1">
        <f t="array" aca="1" ref="I241" ca="1">MMS_PastureBeef_Methane_Equations.VEERG_4_2_1_1__1_TotalAnnualMethaneProductionFromManureManagement(H221,I183,H229)</f>
        <v>#N/A</v>
      </c>
      <c r="J241" s="25" t="e" cm="1">
        <f t="array" aca="1" ref="J241" ca="1">MMS_PastureBeef_Methane_Equations.VEERG_4_2_1_1__1_TotalAnnualMethaneProductionFromManureManagement(I221,J183,I229)</f>
        <v>#N/A</v>
      </c>
      <c r="K241" s="25" t="e" cm="1">
        <f t="array" aca="1" ref="K241" ca="1">MMS_PastureBeef_Methane_Equations.VEERG_4_2_1_1__1_TotalAnnualMethaneProductionFromManureManagement(J221,K183,J229)</f>
        <v>#N/A</v>
      </c>
      <c r="L241" s="25" t="e" cm="1">
        <f t="array" aca="1" ref="L241" ca="1">MMS_PastureBeef_Methane_Equations.VEERG_4_2_1_1__1_TotalAnnualMethaneProductionFromManureManagement(K221,L183,K229)</f>
        <v>#N/A</v>
      </c>
      <c r="M241" s="25" t="e" cm="1">
        <f t="array" aca="1" ref="M241" ca="1">MMS_PastureBeef_Methane_Equations.VEERG_4_2_1_1__1_TotalAnnualMethaneProductionFromManureManagement(L221,M183,L229)</f>
        <v>#N/A</v>
      </c>
      <c r="N241" s="25" t="e" cm="1">
        <f t="array" aca="1" ref="N241" ca="1">MMS_PastureBeef_Methane_Equations.VEERG_4_2_1_1__1_TotalAnnualMethaneProductionFromManureManagement(M221,N183,M229)</f>
        <v>#N/A</v>
      </c>
      <c r="O241" s="25" t="e" cm="1">
        <f t="array" aca="1" ref="O241" ca="1">MMS_PastureBeef_Methane_Equations.VEERG_4_2_1_1__1_TotalAnnualMethaneProductionFromManureManagement(N221,O183,N229)</f>
        <v>#N/A</v>
      </c>
      <c r="P241" s="26" t="str">
        <f t="shared" si="10"/>
        <v>t CH4</v>
      </c>
      <c r="Q241" s="26"/>
      <c r="R241" s="26"/>
      <c r="S241" s="26"/>
      <c r="W241" s="25" t="e">
        <f>TEXT(EDATE(X_Cell_Site_StartDate,6), "mmmm")</f>
        <v>#VALUE!</v>
      </c>
      <c r="X241" s="25" t="e">
        <f ca="1"/>
        <v>#VALUE!</v>
      </c>
      <c r="Y241" s="25" t="e">
        <f ca="1"/>
        <v>#VALUE!</v>
      </c>
      <c r="Z241" s="25" t="e">
        <f ca="1"/>
        <v>#VALUE!</v>
      </c>
      <c r="AA241" s="25" t="e">
        <f ca="1"/>
        <v>#VALUE!</v>
      </c>
      <c r="AB241" s="25" t="e">
        <f ca="1"/>
        <v>#VALUE!</v>
      </c>
      <c r="AC241" s="25" t="e">
        <f ca="1"/>
        <v>#VALUE!</v>
      </c>
      <c r="AD241" s="25" t="e">
        <f ca="1"/>
        <v>#VALUE!</v>
      </c>
      <c r="AE241" s="25" t="e">
        <f ca="1"/>
        <v>#VALUE!</v>
      </c>
      <c r="AF241" s="25" t="e">
        <f ca="1"/>
        <v>#VALUE!</v>
      </c>
      <c r="AG241" s="25" t="e">
        <f ca="1"/>
        <v>#VALUE!</v>
      </c>
      <c r="AH241" s="26" t="s">
        <v>415</v>
      </c>
    </row>
    <row r="242" spans="4:36" ht="20.100000000000001" customHeight="1" x14ac:dyDescent="0.25">
      <c r="D242" s="25" t="str">
        <f>'Input - Pasture Beef'!$D$181</f>
        <v>Anaerobic lagoon</v>
      </c>
      <c r="E242" s="25" t="s">
        <v>203</v>
      </c>
      <c r="F242" s="25" t="e" cm="1">
        <f t="array" aca="1" ref="F242" ca="1">MMS_PastureBeef_Methane_Equations.VEERG_4_2_1_1__1_TotalAnnualMethaneProductionFromManureManagement(E222,F184,E230)</f>
        <v>#N/A</v>
      </c>
      <c r="G242" s="25" t="e" cm="1">
        <f t="array" aca="1" ref="G242" ca="1">MMS_PastureBeef_Methane_Equations.VEERG_4_2_1_1__1_TotalAnnualMethaneProductionFromManureManagement(F222,G184,F230)</f>
        <v>#N/A</v>
      </c>
      <c r="H242" s="25" t="e" cm="1">
        <f t="array" aca="1" ref="H242" ca="1">MMS_PastureBeef_Methane_Equations.VEERG_4_2_1_1__1_TotalAnnualMethaneProductionFromManureManagement(G222,H184,G230)</f>
        <v>#N/A</v>
      </c>
      <c r="I242" s="25" t="e" cm="1">
        <f t="array" aca="1" ref="I242" ca="1">MMS_PastureBeef_Methane_Equations.VEERG_4_2_1_1__1_TotalAnnualMethaneProductionFromManureManagement(H222,I184,H230)</f>
        <v>#N/A</v>
      </c>
      <c r="J242" s="25" t="e" cm="1">
        <f t="array" aca="1" ref="J242" ca="1">MMS_PastureBeef_Methane_Equations.VEERG_4_2_1_1__1_TotalAnnualMethaneProductionFromManureManagement(I222,J184,I230)</f>
        <v>#N/A</v>
      </c>
      <c r="K242" s="25" t="e" cm="1">
        <f t="array" aca="1" ref="K242" ca="1">MMS_PastureBeef_Methane_Equations.VEERG_4_2_1_1__1_TotalAnnualMethaneProductionFromManureManagement(J222,K184,J230)</f>
        <v>#N/A</v>
      </c>
      <c r="L242" s="25" t="e" cm="1">
        <f t="array" aca="1" ref="L242" ca="1">MMS_PastureBeef_Methane_Equations.VEERG_4_2_1_1__1_TotalAnnualMethaneProductionFromManureManagement(K222,L184,K230)</f>
        <v>#N/A</v>
      </c>
      <c r="M242" s="25" t="e" cm="1">
        <f t="array" aca="1" ref="M242" ca="1">MMS_PastureBeef_Methane_Equations.VEERG_4_2_1_1__1_TotalAnnualMethaneProductionFromManureManagement(L222,M184,L230)</f>
        <v>#N/A</v>
      </c>
      <c r="N242" s="25" t="e" cm="1">
        <f t="array" aca="1" ref="N242" ca="1">MMS_PastureBeef_Methane_Equations.VEERG_4_2_1_1__1_TotalAnnualMethaneProductionFromManureManagement(M222,N184,M230)</f>
        <v>#N/A</v>
      </c>
      <c r="O242" s="25" t="e" cm="1">
        <f t="array" aca="1" ref="O242" ca="1">MMS_PastureBeef_Methane_Equations.VEERG_4_2_1_1__1_TotalAnnualMethaneProductionFromManureManagement(N222,O184,N230)</f>
        <v>#N/A</v>
      </c>
      <c r="P242" s="26" t="str">
        <f t="shared" si="10"/>
        <v>t CH4</v>
      </c>
      <c r="Q242" s="26"/>
      <c r="R242" s="26"/>
      <c r="S242" s="26"/>
      <c r="W242" s="25" t="e">
        <f>TEXT(EDATE(X_Cell_Site_StartDate,7), "mmmm")</f>
        <v>#VALUE!</v>
      </c>
      <c r="X242" s="25" t="e">
        <f ca="1"/>
        <v>#VALUE!</v>
      </c>
      <c r="Y242" s="25" t="e">
        <f ca="1"/>
        <v>#VALUE!</v>
      </c>
      <c r="Z242" s="25" t="e">
        <f ca="1"/>
        <v>#VALUE!</v>
      </c>
      <c r="AA242" s="25" t="e">
        <f ca="1"/>
        <v>#VALUE!</v>
      </c>
      <c r="AB242" s="25" t="e">
        <f ca="1"/>
        <v>#VALUE!</v>
      </c>
      <c r="AC242" s="25" t="e">
        <f ca="1"/>
        <v>#VALUE!</v>
      </c>
      <c r="AD242" s="25" t="e">
        <f ca="1"/>
        <v>#VALUE!</v>
      </c>
      <c r="AE242" s="25" t="e">
        <f ca="1"/>
        <v>#VALUE!</v>
      </c>
      <c r="AF242" s="25" t="e">
        <f ca="1"/>
        <v>#VALUE!</v>
      </c>
      <c r="AG242" s="25" t="e">
        <f ca="1"/>
        <v>#VALUE!</v>
      </c>
      <c r="AH242" s="26" t="s">
        <v>415</v>
      </c>
    </row>
    <row r="243" spans="4:36" ht="20.100000000000001" customHeight="1" x14ac:dyDescent="0.25">
      <c r="W243" s="25" t="e">
        <f>TEXT(EDATE(X_Cell_Site_StartDate,8), "mmmm")</f>
        <v>#VALUE!</v>
      </c>
      <c r="X243" s="25" t="e">
        <f ca="1"/>
        <v>#VALUE!</v>
      </c>
      <c r="Y243" s="25" t="e">
        <f ca="1"/>
        <v>#VALUE!</v>
      </c>
      <c r="Z243" s="25" t="e">
        <f ca="1"/>
        <v>#VALUE!</v>
      </c>
      <c r="AA243" s="25" t="e">
        <f ca="1"/>
        <v>#VALUE!</v>
      </c>
      <c r="AB243" s="25" t="e">
        <f ca="1"/>
        <v>#VALUE!</v>
      </c>
      <c r="AC243" s="25" t="e">
        <f ca="1"/>
        <v>#VALUE!</v>
      </c>
      <c r="AD243" s="25" t="e">
        <f ca="1"/>
        <v>#VALUE!</v>
      </c>
      <c r="AE243" s="25" t="e">
        <f ca="1"/>
        <v>#VALUE!</v>
      </c>
      <c r="AF243" s="25" t="e">
        <f ca="1"/>
        <v>#VALUE!</v>
      </c>
      <c r="AG243" s="25" t="e">
        <f ca="1"/>
        <v>#VALUE!</v>
      </c>
      <c r="AH243" s="26" t="s">
        <v>415</v>
      </c>
    </row>
    <row r="244" spans="4:36" ht="20.100000000000001" customHeight="1" x14ac:dyDescent="0.25">
      <c r="D244" s="119" t="s">
        <v>295</v>
      </c>
      <c r="E244" s="120" t="e">
        <f ca="1">SUM(F235:O242)</f>
        <v>#N/A</v>
      </c>
      <c r="F244" s="121" t="str">
        <f>E210</f>
        <v>t CH4</v>
      </c>
      <c r="W244" s="25" t="e">
        <f>TEXT(EDATE(X_Cell_Site_StartDate,9), "mmmm")</f>
        <v>#VALUE!</v>
      </c>
      <c r="X244" s="25" t="e">
        <f ca="1"/>
        <v>#VALUE!</v>
      </c>
      <c r="Y244" s="25" t="e">
        <f ca="1"/>
        <v>#VALUE!</v>
      </c>
      <c r="Z244" s="25" t="e">
        <f ca="1"/>
        <v>#VALUE!</v>
      </c>
      <c r="AA244" s="25" t="e">
        <f ca="1"/>
        <v>#VALUE!</v>
      </c>
      <c r="AB244" s="25" t="e">
        <f ca="1"/>
        <v>#VALUE!</v>
      </c>
      <c r="AC244" s="25" t="e">
        <f ca="1"/>
        <v>#VALUE!</v>
      </c>
      <c r="AD244" s="25" t="e">
        <f ca="1"/>
        <v>#VALUE!</v>
      </c>
      <c r="AE244" s="25" t="e">
        <f ca="1"/>
        <v>#VALUE!</v>
      </c>
      <c r="AF244" s="25" t="e">
        <f ca="1"/>
        <v>#VALUE!</v>
      </c>
      <c r="AG244" s="25" t="e">
        <f ca="1"/>
        <v>#VALUE!</v>
      </c>
      <c r="AH244" s="26" t="s">
        <v>415</v>
      </c>
    </row>
    <row r="245" spans="4:36" ht="20.100000000000001" customHeight="1" x14ac:dyDescent="0.25">
      <c r="W245" s="25" t="e">
        <f>TEXT(EDATE(X_Cell_Site_StartDate,10), "mmmm")</f>
        <v>#VALUE!</v>
      </c>
      <c r="X245" s="25" t="e">
        <f ca="1"/>
        <v>#VALUE!</v>
      </c>
      <c r="Y245" s="25" t="e">
        <f ca="1"/>
        <v>#VALUE!</v>
      </c>
      <c r="Z245" s="25" t="e">
        <f ca="1"/>
        <v>#VALUE!</v>
      </c>
      <c r="AA245" s="25" t="e">
        <f ca="1"/>
        <v>#VALUE!</v>
      </c>
      <c r="AB245" s="25" t="e">
        <f ca="1"/>
        <v>#VALUE!</v>
      </c>
      <c r="AC245" s="25" t="e">
        <f ca="1"/>
        <v>#VALUE!</v>
      </c>
      <c r="AD245" s="25" t="e">
        <f ca="1"/>
        <v>#VALUE!</v>
      </c>
      <c r="AE245" s="25" t="e">
        <f ca="1"/>
        <v>#VALUE!</v>
      </c>
      <c r="AF245" s="25" t="e">
        <f ca="1"/>
        <v>#VALUE!</v>
      </c>
      <c r="AG245" s="25" t="e">
        <f ca="1"/>
        <v>#VALUE!</v>
      </c>
      <c r="AH245" s="26" t="s">
        <v>415</v>
      </c>
    </row>
    <row r="246" spans="4:36" ht="20.100000000000001" customHeight="1" x14ac:dyDescent="0.25">
      <c r="D246" s="122" t="str" cm="1">
        <f t="array" ref="D246:E247">Common_Equations.Common_ConvertCH4ToCO2e_Arguments()</f>
        <v>ECH4</v>
      </c>
      <c r="E246" s="123" t="str">
        <v>Methane emissions (t CH4)</v>
      </c>
      <c r="F246" s="124"/>
      <c r="G246" s="25" t="e">
        <f ca="1">E244</f>
        <v>#N/A</v>
      </c>
      <c r="W246" s="25" t="e">
        <f>TEXT(EDATE(X_Cell_Site_StartDate,11), "mmmm")</f>
        <v>#VALUE!</v>
      </c>
      <c r="X246" s="25" t="e">
        <f ca="1"/>
        <v>#VALUE!</v>
      </c>
      <c r="Y246" s="25" t="e">
        <f ca="1"/>
        <v>#VALUE!</v>
      </c>
      <c r="Z246" s="25" t="e">
        <f ca="1"/>
        <v>#VALUE!</v>
      </c>
      <c r="AA246" s="25" t="e">
        <f ca="1"/>
        <v>#VALUE!</v>
      </c>
      <c r="AB246" s="25" t="e">
        <f ca="1"/>
        <v>#VALUE!</v>
      </c>
      <c r="AC246" s="25" t="e">
        <f ca="1"/>
        <v>#VALUE!</v>
      </c>
      <c r="AD246" s="25" t="e">
        <f ca="1"/>
        <v>#VALUE!</v>
      </c>
      <c r="AE246" s="25" t="e">
        <f ca="1"/>
        <v>#VALUE!</v>
      </c>
      <c r="AF246" s="25" t="e">
        <f ca="1"/>
        <v>#VALUE!</v>
      </c>
      <c r="AG246" s="25" t="e">
        <f ca="1"/>
        <v>#VALUE!</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t="e" cm="1">
        <f t="array" aca="1" ref="E249" ca="1">Common_Equations.Common_ConvertN2OToCO2e(G246,G247)</f>
        <v>#N/A</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NO - Not in leaching zone</v>
      </c>
      <c r="Y251" s="25" t="e" cm="1">
        <f t="array" aca="1" ref="Y251" ca="1">MMS_PastureBeef_Methane_Equations.VEERG_4_2_1_1__1_TotalAnnualMethaneProductionFromManureManagement(X219,Y177,X235)</f>
        <v>#N/A</v>
      </c>
      <c r="Z251" s="25" t="e" cm="1">
        <f t="array" aca="1" ref="Z251" ca="1">MMS_PastureBeef_Methane_Equations.VEERG_4_2_1_1__1_TotalAnnualMethaneProductionFromManureManagement(Y219,Z177,Y235)</f>
        <v>#N/A</v>
      </c>
      <c r="AA251" s="25" t="e" cm="1">
        <f t="array" aca="1" ref="AA251" ca="1">MMS_PastureBeef_Methane_Equations.VEERG_4_2_1_1__1_TotalAnnualMethaneProductionFromManureManagement(Z219,AA177,Z235)</f>
        <v>#N/A</v>
      </c>
      <c r="AB251" s="25" t="e" cm="1">
        <f t="array" aca="1" ref="AB251" ca="1">MMS_PastureBeef_Methane_Equations.VEERG_4_2_1_1__1_TotalAnnualMethaneProductionFromManureManagement(AA219,AB177,AA235)</f>
        <v>#N/A</v>
      </c>
      <c r="AC251" s="25" t="e" cm="1">
        <f t="array" aca="1" ref="AC251" ca="1">MMS_PastureBeef_Methane_Equations.VEERG_4_2_1_1__1_TotalAnnualMethaneProductionFromManureManagement(AB219,AC177,AB235)</f>
        <v>#N/A</v>
      </c>
      <c r="AD251" s="25" t="e" cm="1">
        <f t="array" aca="1" ref="AD251" ca="1">MMS_PastureBeef_Methane_Equations.VEERG_4_2_1_1__1_TotalAnnualMethaneProductionFromManureManagement(AC219,AD177,AC235)</f>
        <v>#N/A</v>
      </c>
      <c r="AE251" s="25" t="e" cm="1">
        <f t="array" aca="1" ref="AE251" ca="1">MMS_PastureBeef_Methane_Equations.VEERG_4_2_1_1__1_TotalAnnualMethaneProductionFromManureManagement(AD219,AE177,AD235)</f>
        <v>#N/A</v>
      </c>
      <c r="AF251" s="25" t="e" cm="1">
        <f t="array" aca="1" ref="AF251" ca="1">MMS_PastureBeef_Methane_Equations.VEERG_4_2_1_1__1_TotalAnnualMethaneProductionFromManureManagement(AE219,AF177,AE235)</f>
        <v>#N/A</v>
      </c>
      <c r="AG251" s="25" t="e" cm="1">
        <f t="array" aca="1" ref="AG251" ca="1">MMS_PastureBeef_Methane_Equations.VEERG_4_2_1_1__1_TotalAnnualMethaneProductionFromManureManagement(AF219,AG177,AF235)</f>
        <v>#N/A</v>
      </c>
      <c r="AH251" s="25" t="e" cm="1">
        <f t="array" aca="1" ref="AH251" ca="1">MMS_PastureBeef_Methane_Equations.VEERG_4_2_1_1__1_TotalAnnualMethaneProductionFromManureManagement(AG219,AH177,AG235)</f>
        <v>#N/A</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t="e" cm="1">
        <f t="array" aca="1" ref="Y252" ca="1">MMS_PastureBeef_Methane_Equations.VEERG_4_2_1_1__1_TotalAnnualMethaneProductionFromManureManagement(X220,Y178,X236)</f>
        <v>#N/A</v>
      </c>
      <c r="Z252" s="25" t="e" cm="1">
        <f t="array" aca="1" ref="Z252" ca="1">MMS_PastureBeef_Methane_Equations.VEERG_4_2_1_1__1_TotalAnnualMethaneProductionFromManureManagement(Y220,Z178,Y236)</f>
        <v>#N/A</v>
      </c>
      <c r="AA252" s="25" t="e" cm="1">
        <f t="array" aca="1" ref="AA252" ca="1">MMS_PastureBeef_Methane_Equations.VEERG_4_2_1_1__1_TotalAnnualMethaneProductionFromManureManagement(Z220,AA178,Z236)</f>
        <v>#N/A</v>
      </c>
      <c r="AB252" s="25" t="e" cm="1">
        <f t="array" aca="1" ref="AB252" ca="1">MMS_PastureBeef_Methane_Equations.VEERG_4_2_1_1__1_TotalAnnualMethaneProductionFromManureManagement(AA220,AB178,AA236)</f>
        <v>#N/A</v>
      </c>
      <c r="AC252" s="25" t="e" cm="1">
        <f t="array" aca="1" ref="AC252" ca="1">MMS_PastureBeef_Methane_Equations.VEERG_4_2_1_1__1_TotalAnnualMethaneProductionFromManureManagement(AB220,AC178,AB236)</f>
        <v>#N/A</v>
      </c>
      <c r="AD252" s="25" t="e" cm="1">
        <f t="array" aca="1" ref="AD252" ca="1">MMS_PastureBeef_Methane_Equations.VEERG_4_2_1_1__1_TotalAnnualMethaneProductionFromManureManagement(AC220,AD178,AC236)</f>
        <v>#N/A</v>
      </c>
      <c r="AE252" s="25" t="e" cm="1">
        <f t="array" aca="1" ref="AE252" ca="1">MMS_PastureBeef_Methane_Equations.VEERG_4_2_1_1__1_TotalAnnualMethaneProductionFromManureManagement(AD220,AE178,AD236)</f>
        <v>#N/A</v>
      </c>
      <c r="AF252" s="25" t="e" cm="1">
        <f t="array" aca="1" ref="AF252" ca="1">MMS_PastureBeef_Methane_Equations.VEERG_4_2_1_1__1_TotalAnnualMethaneProductionFromManureManagement(AE220,AF178,AE236)</f>
        <v>#N/A</v>
      </c>
      <c r="AG252" s="25" t="e" cm="1">
        <f t="array" aca="1" ref="AG252" ca="1">MMS_PastureBeef_Methane_Equations.VEERG_4_2_1_1__1_TotalAnnualMethaneProductionFromManureManagement(AF220,AG178,AF236)</f>
        <v>#N/A</v>
      </c>
      <c r="AH252" s="25" t="e" cm="1">
        <f t="array" aca="1" ref="AH252" ca="1">MMS_PastureBeef_Methane_Equations.VEERG_4_2_1_1__1_TotalAnnualMethaneProductionFromManureManagement(AG220,AH178,AG236)</f>
        <v>#N/A</v>
      </c>
      <c r="AI252" s="26" t="str">
        <f t="shared" si="11"/>
        <v>t CH4</v>
      </c>
      <c r="AJ252" s="26"/>
    </row>
    <row r="253" spans="4:36" ht="20.100000000000001" customHeight="1" x14ac:dyDescent="0.25">
      <c r="W253" s="25" t="str">
        <f>'Input - Pasture Beef'!$D$180</f>
        <v>Pasture range and paddock</v>
      </c>
      <c r="X253" s="25" t="e">
        <f t="shared" si="12"/>
        <v>#VALUE!</v>
      </c>
      <c r="Y253" s="25" t="e" cm="1">
        <f t="array" aca="1" ref="Y253" ca="1">MMS_PastureBeef_Methane_Equations.VEERG_4_2_1_1__1_TotalAnnualMethaneProductionFromManureManagement(X221,Y179,X237)</f>
        <v>#N/A</v>
      </c>
      <c r="Z253" s="25" t="e" cm="1">
        <f t="array" aca="1" ref="Z253" ca="1">MMS_PastureBeef_Methane_Equations.VEERG_4_2_1_1__1_TotalAnnualMethaneProductionFromManureManagement(Y221,Z179,Y237)</f>
        <v>#N/A</v>
      </c>
      <c r="AA253" s="25" t="e" cm="1">
        <f t="array" aca="1" ref="AA253" ca="1">MMS_PastureBeef_Methane_Equations.VEERG_4_2_1_1__1_TotalAnnualMethaneProductionFromManureManagement(Z221,AA179,Z237)</f>
        <v>#N/A</v>
      </c>
      <c r="AB253" s="25" t="e" cm="1">
        <f t="array" aca="1" ref="AB253" ca="1">MMS_PastureBeef_Methane_Equations.VEERG_4_2_1_1__1_TotalAnnualMethaneProductionFromManureManagement(AA221,AB179,AA237)</f>
        <v>#N/A</v>
      </c>
      <c r="AC253" s="25" t="e" cm="1">
        <f t="array" aca="1" ref="AC253" ca="1">MMS_PastureBeef_Methane_Equations.VEERG_4_2_1_1__1_TotalAnnualMethaneProductionFromManureManagement(AB221,AC179,AB237)</f>
        <v>#N/A</v>
      </c>
      <c r="AD253" s="25" t="e" cm="1">
        <f t="array" aca="1" ref="AD253" ca="1">MMS_PastureBeef_Methane_Equations.VEERG_4_2_1_1__1_TotalAnnualMethaneProductionFromManureManagement(AC221,AD179,AC237)</f>
        <v>#N/A</v>
      </c>
      <c r="AE253" s="25" t="e" cm="1">
        <f t="array" aca="1" ref="AE253" ca="1">MMS_PastureBeef_Methane_Equations.VEERG_4_2_1_1__1_TotalAnnualMethaneProductionFromManureManagement(AD221,AE179,AD237)</f>
        <v>#N/A</v>
      </c>
      <c r="AF253" s="25" t="e" cm="1">
        <f t="array" aca="1" ref="AF253" ca="1">MMS_PastureBeef_Methane_Equations.VEERG_4_2_1_1__1_TotalAnnualMethaneProductionFromManureManagement(AE221,AF179,AE237)</f>
        <v>#N/A</v>
      </c>
      <c r="AG253" s="25" t="e" cm="1">
        <f t="array" aca="1" ref="AG253" ca="1">MMS_PastureBeef_Methane_Equations.VEERG_4_2_1_1__1_TotalAnnualMethaneProductionFromManureManagement(AF221,AG179,AF237)</f>
        <v>#N/A</v>
      </c>
      <c r="AH253" s="25" t="e" cm="1">
        <f t="array" aca="1" ref="AH253" ca="1">MMS_PastureBeef_Methane_Equations.VEERG_4_2_1_1__1_TotalAnnualMethaneProductionFromManureManagement(AG221,AH179,AG237)</f>
        <v>#N/A</v>
      </c>
      <c r="AI253" s="26" t="str">
        <f t="shared" si="11"/>
        <v>t CH4</v>
      </c>
      <c r="AJ253" s="26"/>
    </row>
    <row r="254" spans="4:36" ht="20.100000000000001" customHeight="1" x14ac:dyDescent="0.25">
      <c r="W254" s="25" t="str">
        <f>'Input - Pasture Beef'!$D$180</f>
        <v>Pasture range and paddock</v>
      </c>
      <c r="X254" s="25" t="e">
        <f t="shared" si="12"/>
        <v>#VALUE!</v>
      </c>
      <c r="Y254" s="25" t="e" cm="1">
        <f t="array" aca="1" ref="Y254" ca="1">MMS_PastureBeef_Methane_Equations.VEERG_4_2_1_1__1_TotalAnnualMethaneProductionFromManureManagement(X222,Y180,X238)</f>
        <v>#N/A</v>
      </c>
      <c r="Z254" s="25" t="e" cm="1">
        <f t="array" aca="1" ref="Z254" ca="1">MMS_PastureBeef_Methane_Equations.VEERG_4_2_1_1__1_TotalAnnualMethaneProductionFromManureManagement(Y222,Z180,Y238)</f>
        <v>#N/A</v>
      </c>
      <c r="AA254" s="25" t="e" cm="1">
        <f t="array" aca="1" ref="AA254" ca="1">MMS_PastureBeef_Methane_Equations.VEERG_4_2_1_1__1_TotalAnnualMethaneProductionFromManureManagement(Z222,AA180,Z238)</f>
        <v>#N/A</v>
      </c>
      <c r="AB254" s="25" t="e" cm="1">
        <f t="array" aca="1" ref="AB254" ca="1">MMS_PastureBeef_Methane_Equations.VEERG_4_2_1_1__1_TotalAnnualMethaneProductionFromManureManagement(AA222,AB180,AA238)</f>
        <v>#N/A</v>
      </c>
      <c r="AC254" s="25" t="e" cm="1">
        <f t="array" aca="1" ref="AC254" ca="1">MMS_PastureBeef_Methane_Equations.VEERG_4_2_1_1__1_TotalAnnualMethaneProductionFromManureManagement(AB222,AC180,AB238)</f>
        <v>#N/A</v>
      </c>
      <c r="AD254" s="25" t="e" cm="1">
        <f t="array" aca="1" ref="AD254" ca="1">MMS_PastureBeef_Methane_Equations.VEERG_4_2_1_1__1_TotalAnnualMethaneProductionFromManureManagement(AC222,AD180,AC238)</f>
        <v>#N/A</v>
      </c>
      <c r="AE254" s="25" t="e" cm="1">
        <f t="array" aca="1" ref="AE254" ca="1">MMS_PastureBeef_Methane_Equations.VEERG_4_2_1_1__1_TotalAnnualMethaneProductionFromManureManagement(AD222,AE180,AD238)</f>
        <v>#N/A</v>
      </c>
      <c r="AF254" s="25" t="e" cm="1">
        <f t="array" aca="1" ref="AF254" ca="1">MMS_PastureBeef_Methane_Equations.VEERG_4_2_1_1__1_TotalAnnualMethaneProductionFromManureManagement(AE222,AF180,AE238)</f>
        <v>#N/A</v>
      </c>
      <c r="AG254" s="25" t="e" cm="1">
        <f t="array" aca="1" ref="AG254" ca="1">MMS_PastureBeef_Methane_Equations.VEERG_4_2_1_1__1_TotalAnnualMethaneProductionFromManureManagement(AF222,AG180,AF238)</f>
        <v>#N/A</v>
      </c>
      <c r="AH254" s="25" t="e" cm="1">
        <f t="array" aca="1" ref="AH254" ca="1">MMS_PastureBeef_Methane_Equations.VEERG_4_2_1_1__1_TotalAnnualMethaneProductionFromManureManagement(AG222,AH180,AG238)</f>
        <v>#N/A</v>
      </c>
      <c r="AI254" s="26" t="str">
        <f t="shared" si="11"/>
        <v>t CH4</v>
      </c>
      <c r="AJ254" s="26"/>
    </row>
    <row r="255" spans="4:36" ht="20.100000000000001" customHeight="1" x14ac:dyDescent="0.25">
      <c r="W255" s="25" t="str">
        <f>'Input - Pasture Beef'!$D$180</f>
        <v>Pasture range and paddock</v>
      </c>
      <c r="X255" s="25" t="e">
        <f t="shared" si="12"/>
        <v>#VALUE!</v>
      </c>
      <c r="Y255" s="25" t="e" cm="1">
        <f t="array" aca="1" ref="Y255" ca="1">MMS_PastureBeef_Methane_Equations.VEERG_4_2_1_1__1_TotalAnnualMethaneProductionFromManureManagement(X223,Y181,X239)</f>
        <v>#N/A</v>
      </c>
      <c r="Z255" s="25" t="e" cm="1">
        <f t="array" aca="1" ref="Z255" ca="1">MMS_PastureBeef_Methane_Equations.VEERG_4_2_1_1__1_TotalAnnualMethaneProductionFromManureManagement(Y223,Z181,Y239)</f>
        <v>#N/A</v>
      </c>
      <c r="AA255" s="25" t="e" cm="1">
        <f t="array" aca="1" ref="AA255" ca="1">MMS_PastureBeef_Methane_Equations.VEERG_4_2_1_1__1_TotalAnnualMethaneProductionFromManureManagement(Z223,AA181,Z239)</f>
        <v>#N/A</v>
      </c>
      <c r="AB255" s="25" t="e" cm="1">
        <f t="array" aca="1" ref="AB255" ca="1">MMS_PastureBeef_Methane_Equations.VEERG_4_2_1_1__1_TotalAnnualMethaneProductionFromManureManagement(AA223,AB181,AA239)</f>
        <v>#N/A</v>
      </c>
      <c r="AC255" s="25" t="e" cm="1">
        <f t="array" aca="1" ref="AC255" ca="1">MMS_PastureBeef_Methane_Equations.VEERG_4_2_1_1__1_TotalAnnualMethaneProductionFromManureManagement(AB223,AC181,AB239)</f>
        <v>#N/A</v>
      </c>
      <c r="AD255" s="25" t="e" cm="1">
        <f t="array" aca="1" ref="AD255" ca="1">MMS_PastureBeef_Methane_Equations.VEERG_4_2_1_1__1_TotalAnnualMethaneProductionFromManureManagement(AC223,AD181,AC239)</f>
        <v>#N/A</v>
      </c>
      <c r="AE255" s="25" t="e" cm="1">
        <f t="array" aca="1" ref="AE255" ca="1">MMS_PastureBeef_Methane_Equations.VEERG_4_2_1_1__1_TotalAnnualMethaneProductionFromManureManagement(AD223,AE181,AD239)</f>
        <v>#N/A</v>
      </c>
      <c r="AF255" s="25" t="e" cm="1">
        <f t="array" aca="1" ref="AF255" ca="1">MMS_PastureBeef_Methane_Equations.VEERG_4_2_1_1__1_TotalAnnualMethaneProductionFromManureManagement(AE223,AF181,AE239)</f>
        <v>#N/A</v>
      </c>
      <c r="AG255" s="25" t="e" cm="1">
        <f t="array" aca="1" ref="AG255" ca="1">MMS_PastureBeef_Methane_Equations.VEERG_4_2_1_1__1_TotalAnnualMethaneProductionFromManureManagement(AF223,AG181,AF239)</f>
        <v>#N/A</v>
      </c>
      <c r="AH255" s="25" t="e" cm="1">
        <f t="array" aca="1" ref="AH255" ca="1">MMS_PastureBeef_Methane_Equations.VEERG_4_2_1_1__1_TotalAnnualMethaneProductionFromManureManagement(AG223,AH181,AG239)</f>
        <v>#N/A</v>
      </c>
      <c r="AI255" s="26" t="str">
        <f t="shared" si="11"/>
        <v>t CH4</v>
      </c>
      <c r="AJ255" s="26"/>
    </row>
    <row r="256" spans="4:36" ht="20.100000000000001" customHeight="1" x14ac:dyDescent="0.25">
      <c r="W256" s="25" t="str">
        <f>'Input - Pasture Beef'!$D$180</f>
        <v>Pasture range and paddock</v>
      </c>
      <c r="X256" s="25" t="e">
        <f t="shared" si="12"/>
        <v>#VALUE!</v>
      </c>
      <c r="Y256" s="25" t="e" cm="1">
        <f t="array" aca="1" ref="Y256" ca="1">MMS_PastureBeef_Methane_Equations.VEERG_4_2_1_1__1_TotalAnnualMethaneProductionFromManureManagement(X224,Y182,X240)</f>
        <v>#N/A</v>
      </c>
      <c r="Z256" s="25" t="e" cm="1">
        <f t="array" aca="1" ref="Z256" ca="1">MMS_PastureBeef_Methane_Equations.VEERG_4_2_1_1__1_TotalAnnualMethaneProductionFromManureManagement(Y224,Z182,Y240)</f>
        <v>#N/A</v>
      </c>
      <c r="AA256" s="25" t="e" cm="1">
        <f t="array" aca="1" ref="AA256" ca="1">MMS_PastureBeef_Methane_Equations.VEERG_4_2_1_1__1_TotalAnnualMethaneProductionFromManureManagement(Z224,AA182,Z240)</f>
        <v>#N/A</v>
      </c>
      <c r="AB256" s="25" t="e" cm="1">
        <f t="array" aca="1" ref="AB256" ca="1">MMS_PastureBeef_Methane_Equations.VEERG_4_2_1_1__1_TotalAnnualMethaneProductionFromManureManagement(AA224,AB182,AA240)</f>
        <v>#N/A</v>
      </c>
      <c r="AC256" s="25" t="e" cm="1">
        <f t="array" aca="1" ref="AC256" ca="1">MMS_PastureBeef_Methane_Equations.VEERG_4_2_1_1__1_TotalAnnualMethaneProductionFromManureManagement(AB224,AC182,AB240)</f>
        <v>#N/A</v>
      </c>
      <c r="AD256" s="25" t="e" cm="1">
        <f t="array" aca="1" ref="AD256" ca="1">MMS_PastureBeef_Methane_Equations.VEERG_4_2_1_1__1_TotalAnnualMethaneProductionFromManureManagement(AC224,AD182,AC240)</f>
        <v>#N/A</v>
      </c>
      <c r="AE256" s="25" t="e" cm="1">
        <f t="array" aca="1" ref="AE256" ca="1">MMS_PastureBeef_Methane_Equations.VEERG_4_2_1_1__1_TotalAnnualMethaneProductionFromManureManagement(AD224,AE182,AD240)</f>
        <v>#N/A</v>
      </c>
      <c r="AF256" s="25" t="e" cm="1">
        <f t="array" aca="1" ref="AF256" ca="1">MMS_PastureBeef_Methane_Equations.VEERG_4_2_1_1__1_TotalAnnualMethaneProductionFromManureManagement(AE224,AF182,AE240)</f>
        <v>#N/A</v>
      </c>
      <c r="AG256" s="25" t="e" cm="1">
        <f t="array" aca="1" ref="AG256" ca="1">MMS_PastureBeef_Methane_Equations.VEERG_4_2_1_1__1_TotalAnnualMethaneProductionFromManureManagement(AF224,AG182,AF240)</f>
        <v>#N/A</v>
      </c>
      <c r="AH256" s="25" t="e" cm="1">
        <f t="array" aca="1" ref="AH256" ca="1">MMS_PastureBeef_Methane_Equations.VEERG_4_2_1_1__1_TotalAnnualMethaneProductionFromManureManagement(AG224,AH182,AG240)</f>
        <v>#N/A</v>
      </c>
      <c r="AI256" s="26" t="str">
        <f t="shared" si="11"/>
        <v>t CH4</v>
      </c>
      <c r="AJ256" s="26"/>
    </row>
    <row r="257" spans="23:36" ht="20.100000000000001" customHeight="1" x14ac:dyDescent="0.25">
      <c r="W257" s="25" t="str">
        <f>'Input - Pasture Beef'!$D$180</f>
        <v>Pasture range and paddock</v>
      </c>
      <c r="X257" s="25" t="e">
        <f t="shared" si="12"/>
        <v>#VALUE!</v>
      </c>
      <c r="Y257" s="25" t="e" cm="1">
        <f t="array" aca="1" ref="Y257" ca="1">MMS_PastureBeef_Methane_Equations.VEERG_4_2_1_1__1_TotalAnnualMethaneProductionFromManureManagement(X225,Y183,X241)</f>
        <v>#N/A</v>
      </c>
      <c r="Z257" s="25" t="e" cm="1">
        <f t="array" aca="1" ref="Z257" ca="1">MMS_PastureBeef_Methane_Equations.VEERG_4_2_1_1__1_TotalAnnualMethaneProductionFromManureManagement(Y225,Z183,Y241)</f>
        <v>#N/A</v>
      </c>
      <c r="AA257" s="25" t="e" cm="1">
        <f t="array" aca="1" ref="AA257" ca="1">MMS_PastureBeef_Methane_Equations.VEERG_4_2_1_1__1_TotalAnnualMethaneProductionFromManureManagement(Z225,AA183,Z241)</f>
        <v>#N/A</v>
      </c>
      <c r="AB257" s="25" t="e" cm="1">
        <f t="array" aca="1" ref="AB257" ca="1">MMS_PastureBeef_Methane_Equations.VEERG_4_2_1_1__1_TotalAnnualMethaneProductionFromManureManagement(AA225,AB183,AA241)</f>
        <v>#N/A</v>
      </c>
      <c r="AC257" s="25" t="e" cm="1">
        <f t="array" aca="1" ref="AC257" ca="1">MMS_PastureBeef_Methane_Equations.VEERG_4_2_1_1__1_TotalAnnualMethaneProductionFromManureManagement(AB225,AC183,AB241)</f>
        <v>#N/A</v>
      </c>
      <c r="AD257" s="25" t="e" cm="1">
        <f t="array" aca="1" ref="AD257" ca="1">MMS_PastureBeef_Methane_Equations.VEERG_4_2_1_1__1_TotalAnnualMethaneProductionFromManureManagement(AC225,AD183,AC241)</f>
        <v>#N/A</v>
      </c>
      <c r="AE257" s="25" t="e" cm="1">
        <f t="array" aca="1" ref="AE257" ca="1">MMS_PastureBeef_Methane_Equations.VEERG_4_2_1_1__1_TotalAnnualMethaneProductionFromManureManagement(AD225,AE183,AD241)</f>
        <v>#N/A</v>
      </c>
      <c r="AF257" s="25" t="e" cm="1">
        <f t="array" aca="1" ref="AF257" ca="1">MMS_PastureBeef_Methane_Equations.VEERG_4_2_1_1__1_TotalAnnualMethaneProductionFromManureManagement(AE225,AF183,AE241)</f>
        <v>#N/A</v>
      </c>
      <c r="AG257" s="25" t="e" cm="1">
        <f t="array" aca="1" ref="AG257" ca="1">MMS_PastureBeef_Methane_Equations.VEERG_4_2_1_1__1_TotalAnnualMethaneProductionFromManureManagement(AF225,AG183,AF241)</f>
        <v>#N/A</v>
      </c>
      <c r="AH257" s="25" t="e" cm="1">
        <f t="array" aca="1" ref="AH257" ca="1">MMS_PastureBeef_Methane_Equations.VEERG_4_2_1_1__1_TotalAnnualMethaneProductionFromManureManagement(AG225,AH183,AG241)</f>
        <v>#N/A</v>
      </c>
      <c r="AI257" s="26" t="str">
        <f t="shared" si="11"/>
        <v>t CH4</v>
      </c>
      <c r="AJ257" s="26"/>
    </row>
    <row r="258" spans="23:36" ht="20.100000000000001" customHeight="1" x14ac:dyDescent="0.25">
      <c r="W258" s="25" t="str">
        <f>'Input - Pasture Beef'!$D$180</f>
        <v>Pasture range and paddock</v>
      </c>
      <c r="X258" s="25" t="e">
        <f t="shared" si="12"/>
        <v>#VALUE!</v>
      </c>
      <c r="Y258" s="25" t="e" cm="1">
        <f t="array" aca="1" ref="Y258" ca="1">MMS_PastureBeef_Methane_Equations.VEERG_4_2_1_1__1_TotalAnnualMethaneProductionFromManureManagement(X226,Y184,X242)</f>
        <v>#N/A</v>
      </c>
      <c r="Z258" s="25" t="e" cm="1">
        <f t="array" aca="1" ref="Z258" ca="1">MMS_PastureBeef_Methane_Equations.VEERG_4_2_1_1__1_TotalAnnualMethaneProductionFromManureManagement(Y226,Z184,Y242)</f>
        <v>#N/A</v>
      </c>
      <c r="AA258" s="25" t="e" cm="1">
        <f t="array" aca="1" ref="AA258" ca="1">MMS_PastureBeef_Methane_Equations.VEERG_4_2_1_1__1_TotalAnnualMethaneProductionFromManureManagement(Z226,AA184,Z242)</f>
        <v>#N/A</v>
      </c>
      <c r="AB258" s="25" t="e" cm="1">
        <f t="array" aca="1" ref="AB258" ca="1">MMS_PastureBeef_Methane_Equations.VEERG_4_2_1_1__1_TotalAnnualMethaneProductionFromManureManagement(AA226,AB184,AA242)</f>
        <v>#N/A</v>
      </c>
      <c r="AC258" s="25" t="e" cm="1">
        <f t="array" aca="1" ref="AC258" ca="1">MMS_PastureBeef_Methane_Equations.VEERG_4_2_1_1__1_TotalAnnualMethaneProductionFromManureManagement(AB226,AC184,AB242)</f>
        <v>#N/A</v>
      </c>
      <c r="AD258" s="25" t="e" cm="1">
        <f t="array" aca="1" ref="AD258" ca="1">MMS_PastureBeef_Methane_Equations.VEERG_4_2_1_1__1_TotalAnnualMethaneProductionFromManureManagement(AC226,AD184,AC242)</f>
        <v>#N/A</v>
      </c>
      <c r="AE258" s="25" t="e" cm="1">
        <f t="array" aca="1" ref="AE258" ca="1">MMS_PastureBeef_Methane_Equations.VEERG_4_2_1_1__1_TotalAnnualMethaneProductionFromManureManagement(AD226,AE184,AD242)</f>
        <v>#N/A</v>
      </c>
      <c r="AF258" s="25" t="e" cm="1">
        <f t="array" aca="1" ref="AF258" ca="1">MMS_PastureBeef_Methane_Equations.VEERG_4_2_1_1__1_TotalAnnualMethaneProductionFromManureManagement(AE226,AF184,AE242)</f>
        <v>#N/A</v>
      </c>
      <c r="AG258" s="25" t="e" cm="1">
        <f t="array" aca="1" ref="AG258" ca="1">MMS_PastureBeef_Methane_Equations.VEERG_4_2_1_1__1_TotalAnnualMethaneProductionFromManureManagement(AF226,AG184,AF242)</f>
        <v>#N/A</v>
      </c>
      <c r="AH258" s="25" t="e" cm="1">
        <f t="array" aca="1" ref="AH258" ca="1">MMS_PastureBeef_Methane_Equations.VEERG_4_2_1_1__1_TotalAnnualMethaneProductionFromManureManagement(AG226,AH184,AG242)</f>
        <v>#N/A</v>
      </c>
      <c r="AI258" s="26" t="str">
        <f t="shared" si="11"/>
        <v>t CH4</v>
      </c>
      <c r="AJ258" s="26"/>
    </row>
    <row r="259" spans="23:36" ht="20.100000000000001" customHeight="1" x14ac:dyDescent="0.25">
      <c r="W259" s="25" t="str">
        <f>'Input - Pasture Beef'!$D$180</f>
        <v>Pasture range and paddock</v>
      </c>
      <c r="X259" s="25" t="e">
        <f t="shared" si="12"/>
        <v>#VALUE!</v>
      </c>
      <c r="Y259" s="25" t="e" cm="1">
        <f t="array" aca="1" ref="Y259" ca="1">MMS_PastureBeef_Methane_Equations.VEERG_4_2_1_1__1_TotalAnnualMethaneProductionFromManureManagement(X227,Y185,X243)</f>
        <v>#N/A</v>
      </c>
      <c r="Z259" s="25" t="e" cm="1">
        <f t="array" aca="1" ref="Z259" ca="1">MMS_PastureBeef_Methane_Equations.VEERG_4_2_1_1__1_TotalAnnualMethaneProductionFromManureManagement(Y227,Z185,Y243)</f>
        <v>#N/A</v>
      </c>
      <c r="AA259" s="25" t="e" cm="1">
        <f t="array" aca="1" ref="AA259" ca="1">MMS_PastureBeef_Methane_Equations.VEERG_4_2_1_1__1_TotalAnnualMethaneProductionFromManureManagement(Z227,AA185,Z243)</f>
        <v>#N/A</v>
      </c>
      <c r="AB259" s="25" t="e" cm="1">
        <f t="array" aca="1" ref="AB259" ca="1">MMS_PastureBeef_Methane_Equations.VEERG_4_2_1_1__1_TotalAnnualMethaneProductionFromManureManagement(AA227,AB185,AA243)</f>
        <v>#N/A</v>
      </c>
      <c r="AC259" s="25" t="e" cm="1">
        <f t="array" aca="1" ref="AC259" ca="1">MMS_PastureBeef_Methane_Equations.VEERG_4_2_1_1__1_TotalAnnualMethaneProductionFromManureManagement(AB227,AC185,AB243)</f>
        <v>#N/A</v>
      </c>
      <c r="AD259" s="25" t="e" cm="1">
        <f t="array" aca="1" ref="AD259" ca="1">MMS_PastureBeef_Methane_Equations.VEERG_4_2_1_1__1_TotalAnnualMethaneProductionFromManureManagement(AC227,AD185,AC243)</f>
        <v>#N/A</v>
      </c>
      <c r="AE259" s="25" t="e" cm="1">
        <f t="array" aca="1" ref="AE259" ca="1">MMS_PastureBeef_Methane_Equations.VEERG_4_2_1_1__1_TotalAnnualMethaneProductionFromManureManagement(AD227,AE185,AD243)</f>
        <v>#N/A</v>
      </c>
      <c r="AF259" s="25" t="e" cm="1">
        <f t="array" aca="1" ref="AF259" ca="1">MMS_PastureBeef_Methane_Equations.VEERG_4_2_1_1__1_TotalAnnualMethaneProductionFromManureManagement(AE227,AF185,AE243)</f>
        <v>#N/A</v>
      </c>
      <c r="AG259" s="25" t="e" cm="1">
        <f t="array" aca="1" ref="AG259" ca="1">MMS_PastureBeef_Methane_Equations.VEERG_4_2_1_1__1_TotalAnnualMethaneProductionFromManureManagement(AF227,AG185,AF243)</f>
        <v>#N/A</v>
      </c>
      <c r="AH259" s="25" t="e" cm="1">
        <f t="array" aca="1" ref="AH259" ca="1">MMS_PastureBeef_Methane_Equations.VEERG_4_2_1_1__1_TotalAnnualMethaneProductionFromManureManagement(AG227,AH185,AG243)</f>
        <v>#N/A</v>
      </c>
      <c r="AI259" s="26" t="str">
        <f t="shared" si="11"/>
        <v>t CH4</v>
      </c>
      <c r="AJ259" s="26"/>
    </row>
    <row r="260" spans="23:36" ht="20.100000000000001" customHeight="1" x14ac:dyDescent="0.25">
      <c r="W260" s="25" t="str">
        <f>'Input - Pasture Beef'!$D$180</f>
        <v>Pasture range and paddock</v>
      </c>
      <c r="X260" s="25" t="e">
        <f t="shared" si="12"/>
        <v>#VALUE!</v>
      </c>
      <c r="Y260" s="25" t="e" cm="1">
        <f t="array" aca="1" ref="Y260" ca="1">MMS_PastureBeef_Methane_Equations.VEERG_4_2_1_1__1_TotalAnnualMethaneProductionFromManureManagement(X228,Y186,X244)</f>
        <v>#N/A</v>
      </c>
      <c r="Z260" s="25" t="e" cm="1">
        <f t="array" aca="1" ref="Z260" ca="1">MMS_PastureBeef_Methane_Equations.VEERG_4_2_1_1__1_TotalAnnualMethaneProductionFromManureManagement(Y228,Z186,Y244)</f>
        <v>#N/A</v>
      </c>
      <c r="AA260" s="25" t="e" cm="1">
        <f t="array" aca="1" ref="AA260" ca="1">MMS_PastureBeef_Methane_Equations.VEERG_4_2_1_1__1_TotalAnnualMethaneProductionFromManureManagement(Z228,AA186,Z244)</f>
        <v>#N/A</v>
      </c>
      <c r="AB260" s="25" t="e" cm="1">
        <f t="array" aca="1" ref="AB260" ca="1">MMS_PastureBeef_Methane_Equations.VEERG_4_2_1_1__1_TotalAnnualMethaneProductionFromManureManagement(AA228,AB186,AA244)</f>
        <v>#N/A</v>
      </c>
      <c r="AC260" s="25" t="e" cm="1">
        <f t="array" aca="1" ref="AC260" ca="1">MMS_PastureBeef_Methane_Equations.VEERG_4_2_1_1__1_TotalAnnualMethaneProductionFromManureManagement(AB228,AC186,AB244)</f>
        <v>#N/A</v>
      </c>
      <c r="AD260" s="25" t="e" cm="1">
        <f t="array" aca="1" ref="AD260" ca="1">MMS_PastureBeef_Methane_Equations.VEERG_4_2_1_1__1_TotalAnnualMethaneProductionFromManureManagement(AC228,AD186,AC244)</f>
        <v>#N/A</v>
      </c>
      <c r="AE260" s="25" t="e" cm="1">
        <f t="array" aca="1" ref="AE260" ca="1">MMS_PastureBeef_Methane_Equations.VEERG_4_2_1_1__1_TotalAnnualMethaneProductionFromManureManagement(AD228,AE186,AD244)</f>
        <v>#N/A</v>
      </c>
      <c r="AF260" s="25" t="e" cm="1">
        <f t="array" aca="1" ref="AF260" ca="1">MMS_PastureBeef_Methane_Equations.VEERG_4_2_1_1__1_TotalAnnualMethaneProductionFromManureManagement(AE228,AF186,AE244)</f>
        <v>#N/A</v>
      </c>
      <c r="AG260" s="25" t="e" cm="1">
        <f t="array" aca="1" ref="AG260" ca="1">MMS_PastureBeef_Methane_Equations.VEERG_4_2_1_1__1_TotalAnnualMethaneProductionFromManureManagement(AF228,AG186,AF244)</f>
        <v>#N/A</v>
      </c>
      <c r="AH260" s="25" t="e" cm="1">
        <f t="array" aca="1" ref="AH260" ca="1">MMS_PastureBeef_Methane_Equations.VEERG_4_2_1_1__1_TotalAnnualMethaneProductionFromManureManagement(AG228,AH186,AG244)</f>
        <v>#N/A</v>
      </c>
      <c r="AI260" s="26" t="str">
        <f t="shared" si="11"/>
        <v>t CH4</v>
      </c>
      <c r="AJ260" s="26"/>
    </row>
    <row r="261" spans="23:36" ht="20.100000000000001" customHeight="1" x14ac:dyDescent="0.25">
      <c r="W261" s="25" t="str">
        <f>'Input - Pasture Beef'!$D$180</f>
        <v>Pasture range and paddock</v>
      </c>
      <c r="X261" s="25" t="e">
        <f t="shared" si="12"/>
        <v>#VALUE!</v>
      </c>
      <c r="Y261" s="25" t="e" cm="1">
        <f t="array" aca="1" ref="Y261" ca="1">MMS_PastureBeef_Methane_Equations.VEERG_4_2_1_1__1_TotalAnnualMethaneProductionFromManureManagement(X229,Y187,X245)</f>
        <v>#N/A</v>
      </c>
      <c r="Z261" s="25" t="e" cm="1">
        <f t="array" aca="1" ref="Z261" ca="1">MMS_PastureBeef_Methane_Equations.VEERG_4_2_1_1__1_TotalAnnualMethaneProductionFromManureManagement(Y229,Z187,Y245)</f>
        <v>#N/A</v>
      </c>
      <c r="AA261" s="25" t="e" cm="1">
        <f t="array" aca="1" ref="AA261" ca="1">MMS_PastureBeef_Methane_Equations.VEERG_4_2_1_1__1_TotalAnnualMethaneProductionFromManureManagement(Z229,AA187,Z245)</f>
        <v>#N/A</v>
      </c>
      <c r="AB261" s="25" t="e" cm="1">
        <f t="array" aca="1" ref="AB261" ca="1">MMS_PastureBeef_Methane_Equations.VEERG_4_2_1_1__1_TotalAnnualMethaneProductionFromManureManagement(AA229,AB187,AA245)</f>
        <v>#N/A</v>
      </c>
      <c r="AC261" s="25" t="e" cm="1">
        <f t="array" aca="1" ref="AC261" ca="1">MMS_PastureBeef_Methane_Equations.VEERG_4_2_1_1__1_TotalAnnualMethaneProductionFromManureManagement(AB229,AC187,AB245)</f>
        <v>#N/A</v>
      </c>
      <c r="AD261" s="25" t="e" cm="1">
        <f t="array" aca="1" ref="AD261" ca="1">MMS_PastureBeef_Methane_Equations.VEERG_4_2_1_1__1_TotalAnnualMethaneProductionFromManureManagement(AC229,AD187,AC245)</f>
        <v>#N/A</v>
      </c>
      <c r="AE261" s="25" t="e" cm="1">
        <f t="array" aca="1" ref="AE261" ca="1">MMS_PastureBeef_Methane_Equations.VEERG_4_2_1_1__1_TotalAnnualMethaneProductionFromManureManagement(AD229,AE187,AD245)</f>
        <v>#N/A</v>
      </c>
      <c r="AF261" s="25" t="e" cm="1">
        <f t="array" aca="1" ref="AF261" ca="1">MMS_PastureBeef_Methane_Equations.VEERG_4_2_1_1__1_TotalAnnualMethaneProductionFromManureManagement(AE229,AF187,AE245)</f>
        <v>#N/A</v>
      </c>
      <c r="AG261" s="25" t="e" cm="1">
        <f t="array" aca="1" ref="AG261" ca="1">MMS_PastureBeef_Methane_Equations.VEERG_4_2_1_1__1_TotalAnnualMethaneProductionFromManureManagement(AF229,AG187,AF245)</f>
        <v>#N/A</v>
      </c>
      <c r="AH261" s="25" t="e" cm="1">
        <f t="array" aca="1" ref="AH261" ca="1">MMS_PastureBeef_Methane_Equations.VEERG_4_2_1_1__1_TotalAnnualMethaneProductionFromManureManagement(AG229,AH187,AG245)</f>
        <v>#N/A</v>
      </c>
      <c r="AI261" s="26" t="str">
        <f t="shared" si="11"/>
        <v>t CH4</v>
      </c>
      <c r="AJ261" s="26"/>
    </row>
    <row r="262" spans="23:36" ht="20.100000000000001" customHeight="1" x14ac:dyDescent="0.25">
      <c r="W262" s="25" t="str">
        <f>'Input - Pasture Beef'!$D$180</f>
        <v>Pasture range and paddock</v>
      </c>
      <c r="X262" s="25" t="e">
        <f t="shared" si="12"/>
        <v>#VALUE!</v>
      </c>
      <c r="Y262" s="25" t="e" cm="1">
        <f t="array" aca="1" ref="Y262" ca="1">MMS_PastureBeef_Methane_Equations.VEERG_4_2_1_1__1_TotalAnnualMethaneProductionFromManureManagement(X230,Y188,X246)</f>
        <v>#N/A</v>
      </c>
      <c r="Z262" s="25" t="e" cm="1">
        <f t="array" aca="1" ref="Z262" ca="1">MMS_PastureBeef_Methane_Equations.VEERG_4_2_1_1__1_TotalAnnualMethaneProductionFromManureManagement(Y230,Z188,Y246)</f>
        <v>#N/A</v>
      </c>
      <c r="AA262" s="25" t="e" cm="1">
        <f t="array" aca="1" ref="AA262" ca="1">MMS_PastureBeef_Methane_Equations.VEERG_4_2_1_1__1_TotalAnnualMethaneProductionFromManureManagement(Z230,AA188,Z246)</f>
        <v>#N/A</v>
      </c>
      <c r="AB262" s="25" t="e" cm="1">
        <f t="array" aca="1" ref="AB262" ca="1">MMS_PastureBeef_Methane_Equations.VEERG_4_2_1_1__1_TotalAnnualMethaneProductionFromManureManagement(AA230,AB188,AA246)</f>
        <v>#N/A</v>
      </c>
      <c r="AC262" s="25" t="e" cm="1">
        <f t="array" aca="1" ref="AC262" ca="1">MMS_PastureBeef_Methane_Equations.VEERG_4_2_1_1__1_TotalAnnualMethaneProductionFromManureManagement(AB230,AC188,AB246)</f>
        <v>#N/A</v>
      </c>
      <c r="AD262" s="25" t="e" cm="1">
        <f t="array" aca="1" ref="AD262" ca="1">MMS_PastureBeef_Methane_Equations.VEERG_4_2_1_1__1_TotalAnnualMethaneProductionFromManureManagement(AC230,AD188,AC246)</f>
        <v>#N/A</v>
      </c>
      <c r="AE262" s="25" t="e" cm="1">
        <f t="array" aca="1" ref="AE262" ca="1">MMS_PastureBeef_Methane_Equations.VEERG_4_2_1_1__1_TotalAnnualMethaneProductionFromManureManagement(AD230,AE188,AD246)</f>
        <v>#N/A</v>
      </c>
      <c r="AF262" s="25" t="e" cm="1">
        <f t="array" aca="1" ref="AF262" ca="1">MMS_PastureBeef_Methane_Equations.VEERG_4_2_1_1__1_TotalAnnualMethaneProductionFromManureManagement(AE230,AF188,AE246)</f>
        <v>#N/A</v>
      </c>
      <c r="AG262" s="25" t="e" cm="1">
        <f t="array" aca="1" ref="AG262" ca="1">MMS_PastureBeef_Methane_Equations.VEERG_4_2_1_1__1_TotalAnnualMethaneProductionFromManureManagement(AF230,AG188,AF246)</f>
        <v>#N/A</v>
      </c>
      <c r="AH262" s="25" t="e" cm="1">
        <f t="array" aca="1" ref="AH262" ca="1">MMS_PastureBeef_Methane_Equations.VEERG_4_2_1_1__1_TotalAnnualMethaneProductionFromManureManagement(AG230,AH188,AG246)</f>
        <v>#N/A</v>
      </c>
      <c r="AI262" s="26" t="str">
        <f t="shared" si="11"/>
        <v>t CH4</v>
      </c>
      <c r="AJ262" s="26"/>
    </row>
    <row r="263" spans="23:36" ht="20.100000000000001" customHeight="1" x14ac:dyDescent="0.25">
      <c r="W263" s="25" t="str">
        <f>'Input - Pasture Beef'!$D$181</f>
        <v>Anaerobic lagoon</v>
      </c>
      <c r="X263" s="25" t="str">
        <f>W235</f>
        <v>NO - Not in leaching zone</v>
      </c>
      <c r="Y263" s="25" t="e" cm="1">
        <f t="array" aca="1" ref="Y263" ca="1">MMS_PastureBeef_Methane_Equations.VEERG_4_2_1_1__1_TotalAnnualMethaneProductionFromManureManagement(X219,Y189,X235)</f>
        <v>#N/A</v>
      </c>
      <c r="Z263" s="25" t="e" cm="1">
        <f t="array" aca="1" ref="Z263" ca="1">MMS_PastureBeef_Methane_Equations.VEERG_4_2_1_1__1_TotalAnnualMethaneProductionFromManureManagement(Y219,Z189,Y235)</f>
        <v>#N/A</v>
      </c>
      <c r="AA263" s="25" t="e" cm="1">
        <f t="array" aca="1" ref="AA263" ca="1">MMS_PastureBeef_Methane_Equations.VEERG_4_2_1_1__1_TotalAnnualMethaneProductionFromManureManagement(Z219,AA189,Z235)</f>
        <v>#N/A</v>
      </c>
      <c r="AB263" s="25" t="e" cm="1">
        <f t="array" aca="1" ref="AB263" ca="1">MMS_PastureBeef_Methane_Equations.VEERG_4_2_1_1__1_TotalAnnualMethaneProductionFromManureManagement(AA219,AB189,AA235)</f>
        <v>#N/A</v>
      </c>
      <c r="AC263" s="25" t="e" cm="1">
        <f t="array" aca="1" ref="AC263" ca="1">MMS_PastureBeef_Methane_Equations.VEERG_4_2_1_1__1_TotalAnnualMethaneProductionFromManureManagement(AB219,AC189,AB235)</f>
        <v>#N/A</v>
      </c>
      <c r="AD263" s="25" t="e" cm="1">
        <f t="array" aca="1" ref="AD263" ca="1">MMS_PastureBeef_Methane_Equations.VEERG_4_2_1_1__1_TotalAnnualMethaneProductionFromManureManagement(AC219,AD189,AC235)</f>
        <v>#N/A</v>
      </c>
      <c r="AE263" s="25" t="e" cm="1">
        <f t="array" aca="1" ref="AE263" ca="1">MMS_PastureBeef_Methane_Equations.VEERG_4_2_1_1__1_TotalAnnualMethaneProductionFromManureManagement(AD219,AE189,AD235)</f>
        <v>#N/A</v>
      </c>
      <c r="AF263" s="25" t="e" cm="1">
        <f t="array" aca="1" ref="AF263" ca="1">MMS_PastureBeef_Methane_Equations.VEERG_4_2_1_1__1_TotalAnnualMethaneProductionFromManureManagement(AE219,AF189,AE235)</f>
        <v>#N/A</v>
      </c>
      <c r="AG263" s="25" t="e" cm="1">
        <f t="array" aca="1" ref="AG263" ca="1">MMS_PastureBeef_Methane_Equations.VEERG_4_2_1_1__1_TotalAnnualMethaneProductionFromManureManagement(AF219,AG189,AF235)</f>
        <v>#N/A</v>
      </c>
      <c r="AH263" s="25" t="e" cm="1">
        <f t="array" aca="1" ref="AH263" ca="1">MMS_PastureBeef_Methane_Equations.VEERG_4_2_1_1__1_TotalAnnualMethaneProductionFromManureManagement(AG219,AH189,AG235)</f>
        <v>#N/A</v>
      </c>
      <c r="AI263" s="26" t="str">
        <f t="shared" si="11"/>
        <v>t CH4</v>
      </c>
      <c r="AJ263" s="26"/>
    </row>
    <row r="264" spans="23:36" ht="20.100000000000001" customHeight="1" x14ac:dyDescent="0.25">
      <c r="W264" s="25" t="str">
        <f>'Input - Pasture Beef'!$D$181</f>
        <v>Anaerobic lagoon</v>
      </c>
      <c r="X264" s="25" t="e">
        <f t="shared" ref="X264:X274" si="13">W236</f>
        <v>#VALUE!</v>
      </c>
      <c r="Y264" s="25" t="e" cm="1">
        <f t="array" aca="1" ref="Y264" ca="1">MMS_PastureBeef_Methane_Equations.VEERG_4_2_1_1__1_TotalAnnualMethaneProductionFromManureManagement(X220,Y190,X236)</f>
        <v>#N/A</v>
      </c>
      <c r="Z264" s="25" t="e" cm="1">
        <f t="array" aca="1" ref="Z264" ca="1">MMS_PastureBeef_Methane_Equations.VEERG_4_2_1_1__1_TotalAnnualMethaneProductionFromManureManagement(Y220,Z190,Y236)</f>
        <v>#N/A</v>
      </c>
      <c r="AA264" s="25" t="e" cm="1">
        <f t="array" aca="1" ref="AA264" ca="1">MMS_PastureBeef_Methane_Equations.VEERG_4_2_1_1__1_TotalAnnualMethaneProductionFromManureManagement(Z220,AA190,Z236)</f>
        <v>#N/A</v>
      </c>
      <c r="AB264" s="25" t="e" cm="1">
        <f t="array" aca="1" ref="AB264" ca="1">MMS_PastureBeef_Methane_Equations.VEERG_4_2_1_1__1_TotalAnnualMethaneProductionFromManureManagement(AA220,AB190,AA236)</f>
        <v>#N/A</v>
      </c>
      <c r="AC264" s="25" t="e" cm="1">
        <f t="array" aca="1" ref="AC264" ca="1">MMS_PastureBeef_Methane_Equations.VEERG_4_2_1_1__1_TotalAnnualMethaneProductionFromManureManagement(AB220,AC190,AB236)</f>
        <v>#N/A</v>
      </c>
      <c r="AD264" s="25" t="e" cm="1">
        <f t="array" aca="1" ref="AD264" ca="1">MMS_PastureBeef_Methane_Equations.VEERG_4_2_1_1__1_TotalAnnualMethaneProductionFromManureManagement(AC220,AD190,AC236)</f>
        <v>#N/A</v>
      </c>
      <c r="AE264" s="25" t="e" cm="1">
        <f t="array" aca="1" ref="AE264" ca="1">MMS_PastureBeef_Methane_Equations.VEERG_4_2_1_1__1_TotalAnnualMethaneProductionFromManureManagement(AD220,AE190,AD236)</f>
        <v>#N/A</v>
      </c>
      <c r="AF264" s="25" t="e" cm="1">
        <f t="array" aca="1" ref="AF264" ca="1">MMS_PastureBeef_Methane_Equations.VEERG_4_2_1_1__1_TotalAnnualMethaneProductionFromManureManagement(AE220,AF190,AE236)</f>
        <v>#N/A</v>
      </c>
      <c r="AG264" s="25" t="e" cm="1">
        <f t="array" aca="1" ref="AG264" ca="1">MMS_PastureBeef_Methane_Equations.VEERG_4_2_1_1__1_TotalAnnualMethaneProductionFromManureManagement(AF220,AG190,AF236)</f>
        <v>#N/A</v>
      </c>
      <c r="AH264" s="25" t="e" cm="1">
        <f t="array" aca="1" ref="AH264" ca="1">MMS_PastureBeef_Methane_Equations.VEERG_4_2_1_1__1_TotalAnnualMethaneProductionFromManureManagement(AG220,AH190,AG236)</f>
        <v>#N/A</v>
      </c>
      <c r="AI264" s="26" t="str">
        <f t="shared" si="11"/>
        <v>t CH4</v>
      </c>
      <c r="AJ264" s="26"/>
    </row>
    <row r="265" spans="23:36" ht="20.100000000000001" customHeight="1" x14ac:dyDescent="0.25">
      <c r="W265" s="25" t="str">
        <f>'Input - Pasture Beef'!$D$181</f>
        <v>Anaerobic lagoon</v>
      </c>
      <c r="X265" s="25" t="e">
        <f t="shared" si="13"/>
        <v>#VALUE!</v>
      </c>
      <c r="Y265" s="25" t="e" cm="1">
        <f t="array" aca="1" ref="Y265" ca="1">MMS_PastureBeef_Methane_Equations.VEERG_4_2_1_1__1_TotalAnnualMethaneProductionFromManureManagement(X221,Y191,X237)</f>
        <v>#N/A</v>
      </c>
      <c r="Z265" s="25" t="e" cm="1">
        <f t="array" aca="1" ref="Z265" ca="1">MMS_PastureBeef_Methane_Equations.VEERG_4_2_1_1__1_TotalAnnualMethaneProductionFromManureManagement(Y221,Z191,Y237)</f>
        <v>#N/A</v>
      </c>
      <c r="AA265" s="25" t="e" cm="1">
        <f t="array" aca="1" ref="AA265" ca="1">MMS_PastureBeef_Methane_Equations.VEERG_4_2_1_1__1_TotalAnnualMethaneProductionFromManureManagement(Z221,AA191,Z237)</f>
        <v>#N/A</v>
      </c>
      <c r="AB265" s="25" t="e" cm="1">
        <f t="array" aca="1" ref="AB265" ca="1">MMS_PastureBeef_Methane_Equations.VEERG_4_2_1_1__1_TotalAnnualMethaneProductionFromManureManagement(AA221,AB191,AA237)</f>
        <v>#N/A</v>
      </c>
      <c r="AC265" s="25" t="e" cm="1">
        <f t="array" aca="1" ref="AC265" ca="1">MMS_PastureBeef_Methane_Equations.VEERG_4_2_1_1__1_TotalAnnualMethaneProductionFromManureManagement(AB221,AC191,AB237)</f>
        <v>#N/A</v>
      </c>
      <c r="AD265" s="25" t="e" cm="1">
        <f t="array" aca="1" ref="AD265" ca="1">MMS_PastureBeef_Methane_Equations.VEERG_4_2_1_1__1_TotalAnnualMethaneProductionFromManureManagement(AC221,AD191,AC237)</f>
        <v>#N/A</v>
      </c>
      <c r="AE265" s="25" t="e" cm="1">
        <f t="array" aca="1" ref="AE265" ca="1">MMS_PastureBeef_Methane_Equations.VEERG_4_2_1_1__1_TotalAnnualMethaneProductionFromManureManagement(AD221,AE191,AD237)</f>
        <v>#N/A</v>
      </c>
      <c r="AF265" s="25" t="e" cm="1">
        <f t="array" aca="1" ref="AF265" ca="1">MMS_PastureBeef_Methane_Equations.VEERG_4_2_1_1__1_TotalAnnualMethaneProductionFromManureManagement(AE221,AF191,AE237)</f>
        <v>#N/A</v>
      </c>
      <c r="AG265" s="25" t="e" cm="1">
        <f t="array" aca="1" ref="AG265" ca="1">MMS_PastureBeef_Methane_Equations.VEERG_4_2_1_1__1_TotalAnnualMethaneProductionFromManureManagement(AF221,AG191,AF237)</f>
        <v>#N/A</v>
      </c>
      <c r="AH265" s="25" t="e" cm="1">
        <f t="array" aca="1" ref="AH265" ca="1">MMS_PastureBeef_Methane_Equations.VEERG_4_2_1_1__1_TotalAnnualMethaneProductionFromManureManagement(AG221,AH191,AG237)</f>
        <v>#N/A</v>
      </c>
      <c r="AI265" s="26" t="str">
        <f t="shared" si="11"/>
        <v>t CH4</v>
      </c>
      <c r="AJ265" s="26"/>
    </row>
    <row r="266" spans="23:36" ht="20.100000000000001" customHeight="1" x14ac:dyDescent="0.25">
      <c r="W266" s="25" t="str">
        <f>'Input - Pasture Beef'!$D$181</f>
        <v>Anaerobic lagoon</v>
      </c>
      <c r="X266" s="25" t="e">
        <f t="shared" si="13"/>
        <v>#VALUE!</v>
      </c>
      <c r="Y266" s="25" t="e" cm="1">
        <f t="array" aca="1" ref="Y266" ca="1">MMS_PastureBeef_Methane_Equations.VEERG_4_2_1_1__1_TotalAnnualMethaneProductionFromManureManagement(X222,Y192,X238)</f>
        <v>#N/A</v>
      </c>
      <c r="Z266" s="25" t="e" cm="1">
        <f t="array" aca="1" ref="Z266" ca="1">MMS_PastureBeef_Methane_Equations.VEERG_4_2_1_1__1_TotalAnnualMethaneProductionFromManureManagement(Y222,Z192,Y238)</f>
        <v>#N/A</v>
      </c>
      <c r="AA266" s="25" t="e" cm="1">
        <f t="array" aca="1" ref="AA266" ca="1">MMS_PastureBeef_Methane_Equations.VEERG_4_2_1_1__1_TotalAnnualMethaneProductionFromManureManagement(Z222,AA192,Z238)</f>
        <v>#N/A</v>
      </c>
      <c r="AB266" s="25" t="e" cm="1">
        <f t="array" aca="1" ref="AB266" ca="1">MMS_PastureBeef_Methane_Equations.VEERG_4_2_1_1__1_TotalAnnualMethaneProductionFromManureManagement(AA222,AB192,AA238)</f>
        <v>#N/A</v>
      </c>
      <c r="AC266" s="25" t="e" cm="1">
        <f t="array" aca="1" ref="AC266" ca="1">MMS_PastureBeef_Methane_Equations.VEERG_4_2_1_1__1_TotalAnnualMethaneProductionFromManureManagement(AB222,AC192,AB238)</f>
        <v>#N/A</v>
      </c>
      <c r="AD266" s="25" t="e" cm="1">
        <f t="array" aca="1" ref="AD266" ca="1">MMS_PastureBeef_Methane_Equations.VEERG_4_2_1_1__1_TotalAnnualMethaneProductionFromManureManagement(AC222,AD192,AC238)</f>
        <v>#N/A</v>
      </c>
      <c r="AE266" s="25" t="e" cm="1">
        <f t="array" aca="1" ref="AE266" ca="1">MMS_PastureBeef_Methane_Equations.VEERG_4_2_1_1__1_TotalAnnualMethaneProductionFromManureManagement(AD222,AE192,AD238)</f>
        <v>#N/A</v>
      </c>
      <c r="AF266" s="25" t="e" cm="1">
        <f t="array" aca="1" ref="AF266" ca="1">MMS_PastureBeef_Methane_Equations.VEERG_4_2_1_1__1_TotalAnnualMethaneProductionFromManureManagement(AE222,AF192,AE238)</f>
        <v>#N/A</v>
      </c>
      <c r="AG266" s="25" t="e" cm="1">
        <f t="array" aca="1" ref="AG266" ca="1">MMS_PastureBeef_Methane_Equations.VEERG_4_2_1_1__1_TotalAnnualMethaneProductionFromManureManagement(AF222,AG192,AF238)</f>
        <v>#N/A</v>
      </c>
      <c r="AH266" s="25" t="e" cm="1">
        <f t="array" aca="1" ref="AH266" ca="1">MMS_PastureBeef_Methane_Equations.VEERG_4_2_1_1__1_TotalAnnualMethaneProductionFromManureManagement(AG222,AH192,AG238)</f>
        <v>#N/A</v>
      </c>
      <c r="AI266" s="26" t="str">
        <f t="shared" si="11"/>
        <v>t CH4</v>
      </c>
      <c r="AJ266" s="26"/>
    </row>
    <row r="267" spans="23:36" ht="20.100000000000001" customHeight="1" x14ac:dyDescent="0.25">
      <c r="W267" s="25" t="str">
        <f>'Input - Pasture Beef'!$D$181</f>
        <v>Anaerobic lagoon</v>
      </c>
      <c r="X267" s="25" t="e">
        <f t="shared" si="13"/>
        <v>#VALUE!</v>
      </c>
      <c r="Y267" s="25" t="e" cm="1">
        <f t="array" aca="1" ref="Y267" ca="1">MMS_PastureBeef_Methane_Equations.VEERG_4_2_1_1__1_TotalAnnualMethaneProductionFromManureManagement(X223,Y193,X239)</f>
        <v>#N/A</v>
      </c>
      <c r="Z267" s="25" t="e" cm="1">
        <f t="array" aca="1" ref="Z267" ca="1">MMS_PastureBeef_Methane_Equations.VEERG_4_2_1_1__1_TotalAnnualMethaneProductionFromManureManagement(Y223,Z193,Y239)</f>
        <v>#N/A</v>
      </c>
      <c r="AA267" s="25" t="e" cm="1">
        <f t="array" aca="1" ref="AA267" ca="1">MMS_PastureBeef_Methane_Equations.VEERG_4_2_1_1__1_TotalAnnualMethaneProductionFromManureManagement(Z223,AA193,Z239)</f>
        <v>#N/A</v>
      </c>
      <c r="AB267" s="25" t="e" cm="1">
        <f t="array" aca="1" ref="AB267" ca="1">MMS_PastureBeef_Methane_Equations.VEERG_4_2_1_1__1_TotalAnnualMethaneProductionFromManureManagement(AA223,AB193,AA239)</f>
        <v>#N/A</v>
      </c>
      <c r="AC267" s="25" t="e" cm="1">
        <f t="array" aca="1" ref="AC267" ca="1">MMS_PastureBeef_Methane_Equations.VEERG_4_2_1_1__1_TotalAnnualMethaneProductionFromManureManagement(AB223,AC193,AB239)</f>
        <v>#N/A</v>
      </c>
      <c r="AD267" s="25" t="e" cm="1">
        <f t="array" aca="1" ref="AD267" ca="1">MMS_PastureBeef_Methane_Equations.VEERG_4_2_1_1__1_TotalAnnualMethaneProductionFromManureManagement(AC223,AD193,AC239)</f>
        <v>#N/A</v>
      </c>
      <c r="AE267" s="25" t="e" cm="1">
        <f t="array" aca="1" ref="AE267" ca="1">MMS_PastureBeef_Methane_Equations.VEERG_4_2_1_1__1_TotalAnnualMethaneProductionFromManureManagement(AD223,AE193,AD239)</f>
        <v>#N/A</v>
      </c>
      <c r="AF267" s="25" t="e" cm="1">
        <f t="array" aca="1" ref="AF267" ca="1">MMS_PastureBeef_Methane_Equations.VEERG_4_2_1_1__1_TotalAnnualMethaneProductionFromManureManagement(AE223,AF193,AE239)</f>
        <v>#N/A</v>
      </c>
      <c r="AG267" s="25" t="e" cm="1">
        <f t="array" aca="1" ref="AG267" ca="1">MMS_PastureBeef_Methane_Equations.VEERG_4_2_1_1__1_TotalAnnualMethaneProductionFromManureManagement(AF223,AG193,AF239)</f>
        <v>#N/A</v>
      </c>
      <c r="AH267" s="25" t="e" cm="1">
        <f t="array" aca="1" ref="AH267" ca="1">MMS_PastureBeef_Methane_Equations.VEERG_4_2_1_1__1_TotalAnnualMethaneProductionFromManureManagement(AG223,AH193,AG239)</f>
        <v>#N/A</v>
      </c>
      <c r="AI267" s="26" t="str">
        <f t="shared" si="11"/>
        <v>t CH4</v>
      </c>
      <c r="AJ267" s="26"/>
    </row>
    <row r="268" spans="23:36" ht="20.100000000000001" customHeight="1" x14ac:dyDescent="0.25">
      <c r="W268" s="25" t="str">
        <f>'Input - Pasture Beef'!$D$181</f>
        <v>Anaerobic lagoon</v>
      </c>
      <c r="X268" s="25" t="e">
        <f t="shared" si="13"/>
        <v>#VALUE!</v>
      </c>
      <c r="Y268" s="25" t="e" cm="1">
        <f t="array" aca="1" ref="Y268" ca="1">MMS_PastureBeef_Methane_Equations.VEERG_4_2_1_1__1_TotalAnnualMethaneProductionFromManureManagement(X224,Y194,X240)</f>
        <v>#N/A</v>
      </c>
      <c r="Z268" s="25" t="e" cm="1">
        <f t="array" aca="1" ref="Z268" ca="1">MMS_PastureBeef_Methane_Equations.VEERG_4_2_1_1__1_TotalAnnualMethaneProductionFromManureManagement(Y224,Z194,Y240)</f>
        <v>#N/A</v>
      </c>
      <c r="AA268" s="25" t="e" cm="1">
        <f t="array" aca="1" ref="AA268" ca="1">MMS_PastureBeef_Methane_Equations.VEERG_4_2_1_1__1_TotalAnnualMethaneProductionFromManureManagement(Z224,AA194,Z240)</f>
        <v>#N/A</v>
      </c>
      <c r="AB268" s="25" t="e" cm="1">
        <f t="array" aca="1" ref="AB268" ca="1">MMS_PastureBeef_Methane_Equations.VEERG_4_2_1_1__1_TotalAnnualMethaneProductionFromManureManagement(AA224,AB194,AA240)</f>
        <v>#N/A</v>
      </c>
      <c r="AC268" s="25" t="e" cm="1">
        <f t="array" aca="1" ref="AC268" ca="1">MMS_PastureBeef_Methane_Equations.VEERG_4_2_1_1__1_TotalAnnualMethaneProductionFromManureManagement(AB224,AC194,AB240)</f>
        <v>#N/A</v>
      </c>
      <c r="AD268" s="25" t="e" cm="1">
        <f t="array" aca="1" ref="AD268" ca="1">MMS_PastureBeef_Methane_Equations.VEERG_4_2_1_1__1_TotalAnnualMethaneProductionFromManureManagement(AC224,AD194,AC240)</f>
        <v>#N/A</v>
      </c>
      <c r="AE268" s="25" t="e" cm="1">
        <f t="array" aca="1" ref="AE268" ca="1">MMS_PastureBeef_Methane_Equations.VEERG_4_2_1_1__1_TotalAnnualMethaneProductionFromManureManagement(AD224,AE194,AD240)</f>
        <v>#N/A</v>
      </c>
      <c r="AF268" s="25" t="e" cm="1">
        <f t="array" aca="1" ref="AF268" ca="1">MMS_PastureBeef_Methane_Equations.VEERG_4_2_1_1__1_TotalAnnualMethaneProductionFromManureManagement(AE224,AF194,AE240)</f>
        <v>#N/A</v>
      </c>
      <c r="AG268" s="25" t="e" cm="1">
        <f t="array" aca="1" ref="AG268" ca="1">MMS_PastureBeef_Methane_Equations.VEERG_4_2_1_1__1_TotalAnnualMethaneProductionFromManureManagement(AF224,AG194,AF240)</f>
        <v>#N/A</v>
      </c>
      <c r="AH268" s="25" t="e" cm="1">
        <f t="array" aca="1" ref="AH268" ca="1">MMS_PastureBeef_Methane_Equations.VEERG_4_2_1_1__1_TotalAnnualMethaneProductionFromManureManagement(AG224,AH194,AG240)</f>
        <v>#N/A</v>
      </c>
      <c r="AI268" s="26" t="str">
        <f t="shared" si="11"/>
        <v>t CH4</v>
      </c>
      <c r="AJ268" s="26"/>
    </row>
    <row r="269" spans="23:36" ht="20.100000000000001" customHeight="1" x14ac:dyDescent="0.25">
      <c r="W269" s="25" t="str">
        <f>'Input - Pasture Beef'!$D$181</f>
        <v>Anaerobic lagoon</v>
      </c>
      <c r="X269" s="25" t="e">
        <f t="shared" si="13"/>
        <v>#VALUE!</v>
      </c>
      <c r="Y269" s="25" t="e" cm="1">
        <f t="array" aca="1" ref="Y269" ca="1">MMS_PastureBeef_Methane_Equations.VEERG_4_2_1_1__1_TotalAnnualMethaneProductionFromManureManagement(X225,Y195,X241)</f>
        <v>#N/A</v>
      </c>
      <c r="Z269" s="25" t="e" cm="1">
        <f t="array" aca="1" ref="Z269" ca="1">MMS_PastureBeef_Methane_Equations.VEERG_4_2_1_1__1_TotalAnnualMethaneProductionFromManureManagement(Y225,Z195,Y241)</f>
        <v>#N/A</v>
      </c>
      <c r="AA269" s="25" t="e" cm="1">
        <f t="array" aca="1" ref="AA269" ca="1">MMS_PastureBeef_Methane_Equations.VEERG_4_2_1_1__1_TotalAnnualMethaneProductionFromManureManagement(Z225,AA195,Z241)</f>
        <v>#N/A</v>
      </c>
      <c r="AB269" s="25" t="e" cm="1">
        <f t="array" aca="1" ref="AB269" ca="1">MMS_PastureBeef_Methane_Equations.VEERG_4_2_1_1__1_TotalAnnualMethaneProductionFromManureManagement(AA225,AB195,AA241)</f>
        <v>#N/A</v>
      </c>
      <c r="AC269" s="25" t="e" cm="1">
        <f t="array" aca="1" ref="AC269" ca="1">MMS_PastureBeef_Methane_Equations.VEERG_4_2_1_1__1_TotalAnnualMethaneProductionFromManureManagement(AB225,AC195,AB241)</f>
        <v>#N/A</v>
      </c>
      <c r="AD269" s="25" t="e" cm="1">
        <f t="array" aca="1" ref="AD269" ca="1">MMS_PastureBeef_Methane_Equations.VEERG_4_2_1_1__1_TotalAnnualMethaneProductionFromManureManagement(AC225,AD195,AC241)</f>
        <v>#N/A</v>
      </c>
      <c r="AE269" s="25" t="e" cm="1">
        <f t="array" aca="1" ref="AE269" ca="1">MMS_PastureBeef_Methane_Equations.VEERG_4_2_1_1__1_TotalAnnualMethaneProductionFromManureManagement(AD225,AE195,AD241)</f>
        <v>#N/A</v>
      </c>
      <c r="AF269" s="25" t="e" cm="1">
        <f t="array" aca="1" ref="AF269" ca="1">MMS_PastureBeef_Methane_Equations.VEERG_4_2_1_1__1_TotalAnnualMethaneProductionFromManureManagement(AE225,AF195,AE241)</f>
        <v>#N/A</v>
      </c>
      <c r="AG269" s="25" t="e" cm="1">
        <f t="array" aca="1" ref="AG269" ca="1">MMS_PastureBeef_Methane_Equations.VEERG_4_2_1_1__1_TotalAnnualMethaneProductionFromManureManagement(AF225,AG195,AF241)</f>
        <v>#N/A</v>
      </c>
      <c r="AH269" s="25" t="e" cm="1">
        <f t="array" aca="1" ref="AH269" ca="1">MMS_PastureBeef_Methane_Equations.VEERG_4_2_1_1__1_TotalAnnualMethaneProductionFromManureManagement(AG225,AH195,AG241)</f>
        <v>#N/A</v>
      </c>
      <c r="AI269" s="26" t="str">
        <f t="shared" si="11"/>
        <v>t CH4</v>
      </c>
      <c r="AJ269" s="26"/>
    </row>
    <row r="270" spans="23:36" ht="20.100000000000001" customHeight="1" x14ac:dyDescent="0.25">
      <c r="W270" s="25" t="str">
        <f>'Input - Pasture Beef'!$D$181</f>
        <v>Anaerobic lagoon</v>
      </c>
      <c r="X270" s="25" t="e">
        <f t="shared" si="13"/>
        <v>#VALUE!</v>
      </c>
      <c r="Y270" s="25" t="e" cm="1">
        <f t="array" aca="1" ref="Y270" ca="1">MMS_PastureBeef_Methane_Equations.VEERG_4_2_1_1__1_TotalAnnualMethaneProductionFromManureManagement(X226,Y196,X242)</f>
        <v>#N/A</v>
      </c>
      <c r="Z270" s="25" t="e" cm="1">
        <f t="array" aca="1" ref="Z270" ca="1">MMS_PastureBeef_Methane_Equations.VEERG_4_2_1_1__1_TotalAnnualMethaneProductionFromManureManagement(Y226,Z196,Y242)</f>
        <v>#N/A</v>
      </c>
      <c r="AA270" s="25" t="e" cm="1">
        <f t="array" aca="1" ref="AA270" ca="1">MMS_PastureBeef_Methane_Equations.VEERG_4_2_1_1__1_TotalAnnualMethaneProductionFromManureManagement(Z226,AA196,Z242)</f>
        <v>#N/A</v>
      </c>
      <c r="AB270" s="25" t="e" cm="1">
        <f t="array" aca="1" ref="AB270" ca="1">MMS_PastureBeef_Methane_Equations.VEERG_4_2_1_1__1_TotalAnnualMethaneProductionFromManureManagement(AA226,AB196,AA242)</f>
        <v>#N/A</v>
      </c>
      <c r="AC270" s="25" t="e" cm="1">
        <f t="array" aca="1" ref="AC270" ca="1">MMS_PastureBeef_Methane_Equations.VEERG_4_2_1_1__1_TotalAnnualMethaneProductionFromManureManagement(AB226,AC196,AB242)</f>
        <v>#N/A</v>
      </c>
      <c r="AD270" s="25" t="e" cm="1">
        <f t="array" aca="1" ref="AD270" ca="1">MMS_PastureBeef_Methane_Equations.VEERG_4_2_1_1__1_TotalAnnualMethaneProductionFromManureManagement(AC226,AD196,AC242)</f>
        <v>#N/A</v>
      </c>
      <c r="AE270" s="25" t="e" cm="1">
        <f t="array" aca="1" ref="AE270" ca="1">MMS_PastureBeef_Methane_Equations.VEERG_4_2_1_1__1_TotalAnnualMethaneProductionFromManureManagement(AD226,AE196,AD242)</f>
        <v>#N/A</v>
      </c>
      <c r="AF270" s="25" t="e" cm="1">
        <f t="array" aca="1" ref="AF270" ca="1">MMS_PastureBeef_Methane_Equations.VEERG_4_2_1_1__1_TotalAnnualMethaneProductionFromManureManagement(AE226,AF196,AE242)</f>
        <v>#N/A</v>
      </c>
      <c r="AG270" s="25" t="e" cm="1">
        <f t="array" aca="1" ref="AG270" ca="1">MMS_PastureBeef_Methane_Equations.VEERG_4_2_1_1__1_TotalAnnualMethaneProductionFromManureManagement(AF226,AG196,AF242)</f>
        <v>#N/A</v>
      </c>
      <c r="AH270" s="25" t="e" cm="1">
        <f t="array" aca="1" ref="AH270" ca="1">MMS_PastureBeef_Methane_Equations.VEERG_4_2_1_1__1_TotalAnnualMethaneProductionFromManureManagement(AG226,AH196,AG242)</f>
        <v>#N/A</v>
      </c>
      <c r="AI270" s="26" t="str">
        <f t="shared" si="11"/>
        <v>t CH4</v>
      </c>
      <c r="AJ270" s="26"/>
    </row>
    <row r="271" spans="23:36" ht="20.100000000000001" customHeight="1" x14ac:dyDescent="0.25">
      <c r="W271" s="25" t="str">
        <f>'Input - Pasture Beef'!$D$181</f>
        <v>Anaerobic lagoon</v>
      </c>
      <c r="X271" s="25" t="e">
        <f t="shared" si="13"/>
        <v>#VALUE!</v>
      </c>
      <c r="Y271" s="25" t="e" cm="1">
        <f t="array" aca="1" ref="Y271" ca="1">MMS_PastureBeef_Methane_Equations.VEERG_4_2_1_1__1_TotalAnnualMethaneProductionFromManureManagement(X227,Y197,X243)</f>
        <v>#N/A</v>
      </c>
      <c r="Z271" s="25" t="e" cm="1">
        <f t="array" aca="1" ref="Z271" ca="1">MMS_PastureBeef_Methane_Equations.VEERG_4_2_1_1__1_TotalAnnualMethaneProductionFromManureManagement(Y227,Z197,Y243)</f>
        <v>#N/A</v>
      </c>
      <c r="AA271" s="25" t="e" cm="1">
        <f t="array" aca="1" ref="AA271" ca="1">MMS_PastureBeef_Methane_Equations.VEERG_4_2_1_1__1_TotalAnnualMethaneProductionFromManureManagement(Z227,AA197,Z243)</f>
        <v>#N/A</v>
      </c>
      <c r="AB271" s="25" t="e" cm="1">
        <f t="array" aca="1" ref="AB271" ca="1">MMS_PastureBeef_Methane_Equations.VEERG_4_2_1_1__1_TotalAnnualMethaneProductionFromManureManagement(AA227,AB197,AA243)</f>
        <v>#N/A</v>
      </c>
      <c r="AC271" s="25" t="e" cm="1">
        <f t="array" aca="1" ref="AC271" ca="1">MMS_PastureBeef_Methane_Equations.VEERG_4_2_1_1__1_TotalAnnualMethaneProductionFromManureManagement(AB227,AC197,AB243)</f>
        <v>#N/A</v>
      </c>
      <c r="AD271" s="25" t="e" cm="1">
        <f t="array" aca="1" ref="AD271" ca="1">MMS_PastureBeef_Methane_Equations.VEERG_4_2_1_1__1_TotalAnnualMethaneProductionFromManureManagement(AC227,AD197,AC243)</f>
        <v>#N/A</v>
      </c>
      <c r="AE271" s="25" t="e" cm="1">
        <f t="array" aca="1" ref="AE271" ca="1">MMS_PastureBeef_Methane_Equations.VEERG_4_2_1_1__1_TotalAnnualMethaneProductionFromManureManagement(AD227,AE197,AD243)</f>
        <v>#N/A</v>
      </c>
      <c r="AF271" s="25" t="e" cm="1">
        <f t="array" aca="1" ref="AF271" ca="1">MMS_PastureBeef_Methane_Equations.VEERG_4_2_1_1__1_TotalAnnualMethaneProductionFromManureManagement(AE227,AF197,AE243)</f>
        <v>#N/A</v>
      </c>
      <c r="AG271" s="25" t="e" cm="1">
        <f t="array" aca="1" ref="AG271" ca="1">MMS_PastureBeef_Methane_Equations.VEERG_4_2_1_1__1_TotalAnnualMethaneProductionFromManureManagement(AF227,AG197,AF243)</f>
        <v>#N/A</v>
      </c>
      <c r="AH271" s="25" t="e" cm="1">
        <f t="array" aca="1" ref="AH271" ca="1">MMS_PastureBeef_Methane_Equations.VEERG_4_2_1_1__1_TotalAnnualMethaneProductionFromManureManagement(AG227,AH197,AG243)</f>
        <v>#N/A</v>
      </c>
      <c r="AI271" s="26" t="str">
        <f t="shared" si="11"/>
        <v>t CH4</v>
      </c>
      <c r="AJ271" s="26"/>
    </row>
    <row r="272" spans="23:36" x14ac:dyDescent="0.25">
      <c r="W272" s="25" t="str">
        <f>'Input - Pasture Beef'!$D$181</f>
        <v>Anaerobic lagoon</v>
      </c>
      <c r="X272" s="25" t="e">
        <f t="shared" si="13"/>
        <v>#VALUE!</v>
      </c>
      <c r="Y272" s="25" t="e" cm="1">
        <f t="array" aca="1" ref="Y272" ca="1">MMS_PastureBeef_Methane_Equations.VEERG_4_2_1_1__1_TotalAnnualMethaneProductionFromManureManagement(X228,Y198,X244)</f>
        <v>#N/A</v>
      </c>
      <c r="Z272" s="25" t="e" cm="1">
        <f t="array" aca="1" ref="Z272" ca="1">MMS_PastureBeef_Methane_Equations.VEERG_4_2_1_1__1_TotalAnnualMethaneProductionFromManureManagement(Y228,Z198,Y244)</f>
        <v>#N/A</v>
      </c>
      <c r="AA272" s="25" t="e" cm="1">
        <f t="array" aca="1" ref="AA272" ca="1">MMS_PastureBeef_Methane_Equations.VEERG_4_2_1_1__1_TotalAnnualMethaneProductionFromManureManagement(Z228,AA198,Z244)</f>
        <v>#N/A</v>
      </c>
      <c r="AB272" s="25" t="e" cm="1">
        <f t="array" aca="1" ref="AB272" ca="1">MMS_PastureBeef_Methane_Equations.VEERG_4_2_1_1__1_TotalAnnualMethaneProductionFromManureManagement(AA228,AB198,AA244)</f>
        <v>#N/A</v>
      </c>
      <c r="AC272" s="25" t="e" cm="1">
        <f t="array" aca="1" ref="AC272" ca="1">MMS_PastureBeef_Methane_Equations.VEERG_4_2_1_1__1_TotalAnnualMethaneProductionFromManureManagement(AB228,AC198,AB244)</f>
        <v>#N/A</v>
      </c>
      <c r="AD272" s="25" t="e" cm="1">
        <f t="array" aca="1" ref="AD272" ca="1">MMS_PastureBeef_Methane_Equations.VEERG_4_2_1_1__1_TotalAnnualMethaneProductionFromManureManagement(AC228,AD198,AC244)</f>
        <v>#N/A</v>
      </c>
      <c r="AE272" s="25" t="e" cm="1">
        <f t="array" aca="1" ref="AE272" ca="1">MMS_PastureBeef_Methane_Equations.VEERG_4_2_1_1__1_TotalAnnualMethaneProductionFromManureManagement(AD228,AE198,AD244)</f>
        <v>#N/A</v>
      </c>
      <c r="AF272" s="25" t="e" cm="1">
        <f t="array" aca="1" ref="AF272" ca="1">MMS_PastureBeef_Methane_Equations.VEERG_4_2_1_1__1_TotalAnnualMethaneProductionFromManureManagement(AE228,AF198,AE244)</f>
        <v>#N/A</v>
      </c>
      <c r="AG272" s="25" t="e" cm="1">
        <f t="array" aca="1" ref="AG272" ca="1">MMS_PastureBeef_Methane_Equations.VEERG_4_2_1_1__1_TotalAnnualMethaneProductionFromManureManagement(AF228,AG198,AF244)</f>
        <v>#N/A</v>
      </c>
      <c r="AH272" s="25" t="e" cm="1">
        <f t="array" aca="1" ref="AH272" ca="1">MMS_PastureBeef_Methane_Equations.VEERG_4_2_1_1__1_TotalAnnualMethaneProductionFromManureManagement(AG228,AH198,AG244)</f>
        <v>#N/A</v>
      </c>
      <c r="AI272" s="26" t="str">
        <f t="shared" si="11"/>
        <v>t CH4</v>
      </c>
      <c r="AJ272" s="26"/>
    </row>
    <row r="273" spans="23:36" x14ac:dyDescent="0.25">
      <c r="W273" s="25" t="str">
        <f>'Input - Pasture Beef'!$D$181</f>
        <v>Anaerobic lagoon</v>
      </c>
      <c r="X273" s="25" t="e">
        <f t="shared" si="13"/>
        <v>#VALUE!</v>
      </c>
      <c r="Y273" s="25" t="e" cm="1">
        <f t="array" aca="1" ref="Y273" ca="1">MMS_PastureBeef_Methane_Equations.VEERG_4_2_1_1__1_TotalAnnualMethaneProductionFromManureManagement(X229,Y199,X245)</f>
        <v>#N/A</v>
      </c>
      <c r="Z273" s="25" t="e" cm="1">
        <f t="array" aca="1" ref="Z273" ca="1">MMS_PastureBeef_Methane_Equations.VEERG_4_2_1_1__1_TotalAnnualMethaneProductionFromManureManagement(Y229,Z199,Y245)</f>
        <v>#N/A</v>
      </c>
      <c r="AA273" s="25" t="e" cm="1">
        <f t="array" aca="1" ref="AA273" ca="1">MMS_PastureBeef_Methane_Equations.VEERG_4_2_1_1__1_TotalAnnualMethaneProductionFromManureManagement(Z229,AA199,Z245)</f>
        <v>#N/A</v>
      </c>
      <c r="AB273" s="25" t="e" cm="1">
        <f t="array" aca="1" ref="AB273" ca="1">MMS_PastureBeef_Methane_Equations.VEERG_4_2_1_1__1_TotalAnnualMethaneProductionFromManureManagement(AA229,AB199,AA245)</f>
        <v>#N/A</v>
      </c>
      <c r="AC273" s="25" t="e" cm="1">
        <f t="array" aca="1" ref="AC273" ca="1">MMS_PastureBeef_Methane_Equations.VEERG_4_2_1_1__1_TotalAnnualMethaneProductionFromManureManagement(AB229,AC199,AB245)</f>
        <v>#N/A</v>
      </c>
      <c r="AD273" s="25" t="e" cm="1">
        <f t="array" aca="1" ref="AD273" ca="1">MMS_PastureBeef_Methane_Equations.VEERG_4_2_1_1__1_TotalAnnualMethaneProductionFromManureManagement(AC229,AD199,AC245)</f>
        <v>#N/A</v>
      </c>
      <c r="AE273" s="25" t="e" cm="1">
        <f t="array" aca="1" ref="AE273" ca="1">MMS_PastureBeef_Methane_Equations.VEERG_4_2_1_1__1_TotalAnnualMethaneProductionFromManureManagement(AD229,AE199,AD245)</f>
        <v>#N/A</v>
      </c>
      <c r="AF273" s="25" t="e" cm="1">
        <f t="array" aca="1" ref="AF273" ca="1">MMS_PastureBeef_Methane_Equations.VEERG_4_2_1_1__1_TotalAnnualMethaneProductionFromManureManagement(AE229,AF199,AE245)</f>
        <v>#N/A</v>
      </c>
      <c r="AG273" s="25" t="e" cm="1">
        <f t="array" aca="1" ref="AG273" ca="1">MMS_PastureBeef_Methane_Equations.VEERG_4_2_1_1__1_TotalAnnualMethaneProductionFromManureManagement(AF229,AG199,AF245)</f>
        <v>#N/A</v>
      </c>
      <c r="AH273" s="25" t="e" cm="1">
        <f t="array" aca="1" ref="AH273" ca="1">MMS_PastureBeef_Methane_Equations.VEERG_4_2_1_1__1_TotalAnnualMethaneProductionFromManureManagement(AG229,AH199,AG245)</f>
        <v>#N/A</v>
      </c>
      <c r="AI273" s="26" t="str">
        <f t="shared" si="11"/>
        <v>t CH4</v>
      </c>
      <c r="AJ273" s="26"/>
    </row>
    <row r="274" spans="23:36" x14ac:dyDescent="0.25">
      <c r="W274" s="25" t="str">
        <f>'Input - Pasture Beef'!$D$181</f>
        <v>Anaerobic lagoon</v>
      </c>
      <c r="X274" s="25" t="e">
        <f t="shared" si="13"/>
        <v>#VALUE!</v>
      </c>
      <c r="Y274" s="25" t="e" cm="1">
        <f t="array" aca="1" ref="Y274" ca="1">MMS_PastureBeef_Methane_Equations.VEERG_4_2_1_1__1_TotalAnnualMethaneProductionFromManureManagement(X230,Y200,X246)</f>
        <v>#N/A</v>
      </c>
      <c r="Z274" s="25" t="e" cm="1">
        <f t="array" aca="1" ref="Z274" ca="1">MMS_PastureBeef_Methane_Equations.VEERG_4_2_1_1__1_TotalAnnualMethaneProductionFromManureManagement(Y230,Z200,Y246)</f>
        <v>#N/A</v>
      </c>
      <c r="AA274" s="25" t="e" cm="1">
        <f t="array" aca="1" ref="AA274" ca="1">MMS_PastureBeef_Methane_Equations.VEERG_4_2_1_1__1_TotalAnnualMethaneProductionFromManureManagement(Z230,AA200,Z246)</f>
        <v>#N/A</v>
      </c>
      <c r="AB274" s="25" t="e" cm="1">
        <f t="array" aca="1" ref="AB274" ca="1">MMS_PastureBeef_Methane_Equations.VEERG_4_2_1_1__1_TotalAnnualMethaneProductionFromManureManagement(AA230,AB200,AA246)</f>
        <v>#N/A</v>
      </c>
      <c r="AC274" s="25" t="e" cm="1">
        <f t="array" aca="1" ref="AC274" ca="1">MMS_PastureBeef_Methane_Equations.VEERG_4_2_1_1__1_TotalAnnualMethaneProductionFromManureManagement(AB230,AC200,AB246)</f>
        <v>#N/A</v>
      </c>
      <c r="AD274" s="25" t="e" cm="1">
        <f t="array" aca="1" ref="AD274" ca="1">MMS_PastureBeef_Methane_Equations.VEERG_4_2_1_1__1_TotalAnnualMethaneProductionFromManureManagement(AC230,AD200,AC246)</f>
        <v>#N/A</v>
      </c>
      <c r="AE274" s="25" t="e" cm="1">
        <f t="array" aca="1" ref="AE274" ca="1">MMS_PastureBeef_Methane_Equations.VEERG_4_2_1_1__1_TotalAnnualMethaneProductionFromManureManagement(AD230,AE200,AD246)</f>
        <v>#N/A</v>
      </c>
      <c r="AF274" s="25" t="e" cm="1">
        <f t="array" aca="1" ref="AF274" ca="1">MMS_PastureBeef_Methane_Equations.VEERG_4_2_1_1__1_TotalAnnualMethaneProductionFromManureManagement(AE230,AF200,AE246)</f>
        <v>#N/A</v>
      </c>
      <c r="AG274" s="25" t="e" cm="1">
        <f t="array" aca="1" ref="AG274" ca="1">MMS_PastureBeef_Methane_Equations.VEERG_4_2_1_1__1_TotalAnnualMethaneProductionFromManureManagement(AF230,AG200,AF246)</f>
        <v>#N/A</v>
      </c>
      <c r="AH274" s="25" t="e" cm="1">
        <f t="array" aca="1" ref="AH274" ca="1">MMS_PastureBeef_Methane_Equations.VEERG_4_2_1_1__1_TotalAnnualMethaneProductionFromManureManagement(AG230,AH200,AG246)</f>
        <v>#N/A</v>
      </c>
      <c r="AI274" s="26" t="str">
        <f t="shared" si="11"/>
        <v>t CH4</v>
      </c>
      <c r="AJ274" s="26"/>
    </row>
    <row r="276" spans="23:36" ht="23.25" x14ac:dyDescent="0.25">
      <c r="W276" s="119" t="s">
        <v>295</v>
      </c>
      <c r="X276" s="120" t="e">
        <f ca="1">SUM(Y251:AH274)</f>
        <v>#N/A</v>
      </c>
      <c r="Y276" s="121" t="e">
        <f ca="1">X242</f>
        <v>#VALUE!</v>
      </c>
    </row>
    <row r="278" spans="23:36" x14ac:dyDescent="0.25">
      <c r="W278" s="122" t="str" cm="1">
        <f t="array" ref="W278:X279">Common_Equations.Common_ConvertCH4ToCO2e_Arguments()</f>
        <v>ECH4</v>
      </c>
      <c r="X278" s="123" t="str">
        <v>Methane emissions (t CH4)</v>
      </c>
      <c r="Y278" s="124"/>
      <c r="Z278" s="25" t="e">
        <f ca="1">X276</f>
        <v>#N/A</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t="e" cm="1">
        <f t="array" aca="1" ref="X281" ca="1">Common_Equations.Common_ConvertN2OToCO2e(Z278,Z279)</f>
        <v>#N/A</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E5C7F3FE-2626-4B14-8A97-2FC2D10BE4D4}"/>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AD436-2CF3-4CE3-A0ED-60B499C1894F}">
  <dimension ref="A1:AI291"/>
  <sheetViews>
    <sheetView showGridLines="0" topLeftCell="P24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X_Cell_Site_State</f>
        <v>Dry climate zone</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t="e" cm="1">
        <f t="array" aca="1" ref="E20:N23" ca="1">OFFSET(X_Table_PastureBeef_Liveweight_Method1, 1,1, 4,10)</f>
        <v>#N/A</v>
      </c>
      <c r="F20" s="25" t="e">
        <f ca="1"/>
        <v>#N/A</v>
      </c>
      <c r="G20" s="25" t="e">
        <f ca="1"/>
        <v>#N/A</v>
      </c>
      <c r="H20" s="25" t="e">
        <f ca="1"/>
        <v>#N/A</v>
      </c>
      <c r="I20" s="25" t="e">
        <f ca="1"/>
        <v>#N/A</v>
      </c>
      <c r="J20" s="25" t="e">
        <f ca="1"/>
        <v>#N/A</v>
      </c>
      <c r="K20" s="25" t="e">
        <f ca="1"/>
        <v>#N/A</v>
      </c>
      <c r="L20" s="25" t="e">
        <f ca="1"/>
        <v>#N/A</v>
      </c>
      <c r="M20" s="25" t="e">
        <f ca="1"/>
        <v>#N/A</v>
      </c>
      <c r="N20" s="25" t="e">
        <f ca="1"/>
        <v>#N/A</v>
      </c>
      <c r="O20" s="26" t="s">
        <v>209</v>
      </c>
      <c r="U20" s="25" t="str">
        <f>TEXT(X_Cell_Site_StartDate,"mmmm")</f>
        <v>NO - Not in leaching zone</v>
      </c>
      <c r="V20" s="25" t="e" cm="1">
        <f t="array" aca="1" ref="V20:AE31" ca="1">OFFSET(X_Table_PastureBeef_Liveweight_Method2, 1,1, 12,10)</f>
        <v>#N/A</v>
      </c>
      <c r="W20" s="25" t="e">
        <f ca="1"/>
        <v>#N/A</v>
      </c>
      <c r="X20" s="25" t="e">
        <f ca="1"/>
        <v>#N/A</v>
      </c>
      <c r="Y20" s="25" t="e">
        <f ca="1"/>
        <v>#N/A</v>
      </c>
      <c r="Z20" s="25" t="e">
        <f ca="1"/>
        <v>#N/A</v>
      </c>
      <c r="AA20" s="25" t="e">
        <f ca="1"/>
        <v>#N/A</v>
      </c>
      <c r="AB20" s="25" t="e">
        <f ca="1"/>
        <v>#N/A</v>
      </c>
      <c r="AC20" s="25" t="e">
        <f ca="1"/>
        <v>#N/A</v>
      </c>
      <c r="AD20" s="25" t="e">
        <f ca="1"/>
        <v>#N/A</v>
      </c>
      <c r="AE20" s="25" t="e">
        <f ca="1"/>
        <v>#N/A</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t="e">
        <f ca="1"/>
        <v>#N/A</v>
      </c>
      <c r="F21" s="25" t="e">
        <f ca="1"/>
        <v>#N/A</v>
      </c>
      <c r="G21" s="25" t="e">
        <f ca="1"/>
        <v>#N/A</v>
      </c>
      <c r="H21" s="25" t="e">
        <f ca="1"/>
        <v>#N/A</v>
      </c>
      <c r="I21" s="25" t="e">
        <f ca="1"/>
        <v>#N/A</v>
      </c>
      <c r="J21" s="25" t="e">
        <f ca="1"/>
        <v>#N/A</v>
      </c>
      <c r="K21" s="25" t="e">
        <f ca="1"/>
        <v>#N/A</v>
      </c>
      <c r="L21" s="25" t="e">
        <f ca="1"/>
        <v>#N/A</v>
      </c>
      <c r="M21" s="25" t="e">
        <f ca="1"/>
        <v>#N/A</v>
      </c>
      <c r="N21" s="25" t="e">
        <f ca="1"/>
        <v>#N/A</v>
      </c>
      <c r="O21" s="26" t="s">
        <v>209</v>
      </c>
      <c r="U21" s="25" t="e">
        <f>TEXT(EDATE(X_Cell_Site_StartDate,1), "mmmm")</f>
        <v>#VALUE!</v>
      </c>
      <c r="V21" s="25" t="e">
        <f ca="1"/>
        <v>#N/A</v>
      </c>
      <c r="W21" s="25" t="e">
        <f ca="1"/>
        <v>#N/A</v>
      </c>
      <c r="X21" s="25" t="e">
        <f ca="1"/>
        <v>#N/A</v>
      </c>
      <c r="Y21" s="25" t="e">
        <f ca="1"/>
        <v>#N/A</v>
      </c>
      <c r="Z21" s="25" t="e">
        <f ca="1"/>
        <v>#N/A</v>
      </c>
      <c r="AA21" s="25" t="e">
        <f ca="1"/>
        <v>#N/A</v>
      </c>
      <c r="AB21" s="25" t="e">
        <f ca="1"/>
        <v>#N/A</v>
      </c>
      <c r="AC21" s="25" t="e">
        <f ca="1"/>
        <v>#N/A</v>
      </c>
      <c r="AD21" s="25" t="e">
        <f ca="1"/>
        <v>#N/A</v>
      </c>
      <c r="AE21" s="25" t="e">
        <f ca="1"/>
        <v>#N/A</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t="e">
        <f ca="1"/>
        <v>#N/A</v>
      </c>
      <c r="F22" s="25" t="e">
        <f ca="1"/>
        <v>#N/A</v>
      </c>
      <c r="G22" s="25" t="e">
        <f ca="1"/>
        <v>#N/A</v>
      </c>
      <c r="H22" s="25" t="e">
        <f ca="1"/>
        <v>#N/A</v>
      </c>
      <c r="I22" s="25" t="e">
        <f ca="1"/>
        <v>#N/A</v>
      </c>
      <c r="J22" s="25" t="e">
        <f ca="1"/>
        <v>#N/A</v>
      </c>
      <c r="K22" s="25" t="e">
        <f ca="1"/>
        <v>#N/A</v>
      </c>
      <c r="L22" s="25" t="e">
        <f ca="1"/>
        <v>#N/A</v>
      </c>
      <c r="M22" s="25" t="e">
        <f ca="1"/>
        <v>#N/A</v>
      </c>
      <c r="N22" s="25" t="e">
        <f ca="1"/>
        <v>#N/A</v>
      </c>
      <c r="O22" s="26" t="s">
        <v>209</v>
      </c>
      <c r="U22" s="25" t="e">
        <f>TEXT(EDATE(X_Cell_Site_StartDate,2), "mmmm")</f>
        <v>#VALUE!</v>
      </c>
      <c r="V22" s="25" t="e">
        <f ca="1"/>
        <v>#N/A</v>
      </c>
      <c r="W22" s="25" t="e">
        <f ca="1"/>
        <v>#N/A</v>
      </c>
      <c r="X22" s="25" t="e">
        <f ca="1"/>
        <v>#N/A</v>
      </c>
      <c r="Y22" s="25" t="e">
        <f ca="1"/>
        <v>#N/A</v>
      </c>
      <c r="Z22" s="25" t="e">
        <f ca="1"/>
        <v>#N/A</v>
      </c>
      <c r="AA22" s="25" t="e">
        <f ca="1"/>
        <v>#N/A</v>
      </c>
      <c r="AB22" s="25" t="e">
        <f ca="1"/>
        <v>#N/A</v>
      </c>
      <c r="AC22" s="25" t="e">
        <f ca="1"/>
        <v>#N/A</v>
      </c>
      <c r="AD22" s="25" t="e">
        <f ca="1"/>
        <v>#N/A</v>
      </c>
      <c r="AE22" s="25" t="e">
        <f ca="1"/>
        <v>#N/A</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t="e">
        <f ca="1"/>
        <v>#N/A</v>
      </c>
      <c r="F23" s="25" t="e">
        <f ca="1"/>
        <v>#N/A</v>
      </c>
      <c r="G23" s="25" t="e">
        <f ca="1"/>
        <v>#N/A</v>
      </c>
      <c r="H23" s="25" t="e">
        <f ca="1"/>
        <v>#N/A</v>
      </c>
      <c r="I23" s="25" t="e">
        <f ca="1"/>
        <v>#N/A</v>
      </c>
      <c r="J23" s="25" t="e">
        <f ca="1"/>
        <v>#N/A</v>
      </c>
      <c r="K23" s="25" t="e">
        <f ca="1"/>
        <v>#N/A</v>
      </c>
      <c r="L23" s="25" t="e">
        <f ca="1"/>
        <v>#N/A</v>
      </c>
      <c r="M23" s="25" t="e">
        <f ca="1"/>
        <v>#N/A</v>
      </c>
      <c r="N23" s="25" t="e">
        <f ca="1"/>
        <v>#N/A</v>
      </c>
      <c r="O23" s="26" t="s">
        <v>209</v>
      </c>
      <c r="U23" s="25" t="e">
        <f>TEXT(EDATE(X_Cell_Site_StartDate,3), "mmmm")</f>
        <v>#VALUE!</v>
      </c>
      <c r="V23" s="25" t="e">
        <f ca="1"/>
        <v>#N/A</v>
      </c>
      <c r="W23" s="25" t="e">
        <f ca="1"/>
        <v>#N/A</v>
      </c>
      <c r="X23" s="25" t="e">
        <f ca="1"/>
        <v>#N/A</v>
      </c>
      <c r="Y23" s="25" t="e">
        <f ca="1"/>
        <v>#N/A</v>
      </c>
      <c r="Z23" s="25" t="e">
        <f ca="1"/>
        <v>#N/A</v>
      </c>
      <c r="AA23" s="25" t="e">
        <f ca="1"/>
        <v>#N/A</v>
      </c>
      <c r="AB23" s="25" t="e">
        <f ca="1"/>
        <v>#N/A</v>
      </c>
      <c r="AC23" s="25" t="e">
        <f ca="1"/>
        <v>#N/A</v>
      </c>
      <c r="AD23" s="25" t="e">
        <f ca="1"/>
        <v>#N/A</v>
      </c>
      <c r="AE23" s="25" t="e">
        <f ca="1"/>
        <v>#N/A</v>
      </c>
      <c r="AF23" s="26" t="s">
        <v>209</v>
      </c>
      <c r="AG23" s="26"/>
      <c r="AH23" s="26"/>
    </row>
    <row r="24" spans="1:34" ht="20.100000000000001" customHeight="1" x14ac:dyDescent="0.25">
      <c r="A24" s="5" t="str">
        <f>HYPERLINK("#'5.1.1.1-2 Inorganic fert N2O'!A1", "5.1.1.1-2 Inorganic fert N2O")</f>
        <v>5.1.1.1-2 Inorganic fert N2O</v>
      </c>
      <c r="U24" s="25" t="e">
        <f>TEXT(EDATE(X_Cell_Site_StartDate,4), "mmmm")</f>
        <v>#VALUE!</v>
      </c>
      <c r="V24" s="25" t="e">
        <f ca="1"/>
        <v>#N/A</v>
      </c>
      <c r="W24" s="25" t="e">
        <f ca="1"/>
        <v>#N/A</v>
      </c>
      <c r="X24" s="25" t="e">
        <f ca="1"/>
        <v>#N/A</v>
      </c>
      <c r="Y24" s="25" t="e">
        <f ca="1"/>
        <v>#N/A</v>
      </c>
      <c r="Z24" s="25" t="e">
        <f ca="1"/>
        <v>#N/A</v>
      </c>
      <c r="AA24" s="25" t="e">
        <f ca="1"/>
        <v>#N/A</v>
      </c>
      <c r="AB24" s="25" t="e">
        <f ca="1"/>
        <v>#N/A</v>
      </c>
      <c r="AC24" s="25" t="e">
        <f ca="1"/>
        <v>#N/A</v>
      </c>
      <c r="AD24" s="25" t="e">
        <f ca="1"/>
        <v>#N/A</v>
      </c>
      <c r="AE24" s="25" t="e">
        <f ca="1"/>
        <v>#N/A</v>
      </c>
      <c r="AF24" s="26" t="s">
        <v>209</v>
      </c>
      <c r="AG24" s="26"/>
      <c r="AH24" s="26"/>
    </row>
    <row r="25" spans="1:34" ht="20.100000000000001" customHeight="1" x14ac:dyDescent="0.25">
      <c r="A25" s="5" t="str">
        <f>HYPERLINK("#'5.1.1.3-4 Inorganic fert CO2'!A1", "5.1.1.3-4 Inorganic fert CO2")</f>
        <v>5.1.1.3-4 Inorganic fert CO2</v>
      </c>
      <c r="D25" s="114" t="s">
        <v>422</v>
      </c>
      <c r="U25" s="25" t="e">
        <f>TEXT(EDATE(X_Cell_Site_StartDate,5), "mmmm")</f>
        <v>#VALUE!</v>
      </c>
      <c r="V25" s="25" t="e">
        <f ca="1"/>
        <v>#N/A</v>
      </c>
      <c r="W25" s="25" t="e">
        <f ca="1"/>
        <v>#N/A</v>
      </c>
      <c r="X25" s="25" t="e">
        <f ca="1"/>
        <v>#N/A</v>
      </c>
      <c r="Y25" s="25" t="e">
        <f ca="1"/>
        <v>#N/A</v>
      </c>
      <c r="Z25" s="25" t="e">
        <f ca="1"/>
        <v>#N/A</v>
      </c>
      <c r="AA25" s="25" t="e">
        <f ca="1"/>
        <v>#N/A</v>
      </c>
      <c r="AB25" s="25" t="e">
        <f ca="1"/>
        <v>#N/A</v>
      </c>
      <c r="AC25" s="25" t="e">
        <f ca="1"/>
        <v>#N/A</v>
      </c>
      <c r="AD25" s="25" t="e">
        <f ca="1"/>
        <v>#N/A</v>
      </c>
      <c r="AE25" s="25" t="e">
        <f ca="1"/>
        <v>#N/A</v>
      </c>
      <c r="AF25" s="26" t="s">
        <v>209</v>
      </c>
      <c r="AG25" s="26"/>
      <c r="AH25" s="26"/>
    </row>
    <row r="26" spans="1:34" ht="20.100000000000001" customHeight="1" x14ac:dyDescent="0.25">
      <c r="A26" s="5" t="str">
        <f>HYPERLINK("#'5.2.1.1-2 Organic Fert N2O'!A1", "5.2.1.1-2 Organic fert N2O")</f>
        <v>5.2.1.1-2 Organic fert N2O</v>
      </c>
      <c r="D26" s="115" t="s">
        <v>423</v>
      </c>
      <c r="U26" s="25" t="e">
        <f>TEXT(EDATE(X_Cell_Site_StartDate,6), "mmmm")</f>
        <v>#VALUE!</v>
      </c>
      <c r="V26" s="25" t="e">
        <f ca="1"/>
        <v>#N/A</v>
      </c>
      <c r="W26" s="25" t="e">
        <f ca="1"/>
        <v>#N/A</v>
      </c>
      <c r="X26" s="25" t="e">
        <f ca="1"/>
        <v>#N/A</v>
      </c>
      <c r="Y26" s="25" t="e">
        <f ca="1"/>
        <v>#N/A</v>
      </c>
      <c r="Z26" s="25" t="e">
        <f ca="1"/>
        <v>#N/A</v>
      </c>
      <c r="AA26" s="25" t="e">
        <f ca="1"/>
        <v>#N/A</v>
      </c>
      <c r="AB26" s="25" t="e">
        <f ca="1"/>
        <v>#N/A</v>
      </c>
      <c r="AC26" s="25" t="e">
        <f ca="1"/>
        <v>#N/A</v>
      </c>
      <c r="AD26" s="25" t="e">
        <f ca="1"/>
        <v>#N/A</v>
      </c>
      <c r="AE26" s="25" t="e">
        <f ca="1"/>
        <v>#N/A</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e">
        <f>TEXT(EDATE(X_Cell_Site_StartDate,7), "mmmm")</f>
        <v>#VALUE!</v>
      </c>
      <c r="V27" s="25" t="e">
        <f ca="1"/>
        <v>#N/A</v>
      </c>
      <c r="W27" s="25" t="e">
        <f ca="1"/>
        <v>#N/A</v>
      </c>
      <c r="X27" s="25" t="e">
        <f ca="1"/>
        <v>#N/A</v>
      </c>
      <c r="Y27" s="25" t="e">
        <f ca="1"/>
        <v>#N/A</v>
      </c>
      <c r="Z27" s="25" t="e">
        <f ca="1"/>
        <v>#N/A</v>
      </c>
      <c r="AA27" s="25" t="e">
        <f ca="1"/>
        <v>#N/A</v>
      </c>
      <c r="AB27" s="25" t="e">
        <f ca="1"/>
        <v>#N/A</v>
      </c>
      <c r="AC27" s="25" t="e">
        <f ca="1"/>
        <v>#N/A</v>
      </c>
      <c r="AD27" s="25" t="e">
        <f ca="1"/>
        <v>#N/A</v>
      </c>
      <c r="AE27" s="25" t="e">
        <f ca="1"/>
        <v>#N/A</v>
      </c>
      <c r="AF27" s="26" t="s">
        <v>209</v>
      </c>
      <c r="AG27" s="26"/>
      <c r="AH27" s="26"/>
    </row>
    <row r="28" spans="1:34" ht="20.100000000000001" customHeight="1" x14ac:dyDescent="0.25">
      <c r="A28" s="5" t="str">
        <f>HYPERLINK("#'5.4.1.1-4 Atmos deposition'!A1", "5.4.1.1-4 Atmos. deposition")</f>
        <v>5.4.1.1-4 Atmos. deposition</v>
      </c>
      <c r="D28" s="25"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5"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5"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5"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5"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5"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5"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5"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5"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5"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6" t="s">
        <v>209</v>
      </c>
      <c r="U28" s="25" t="e">
        <f>TEXT(EDATE(X_Cell_Site_StartDate,8), "mmmm")</f>
        <v>#VALUE!</v>
      </c>
      <c r="V28" s="25" t="e">
        <f ca="1"/>
        <v>#N/A</v>
      </c>
      <c r="W28" s="25" t="e">
        <f ca="1"/>
        <v>#N/A</v>
      </c>
      <c r="X28" s="25" t="e">
        <f ca="1"/>
        <v>#N/A</v>
      </c>
      <c r="Y28" s="25" t="e">
        <f ca="1"/>
        <v>#N/A</v>
      </c>
      <c r="Z28" s="25" t="e">
        <f ca="1"/>
        <v>#N/A</v>
      </c>
      <c r="AA28" s="25" t="e">
        <f ca="1"/>
        <v>#N/A</v>
      </c>
      <c r="AB28" s="25" t="e">
        <f ca="1"/>
        <v>#N/A</v>
      </c>
      <c r="AC28" s="25" t="e">
        <f ca="1"/>
        <v>#N/A</v>
      </c>
      <c r="AD28" s="25" t="e">
        <f ca="1"/>
        <v>#N/A</v>
      </c>
      <c r="AE28" s="25" t="e">
        <f ca="1"/>
        <v>#N/A</v>
      </c>
      <c r="AF28" s="26" t="s">
        <v>209</v>
      </c>
      <c r="AG28" s="26"/>
      <c r="AH28" s="26"/>
    </row>
    <row r="29" spans="1:34" ht="20.100000000000001" customHeight="1" x14ac:dyDescent="0.25">
      <c r="A29" s="5" t="str">
        <f>HYPERLINK("#'5.5.1.1-2 Leaching and runoff'!A1", "5.5.1.1-2 Leaching &amp; runoff")</f>
        <v>5.5.1.1-2 Leaching &amp; runoff</v>
      </c>
      <c r="U29" s="25" t="e">
        <f>TEXT(EDATE(X_Cell_Site_StartDate,9), "mmmm")</f>
        <v>#VALUE!</v>
      </c>
      <c r="V29" s="25" t="e">
        <f ca="1"/>
        <v>#N/A</v>
      </c>
      <c r="W29" s="25" t="e">
        <f ca="1"/>
        <v>#N/A</v>
      </c>
      <c r="X29" s="25" t="e">
        <f ca="1"/>
        <v>#N/A</v>
      </c>
      <c r="Y29" s="25" t="e">
        <f ca="1"/>
        <v>#N/A</v>
      </c>
      <c r="Z29" s="25" t="e">
        <f ca="1"/>
        <v>#N/A</v>
      </c>
      <c r="AA29" s="25" t="e">
        <f ca="1"/>
        <v>#N/A</v>
      </c>
      <c r="AB29" s="25" t="e">
        <f ca="1"/>
        <v>#N/A</v>
      </c>
      <c r="AC29" s="25" t="e">
        <f ca="1"/>
        <v>#N/A</v>
      </c>
      <c r="AD29" s="25" t="e">
        <f ca="1"/>
        <v>#N/A</v>
      </c>
      <c r="AE29" s="25" t="e">
        <f ca="1"/>
        <v>#N/A</v>
      </c>
      <c r="AF29" s="26" t="s">
        <v>209</v>
      </c>
      <c r="AG29" s="26"/>
      <c r="AH29" s="26"/>
    </row>
    <row r="30" spans="1:34" ht="20.100000000000001" customHeight="1" x14ac:dyDescent="0.25">
      <c r="A30" s="5" t="str">
        <f>HYPERLINK("#'6.2.1.1-2 Pasture residue N2O'!A1", "6.2.1.1-2 Pasture residue N2O")</f>
        <v>6.2.1.1-2 Pasture residue N2O</v>
      </c>
      <c r="D30" s="114" t="s">
        <v>424</v>
      </c>
      <c r="U30" s="25" t="e">
        <f>TEXT(EDATE(X_Cell_Site_StartDate,10), "mmmm")</f>
        <v>#VALUE!</v>
      </c>
      <c r="V30" s="25" t="e">
        <f ca="1"/>
        <v>#N/A</v>
      </c>
      <c r="W30" s="25" t="e">
        <f ca="1"/>
        <v>#N/A</v>
      </c>
      <c r="X30" s="25" t="e">
        <f ca="1"/>
        <v>#N/A</v>
      </c>
      <c r="Y30" s="25" t="e">
        <f ca="1"/>
        <v>#N/A</v>
      </c>
      <c r="Z30" s="25" t="e">
        <f ca="1"/>
        <v>#N/A</v>
      </c>
      <c r="AA30" s="25" t="e">
        <f ca="1"/>
        <v>#N/A</v>
      </c>
      <c r="AB30" s="25" t="e">
        <f ca="1"/>
        <v>#N/A</v>
      </c>
      <c r="AC30" s="25" t="e">
        <f ca="1"/>
        <v>#N/A</v>
      </c>
      <c r="AD30" s="25" t="e">
        <f ca="1"/>
        <v>#N/A</v>
      </c>
      <c r="AE30" s="25" t="e">
        <f ca="1"/>
        <v>#N/A</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e">
        <f>TEXT(EDATE(X_Cell_Site_StartDate,11), "mmmm")</f>
        <v>#VALUE!</v>
      </c>
      <c r="V31" s="25" t="e">
        <f ca="1"/>
        <v>#N/A</v>
      </c>
      <c r="W31" s="25" t="e">
        <f ca="1"/>
        <v>#N/A</v>
      </c>
      <c r="X31" s="25" t="e">
        <f ca="1"/>
        <v>#N/A</v>
      </c>
      <c r="Y31" s="25" t="e">
        <f ca="1"/>
        <v>#N/A</v>
      </c>
      <c r="Z31" s="25" t="e">
        <f ca="1"/>
        <v>#N/A</v>
      </c>
      <c r="AA31" s="25" t="e">
        <f ca="1"/>
        <v>#N/A</v>
      </c>
      <c r="AB31" s="25" t="e">
        <f ca="1"/>
        <v>#N/A</v>
      </c>
      <c r="AC31" s="25" t="e">
        <f ca="1"/>
        <v>#N/A</v>
      </c>
      <c r="AD31" s="25" t="e">
        <f ca="1"/>
        <v>#N/A</v>
      </c>
      <c r="AE31" s="25" t="e">
        <f ca="1"/>
        <v>#N/A</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t="e" cm="1">
        <f t="array" aca="1" ref="E33" ca="1">MMS_PastureBeef_Soil_N2ODirect_Equations.VEERG_4_2_1_3__7_RelativeSize(E20,D$28)</f>
        <v>#N/A</v>
      </c>
      <c r="F33" s="25" t="e" cm="1">
        <f t="array" aca="1" ref="F33" ca="1">MMS_PastureBeef_Soil_N2ODirect_Equations.VEERG_4_2_1_3__7_RelativeSize(F20,E$28)</f>
        <v>#N/A</v>
      </c>
      <c r="G33" s="25" t="e" cm="1">
        <f t="array" aca="1" ref="G33" ca="1">MMS_PastureBeef_Soil_N2ODirect_Equations.VEERG_4_2_1_3__7_RelativeSize(G20,F$28)</f>
        <v>#N/A</v>
      </c>
      <c r="H33" s="25" t="e" cm="1">
        <f t="array" aca="1" ref="H33" ca="1">MMS_PastureBeef_Soil_N2ODirect_Equations.VEERG_4_2_1_3__7_RelativeSize(H20,G$28)</f>
        <v>#N/A</v>
      </c>
      <c r="I33" s="25" t="e" cm="1">
        <f t="array" aca="1" ref="I33" ca="1">MMS_PastureBeef_Soil_N2ODirect_Equations.VEERG_4_2_1_3__7_RelativeSize(I20,H$28)</f>
        <v>#N/A</v>
      </c>
      <c r="J33" s="25" t="e" cm="1">
        <f t="array" aca="1" ref="J33" ca="1">MMS_PastureBeef_Soil_N2ODirect_Equations.VEERG_4_2_1_3__7_RelativeSize(J20,I$28)</f>
        <v>#N/A</v>
      </c>
      <c r="K33" s="25" t="e" cm="1">
        <f t="array" aca="1" ref="K33" ca="1">MMS_PastureBeef_Soil_N2ODirect_Equations.VEERG_4_2_1_3__7_RelativeSize(K20,J$28)</f>
        <v>#N/A</v>
      </c>
      <c r="L33" s="25" t="e" cm="1">
        <f t="array" aca="1" ref="L33" ca="1">MMS_PastureBeef_Soil_N2ODirect_Equations.VEERG_4_2_1_3__7_RelativeSize(L20,K$28)</f>
        <v>#N/A</v>
      </c>
      <c r="M33" s="25" t="e" cm="1">
        <f t="array" aca="1" ref="M33" ca="1">MMS_PastureBeef_Soil_N2ODirect_Equations.VEERG_4_2_1_3__7_RelativeSize(M20,L$28)</f>
        <v>#N/A</v>
      </c>
      <c r="N33" s="25" t="e" cm="1">
        <f t="array" aca="1" ref="N33" ca="1">MMS_PastureBeef_Soil_N2ODirect_Equations.VEERG_4_2_1_3__7_RelativeSize(N20,M$28)</f>
        <v>#N/A</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t="e" cm="1">
        <f t="array" aca="1" ref="E34" ca="1">MMS_PastureBeef_Soil_N2ODirect_Equations.VEERG_4_2_1_3__7_RelativeSize(E21,D$28)</f>
        <v>#N/A</v>
      </c>
      <c r="F34" s="25" t="e" cm="1">
        <f t="array" aca="1" ref="F34" ca="1">MMS_PastureBeef_Soil_N2ODirect_Equations.VEERG_4_2_1_3__7_RelativeSize(F21,E$28)</f>
        <v>#N/A</v>
      </c>
      <c r="G34" s="25" t="e" cm="1">
        <f t="array" aca="1" ref="G34" ca="1">MMS_PastureBeef_Soil_N2ODirect_Equations.VEERG_4_2_1_3__7_RelativeSize(G21,F$28)</f>
        <v>#N/A</v>
      </c>
      <c r="H34" s="25" t="e" cm="1">
        <f t="array" aca="1" ref="H34" ca="1">MMS_PastureBeef_Soil_N2ODirect_Equations.VEERG_4_2_1_3__7_RelativeSize(H21,G$28)</f>
        <v>#N/A</v>
      </c>
      <c r="I34" s="25" t="e" cm="1">
        <f t="array" aca="1" ref="I34" ca="1">MMS_PastureBeef_Soil_N2ODirect_Equations.VEERG_4_2_1_3__7_RelativeSize(I21,H$28)</f>
        <v>#N/A</v>
      </c>
      <c r="J34" s="25" t="e" cm="1">
        <f t="array" aca="1" ref="J34" ca="1">MMS_PastureBeef_Soil_N2ODirect_Equations.VEERG_4_2_1_3__7_RelativeSize(J21,I$28)</f>
        <v>#N/A</v>
      </c>
      <c r="K34" s="25" t="e" cm="1">
        <f t="array" aca="1" ref="K34" ca="1">MMS_PastureBeef_Soil_N2ODirect_Equations.VEERG_4_2_1_3__7_RelativeSize(K21,J$28)</f>
        <v>#N/A</v>
      </c>
      <c r="L34" s="25" t="e" cm="1">
        <f t="array" aca="1" ref="L34" ca="1">MMS_PastureBeef_Soil_N2ODirect_Equations.VEERG_4_2_1_3__7_RelativeSize(L21,K$28)</f>
        <v>#N/A</v>
      </c>
      <c r="M34" s="25" t="e" cm="1">
        <f t="array" aca="1" ref="M34" ca="1">MMS_PastureBeef_Soil_N2ODirect_Equations.VEERG_4_2_1_3__7_RelativeSize(M21,L$28)</f>
        <v>#N/A</v>
      </c>
      <c r="N34" s="25" t="e" cm="1">
        <f t="array" aca="1" ref="N34" ca="1">MMS_PastureBeef_Soil_N2ODirect_Equations.VEERG_4_2_1_3__7_RelativeSize(N21,M$28)</f>
        <v>#N/A</v>
      </c>
      <c r="O34" s="26" t="str">
        <f t="shared" ref="O34:O36" si="0">$E$11</f>
        <v>ratio</v>
      </c>
      <c r="U34" s="115" t="s">
        <v>427</v>
      </c>
    </row>
    <row r="35" spans="1:34" ht="20.100000000000001" customHeight="1" x14ac:dyDescent="0.25">
      <c r="D35" s="25" t="str">
        <f>INDEX(X_Table_PastureBeef_Liveweight_Method1,4,1)</f>
        <v>Autumn</v>
      </c>
      <c r="E35" s="25" t="e" cm="1">
        <f t="array" aca="1" ref="E35" ca="1">MMS_PastureBeef_Soil_N2ODirect_Equations.VEERG_4_2_1_3__7_RelativeSize(E22,D$28)</f>
        <v>#N/A</v>
      </c>
      <c r="F35" s="25" t="e" cm="1">
        <f t="array" aca="1" ref="F35" ca="1">MMS_PastureBeef_Soil_N2ODirect_Equations.VEERG_4_2_1_3__7_RelativeSize(F22,E$28)</f>
        <v>#N/A</v>
      </c>
      <c r="G35" s="25" t="e" cm="1">
        <f t="array" aca="1" ref="G35" ca="1">MMS_PastureBeef_Soil_N2ODirect_Equations.VEERG_4_2_1_3__7_RelativeSize(G22,F$28)</f>
        <v>#N/A</v>
      </c>
      <c r="H35" s="25" t="e" cm="1">
        <f t="array" aca="1" ref="H35" ca="1">MMS_PastureBeef_Soil_N2ODirect_Equations.VEERG_4_2_1_3__7_RelativeSize(H22,G$28)</f>
        <v>#N/A</v>
      </c>
      <c r="I35" s="25" t="e" cm="1">
        <f t="array" aca="1" ref="I35" ca="1">MMS_PastureBeef_Soil_N2ODirect_Equations.VEERG_4_2_1_3__7_RelativeSize(I22,H$28)</f>
        <v>#N/A</v>
      </c>
      <c r="J35" s="25" t="e" cm="1">
        <f t="array" aca="1" ref="J35" ca="1">MMS_PastureBeef_Soil_N2ODirect_Equations.VEERG_4_2_1_3__7_RelativeSize(J22,I$28)</f>
        <v>#N/A</v>
      </c>
      <c r="K35" s="25" t="e" cm="1">
        <f t="array" aca="1" ref="K35" ca="1">MMS_PastureBeef_Soil_N2ODirect_Equations.VEERG_4_2_1_3__7_RelativeSize(K22,J$28)</f>
        <v>#N/A</v>
      </c>
      <c r="L35" s="25" t="e" cm="1">
        <f t="array" aca="1" ref="L35" ca="1">MMS_PastureBeef_Soil_N2ODirect_Equations.VEERG_4_2_1_3__7_RelativeSize(L22,K$28)</f>
        <v>#N/A</v>
      </c>
      <c r="M35" s="25" t="e" cm="1">
        <f t="array" aca="1" ref="M35" ca="1">MMS_PastureBeef_Soil_N2ODirect_Equations.VEERG_4_2_1_3__7_RelativeSize(M22,L$28)</f>
        <v>#N/A</v>
      </c>
      <c r="N35" s="25" t="e" cm="1">
        <f t="array" aca="1" ref="N35" ca="1">MMS_PastureBeef_Soil_N2ODirect_Equations.VEERG_4_2_1_3__7_RelativeSize(N22,M$28)</f>
        <v>#N/A</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t="e" cm="1">
        <f t="array" aca="1" ref="E36" ca="1">MMS_PastureBeef_Soil_N2ODirect_Equations.VEERG_4_2_1_3__7_RelativeSize(E23,D$28)</f>
        <v>#N/A</v>
      </c>
      <c r="F36" s="25" t="e" cm="1">
        <f t="array" aca="1" ref="F36" ca="1">MMS_PastureBeef_Soil_N2ODirect_Equations.VEERG_4_2_1_3__7_RelativeSize(F23,E$28)</f>
        <v>#N/A</v>
      </c>
      <c r="G36" s="25" t="e" cm="1">
        <f t="array" aca="1" ref="G36" ca="1">MMS_PastureBeef_Soil_N2ODirect_Equations.VEERG_4_2_1_3__7_RelativeSize(G23,F$28)</f>
        <v>#N/A</v>
      </c>
      <c r="H36" s="25" t="e" cm="1">
        <f t="array" aca="1" ref="H36" ca="1">MMS_PastureBeef_Soil_N2ODirect_Equations.VEERG_4_2_1_3__7_RelativeSize(H23,G$28)</f>
        <v>#N/A</v>
      </c>
      <c r="I36" s="25" t="e" cm="1">
        <f t="array" aca="1" ref="I36" ca="1">MMS_PastureBeef_Soil_N2ODirect_Equations.VEERG_4_2_1_3__7_RelativeSize(I23,H$28)</f>
        <v>#N/A</v>
      </c>
      <c r="J36" s="25" t="e" cm="1">
        <f t="array" aca="1" ref="J36" ca="1">MMS_PastureBeef_Soil_N2ODirect_Equations.VEERG_4_2_1_3__7_RelativeSize(J23,I$28)</f>
        <v>#N/A</v>
      </c>
      <c r="K36" s="25" t="e" cm="1">
        <f t="array" aca="1" ref="K36" ca="1">MMS_PastureBeef_Soil_N2ODirect_Equations.VEERG_4_2_1_3__7_RelativeSize(K23,J$28)</f>
        <v>#N/A</v>
      </c>
      <c r="L36" s="25" t="e" cm="1">
        <f t="array" aca="1" ref="L36" ca="1">MMS_PastureBeef_Soil_N2ODirect_Equations.VEERG_4_2_1_3__7_RelativeSize(L23,K$28)</f>
        <v>#N/A</v>
      </c>
      <c r="M36" s="25" t="e" cm="1">
        <f t="array" aca="1" ref="M36" ca="1">MMS_PastureBeef_Soil_N2ODirect_Equations.VEERG_4_2_1_3__7_RelativeSize(M23,L$28)</f>
        <v>#N/A</v>
      </c>
      <c r="N36" s="25" t="e" cm="1">
        <f t="array" aca="1" ref="N36" ca="1">MMS_PastureBeef_Soil_N2ODirect_Equations.VEERG_4_2_1_3__7_RelativeSize(N23,M$28)</f>
        <v>#N/A</v>
      </c>
      <c r="O36" s="26" t="str">
        <f t="shared" si="0"/>
        <v>ratio</v>
      </c>
      <c r="U36" s="25" t="str">
        <f>TEXT(X_Cell_Site_StartDate,"mmmm")</f>
        <v>NO - Not in leaching zone</v>
      </c>
      <c r="V36" s="25" t="e" cm="1">
        <f t="array" aca="1" ref="V36" ca="1">MMS_PastureBeef_Soil_N2ODirect_Equations.VEERG_4_2_1_3__7_RelativeSize(V20,D$28)</f>
        <v>#N/A</v>
      </c>
      <c r="W36" s="25" t="e" cm="1">
        <f t="array" aca="1" ref="W36" ca="1">MMS_PastureBeef_Soil_N2ODirect_Equations.VEERG_4_2_1_3__7_RelativeSize(W20,E$28)</f>
        <v>#N/A</v>
      </c>
      <c r="X36" s="25" t="e" cm="1">
        <f t="array" aca="1" ref="X36" ca="1">MMS_PastureBeef_Soil_N2ODirect_Equations.VEERG_4_2_1_3__7_RelativeSize(X20,F$28)</f>
        <v>#N/A</v>
      </c>
      <c r="Y36" s="25" t="e" cm="1">
        <f t="array" aca="1" ref="Y36" ca="1">MMS_PastureBeef_Soil_N2ODirect_Equations.VEERG_4_2_1_3__7_RelativeSize(Y20,G$28)</f>
        <v>#N/A</v>
      </c>
      <c r="Z36" s="25" t="e" cm="1">
        <f t="array" aca="1" ref="Z36" ca="1">MMS_PastureBeef_Soil_N2ODirect_Equations.VEERG_4_2_1_3__7_RelativeSize(Z20,H$28)</f>
        <v>#N/A</v>
      </c>
      <c r="AA36" s="25" t="e" cm="1">
        <f t="array" aca="1" ref="AA36" ca="1">MMS_PastureBeef_Soil_N2ODirect_Equations.VEERG_4_2_1_3__7_RelativeSize(AA20,I$28)</f>
        <v>#N/A</v>
      </c>
      <c r="AB36" s="25" t="e" cm="1">
        <f t="array" aca="1" ref="AB36" ca="1">MMS_PastureBeef_Soil_N2ODirect_Equations.VEERG_4_2_1_3__7_RelativeSize(AB20,J$28)</f>
        <v>#N/A</v>
      </c>
      <c r="AC36" s="25" t="e" cm="1">
        <f t="array" aca="1" ref="AC36" ca="1">MMS_PastureBeef_Soil_N2ODirect_Equations.VEERG_4_2_1_3__7_RelativeSize(AC20,K$28)</f>
        <v>#N/A</v>
      </c>
      <c r="AD36" s="25" t="e" cm="1">
        <f t="array" aca="1" ref="AD36" ca="1">MMS_PastureBeef_Soil_N2ODirect_Equations.VEERG_4_2_1_3__7_RelativeSize(AD20,L$28)</f>
        <v>#N/A</v>
      </c>
      <c r="AE36" s="25" t="e" cm="1">
        <f t="array" aca="1" ref="AE36" ca="1">MMS_PastureBeef_Soil_N2ODirect_Equations.VEERG_4_2_1_3__7_RelativeSize(AE20,M$28)</f>
        <v>#N/A</v>
      </c>
      <c r="AF36" s="26" t="str">
        <f t="shared" ref="AF36:AF47" si="1">$E$11</f>
        <v>ratio</v>
      </c>
      <c r="AG36" s="26"/>
      <c r="AH36" s="26"/>
    </row>
    <row r="37" spans="1:34" ht="20.100000000000001" customHeight="1" x14ac:dyDescent="0.25">
      <c r="A37" s="251" t="s">
        <v>1</v>
      </c>
      <c r="U37" s="25" t="e">
        <f>TEXT(EDATE(X_Cell_Site_StartDate,1), "mmmm")</f>
        <v>#VALUE!</v>
      </c>
      <c r="V37" s="25" t="e" cm="1">
        <f t="array" aca="1" ref="V37" ca="1">MMS_PastureBeef_Soil_N2ODirect_Equations.VEERG_4_2_1_3__7_RelativeSize(V21,D$28)</f>
        <v>#N/A</v>
      </c>
      <c r="W37" s="25" t="e" cm="1">
        <f t="array" aca="1" ref="W37" ca="1">MMS_PastureBeef_Soil_N2ODirect_Equations.VEERG_4_2_1_3__7_RelativeSize(W21,E$28)</f>
        <v>#N/A</v>
      </c>
      <c r="X37" s="25" t="e" cm="1">
        <f t="array" aca="1" ref="X37" ca="1">MMS_PastureBeef_Soil_N2ODirect_Equations.VEERG_4_2_1_3__7_RelativeSize(X21,F$28)</f>
        <v>#N/A</v>
      </c>
      <c r="Y37" s="25" t="e" cm="1">
        <f t="array" aca="1" ref="Y37" ca="1">MMS_PastureBeef_Soil_N2ODirect_Equations.VEERG_4_2_1_3__7_RelativeSize(Y21,G$28)</f>
        <v>#N/A</v>
      </c>
      <c r="Z37" s="25" t="e" cm="1">
        <f t="array" aca="1" ref="Z37" ca="1">MMS_PastureBeef_Soil_N2ODirect_Equations.VEERG_4_2_1_3__7_RelativeSize(Z21,H$28)</f>
        <v>#N/A</v>
      </c>
      <c r="AA37" s="25" t="e" cm="1">
        <f t="array" aca="1" ref="AA37" ca="1">MMS_PastureBeef_Soil_N2ODirect_Equations.VEERG_4_2_1_3__7_RelativeSize(AA21,I$28)</f>
        <v>#N/A</v>
      </c>
      <c r="AB37" s="25" t="e" cm="1">
        <f t="array" aca="1" ref="AB37" ca="1">MMS_PastureBeef_Soil_N2ODirect_Equations.VEERG_4_2_1_3__7_RelativeSize(AB21,J$28)</f>
        <v>#N/A</v>
      </c>
      <c r="AC37" s="25" t="e" cm="1">
        <f t="array" aca="1" ref="AC37" ca="1">MMS_PastureBeef_Soil_N2ODirect_Equations.VEERG_4_2_1_3__7_RelativeSize(AC21,K$28)</f>
        <v>#N/A</v>
      </c>
      <c r="AD37" s="25" t="e" cm="1">
        <f t="array" aca="1" ref="AD37" ca="1">MMS_PastureBeef_Soil_N2ODirect_Equations.VEERG_4_2_1_3__7_RelativeSize(AD21,L$28)</f>
        <v>#N/A</v>
      </c>
      <c r="AE37" s="25" t="e" cm="1">
        <f t="array" aca="1" ref="AE37" ca="1">MMS_PastureBeef_Soil_N2ODirect_Equations.VEERG_4_2_1_3__7_RelativeSize(AE21,M$28)</f>
        <v>#N/A</v>
      </c>
      <c r="AF37" s="26" t="str">
        <f t="shared" si="1"/>
        <v>ratio</v>
      </c>
      <c r="AG37" s="26"/>
      <c r="AH37" s="26"/>
    </row>
    <row r="38" spans="1:34" ht="20.100000000000001" customHeight="1" x14ac:dyDescent="0.25">
      <c r="A38" s="5" t="str">
        <f>HYPERLINK("#'Constants - Pasture Beef'!A1", "Constants - Pasture Beef")</f>
        <v>Constants - Pasture Beef</v>
      </c>
      <c r="U38" s="25" t="e">
        <f>TEXT(EDATE(X_Cell_Site_StartDate,2), "mmmm")</f>
        <v>#VALUE!</v>
      </c>
      <c r="V38" s="25" t="e" cm="1">
        <f t="array" aca="1" ref="V38" ca="1">MMS_PastureBeef_Soil_N2ODirect_Equations.VEERG_4_2_1_3__7_RelativeSize(V22,D$28)</f>
        <v>#N/A</v>
      </c>
      <c r="W38" s="25" t="e" cm="1">
        <f t="array" aca="1" ref="W38" ca="1">MMS_PastureBeef_Soil_N2ODirect_Equations.VEERG_4_2_1_3__7_RelativeSize(W22,E$28)</f>
        <v>#N/A</v>
      </c>
      <c r="X38" s="25" t="e" cm="1">
        <f t="array" aca="1" ref="X38" ca="1">MMS_PastureBeef_Soil_N2ODirect_Equations.VEERG_4_2_1_3__7_RelativeSize(X22,F$28)</f>
        <v>#N/A</v>
      </c>
      <c r="Y38" s="25" t="e" cm="1">
        <f t="array" aca="1" ref="Y38" ca="1">MMS_PastureBeef_Soil_N2ODirect_Equations.VEERG_4_2_1_3__7_RelativeSize(Y22,G$28)</f>
        <v>#N/A</v>
      </c>
      <c r="Z38" s="25" t="e" cm="1">
        <f t="array" aca="1" ref="Z38" ca="1">MMS_PastureBeef_Soil_N2ODirect_Equations.VEERG_4_2_1_3__7_RelativeSize(Z22,H$28)</f>
        <v>#N/A</v>
      </c>
      <c r="AA38" s="25" t="e" cm="1">
        <f t="array" aca="1" ref="AA38" ca="1">MMS_PastureBeef_Soil_N2ODirect_Equations.VEERG_4_2_1_3__7_RelativeSize(AA22,I$28)</f>
        <v>#N/A</v>
      </c>
      <c r="AB38" s="25" t="e" cm="1">
        <f t="array" aca="1" ref="AB38" ca="1">MMS_PastureBeef_Soil_N2ODirect_Equations.VEERG_4_2_1_3__7_RelativeSize(AB22,J$28)</f>
        <v>#N/A</v>
      </c>
      <c r="AC38" s="25" t="e" cm="1">
        <f t="array" aca="1" ref="AC38" ca="1">MMS_PastureBeef_Soil_N2ODirect_Equations.VEERG_4_2_1_3__7_RelativeSize(AC22,K$28)</f>
        <v>#N/A</v>
      </c>
      <c r="AD38" s="25" t="e" cm="1">
        <f t="array" aca="1" ref="AD38" ca="1">MMS_PastureBeef_Soil_N2ODirect_Equations.VEERG_4_2_1_3__7_RelativeSize(AD22,L$28)</f>
        <v>#N/A</v>
      </c>
      <c r="AE38" s="25" t="e" cm="1">
        <f t="array" aca="1" ref="AE38" ca="1">MMS_PastureBeef_Soil_N2ODirect_Equations.VEERG_4_2_1_3__7_RelativeSize(AE22,M$28)</f>
        <v>#N/A</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TEXT(EDATE(X_Cell_Site_StartDate,3), "mmmm")</f>
        <v>#VALUE!</v>
      </c>
      <c r="V39" s="25" t="e" cm="1">
        <f t="array" aca="1" ref="V39" ca="1">MMS_PastureBeef_Soil_N2ODirect_Equations.VEERG_4_2_1_3__7_RelativeSize(V23,D$28)</f>
        <v>#N/A</v>
      </c>
      <c r="W39" s="25" t="e" cm="1">
        <f t="array" aca="1" ref="W39" ca="1">MMS_PastureBeef_Soil_N2ODirect_Equations.VEERG_4_2_1_3__7_RelativeSize(W23,E$28)</f>
        <v>#N/A</v>
      </c>
      <c r="X39" s="25" t="e" cm="1">
        <f t="array" aca="1" ref="X39" ca="1">MMS_PastureBeef_Soil_N2ODirect_Equations.VEERG_4_2_1_3__7_RelativeSize(X23,F$28)</f>
        <v>#N/A</v>
      </c>
      <c r="Y39" s="25" t="e" cm="1">
        <f t="array" aca="1" ref="Y39" ca="1">MMS_PastureBeef_Soil_N2ODirect_Equations.VEERG_4_2_1_3__7_RelativeSize(Y23,G$28)</f>
        <v>#N/A</v>
      </c>
      <c r="Z39" s="25" t="e" cm="1">
        <f t="array" aca="1" ref="Z39" ca="1">MMS_PastureBeef_Soil_N2ODirect_Equations.VEERG_4_2_1_3__7_RelativeSize(Z23,H$28)</f>
        <v>#N/A</v>
      </c>
      <c r="AA39" s="25" t="e" cm="1">
        <f t="array" aca="1" ref="AA39" ca="1">MMS_PastureBeef_Soil_N2ODirect_Equations.VEERG_4_2_1_3__7_RelativeSize(AA23,I$28)</f>
        <v>#N/A</v>
      </c>
      <c r="AB39" s="25" t="e" cm="1">
        <f t="array" aca="1" ref="AB39" ca="1">MMS_PastureBeef_Soil_N2ODirect_Equations.VEERG_4_2_1_3__7_RelativeSize(AB23,J$28)</f>
        <v>#N/A</v>
      </c>
      <c r="AC39" s="25" t="e" cm="1">
        <f t="array" aca="1" ref="AC39" ca="1">MMS_PastureBeef_Soil_N2ODirect_Equations.VEERG_4_2_1_3__7_RelativeSize(AC23,K$28)</f>
        <v>#N/A</v>
      </c>
      <c r="AD39" s="25" t="e" cm="1">
        <f t="array" aca="1" ref="AD39" ca="1">MMS_PastureBeef_Soil_N2ODirect_Equations.VEERG_4_2_1_3__7_RelativeSize(AD23,L$28)</f>
        <v>#N/A</v>
      </c>
      <c r="AE39" s="25" t="e" cm="1">
        <f t="array" aca="1" ref="AE39" ca="1">MMS_PastureBeef_Soil_N2ODirect_Equations.VEERG_4_2_1_3__7_RelativeSize(AE23,M$28)</f>
        <v>#N/A</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TEXT(EDATE(X_Cell_Site_StartDate,4), "mmmm")</f>
        <v>#VALUE!</v>
      </c>
      <c r="V40" s="25" t="e" cm="1">
        <f t="array" aca="1" ref="V40" ca="1">MMS_PastureBeef_Soil_N2ODirect_Equations.VEERG_4_2_1_3__7_RelativeSize(V24,D$28)</f>
        <v>#N/A</v>
      </c>
      <c r="W40" s="25" t="e" cm="1">
        <f t="array" aca="1" ref="W40" ca="1">MMS_PastureBeef_Soil_N2ODirect_Equations.VEERG_4_2_1_3__7_RelativeSize(W24,E$28)</f>
        <v>#N/A</v>
      </c>
      <c r="X40" s="25" t="e" cm="1">
        <f t="array" aca="1" ref="X40" ca="1">MMS_PastureBeef_Soil_N2ODirect_Equations.VEERG_4_2_1_3__7_RelativeSize(X24,F$28)</f>
        <v>#N/A</v>
      </c>
      <c r="Y40" s="25" t="e" cm="1">
        <f t="array" aca="1" ref="Y40" ca="1">MMS_PastureBeef_Soil_N2ODirect_Equations.VEERG_4_2_1_3__7_RelativeSize(Y24,G$28)</f>
        <v>#N/A</v>
      </c>
      <c r="Z40" s="25" t="e" cm="1">
        <f t="array" aca="1" ref="Z40" ca="1">MMS_PastureBeef_Soil_N2ODirect_Equations.VEERG_4_2_1_3__7_RelativeSize(Z24,H$28)</f>
        <v>#N/A</v>
      </c>
      <c r="AA40" s="25" t="e" cm="1">
        <f t="array" aca="1" ref="AA40" ca="1">MMS_PastureBeef_Soil_N2ODirect_Equations.VEERG_4_2_1_3__7_RelativeSize(AA24,I$28)</f>
        <v>#N/A</v>
      </c>
      <c r="AB40" s="25" t="e" cm="1">
        <f t="array" aca="1" ref="AB40" ca="1">MMS_PastureBeef_Soil_N2ODirect_Equations.VEERG_4_2_1_3__7_RelativeSize(AB24,J$28)</f>
        <v>#N/A</v>
      </c>
      <c r="AC40" s="25" t="e" cm="1">
        <f t="array" aca="1" ref="AC40" ca="1">MMS_PastureBeef_Soil_N2ODirect_Equations.VEERG_4_2_1_3__7_RelativeSize(AC24,K$28)</f>
        <v>#N/A</v>
      </c>
      <c r="AD40" s="25" t="e" cm="1">
        <f t="array" aca="1" ref="AD40" ca="1">MMS_PastureBeef_Soil_N2ODirect_Equations.VEERG_4_2_1_3__7_RelativeSize(AD24,L$28)</f>
        <v>#N/A</v>
      </c>
      <c r="AE40" s="25" t="e" cm="1">
        <f t="array" aca="1" ref="AE40" ca="1">MMS_PastureBeef_Soil_N2ODirect_Equations.VEERG_4_2_1_3__7_RelativeSize(AE24,M$28)</f>
        <v>#N/A</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TEXT(EDATE(X_Cell_Site_StartDate,5), "mmmm")</f>
        <v>#VALUE!</v>
      </c>
      <c r="V41" s="25" t="e" cm="1">
        <f t="array" aca="1" ref="V41" ca="1">MMS_PastureBeef_Soil_N2ODirect_Equations.VEERG_4_2_1_3__7_RelativeSize(V25,D$28)</f>
        <v>#N/A</v>
      </c>
      <c r="W41" s="25" t="e" cm="1">
        <f t="array" aca="1" ref="W41" ca="1">MMS_PastureBeef_Soil_N2ODirect_Equations.VEERG_4_2_1_3__7_RelativeSize(W25,E$28)</f>
        <v>#N/A</v>
      </c>
      <c r="X41" s="25" t="e" cm="1">
        <f t="array" aca="1" ref="X41" ca="1">MMS_PastureBeef_Soil_N2ODirect_Equations.VEERG_4_2_1_3__7_RelativeSize(X25,F$28)</f>
        <v>#N/A</v>
      </c>
      <c r="Y41" s="25" t="e" cm="1">
        <f t="array" aca="1" ref="Y41" ca="1">MMS_PastureBeef_Soil_N2ODirect_Equations.VEERG_4_2_1_3__7_RelativeSize(Y25,G$28)</f>
        <v>#N/A</v>
      </c>
      <c r="Z41" s="25" t="e" cm="1">
        <f t="array" aca="1" ref="Z41" ca="1">MMS_PastureBeef_Soil_N2ODirect_Equations.VEERG_4_2_1_3__7_RelativeSize(Z25,H$28)</f>
        <v>#N/A</v>
      </c>
      <c r="AA41" s="25" t="e" cm="1">
        <f t="array" aca="1" ref="AA41" ca="1">MMS_PastureBeef_Soil_N2ODirect_Equations.VEERG_4_2_1_3__7_RelativeSize(AA25,I$28)</f>
        <v>#N/A</v>
      </c>
      <c r="AB41" s="25" t="e" cm="1">
        <f t="array" aca="1" ref="AB41" ca="1">MMS_PastureBeef_Soil_N2ODirect_Equations.VEERG_4_2_1_3__7_RelativeSize(AB25,J$28)</f>
        <v>#N/A</v>
      </c>
      <c r="AC41" s="25" t="e" cm="1">
        <f t="array" aca="1" ref="AC41" ca="1">MMS_PastureBeef_Soil_N2ODirect_Equations.VEERG_4_2_1_3__7_RelativeSize(AC25,K$28)</f>
        <v>#N/A</v>
      </c>
      <c r="AD41" s="25" t="e" cm="1">
        <f t="array" aca="1" ref="AD41" ca="1">MMS_PastureBeef_Soil_N2ODirect_Equations.VEERG_4_2_1_3__7_RelativeSize(AD25,L$28)</f>
        <v>#N/A</v>
      </c>
      <c r="AE41" s="25" t="e" cm="1">
        <f t="array" aca="1" ref="AE41" ca="1">MMS_PastureBeef_Soil_N2ODirect_Equations.VEERG_4_2_1_3__7_RelativeSize(AE25,M$28)</f>
        <v>#N/A</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e">
        <f>TEXT(EDATE(X_Cell_Site_StartDate,6), "mmmm")</f>
        <v>#VALUE!</v>
      </c>
      <c r="V42" s="25" t="e" cm="1">
        <f t="array" aca="1" ref="V42" ca="1">MMS_PastureBeef_Soil_N2ODirect_Equations.VEERG_4_2_1_3__7_RelativeSize(V26,D$28)</f>
        <v>#N/A</v>
      </c>
      <c r="W42" s="25" t="e" cm="1">
        <f t="array" aca="1" ref="W42" ca="1">MMS_PastureBeef_Soil_N2ODirect_Equations.VEERG_4_2_1_3__7_RelativeSize(W26,E$28)</f>
        <v>#N/A</v>
      </c>
      <c r="X42" s="25" t="e" cm="1">
        <f t="array" aca="1" ref="X42" ca="1">MMS_PastureBeef_Soil_N2ODirect_Equations.VEERG_4_2_1_3__7_RelativeSize(X26,F$28)</f>
        <v>#N/A</v>
      </c>
      <c r="Y42" s="25" t="e" cm="1">
        <f t="array" aca="1" ref="Y42" ca="1">MMS_PastureBeef_Soil_N2ODirect_Equations.VEERG_4_2_1_3__7_RelativeSize(Y26,G$28)</f>
        <v>#N/A</v>
      </c>
      <c r="Z42" s="25" t="e" cm="1">
        <f t="array" aca="1" ref="Z42" ca="1">MMS_PastureBeef_Soil_N2ODirect_Equations.VEERG_4_2_1_3__7_RelativeSize(Z26,H$28)</f>
        <v>#N/A</v>
      </c>
      <c r="AA42" s="25" t="e" cm="1">
        <f t="array" aca="1" ref="AA42" ca="1">MMS_PastureBeef_Soil_N2ODirect_Equations.VEERG_4_2_1_3__7_RelativeSize(AA26,I$28)</f>
        <v>#N/A</v>
      </c>
      <c r="AB42" s="25" t="e" cm="1">
        <f t="array" aca="1" ref="AB42" ca="1">MMS_PastureBeef_Soil_N2ODirect_Equations.VEERG_4_2_1_3__7_RelativeSize(AB26,J$28)</f>
        <v>#N/A</v>
      </c>
      <c r="AC42" s="25" t="e" cm="1">
        <f t="array" aca="1" ref="AC42" ca="1">MMS_PastureBeef_Soil_N2ODirect_Equations.VEERG_4_2_1_3__7_RelativeSize(AC26,K$28)</f>
        <v>#N/A</v>
      </c>
      <c r="AD42" s="25" t="e" cm="1">
        <f t="array" aca="1" ref="AD42" ca="1">MMS_PastureBeef_Soil_N2ODirect_Equations.VEERG_4_2_1_3__7_RelativeSize(AD26,L$28)</f>
        <v>#N/A</v>
      </c>
      <c r="AE42" s="25" t="e" cm="1">
        <f t="array" aca="1" ref="AE42" ca="1">MMS_PastureBeef_Soil_N2ODirect_Equations.VEERG_4_2_1_3__7_RelativeSize(AE26,M$28)</f>
        <v>#N/A</v>
      </c>
      <c r="AF42" s="26" t="str">
        <f t="shared" si="1"/>
        <v>ratio</v>
      </c>
      <c r="AG42" s="26"/>
      <c r="AH42" s="26"/>
    </row>
    <row r="43" spans="1:34" ht="20.100000000000001" customHeight="1" x14ac:dyDescent="0.25">
      <c r="A43" s="5" t="str">
        <f>HYPERLINK("#'Constants - Fuel'!A1", "Constants - Fuel")</f>
        <v>Constants - Fuel</v>
      </c>
      <c r="U43" s="25" t="e">
        <f>TEXT(EDATE(X_Cell_Site_StartDate,7), "mmmm")</f>
        <v>#VALUE!</v>
      </c>
      <c r="V43" s="25" t="e" cm="1">
        <f t="array" aca="1" ref="V43" ca="1">MMS_PastureBeef_Soil_N2ODirect_Equations.VEERG_4_2_1_3__7_RelativeSize(V27,D$28)</f>
        <v>#N/A</v>
      </c>
      <c r="W43" s="25" t="e" cm="1">
        <f t="array" aca="1" ref="W43" ca="1">MMS_PastureBeef_Soil_N2ODirect_Equations.VEERG_4_2_1_3__7_RelativeSize(W27,E$28)</f>
        <v>#N/A</v>
      </c>
      <c r="X43" s="25" t="e" cm="1">
        <f t="array" aca="1" ref="X43" ca="1">MMS_PastureBeef_Soil_N2ODirect_Equations.VEERG_4_2_1_3__7_RelativeSize(X27,F$28)</f>
        <v>#N/A</v>
      </c>
      <c r="Y43" s="25" t="e" cm="1">
        <f t="array" aca="1" ref="Y43" ca="1">MMS_PastureBeef_Soil_N2ODirect_Equations.VEERG_4_2_1_3__7_RelativeSize(Y27,G$28)</f>
        <v>#N/A</v>
      </c>
      <c r="Z43" s="25" t="e" cm="1">
        <f t="array" aca="1" ref="Z43" ca="1">MMS_PastureBeef_Soil_N2ODirect_Equations.VEERG_4_2_1_3__7_RelativeSize(Z27,H$28)</f>
        <v>#N/A</v>
      </c>
      <c r="AA43" s="25" t="e" cm="1">
        <f t="array" aca="1" ref="AA43" ca="1">MMS_PastureBeef_Soil_N2ODirect_Equations.VEERG_4_2_1_3__7_RelativeSize(AA27,I$28)</f>
        <v>#N/A</v>
      </c>
      <c r="AB43" s="25" t="e" cm="1">
        <f t="array" aca="1" ref="AB43" ca="1">MMS_PastureBeef_Soil_N2ODirect_Equations.VEERG_4_2_1_3__7_RelativeSize(AB27,J$28)</f>
        <v>#N/A</v>
      </c>
      <c r="AC43" s="25" t="e" cm="1">
        <f t="array" aca="1" ref="AC43" ca="1">MMS_PastureBeef_Soil_N2ODirect_Equations.VEERG_4_2_1_3__7_RelativeSize(AC27,K$28)</f>
        <v>#N/A</v>
      </c>
      <c r="AD43" s="25" t="e" cm="1">
        <f t="array" aca="1" ref="AD43" ca="1">MMS_PastureBeef_Soil_N2ODirect_Equations.VEERG_4_2_1_3__7_RelativeSize(AD27,L$28)</f>
        <v>#N/A</v>
      </c>
      <c r="AE43" s="25" t="e" cm="1">
        <f t="array" aca="1" ref="AE43" ca="1">MMS_PastureBeef_Soil_N2ODirect_Equations.VEERG_4_2_1_3__7_RelativeSize(AE27,M$28)</f>
        <v>#N/A</v>
      </c>
      <c r="AF43" s="26" t="str">
        <f t="shared" si="1"/>
        <v>ratio</v>
      </c>
      <c r="AG43" s="26"/>
      <c r="AH43" s="26"/>
    </row>
    <row r="44" spans="1:34" ht="20.100000000000001" customHeight="1" x14ac:dyDescent="0.25">
      <c r="A44" s="5" t="str">
        <f>HYPERLINK("#'Constants - Common'!A1", "Constants - Common")</f>
        <v>Constants - Common</v>
      </c>
      <c r="U44" s="25" t="e">
        <f>TEXT(EDATE(X_Cell_Site_StartDate,8), "mmmm")</f>
        <v>#VALUE!</v>
      </c>
      <c r="V44" s="25" t="e" cm="1">
        <f t="array" aca="1" ref="V44" ca="1">MMS_PastureBeef_Soil_N2ODirect_Equations.VEERG_4_2_1_3__7_RelativeSize(V28,D$28)</f>
        <v>#N/A</v>
      </c>
      <c r="W44" s="25" t="e" cm="1">
        <f t="array" aca="1" ref="W44" ca="1">MMS_PastureBeef_Soil_N2ODirect_Equations.VEERG_4_2_1_3__7_RelativeSize(W28,E$28)</f>
        <v>#N/A</v>
      </c>
      <c r="X44" s="25" t="e" cm="1">
        <f t="array" aca="1" ref="X44" ca="1">MMS_PastureBeef_Soil_N2ODirect_Equations.VEERG_4_2_1_3__7_RelativeSize(X28,F$28)</f>
        <v>#N/A</v>
      </c>
      <c r="Y44" s="25" t="e" cm="1">
        <f t="array" aca="1" ref="Y44" ca="1">MMS_PastureBeef_Soil_N2ODirect_Equations.VEERG_4_2_1_3__7_RelativeSize(Y28,G$28)</f>
        <v>#N/A</v>
      </c>
      <c r="Z44" s="25" t="e" cm="1">
        <f t="array" aca="1" ref="Z44" ca="1">MMS_PastureBeef_Soil_N2ODirect_Equations.VEERG_4_2_1_3__7_RelativeSize(Z28,H$28)</f>
        <v>#N/A</v>
      </c>
      <c r="AA44" s="25" t="e" cm="1">
        <f t="array" aca="1" ref="AA44" ca="1">MMS_PastureBeef_Soil_N2ODirect_Equations.VEERG_4_2_1_3__7_RelativeSize(AA28,I$28)</f>
        <v>#N/A</v>
      </c>
      <c r="AB44" s="25" t="e" cm="1">
        <f t="array" aca="1" ref="AB44" ca="1">MMS_PastureBeef_Soil_N2ODirect_Equations.VEERG_4_2_1_3__7_RelativeSize(AB28,J$28)</f>
        <v>#N/A</v>
      </c>
      <c r="AC44" s="25" t="e" cm="1">
        <f t="array" aca="1" ref="AC44" ca="1">MMS_PastureBeef_Soil_N2ODirect_Equations.VEERG_4_2_1_3__7_RelativeSize(AC28,K$28)</f>
        <v>#N/A</v>
      </c>
      <c r="AD44" s="25" t="e" cm="1">
        <f t="array" aca="1" ref="AD44" ca="1">MMS_PastureBeef_Soil_N2ODirect_Equations.VEERG_4_2_1_3__7_RelativeSize(AD28,L$28)</f>
        <v>#N/A</v>
      </c>
      <c r="AE44" s="25" t="e" cm="1">
        <f t="array" aca="1" ref="AE44" ca="1">MMS_PastureBeef_Soil_N2ODirect_Equations.VEERG_4_2_1_3__7_RelativeSize(AE28,M$28)</f>
        <v>#N/A</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e">
        <f>TEXT(EDATE(X_Cell_Site_StartDate,9), "mmmm")</f>
        <v>#VALUE!</v>
      </c>
      <c r="V45" s="25" t="e" cm="1">
        <f t="array" aca="1" ref="V45" ca="1">MMS_PastureBeef_Soil_N2ODirect_Equations.VEERG_4_2_1_3__7_RelativeSize(V29,D$28)</f>
        <v>#N/A</v>
      </c>
      <c r="W45" s="25" t="e" cm="1">
        <f t="array" aca="1" ref="W45" ca="1">MMS_PastureBeef_Soil_N2ODirect_Equations.VEERG_4_2_1_3__7_RelativeSize(W29,E$28)</f>
        <v>#N/A</v>
      </c>
      <c r="X45" s="25" t="e" cm="1">
        <f t="array" aca="1" ref="X45" ca="1">MMS_PastureBeef_Soil_N2ODirect_Equations.VEERG_4_2_1_3__7_RelativeSize(X29,F$28)</f>
        <v>#N/A</v>
      </c>
      <c r="Y45" s="25" t="e" cm="1">
        <f t="array" aca="1" ref="Y45" ca="1">MMS_PastureBeef_Soil_N2ODirect_Equations.VEERG_4_2_1_3__7_RelativeSize(Y29,G$28)</f>
        <v>#N/A</v>
      </c>
      <c r="Z45" s="25" t="e" cm="1">
        <f t="array" aca="1" ref="Z45" ca="1">MMS_PastureBeef_Soil_N2ODirect_Equations.VEERG_4_2_1_3__7_RelativeSize(Z29,H$28)</f>
        <v>#N/A</v>
      </c>
      <c r="AA45" s="25" t="e" cm="1">
        <f t="array" aca="1" ref="AA45" ca="1">MMS_PastureBeef_Soil_N2ODirect_Equations.VEERG_4_2_1_3__7_RelativeSize(AA29,I$28)</f>
        <v>#N/A</v>
      </c>
      <c r="AB45" s="25" t="e" cm="1">
        <f t="array" aca="1" ref="AB45" ca="1">MMS_PastureBeef_Soil_N2ODirect_Equations.VEERG_4_2_1_3__7_RelativeSize(AB29,J$28)</f>
        <v>#N/A</v>
      </c>
      <c r="AC45" s="25" t="e" cm="1">
        <f t="array" aca="1" ref="AC45" ca="1">MMS_PastureBeef_Soil_N2ODirect_Equations.VEERG_4_2_1_3__7_RelativeSize(AC29,K$28)</f>
        <v>#N/A</v>
      </c>
      <c r="AD45" s="25" t="e" cm="1">
        <f t="array" aca="1" ref="AD45" ca="1">MMS_PastureBeef_Soil_N2ODirect_Equations.VEERG_4_2_1_3__7_RelativeSize(AD29,L$28)</f>
        <v>#N/A</v>
      </c>
      <c r="AE45" s="25" t="e" cm="1">
        <f t="array" aca="1" ref="AE45" ca="1">MMS_PastureBeef_Soil_N2ODirect_Equations.VEERG_4_2_1_3__7_RelativeSize(AE29,M$28)</f>
        <v>#N/A</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TEXT(EDATE(X_Cell_Site_StartDate,10), "mmmm")</f>
        <v>#VALUE!</v>
      </c>
      <c r="V46" s="25" t="e" cm="1">
        <f t="array" aca="1" ref="V46" ca="1">MMS_PastureBeef_Soil_N2ODirect_Equations.VEERG_4_2_1_3__7_RelativeSize(V30,D$28)</f>
        <v>#N/A</v>
      </c>
      <c r="W46" s="25" t="e" cm="1">
        <f t="array" aca="1" ref="W46" ca="1">MMS_PastureBeef_Soil_N2ODirect_Equations.VEERG_4_2_1_3__7_RelativeSize(W30,E$28)</f>
        <v>#N/A</v>
      </c>
      <c r="X46" s="25" t="e" cm="1">
        <f t="array" aca="1" ref="X46" ca="1">MMS_PastureBeef_Soil_N2ODirect_Equations.VEERG_4_2_1_3__7_RelativeSize(X30,F$28)</f>
        <v>#N/A</v>
      </c>
      <c r="Y46" s="25" t="e" cm="1">
        <f t="array" aca="1" ref="Y46" ca="1">MMS_PastureBeef_Soil_N2ODirect_Equations.VEERG_4_2_1_3__7_RelativeSize(Y30,G$28)</f>
        <v>#N/A</v>
      </c>
      <c r="Z46" s="25" t="e" cm="1">
        <f t="array" aca="1" ref="Z46" ca="1">MMS_PastureBeef_Soil_N2ODirect_Equations.VEERG_4_2_1_3__7_RelativeSize(Z30,H$28)</f>
        <v>#N/A</v>
      </c>
      <c r="AA46" s="25" t="e" cm="1">
        <f t="array" aca="1" ref="AA46" ca="1">MMS_PastureBeef_Soil_N2ODirect_Equations.VEERG_4_2_1_3__7_RelativeSize(AA30,I$28)</f>
        <v>#N/A</v>
      </c>
      <c r="AB46" s="25" t="e" cm="1">
        <f t="array" aca="1" ref="AB46" ca="1">MMS_PastureBeef_Soil_N2ODirect_Equations.VEERG_4_2_1_3__7_RelativeSize(AB30,J$28)</f>
        <v>#N/A</v>
      </c>
      <c r="AC46" s="25" t="e" cm="1">
        <f t="array" aca="1" ref="AC46" ca="1">MMS_PastureBeef_Soil_N2ODirect_Equations.VEERG_4_2_1_3__7_RelativeSize(AC30,K$28)</f>
        <v>#N/A</v>
      </c>
      <c r="AD46" s="25" t="e" cm="1">
        <f t="array" aca="1" ref="AD46" ca="1">MMS_PastureBeef_Soil_N2ODirect_Equations.VEERG_4_2_1_3__7_RelativeSize(AD30,L$28)</f>
        <v>#N/A</v>
      </c>
      <c r="AE46" s="25" t="e" cm="1">
        <f t="array" aca="1" ref="AE46" ca="1">MMS_PastureBeef_Soil_N2ODirect_Equations.VEERG_4_2_1_3__7_RelativeSize(AE30,M$28)</f>
        <v>#N/A</v>
      </c>
      <c r="AF46" s="26" t="str">
        <f t="shared" si="1"/>
        <v>ratio</v>
      </c>
      <c r="AG46" s="26"/>
      <c r="AH46" s="26"/>
    </row>
    <row r="47" spans="1:34" ht="20.100000000000001" customHeight="1" x14ac:dyDescent="0.25">
      <c r="U47" s="25" t="e">
        <f>TEXT(EDATE(X_Cell_Site_StartDate,11), "mmmm")</f>
        <v>#VALUE!</v>
      </c>
      <c r="V47" s="25" t="e" cm="1">
        <f t="array" aca="1" ref="V47" ca="1">MMS_PastureBeef_Soil_N2ODirect_Equations.VEERG_4_2_1_3__7_RelativeSize(V31,D$28)</f>
        <v>#N/A</v>
      </c>
      <c r="W47" s="25" t="e" cm="1">
        <f t="array" aca="1" ref="W47" ca="1">MMS_PastureBeef_Soil_N2ODirect_Equations.VEERG_4_2_1_3__7_RelativeSize(W31,E$28)</f>
        <v>#N/A</v>
      </c>
      <c r="X47" s="25" t="e" cm="1">
        <f t="array" aca="1" ref="X47" ca="1">MMS_PastureBeef_Soil_N2ODirect_Equations.VEERG_4_2_1_3__7_RelativeSize(X31,F$28)</f>
        <v>#N/A</v>
      </c>
      <c r="Y47" s="25" t="e" cm="1">
        <f t="array" aca="1" ref="Y47" ca="1">MMS_PastureBeef_Soil_N2ODirect_Equations.VEERG_4_2_1_3__7_RelativeSize(Y31,G$28)</f>
        <v>#N/A</v>
      </c>
      <c r="Z47" s="25" t="e" cm="1">
        <f t="array" aca="1" ref="Z47" ca="1">MMS_PastureBeef_Soil_N2ODirect_Equations.VEERG_4_2_1_3__7_RelativeSize(Z31,H$28)</f>
        <v>#N/A</v>
      </c>
      <c r="AA47" s="25" t="e" cm="1">
        <f t="array" aca="1" ref="AA47" ca="1">MMS_PastureBeef_Soil_N2ODirect_Equations.VEERG_4_2_1_3__7_RelativeSize(AA31,I$28)</f>
        <v>#N/A</v>
      </c>
      <c r="AB47" s="25" t="e" cm="1">
        <f t="array" aca="1" ref="AB47" ca="1">MMS_PastureBeef_Soil_N2ODirect_Equations.VEERG_4_2_1_3__7_RelativeSize(AB31,J$28)</f>
        <v>#N/A</v>
      </c>
      <c r="AC47" s="25" t="e" cm="1">
        <f t="array" aca="1" ref="AC47" ca="1">MMS_PastureBeef_Soil_N2ODirect_Equations.VEERG_4_2_1_3__7_RelativeSize(AC31,K$28)</f>
        <v>#N/A</v>
      </c>
      <c r="AD47" s="25" t="e" cm="1">
        <f t="array" aca="1" ref="AD47" ca="1">MMS_PastureBeef_Soil_N2ODirect_Equations.VEERG_4_2_1_3__7_RelativeSize(AD31,L$28)</f>
        <v>#N/A</v>
      </c>
      <c r="AE47" s="25" t="e" cm="1">
        <f t="array" aca="1" ref="AE47" ca="1">MMS_PastureBeef_Soil_N2ODirect_Equations.VEERG_4_2_1_3__7_RelativeSize(AE31,M$28)</f>
        <v>#N/A</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t="e">
        <f ca="1">INDEX(M1_Table_I_j_k_l,2,2)</f>
        <v>#N/A</v>
      </c>
      <c r="F54" s="25" t="e">
        <f ca="1">INDEX(M1_Table_I_j_k_l,2,3)</f>
        <v>#N/A</v>
      </c>
      <c r="G54" s="25" t="e">
        <f ca="1">INDEX(M1_Table_I_j_k_l,2,4)</f>
        <v>#N/A</v>
      </c>
      <c r="H54" s="25" t="e">
        <f ca="1">INDEX(M1_Table_I_j_k_l,2,5)</f>
        <v>#N/A</v>
      </c>
      <c r="I54" s="25" t="e">
        <f ca="1">INDEX(M1_Table_I_j_k_l,2,6)</f>
        <v>#N/A</v>
      </c>
      <c r="J54" s="25" t="e">
        <f ca="1">INDEX(M1_Table_I_j_k_l,2,7)</f>
        <v>#N/A</v>
      </c>
      <c r="K54" s="25" t="e">
        <f ca="1">INDEX(M1_Table_I_j_k_l,2,8)</f>
        <v>#N/A</v>
      </c>
      <c r="L54" s="25" t="e">
        <f ca="1">INDEX(M1_Table_I_j_k_l,2,9)</f>
        <v>#N/A</v>
      </c>
      <c r="M54" s="25" t="e">
        <f ca="1">INDEX(M1_Table_I_j_k_l,2,10)</f>
        <v>#N/A</v>
      </c>
      <c r="N54" s="25" t="e">
        <f ca="1">INDEX(M1_Table_I_j_k_l,2,11)</f>
        <v>#N/A</v>
      </c>
      <c r="O54" s="26" t="str">
        <f>'4.2.1.1-2 Methane'!O84</f>
        <v>kg DM/head/day</v>
      </c>
      <c r="U54" s="115" t="s">
        <v>282</v>
      </c>
    </row>
    <row r="55" spans="4:35" ht="20.100000000000001" customHeight="1" x14ac:dyDescent="0.25">
      <c r="D55" s="25" t="s">
        <v>201</v>
      </c>
      <c r="E55" s="25" t="e">
        <f ca="1">INDEX(M1_Table_I_j_k_l,3,2)</f>
        <v>#N/A</v>
      </c>
      <c r="F55" s="25" t="e">
        <f ca="1">INDEX(M1_Table_I_j_k_l,3,3)</f>
        <v>#N/A</v>
      </c>
      <c r="G55" s="25" t="e">
        <f ca="1">INDEX(M1_Table_I_j_k_l,3,4)</f>
        <v>#N/A</v>
      </c>
      <c r="H55" s="25" t="e">
        <f ca="1">INDEX(M1_Table_I_j_k_l,3,5)</f>
        <v>#N/A</v>
      </c>
      <c r="I55" s="25" t="e">
        <f ca="1">INDEX(M1_Table_I_j_k_l,3,6)</f>
        <v>#N/A</v>
      </c>
      <c r="J55" s="25" t="e">
        <f ca="1">INDEX(M1_Table_I_j_k_l,3,7)</f>
        <v>#N/A</v>
      </c>
      <c r="K55" s="25" t="e">
        <f ca="1">INDEX(M1_Table_I_j_k_l,3,8)</f>
        <v>#N/A</v>
      </c>
      <c r="L55" s="25" t="e">
        <f ca="1">INDEX(M1_Table_I_j_k_l,3,9)</f>
        <v>#N/A</v>
      </c>
      <c r="M55" s="25" t="e">
        <f ca="1">INDEX(M1_Table_I_j_k_l,3,10)</f>
        <v>#N/A</v>
      </c>
      <c r="N55" s="25" t="e">
        <f ca="1">INDEX(M1_Table_I_j_k_l,3,11)</f>
        <v>#N/A</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t="e">
        <f ca="1">INDEX(M1_Table_I_j_k_l,4,2)</f>
        <v>#N/A</v>
      </c>
      <c r="F56" s="25" t="e">
        <f ca="1">INDEX(M1_Table_I_j_k_l,4,3)</f>
        <v>#N/A</v>
      </c>
      <c r="G56" s="25" t="e">
        <f ca="1">INDEX(M1_Table_I_j_k_l,4,4)</f>
        <v>#N/A</v>
      </c>
      <c r="H56" s="25" t="e">
        <f ca="1">INDEX(M1_Table_I_j_k_l,4,5)</f>
        <v>#N/A</v>
      </c>
      <c r="I56" s="25" t="e">
        <f ca="1">INDEX(M1_Table_I_j_k_l,4,6)</f>
        <v>#N/A</v>
      </c>
      <c r="J56" s="25" t="e">
        <f ca="1">INDEX(M1_Table_I_j_k_l,4,7)</f>
        <v>#N/A</v>
      </c>
      <c r="K56" s="25" t="e">
        <f ca="1">INDEX(M1_Table_I_j_k_l,4,8)</f>
        <v>#N/A</v>
      </c>
      <c r="L56" s="25" t="e">
        <f ca="1">INDEX(M1_Table_I_j_k_l,4,9)</f>
        <v>#N/A</v>
      </c>
      <c r="M56" s="25" t="e">
        <f ca="1">INDEX(M1_Table_I_j_k_l,4,10)</f>
        <v>#N/A</v>
      </c>
      <c r="N56" s="25" t="e">
        <f ca="1">INDEX(M1_Table_I_j_k_l,4,11)</f>
        <v>#N/A</v>
      </c>
      <c r="O56" s="26" t="str">
        <f>'4.2.1.1-2 Methane'!O86</f>
        <v>kg DM/head/day</v>
      </c>
      <c r="U56" s="25" t="str">
        <f>TEXT(X_Cell_Site_StartDate,"mmmm")</f>
        <v>NO - Not in leaching zone</v>
      </c>
      <c r="V56" s="25" t="e">
        <f ca="1">INDEX(M2_Table_I_j_k_l,2,2)</f>
        <v>#N/A</v>
      </c>
      <c r="W56" s="25" t="e">
        <f ca="1">INDEX(M2_Table_I_j_k_l,2,3)</f>
        <v>#N/A</v>
      </c>
      <c r="X56" s="25" t="e">
        <f ca="1">INDEX(M2_Table_I_j_k_l,2,4)</f>
        <v>#N/A</v>
      </c>
      <c r="Y56" s="25" t="e">
        <f ca="1">INDEX(M2_Table_I_j_k_l,2,5)</f>
        <v>#N/A</v>
      </c>
      <c r="Z56" s="25" t="e">
        <f ca="1">INDEX(M2_Table_I_j_k_l,2,6)</f>
        <v>#N/A</v>
      </c>
      <c r="AA56" s="25" t="e">
        <f ca="1">INDEX(M2_Table_I_j_k_l,2,7)</f>
        <v>#N/A</v>
      </c>
      <c r="AB56" s="25" t="e">
        <f ca="1">INDEX(M2_Table_I_j_k_l,2,8)</f>
        <v>#N/A</v>
      </c>
      <c r="AC56" s="25" t="e">
        <f ca="1">INDEX(M2_Table_I_j_k_l,2,9)</f>
        <v>#N/A</v>
      </c>
      <c r="AD56" s="25" t="e">
        <f ca="1">INDEX(M2_Table_I_j_k_l,2,10)</f>
        <v>#N/A</v>
      </c>
      <c r="AE56" s="25" t="e">
        <f ca="1">INDEX(M2_Table_I_j_k_l,2,11)</f>
        <v>#N/A</v>
      </c>
      <c r="AF56" s="26" t="str">
        <f>'4.2.1.1-2 Methane'!AH76</f>
        <v>kg DM/head/day</v>
      </c>
      <c r="AG56" s="26"/>
      <c r="AH56" s="26"/>
    </row>
    <row r="57" spans="4:35" ht="20.100000000000001" customHeight="1" x14ac:dyDescent="0.25">
      <c r="D57" s="25" t="s">
        <v>203</v>
      </c>
      <c r="E57" s="25" t="e">
        <f ca="1">INDEX(M1_Table_I_j_k_l,5,2)</f>
        <v>#N/A</v>
      </c>
      <c r="F57" s="25" t="e">
        <f ca="1">INDEX(M1_Table_I_j_k_l,5,3)</f>
        <v>#N/A</v>
      </c>
      <c r="G57" s="25" t="e">
        <f ca="1">INDEX(M1_Table_I_j_k_l,5,4)</f>
        <v>#N/A</v>
      </c>
      <c r="H57" s="25" t="e">
        <f ca="1">INDEX(M1_Table_I_j_k_l,5,5)</f>
        <v>#N/A</v>
      </c>
      <c r="I57" s="25" t="e">
        <f ca="1">INDEX(M1_Table_I_j_k_l,5,6)</f>
        <v>#N/A</v>
      </c>
      <c r="J57" s="25" t="e">
        <f ca="1">INDEX(M1_Table_I_j_k_l,5,7)</f>
        <v>#N/A</v>
      </c>
      <c r="K57" s="25" t="e">
        <f ca="1">INDEX(M1_Table_I_j_k_l,5,8)</f>
        <v>#N/A</v>
      </c>
      <c r="L57" s="25" t="e">
        <f ca="1">INDEX(M1_Table_I_j_k_l,5,9)</f>
        <v>#N/A</v>
      </c>
      <c r="M57" s="25" t="e">
        <f ca="1">INDEX(M1_Table_I_j_k_l,5,10)</f>
        <v>#N/A</v>
      </c>
      <c r="N57" s="25" t="e">
        <f ca="1">INDEX(M1_Table_I_j_k_l,5,11)</f>
        <v>#N/A</v>
      </c>
      <c r="O57" s="26" t="str">
        <f>'4.2.1.1-2 Methane'!O87</f>
        <v>kg DM/head/day</v>
      </c>
      <c r="U57" s="25" t="e">
        <f>TEXT(EDATE(X_Cell_Site_StartDate,1), "mmmm")</f>
        <v>#VALUE!</v>
      </c>
      <c r="V57" s="25" t="e">
        <f ca="1">INDEX(M2_Table_I_j_k_l,3,2)</f>
        <v>#N/A</v>
      </c>
      <c r="W57" s="25" t="e">
        <f ca="1">INDEX(M2_Table_I_j_k_l,3,3)</f>
        <v>#N/A</v>
      </c>
      <c r="X57" s="25" t="e">
        <f ca="1">INDEX(M2_Table_I_j_k_l,3,4)</f>
        <v>#N/A</v>
      </c>
      <c r="Y57" s="25" t="e">
        <f ca="1">INDEX(M2_Table_I_j_k_l,3,5)</f>
        <v>#N/A</v>
      </c>
      <c r="Z57" s="25" t="e">
        <f ca="1">INDEX(M2_Table_I_j_k_l,3,6)</f>
        <v>#N/A</v>
      </c>
      <c r="AA57" s="25" t="e">
        <f ca="1">INDEX(M2_Table_I_j_k_l,3,7)</f>
        <v>#N/A</v>
      </c>
      <c r="AB57" s="25" t="e">
        <f ca="1">INDEX(M2_Table_I_j_k_l,3,8)</f>
        <v>#N/A</v>
      </c>
      <c r="AC57" s="25" t="e">
        <f ca="1">INDEX(M2_Table_I_j_k_l,3,9)</f>
        <v>#N/A</v>
      </c>
      <c r="AD57" s="25" t="e">
        <f ca="1">INDEX(M2_Table_I_j_k_l,3,10)</f>
        <v>#N/A</v>
      </c>
      <c r="AE57" s="25" t="e">
        <f ca="1">INDEX(M2_Table_I_j_k_l,3,11)</f>
        <v>#N/A</v>
      </c>
      <c r="AF57" s="26" t="str">
        <f>'4.2.1.1-2 Methane'!AH77</f>
        <v>kg DM/head/day</v>
      </c>
      <c r="AG57" s="26"/>
      <c r="AH57" s="26"/>
    </row>
    <row r="58" spans="4:35" ht="20.100000000000001" customHeight="1" x14ac:dyDescent="0.25">
      <c r="U58" s="25" t="e">
        <f>TEXT(EDATE(X_Cell_Site_StartDate,2), "mmmm")</f>
        <v>#VALUE!</v>
      </c>
      <c r="V58" s="25" t="e">
        <f ca="1">INDEX(M2_Table_I_j_k_l,4,2)</f>
        <v>#N/A</v>
      </c>
      <c r="W58" s="25" t="e">
        <f ca="1">INDEX(M2_Table_I_j_k_l,4,3)</f>
        <v>#N/A</v>
      </c>
      <c r="X58" s="25" t="e">
        <f ca="1">INDEX(M2_Table_I_j_k_l,4,4)</f>
        <v>#N/A</v>
      </c>
      <c r="Y58" s="25" t="e">
        <f ca="1">INDEX(M2_Table_I_j_k_l,4,5)</f>
        <v>#N/A</v>
      </c>
      <c r="Z58" s="25" t="e">
        <f ca="1">INDEX(M2_Table_I_j_k_l,4,6)</f>
        <v>#N/A</v>
      </c>
      <c r="AA58" s="25" t="e">
        <f ca="1">INDEX(M2_Table_I_j_k_l,4,7)</f>
        <v>#N/A</v>
      </c>
      <c r="AB58" s="25" t="e">
        <f ca="1">INDEX(M2_Table_I_j_k_l,4,8)</f>
        <v>#N/A</v>
      </c>
      <c r="AC58" s="25" t="e">
        <f ca="1">INDEX(M2_Table_I_j_k_l,4,9)</f>
        <v>#N/A</v>
      </c>
      <c r="AD58" s="25" t="e">
        <f ca="1">INDEX(M2_Table_I_j_k_l,4,10)</f>
        <v>#N/A</v>
      </c>
      <c r="AE58" s="25" t="e">
        <f ca="1">INDEX(M2_Table_I_j_k_l,4,11)</f>
        <v>#N/A</v>
      </c>
      <c r="AF58" s="26" t="str">
        <f>'4.2.1.1-2 Methane'!AH78</f>
        <v>kg DM/head/day</v>
      </c>
      <c r="AG58" s="26"/>
      <c r="AH58" s="26"/>
    </row>
    <row r="59" spans="4:35" ht="20.100000000000001" customHeight="1" x14ac:dyDescent="0.25">
      <c r="D59" s="114" t="s">
        <v>428</v>
      </c>
      <c r="U59" s="25" t="e">
        <f>TEXT(EDATE(X_Cell_Site_StartDate,3), "mmmm")</f>
        <v>#VALUE!</v>
      </c>
      <c r="V59" s="25" t="e">
        <f ca="1">INDEX(M2_Table_I_j_k_l,5,2)</f>
        <v>#N/A</v>
      </c>
      <c r="W59" s="25" t="e">
        <f ca="1">INDEX(M2_Table_I_j_k_l,5,3)</f>
        <v>#N/A</v>
      </c>
      <c r="X59" s="25" t="e">
        <f ca="1">INDEX(M2_Table_I_j_k_l,5,4)</f>
        <v>#N/A</v>
      </c>
      <c r="Y59" s="25" t="e">
        <f ca="1">INDEX(M2_Table_I_j_k_l,5,5)</f>
        <v>#N/A</v>
      </c>
      <c r="Z59" s="25" t="e">
        <f ca="1">INDEX(M2_Table_I_j_k_l,5,6)</f>
        <v>#N/A</v>
      </c>
      <c r="AA59" s="25" t="e">
        <f ca="1">INDEX(M2_Table_I_j_k_l,5,7)</f>
        <v>#N/A</v>
      </c>
      <c r="AB59" s="25" t="e">
        <f ca="1">INDEX(M2_Table_I_j_k_l,5,8)</f>
        <v>#N/A</v>
      </c>
      <c r="AC59" s="25" t="e">
        <f ca="1">INDEX(M2_Table_I_j_k_l,5,9)</f>
        <v>#N/A</v>
      </c>
      <c r="AD59" s="25" t="e">
        <f ca="1">INDEX(M2_Table_I_j_k_l,5,10)</f>
        <v>#N/A</v>
      </c>
      <c r="AE59" s="25" t="e">
        <f ca="1">INDEX(M2_Table_I_j_k_l,5,11)</f>
        <v>#N/A</v>
      </c>
      <c r="AF59" s="26" t="str">
        <f>'4.2.1.1-2 Methane'!AH79</f>
        <v>kg DM/head/day</v>
      </c>
      <c r="AG59" s="26"/>
      <c r="AH59" s="26"/>
    </row>
    <row r="60" spans="4:35" ht="20.100000000000001" customHeight="1" x14ac:dyDescent="0.25">
      <c r="D60" s="115" t="s">
        <v>429</v>
      </c>
      <c r="U60" s="25" t="e">
        <f>TEXT(EDATE(X_Cell_Site_StartDate,4), "mmmm")</f>
        <v>#VALUE!</v>
      </c>
      <c r="V60" s="25" t="e">
        <f ca="1">INDEX(M2_Table_I_j_k_l,6,2)</f>
        <v>#N/A</v>
      </c>
      <c r="W60" s="25" t="e">
        <f ca="1">INDEX(M2_Table_I_j_k_l,6,3)</f>
        <v>#N/A</v>
      </c>
      <c r="X60" s="25" t="e">
        <f ca="1">INDEX(M2_Table_I_j_k_l,6,4)</f>
        <v>#N/A</v>
      </c>
      <c r="Y60" s="25" t="e">
        <f ca="1">INDEX(M2_Table_I_j_k_l,6,5)</f>
        <v>#N/A</v>
      </c>
      <c r="Z60" s="25" t="e">
        <f ca="1">INDEX(M2_Table_I_j_k_l,6,6)</f>
        <v>#N/A</v>
      </c>
      <c r="AA60" s="25" t="e">
        <f ca="1">INDEX(M2_Table_I_j_k_l,6,7)</f>
        <v>#N/A</v>
      </c>
      <c r="AB60" s="25" t="e">
        <f ca="1">INDEX(M2_Table_I_j_k_l,6,8)</f>
        <v>#N/A</v>
      </c>
      <c r="AC60" s="25" t="e">
        <f ca="1">INDEX(M2_Table_I_j_k_l,6,9)</f>
        <v>#N/A</v>
      </c>
      <c r="AD60" s="25" t="e">
        <f ca="1">INDEX(M2_Table_I_j_k_l,6,10)</f>
        <v>#N/A</v>
      </c>
      <c r="AE60" s="25" t="e">
        <f ca="1">INDEX(M2_Table_I_j_k_l,6,11)</f>
        <v>#N/A</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e">
        <f>TEXT(EDATE(X_Cell_Site_StartDate,5), "mmmm")</f>
        <v>#VALUE!</v>
      </c>
      <c r="V61" s="25" t="e">
        <f ca="1">INDEX(M2_Table_I_j_k_l,7,2)</f>
        <v>#N/A</v>
      </c>
      <c r="W61" s="25" t="e">
        <f ca="1">INDEX(M2_Table_I_j_k_l,7,3)</f>
        <v>#N/A</v>
      </c>
      <c r="X61" s="25" t="e">
        <f ca="1">INDEX(M2_Table_I_j_k_l,7,4)</f>
        <v>#N/A</v>
      </c>
      <c r="Y61" s="25" t="e">
        <f ca="1">INDEX(M2_Table_I_j_k_l,7,5)</f>
        <v>#N/A</v>
      </c>
      <c r="Z61" s="25" t="e">
        <f ca="1">INDEX(M2_Table_I_j_k_l,7,6)</f>
        <v>#N/A</v>
      </c>
      <c r="AA61" s="25" t="e">
        <f ca="1">INDEX(M2_Table_I_j_k_l,7,7)</f>
        <v>#N/A</v>
      </c>
      <c r="AB61" s="25" t="e">
        <f ca="1">INDEX(M2_Table_I_j_k_l,7,8)</f>
        <v>#N/A</v>
      </c>
      <c r="AC61" s="25" t="e">
        <f ca="1">INDEX(M2_Table_I_j_k_l,7,9)</f>
        <v>#N/A</v>
      </c>
      <c r="AD61" s="25" t="e">
        <f ca="1">INDEX(M2_Table_I_j_k_l,7,10)</f>
        <v>#N/A</v>
      </c>
      <c r="AE61" s="25" t="e">
        <f ca="1">INDEX(M2_Table_I_j_k_l,7,11)</f>
        <v>#N/A</v>
      </c>
      <c r="AF61" s="26" t="str">
        <f>'4.2.1.1-2 Methane'!AH81</f>
        <v>kg DM/head/day</v>
      </c>
      <c r="AG61" s="26"/>
      <c r="AH61" s="26"/>
    </row>
    <row r="62" spans="4:35" ht="20.100000000000001" customHeight="1" x14ac:dyDescent="0.25">
      <c r="D62" s="25" t="s">
        <v>200</v>
      </c>
      <c r="E62" s="25" t="e" cm="1">
        <f t="array" aca="1" ref="E62" ca="1">MMS_PastureBeef_Soil_N2ODirect_Equations.VEERG_4_2_1_3__6_IntakeRelativeToMaintenance(E54,E20)</f>
        <v>#N/A</v>
      </c>
      <c r="F62" s="25" t="e" cm="1">
        <f t="array" aca="1" ref="F62" ca="1">MMS_PastureBeef_Soil_N2ODirect_Equations.VEERG_4_2_1_3__6_IntakeRelativeToMaintenance(F54,F20)</f>
        <v>#N/A</v>
      </c>
      <c r="G62" s="25" t="e" cm="1">
        <f t="array" aca="1" ref="G62" ca="1">MMS_PastureBeef_Soil_N2ODirect_Equations.VEERG_4_2_1_3__6_IntakeRelativeToMaintenance(G54,G20)</f>
        <v>#N/A</v>
      </c>
      <c r="H62" s="25" t="e" cm="1">
        <f t="array" aca="1" ref="H62" ca="1">MMS_PastureBeef_Soil_N2ODirect_Equations.VEERG_4_2_1_3__6_IntakeRelativeToMaintenance(H54,H20)</f>
        <v>#N/A</v>
      </c>
      <c r="I62" s="25" t="e" cm="1">
        <f t="array" aca="1" ref="I62" ca="1">MMS_PastureBeef_Soil_N2ODirect_Equations.VEERG_4_2_1_3__6_IntakeRelativeToMaintenance(I54,I20)</f>
        <v>#N/A</v>
      </c>
      <c r="J62" s="25" t="e" cm="1">
        <f t="array" aca="1" ref="J62" ca="1">MMS_PastureBeef_Soil_N2ODirect_Equations.VEERG_4_2_1_3__6_IntakeRelativeToMaintenance(J54,J20)</f>
        <v>#N/A</v>
      </c>
      <c r="K62" s="25" t="e" cm="1">
        <f t="array" aca="1" ref="K62" ca="1">MMS_PastureBeef_Soil_N2ODirect_Equations.VEERG_4_2_1_3__6_IntakeRelativeToMaintenance(K54,K20)</f>
        <v>#N/A</v>
      </c>
      <c r="L62" s="25" t="e" cm="1">
        <f t="array" aca="1" ref="L62" ca="1">MMS_PastureBeef_Soil_N2ODirect_Equations.VEERG_4_2_1_3__6_IntakeRelativeToMaintenance(L54,L20)</f>
        <v>#N/A</v>
      </c>
      <c r="M62" s="25" t="e" cm="1">
        <f t="array" aca="1" ref="M62" ca="1">MMS_PastureBeef_Soil_N2ODirect_Equations.VEERG_4_2_1_3__6_IntakeRelativeToMaintenance(M54,M20)</f>
        <v>#N/A</v>
      </c>
      <c r="N62" s="25" t="e" cm="1">
        <f t="array" aca="1" ref="N62" ca="1">MMS_PastureBeef_Soil_N2ODirect_Equations.VEERG_4_2_1_3__6_IntakeRelativeToMaintenance(N54,N20)</f>
        <v>#N/A</v>
      </c>
      <c r="O62" s="26" t="str">
        <f>$E$46</f>
        <v>ratio</v>
      </c>
      <c r="U62" s="25" t="e">
        <f>TEXT(EDATE(X_Cell_Site_StartDate,6), "mmmm")</f>
        <v>#VALUE!</v>
      </c>
      <c r="V62" s="25" t="e">
        <f ca="1">INDEX(M2_Table_I_j_k_l,8,2)</f>
        <v>#N/A</v>
      </c>
      <c r="W62" s="25" t="e">
        <f ca="1">INDEX(M2_Table_I_j_k_l,8,3)</f>
        <v>#N/A</v>
      </c>
      <c r="X62" s="25" t="e">
        <f ca="1">INDEX(M2_Table_I_j_k_l,8,4)</f>
        <v>#N/A</v>
      </c>
      <c r="Y62" s="25" t="e">
        <f ca="1">INDEX(M2_Table_I_j_k_l,8,5)</f>
        <v>#N/A</v>
      </c>
      <c r="Z62" s="25" t="e">
        <f ca="1">INDEX(M2_Table_I_j_k_l,8,6)</f>
        <v>#N/A</v>
      </c>
      <c r="AA62" s="25" t="e">
        <f ca="1">INDEX(M2_Table_I_j_k_l,8,7)</f>
        <v>#N/A</v>
      </c>
      <c r="AB62" s="25" t="e">
        <f ca="1">INDEX(M2_Table_I_j_k_l,8,8)</f>
        <v>#N/A</v>
      </c>
      <c r="AC62" s="25" t="e">
        <f ca="1">INDEX(M2_Table_I_j_k_l,8,9)</f>
        <v>#N/A</v>
      </c>
      <c r="AD62" s="25" t="e">
        <f ca="1">INDEX(M2_Table_I_j_k_l,8,10)</f>
        <v>#N/A</v>
      </c>
      <c r="AE62" s="25" t="e">
        <f ca="1">INDEX(M2_Table_I_j_k_l,8,11)</f>
        <v>#N/A</v>
      </c>
      <c r="AF62" s="26" t="str">
        <f>'4.2.1.1-2 Methane'!AH82</f>
        <v>kg DM/head/day</v>
      </c>
      <c r="AG62" s="26"/>
      <c r="AH62" s="26"/>
    </row>
    <row r="63" spans="4:35" ht="20.100000000000001" customHeight="1" x14ac:dyDescent="0.25">
      <c r="D63" s="25" t="s">
        <v>201</v>
      </c>
      <c r="E63" s="25" t="e" cm="1">
        <f t="array" aca="1" ref="E63" ca="1">MMS_PastureBeef_Soil_N2ODirect_Equations.VEERG_4_2_1_3__6_IntakeRelativeToMaintenance(E55,E21)</f>
        <v>#N/A</v>
      </c>
      <c r="F63" s="25" t="e" cm="1">
        <f t="array" aca="1" ref="F63" ca="1">MMS_PastureBeef_Soil_N2ODirect_Equations.VEERG_4_2_1_3__6_IntakeRelativeToMaintenance(F55,F21)</f>
        <v>#N/A</v>
      </c>
      <c r="G63" s="25" t="e" cm="1">
        <f t="array" aca="1" ref="G63" ca="1">MMS_PastureBeef_Soil_N2ODirect_Equations.VEERG_4_2_1_3__6_IntakeRelativeToMaintenance(G55,G21)</f>
        <v>#N/A</v>
      </c>
      <c r="H63" s="25" t="e" cm="1">
        <f t="array" aca="1" ref="H63" ca="1">MMS_PastureBeef_Soil_N2ODirect_Equations.VEERG_4_2_1_3__6_IntakeRelativeToMaintenance(H55,H21)</f>
        <v>#N/A</v>
      </c>
      <c r="I63" s="25" t="e" cm="1">
        <f t="array" aca="1" ref="I63" ca="1">MMS_PastureBeef_Soil_N2ODirect_Equations.VEERG_4_2_1_3__6_IntakeRelativeToMaintenance(I55,I21)</f>
        <v>#N/A</v>
      </c>
      <c r="J63" s="25" t="e" cm="1">
        <f t="array" aca="1" ref="J63" ca="1">MMS_PastureBeef_Soil_N2ODirect_Equations.VEERG_4_2_1_3__6_IntakeRelativeToMaintenance(J55,J21)</f>
        <v>#N/A</v>
      </c>
      <c r="K63" s="25" t="e" cm="1">
        <f t="array" aca="1" ref="K63" ca="1">MMS_PastureBeef_Soil_N2ODirect_Equations.VEERG_4_2_1_3__6_IntakeRelativeToMaintenance(K55,K21)</f>
        <v>#N/A</v>
      </c>
      <c r="L63" s="25" t="e" cm="1">
        <f t="array" aca="1" ref="L63" ca="1">MMS_PastureBeef_Soil_N2ODirect_Equations.VEERG_4_2_1_3__6_IntakeRelativeToMaintenance(L55,L21)</f>
        <v>#N/A</v>
      </c>
      <c r="M63" s="25" t="e" cm="1">
        <f t="array" aca="1" ref="M63" ca="1">MMS_PastureBeef_Soil_N2ODirect_Equations.VEERG_4_2_1_3__6_IntakeRelativeToMaintenance(M55,M21)</f>
        <v>#N/A</v>
      </c>
      <c r="N63" s="25" t="e" cm="1">
        <f t="array" aca="1" ref="N63" ca="1">MMS_PastureBeef_Soil_N2ODirect_Equations.VEERG_4_2_1_3__6_IntakeRelativeToMaintenance(N55,N21)</f>
        <v>#N/A</v>
      </c>
      <c r="O63" s="26" t="str">
        <f t="shared" ref="O63:O65" si="2">$E$46</f>
        <v>ratio</v>
      </c>
      <c r="U63" s="25" t="e">
        <f>TEXT(EDATE(X_Cell_Site_StartDate,7), "mmmm")</f>
        <v>#VALUE!</v>
      </c>
      <c r="V63" s="25" t="e">
        <f ca="1">INDEX(M2_Table_I_j_k_l,9,2)</f>
        <v>#N/A</v>
      </c>
      <c r="W63" s="25" t="e">
        <f ca="1">INDEX(M2_Table_I_j_k_l,9,3)</f>
        <v>#N/A</v>
      </c>
      <c r="X63" s="25" t="e">
        <f ca="1">INDEX(M2_Table_I_j_k_l,9,4)</f>
        <v>#N/A</v>
      </c>
      <c r="Y63" s="25" t="e">
        <f ca="1">INDEX(M2_Table_I_j_k_l,9,5)</f>
        <v>#N/A</v>
      </c>
      <c r="Z63" s="25" t="e">
        <f ca="1">INDEX(M2_Table_I_j_k_l,9,6)</f>
        <v>#N/A</v>
      </c>
      <c r="AA63" s="25" t="e">
        <f ca="1">INDEX(M2_Table_I_j_k_l,9,7)</f>
        <v>#N/A</v>
      </c>
      <c r="AB63" s="25" t="e">
        <f ca="1">INDEX(M2_Table_I_j_k_l,9,8)</f>
        <v>#N/A</v>
      </c>
      <c r="AC63" s="25" t="e">
        <f ca="1">INDEX(M2_Table_I_j_k_l,9,9)</f>
        <v>#N/A</v>
      </c>
      <c r="AD63" s="25" t="e">
        <f ca="1">INDEX(M2_Table_I_j_k_l,9,10)</f>
        <v>#N/A</v>
      </c>
      <c r="AE63" s="25" t="e">
        <f ca="1">INDEX(M2_Table_I_j_k_l,9,11)</f>
        <v>#N/A</v>
      </c>
      <c r="AF63" s="26" t="str">
        <f>'4.2.1.1-2 Methane'!AH83</f>
        <v>kg DM/head/day</v>
      </c>
      <c r="AG63" s="26"/>
      <c r="AH63" s="26"/>
    </row>
    <row r="64" spans="4:35" ht="20.100000000000001" customHeight="1" x14ac:dyDescent="0.25">
      <c r="D64" s="25" t="s">
        <v>202</v>
      </c>
      <c r="E64" s="25" t="e" cm="1">
        <f t="array" aca="1" ref="E64" ca="1">MMS_PastureBeef_Soil_N2ODirect_Equations.VEERG_4_2_1_3__6_IntakeRelativeToMaintenance(E56,E22)</f>
        <v>#N/A</v>
      </c>
      <c r="F64" s="25" t="e" cm="1">
        <f t="array" aca="1" ref="F64" ca="1">MMS_PastureBeef_Soil_N2ODirect_Equations.VEERG_4_2_1_3__6_IntakeRelativeToMaintenance(F56,F22)</f>
        <v>#N/A</v>
      </c>
      <c r="G64" s="25" t="e" cm="1">
        <f t="array" aca="1" ref="G64" ca="1">MMS_PastureBeef_Soil_N2ODirect_Equations.VEERG_4_2_1_3__6_IntakeRelativeToMaintenance(G56,G22)</f>
        <v>#N/A</v>
      </c>
      <c r="H64" s="25" t="e" cm="1">
        <f t="array" aca="1" ref="H64" ca="1">MMS_PastureBeef_Soil_N2ODirect_Equations.VEERG_4_2_1_3__6_IntakeRelativeToMaintenance(H56,H22)</f>
        <v>#N/A</v>
      </c>
      <c r="I64" s="25" t="e" cm="1">
        <f t="array" aca="1" ref="I64" ca="1">MMS_PastureBeef_Soil_N2ODirect_Equations.VEERG_4_2_1_3__6_IntakeRelativeToMaintenance(I56,I22)</f>
        <v>#N/A</v>
      </c>
      <c r="J64" s="25" t="e" cm="1">
        <f t="array" aca="1" ref="J64" ca="1">MMS_PastureBeef_Soil_N2ODirect_Equations.VEERG_4_2_1_3__6_IntakeRelativeToMaintenance(J56,J22)</f>
        <v>#N/A</v>
      </c>
      <c r="K64" s="25" t="e" cm="1">
        <f t="array" aca="1" ref="K64" ca="1">MMS_PastureBeef_Soil_N2ODirect_Equations.VEERG_4_2_1_3__6_IntakeRelativeToMaintenance(K56,K22)</f>
        <v>#N/A</v>
      </c>
      <c r="L64" s="25" t="e" cm="1">
        <f t="array" aca="1" ref="L64" ca="1">MMS_PastureBeef_Soil_N2ODirect_Equations.VEERG_4_2_1_3__6_IntakeRelativeToMaintenance(L56,L22)</f>
        <v>#N/A</v>
      </c>
      <c r="M64" s="25" t="e" cm="1">
        <f t="array" aca="1" ref="M64" ca="1">MMS_PastureBeef_Soil_N2ODirect_Equations.VEERG_4_2_1_3__6_IntakeRelativeToMaintenance(M56,M22)</f>
        <v>#N/A</v>
      </c>
      <c r="N64" s="25" t="e" cm="1">
        <f t="array" aca="1" ref="N64" ca="1">MMS_PastureBeef_Soil_N2ODirect_Equations.VEERG_4_2_1_3__6_IntakeRelativeToMaintenance(N56,N22)</f>
        <v>#N/A</v>
      </c>
      <c r="O64" s="26" t="str">
        <f t="shared" si="2"/>
        <v>ratio</v>
      </c>
      <c r="U64" s="25" t="e">
        <f>TEXT(EDATE(X_Cell_Site_StartDate,8), "mmmm")</f>
        <v>#VALUE!</v>
      </c>
      <c r="V64" s="25" t="e">
        <f ca="1">INDEX(M2_Table_I_j_k_l,10,2)</f>
        <v>#N/A</v>
      </c>
      <c r="W64" s="25" t="e">
        <f ca="1">INDEX(M2_Table_I_j_k_l,10,3)</f>
        <v>#N/A</v>
      </c>
      <c r="X64" s="25" t="e">
        <f ca="1">INDEX(M2_Table_I_j_k_l,10,4)</f>
        <v>#N/A</v>
      </c>
      <c r="Y64" s="25" t="e">
        <f ca="1">INDEX(M2_Table_I_j_k_l,10,5)</f>
        <v>#N/A</v>
      </c>
      <c r="Z64" s="25" t="e">
        <f ca="1">INDEX(M2_Table_I_j_k_l,10,6)</f>
        <v>#N/A</v>
      </c>
      <c r="AA64" s="25" t="e">
        <f ca="1">INDEX(M2_Table_I_j_k_l,10,7)</f>
        <v>#N/A</v>
      </c>
      <c r="AB64" s="25" t="e">
        <f ca="1">INDEX(M2_Table_I_j_k_l,10,8)</f>
        <v>#N/A</v>
      </c>
      <c r="AC64" s="25" t="e">
        <f ca="1">INDEX(M2_Table_I_j_k_l,10,9)</f>
        <v>#N/A</v>
      </c>
      <c r="AD64" s="25" t="e">
        <f ca="1">INDEX(M2_Table_I_j_k_l,10,10)</f>
        <v>#N/A</v>
      </c>
      <c r="AE64" s="25" t="e">
        <f ca="1">INDEX(M2_Table_I_j_k_l,10,11)</f>
        <v>#N/A</v>
      </c>
      <c r="AF64" s="26" t="str">
        <f>'4.2.1.1-2 Methane'!AH84</f>
        <v>kg DM/head/day</v>
      </c>
      <c r="AG64" s="26"/>
      <c r="AH64" s="26"/>
    </row>
    <row r="65" spans="3:34" ht="20.100000000000001" customHeight="1" x14ac:dyDescent="0.25">
      <c r="D65" s="25" t="s">
        <v>203</v>
      </c>
      <c r="E65" s="25" t="e" cm="1">
        <f t="array" aca="1" ref="E65" ca="1">MMS_PastureBeef_Soil_N2ODirect_Equations.VEERG_4_2_1_3__6_IntakeRelativeToMaintenance(E57,E23)</f>
        <v>#N/A</v>
      </c>
      <c r="F65" s="25" t="e" cm="1">
        <f t="array" aca="1" ref="F65" ca="1">MMS_PastureBeef_Soil_N2ODirect_Equations.VEERG_4_2_1_3__6_IntakeRelativeToMaintenance(F57,F23)</f>
        <v>#N/A</v>
      </c>
      <c r="G65" s="25" t="e" cm="1">
        <f t="array" aca="1" ref="G65" ca="1">MMS_PastureBeef_Soil_N2ODirect_Equations.VEERG_4_2_1_3__6_IntakeRelativeToMaintenance(G57,G23)</f>
        <v>#N/A</v>
      </c>
      <c r="H65" s="25" t="e" cm="1">
        <f t="array" aca="1" ref="H65" ca="1">MMS_PastureBeef_Soil_N2ODirect_Equations.VEERG_4_2_1_3__6_IntakeRelativeToMaintenance(H57,H23)</f>
        <v>#N/A</v>
      </c>
      <c r="I65" s="25" t="e" cm="1">
        <f t="array" aca="1" ref="I65" ca="1">MMS_PastureBeef_Soil_N2ODirect_Equations.VEERG_4_2_1_3__6_IntakeRelativeToMaintenance(I57,I23)</f>
        <v>#N/A</v>
      </c>
      <c r="J65" s="25" t="e" cm="1">
        <f t="array" aca="1" ref="J65" ca="1">MMS_PastureBeef_Soil_N2ODirect_Equations.VEERG_4_2_1_3__6_IntakeRelativeToMaintenance(J57,J23)</f>
        <v>#N/A</v>
      </c>
      <c r="K65" s="25" t="e" cm="1">
        <f t="array" aca="1" ref="K65" ca="1">MMS_PastureBeef_Soil_N2ODirect_Equations.VEERG_4_2_1_3__6_IntakeRelativeToMaintenance(K57,K23)</f>
        <v>#N/A</v>
      </c>
      <c r="L65" s="25" t="e" cm="1">
        <f t="array" aca="1" ref="L65" ca="1">MMS_PastureBeef_Soil_N2ODirect_Equations.VEERG_4_2_1_3__6_IntakeRelativeToMaintenance(L57,L23)</f>
        <v>#N/A</v>
      </c>
      <c r="M65" s="25" t="e" cm="1">
        <f t="array" aca="1" ref="M65" ca="1">MMS_PastureBeef_Soil_N2ODirect_Equations.VEERG_4_2_1_3__6_IntakeRelativeToMaintenance(M57,M23)</f>
        <v>#N/A</v>
      </c>
      <c r="N65" s="25" t="e" cm="1">
        <f t="array" aca="1" ref="N65" ca="1">MMS_PastureBeef_Soil_N2ODirect_Equations.VEERG_4_2_1_3__6_IntakeRelativeToMaintenance(N57,N23)</f>
        <v>#N/A</v>
      </c>
      <c r="O65" s="26" t="str">
        <f t="shared" si="2"/>
        <v>ratio</v>
      </c>
      <c r="U65" s="25" t="e">
        <f>TEXT(EDATE(X_Cell_Site_StartDate,9), "mmmm")</f>
        <v>#VALUE!</v>
      </c>
      <c r="V65" s="25" t="e">
        <f ca="1">INDEX(M2_Table_I_j_k_l,11,2)</f>
        <v>#N/A</v>
      </c>
      <c r="W65" s="25" t="e">
        <f ca="1">INDEX(M2_Table_I_j_k_l,11,3)</f>
        <v>#N/A</v>
      </c>
      <c r="X65" s="25" t="e">
        <f ca="1">INDEX(M2_Table_I_j_k_l,11,4)</f>
        <v>#N/A</v>
      </c>
      <c r="Y65" s="25" t="e">
        <f ca="1">INDEX(M2_Table_I_j_k_l,11,5)</f>
        <v>#N/A</v>
      </c>
      <c r="Z65" s="25" t="e">
        <f ca="1">INDEX(M2_Table_I_j_k_l,11,6)</f>
        <v>#N/A</v>
      </c>
      <c r="AA65" s="25" t="e">
        <f ca="1">INDEX(M2_Table_I_j_k_l,11,7)</f>
        <v>#N/A</v>
      </c>
      <c r="AB65" s="25" t="e">
        <f ca="1">INDEX(M2_Table_I_j_k_l,11,8)</f>
        <v>#N/A</v>
      </c>
      <c r="AC65" s="25" t="e">
        <f ca="1">INDEX(M2_Table_I_j_k_l,11,9)</f>
        <v>#N/A</v>
      </c>
      <c r="AD65" s="25" t="e">
        <f ca="1">INDEX(M2_Table_I_j_k_l,11,10)</f>
        <v>#N/A</v>
      </c>
      <c r="AE65" s="25" t="e">
        <f ca="1">INDEX(M2_Table_I_j_k_l,11,11)</f>
        <v>#N/A</v>
      </c>
      <c r="AF65" s="26" t="str">
        <f>'4.2.1.1-2 Methane'!AH85</f>
        <v>kg DM/head/day</v>
      </c>
      <c r="AG65" s="26"/>
      <c r="AH65" s="26"/>
    </row>
    <row r="66" spans="3:34" ht="20.100000000000001" customHeight="1" x14ac:dyDescent="0.25">
      <c r="U66" s="25" t="e">
        <f>TEXT(EDATE(X_Cell_Site_StartDate,10), "mmmm")</f>
        <v>#VALUE!</v>
      </c>
      <c r="V66" s="25" t="e">
        <f ca="1">INDEX(M2_Table_I_j_k_l,12,2)</f>
        <v>#N/A</v>
      </c>
      <c r="W66" s="25" t="e">
        <f ca="1">INDEX(M2_Table_I_j_k_l,12,3)</f>
        <v>#N/A</v>
      </c>
      <c r="X66" s="25" t="e">
        <f ca="1">INDEX(M2_Table_I_j_k_l,12,4)</f>
        <v>#N/A</v>
      </c>
      <c r="Y66" s="25" t="e">
        <f ca="1">INDEX(M2_Table_I_j_k_l,12,5)</f>
        <v>#N/A</v>
      </c>
      <c r="Z66" s="25" t="e">
        <f ca="1">INDEX(M2_Table_I_j_k_l,12,6)</f>
        <v>#N/A</v>
      </c>
      <c r="AA66" s="25" t="e">
        <f ca="1">INDEX(M2_Table_I_j_k_l,12,7)</f>
        <v>#N/A</v>
      </c>
      <c r="AB66" s="25" t="e">
        <f ca="1">INDEX(M2_Table_I_j_k_l,12,8)</f>
        <v>#N/A</v>
      </c>
      <c r="AC66" s="25" t="e">
        <f ca="1">INDEX(M2_Table_I_j_k_l,12,9)</f>
        <v>#N/A</v>
      </c>
      <c r="AD66" s="25" t="e">
        <f ca="1">INDEX(M2_Table_I_j_k_l,12,10)</f>
        <v>#N/A</v>
      </c>
      <c r="AE66" s="25" t="e">
        <f ca="1">INDEX(M2_Table_I_j_k_l,12,11)</f>
        <v>#N/A</v>
      </c>
      <c r="AF66" s="26" t="str">
        <f>'4.2.1.1-2 Methane'!AH86</f>
        <v>kg DM/head/day</v>
      </c>
      <c r="AG66" s="26"/>
      <c r="AH66" s="26"/>
    </row>
    <row r="67" spans="3:34" ht="20.100000000000001" customHeight="1" x14ac:dyDescent="0.25">
      <c r="U67" s="25" t="e">
        <f>TEXT(EDATE(X_Cell_Site_StartDate,11), "mmmm")</f>
        <v>#VALUE!</v>
      </c>
      <c r="V67" s="25" t="e">
        <f ca="1">INDEX(M2_Table_I_j_k_l,13,2)</f>
        <v>#N/A</v>
      </c>
      <c r="W67" s="25" t="e">
        <f ca="1">INDEX(M2_Table_I_j_k_l,13,3)</f>
        <v>#N/A</v>
      </c>
      <c r="X67" s="25" t="e">
        <f ca="1">INDEX(M2_Table_I_j_k_l,13,4)</f>
        <v>#N/A</v>
      </c>
      <c r="Y67" s="25" t="e">
        <f ca="1">INDEX(M2_Table_I_j_k_l,13,5)</f>
        <v>#N/A</v>
      </c>
      <c r="Z67" s="25" t="e">
        <f ca="1">INDEX(M2_Table_I_j_k_l,13,6)</f>
        <v>#N/A</v>
      </c>
      <c r="AA67" s="25" t="e">
        <f ca="1">INDEX(M2_Table_I_j_k_l,13,7)</f>
        <v>#N/A</v>
      </c>
      <c r="AB67" s="25" t="e">
        <f ca="1">INDEX(M2_Table_I_j_k_l,13,8)</f>
        <v>#N/A</v>
      </c>
      <c r="AC67" s="25" t="e">
        <f ca="1">INDEX(M2_Table_I_j_k_l,13,9)</f>
        <v>#N/A</v>
      </c>
      <c r="AD67" s="25" t="e">
        <f ca="1">INDEX(M2_Table_I_j_k_l,13,10)</f>
        <v>#N/A</v>
      </c>
      <c r="AE67" s="25" t="e">
        <f ca="1">INDEX(M2_Table_I_j_k_l,13,11)</f>
        <v>#N/A</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TEXT(X_Cell_Site_StartDate,"mmmm")</f>
        <v>NO - Not in leaching zone</v>
      </c>
      <c r="V72" s="25" t="e" cm="1">
        <f t="array" aca="1" ref="V72" ca="1">MMS_PastureBeef_Soil_N2ODirect_Equations.VEERG_4_2_1_3__6_IntakeRelativeToMaintenance(V56,V20)</f>
        <v>#N/A</v>
      </c>
      <c r="W72" s="25" t="e" cm="1">
        <f t="array" aca="1" ref="W72" ca="1">MMS_PastureBeef_Soil_N2ODirect_Equations.VEERG_4_2_1_3__6_IntakeRelativeToMaintenance(W56,W20)</f>
        <v>#N/A</v>
      </c>
      <c r="X72" s="25" t="e" cm="1">
        <f t="array" aca="1" ref="X72" ca="1">MMS_PastureBeef_Soil_N2ODirect_Equations.VEERG_4_2_1_3__6_IntakeRelativeToMaintenance(X56,X20)</f>
        <v>#N/A</v>
      </c>
      <c r="Y72" s="25" t="e" cm="1">
        <f t="array" aca="1" ref="Y72" ca="1">MMS_PastureBeef_Soil_N2ODirect_Equations.VEERG_4_2_1_3__6_IntakeRelativeToMaintenance(Y56,Y20)</f>
        <v>#N/A</v>
      </c>
      <c r="Z72" s="25" t="e" cm="1">
        <f t="array" aca="1" ref="Z72" ca="1">MMS_PastureBeef_Soil_N2ODirect_Equations.VEERG_4_2_1_3__6_IntakeRelativeToMaintenance(Z56,Z20)</f>
        <v>#N/A</v>
      </c>
      <c r="AA72" s="25" t="e" cm="1">
        <f t="array" aca="1" ref="AA72" ca="1">MMS_PastureBeef_Soil_N2ODirect_Equations.VEERG_4_2_1_3__6_IntakeRelativeToMaintenance(AA56,AA20)</f>
        <v>#N/A</v>
      </c>
      <c r="AB72" s="25" t="e" cm="1">
        <f t="array" aca="1" ref="AB72" ca="1">MMS_PastureBeef_Soil_N2ODirect_Equations.VEERG_4_2_1_3__6_IntakeRelativeToMaintenance(AB56,AB20)</f>
        <v>#N/A</v>
      </c>
      <c r="AC72" s="25" t="e" cm="1">
        <f t="array" aca="1" ref="AC72" ca="1">MMS_PastureBeef_Soil_N2ODirect_Equations.VEERG_4_2_1_3__6_IntakeRelativeToMaintenance(AC56,AC20)</f>
        <v>#N/A</v>
      </c>
      <c r="AD72" s="25" t="e" cm="1">
        <f t="array" aca="1" ref="AD72" ca="1">MMS_PastureBeef_Soil_N2ODirect_Equations.VEERG_4_2_1_3__6_IntakeRelativeToMaintenance(AD56,AD20)</f>
        <v>#N/A</v>
      </c>
      <c r="AE72" s="25" t="e" cm="1">
        <f t="array" aca="1" ref="AE72" ca="1">MMS_PastureBeef_Soil_N2ODirect_Equations.VEERG_4_2_1_3__6_IntakeRelativeToMaintenance(AE56,AE20)</f>
        <v>#N/A</v>
      </c>
      <c r="AF72" s="26" t="str">
        <f t="shared" ref="AF72:AF83" si="3">$E$46</f>
        <v>ratio</v>
      </c>
      <c r="AG72" s="26"/>
      <c r="AH72" s="26"/>
    </row>
    <row r="73" spans="3:34" ht="20.100000000000001" customHeight="1" x14ac:dyDescent="0.25">
      <c r="U73" s="25" t="e">
        <f>TEXT(EDATE(X_Cell_Site_StartDate,1), "mmmm")</f>
        <v>#VALUE!</v>
      </c>
      <c r="V73" s="25" t="e" cm="1">
        <f t="array" aca="1" ref="V73" ca="1">MMS_PastureBeef_Soil_N2ODirect_Equations.VEERG_4_2_1_3__6_IntakeRelativeToMaintenance(V57,V21)</f>
        <v>#N/A</v>
      </c>
      <c r="W73" s="25" t="e" cm="1">
        <f t="array" aca="1" ref="W73" ca="1">MMS_PastureBeef_Soil_N2ODirect_Equations.VEERG_4_2_1_3__6_IntakeRelativeToMaintenance(W57,W21)</f>
        <v>#N/A</v>
      </c>
      <c r="X73" s="25" t="e" cm="1">
        <f t="array" aca="1" ref="X73" ca="1">MMS_PastureBeef_Soil_N2ODirect_Equations.VEERG_4_2_1_3__6_IntakeRelativeToMaintenance(X57,X21)</f>
        <v>#N/A</v>
      </c>
      <c r="Y73" s="25" t="e" cm="1">
        <f t="array" aca="1" ref="Y73" ca="1">MMS_PastureBeef_Soil_N2ODirect_Equations.VEERG_4_2_1_3__6_IntakeRelativeToMaintenance(Y57,Y21)</f>
        <v>#N/A</v>
      </c>
      <c r="Z73" s="25" t="e" cm="1">
        <f t="array" aca="1" ref="Z73" ca="1">MMS_PastureBeef_Soil_N2ODirect_Equations.VEERG_4_2_1_3__6_IntakeRelativeToMaintenance(Z57,Z21)</f>
        <v>#N/A</v>
      </c>
      <c r="AA73" s="25" t="e" cm="1">
        <f t="array" aca="1" ref="AA73" ca="1">MMS_PastureBeef_Soil_N2ODirect_Equations.VEERG_4_2_1_3__6_IntakeRelativeToMaintenance(AA57,AA21)</f>
        <v>#N/A</v>
      </c>
      <c r="AB73" s="25" t="e" cm="1">
        <f t="array" aca="1" ref="AB73" ca="1">MMS_PastureBeef_Soil_N2ODirect_Equations.VEERG_4_2_1_3__6_IntakeRelativeToMaintenance(AB57,AB21)</f>
        <v>#N/A</v>
      </c>
      <c r="AC73" s="25" t="e" cm="1">
        <f t="array" aca="1" ref="AC73" ca="1">MMS_PastureBeef_Soil_N2ODirect_Equations.VEERG_4_2_1_3__6_IntakeRelativeToMaintenance(AC57,AC21)</f>
        <v>#N/A</v>
      </c>
      <c r="AD73" s="25" t="e" cm="1">
        <f t="array" aca="1" ref="AD73" ca="1">MMS_PastureBeef_Soil_N2ODirect_Equations.VEERG_4_2_1_3__6_IntakeRelativeToMaintenance(AD57,AD21)</f>
        <v>#N/A</v>
      </c>
      <c r="AE73" s="25" t="e" cm="1">
        <f t="array" aca="1" ref="AE73" ca="1">MMS_PastureBeef_Soil_N2ODirect_Equations.VEERG_4_2_1_3__6_IntakeRelativeToMaintenance(AE57,AE21)</f>
        <v>#N/A</v>
      </c>
      <c r="AF73" s="26" t="str">
        <f t="shared" si="3"/>
        <v>ratio</v>
      </c>
      <c r="AG73" s="26"/>
      <c r="AH73" s="26"/>
    </row>
    <row r="74" spans="3:34" ht="20.100000000000001" customHeight="1" x14ac:dyDescent="0.25">
      <c r="U74" s="25" t="e">
        <f>TEXT(EDATE(X_Cell_Site_StartDate,2), "mmmm")</f>
        <v>#VALUE!</v>
      </c>
      <c r="V74" s="25" t="e" cm="1">
        <f t="array" aca="1" ref="V74" ca="1">MMS_PastureBeef_Soil_N2ODirect_Equations.VEERG_4_2_1_3__6_IntakeRelativeToMaintenance(V58,V22)</f>
        <v>#N/A</v>
      </c>
      <c r="W74" s="25" t="e" cm="1">
        <f t="array" aca="1" ref="W74" ca="1">MMS_PastureBeef_Soil_N2ODirect_Equations.VEERG_4_2_1_3__6_IntakeRelativeToMaintenance(W58,W22)</f>
        <v>#N/A</v>
      </c>
      <c r="X74" s="25" t="e" cm="1">
        <f t="array" aca="1" ref="X74" ca="1">MMS_PastureBeef_Soil_N2ODirect_Equations.VEERG_4_2_1_3__6_IntakeRelativeToMaintenance(X58,X22)</f>
        <v>#N/A</v>
      </c>
      <c r="Y74" s="25" t="e" cm="1">
        <f t="array" aca="1" ref="Y74" ca="1">MMS_PastureBeef_Soil_N2ODirect_Equations.VEERG_4_2_1_3__6_IntakeRelativeToMaintenance(Y58,Y22)</f>
        <v>#N/A</v>
      </c>
      <c r="Z74" s="25" t="e" cm="1">
        <f t="array" aca="1" ref="Z74" ca="1">MMS_PastureBeef_Soil_N2ODirect_Equations.VEERG_4_2_1_3__6_IntakeRelativeToMaintenance(Z58,Z22)</f>
        <v>#N/A</v>
      </c>
      <c r="AA74" s="25" t="e" cm="1">
        <f t="array" aca="1" ref="AA74" ca="1">MMS_PastureBeef_Soil_N2ODirect_Equations.VEERG_4_2_1_3__6_IntakeRelativeToMaintenance(AA58,AA22)</f>
        <v>#N/A</v>
      </c>
      <c r="AB74" s="25" t="e" cm="1">
        <f t="array" aca="1" ref="AB74" ca="1">MMS_PastureBeef_Soil_N2ODirect_Equations.VEERG_4_2_1_3__6_IntakeRelativeToMaintenance(AB58,AB22)</f>
        <v>#N/A</v>
      </c>
      <c r="AC74" s="25" t="e" cm="1">
        <f t="array" aca="1" ref="AC74" ca="1">MMS_PastureBeef_Soil_N2ODirect_Equations.VEERG_4_2_1_3__6_IntakeRelativeToMaintenance(AC58,AC22)</f>
        <v>#N/A</v>
      </c>
      <c r="AD74" s="25" t="e" cm="1">
        <f t="array" aca="1" ref="AD74" ca="1">MMS_PastureBeef_Soil_N2ODirect_Equations.VEERG_4_2_1_3__6_IntakeRelativeToMaintenance(AD58,AD22)</f>
        <v>#N/A</v>
      </c>
      <c r="AE74" s="25" t="e" cm="1">
        <f t="array" aca="1" ref="AE74" ca="1">MMS_PastureBeef_Soil_N2ODirect_Equations.VEERG_4_2_1_3__6_IntakeRelativeToMaintenance(AE58,AE22)</f>
        <v>#N/A</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e">
        <f>TEXT(EDATE(X_Cell_Site_StartDate,3), "mmmm")</f>
        <v>#VALUE!</v>
      </c>
      <c r="V75" s="25" t="e" cm="1">
        <f t="array" aca="1" ref="V75" ca="1">MMS_PastureBeef_Soil_N2ODirect_Equations.VEERG_4_2_1_3__6_IntakeRelativeToMaintenance(V59,V23)</f>
        <v>#N/A</v>
      </c>
      <c r="W75" s="25" t="e" cm="1">
        <f t="array" aca="1" ref="W75" ca="1">MMS_PastureBeef_Soil_N2ODirect_Equations.VEERG_4_2_1_3__6_IntakeRelativeToMaintenance(W59,W23)</f>
        <v>#N/A</v>
      </c>
      <c r="X75" s="25" t="e" cm="1">
        <f t="array" aca="1" ref="X75" ca="1">MMS_PastureBeef_Soil_N2ODirect_Equations.VEERG_4_2_1_3__6_IntakeRelativeToMaintenance(X59,X23)</f>
        <v>#N/A</v>
      </c>
      <c r="Y75" s="25" t="e" cm="1">
        <f t="array" aca="1" ref="Y75" ca="1">MMS_PastureBeef_Soil_N2ODirect_Equations.VEERG_4_2_1_3__6_IntakeRelativeToMaintenance(Y59,Y23)</f>
        <v>#N/A</v>
      </c>
      <c r="Z75" s="25" t="e" cm="1">
        <f t="array" aca="1" ref="Z75" ca="1">MMS_PastureBeef_Soil_N2ODirect_Equations.VEERG_4_2_1_3__6_IntakeRelativeToMaintenance(Z59,Z23)</f>
        <v>#N/A</v>
      </c>
      <c r="AA75" s="25" t="e" cm="1">
        <f t="array" aca="1" ref="AA75" ca="1">MMS_PastureBeef_Soil_N2ODirect_Equations.VEERG_4_2_1_3__6_IntakeRelativeToMaintenance(AA59,AA23)</f>
        <v>#N/A</v>
      </c>
      <c r="AB75" s="25" t="e" cm="1">
        <f t="array" aca="1" ref="AB75" ca="1">MMS_PastureBeef_Soil_N2ODirect_Equations.VEERG_4_2_1_3__6_IntakeRelativeToMaintenance(AB59,AB23)</f>
        <v>#N/A</v>
      </c>
      <c r="AC75" s="25" t="e" cm="1">
        <f t="array" aca="1" ref="AC75" ca="1">MMS_PastureBeef_Soil_N2ODirect_Equations.VEERG_4_2_1_3__6_IntakeRelativeToMaintenance(AC59,AC23)</f>
        <v>#N/A</v>
      </c>
      <c r="AD75" s="25" t="e" cm="1">
        <f t="array" aca="1" ref="AD75" ca="1">MMS_PastureBeef_Soil_N2ODirect_Equations.VEERG_4_2_1_3__6_IntakeRelativeToMaintenance(AD59,AD23)</f>
        <v>#N/A</v>
      </c>
      <c r="AE75" s="25" t="e" cm="1">
        <f t="array" aca="1" ref="AE75" ca="1">MMS_PastureBeef_Soil_N2ODirect_Equations.VEERG_4_2_1_3__6_IntakeRelativeToMaintenance(AE59,AE23)</f>
        <v>#N/A</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TEXT(EDATE(X_Cell_Site_StartDate,4), "mmmm")</f>
        <v>#VALUE!</v>
      </c>
      <c r="V76" s="25" t="e" cm="1">
        <f t="array" aca="1" ref="V76" ca="1">MMS_PastureBeef_Soil_N2ODirect_Equations.VEERG_4_2_1_3__6_IntakeRelativeToMaintenance(V60,V24)</f>
        <v>#N/A</v>
      </c>
      <c r="W76" s="25" t="e" cm="1">
        <f t="array" aca="1" ref="W76" ca="1">MMS_PastureBeef_Soil_N2ODirect_Equations.VEERG_4_2_1_3__6_IntakeRelativeToMaintenance(W60,W24)</f>
        <v>#N/A</v>
      </c>
      <c r="X76" s="25" t="e" cm="1">
        <f t="array" aca="1" ref="X76" ca="1">MMS_PastureBeef_Soil_N2ODirect_Equations.VEERG_4_2_1_3__6_IntakeRelativeToMaintenance(X60,X24)</f>
        <v>#N/A</v>
      </c>
      <c r="Y76" s="25" t="e" cm="1">
        <f t="array" aca="1" ref="Y76" ca="1">MMS_PastureBeef_Soil_N2ODirect_Equations.VEERG_4_2_1_3__6_IntakeRelativeToMaintenance(Y60,Y24)</f>
        <v>#N/A</v>
      </c>
      <c r="Z76" s="25" t="e" cm="1">
        <f t="array" aca="1" ref="Z76" ca="1">MMS_PastureBeef_Soil_N2ODirect_Equations.VEERG_4_2_1_3__6_IntakeRelativeToMaintenance(Z60,Z24)</f>
        <v>#N/A</v>
      </c>
      <c r="AA76" s="25" t="e" cm="1">
        <f t="array" aca="1" ref="AA76" ca="1">MMS_PastureBeef_Soil_N2ODirect_Equations.VEERG_4_2_1_3__6_IntakeRelativeToMaintenance(AA60,AA24)</f>
        <v>#N/A</v>
      </c>
      <c r="AB76" s="25" t="e" cm="1">
        <f t="array" aca="1" ref="AB76" ca="1">MMS_PastureBeef_Soil_N2ODirect_Equations.VEERG_4_2_1_3__6_IntakeRelativeToMaintenance(AB60,AB24)</f>
        <v>#N/A</v>
      </c>
      <c r="AC76" s="25" t="e" cm="1">
        <f t="array" aca="1" ref="AC76" ca="1">MMS_PastureBeef_Soil_N2ODirect_Equations.VEERG_4_2_1_3__6_IntakeRelativeToMaintenance(AC60,AC24)</f>
        <v>#N/A</v>
      </c>
      <c r="AD76" s="25" t="e" cm="1">
        <f t="array" aca="1" ref="AD76" ca="1">MMS_PastureBeef_Soil_N2ODirect_Equations.VEERG_4_2_1_3__6_IntakeRelativeToMaintenance(AD60,AD24)</f>
        <v>#N/A</v>
      </c>
      <c r="AE76" s="25" t="e" cm="1">
        <f t="array" aca="1" ref="AE76" ca="1">MMS_PastureBeef_Soil_N2ODirect_Equations.VEERG_4_2_1_3__6_IntakeRelativeToMaintenance(AE60,AE24)</f>
        <v>#N/A</v>
      </c>
      <c r="AF76" s="26" t="str">
        <f t="shared" si="3"/>
        <v>ratio</v>
      </c>
      <c r="AG76" s="26"/>
      <c r="AH76" s="26"/>
    </row>
    <row r="77" spans="3:34" ht="20.100000000000001" customHeight="1" x14ac:dyDescent="0.25">
      <c r="U77" s="25" t="e">
        <f>TEXT(EDATE(X_Cell_Site_StartDate,5), "mmmm")</f>
        <v>#VALUE!</v>
      </c>
      <c r="V77" s="25" t="e" cm="1">
        <f t="array" aca="1" ref="V77" ca="1">MMS_PastureBeef_Soil_N2ODirect_Equations.VEERG_4_2_1_3__6_IntakeRelativeToMaintenance(V61,V25)</f>
        <v>#N/A</v>
      </c>
      <c r="W77" s="25" t="e" cm="1">
        <f t="array" aca="1" ref="W77" ca="1">MMS_PastureBeef_Soil_N2ODirect_Equations.VEERG_4_2_1_3__6_IntakeRelativeToMaintenance(W61,W25)</f>
        <v>#N/A</v>
      </c>
      <c r="X77" s="25" t="e" cm="1">
        <f t="array" aca="1" ref="X77" ca="1">MMS_PastureBeef_Soil_N2ODirect_Equations.VEERG_4_2_1_3__6_IntakeRelativeToMaintenance(X61,X25)</f>
        <v>#N/A</v>
      </c>
      <c r="Y77" s="25" t="e" cm="1">
        <f t="array" aca="1" ref="Y77" ca="1">MMS_PastureBeef_Soil_N2ODirect_Equations.VEERG_4_2_1_3__6_IntakeRelativeToMaintenance(Y61,Y25)</f>
        <v>#N/A</v>
      </c>
      <c r="Z77" s="25" t="e" cm="1">
        <f t="array" aca="1" ref="Z77" ca="1">MMS_PastureBeef_Soil_N2ODirect_Equations.VEERG_4_2_1_3__6_IntakeRelativeToMaintenance(Z61,Z25)</f>
        <v>#N/A</v>
      </c>
      <c r="AA77" s="25" t="e" cm="1">
        <f t="array" aca="1" ref="AA77" ca="1">MMS_PastureBeef_Soil_N2ODirect_Equations.VEERG_4_2_1_3__6_IntakeRelativeToMaintenance(AA61,AA25)</f>
        <v>#N/A</v>
      </c>
      <c r="AB77" s="25" t="e" cm="1">
        <f t="array" aca="1" ref="AB77" ca="1">MMS_PastureBeef_Soil_N2ODirect_Equations.VEERG_4_2_1_3__6_IntakeRelativeToMaintenance(AB61,AB25)</f>
        <v>#N/A</v>
      </c>
      <c r="AC77" s="25" t="e" cm="1">
        <f t="array" aca="1" ref="AC77" ca="1">MMS_PastureBeef_Soil_N2ODirect_Equations.VEERG_4_2_1_3__6_IntakeRelativeToMaintenance(AC61,AC25)</f>
        <v>#N/A</v>
      </c>
      <c r="AD77" s="25" t="e" cm="1">
        <f t="array" aca="1" ref="AD77" ca="1">MMS_PastureBeef_Soil_N2ODirect_Equations.VEERG_4_2_1_3__6_IntakeRelativeToMaintenance(AD61,AD25)</f>
        <v>#N/A</v>
      </c>
      <c r="AE77" s="25" t="e" cm="1">
        <f t="array" aca="1" ref="AE77" ca="1">MMS_PastureBeef_Soil_N2ODirect_Equations.VEERG_4_2_1_3__6_IntakeRelativeToMaintenance(AE61,AE25)</f>
        <v>#N/A</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TEXT(EDATE(X_Cell_Site_StartDate,6), "mmmm")</f>
        <v>#VALUE!</v>
      </c>
      <c r="V78" s="25" t="e" cm="1">
        <f t="array" aca="1" ref="V78" ca="1">MMS_PastureBeef_Soil_N2ODirect_Equations.VEERG_4_2_1_3__6_IntakeRelativeToMaintenance(V62,V26)</f>
        <v>#N/A</v>
      </c>
      <c r="W78" s="25" t="e" cm="1">
        <f t="array" aca="1" ref="W78" ca="1">MMS_PastureBeef_Soil_N2ODirect_Equations.VEERG_4_2_1_3__6_IntakeRelativeToMaintenance(W62,W26)</f>
        <v>#N/A</v>
      </c>
      <c r="X78" s="25" t="e" cm="1">
        <f t="array" aca="1" ref="X78" ca="1">MMS_PastureBeef_Soil_N2ODirect_Equations.VEERG_4_2_1_3__6_IntakeRelativeToMaintenance(X62,X26)</f>
        <v>#N/A</v>
      </c>
      <c r="Y78" s="25" t="e" cm="1">
        <f t="array" aca="1" ref="Y78" ca="1">MMS_PastureBeef_Soil_N2ODirect_Equations.VEERG_4_2_1_3__6_IntakeRelativeToMaintenance(Y62,Y26)</f>
        <v>#N/A</v>
      </c>
      <c r="Z78" s="25" t="e" cm="1">
        <f t="array" aca="1" ref="Z78" ca="1">MMS_PastureBeef_Soil_N2ODirect_Equations.VEERG_4_2_1_3__6_IntakeRelativeToMaintenance(Z62,Z26)</f>
        <v>#N/A</v>
      </c>
      <c r="AA78" s="25" t="e" cm="1">
        <f t="array" aca="1" ref="AA78" ca="1">MMS_PastureBeef_Soil_N2ODirect_Equations.VEERG_4_2_1_3__6_IntakeRelativeToMaintenance(AA62,AA26)</f>
        <v>#N/A</v>
      </c>
      <c r="AB78" s="25" t="e" cm="1">
        <f t="array" aca="1" ref="AB78" ca="1">MMS_PastureBeef_Soil_N2ODirect_Equations.VEERG_4_2_1_3__6_IntakeRelativeToMaintenance(AB62,AB26)</f>
        <v>#N/A</v>
      </c>
      <c r="AC78" s="25" t="e" cm="1">
        <f t="array" aca="1" ref="AC78" ca="1">MMS_PastureBeef_Soil_N2ODirect_Equations.VEERG_4_2_1_3__6_IntakeRelativeToMaintenance(AC62,AC26)</f>
        <v>#N/A</v>
      </c>
      <c r="AD78" s="25" t="e" cm="1">
        <f t="array" aca="1" ref="AD78" ca="1">MMS_PastureBeef_Soil_N2ODirect_Equations.VEERG_4_2_1_3__6_IntakeRelativeToMaintenance(AD62,AD26)</f>
        <v>#N/A</v>
      </c>
      <c r="AE78" s="25" t="e" cm="1">
        <f t="array" aca="1" ref="AE78" ca="1">MMS_PastureBeef_Soil_N2ODirect_Equations.VEERG_4_2_1_3__6_IntakeRelativeToMaintenance(AE62,AE26)</f>
        <v>#N/A</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TEXT(EDATE(X_Cell_Site_StartDate,7), "mmmm")</f>
        <v>#VALUE!</v>
      </c>
      <c r="V79" s="25" t="e" cm="1">
        <f t="array" aca="1" ref="V79" ca="1">MMS_PastureBeef_Soil_N2ODirect_Equations.VEERG_4_2_1_3__6_IntakeRelativeToMaintenance(V63,V27)</f>
        <v>#N/A</v>
      </c>
      <c r="W79" s="25" t="e" cm="1">
        <f t="array" aca="1" ref="W79" ca="1">MMS_PastureBeef_Soil_N2ODirect_Equations.VEERG_4_2_1_3__6_IntakeRelativeToMaintenance(W63,W27)</f>
        <v>#N/A</v>
      </c>
      <c r="X79" s="25" t="e" cm="1">
        <f t="array" aca="1" ref="X79" ca="1">MMS_PastureBeef_Soil_N2ODirect_Equations.VEERG_4_2_1_3__6_IntakeRelativeToMaintenance(X63,X27)</f>
        <v>#N/A</v>
      </c>
      <c r="Y79" s="25" t="e" cm="1">
        <f t="array" aca="1" ref="Y79" ca="1">MMS_PastureBeef_Soil_N2ODirect_Equations.VEERG_4_2_1_3__6_IntakeRelativeToMaintenance(Y63,Y27)</f>
        <v>#N/A</v>
      </c>
      <c r="Z79" s="25" t="e" cm="1">
        <f t="array" aca="1" ref="Z79" ca="1">MMS_PastureBeef_Soil_N2ODirect_Equations.VEERG_4_2_1_3__6_IntakeRelativeToMaintenance(Z63,Z27)</f>
        <v>#N/A</v>
      </c>
      <c r="AA79" s="25" t="e" cm="1">
        <f t="array" aca="1" ref="AA79" ca="1">MMS_PastureBeef_Soil_N2ODirect_Equations.VEERG_4_2_1_3__6_IntakeRelativeToMaintenance(AA63,AA27)</f>
        <v>#N/A</v>
      </c>
      <c r="AB79" s="25" t="e" cm="1">
        <f t="array" aca="1" ref="AB79" ca="1">MMS_PastureBeef_Soil_N2ODirect_Equations.VEERG_4_2_1_3__6_IntakeRelativeToMaintenance(AB63,AB27)</f>
        <v>#N/A</v>
      </c>
      <c r="AC79" s="25" t="e" cm="1">
        <f t="array" aca="1" ref="AC79" ca="1">MMS_PastureBeef_Soil_N2ODirect_Equations.VEERG_4_2_1_3__6_IntakeRelativeToMaintenance(AC63,AC27)</f>
        <v>#N/A</v>
      </c>
      <c r="AD79" s="25" t="e" cm="1">
        <f t="array" aca="1" ref="AD79" ca="1">MMS_PastureBeef_Soil_N2ODirect_Equations.VEERG_4_2_1_3__6_IntakeRelativeToMaintenance(AD63,AD27)</f>
        <v>#N/A</v>
      </c>
      <c r="AE79" s="25" t="e" cm="1">
        <f t="array" aca="1" ref="AE79" ca="1">MMS_PastureBeef_Soil_N2ODirect_Equations.VEERG_4_2_1_3__6_IntakeRelativeToMaintenance(AE63,AE27)</f>
        <v>#N/A</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TEXT(EDATE(X_Cell_Site_StartDate,8), "mmmm")</f>
        <v>#VALUE!</v>
      </c>
      <c r="V80" s="25" t="e" cm="1">
        <f t="array" aca="1" ref="V80" ca="1">MMS_PastureBeef_Soil_N2ODirect_Equations.VEERG_4_2_1_3__6_IntakeRelativeToMaintenance(V64,V28)</f>
        <v>#N/A</v>
      </c>
      <c r="W80" s="25" t="e" cm="1">
        <f t="array" aca="1" ref="W80" ca="1">MMS_PastureBeef_Soil_N2ODirect_Equations.VEERG_4_2_1_3__6_IntakeRelativeToMaintenance(W64,W28)</f>
        <v>#N/A</v>
      </c>
      <c r="X80" s="25" t="e" cm="1">
        <f t="array" aca="1" ref="X80" ca="1">MMS_PastureBeef_Soil_N2ODirect_Equations.VEERG_4_2_1_3__6_IntakeRelativeToMaintenance(X64,X28)</f>
        <v>#N/A</v>
      </c>
      <c r="Y80" s="25" t="e" cm="1">
        <f t="array" aca="1" ref="Y80" ca="1">MMS_PastureBeef_Soil_N2ODirect_Equations.VEERG_4_2_1_3__6_IntakeRelativeToMaintenance(Y64,Y28)</f>
        <v>#N/A</v>
      </c>
      <c r="Z80" s="25" t="e" cm="1">
        <f t="array" aca="1" ref="Z80" ca="1">MMS_PastureBeef_Soil_N2ODirect_Equations.VEERG_4_2_1_3__6_IntakeRelativeToMaintenance(Z64,Z28)</f>
        <v>#N/A</v>
      </c>
      <c r="AA80" s="25" t="e" cm="1">
        <f t="array" aca="1" ref="AA80" ca="1">MMS_PastureBeef_Soil_N2ODirect_Equations.VEERG_4_2_1_3__6_IntakeRelativeToMaintenance(AA64,AA28)</f>
        <v>#N/A</v>
      </c>
      <c r="AB80" s="25" t="e" cm="1">
        <f t="array" aca="1" ref="AB80" ca="1">MMS_PastureBeef_Soil_N2ODirect_Equations.VEERG_4_2_1_3__6_IntakeRelativeToMaintenance(AB64,AB28)</f>
        <v>#N/A</v>
      </c>
      <c r="AC80" s="25" t="e" cm="1">
        <f t="array" aca="1" ref="AC80" ca="1">MMS_PastureBeef_Soil_N2ODirect_Equations.VEERG_4_2_1_3__6_IntakeRelativeToMaintenance(AC64,AC28)</f>
        <v>#N/A</v>
      </c>
      <c r="AD80" s="25" t="e" cm="1">
        <f t="array" aca="1" ref="AD80" ca="1">MMS_PastureBeef_Soil_N2ODirect_Equations.VEERG_4_2_1_3__6_IntakeRelativeToMaintenance(AD64,AD28)</f>
        <v>#N/A</v>
      </c>
      <c r="AE80" s="25" t="e" cm="1">
        <f t="array" aca="1" ref="AE80" ca="1">MMS_PastureBeef_Soil_N2ODirect_Equations.VEERG_4_2_1_3__6_IntakeRelativeToMaintenance(AE64,AE28)</f>
        <v>#N/A</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TEXT(EDATE(X_Cell_Site_StartDate,9), "mmmm")</f>
        <v>#VALUE!</v>
      </c>
      <c r="V81" s="25" t="e" cm="1">
        <f t="array" aca="1" ref="V81" ca="1">MMS_PastureBeef_Soil_N2ODirect_Equations.VEERG_4_2_1_3__6_IntakeRelativeToMaintenance(V65,V29)</f>
        <v>#N/A</v>
      </c>
      <c r="W81" s="25" t="e" cm="1">
        <f t="array" aca="1" ref="W81" ca="1">MMS_PastureBeef_Soil_N2ODirect_Equations.VEERG_4_2_1_3__6_IntakeRelativeToMaintenance(W65,W29)</f>
        <v>#N/A</v>
      </c>
      <c r="X81" s="25" t="e" cm="1">
        <f t="array" aca="1" ref="X81" ca="1">MMS_PastureBeef_Soil_N2ODirect_Equations.VEERG_4_2_1_3__6_IntakeRelativeToMaintenance(X65,X29)</f>
        <v>#N/A</v>
      </c>
      <c r="Y81" s="25" t="e" cm="1">
        <f t="array" aca="1" ref="Y81" ca="1">MMS_PastureBeef_Soil_N2ODirect_Equations.VEERG_4_2_1_3__6_IntakeRelativeToMaintenance(Y65,Y29)</f>
        <v>#N/A</v>
      </c>
      <c r="Z81" s="25" t="e" cm="1">
        <f t="array" aca="1" ref="Z81" ca="1">MMS_PastureBeef_Soil_N2ODirect_Equations.VEERG_4_2_1_3__6_IntakeRelativeToMaintenance(Z65,Z29)</f>
        <v>#N/A</v>
      </c>
      <c r="AA81" s="25" t="e" cm="1">
        <f t="array" aca="1" ref="AA81" ca="1">MMS_PastureBeef_Soil_N2ODirect_Equations.VEERG_4_2_1_3__6_IntakeRelativeToMaintenance(AA65,AA29)</f>
        <v>#N/A</v>
      </c>
      <c r="AB81" s="25" t="e" cm="1">
        <f t="array" aca="1" ref="AB81" ca="1">MMS_PastureBeef_Soil_N2ODirect_Equations.VEERG_4_2_1_3__6_IntakeRelativeToMaintenance(AB65,AB29)</f>
        <v>#N/A</v>
      </c>
      <c r="AC81" s="25" t="e" cm="1">
        <f t="array" aca="1" ref="AC81" ca="1">MMS_PastureBeef_Soil_N2ODirect_Equations.VEERG_4_2_1_3__6_IntakeRelativeToMaintenance(AC65,AC29)</f>
        <v>#N/A</v>
      </c>
      <c r="AD81" s="25" t="e" cm="1">
        <f t="array" aca="1" ref="AD81" ca="1">MMS_PastureBeef_Soil_N2ODirect_Equations.VEERG_4_2_1_3__6_IntakeRelativeToMaintenance(AD65,AD29)</f>
        <v>#N/A</v>
      </c>
      <c r="AE81" s="25" t="e" cm="1">
        <f t="array" aca="1" ref="AE81" ca="1">MMS_PastureBeef_Soil_N2ODirect_Equations.VEERG_4_2_1_3__6_IntakeRelativeToMaintenance(AE65,AE29)</f>
        <v>#N/A</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TEXT(EDATE(X_Cell_Site_StartDate,10), "mmmm")</f>
        <v>#VALUE!</v>
      </c>
      <c r="V82" s="25" t="e" cm="1">
        <f t="array" aca="1" ref="V82" ca="1">MMS_PastureBeef_Soil_N2ODirect_Equations.VEERG_4_2_1_3__6_IntakeRelativeToMaintenance(V66,V30)</f>
        <v>#N/A</v>
      </c>
      <c r="W82" s="25" t="e" cm="1">
        <f t="array" aca="1" ref="W82" ca="1">MMS_PastureBeef_Soil_N2ODirect_Equations.VEERG_4_2_1_3__6_IntakeRelativeToMaintenance(W66,W30)</f>
        <v>#N/A</v>
      </c>
      <c r="X82" s="25" t="e" cm="1">
        <f t="array" aca="1" ref="X82" ca="1">MMS_PastureBeef_Soil_N2ODirect_Equations.VEERG_4_2_1_3__6_IntakeRelativeToMaintenance(X66,X30)</f>
        <v>#N/A</v>
      </c>
      <c r="Y82" s="25" t="e" cm="1">
        <f t="array" aca="1" ref="Y82" ca="1">MMS_PastureBeef_Soil_N2ODirect_Equations.VEERG_4_2_1_3__6_IntakeRelativeToMaintenance(Y66,Y30)</f>
        <v>#N/A</v>
      </c>
      <c r="Z82" s="25" t="e" cm="1">
        <f t="array" aca="1" ref="Z82" ca="1">MMS_PastureBeef_Soil_N2ODirect_Equations.VEERG_4_2_1_3__6_IntakeRelativeToMaintenance(Z66,Z30)</f>
        <v>#N/A</v>
      </c>
      <c r="AA82" s="25" t="e" cm="1">
        <f t="array" aca="1" ref="AA82" ca="1">MMS_PastureBeef_Soil_N2ODirect_Equations.VEERG_4_2_1_3__6_IntakeRelativeToMaintenance(AA66,AA30)</f>
        <v>#N/A</v>
      </c>
      <c r="AB82" s="25" t="e" cm="1">
        <f t="array" aca="1" ref="AB82" ca="1">MMS_PastureBeef_Soil_N2ODirect_Equations.VEERG_4_2_1_3__6_IntakeRelativeToMaintenance(AB66,AB30)</f>
        <v>#N/A</v>
      </c>
      <c r="AC82" s="25" t="e" cm="1">
        <f t="array" aca="1" ref="AC82" ca="1">MMS_PastureBeef_Soil_N2ODirect_Equations.VEERG_4_2_1_3__6_IntakeRelativeToMaintenance(AC66,AC30)</f>
        <v>#N/A</v>
      </c>
      <c r="AD82" s="25" t="e" cm="1">
        <f t="array" aca="1" ref="AD82" ca="1">MMS_PastureBeef_Soil_N2ODirect_Equations.VEERG_4_2_1_3__6_IntakeRelativeToMaintenance(AD66,AD30)</f>
        <v>#N/A</v>
      </c>
      <c r="AE82" s="25" t="e" cm="1">
        <f t="array" aca="1" ref="AE82" ca="1">MMS_PastureBeef_Soil_N2ODirect_Equations.VEERG_4_2_1_3__6_IntakeRelativeToMaintenance(AE66,AE30)</f>
        <v>#N/A</v>
      </c>
      <c r="AF82" s="26" t="str">
        <f t="shared" si="3"/>
        <v>ratio</v>
      </c>
      <c r="AG82" s="26"/>
      <c r="AH82" s="26"/>
    </row>
    <row r="83" spans="4:35" ht="20.100000000000001" customHeight="1" x14ac:dyDescent="0.25">
      <c r="U83" s="25" t="e">
        <f>TEXT(EDATE(X_Cell_Site_StartDate,11), "mmmm")</f>
        <v>#VALUE!</v>
      </c>
      <c r="V83" s="25" t="e" cm="1">
        <f t="array" aca="1" ref="V83" ca="1">MMS_PastureBeef_Soil_N2ODirect_Equations.VEERG_4_2_1_3__6_IntakeRelativeToMaintenance(V67,V31)</f>
        <v>#N/A</v>
      </c>
      <c r="W83" s="25" t="e" cm="1">
        <f t="array" aca="1" ref="W83" ca="1">MMS_PastureBeef_Soil_N2ODirect_Equations.VEERG_4_2_1_3__6_IntakeRelativeToMaintenance(W67,W31)</f>
        <v>#N/A</v>
      </c>
      <c r="X83" s="25" t="e" cm="1">
        <f t="array" aca="1" ref="X83" ca="1">MMS_PastureBeef_Soil_N2ODirect_Equations.VEERG_4_2_1_3__6_IntakeRelativeToMaintenance(X67,X31)</f>
        <v>#N/A</v>
      </c>
      <c r="Y83" s="25" t="e" cm="1">
        <f t="array" aca="1" ref="Y83" ca="1">MMS_PastureBeef_Soil_N2ODirect_Equations.VEERG_4_2_1_3__6_IntakeRelativeToMaintenance(Y67,Y31)</f>
        <v>#N/A</v>
      </c>
      <c r="Z83" s="25" t="e" cm="1">
        <f t="array" aca="1" ref="Z83" ca="1">MMS_PastureBeef_Soil_N2ODirect_Equations.VEERG_4_2_1_3__6_IntakeRelativeToMaintenance(Z67,Z31)</f>
        <v>#N/A</v>
      </c>
      <c r="AA83" s="25" t="e" cm="1">
        <f t="array" aca="1" ref="AA83" ca="1">MMS_PastureBeef_Soil_N2ODirect_Equations.VEERG_4_2_1_3__6_IntakeRelativeToMaintenance(AA67,AA31)</f>
        <v>#N/A</v>
      </c>
      <c r="AB83" s="25" t="e" cm="1">
        <f t="array" aca="1" ref="AB83" ca="1">MMS_PastureBeef_Soil_N2ODirect_Equations.VEERG_4_2_1_3__6_IntakeRelativeToMaintenance(AB67,AB31)</f>
        <v>#N/A</v>
      </c>
      <c r="AC83" s="25" t="e" cm="1">
        <f t="array" aca="1" ref="AC83" ca="1">MMS_PastureBeef_Soil_N2ODirect_Equations.VEERG_4_2_1_3__6_IntakeRelativeToMaintenance(AC67,AC31)</f>
        <v>#N/A</v>
      </c>
      <c r="AD83" s="25" t="e" cm="1">
        <f t="array" aca="1" ref="AD83" ca="1">MMS_PastureBeef_Soil_N2ODirect_Equations.VEERG_4_2_1_3__6_IntakeRelativeToMaintenance(AD67,AD31)</f>
        <v>#N/A</v>
      </c>
      <c r="AE83" s="25" t="e" cm="1">
        <f t="array" aca="1" ref="AE83" ca="1">MMS_PastureBeef_Soil_N2ODirect_Equations.VEERG_4_2_1_3__6_IntakeRelativeToMaintenance(AE67,AE31)</f>
        <v>#N/A</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TEXT(X_Cell_Site_StartDate,"mmmm")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TEXT(EDATE(X_Cell_Site_StartDate,1),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TEXT(EDATE(X_Cell_Site_StartDate,2),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TEXT(EDATE(X_Cell_Site_StartDate,3),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e">
        <f>TEXT(EDATE(X_Cell_Site_StartDate,4),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TEXT(EDATE(X_Cell_Site_StartDate,5),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TEXT(EDATE(X_Cell_Site_StartDate,6),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TEXT(EDATE(X_Cell_Site_StartDate,7),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e">
        <f>TEXT(EDATE(X_Cell_Site_StartDate,8),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TEXT(EDATE(X_Cell_Site_StartDate,9),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TEXT(EDATE(X_Cell_Site_StartDate,10),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TEXT(EDATE(X_Cell_Site_StartDate,11),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t="e" cm="1">
        <f t="array" aca="1" ref="E119:N122" ca="1">OFFSET(X_Table_PastureBeef_LiveweightGain_Method1, 1,1, 4,10)</f>
        <v>#N/A</v>
      </c>
      <c r="F119" s="25" t="e">
        <f ca="1"/>
        <v>#N/A</v>
      </c>
      <c r="G119" s="25" t="e">
        <f ca="1"/>
        <v>#N/A</v>
      </c>
      <c r="H119" s="25" t="e">
        <f ca="1"/>
        <v>#N/A</v>
      </c>
      <c r="I119" s="25" t="e">
        <f ca="1"/>
        <v>#N/A</v>
      </c>
      <c r="J119" s="25" t="e">
        <f ca="1"/>
        <v>#N/A</v>
      </c>
      <c r="K119" s="25" t="e">
        <f ca="1"/>
        <v>#N/A</v>
      </c>
      <c r="L119" s="25" t="e">
        <f ca="1"/>
        <v>#N/A</v>
      </c>
      <c r="M119" s="25" t="e">
        <f ca="1"/>
        <v>#N/A</v>
      </c>
      <c r="N119" s="25" t="e">
        <f ca="1"/>
        <v>#N/A</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t="e">
        <f ca="1"/>
        <v>#N/A</v>
      </c>
      <c r="F120" s="25" t="e">
        <f ca="1"/>
        <v>#N/A</v>
      </c>
      <c r="G120" s="25" t="e">
        <f ca="1"/>
        <v>#N/A</v>
      </c>
      <c r="H120" s="25" t="e">
        <f ca="1"/>
        <v>#N/A</v>
      </c>
      <c r="I120" s="25" t="e">
        <f ca="1"/>
        <v>#N/A</v>
      </c>
      <c r="J120" s="25" t="e">
        <f ca="1"/>
        <v>#N/A</v>
      </c>
      <c r="K120" s="25" t="e">
        <f ca="1"/>
        <v>#N/A</v>
      </c>
      <c r="L120" s="25" t="e">
        <f ca="1"/>
        <v>#N/A</v>
      </c>
      <c r="M120" s="25" t="e">
        <f ca="1"/>
        <v>#N/A</v>
      </c>
      <c r="N120" s="25" t="e">
        <f ca="1"/>
        <v>#N/A</v>
      </c>
      <c r="O120" s="26" t="s">
        <v>209</v>
      </c>
      <c r="U120" s="25" t="str">
        <f>TEXT(X_Cell_Site_StartDate,"mmmm")</f>
        <v>NO - Not in leaching zone</v>
      </c>
      <c r="V120" s="25" t="e" cm="1">
        <f t="array" aca="1" ref="V120:AE131" ca="1">OFFSET(X_Table_PastureBeef_LiveweightGain_Method2, 1,1, 12,10)</f>
        <v>#N/A</v>
      </c>
      <c r="W120" s="25" t="e">
        <f ca="1"/>
        <v>#N/A</v>
      </c>
      <c r="X120" s="25" t="e">
        <f ca="1"/>
        <v>#N/A</v>
      </c>
      <c r="Y120" s="25" t="e">
        <f ca="1"/>
        <v>#N/A</v>
      </c>
      <c r="Z120" s="25" t="e">
        <f ca="1"/>
        <v>#N/A</v>
      </c>
      <c r="AA120" s="25" t="e">
        <f ca="1"/>
        <v>#N/A</v>
      </c>
      <c r="AB120" s="25" t="e">
        <f ca="1"/>
        <v>#N/A</v>
      </c>
      <c r="AC120" s="25" t="e">
        <f ca="1"/>
        <v>#N/A</v>
      </c>
      <c r="AD120" s="25" t="e">
        <f ca="1"/>
        <v>#N/A</v>
      </c>
      <c r="AE120" s="25" t="e">
        <f ca="1"/>
        <v>#N/A</v>
      </c>
      <c r="AF120" s="26" t="s">
        <v>211</v>
      </c>
      <c r="AG120" s="26"/>
      <c r="AH120" s="26"/>
    </row>
    <row r="121" spans="4:35" ht="20.100000000000001" customHeight="1" x14ac:dyDescent="0.25">
      <c r="D121" s="25" t="str">
        <f>INDEX(X_Table_PastureBeef_LiveweightGain_Method1,4,1)</f>
        <v>Autumn</v>
      </c>
      <c r="E121" s="25" t="e">
        <f ca="1"/>
        <v>#N/A</v>
      </c>
      <c r="F121" s="25" t="e">
        <f ca="1"/>
        <v>#N/A</v>
      </c>
      <c r="G121" s="25" t="e">
        <f ca="1"/>
        <v>#N/A</v>
      </c>
      <c r="H121" s="25" t="e">
        <f ca="1"/>
        <v>#N/A</v>
      </c>
      <c r="I121" s="25" t="e">
        <f ca="1"/>
        <v>#N/A</v>
      </c>
      <c r="J121" s="25" t="e">
        <f ca="1"/>
        <v>#N/A</v>
      </c>
      <c r="K121" s="25" t="e">
        <f ca="1"/>
        <v>#N/A</v>
      </c>
      <c r="L121" s="25" t="e">
        <f ca="1"/>
        <v>#N/A</v>
      </c>
      <c r="M121" s="25" t="e">
        <f ca="1"/>
        <v>#N/A</v>
      </c>
      <c r="N121" s="25" t="e">
        <f ca="1"/>
        <v>#N/A</v>
      </c>
      <c r="O121" s="26" t="s">
        <v>209</v>
      </c>
      <c r="U121" s="25" t="e">
        <f>TEXT(EDATE(X_Cell_Site_StartDate,1), "mmmm")</f>
        <v>#VALUE!</v>
      </c>
      <c r="V121" s="25" t="e">
        <f ca="1"/>
        <v>#N/A</v>
      </c>
      <c r="W121" s="25" t="e">
        <f ca="1"/>
        <v>#N/A</v>
      </c>
      <c r="X121" s="25" t="e">
        <f ca="1"/>
        <v>#N/A</v>
      </c>
      <c r="Y121" s="25" t="e">
        <f ca="1"/>
        <v>#N/A</v>
      </c>
      <c r="Z121" s="25" t="e">
        <f ca="1"/>
        <v>#N/A</v>
      </c>
      <c r="AA121" s="25" t="e">
        <f ca="1"/>
        <v>#N/A</v>
      </c>
      <c r="AB121" s="25" t="e">
        <f ca="1"/>
        <v>#N/A</v>
      </c>
      <c r="AC121" s="25" t="e">
        <f ca="1"/>
        <v>#N/A</v>
      </c>
      <c r="AD121" s="25" t="e">
        <f ca="1"/>
        <v>#N/A</v>
      </c>
      <c r="AE121" s="25" t="e">
        <f ca="1"/>
        <v>#N/A</v>
      </c>
      <c r="AF121" s="26" t="s">
        <v>211</v>
      </c>
      <c r="AG121" s="26"/>
      <c r="AH121" s="26"/>
    </row>
    <row r="122" spans="4:35" ht="20.100000000000001" customHeight="1" x14ac:dyDescent="0.25">
      <c r="D122" s="25" t="str">
        <f>INDEX(X_Table_PastureBeef_LiveweightGain_Method1,5,1)</f>
        <v>Winter</v>
      </c>
      <c r="E122" s="25" t="e">
        <f ca="1"/>
        <v>#N/A</v>
      </c>
      <c r="F122" s="25" t="e">
        <f ca="1"/>
        <v>#N/A</v>
      </c>
      <c r="G122" s="25" t="e">
        <f ca="1"/>
        <v>#N/A</v>
      </c>
      <c r="H122" s="25" t="e">
        <f ca="1"/>
        <v>#N/A</v>
      </c>
      <c r="I122" s="25" t="e">
        <f ca="1"/>
        <v>#N/A</v>
      </c>
      <c r="J122" s="25" t="e">
        <f ca="1"/>
        <v>#N/A</v>
      </c>
      <c r="K122" s="25" t="e">
        <f ca="1"/>
        <v>#N/A</v>
      </c>
      <c r="L122" s="25" t="e">
        <f ca="1"/>
        <v>#N/A</v>
      </c>
      <c r="M122" s="25" t="e">
        <f ca="1"/>
        <v>#N/A</v>
      </c>
      <c r="N122" s="25" t="e">
        <f ca="1"/>
        <v>#N/A</v>
      </c>
      <c r="O122" s="26" t="s">
        <v>209</v>
      </c>
      <c r="U122" s="25" t="e">
        <f>TEXT(EDATE(X_Cell_Site_StartDate,2), "mmmm")</f>
        <v>#VALUE!</v>
      </c>
      <c r="V122" s="25" t="e">
        <f ca="1"/>
        <v>#N/A</v>
      </c>
      <c r="W122" s="25" t="e">
        <f ca="1"/>
        <v>#N/A</v>
      </c>
      <c r="X122" s="25" t="e">
        <f ca="1"/>
        <v>#N/A</v>
      </c>
      <c r="Y122" s="25" t="e">
        <f ca="1"/>
        <v>#N/A</v>
      </c>
      <c r="Z122" s="25" t="e">
        <f ca="1"/>
        <v>#N/A</v>
      </c>
      <c r="AA122" s="25" t="e">
        <f ca="1"/>
        <v>#N/A</v>
      </c>
      <c r="AB122" s="25" t="e">
        <f ca="1"/>
        <v>#N/A</v>
      </c>
      <c r="AC122" s="25" t="e">
        <f ca="1"/>
        <v>#N/A</v>
      </c>
      <c r="AD122" s="25" t="e">
        <f ca="1"/>
        <v>#N/A</v>
      </c>
      <c r="AE122" s="25" t="e">
        <f ca="1"/>
        <v>#N/A</v>
      </c>
      <c r="AF122" s="26" t="s">
        <v>211</v>
      </c>
      <c r="AG122" s="26"/>
      <c r="AH122" s="26"/>
    </row>
    <row r="123" spans="4:35" ht="20.100000000000001" customHeight="1" x14ac:dyDescent="0.25">
      <c r="U123" s="25" t="e">
        <f>TEXT(EDATE(X_Cell_Site_StartDate,3), "mmmm")</f>
        <v>#VALUE!</v>
      </c>
      <c r="V123" s="25" t="e">
        <f ca="1"/>
        <v>#N/A</v>
      </c>
      <c r="W123" s="25" t="e">
        <f ca="1"/>
        <v>#N/A</v>
      </c>
      <c r="X123" s="25" t="e">
        <f ca="1"/>
        <v>#N/A</v>
      </c>
      <c r="Y123" s="25" t="e">
        <f ca="1"/>
        <v>#N/A</v>
      </c>
      <c r="Z123" s="25" t="e">
        <f ca="1"/>
        <v>#N/A</v>
      </c>
      <c r="AA123" s="25" t="e">
        <f ca="1"/>
        <v>#N/A</v>
      </c>
      <c r="AB123" s="25" t="e">
        <f ca="1"/>
        <v>#N/A</v>
      </c>
      <c r="AC123" s="25" t="e">
        <f ca="1"/>
        <v>#N/A</v>
      </c>
      <c r="AD123" s="25" t="e">
        <f ca="1"/>
        <v>#N/A</v>
      </c>
      <c r="AE123" s="25" t="e">
        <f ca="1"/>
        <v>#N/A</v>
      </c>
      <c r="AF123" s="26" t="s">
        <v>211</v>
      </c>
      <c r="AG123" s="26"/>
      <c r="AH123" s="26"/>
    </row>
    <row r="124" spans="4:35" ht="20.100000000000001" customHeight="1" x14ac:dyDescent="0.25">
      <c r="D124" s="114" t="s">
        <v>437</v>
      </c>
      <c r="U124" s="25" t="e">
        <f>TEXT(EDATE(X_Cell_Site_StartDate,4), "mmmm")</f>
        <v>#VALUE!</v>
      </c>
      <c r="V124" s="25" t="e">
        <f ca="1"/>
        <v>#N/A</v>
      </c>
      <c r="W124" s="25" t="e">
        <f ca="1"/>
        <v>#N/A</v>
      </c>
      <c r="X124" s="25" t="e">
        <f ca="1"/>
        <v>#N/A</v>
      </c>
      <c r="Y124" s="25" t="e">
        <f ca="1"/>
        <v>#N/A</v>
      </c>
      <c r="Z124" s="25" t="e">
        <f ca="1"/>
        <v>#N/A</v>
      </c>
      <c r="AA124" s="25" t="e">
        <f ca="1"/>
        <v>#N/A</v>
      </c>
      <c r="AB124" s="25" t="e">
        <f ca="1"/>
        <v>#N/A</v>
      </c>
      <c r="AC124" s="25" t="e">
        <f ca="1"/>
        <v>#N/A</v>
      </c>
      <c r="AD124" s="25" t="e">
        <f ca="1"/>
        <v>#N/A</v>
      </c>
      <c r="AE124" s="25" t="e">
        <f ca="1"/>
        <v>#N/A</v>
      </c>
      <c r="AF124" s="26" t="s">
        <v>211</v>
      </c>
      <c r="AG124" s="26"/>
      <c r="AH124" s="26"/>
    </row>
    <row r="125" spans="4:35" ht="20.100000000000001" customHeight="1" x14ac:dyDescent="0.25">
      <c r="D125" s="115" t="s">
        <v>438</v>
      </c>
      <c r="U125" s="25" t="e">
        <f>TEXT(EDATE(X_Cell_Site_StartDate,5), "mmmm")</f>
        <v>#VALUE!</v>
      </c>
      <c r="V125" s="25" t="e">
        <f ca="1"/>
        <v>#N/A</v>
      </c>
      <c r="W125" s="25" t="e">
        <f ca="1"/>
        <v>#N/A</v>
      </c>
      <c r="X125" s="25" t="e">
        <f ca="1"/>
        <v>#N/A</v>
      </c>
      <c r="Y125" s="25" t="e">
        <f ca="1"/>
        <v>#N/A</v>
      </c>
      <c r="Z125" s="25" t="e">
        <f ca="1"/>
        <v>#N/A</v>
      </c>
      <c r="AA125" s="25" t="e">
        <f ca="1"/>
        <v>#N/A</v>
      </c>
      <c r="AB125" s="25" t="e">
        <f ca="1"/>
        <v>#N/A</v>
      </c>
      <c r="AC125" s="25" t="e">
        <f ca="1"/>
        <v>#N/A</v>
      </c>
      <c r="AD125" s="25" t="e">
        <f ca="1"/>
        <v>#N/A</v>
      </c>
      <c r="AE125" s="25" t="e">
        <f ca="1"/>
        <v>#N/A</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e">
        <f>TEXT(EDATE(X_Cell_Site_StartDate,6), "mmmm")</f>
        <v>#VALUE!</v>
      </c>
      <c r="V126" s="25" t="e">
        <f ca="1"/>
        <v>#N/A</v>
      </c>
      <c r="W126" s="25" t="e">
        <f ca="1"/>
        <v>#N/A</v>
      </c>
      <c r="X126" s="25" t="e">
        <f ca="1"/>
        <v>#N/A</v>
      </c>
      <c r="Y126" s="25" t="e">
        <f ca="1"/>
        <v>#N/A</v>
      </c>
      <c r="Z126" s="25" t="e">
        <f ca="1"/>
        <v>#N/A</v>
      </c>
      <c r="AA126" s="25" t="e">
        <f ca="1"/>
        <v>#N/A</v>
      </c>
      <c r="AB126" s="25" t="e">
        <f ca="1"/>
        <v>#N/A</v>
      </c>
      <c r="AC126" s="25" t="e">
        <f ca="1"/>
        <v>#N/A</v>
      </c>
      <c r="AD126" s="25" t="e">
        <f ca="1"/>
        <v>#N/A</v>
      </c>
      <c r="AE126" s="25" t="e">
        <f ca="1"/>
        <v>#N/A</v>
      </c>
      <c r="AF126" s="26" t="s">
        <v>211</v>
      </c>
      <c r="AG126" s="26"/>
      <c r="AH126" s="26"/>
    </row>
    <row r="127" spans="4:35" ht="20.100000000000001" customHeight="1" x14ac:dyDescent="0.25">
      <c r="D127" s="25" t="s">
        <v>200</v>
      </c>
      <c r="E127" s="25" t="e" cm="1">
        <f t="array" aca="1" ref="E127" ca="1">MMS_PastureBeef_Soil_N2ODirect_Equations.VEERG_4_2_1_3__4_NitrogenRetainedByBody(G95,E62,E33,E119)</f>
        <v>#N/A</v>
      </c>
      <c r="F127" s="25" t="e" cm="1">
        <f t="array" aca="1" ref="F127" ca="1">MMS_PastureBeef_Soil_N2ODirect_Equations.VEERG_4_2_1_3__4_NitrogenRetainedByBody(H95,F62,F33,F119)</f>
        <v>#N/A</v>
      </c>
      <c r="G127" s="25" t="e" cm="1">
        <f t="array" aca="1" ref="G127" ca="1">MMS_PastureBeef_Soil_N2ODirect_Equations.VEERG_4_2_1_3__4_NitrogenRetainedByBody(I95,G62,G33,G119)</f>
        <v>#N/A</v>
      </c>
      <c r="H127" s="25" t="e" cm="1">
        <f t="array" aca="1" ref="H127" ca="1">MMS_PastureBeef_Soil_N2ODirect_Equations.VEERG_4_2_1_3__4_NitrogenRetainedByBody(J95,H62,H33,H119)</f>
        <v>#N/A</v>
      </c>
      <c r="I127" s="25" t="e" cm="1">
        <f t="array" aca="1" ref="I127" ca="1">MMS_PastureBeef_Soil_N2ODirect_Equations.VEERG_4_2_1_3__4_NitrogenRetainedByBody(K95,I62,I33,I119)</f>
        <v>#N/A</v>
      </c>
      <c r="J127" s="25" t="e" cm="1">
        <f t="array" aca="1" ref="J127" ca="1">MMS_PastureBeef_Soil_N2ODirect_Equations.VEERG_4_2_1_3__4_NitrogenRetainedByBody(L95,J62,J33,J119)</f>
        <v>#N/A</v>
      </c>
      <c r="K127" s="25" t="e" cm="1">
        <f t="array" aca="1" ref="K127" ca="1">MMS_PastureBeef_Soil_N2ODirect_Equations.VEERG_4_2_1_3__4_NitrogenRetainedByBody(M95,K62,K33,K119)</f>
        <v>#N/A</v>
      </c>
      <c r="L127" s="25" t="e" cm="1">
        <f t="array" aca="1" ref="L127" ca="1">MMS_PastureBeef_Soil_N2ODirect_Equations.VEERG_4_2_1_3__4_NitrogenRetainedByBody(N95,L62,L33,L119)</f>
        <v>#N/A</v>
      </c>
      <c r="M127" s="25" t="e" cm="1">
        <f t="array" aca="1" ref="M127" ca="1">MMS_PastureBeef_Soil_N2ODirect_Equations.VEERG_4_2_1_3__4_NitrogenRetainedByBody(O95,M62,M33,M119)</f>
        <v>#N/A</v>
      </c>
      <c r="N127" s="25" t="e" cm="1">
        <f t="array" aca="1" ref="N127" ca="1">MMS_PastureBeef_Soil_N2ODirect_Equations.VEERG_4_2_1_3__4_NitrogenRetainedByBody(P95,N62,N33,N119)</f>
        <v>#N/A</v>
      </c>
      <c r="O127" s="26" t="str">
        <f>$E$109</f>
        <v>kg N/head/day</v>
      </c>
      <c r="U127" s="25" t="e">
        <f>TEXT(EDATE(X_Cell_Site_StartDate,7), "mmmm")</f>
        <v>#VALUE!</v>
      </c>
      <c r="V127" s="25" t="e">
        <f ca="1"/>
        <v>#N/A</v>
      </c>
      <c r="W127" s="25" t="e">
        <f ca="1"/>
        <v>#N/A</v>
      </c>
      <c r="X127" s="25" t="e">
        <f ca="1"/>
        <v>#N/A</v>
      </c>
      <c r="Y127" s="25" t="e">
        <f ca="1"/>
        <v>#N/A</v>
      </c>
      <c r="Z127" s="25" t="e">
        <f ca="1"/>
        <v>#N/A</v>
      </c>
      <c r="AA127" s="25" t="e">
        <f ca="1"/>
        <v>#N/A</v>
      </c>
      <c r="AB127" s="25" t="e">
        <f ca="1"/>
        <v>#N/A</v>
      </c>
      <c r="AC127" s="25" t="e">
        <f ca="1"/>
        <v>#N/A</v>
      </c>
      <c r="AD127" s="25" t="e">
        <f ca="1"/>
        <v>#N/A</v>
      </c>
      <c r="AE127" s="25" t="e">
        <f ca="1"/>
        <v>#N/A</v>
      </c>
      <c r="AF127" s="26" t="s">
        <v>211</v>
      </c>
      <c r="AG127" s="26"/>
      <c r="AH127" s="26"/>
    </row>
    <row r="128" spans="4:35" ht="20.100000000000001" customHeight="1" x14ac:dyDescent="0.25">
      <c r="D128" s="25" t="s">
        <v>201</v>
      </c>
      <c r="E128" s="25" t="e" cm="1">
        <f t="array" aca="1" ref="E128" ca="1">MMS_PastureBeef_Soil_N2ODirect_Equations.VEERG_4_2_1_3__4_NitrogenRetainedByBody(G96,E63,E34,E120)</f>
        <v>#N/A</v>
      </c>
      <c r="F128" s="25" t="e" cm="1">
        <f t="array" aca="1" ref="F128" ca="1">MMS_PastureBeef_Soil_N2ODirect_Equations.VEERG_4_2_1_3__4_NitrogenRetainedByBody(H96,F63,F34,F120)</f>
        <v>#N/A</v>
      </c>
      <c r="G128" s="25" t="e" cm="1">
        <f t="array" aca="1" ref="G128" ca="1">MMS_PastureBeef_Soil_N2ODirect_Equations.VEERG_4_2_1_3__4_NitrogenRetainedByBody(I96,G63,G34,G120)</f>
        <v>#N/A</v>
      </c>
      <c r="H128" s="25" t="e" cm="1">
        <f t="array" aca="1" ref="H128" ca="1">MMS_PastureBeef_Soil_N2ODirect_Equations.VEERG_4_2_1_3__4_NitrogenRetainedByBody(J96,H63,H34,H120)</f>
        <v>#N/A</v>
      </c>
      <c r="I128" s="25" t="e" cm="1">
        <f t="array" aca="1" ref="I128" ca="1">MMS_PastureBeef_Soil_N2ODirect_Equations.VEERG_4_2_1_3__4_NitrogenRetainedByBody(K96,I63,I34,I120)</f>
        <v>#N/A</v>
      </c>
      <c r="J128" s="25" t="e" cm="1">
        <f t="array" aca="1" ref="J128" ca="1">MMS_PastureBeef_Soil_N2ODirect_Equations.VEERG_4_2_1_3__4_NitrogenRetainedByBody(L96,J63,J34,J120)</f>
        <v>#N/A</v>
      </c>
      <c r="K128" s="25" t="e" cm="1">
        <f t="array" aca="1" ref="K128" ca="1">MMS_PastureBeef_Soil_N2ODirect_Equations.VEERG_4_2_1_3__4_NitrogenRetainedByBody(M96,K63,K34,K120)</f>
        <v>#N/A</v>
      </c>
      <c r="L128" s="25" t="e" cm="1">
        <f t="array" aca="1" ref="L128" ca="1">MMS_PastureBeef_Soil_N2ODirect_Equations.VEERG_4_2_1_3__4_NitrogenRetainedByBody(N96,L63,L34,L120)</f>
        <v>#N/A</v>
      </c>
      <c r="M128" s="25" t="e" cm="1">
        <f t="array" aca="1" ref="M128" ca="1">MMS_PastureBeef_Soil_N2ODirect_Equations.VEERG_4_2_1_3__4_NitrogenRetainedByBody(O96,M63,M34,M120)</f>
        <v>#N/A</v>
      </c>
      <c r="N128" s="25" t="e" cm="1">
        <f t="array" aca="1" ref="N128" ca="1">MMS_PastureBeef_Soil_N2ODirect_Equations.VEERG_4_2_1_3__4_NitrogenRetainedByBody(P96,N63,N34,N120)</f>
        <v>#N/A</v>
      </c>
      <c r="O128" s="26" t="str">
        <f t="shared" ref="O128:O130" si="6">$E$109</f>
        <v>kg N/head/day</v>
      </c>
      <c r="U128" s="25" t="e">
        <f>TEXT(EDATE(X_Cell_Site_StartDate,8), "mmmm")</f>
        <v>#VALUE!</v>
      </c>
      <c r="V128" s="25" t="e">
        <f ca="1"/>
        <v>#N/A</v>
      </c>
      <c r="W128" s="25" t="e">
        <f ca="1"/>
        <v>#N/A</v>
      </c>
      <c r="X128" s="25" t="e">
        <f ca="1"/>
        <v>#N/A</v>
      </c>
      <c r="Y128" s="25" t="e">
        <f ca="1"/>
        <v>#N/A</v>
      </c>
      <c r="Z128" s="25" t="e">
        <f ca="1"/>
        <v>#N/A</v>
      </c>
      <c r="AA128" s="25" t="e">
        <f ca="1"/>
        <v>#N/A</v>
      </c>
      <c r="AB128" s="25" t="e">
        <f ca="1"/>
        <v>#N/A</v>
      </c>
      <c r="AC128" s="25" t="e">
        <f ca="1"/>
        <v>#N/A</v>
      </c>
      <c r="AD128" s="25" t="e">
        <f ca="1"/>
        <v>#N/A</v>
      </c>
      <c r="AE128" s="25" t="e">
        <f ca="1"/>
        <v>#N/A</v>
      </c>
      <c r="AF128" s="26" t="s">
        <v>211</v>
      </c>
      <c r="AG128" s="26"/>
      <c r="AH128" s="26"/>
    </row>
    <row r="129" spans="3:34" ht="20.100000000000001" customHeight="1" x14ac:dyDescent="0.25">
      <c r="D129" s="25" t="s">
        <v>202</v>
      </c>
      <c r="E129" s="25" t="e" cm="1">
        <f t="array" aca="1" ref="E129" ca="1">MMS_PastureBeef_Soil_N2ODirect_Equations.VEERG_4_2_1_3__4_NitrogenRetainedByBody(G97,E64,E35,E121)</f>
        <v>#N/A</v>
      </c>
      <c r="F129" s="25" t="e" cm="1">
        <f t="array" aca="1" ref="F129" ca="1">MMS_PastureBeef_Soil_N2ODirect_Equations.VEERG_4_2_1_3__4_NitrogenRetainedByBody(H97,F64,F35,F121)</f>
        <v>#N/A</v>
      </c>
      <c r="G129" s="25" t="e" cm="1">
        <f t="array" aca="1" ref="G129" ca="1">MMS_PastureBeef_Soil_N2ODirect_Equations.VEERG_4_2_1_3__4_NitrogenRetainedByBody(I97,G64,G35,G121)</f>
        <v>#N/A</v>
      </c>
      <c r="H129" s="25" t="e" cm="1">
        <f t="array" aca="1" ref="H129" ca="1">MMS_PastureBeef_Soil_N2ODirect_Equations.VEERG_4_2_1_3__4_NitrogenRetainedByBody(J97,H64,H35,H121)</f>
        <v>#N/A</v>
      </c>
      <c r="I129" s="25" t="e" cm="1">
        <f t="array" aca="1" ref="I129" ca="1">MMS_PastureBeef_Soil_N2ODirect_Equations.VEERG_4_2_1_3__4_NitrogenRetainedByBody(K97,I64,I35,I121)</f>
        <v>#N/A</v>
      </c>
      <c r="J129" s="25" t="e" cm="1">
        <f t="array" aca="1" ref="J129" ca="1">MMS_PastureBeef_Soil_N2ODirect_Equations.VEERG_4_2_1_3__4_NitrogenRetainedByBody(L97,J64,J35,J121)</f>
        <v>#N/A</v>
      </c>
      <c r="K129" s="25" t="e" cm="1">
        <f t="array" aca="1" ref="K129" ca="1">MMS_PastureBeef_Soil_N2ODirect_Equations.VEERG_4_2_1_3__4_NitrogenRetainedByBody(M97,K64,K35,K121)</f>
        <v>#N/A</v>
      </c>
      <c r="L129" s="25" t="e" cm="1">
        <f t="array" aca="1" ref="L129" ca="1">MMS_PastureBeef_Soil_N2ODirect_Equations.VEERG_4_2_1_3__4_NitrogenRetainedByBody(N97,L64,L35,L121)</f>
        <v>#N/A</v>
      </c>
      <c r="M129" s="25" t="e" cm="1">
        <f t="array" aca="1" ref="M129" ca="1">MMS_PastureBeef_Soil_N2ODirect_Equations.VEERG_4_2_1_3__4_NitrogenRetainedByBody(O97,M64,M35,M121)</f>
        <v>#N/A</v>
      </c>
      <c r="N129" s="25" t="e" cm="1">
        <f t="array" aca="1" ref="N129" ca="1">MMS_PastureBeef_Soil_N2ODirect_Equations.VEERG_4_2_1_3__4_NitrogenRetainedByBody(P97,N64,N35,N121)</f>
        <v>#N/A</v>
      </c>
      <c r="O129" s="26" t="str">
        <f t="shared" si="6"/>
        <v>kg N/head/day</v>
      </c>
      <c r="U129" s="25" t="e">
        <f>TEXT(EDATE(X_Cell_Site_StartDate,9), "mmmm")</f>
        <v>#VALUE!</v>
      </c>
      <c r="V129" s="25" t="e">
        <f ca="1"/>
        <v>#N/A</v>
      </c>
      <c r="W129" s="25" t="e">
        <f ca="1"/>
        <v>#N/A</v>
      </c>
      <c r="X129" s="25" t="e">
        <f ca="1"/>
        <v>#N/A</v>
      </c>
      <c r="Y129" s="25" t="e">
        <f ca="1"/>
        <v>#N/A</v>
      </c>
      <c r="Z129" s="25" t="e">
        <f ca="1"/>
        <v>#N/A</v>
      </c>
      <c r="AA129" s="25" t="e">
        <f ca="1"/>
        <v>#N/A</v>
      </c>
      <c r="AB129" s="25" t="e">
        <f ca="1"/>
        <v>#N/A</v>
      </c>
      <c r="AC129" s="25" t="e">
        <f ca="1"/>
        <v>#N/A</v>
      </c>
      <c r="AD129" s="25" t="e">
        <f ca="1"/>
        <v>#N/A</v>
      </c>
      <c r="AE129" s="25" t="e">
        <f ca="1"/>
        <v>#N/A</v>
      </c>
      <c r="AF129" s="26" t="s">
        <v>211</v>
      </c>
      <c r="AG129" s="26"/>
      <c r="AH129" s="26"/>
    </row>
    <row r="130" spans="3:34" ht="20.100000000000001" customHeight="1" x14ac:dyDescent="0.25">
      <c r="D130" s="25" t="s">
        <v>203</v>
      </c>
      <c r="E130" s="25" t="e" cm="1">
        <f t="array" aca="1" ref="E130" ca="1">MMS_PastureBeef_Soil_N2ODirect_Equations.VEERG_4_2_1_3__4_NitrogenRetainedByBody(G98,E65,E36,E122)</f>
        <v>#N/A</v>
      </c>
      <c r="F130" s="25" t="e" cm="1">
        <f t="array" aca="1" ref="F130" ca="1">MMS_PastureBeef_Soil_N2ODirect_Equations.VEERG_4_2_1_3__4_NitrogenRetainedByBody(H98,F65,F36,F122)</f>
        <v>#N/A</v>
      </c>
      <c r="G130" s="25" t="e" cm="1">
        <f t="array" aca="1" ref="G130" ca="1">MMS_PastureBeef_Soil_N2ODirect_Equations.VEERG_4_2_1_3__4_NitrogenRetainedByBody(I98,G65,G36,G122)</f>
        <v>#N/A</v>
      </c>
      <c r="H130" s="25" t="e" cm="1">
        <f t="array" aca="1" ref="H130" ca="1">MMS_PastureBeef_Soil_N2ODirect_Equations.VEERG_4_2_1_3__4_NitrogenRetainedByBody(J98,H65,H36,H122)</f>
        <v>#N/A</v>
      </c>
      <c r="I130" s="25" t="e" cm="1">
        <f t="array" aca="1" ref="I130" ca="1">MMS_PastureBeef_Soil_N2ODirect_Equations.VEERG_4_2_1_3__4_NitrogenRetainedByBody(K98,I65,I36,I122)</f>
        <v>#N/A</v>
      </c>
      <c r="J130" s="25" t="e" cm="1">
        <f t="array" aca="1" ref="J130" ca="1">MMS_PastureBeef_Soil_N2ODirect_Equations.VEERG_4_2_1_3__4_NitrogenRetainedByBody(L98,J65,J36,J122)</f>
        <v>#N/A</v>
      </c>
      <c r="K130" s="25" t="e" cm="1">
        <f t="array" aca="1" ref="K130" ca="1">MMS_PastureBeef_Soil_N2ODirect_Equations.VEERG_4_2_1_3__4_NitrogenRetainedByBody(M98,K65,K36,K122)</f>
        <v>#N/A</v>
      </c>
      <c r="L130" s="25" t="e" cm="1">
        <f t="array" aca="1" ref="L130" ca="1">MMS_PastureBeef_Soil_N2ODirect_Equations.VEERG_4_2_1_3__4_NitrogenRetainedByBody(N98,L65,L36,L122)</f>
        <v>#N/A</v>
      </c>
      <c r="M130" s="25" t="e" cm="1">
        <f t="array" aca="1" ref="M130" ca="1">MMS_PastureBeef_Soil_N2ODirect_Equations.VEERG_4_2_1_3__4_NitrogenRetainedByBody(O98,M65,M36,M122)</f>
        <v>#N/A</v>
      </c>
      <c r="N130" s="25" t="e" cm="1">
        <f t="array" aca="1" ref="N130" ca="1">MMS_PastureBeef_Soil_N2ODirect_Equations.VEERG_4_2_1_3__4_NitrogenRetainedByBody(P98,N65,N36,N122)</f>
        <v>#N/A</v>
      </c>
      <c r="O130" s="26" t="str">
        <f t="shared" si="6"/>
        <v>kg N/head/day</v>
      </c>
      <c r="U130" s="25" t="e">
        <f>TEXT(EDATE(X_Cell_Site_StartDate,10), "mmmm")</f>
        <v>#VALUE!</v>
      </c>
      <c r="V130" s="25" t="e">
        <f ca="1"/>
        <v>#N/A</v>
      </c>
      <c r="W130" s="25" t="e">
        <f ca="1"/>
        <v>#N/A</v>
      </c>
      <c r="X130" s="25" t="e">
        <f ca="1"/>
        <v>#N/A</v>
      </c>
      <c r="Y130" s="25" t="e">
        <f ca="1"/>
        <v>#N/A</v>
      </c>
      <c r="Z130" s="25" t="e">
        <f ca="1"/>
        <v>#N/A</v>
      </c>
      <c r="AA130" s="25" t="e">
        <f ca="1"/>
        <v>#N/A</v>
      </c>
      <c r="AB130" s="25" t="e">
        <f ca="1"/>
        <v>#N/A</v>
      </c>
      <c r="AC130" s="25" t="e">
        <f ca="1"/>
        <v>#N/A</v>
      </c>
      <c r="AD130" s="25" t="e">
        <f ca="1"/>
        <v>#N/A</v>
      </c>
      <c r="AE130" s="25" t="e">
        <f ca="1"/>
        <v>#N/A</v>
      </c>
      <c r="AF130" s="26" t="s">
        <v>211</v>
      </c>
      <c r="AG130" s="26"/>
      <c r="AH130" s="26"/>
    </row>
    <row r="131" spans="3:34" ht="20.100000000000001" customHeight="1" x14ac:dyDescent="0.25">
      <c r="U131" s="25" t="e">
        <f>TEXT(EDATE(X_Cell_Site_StartDate,11), "mmmm")</f>
        <v>#VALUE!</v>
      </c>
      <c r="V131" s="25" t="e">
        <f ca="1"/>
        <v>#N/A</v>
      </c>
      <c r="W131" s="25" t="e">
        <f ca="1"/>
        <v>#N/A</v>
      </c>
      <c r="X131" s="25" t="e">
        <f ca="1"/>
        <v>#N/A</v>
      </c>
      <c r="Y131" s="25" t="e">
        <f ca="1"/>
        <v>#N/A</v>
      </c>
      <c r="Z131" s="25" t="e">
        <f ca="1"/>
        <v>#N/A</v>
      </c>
      <c r="AA131" s="25" t="e">
        <f ca="1"/>
        <v>#N/A</v>
      </c>
      <c r="AB131" s="25" t="e">
        <f ca="1"/>
        <v>#N/A</v>
      </c>
      <c r="AC131" s="25" t="e">
        <f ca="1"/>
        <v>#N/A</v>
      </c>
      <c r="AD131" s="25" t="e">
        <f ca="1"/>
        <v>#N/A</v>
      </c>
      <c r="AE131" s="25" t="e">
        <f ca="1"/>
        <v>#N/A</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TEXT(X_Cell_Site_StartDate,"mmmm")</f>
        <v>NO - Not in leaching zone</v>
      </c>
      <c r="V136" s="25" t="e" cm="1">
        <f t="array" aca="1" ref="V136" ca="1">MMS_PastureBeef_Soil_N2ODirect_Equations.VEERG_4_2_1_3__4_NitrogenRetainedByBody(X100,V72,V36,V120)</f>
        <v>#N/A</v>
      </c>
      <c r="W136" s="25" t="e" cm="1">
        <f t="array" aca="1" ref="W136" ca="1">MMS_PastureBeef_Soil_N2ODirect_Equations.VEERG_4_2_1_3__4_NitrogenRetainedByBody(Y100,W72,W36,W120)</f>
        <v>#N/A</v>
      </c>
      <c r="X136" s="25" t="e" cm="1">
        <f t="array" aca="1" ref="X136" ca="1">MMS_PastureBeef_Soil_N2ODirect_Equations.VEERG_4_2_1_3__4_NitrogenRetainedByBody(Z100,X72,X36,X120)</f>
        <v>#N/A</v>
      </c>
      <c r="Y136" s="25" t="e" cm="1">
        <f t="array" aca="1" ref="Y136" ca="1">MMS_PastureBeef_Soil_N2ODirect_Equations.VEERG_4_2_1_3__4_NitrogenRetainedByBody(AA100,Y72,Y36,Y120)</f>
        <v>#N/A</v>
      </c>
      <c r="Z136" s="25" t="e" cm="1">
        <f t="array" aca="1" ref="Z136" ca="1">MMS_PastureBeef_Soil_N2ODirect_Equations.VEERG_4_2_1_3__4_NitrogenRetainedByBody(AB100,Z72,Z36,Z120)</f>
        <v>#N/A</v>
      </c>
      <c r="AA136" s="25" t="e" cm="1">
        <f t="array" aca="1" ref="AA136" ca="1">MMS_PastureBeef_Soil_N2ODirect_Equations.VEERG_4_2_1_3__4_NitrogenRetainedByBody(AC100,AA72,AA36,AA120)</f>
        <v>#N/A</v>
      </c>
      <c r="AB136" s="25" t="e" cm="1">
        <f t="array" aca="1" ref="AB136" ca="1">MMS_PastureBeef_Soil_N2ODirect_Equations.VEERG_4_2_1_3__4_NitrogenRetainedByBody(AD100,AB72,AB36,AB120)</f>
        <v>#N/A</v>
      </c>
      <c r="AC136" s="25" t="e" cm="1">
        <f t="array" aca="1" ref="AC136" ca="1">MMS_PastureBeef_Soil_N2ODirect_Equations.VEERG_4_2_1_3__4_NitrogenRetainedByBody(AE100,AC72,AC36,AC120)</f>
        <v>#N/A</v>
      </c>
      <c r="AD136" s="25" t="e" cm="1">
        <f t="array" aca="1" ref="AD136" ca="1">MMS_PastureBeef_Soil_N2ODirect_Equations.VEERG_4_2_1_3__4_NitrogenRetainedByBody(AF100,AD72,AD36,AD120)</f>
        <v>#N/A</v>
      </c>
      <c r="AE136" s="25" t="e" cm="1">
        <f t="array" aca="1" ref="AE136" ca="1">MMS_PastureBeef_Soil_N2ODirect_Equations.VEERG_4_2_1_3__4_NitrogenRetainedByBody(AG100,AE72,AE36,AE120)</f>
        <v>#N/A</v>
      </c>
      <c r="AF136" s="26" t="str">
        <f t="shared" ref="AF136:AF147" si="7">$E$109</f>
        <v>kg N/head/day</v>
      </c>
      <c r="AG136" s="26"/>
      <c r="AH136" s="26"/>
    </row>
    <row r="137" spans="3:34" ht="20.100000000000001" customHeight="1" x14ac:dyDescent="0.25">
      <c r="U137" s="25" t="e">
        <f>TEXT(EDATE(X_Cell_Site_StartDate,1), "mmmm")</f>
        <v>#VALUE!</v>
      </c>
      <c r="V137" s="25" t="e" cm="1">
        <f t="array" aca="1" ref="V137" ca="1">MMS_PastureBeef_Soil_N2ODirect_Equations.VEERG_4_2_1_3__4_NitrogenRetainedByBody(X101,V73,V37,V121)</f>
        <v>#N/A</v>
      </c>
      <c r="W137" s="25" t="e" cm="1">
        <f t="array" aca="1" ref="W137" ca="1">MMS_PastureBeef_Soil_N2ODirect_Equations.VEERG_4_2_1_3__4_NitrogenRetainedByBody(Y101,W73,W37,W121)</f>
        <v>#N/A</v>
      </c>
      <c r="X137" s="25" t="e" cm="1">
        <f t="array" aca="1" ref="X137" ca="1">MMS_PastureBeef_Soil_N2ODirect_Equations.VEERG_4_2_1_3__4_NitrogenRetainedByBody(Z101,X73,X37,X121)</f>
        <v>#N/A</v>
      </c>
      <c r="Y137" s="25" t="e" cm="1">
        <f t="array" aca="1" ref="Y137" ca="1">MMS_PastureBeef_Soil_N2ODirect_Equations.VEERG_4_2_1_3__4_NitrogenRetainedByBody(AA101,Y73,Y37,Y121)</f>
        <v>#N/A</v>
      </c>
      <c r="Z137" s="25" t="e" cm="1">
        <f t="array" aca="1" ref="Z137" ca="1">MMS_PastureBeef_Soil_N2ODirect_Equations.VEERG_4_2_1_3__4_NitrogenRetainedByBody(AB101,Z73,Z37,Z121)</f>
        <v>#N/A</v>
      </c>
      <c r="AA137" s="25" t="e" cm="1">
        <f t="array" aca="1" ref="AA137" ca="1">MMS_PastureBeef_Soil_N2ODirect_Equations.VEERG_4_2_1_3__4_NitrogenRetainedByBody(AC101,AA73,AA37,AA121)</f>
        <v>#N/A</v>
      </c>
      <c r="AB137" s="25" t="e" cm="1">
        <f t="array" aca="1" ref="AB137" ca="1">MMS_PastureBeef_Soil_N2ODirect_Equations.VEERG_4_2_1_3__4_NitrogenRetainedByBody(AD101,AB73,AB37,AB121)</f>
        <v>#N/A</v>
      </c>
      <c r="AC137" s="25" t="e" cm="1">
        <f t="array" aca="1" ref="AC137" ca="1">MMS_PastureBeef_Soil_N2ODirect_Equations.VEERG_4_2_1_3__4_NitrogenRetainedByBody(AE101,AC73,AC37,AC121)</f>
        <v>#N/A</v>
      </c>
      <c r="AD137" s="25" t="e" cm="1">
        <f t="array" aca="1" ref="AD137" ca="1">MMS_PastureBeef_Soil_N2ODirect_Equations.VEERG_4_2_1_3__4_NitrogenRetainedByBody(AF101,AD73,AD37,AD121)</f>
        <v>#N/A</v>
      </c>
      <c r="AE137" s="25" t="e" cm="1">
        <f t="array" aca="1" ref="AE137" ca="1">MMS_PastureBeef_Soil_N2ODirect_Equations.VEERG_4_2_1_3__4_NitrogenRetainedByBody(AG101,AE73,AE37,AE121)</f>
        <v>#N/A</v>
      </c>
      <c r="AF137" s="26" t="str">
        <f t="shared" si="7"/>
        <v>kg N/head/day</v>
      </c>
      <c r="AG137" s="26"/>
      <c r="AH137" s="26"/>
    </row>
    <row r="138" spans="3:34" ht="20.100000000000001" customHeight="1" x14ac:dyDescent="0.25">
      <c r="U138" s="25" t="e">
        <f>TEXT(EDATE(X_Cell_Site_StartDate,2), "mmmm")</f>
        <v>#VALUE!</v>
      </c>
      <c r="V138" s="25" t="e" cm="1">
        <f t="array" aca="1" ref="V138" ca="1">MMS_PastureBeef_Soil_N2ODirect_Equations.VEERG_4_2_1_3__4_NitrogenRetainedByBody(X102,V74,V38,V122)</f>
        <v>#N/A</v>
      </c>
      <c r="W138" s="25" t="e" cm="1">
        <f t="array" aca="1" ref="W138" ca="1">MMS_PastureBeef_Soil_N2ODirect_Equations.VEERG_4_2_1_3__4_NitrogenRetainedByBody(Y102,W74,W38,W122)</f>
        <v>#N/A</v>
      </c>
      <c r="X138" s="25" t="e" cm="1">
        <f t="array" aca="1" ref="X138" ca="1">MMS_PastureBeef_Soil_N2ODirect_Equations.VEERG_4_2_1_3__4_NitrogenRetainedByBody(Z102,X74,X38,X122)</f>
        <v>#N/A</v>
      </c>
      <c r="Y138" s="25" t="e" cm="1">
        <f t="array" aca="1" ref="Y138" ca="1">MMS_PastureBeef_Soil_N2ODirect_Equations.VEERG_4_2_1_3__4_NitrogenRetainedByBody(AA102,Y74,Y38,Y122)</f>
        <v>#N/A</v>
      </c>
      <c r="Z138" s="25" t="e" cm="1">
        <f t="array" aca="1" ref="Z138" ca="1">MMS_PastureBeef_Soil_N2ODirect_Equations.VEERG_4_2_1_3__4_NitrogenRetainedByBody(AB102,Z74,Z38,Z122)</f>
        <v>#N/A</v>
      </c>
      <c r="AA138" s="25" t="e" cm="1">
        <f t="array" aca="1" ref="AA138" ca="1">MMS_PastureBeef_Soil_N2ODirect_Equations.VEERG_4_2_1_3__4_NitrogenRetainedByBody(AC102,AA74,AA38,AA122)</f>
        <v>#N/A</v>
      </c>
      <c r="AB138" s="25" t="e" cm="1">
        <f t="array" aca="1" ref="AB138" ca="1">MMS_PastureBeef_Soil_N2ODirect_Equations.VEERG_4_2_1_3__4_NitrogenRetainedByBody(AD102,AB74,AB38,AB122)</f>
        <v>#N/A</v>
      </c>
      <c r="AC138" s="25" t="e" cm="1">
        <f t="array" aca="1" ref="AC138" ca="1">MMS_PastureBeef_Soil_N2ODirect_Equations.VEERG_4_2_1_3__4_NitrogenRetainedByBody(AE102,AC74,AC38,AC122)</f>
        <v>#N/A</v>
      </c>
      <c r="AD138" s="25" t="e" cm="1">
        <f t="array" aca="1" ref="AD138" ca="1">MMS_PastureBeef_Soil_N2ODirect_Equations.VEERG_4_2_1_3__4_NitrogenRetainedByBody(AF102,AD74,AD38,AD122)</f>
        <v>#N/A</v>
      </c>
      <c r="AE138" s="25" t="e" cm="1">
        <f t="array" aca="1" ref="AE138" ca="1">MMS_PastureBeef_Soil_N2ODirect_Equations.VEERG_4_2_1_3__4_NitrogenRetainedByBody(AG102,AE74,AE38,AE122)</f>
        <v>#N/A</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e">
        <f>TEXT(EDATE(X_Cell_Site_StartDate,3), "mmmm")</f>
        <v>#VALUE!</v>
      </c>
      <c r="V139" s="25" t="e" cm="1">
        <f t="array" aca="1" ref="V139" ca="1">MMS_PastureBeef_Soil_N2ODirect_Equations.VEERG_4_2_1_3__4_NitrogenRetainedByBody(X103,V75,V39,V123)</f>
        <v>#N/A</v>
      </c>
      <c r="W139" s="25" t="e" cm="1">
        <f t="array" aca="1" ref="W139" ca="1">MMS_PastureBeef_Soil_N2ODirect_Equations.VEERG_4_2_1_3__4_NitrogenRetainedByBody(Y103,W75,W39,W123)</f>
        <v>#N/A</v>
      </c>
      <c r="X139" s="25" t="e" cm="1">
        <f t="array" aca="1" ref="X139" ca="1">MMS_PastureBeef_Soil_N2ODirect_Equations.VEERG_4_2_1_3__4_NitrogenRetainedByBody(Z103,X75,X39,X123)</f>
        <v>#N/A</v>
      </c>
      <c r="Y139" s="25" t="e" cm="1">
        <f t="array" aca="1" ref="Y139" ca="1">MMS_PastureBeef_Soil_N2ODirect_Equations.VEERG_4_2_1_3__4_NitrogenRetainedByBody(AA103,Y75,Y39,Y123)</f>
        <v>#N/A</v>
      </c>
      <c r="Z139" s="25" t="e" cm="1">
        <f t="array" aca="1" ref="Z139" ca="1">MMS_PastureBeef_Soil_N2ODirect_Equations.VEERG_4_2_1_3__4_NitrogenRetainedByBody(AB103,Z75,Z39,Z123)</f>
        <v>#N/A</v>
      </c>
      <c r="AA139" s="25" t="e" cm="1">
        <f t="array" aca="1" ref="AA139" ca="1">MMS_PastureBeef_Soil_N2ODirect_Equations.VEERG_4_2_1_3__4_NitrogenRetainedByBody(AC103,AA75,AA39,AA123)</f>
        <v>#N/A</v>
      </c>
      <c r="AB139" s="25" t="e" cm="1">
        <f t="array" aca="1" ref="AB139" ca="1">MMS_PastureBeef_Soil_N2ODirect_Equations.VEERG_4_2_1_3__4_NitrogenRetainedByBody(AD103,AB75,AB39,AB123)</f>
        <v>#N/A</v>
      </c>
      <c r="AC139" s="25" t="e" cm="1">
        <f t="array" aca="1" ref="AC139" ca="1">MMS_PastureBeef_Soil_N2ODirect_Equations.VEERG_4_2_1_3__4_NitrogenRetainedByBody(AE103,AC75,AC39,AC123)</f>
        <v>#N/A</v>
      </c>
      <c r="AD139" s="25" t="e" cm="1">
        <f t="array" aca="1" ref="AD139" ca="1">MMS_PastureBeef_Soil_N2ODirect_Equations.VEERG_4_2_1_3__4_NitrogenRetainedByBody(AF103,AD75,AD39,AD123)</f>
        <v>#N/A</v>
      </c>
      <c r="AE139" s="25" t="e" cm="1">
        <f t="array" aca="1" ref="AE139" ca="1">MMS_PastureBeef_Soil_N2ODirect_Equations.VEERG_4_2_1_3__4_NitrogenRetainedByBody(AG103,AE75,AE39,AE123)</f>
        <v>#N/A</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TEXT(EDATE(X_Cell_Site_StartDate,4), "mmmm")</f>
        <v>#VALUE!</v>
      </c>
      <c r="V140" s="25" t="e" cm="1">
        <f t="array" aca="1" ref="V140" ca="1">MMS_PastureBeef_Soil_N2ODirect_Equations.VEERG_4_2_1_3__4_NitrogenRetainedByBody(X104,V76,V40,V124)</f>
        <v>#N/A</v>
      </c>
      <c r="W140" s="25" t="e" cm="1">
        <f t="array" aca="1" ref="W140" ca="1">MMS_PastureBeef_Soil_N2ODirect_Equations.VEERG_4_2_1_3__4_NitrogenRetainedByBody(Y104,W76,W40,W124)</f>
        <v>#N/A</v>
      </c>
      <c r="X140" s="25" t="e" cm="1">
        <f t="array" aca="1" ref="X140" ca="1">MMS_PastureBeef_Soil_N2ODirect_Equations.VEERG_4_2_1_3__4_NitrogenRetainedByBody(Z104,X76,X40,X124)</f>
        <v>#N/A</v>
      </c>
      <c r="Y140" s="25" t="e" cm="1">
        <f t="array" aca="1" ref="Y140" ca="1">MMS_PastureBeef_Soil_N2ODirect_Equations.VEERG_4_2_1_3__4_NitrogenRetainedByBody(AA104,Y76,Y40,Y124)</f>
        <v>#N/A</v>
      </c>
      <c r="Z140" s="25" t="e" cm="1">
        <f t="array" aca="1" ref="Z140" ca="1">MMS_PastureBeef_Soil_N2ODirect_Equations.VEERG_4_2_1_3__4_NitrogenRetainedByBody(AB104,Z76,Z40,Z124)</f>
        <v>#N/A</v>
      </c>
      <c r="AA140" s="25" t="e" cm="1">
        <f t="array" aca="1" ref="AA140" ca="1">MMS_PastureBeef_Soil_N2ODirect_Equations.VEERG_4_2_1_3__4_NitrogenRetainedByBody(AC104,AA76,AA40,AA124)</f>
        <v>#N/A</v>
      </c>
      <c r="AB140" s="25" t="e" cm="1">
        <f t="array" aca="1" ref="AB140" ca="1">MMS_PastureBeef_Soil_N2ODirect_Equations.VEERG_4_2_1_3__4_NitrogenRetainedByBody(AD104,AB76,AB40,AB124)</f>
        <v>#N/A</v>
      </c>
      <c r="AC140" s="25" t="e" cm="1">
        <f t="array" aca="1" ref="AC140" ca="1">MMS_PastureBeef_Soil_N2ODirect_Equations.VEERG_4_2_1_3__4_NitrogenRetainedByBody(AE104,AC76,AC40,AC124)</f>
        <v>#N/A</v>
      </c>
      <c r="AD140" s="25" t="e" cm="1">
        <f t="array" aca="1" ref="AD140" ca="1">MMS_PastureBeef_Soil_N2ODirect_Equations.VEERG_4_2_1_3__4_NitrogenRetainedByBody(AF104,AD76,AD40,AD124)</f>
        <v>#N/A</v>
      </c>
      <c r="AE140" s="25" t="e" cm="1">
        <f t="array" aca="1" ref="AE140" ca="1">MMS_PastureBeef_Soil_N2ODirect_Equations.VEERG_4_2_1_3__4_NitrogenRetainedByBody(AG104,AE76,AE40,AE124)</f>
        <v>#N/A</v>
      </c>
      <c r="AF140" s="26" t="str">
        <f t="shared" si="7"/>
        <v>kg N/head/day</v>
      </c>
      <c r="AG140" s="26"/>
      <c r="AH140" s="26"/>
    </row>
    <row r="141" spans="3:34" ht="20.100000000000001" customHeight="1" x14ac:dyDescent="0.25">
      <c r="U141" s="25" t="e">
        <f>TEXT(EDATE(X_Cell_Site_StartDate,5), "mmmm")</f>
        <v>#VALUE!</v>
      </c>
      <c r="V141" s="25" t="e" cm="1">
        <f t="array" aca="1" ref="V141" ca="1">MMS_PastureBeef_Soil_N2ODirect_Equations.VEERG_4_2_1_3__4_NitrogenRetainedByBody(X105,V77,V41,V125)</f>
        <v>#N/A</v>
      </c>
      <c r="W141" s="25" t="e" cm="1">
        <f t="array" aca="1" ref="W141" ca="1">MMS_PastureBeef_Soil_N2ODirect_Equations.VEERG_4_2_1_3__4_NitrogenRetainedByBody(Y105,W77,W41,W125)</f>
        <v>#N/A</v>
      </c>
      <c r="X141" s="25" t="e" cm="1">
        <f t="array" aca="1" ref="X141" ca="1">MMS_PastureBeef_Soil_N2ODirect_Equations.VEERG_4_2_1_3__4_NitrogenRetainedByBody(Z105,X77,X41,X125)</f>
        <v>#N/A</v>
      </c>
      <c r="Y141" s="25" t="e" cm="1">
        <f t="array" aca="1" ref="Y141" ca="1">MMS_PastureBeef_Soil_N2ODirect_Equations.VEERG_4_2_1_3__4_NitrogenRetainedByBody(AA105,Y77,Y41,Y125)</f>
        <v>#N/A</v>
      </c>
      <c r="Z141" s="25" t="e" cm="1">
        <f t="array" aca="1" ref="Z141" ca="1">MMS_PastureBeef_Soil_N2ODirect_Equations.VEERG_4_2_1_3__4_NitrogenRetainedByBody(AB105,Z77,Z41,Z125)</f>
        <v>#N/A</v>
      </c>
      <c r="AA141" s="25" t="e" cm="1">
        <f t="array" aca="1" ref="AA141" ca="1">MMS_PastureBeef_Soil_N2ODirect_Equations.VEERG_4_2_1_3__4_NitrogenRetainedByBody(AC105,AA77,AA41,AA125)</f>
        <v>#N/A</v>
      </c>
      <c r="AB141" s="25" t="e" cm="1">
        <f t="array" aca="1" ref="AB141" ca="1">MMS_PastureBeef_Soil_N2ODirect_Equations.VEERG_4_2_1_3__4_NitrogenRetainedByBody(AD105,AB77,AB41,AB125)</f>
        <v>#N/A</v>
      </c>
      <c r="AC141" s="25" t="e" cm="1">
        <f t="array" aca="1" ref="AC141" ca="1">MMS_PastureBeef_Soil_N2ODirect_Equations.VEERG_4_2_1_3__4_NitrogenRetainedByBody(AE105,AC77,AC41,AC125)</f>
        <v>#N/A</v>
      </c>
      <c r="AD141" s="25" t="e" cm="1">
        <f t="array" aca="1" ref="AD141" ca="1">MMS_PastureBeef_Soil_N2ODirect_Equations.VEERG_4_2_1_3__4_NitrogenRetainedByBody(AF105,AD77,AD41,AD125)</f>
        <v>#N/A</v>
      </c>
      <c r="AE141" s="25" t="e" cm="1">
        <f t="array" aca="1" ref="AE141" ca="1">MMS_PastureBeef_Soil_N2ODirect_Equations.VEERG_4_2_1_3__4_NitrogenRetainedByBody(AG105,AE77,AE41,AE125)</f>
        <v>#N/A</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TEXT(EDATE(X_Cell_Site_StartDate,6), "mmmm")</f>
        <v>#VALUE!</v>
      </c>
      <c r="V142" s="25" t="e" cm="1">
        <f t="array" aca="1" ref="V142" ca="1">MMS_PastureBeef_Soil_N2ODirect_Equations.VEERG_4_2_1_3__4_NitrogenRetainedByBody(X106,V78,V42,V126)</f>
        <v>#N/A</v>
      </c>
      <c r="W142" s="25" t="e" cm="1">
        <f t="array" aca="1" ref="W142" ca="1">MMS_PastureBeef_Soil_N2ODirect_Equations.VEERG_4_2_1_3__4_NitrogenRetainedByBody(Y106,W78,W42,W126)</f>
        <v>#N/A</v>
      </c>
      <c r="X142" s="25" t="e" cm="1">
        <f t="array" aca="1" ref="X142" ca="1">MMS_PastureBeef_Soil_N2ODirect_Equations.VEERG_4_2_1_3__4_NitrogenRetainedByBody(Z106,X78,X42,X126)</f>
        <v>#N/A</v>
      </c>
      <c r="Y142" s="25" t="e" cm="1">
        <f t="array" aca="1" ref="Y142" ca="1">MMS_PastureBeef_Soil_N2ODirect_Equations.VEERG_4_2_1_3__4_NitrogenRetainedByBody(AA106,Y78,Y42,Y126)</f>
        <v>#N/A</v>
      </c>
      <c r="Z142" s="25" t="e" cm="1">
        <f t="array" aca="1" ref="Z142" ca="1">MMS_PastureBeef_Soil_N2ODirect_Equations.VEERG_4_2_1_3__4_NitrogenRetainedByBody(AB106,Z78,Z42,Z126)</f>
        <v>#N/A</v>
      </c>
      <c r="AA142" s="25" t="e" cm="1">
        <f t="array" aca="1" ref="AA142" ca="1">MMS_PastureBeef_Soil_N2ODirect_Equations.VEERG_4_2_1_3__4_NitrogenRetainedByBody(AC106,AA78,AA42,AA126)</f>
        <v>#N/A</v>
      </c>
      <c r="AB142" s="25" t="e" cm="1">
        <f t="array" aca="1" ref="AB142" ca="1">MMS_PastureBeef_Soil_N2ODirect_Equations.VEERG_4_2_1_3__4_NitrogenRetainedByBody(AD106,AB78,AB42,AB126)</f>
        <v>#N/A</v>
      </c>
      <c r="AC142" s="25" t="e" cm="1">
        <f t="array" aca="1" ref="AC142" ca="1">MMS_PastureBeef_Soil_N2ODirect_Equations.VEERG_4_2_1_3__4_NitrogenRetainedByBody(AE106,AC78,AC42,AC126)</f>
        <v>#N/A</v>
      </c>
      <c r="AD142" s="25" t="e" cm="1">
        <f t="array" aca="1" ref="AD142" ca="1">MMS_PastureBeef_Soil_N2ODirect_Equations.VEERG_4_2_1_3__4_NitrogenRetainedByBody(AF106,AD78,AD42,AD126)</f>
        <v>#N/A</v>
      </c>
      <c r="AE142" s="25" t="e" cm="1">
        <f t="array" aca="1" ref="AE142" ca="1">MMS_PastureBeef_Soil_N2ODirect_Equations.VEERG_4_2_1_3__4_NitrogenRetainedByBody(AG106,AE78,AE42,AE126)</f>
        <v>#N/A</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TEXT(EDATE(X_Cell_Site_StartDate,7), "mmmm")</f>
        <v>#VALUE!</v>
      </c>
      <c r="V143" s="25" t="e" cm="1">
        <f t="array" aca="1" ref="V143" ca="1">MMS_PastureBeef_Soil_N2ODirect_Equations.VEERG_4_2_1_3__4_NitrogenRetainedByBody(X107,V79,V43,V127)</f>
        <v>#N/A</v>
      </c>
      <c r="W143" s="25" t="e" cm="1">
        <f t="array" aca="1" ref="W143" ca="1">MMS_PastureBeef_Soil_N2ODirect_Equations.VEERG_4_2_1_3__4_NitrogenRetainedByBody(Y107,W79,W43,W127)</f>
        <v>#N/A</v>
      </c>
      <c r="X143" s="25" t="e" cm="1">
        <f t="array" aca="1" ref="X143" ca="1">MMS_PastureBeef_Soil_N2ODirect_Equations.VEERG_4_2_1_3__4_NitrogenRetainedByBody(Z107,X79,X43,X127)</f>
        <v>#N/A</v>
      </c>
      <c r="Y143" s="25" t="e" cm="1">
        <f t="array" aca="1" ref="Y143" ca="1">MMS_PastureBeef_Soil_N2ODirect_Equations.VEERG_4_2_1_3__4_NitrogenRetainedByBody(AA107,Y79,Y43,Y127)</f>
        <v>#N/A</v>
      </c>
      <c r="Z143" s="25" t="e" cm="1">
        <f t="array" aca="1" ref="Z143" ca="1">MMS_PastureBeef_Soil_N2ODirect_Equations.VEERG_4_2_1_3__4_NitrogenRetainedByBody(AB107,Z79,Z43,Z127)</f>
        <v>#N/A</v>
      </c>
      <c r="AA143" s="25" t="e" cm="1">
        <f t="array" aca="1" ref="AA143" ca="1">MMS_PastureBeef_Soil_N2ODirect_Equations.VEERG_4_2_1_3__4_NitrogenRetainedByBody(AC107,AA79,AA43,AA127)</f>
        <v>#N/A</v>
      </c>
      <c r="AB143" s="25" t="e" cm="1">
        <f t="array" aca="1" ref="AB143" ca="1">MMS_PastureBeef_Soil_N2ODirect_Equations.VEERG_4_2_1_3__4_NitrogenRetainedByBody(AD107,AB79,AB43,AB127)</f>
        <v>#N/A</v>
      </c>
      <c r="AC143" s="25" t="e" cm="1">
        <f t="array" aca="1" ref="AC143" ca="1">MMS_PastureBeef_Soil_N2ODirect_Equations.VEERG_4_2_1_3__4_NitrogenRetainedByBody(AE107,AC79,AC43,AC127)</f>
        <v>#N/A</v>
      </c>
      <c r="AD143" s="25" t="e" cm="1">
        <f t="array" aca="1" ref="AD143" ca="1">MMS_PastureBeef_Soil_N2ODirect_Equations.VEERG_4_2_1_3__4_NitrogenRetainedByBody(AF107,AD79,AD43,AD127)</f>
        <v>#N/A</v>
      </c>
      <c r="AE143" s="25" t="e" cm="1">
        <f t="array" aca="1" ref="AE143" ca="1">MMS_PastureBeef_Soil_N2ODirect_Equations.VEERG_4_2_1_3__4_NitrogenRetainedByBody(AG107,AE79,AE43,AE127)</f>
        <v>#N/A</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TEXT(EDATE(X_Cell_Site_StartDate,8), "mmmm")</f>
        <v>#VALUE!</v>
      </c>
      <c r="V144" s="25" t="e" cm="1">
        <f t="array" aca="1" ref="V144" ca="1">MMS_PastureBeef_Soil_N2ODirect_Equations.VEERG_4_2_1_3__4_NitrogenRetainedByBody(X108,V80,V44,V128)</f>
        <v>#N/A</v>
      </c>
      <c r="W144" s="25" t="e" cm="1">
        <f t="array" aca="1" ref="W144" ca="1">MMS_PastureBeef_Soil_N2ODirect_Equations.VEERG_4_2_1_3__4_NitrogenRetainedByBody(Y108,W80,W44,W128)</f>
        <v>#N/A</v>
      </c>
      <c r="X144" s="25" t="e" cm="1">
        <f t="array" aca="1" ref="X144" ca="1">MMS_PastureBeef_Soil_N2ODirect_Equations.VEERG_4_2_1_3__4_NitrogenRetainedByBody(Z108,X80,X44,X128)</f>
        <v>#N/A</v>
      </c>
      <c r="Y144" s="25" t="e" cm="1">
        <f t="array" aca="1" ref="Y144" ca="1">MMS_PastureBeef_Soil_N2ODirect_Equations.VEERG_4_2_1_3__4_NitrogenRetainedByBody(AA108,Y80,Y44,Y128)</f>
        <v>#N/A</v>
      </c>
      <c r="Z144" s="25" t="e" cm="1">
        <f t="array" aca="1" ref="Z144" ca="1">MMS_PastureBeef_Soil_N2ODirect_Equations.VEERG_4_2_1_3__4_NitrogenRetainedByBody(AB108,Z80,Z44,Z128)</f>
        <v>#N/A</v>
      </c>
      <c r="AA144" s="25" t="e" cm="1">
        <f t="array" aca="1" ref="AA144" ca="1">MMS_PastureBeef_Soil_N2ODirect_Equations.VEERG_4_2_1_3__4_NitrogenRetainedByBody(AC108,AA80,AA44,AA128)</f>
        <v>#N/A</v>
      </c>
      <c r="AB144" s="25" t="e" cm="1">
        <f t="array" aca="1" ref="AB144" ca="1">MMS_PastureBeef_Soil_N2ODirect_Equations.VEERG_4_2_1_3__4_NitrogenRetainedByBody(AD108,AB80,AB44,AB128)</f>
        <v>#N/A</v>
      </c>
      <c r="AC144" s="25" t="e" cm="1">
        <f t="array" aca="1" ref="AC144" ca="1">MMS_PastureBeef_Soil_N2ODirect_Equations.VEERG_4_2_1_3__4_NitrogenRetainedByBody(AE108,AC80,AC44,AC128)</f>
        <v>#N/A</v>
      </c>
      <c r="AD144" s="25" t="e" cm="1">
        <f t="array" aca="1" ref="AD144" ca="1">MMS_PastureBeef_Soil_N2ODirect_Equations.VEERG_4_2_1_3__4_NitrogenRetainedByBody(AF108,AD80,AD44,AD128)</f>
        <v>#N/A</v>
      </c>
      <c r="AE144" s="25" t="e" cm="1">
        <f t="array" aca="1" ref="AE144" ca="1">MMS_PastureBeef_Soil_N2ODirect_Equations.VEERG_4_2_1_3__4_NitrogenRetainedByBody(AG108,AE80,AE44,AE128)</f>
        <v>#N/A</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TEXT(EDATE(X_Cell_Site_StartDate,9), "mmmm")</f>
        <v>#VALUE!</v>
      </c>
      <c r="V145" s="25" t="e" cm="1">
        <f t="array" aca="1" ref="V145" ca="1">MMS_PastureBeef_Soil_N2ODirect_Equations.VEERG_4_2_1_3__4_NitrogenRetainedByBody(X109,V81,V45,V129)</f>
        <v>#N/A</v>
      </c>
      <c r="W145" s="25" t="e" cm="1">
        <f t="array" aca="1" ref="W145" ca="1">MMS_PastureBeef_Soil_N2ODirect_Equations.VEERG_4_2_1_3__4_NitrogenRetainedByBody(Y109,W81,W45,W129)</f>
        <v>#N/A</v>
      </c>
      <c r="X145" s="25" t="e" cm="1">
        <f t="array" aca="1" ref="X145" ca="1">MMS_PastureBeef_Soil_N2ODirect_Equations.VEERG_4_2_1_3__4_NitrogenRetainedByBody(Z109,X81,X45,X129)</f>
        <v>#N/A</v>
      </c>
      <c r="Y145" s="25" t="e" cm="1">
        <f t="array" aca="1" ref="Y145" ca="1">MMS_PastureBeef_Soil_N2ODirect_Equations.VEERG_4_2_1_3__4_NitrogenRetainedByBody(AA109,Y81,Y45,Y129)</f>
        <v>#N/A</v>
      </c>
      <c r="Z145" s="25" t="e" cm="1">
        <f t="array" aca="1" ref="Z145" ca="1">MMS_PastureBeef_Soil_N2ODirect_Equations.VEERG_4_2_1_3__4_NitrogenRetainedByBody(AB109,Z81,Z45,Z129)</f>
        <v>#N/A</v>
      </c>
      <c r="AA145" s="25" t="e" cm="1">
        <f t="array" aca="1" ref="AA145" ca="1">MMS_PastureBeef_Soil_N2ODirect_Equations.VEERG_4_2_1_3__4_NitrogenRetainedByBody(AC109,AA81,AA45,AA129)</f>
        <v>#N/A</v>
      </c>
      <c r="AB145" s="25" t="e" cm="1">
        <f t="array" aca="1" ref="AB145" ca="1">MMS_PastureBeef_Soil_N2ODirect_Equations.VEERG_4_2_1_3__4_NitrogenRetainedByBody(AD109,AB81,AB45,AB129)</f>
        <v>#N/A</v>
      </c>
      <c r="AC145" s="25" t="e" cm="1">
        <f t="array" aca="1" ref="AC145" ca="1">MMS_PastureBeef_Soil_N2ODirect_Equations.VEERG_4_2_1_3__4_NitrogenRetainedByBody(AE109,AC81,AC45,AC129)</f>
        <v>#N/A</v>
      </c>
      <c r="AD145" s="25" t="e" cm="1">
        <f t="array" aca="1" ref="AD145" ca="1">MMS_PastureBeef_Soil_N2ODirect_Equations.VEERG_4_2_1_3__4_NitrogenRetainedByBody(AF109,AD81,AD45,AD129)</f>
        <v>#N/A</v>
      </c>
      <c r="AE145" s="25" t="e" cm="1">
        <f t="array" aca="1" ref="AE145" ca="1">MMS_PastureBeef_Soil_N2ODirect_Equations.VEERG_4_2_1_3__4_NitrogenRetainedByBody(AG109,AE81,AE45,AE129)</f>
        <v>#N/A</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TEXT(EDATE(X_Cell_Site_StartDate,10), "mmmm")</f>
        <v>#VALUE!</v>
      </c>
      <c r="V146" s="25" t="e" cm="1">
        <f t="array" aca="1" ref="V146" ca="1">MMS_PastureBeef_Soil_N2ODirect_Equations.VEERG_4_2_1_3__4_NitrogenRetainedByBody(X110,V82,V46,V130)</f>
        <v>#N/A</v>
      </c>
      <c r="W146" s="25" t="e" cm="1">
        <f t="array" aca="1" ref="W146" ca="1">MMS_PastureBeef_Soil_N2ODirect_Equations.VEERG_4_2_1_3__4_NitrogenRetainedByBody(Y110,W82,W46,W130)</f>
        <v>#N/A</v>
      </c>
      <c r="X146" s="25" t="e" cm="1">
        <f t="array" aca="1" ref="X146" ca="1">MMS_PastureBeef_Soil_N2ODirect_Equations.VEERG_4_2_1_3__4_NitrogenRetainedByBody(Z110,X82,X46,X130)</f>
        <v>#N/A</v>
      </c>
      <c r="Y146" s="25" t="e" cm="1">
        <f t="array" aca="1" ref="Y146" ca="1">MMS_PastureBeef_Soil_N2ODirect_Equations.VEERG_4_2_1_3__4_NitrogenRetainedByBody(AA110,Y82,Y46,Y130)</f>
        <v>#N/A</v>
      </c>
      <c r="Z146" s="25" t="e" cm="1">
        <f t="array" aca="1" ref="Z146" ca="1">MMS_PastureBeef_Soil_N2ODirect_Equations.VEERG_4_2_1_3__4_NitrogenRetainedByBody(AB110,Z82,Z46,Z130)</f>
        <v>#N/A</v>
      </c>
      <c r="AA146" s="25" t="e" cm="1">
        <f t="array" aca="1" ref="AA146" ca="1">MMS_PastureBeef_Soil_N2ODirect_Equations.VEERG_4_2_1_3__4_NitrogenRetainedByBody(AC110,AA82,AA46,AA130)</f>
        <v>#N/A</v>
      </c>
      <c r="AB146" s="25" t="e" cm="1">
        <f t="array" aca="1" ref="AB146" ca="1">MMS_PastureBeef_Soil_N2ODirect_Equations.VEERG_4_2_1_3__4_NitrogenRetainedByBody(AD110,AB82,AB46,AB130)</f>
        <v>#N/A</v>
      </c>
      <c r="AC146" s="25" t="e" cm="1">
        <f t="array" aca="1" ref="AC146" ca="1">MMS_PastureBeef_Soil_N2ODirect_Equations.VEERG_4_2_1_3__4_NitrogenRetainedByBody(AE110,AC82,AC46,AC130)</f>
        <v>#N/A</v>
      </c>
      <c r="AD146" s="25" t="e" cm="1">
        <f t="array" aca="1" ref="AD146" ca="1">MMS_PastureBeef_Soil_N2ODirect_Equations.VEERG_4_2_1_3__4_NitrogenRetainedByBody(AF110,AD82,AD46,AD130)</f>
        <v>#N/A</v>
      </c>
      <c r="AE146" s="25" t="e" cm="1">
        <f t="array" aca="1" ref="AE146" ca="1">MMS_PastureBeef_Soil_N2ODirect_Equations.VEERG_4_2_1_3__4_NitrogenRetainedByBody(AG110,AE82,AE46,AE130)</f>
        <v>#N/A</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TEXT(EDATE(X_Cell_Site_StartDate,11), "mmmm")</f>
        <v>#VALUE!</v>
      </c>
      <c r="V147" s="25" t="e" cm="1">
        <f t="array" aca="1" ref="V147" ca="1">MMS_PastureBeef_Soil_N2ODirect_Equations.VEERG_4_2_1_3__4_NitrogenRetainedByBody(X111,V83,V47,V131)</f>
        <v>#N/A</v>
      </c>
      <c r="W147" s="25" t="e" cm="1">
        <f t="array" aca="1" ref="W147" ca="1">MMS_PastureBeef_Soil_N2ODirect_Equations.VEERG_4_2_1_3__4_NitrogenRetainedByBody(Y111,W83,W47,W131)</f>
        <v>#N/A</v>
      </c>
      <c r="X147" s="25" t="e" cm="1">
        <f t="array" aca="1" ref="X147" ca="1">MMS_PastureBeef_Soil_N2ODirect_Equations.VEERG_4_2_1_3__4_NitrogenRetainedByBody(Z111,X83,X47,X131)</f>
        <v>#N/A</v>
      </c>
      <c r="Y147" s="25" t="e" cm="1">
        <f t="array" aca="1" ref="Y147" ca="1">MMS_PastureBeef_Soil_N2ODirect_Equations.VEERG_4_2_1_3__4_NitrogenRetainedByBody(AA111,Y83,Y47,Y131)</f>
        <v>#N/A</v>
      </c>
      <c r="Z147" s="25" t="e" cm="1">
        <f t="array" aca="1" ref="Z147" ca="1">MMS_PastureBeef_Soil_N2ODirect_Equations.VEERG_4_2_1_3__4_NitrogenRetainedByBody(AB111,Z83,Z47,Z131)</f>
        <v>#N/A</v>
      </c>
      <c r="AA147" s="25" t="e" cm="1">
        <f t="array" aca="1" ref="AA147" ca="1">MMS_PastureBeef_Soil_N2ODirect_Equations.VEERG_4_2_1_3__4_NitrogenRetainedByBody(AC111,AA83,AA47,AA131)</f>
        <v>#N/A</v>
      </c>
      <c r="AB147" s="25" t="e" cm="1">
        <f t="array" aca="1" ref="AB147" ca="1">MMS_PastureBeef_Soil_N2ODirect_Equations.VEERG_4_2_1_3__4_NitrogenRetainedByBody(AD111,AB83,AB47,AB131)</f>
        <v>#N/A</v>
      </c>
      <c r="AC147" s="25" t="e" cm="1">
        <f t="array" aca="1" ref="AC147" ca="1">MMS_PastureBeef_Soil_N2ODirect_Equations.VEERG_4_2_1_3__4_NitrogenRetainedByBody(AE111,AC83,AC47,AC131)</f>
        <v>#N/A</v>
      </c>
      <c r="AD147" s="25" t="e" cm="1">
        <f t="array" aca="1" ref="AD147" ca="1">MMS_PastureBeef_Soil_N2ODirect_Equations.VEERG_4_2_1_3__4_NitrogenRetainedByBody(AF111,AD83,AD47,AD131)</f>
        <v>#N/A</v>
      </c>
      <c r="AE147" s="25" t="e" cm="1">
        <f t="array" aca="1" ref="AE147" ca="1">MMS_PastureBeef_Soil_N2ODirect_Equations.VEERG_4_2_1_3__4_NitrogenRetainedByBody(AG111,AE83,AE47,AE131)</f>
        <v>#N/A</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t="e" cm="1">
        <f t="array" aca="1" ref="E153:N156" ca="1">OFFSET(X_Table_PastureBeef_CrudeProtein_Method1, 1,1, 4,10)</f>
        <v>#N/A</v>
      </c>
      <c r="F153" s="25" t="e">
        <f ca="1"/>
        <v>#N/A</v>
      </c>
      <c r="G153" s="25" t="e">
        <f ca="1"/>
        <v>#N/A</v>
      </c>
      <c r="H153" s="25" t="e">
        <f ca="1"/>
        <v>#N/A</v>
      </c>
      <c r="I153" s="25" t="e">
        <f ca="1"/>
        <v>#N/A</v>
      </c>
      <c r="J153" s="25" t="e">
        <f ca="1"/>
        <v>#N/A</v>
      </c>
      <c r="K153" s="25" t="e">
        <f ca="1"/>
        <v>#N/A</v>
      </c>
      <c r="L153" s="25" t="e">
        <f ca="1"/>
        <v>#N/A</v>
      </c>
      <c r="M153" s="25" t="e">
        <f ca="1"/>
        <v>#N/A</v>
      </c>
      <c r="N153" s="25" t="e">
        <f ca="1"/>
        <v>#N/A</v>
      </c>
      <c r="O153" s="26" t="s">
        <v>230</v>
      </c>
    </row>
    <row r="154" spans="4:35" ht="20.100000000000001" customHeight="1" x14ac:dyDescent="0.25">
      <c r="D154" s="25" t="s">
        <v>201</v>
      </c>
      <c r="E154" s="25" t="e">
        <f ca="1"/>
        <v>#N/A</v>
      </c>
      <c r="F154" s="25" t="e">
        <f ca="1"/>
        <v>#N/A</v>
      </c>
      <c r="G154" s="25" t="e">
        <f ca="1"/>
        <v>#N/A</v>
      </c>
      <c r="H154" s="25" t="e">
        <f ca="1"/>
        <v>#N/A</v>
      </c>
      <c r="I154" s="25" t="e">
        <f ca="1"/>
        <v>#N/A</v>
      </c>
      <c r="J154" s="25" t="e">
        <f ca="1"/>
        <v>#N/A</v>
      </c>
      <c r="K154" s="25" t="e">
        <f ca="1"/>
        <v>#N/A</v>
      </c>
      <c r="L154" s="25" t="e">
        <f ca="1"/>
        <v>#N/A</v>
      </c>
      <c r="M154" s="25" t="e">
        <f ca="1"/>
        <v>#N/A</v>
      </c>
      <c r="N154" s="25" t="e">
        <f ca="1"/>
        <v>#N/A</v>
      </c>
      <c r="O154" s="26" t="s">
        <v>230</v>
      </c>
    </row>
    <row r="155" spans="4:35" ht="20.100000000000001" customHeight="1" x14ac:dyDescent="0.25">
      <c r="D155" s="25" t="s">
        <v>202</v>
      </c>
      <c r="E155" s="25" t="e">
        <f ca="1"/>
        <v>#N/A</v>
      </c>
      <c r="F155" s="25" t="e">
        <f ca="1"/>
        <v>#N/A</v>
      </c>
      <c r="G155" s="25" t="e">
        <f ca="1"/>
        <v>#N/A</v>
      </c>
      <c r="H155" s="25" t="e">
        <f ca="1"/>
        <v>#N/A</v>
      </c>
      <c r="I155" s="25" t="e">
        <f ca="1"/>
        <v>#N/A</v>
      </c>
      <c r="J155" s="25" t="e">
        <f ca="1"/>
        <v>#N/A</v>
      </c>
      <c r="K155" s="25" t="e">
        <f ca="1"/>
        <v>#N/A</v>
      </c>
      <c r="L155" s="25" t="e">
        <f ca="1"/>
        <v>#N/A</v>
      </c>
      <c r="M155" s="25" t="e">
        <f ca="1"/>
        <v>#N/A</v>
      </c>
      <c r="N155" s="25" t="e">
        <f ca="1"/>
        <v>#N/A</v>
      </c>
      <c r="O155" s="26" t="s">
        <v>230</v>
      </c>
    </row>
    <row r="156" spans="4:35" ht="20.100000000000001" customHeight="1" x14ac:dyDescent="0.25">
      <c r="D156" s="25" t="s">
        <v>203</v>
      </c>
      <c r="E156" s="25" t="e">
        <f ca="1"/>
        <v>#N/A</v>
      </c>
      <c r="F156" s="25" t="e">
        <f ca="1"/>
        <v>#N/A</v>
      </c>
      <c r="G156" s="25" t="e">
        <f ca="1"/>
        <v>#N/A</v>
      </c>
      <c r="H156" s="25" t="e">
        <f ca="1"/>
        <v>#N/A</v>
      </c>
      <c r="I156" s="25" t="e">
        <f ca="1"/>
        <v>#N/A</v>
      </c>
      <c r="J156" s="25" t="e">
        <f ca="1"/>
        <v>#N/A</v>
      </c>
      <c r="K156" s="25" t="e">
        <f ca="1"/>
        <v>#N/A</v>
      </c>
      <c r="L156" s="25" t="e">
        <f ca="1"/>
        <v>#N/A</v>
      </c>
      <c r="M156" s="25" t="e">
        <f ca="1"/>
        <v>#N/A</v>
      </c>
      <c r="N156" s="25" t="e">
        <f ca="1"/>
        <v>#N/A</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TEXT(X_Cell_Site_StartDate,"mmmm")</f>
        <v>NO - Not in leaching zone</v>
      </c>
      <c r="V164" s="25" t="e" cm="1">
        <f t="array" aca="1" ref="V164:AE175" ca="1">OFFSET(X_Table_PastureBeef_CrudeProtein_Method2, 1,1, 12,10)</f>
        <v>#N/A</v>
      </c>
      <c r="W164" s="25" t="e">
        <f ca="1"/>
        <v>#N/A</v>
      </c>
      <c r="X164" s="25" t="e">
        <f ca="1"/>
        <v>#N/A</v>
      </c>
      <c r="Y164" s="25" t="e">
        <f ca="1"/>
        <v>#N/A</v>
      </c>
      <c r="Z164" s="25" t="e">
        <f ca="1"/>
        <v>#N/A</v>
      </c>
      <c r="AA164" s="25" t="e">
        <f ca="1"/>
        <v>#N/A</v>
      </c>
      <c r="AB164" s="25" t="e">
        <f ca="1"/>
        <v>#N/A</v>
      </c>
      <c r="AC164" s="25" t="e">
        <f ca="1"/>
        <v>#N/A</v>
      </c>
      <c r="AD164" s="25" t="e">
        <f ca="1"/>
        <v>#N/A</v>
      </c>
      <c r="AE164" s="25" t="e">
        <f ca="1"/>
        <v>#N/A</v>
      </c>
      <c r="AF164" s="26" t="s">
        <v>230</v>
      </c>
    </row>
    <row r="165" spans="3:34" ht="20.100000000000001" customHeight="1" x14ac:dyDescent="0.25">
      <c r="U165" s="25" t="e">
        <f>TEXT(EDATE(X_Cell_Site_StartDate,1), "mmmm")</f>
        <v>#VALUE!</v>
      </c>
      <c r="V165" s="25" t="e">
        <f ca="1"/>
        <v>#VALUE!</v>
      </c>
      <c r="W165" s="25" t="e">
        <f ca="1"/>
        <v>#VALUE!</v>
      </c>
      <c r="X165" s="25" t="e">
        <f ca="1"/>
        <v>#VALUE!</v>
      </c>
      <c r="Y165" s="25" t="e">
        <f ca="1"/>
        <v>#VALUE!</v>
      </c>
      <c r="Z165" s="25" t="e">
        <f ca="1"/>
        <v>#VALUE!</v>
      </c>
      <c r="AA165" s="25" t="e">
        <f ca="1"/>
        <v>#VALUE!</v>
      </c>
      <c r="AB165" s="25" t="e">
        <f ca="1"/>
        <v>#VALUE!</v>
      </c>
      <c r="AC165" s="25" t="e">
        <f ca="1"/>
        <v>#VALUE!</v>
      </c>
      <c r="AD165" s="25" t="e">
        <f ca="1"/>
        <v>#VALUE!</v>
      </c>
      <c r="AE165" s="25" t="e">
        <f ca="1"/>
        <v>#VALUE!</v>
      </c>
      <c r="AF165" s="26" t="s">
        <v>230</v>
      </c>
    </row>
    <row r="166" spans="3:34" ht="20.100000000000001" customHeight="1" x14ac:dyDescent="0.25">
      <c r="D166" s="114" t="s">
        <v>447</v>
      </c>
      <c r="U166" s="25" t="e">
        <f>TEXT(EDATE(X_Cell_Site_StartDate,2), "mmmm")</f>
        <v>#VALUE!</v>
      </c>
      <c r="V166" s="25" t="e">
        <f ca="1"/>
        <v>#VALUE!</v>
      </c>
      <c r="W166" s="25" t="e">
        <f ca="1"/>
        <v>#VALUE!</v>
      </c>
      <c r="X166" s="25" t="e">
        <f ca="1"/>
        <v>#VALUE!</v>
      </c>
      <c r="Y166" s="25" t="e">
        <f ca="1"/>
        <v>#VALUE!</v>
      </c>
      <c r="Z166" s="25" t="e">
        <f ca="1"/>
        <v>#VALUE!</v>
      </c>
      <c r="AA166" s="25" t="e">
        <f ca="1"/>
        <v>#VALUE!</v>
      </c>
      <c r="AB166" s="25" t="e">
        <f ca="1"/>
        <v>#VALUE!</v>
      </c>
      <c r="AC166" s="25" t="e">
        <f ca="1"/>
        <v>#VALUE!</v>
      </c>
      <c r="AD166" s="25" t="e">
        <f ca="1"/>
        <v>#VALUE!</v>
      </c>
      <c r="AE166" s="25" t="e">
        <f ca="1"/>
        <v>#VALUE!</v>
      </c>
      <c r="AF166" s="26" t="s">
        <v>230</v>
      </c>
    </row>
    <row r="167" spans="3:34" ht="20.100000000000001" customHeight="1" x14ac:dyDescent="0.25">
      <c r="D167" s="115" t="s">
        <v>448</v>
      </c>
      <c r="U167" s="25" t="e">
        <f>TEXT(EDATE(X_Cell_Site_StartDate,3), "mmmm")</f>
        <v>#VALUE!</v>
      </c>
      <c r="V167" s="25" t="e">
        <f ca="1"/>
        <v>#VALUE!</v>
      </c>
      <c r="W167" s="25" t="e">
        <f ca="1"/>
        <v>#VALUE!</v>
      </c>
      <c r="X167" s="25" t="e">
        <f ca="1"/>
        <v>#VALUE!</v>
      </c>
      <c r="Y167" s="25" t="e">
        <f ca="1"/>
        <v>#VALUE!</v>
      </c>
      <c r="Z167" s="25" t="e">
        <f ca="1"/>
        <v>#VALUE!</v>
      </c>
      <c r="AA167" s="25" t="e">
        <f ca="1"/>
        <v>#VALUE!</v>
      </c>
      <c r="AB167" s="25" t="e">
        <f ca="1"/>
        <v>#VALUE!</v>
      </c>
      <c r="AC167" s="25" t="e">
        <f ca="1"/>
        <v>#VALUE!</v>
      </c>
      <c r="AD167" s="25" t="e">
        <f ca="1"/>
        <v>#VALUE!</v>
      </c>
      <c r="AE167" s="25" t="e">
        <f ca="1"/>
        <v>#VALUE!</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e">
        <f>TEXT(EDATE(X_Cell_Site_StartDate,4), "mmmm")</f>
        <v>#VALUE!</v>
      </c>
      <c r="V168" s="25" t="e">
        <f ca="1"/>
        <v>#VALUE!</v>
      </c>
      <c r="W168" s="25" t="e">
        <f ca="1"/>
        <v>#VALUE!</v>
      </c>
      <c r="X168" s="25" t="e">
        <f ca="1"/>
        <v>#VALUE!</v>
      </c>
      <c r="Y168" s="25" t="e">
        <f ca="1"/>
        <v>#VALUE!</v>
      </c>
      <c r="Z168" s="25" t="e">
        <f ca="1"/>
        <v>#VALUE!</v>
      </c>
      <c r="AA168" s="25" t="e">
        <f ca="1"/>
        <v>#VALUE!</v>
      </c>
      <c r="AB168" s="25" t="e">
        <f ca="1"/>
        <v>#VALUE!</v>
      </c>
      <c r="AC168" s="25" t="e">
        <f ca="1"/>
        <v>#VALUE!</v>
      </c>
      <c r="AD168" s="25" t="e">
        <f ca="1"/>
        <v>#VALUE!</v>
      </c>
      <c r="AE168" s="25" t="e">
        <f ca="1"/>
        <v>#VALUE!</v>
      </c>
      <c r="AF168" s="26" t="s">
        <v>230</v>
      </c>
      <c r="AG168" s="26"/>
      <c r="AH168" s="26"/>
    </row>
    <row r="169" spans="3:34" ht="20.100000000000001" customHeight="1" x14ac:dyDescent="0.25">
      <c r="D169" s="25" t="s">
        <v>200</v>
      </c>
      <c r="E169" s="25" t="e" cm="1">
        <f t="array" aca="1" ref="E169" ca="1">MMS_PastureBeef_Soil_N2ODirect_Equations.VEERG_4_2_1_3__3_NitrogenExcreted(E54,E153,F161,E127,E20)</f>
        <v>#N/A</v>
      </c>
      <c r="F169" s="25" t="e" cm="1">
        <f t="array" aca="1" ref="F169" ca="1">MMS_PastureBeef_Soil_N2ODirect_Equations.VEERG_4_2_1_3__3_NitrogenExcreted(F54,F153,G161,F127,F20)</f>
        <v>#N/A</v>
      </c>
      <c r="G169" s="25" t="e" cm="1">
        <f t="array" aca="1" ref="G169" ca="1">MMS_PastureBeef_Soil_N2ODirect_Equations.VEERG_4_2_1_3__3_NitrogenExcreted(G54,G153,H161,G127,G20)</f>
        <v>#N/A</v>
      </c>
      <c r="H169" s="25" t="e" cm="1">
        <f t="array" aca="1" ref="H169" ca="1">MMS_PastureBeef_Soil_N2ODirect_Equations.VEERG_4_2_1_3__3_NitrogenExcreted(H54,H153,I161,H127,H20)</f>
        <v>#N/A</v>
      </c>
      <c r="I169" s="25" t="e" cm="1">
        <f t="array" aca="1" ref="I169" ca="1">MMS_PastureBeef_Soil_N2ODirect_Equations.VEERG_4_2_1_3__3_NitrogenExcreted(I54,I153,J161,I127,I20)</f>
        <v>#N/A</v>
      </c>
      <c r="J169" s="25" t="e" cm="1">
        <f t="array" aca="1" ref="J169" ca="1">MMS_PastureBeef_Soil_N2ODirect_Equations.VEERG_4_2_1_3__3_NitrogenExcreted(J54,J153,K161,J127,J20)</f>
        <v>#N/A</v>
      </c>
      <c r="K169" s="25" t="e" cm="1">
        <f t="array" aca="1" ref="K169" ca="1">MMS_PastureBeef_Soil_N2ODirect_Equations.VEERG_4_2_1_3__3_NitrogenExcreted(K54,K153,L161,K127,K20)</f>
        <v>#N/A</v>
      </c>
      <c r="L169" s="25" t="e" cm="1">
        <f t="array" aca="1" ref="L169" ca="1">MMS_PastureBeef_Soil_N2ODirect_Equations.VEERG_4_2_1_3__3_NitrogenExcreted(L54,L153,M161,L127,L20)</f>
        <v>#N/A</v>
      </c>
      <c r="M169" s="25" t="e" cm="1">
        <f t="array" aca="1" ref="M169" ca="1">MMS_PastureBeef_Soil_N2ODirect_Equations.VEERG_4_2_1_3__3_NitrogenExcreted(M54,M153,N161,M127,M20)</f>
        <v>#N/A</v>
      </c>
      <c r="N169" s="25" t="e" cm="1">
        <f t="array" aca="1" ref="N169" ca="1">MMS_PastureBeef_Soil_N2ODirect_Equations.VEERG_4_2_1_3__3_NitrogenExcreted(N54,N153,O161,N127,N20)</f>
        <v>#N/A</v>
      </c>
      <c r="O169" s="26" t="str">
        <f>$E$140</f>
        <v>kg N/head/day</v>
      </c>
      <c r="U169" s="25" t="e">
        <f>TEXT(EDATE(X_Cell_Site_StartDate,5), "mmmm")</f>
        <v>#VALUE!</v>
      </c>
      <c r="V169" s="25" t="e">
        <f ca="1"/>
        <v>#VALUE!</v>
      </c>
      <c r="W169" s="25" t="e">
        <f ca="1"/>
        <v>#VALUE!</v>
      </c>
      <c r="X169" s="25" t="e">
        <f ca="1"/>
        <v>#VALUE!</v>
      </c>
      <c r="Y169" s="25" t="e">
        <f ca="1"/>
        <v>#VALUE!</v>
      </c>
      <c r="Z169" s="25" t="e">
        <f ca="1"/>
        <v>#VALUE!</v>
      </c>
      <c r="AA169" s="25" t="e">
        <f ca="1"/>
        <v>#VALUE!</v>
      </c>
      <c r="AB169" s="25" t="e">
        <f ca="1"/>
        <v>#VALUE!</v>
      </c>
      <c r="AC169" s="25" t="e">
        <f ca="1"/>
        <v>#VALUE!</v>
      </c>
      <c r="AD169" s="25" t="e">
        <f ca="1"/>
        <v>#VALUE!</v>
      </c>
      <c r="AE169" s="25" t="e">
        <f ca="1"/>
        <v>#VALUE!</v>
      </c>
      <c r="AF169" s="26" t="s">
        <v>230</v>
      </c>
      <c r="AG169" s="26"/>
      <c r="AH169" s="26"/>
    </row>
    <row r="170" spans="3:34" ht="20.100000000000001" customHeight="1" x14ac:dyDescent="0.25">
      <c r="D170" s="25" t="s">
        <v>201</v>
      </c>
      <c r="E170" s="25" t="e" cm="1">
        <f t="array" aca="1" ref="E170" ca="1">MMS_PastureBeef_Soil_N2ODirect_Equations.VEERG_4_2_1_3__3_NitrogenExcreted(E55,E154,F162,E128,E21)</f>
        <v>#N/A</v>
      </c>
      <c r="F170" s="25" t="e" cm="1">
        <f t="array" aca="1" ref="F170" ca="1">MMS_PastureBeef_Soil_N2ODirect_Equations.VEERG_4_2_1_3__3_NitrogenExcreted(F55,F154,G162,F128,F21)</f>
        <v>#N/A</v>
      </c>
      <c r="G170" s="25" t="e" cm="1">
        <f t="array" aca="1" ref="G170" ca="1">MMS_PastureBeef_Soil_N2ODirect_Equations.VEERG_4_2_1_3__3_NitrogenExcreted(G55,G154,H162,G128,G21)</f>
        <v>#N/A</v>
      </c>
      <c r="H170" s="25" t="e" cm="1">
        <f t="array" aca="1" ref="H170" ca="1">MMS_PastureBeef_Soil_N2ODirect_Equations.VEERG_4_2_1_3__3_NitrogenExcreted(H55,H154,I162,H128,H21)</f>
        <v>#N/A</v>
      </c>
      <c r="I170" s="25" t="e" cm="1">
        <f t="array" aca="1" ref="I170" ca="1">MMS_PastureBeef_Soil_N2ODirect_Equations.VEERG_4_2_1_3__3_NitrogenExcreted(I55,I154,J162,I128,I21)</f>
        <v>#N/A</v>
      </c>
      <c r="J170" s="25" t="e" cm="1">
        <f t="array" aca="1" ref="J170" ca="1">MMS_PastureBeef_Soil_N2ODirect_Equations.VEERG_4_2_1_3__3_NitrogenExcreted(J55,J154,K162,J128,J21)</f>
        <v>#N/A</v>
      </c>
      <c r="K170" s="25" t="e" cm="1">
        <f t="array" aca="1" ref="K170" ca="1">MMS_PastureBeef_Soil_N2ODirect_Equations.VEERG_4_2_1_3__3_NitrogenExcreted(K55,K154,L162,K128,K21)</f>
        <v>#N/A</v>
      </c>
      <c r="L170" s="25" t="e" cm="1">
        <f t="array" aca="1" ref="L170" ca="1">MMS_PastureBeef_Soil_N2ODirect_Equations.VEERG_4_2_1_3__3_NitrogenExcreted(L55,L154,M162,L128,L21)</f>
        <v>#N/A</v>
      </c>
      <c r="M170" s="25" t="e" cm="1">
        <f t="array" aca="1" ref="M170" ca="1">MMS_PastureBeef_Soil_N2ODirect_Equations.VEERG_4_2_1_3__3_NitrogenExcreted(M55,M154,N162,M128,M21)</f>
        <v>#N/A</v>
      </c>
      <c r="N170" s="25" t="e" cm="1">
        <f t="array" aca="1" ref="N170" ca="1">MMS_PastureBeef_Soil_N2ODirect_Equations.VEERG_4_2_1_3__3_NitrogenExcreted(N55,N154,O162,N128,N21)</f>
        <v>#N/A</v>
      </c>
      <c r="O170" s="26" t="str">
        <f t="shared" ref="O170:O172" si="8">$E$140</f>
        <v>kg N/head/day</v>
      </c>
      <c r="U170" s="25" t="e">
        <f>TEXT(EDATE(X_Cell_Site_StartDate,6), "mmmm")</f>
        <v>#VALUE!</v>
      </c>
      <c r="V170" s="25" t="e">
        <f ca="1"/>
        <v>#VALUE!</v>
      </c>
      <c r="W170" s="25" t="e">
        <f ca="1"/>
        <v>#VALUE!</v>
      </c>
      <c r="X170" s="25" t="e">
        <f ca="1"/>
        <v>#VALUE!</v>
      </c>
      <c r="Y170" s="25" t="e">
        <f ca="1"/>
        <v>#VALUE!</v>
      </c>
      <c r="Z170" s="25" t="e">
        <f ca="1"/>
        <v>#VALUE!</v>
      </c>
      <c r="AA170" s="25" t="e">
        <f ca="1"/>
        <v>#VALUE!</v>
      </c>
      <c r="AB170" s="25" t="e">
        <f ca="1"/>
        <v>#VALUE!</v>
      </c>
      <c r="AC170" s="25" t="e">
        <f ca="1"/>
        <v>#VALUE!</v>
      </c>
      <c r="AD170" s="25" t="e">
        <f ca="1"/>
        <v>#VALUE!</v>
      </c>
      <c r="AE170" s="25" t="e">
        <f ca="1"/>
        <v>#VALUE!</v>
      </c>
      <c r="AF170" s="26" t="s">
        <v>230</v>
      </c>
      <c r="AG170" s="26"/>
      <c r="AH170" s="26"/>
    </row>
    <row r="171" spans="3:34" ht="20.100000000000001" customHeight="1" x14ac:dyDescent="0.25">
      <c r="D171" s="25" t="s">
        <v>202</v>
      </c>
      <c r="E171" s="25" t="e" cm="1">
        <f t="array" aca="1" ref="E171" ca="1">MMS_PastureBeef_Soil_N2ODirect_Equations.VEERG_4_2_1_3__3_NitrogenExcreted(E56,E155,F163,E129,E22)</f>
        <v>#N/A</v>
      </c>
      <c r="F171" s="25" t="e" cm="1">
        <f t="array" aca="1" ref="F171" ca="1">MMS_PastureBeef_Soil_N2ODirect_Equations.VEERG_4_2_1_3__3_NitrogenExcreted(F56,F155,G163,F129,F22)</f>
        <v>#N/A</v>
      </c>
      <c r="G171" s="25" t="e" cm="1">
        <f t="array" aca="1" ref="G171" ca="1">MMS_PastureBeef_Soil_N2ODirect_Equations.VEERG_4_2_1_3__3_NitrogenExcreted(G56,G155,H163,G129,G22)</f>
        <v>#N/A</v>
      </c>
      <c r="H171" s="25" t="e" cm="1">
        <f t="array" aca="1" ref="H171" ca="1">MMS_PastureBeef_Soil_N2ODirect_Equations.VEERG_4_2_1_3__3_NitrogenExcreted(H56,H155,I163,H129,H22)</f>
        <v>#N/A</v>
      </c>
      <c r="I171" s="25" t="e" cm="1">
        <f t="array" aca="1" ref="I171" ca="1">MMS_PastureBeef_Soil_N2ODirect_Equations.VEERG_4_2_1_3__3_NitrogenExcreted(I56,I155,J163,I129,I22)</f>
        <v>#N/A</v>
      </c>
      <c r="J171" s="25" t="e" cm="1">
        <f t="array" aca="1" ref="J171" ca="1">MMS_PastureBeef_Soil_N2ODirect_Equations.VEERG_4_2_1_3__3_NitrogenExcreted(J56,J155,K163,J129,J22)</f>
        <v>#N/A</v>
      </c>
      <c r="K171" s="25" t="e" cm="1">
        <f t="array" aca="1" ref="K171" ca="1">MMS_PastureBeef_Soil_N2ODirect_Equations.VEERG_4_2_1_3__3_NitrogenExcreted(K56,K155,L163,K129,K22)</f>
        <v>#N/A</v>
      </c>
      <c r="L171" s="25" t="e" cm="1">
        <f t="array" aca="1" ref="L171" ca="1">MMS_PastureBeef_Soil_N2ODirect_Equations.VEERG_4_2_1_3__3_NitrogenExcreted(L56,L155,M163,L129,L22)</f>
        <v>#N/A</v>
      </c>
      <c r="M171" s="25" t="e" cm="1">
        <f t="array" aca="1" ref="M171" ca="1">MMS_PastureBeef_Soil_N2ODirect_Equations.VEERG_4_2_1_3__3_NitrogenExcreted(M56,M155,N163,M129,M22)</f>
        <v>#N/A</v>
      </c>
      <c r="N171" s="25" t="e" cm="1">
        <f t="array" aca="1" ref="N171" ca="1">MMS_PastureBeef_Soil_N2ODirect_Equations.VEERG_4_2_1_3__3_NitrogenExcreted(N56,N155,O163,N129,N22)</f>
        <v>#N/A</v>
      </c>
      <c r="O171" s="26" t="str">
        <f t="shared" si="8"/>
        <v>kg N/head/day</v>
      </c>
      <c r="U171" s="25" t="e">
        <f>TEXT(EDATE(X_Cell_Site_StartDate,7), "mmmm")</f>
        <v>#VALUE!</v>
      </c>
      <c r="V171" s="25" t="e">
        <f ca="1"/>
        <v>#VALUE!</v>
      </c>
      <c r="W171" s="25" t="e">
        <f ca="1"/>
        <v>#VALUE!</v>
      </c>
      <c r="X171" s="25" t="e">
        <f ca="1"/>
        <v>#VALUE!</v>
      </c>
      <c r="Y171" s="25" t="e">
        <f ca="1"/>
        <v>#VALUE!</v>
      </c>
      <c r="Z171" s="25" t="e">
        <f ca="1"/>
        <v>#VALUE!</v>
      </c>
      <c r="AA171" s="25" t="e">
        <f ca="1"/>
        <v>#VALUE!</v>
      </c>
      <c r="AB171" s="25" t="e">
        <f ca="1"/>
        <v>#VALUE!</v>
      </c>
      <c r="AC171" s="25" t="e">
        <f ca="1"/>
        <v>#VALUE!</v>
      </c>
      <c r="AD171" s="25" t="e">
        <f ca="1"/>
        <v>#VALUE!</v>
      </c>
      <c r="AE171" s="25" t="e">
        <f ca="1"/>
        <v>#VALUE!</v>
      </c>
      <c r="AF171" s="26" t="s">
        <v>230</v>
      </c>
      <c r="AG171" s="26"/>
      <c r="AH171" s="26"/>
    </row>
    <row r="172" spans="3:34" ht="20.100000000000001" customHeight="1" x14ac:dyDescent="0.25">
      <c r="D172" s="25" t="s">
        <v>203</v>
      </c>
      <c r="E172" s="25" t="e" cm="1">
        <f t="array" aca="1" ref="E172" ca="1">MMS_PastureBeef_Soil_N2ODirect_Equations.VEERG_4_2_1_3__3_NitrogenExcreted(E57,E156,F164,E130,E23)</f>
        <v>#N/A</v>
      </c>
      <c r="F172" s="25" t="e" cm="1">
        <f t="array" aca="1" ref="F172" ca="1">MMS_PastureBeef_Soil_N2ODirect_Equations.VEERG_4_2_1_3__3_NitrogenExcreted(F57,F156,G164,F130,F23)</f>
        <v>#N/A</v>
      </c>
      <c r="G172" s="25" t="e" cm="1">
        <f t="array" aca="1" ref="G172" ca="1">MMS_PastureBeef_Soil_N2ODirect_Equations.VEERG_4_2_1_3__3_NitrogenExcreted(G57,G156,H164,G130,G23)</f>
        <v>#N/A</v>
      </c>
      <c r="H172" s="25" t="e" cm="1">
        <f t="array" aca="1" ref="H172" ca="1">MMS_PastureBeef_Soil_N2ODirect_Equations.VEERG_4_2_1_3__3_NitrogenExcreted(H57,H156,I164,H130,H23)</f>
        <v>#N/A</v>
      </c>
      <c r="I172" s="25" t="e" cm="1">
        <f t="array" aca="1" ref="I172" ca="1">MMS_PastureBeef_Soil_N2ODirect_Equations.VEERG_4_2_1_3__3_NitrogenExcreted(I57,I156,J164,I130,I23)</f>
        <v>#N/A</v>
      </c>
      <c r="J172" s="25" t="e" cm="1">
        <f t="array" aca="1" ref="J172" ca="1">MMS_PastureBeef_Soil_N2ODirect_Equations.VEERG_4_2_1_3__3_NitrogenExcreted(J57,J156,K164,J130,J23)</f>
        <v>#N/A</v>
      </c>
      <c r="K172" s="25" t="e" cm="1">
        <f t="array" aca="1" ref="K172" ca="1">MMS_PastureBeef_Soil_N2ODirect_Equations.VEERG_4_2_1_3__3_NitrogenExcreted(K57,K156,L164,K130,K23)</f>
        <v>#N/A</v>
      </c>
      <c r="L172" s="25" t="e" cm="1">
        <f t="array" aca="1" ref="L172" ca="1">MMS_PastureBeef_Soil_N2ODirect_Equations.VEERG_4_2_1_3__3_NitrogenExcreted(L57,L156,M164,L130,L23)</f>
        <v>#N/A</v>
      </c>
      <c r="M172" s="25" t="e" cm="1">
        <f t="array" aca="1" ref="M172" ca="1">MMS_PastureBeef_Soil_N2ODirect_Equations.VEERG_4_2_1_3__3_NitrogenExcreted(M57,M156,N164,M130,M23)</f>
        <v>#N/A</v>
      </c>
      <c r="N172" s="25" t="e" cm="1">
        <f t="array" aca="1" ref="N172" ca="1">MMS_PastureBeef_Soil_N2ODirect_Equations.VEERG_4_2_1_3__3_NitrogenExcreted(N57,N156,O164,N130,N23)</f>
        <v>#N/A</v>
      </c>
      <c r="O172" s="26" t="str">
        <f t="shared" si="8"/>
        <v>kg N/head/day</v>
      </c>
      <c r="U172" s="25" t="e">
        <f>TEXT(EDATE(X_Cell_Site_StartDate,8), "mmmm")</f>
        <v>#VALUE!</v>
      </c>
      <c r="V172" s="25" t="e">
        <f ca="1"/>
        <v>#VALUE!</v>
      </c>
      <c r="W172" s="25" t="e">
        <f ca="1"/>
        <v>#VALUE!</v>
      </c>
      <c r="X172" s="25" t="e">
        <f ca="1"/>
        <v>#VALUE!</v>
      </c>
      <c r="Y172" s="25" t="e">
        <f ca="1"/>
        <v>#VALUE!</v>
      </c>
      <c r="Z172" s="25" t="e">
        <f ca="1"/>
        <v>#VALUE!</v>
      </c>
      <c r="AA172" s="25" t="e">
        <f ca="1"/>
        <v>#VALUE!</v>
      </c>
      <c r="AB172" s="25" t="e">
        <f ca="1"/>
        <v>#VALUE!</v>
      </c>
      <c r="AC172" s="25" t="e">
        <f ca="1"/>
        <v>#VALUE!</v>
      </c>
      <c r="AD172" s="25" t="e">
        <f ca="1"/>
        <v>#VALUE!</v>
      </c>
      <c r="AE172" s="25" t="e">
        <f ca="1"/>
        <v>#VALUE!</v>
      </c>
      <c r="AF172" s="26" t="s">
        <v>230</v>
      </c>
      <c r="AG172" s="26"/>
      <c r="AH172" s="26"/>
    </row>
    <row r="173" spans="3:34" ht="20.100000000000001" customHeight="1" x14ac:dyDescent="0.25">
      <c r="U173" s="25" t="e">
        <f>TEXT(EDATE(X_Cell_Site_StartDate,9), "mmmm")</f>
        <v>#VALUE!</v>
      </c>
      <c r="V173" s="25" t="e">
        <f ca="1"/>
        <v>#VALUE!</v>
      </c>
      <c r="W173" s="25" t="e">
        <f ca="1"/>
        <v>#VALUE!</v>
      </c>
      <c r="X173" s="25" t="e">
        <f ca="1"/>
        <v>#VALUE!</v>
      </c>
      <c r="Y173" s="25" t="e">
        <f ca="1"/>
        <v>#VALUE!</v>
      </c>
      <c r="Z173" s="25" t="e">
        <f ca="1"/>
        <v>#VALUE!</v>
      </c>
      <c r="AA173" s="25" t="e">
        <f ca="1"/>
        <v>#VALUE!</v>
      </c>
      <c r="AB173" s="25" t="e">
        <f ca="1"/>
        <v>#VALUE!</v>
      </c>
      <c r="AC173" s="25" t="e">
        <f ca="1"/>
        <v>#VALUE!</v>
      </c>
      <c r="AD173" s="25" t="e">
        <f ca="1"/>
        <v>#VALUE!</v>
      </c>
      <c r="AE173" s="25" t="e">
        <f ca="1"/>
        <v>#VALUE!</v>
      </c>
      <c r="AF173" s="26" t="s">
        <v>230</v>
      </c>
      <c r="AG173" s="26"/>
      <c r="AH173" s="26"/>
    </row>
    <row r="174" spans="3:34" ht="20.100000000000001" customHeight="1" x14ac:dyDescent="0.25">
      <c r="U174" s="25" t="e">
        <f>TEXT(EDATE(X_Cell_Site_StartDate,10), "mmmm")</f>
        <v>#VALUE!</v>
      </c>
      <c r="V174" s="25" t="e">
        <f ca="1"/>
        <v>#VALUE!</v>
      </c>
      <c r="W174" s="25" t="e">
        <f ca="1"/>
        <v>#VALUE!</v>
      </c>
      <c r="X174" s="25" t="e">
        <f ca="1"/>
        <v>#VALUE!</v>
      </c>
      <c r="Y174" s="25" t="e">
        <f ca="1"/>
        <v>#VALUE!</v>
      </c>
      <c r="Z174" s="25" t="e">
        <f ca="1"/>
        <v>#VALUE!</v>
      </c>
      <c r="AA174" s="25" t="e">
        <f ca="1"/>
        <v>#VALUE!</v>
      </c>
      <c r="AB174" s="25" t="e">
        <f ca="1"/>
        <v>#VALUE!</v>
      </c>
      <c r="AC174" s="25" t="e">
        <f ca="1"/>
        <v>#VALUE!</v>
      </c>
      <c r="AD174" s="25" t="e">
        <f ca="1"/>
        <v>#VALUE!</v>
      </c>
      <c r="AE174" s="25" t="e">
        <f ca="1"/>
        <v>#VALUE!</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TEXT(EDATE(X_Cell_Site_StartDate,11), "mmmm")</f>
        <v>#VALUE!</v>
      </c>
      <c r="V175" s="25" t="e">
        <f ca="1"/>
        <v>#VALUE!</v>
      </c>
      <c r="W175" s="25" t="e">
        <f ca="1"/>
        <v>#VALUE!</v>
      </c>
      <c r="X175" s="25" t="e">
        <f ca="1"/>
        <v>#VALUE!</v>
      </c>
      <c r="Y175" s="25" t="e">
        <f ca="1"/>
        <v>#VALUE!</v>
      </c>
      <c r="Z175" s="25" t="e">
        <f ca="1"/>
        <v>#VALUE!</v>
      </c>
      <c r="AA175" s="25" t="e">
        <f ca="1"/>
        <v>#VALUE!</v>
      </c>
      <c r="AB175" s="25" t="e">
        <f ca="1"/>
        <v>#VALUE!</v>
      </c>
      <c r="AC175" s="25" t="e">
        <f ca="1"/>
        <v>#VALUE!</v>
      </c>
      <c r="AD175" s="25" t="e">
        <f ca="1"/>
        <v>#VALUE!</v>
      </c>
      <c r="AE175" s="25" t="e">
        <f ca="1"/>
        <v>#VALUE!</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TEXT(X_Cell_Site_StartDate,"mmmm")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e">
        <f>TEXT(EDATE(X_Cell_Site_StartDate,1),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TEXT(EDATE(X_Cell_Site_StartDate,2),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e">
        <f>TEXT(EDATE(X_Cell_Site_StartDate,3),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TEXT(EDATE(X_Cell_Site_StartDate,4),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TEXT(EDATE(X_Cell_Site_StartDate,5),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TEXT(EDATE(X_Cell_Site_StartDate,6),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e">
        <f>TEXT(EDATE(X_Cell_Site_StartDate,7),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e">
        <f>TEXT(EDATE(X_Cell_Site_StartDate,8),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e">
        <f>TEXT(EDATE(X_Cell_Site_StartDate,9),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e">
        <f>TEXT(EDATE(X_Cell_Site_StartDate,10),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e">
        <f>TEXT(EDATE(X_Cell_Site_StartDate,11),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TEXT(X_Cell_Site_StartDate,"mmmm")</f>
        <v>NO - Not in leaching zone</v>
      </c>
      <c r="V196" s="25" t="e" cm="1">
        <f t="array" aca="1" ref="V196" ca="1">MMS_PastureBeef_Soil_N2ODirect_Equations.VEERG_4_2_1_3__3_NitrogenExcreted(V56,V164,W180,V136,V20)</f>
        <v>#N/A</v>
      </c>
      <c r="W196" s="25" t="e" cm="1">
        <f t="array" aca="1" ref="W196" ca="1">MMS_PastureBeef_Soil_N2ODirect_Equations.VEERG_4_2_1_3__3_NitrogenExcreted(W56,W164,X180,W136,W20)</f>
        <v>#N/A</v>
      </c>
      <c r="X196" s="25" t="e" cm="1">
        <f t="array" aca="1" ref="X196" ca="1">MMS_PastureBeef_Soil_N2ODirect_Equations.VEERG_4_2_1_3__3_NitrogenExcreted(X56,X164,Y180,X136,X20)</f>
        <v>#N/A</v>
      </c>
      <c r="Y196" s="25" t="e" cm="1">
        <f t="array" aca="1" ref="Y196" ca="1">MMS_PastureBeef_Soil_N2ODirect_Equations.VEERG_4_2_1_3__3_NitrogenExcreted(Y56,Y164,Z180,Y136,Y20)</f>
        <v>#N/A</v>
      </c>
      <c r="Z196" s="25" t="e" cm="1">
        <f t="array" aca="1" ref="Z196" ca="1">MMS_PastureBeef_Soil_N2ODirect_Equations.VEERG_4_2_1_3__3_NitrogenExcreted(Z56,Z164,AA180,Z136,Z20)</f>
        <v>#N/A</v>
      </c>
      <c r="AA196" s="25" t="e" cm="1">
        <f t="array" aca="1" ref="AA196" ca="1">MMS_PastureBeef_Soil_N2ODirect_Equations.VEERG_4_2_1_3__3_NitrogenExcreted(AA56,AA164,AB180,AA136,AA20)</f>
        <v>#N/A</v>
      </c>
      <c r="AB196" s="25" t="e" cm="1">
        <f t="array" aca="1" ref="AB196" ca="1">MMS_PastureBeef_Soil_N2ODirect_Equations.VEERG_4_2_1_3__3_NitrogenExcreted(AB56,AB164,AC180,AB136,AB20)</f>
        <v>#N/A</v>
      </c>
      <c r="AC196" s="25" t="e" cm="1">
        <f t="array" aca="1" ref="AC196" ca="1">MMS_PastureBeef_Soil_N2ODirect_Equations.VEERG_4_2_1_3__3_NitrogenExcreted(AC56,AC164,AD180,AC136,AC20)</f>
        <v>#N/A</v>
      </c>
      <c r="AD196" s="25" t="e" cm="1">
        <f t="array" aca="1" ref="AD196" ca="1">MMS_PastureBeef_Soil_N2ODirect_Equations.VEERG_4_2_1_3__3_NitrogenExcreted(AD56,AD164,AE180,AD136,AD20)</f>
        <v>#N/A</v>
      </c>
      <c r="AE196" s="25" t="e" cm="1">
        <f t="array" aca="1" ref="AE196" ca="1">MMS_PastureBeef_Soil_N2ODirect_Equations.VEERG_4_2_1_3__3_NitrogenExcreted(AE56,AE164,AF180,AE136,AE20)</f>
        <v>#N/A</v>
      </c>
      <c r="AF196" s="26" t="str">
        <f t="shared" ref="AF196:AF207" si="9">$E$140</f>
        <v>kg N/head/day</v>
      </c>
      <c r="AG196" s="26"/>
      <c r="AH196" s="26"/>
    </row>
    <row r="197" spans="4:34" ht="20.100000000000001" customHeight="1" x14ac:dyDescent="0.25">
      <c r="D197" s="115" t="s">
        <v>290</v>
      </c>
      <c r="U197" s="25" t="e">
        <f>TEXT(EDATE(X_Cell_Site_StartDate,1), "mmmm")</f>
        <v>#VALUE!</v>
      </c>
      <c r="V197" s="25" t="e" cm="1">
        <f t="array" aca="1" ref="V197" ca="1">MMS_PastureBeef_Soil_N2ODirect_Equations.VEERG_4_2_1_3__3_NitrogenExcreted(V57,V165,W181,V137,V21)</f>
        <v>#N/A</v>
      </c>
      <c r="W197" s="25" t="e" cm="1">
        <f t="array" aca="1" ref="W197" ca="1">MMS_PastureBeef_Soil_N2ODirect_Equations.VEERG_4_2_1_3__3_NitrogenExcreted(W57,W165,X181,W137,W21)</f>
        <v>#N/A</v>
      </c>
      <c r="X197" s="25" t="e" cm="1">
        <f t="array" aca="1" ref="X197" ca="1">MMS_PastureBeef_Soil_N2ODirect_Equations.VEERG_4_2_1_3__3_NitrogenExcreted(X57,X165,Y181,X137,X21)</f>
        <v>#N/A</v>
      </c>
      <c r="Y197" s="25" t="e" cm="1">
        <f t="array" aca="1" ref="Y197" ca="1">MMS_PastureBeef_Soil_N2ODirect_Equations.VEERG_4_2_1_3__3_NitrogenExcreted(Y57,Y165,Z181,Y137,Y21)</f>
        <v>#N/A</v>
      </c>
      <c r="Z197" s="25" t="e" cm="1">
        <f t="array" aca="1" ref="Z197" ca="1">MMS_PastureBeef_Soil_N2ODirect_Equations.VEERG_4_2_1_3__3_NitrogenExcreted(Z57,Z165,AA181,Z137,Z21)</f>
        <v>#N/A</v>
      </c>
      <c r="AA197" s="25" t="e" cm="1">
        <f t="array" aca="1" ref="AA197" ca="1">MMS_PastureBeef_Soil_N2ODirect_Equations.VEERG_4_2_1_3__3_NitrogenExcreted(AA57,AA165,AB181,AA137,AA21)</f>
        <v>#N/A</v>
      </c>
      <c r="AB197" s="25" t="e" cm="1">
        <f t="array" aca="1" ref="AB197" ca="1">MMS_PastureBeef_Soil_N2ODirect_Equations.VEERG_4_2_1_3__3_NitrogenExcreted(AB57,AB165,AC181,AB137,AB21)</f>
        <v>#N/A</v>
      </c>
      <c r="AC197" s="25" t="e" cm="1">
        <f t="array" aca="1" ref="AC197" ca="1">MMS_PastureBeef_Soil_N2ODirect_Equations.VEERG_4_2_1_3__3_NitrogenExcreted(AC57,AC165,AD181,AC137,AC21)</f>
        <v>#N/A</v>
      </c>
      <c r="AD197" s="25" t="e" cm="1">
        <f t="array" aca="1" ref="AD197" ca="1">MMS_PastureBeef_Soil_N2ODirect_Equations.VEERG_4_2_1_3__3_NitrogenExcreted(AD57,AD165,AE181,AD137,AD21)</f>
        <v>#N/A</v>
      </c>
      <c r="AE197" s="25" t="e" cm="1">
        <f t="array" aca="1" ref="AE197" ca="1">MMS_PastureBeef_Soil_N2ODirect_Equations.VEERG_4_2_1_3__3_NitrogenExcreted(AE57,AE165,AF181,AE137,AE21)</f>
        <v>#N/A</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e">
        <f>TEXT(EDATE(X_Cell_Site_StartDate,2), "mmmm")</f>
        <v>#VALUE!</v>
      </c>
      <c r="V198" s="25" t="e" cm="1">
        <f t="array" aca="1" ref="V198" ca="1">MMS_PastureBeef_Soil_N2ODirect_Equations.VEERG_4_2_1_3__3_NitrogenExcreted(V58,V166,W182,V138,V22)</f>
        <v>#N/A</v>
      </c>
      <c r="W198" s="25" t="e" cm="1">
        <f t="array" aca="1" ref="W198" ca="1">MMS_PastureBeef_Soil_N2ODirect_Equations.VEERG_4_2_1_3__3_NitrogenExcreted(W58,W166,X182,W138,W22)</f>
        <v>#N/A</v>
      </c>
      <c r="X198" s="25" t="e" cm="1">
        <f t="array" aca="1" ref="X198" ca="1">MMS_PastureBeef_Soil_N2ODirect_Equations.VEERG_4_2_1_3__3_NitrogenExcreted(X58,X166,Y182,X138,X22)</f>
        <v>#N/A</v>
      </c>
      <c r="Y198" s="25" t="e" cm="1">
        <f t="array" aca="1" ref="Y198" ca="1">MMS_PastureBeef_Soil_N2ODirect_Equations.VEERG_4_2_1_3__3_NitrogenExcreted(Y58,Y166,Z182,Y138,Y22)</f>
        <v>#N/A</v>
      </c>
      <c r="Z198" s="25" t="e" cm="1">
        <f t="array" aca="1" ref="Z198" ca="1">MMS_PastureBeef_Soil_N2ODirect_Equations.VEERG_4_2_1_3__3_NitrogenExcreted(Z58,Z166,AA182,Z138,Z22)</f>
        <v>#N/A</v>
      </c>
      <c r="AA198" s="25" t="e" cm="1">
        <f t="array" aca="1" ref="AA198" ca="1">MMS_PastureBeef_Soil_N2ODirect_Equations.VEERG_4_2_1_3__3_NitrogenExcreted(AA58,AA166,AB182,AA138,AA22)</f>
        <v>#N/A</v>
      </c>
      <c r="AB198" s="25" t="e" cm="1">
        <f t="array" aca="1" ref="AB198" ca="1">MMS_PastureBeef_Soil_N2ODirect_Equations.VEERG_4_2_1_3__3_NitrogenExcreted(AB58,AB166,AC182,AB138,AB22)</f>
        <v>#N/A</v>
      </c>
      <c r="AC198" s="25" t="e" cm="1">
        <f t="array" aca="1" ref="AC198" ca="1">MMS_PastureBeef_Soil_N2ODirect_Equations.VEERG_4_2_1_3__3_NitrogenExcreted(AC58,AC166,AD182,AC138,AC22)</f>
        <v>#N/A</v>
      </c>
      <c r="AD198" s="25" t="e" cm="1">
        <f t="array" aca="1" ref="AD198" ca="1">MMS_PastureBeef_Soil_N2ODirect_Equations.VEERG_4_2_1_3__3_NitrogenExcreted(AD58,AD166,AE182,AD138,AD22)</f>
        <v>#N/A</v>
      </c>
      <c r="AE198" s="25" t="e" cm="1">
        <f t="array" aca="1" ref="AE198" ca="1">MMS_PastureBeef_Soil_N2ODirect_Equations.VEERG_4_2_1_3__3_NitrogenExcreted(AE58,AE166,AF182,AE138,AE22)</f>
        <v>#N/A</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e">
        <f>TEXT(EDATE(X_Cell_Site_StartDate,3), "mmmm")</f>
        <v>#VALUE!</v>
      </c>
      <c r="V199" s="25" t="e" cm="1">
        <f t="array" aca="1" ref="V199" ca="1">MMS_PastureBeef_Soil_N2ODirect_Equations.VEERG_4_2_1_3__3_NitrogenExcreted(V59,V167,W183,V139,V23)</f>
        <v>#N/A</v>
      </c>
      <c r="W199" s="25" t="e" cm="1">
        <f t="array" aca="1" ref="W199" ca="1">MMS_PastureBeef_Soil_N2ODirect_Equations.VEERG_4_2_1_3__3_NitrogenExcreted(W59,W167,X183,W139,W23)</f>
        <v>#N/A</v>
      </c>
      <c r="X199" s="25" t="e" cm="1">
        <f t="array" aca="1" ref="X199" ca="1">MMS_PastureBeef_Soil_N2ODirect_Equations.VEERG_4_2_1_3__3_NitrogenExcreted(X59,X167,Y183,X139,X23)</f>
        <v>#N/A</v>
      </c>
      <c r="Y199" s="25" t="e" cm="1">
        <f t="array" aca="1" ref="Y199" ca="1">MMS_PastureBeef_Soil_N2ODirect_Equations.VEERG_4_2_1_3__3_NitrogenExcreted(Y59,Y167,Z183,Y139,Y23)</f>
        <v>#N/A</v>
      </c>
      <c r="Z199" s="25" t="e" cm="1">
        <f t="array" aca="1" ref="Z199" ca="1">MMS_PastureBeef_Soil_N2ODirect_Equations.VEERG_4_2_1_3__3_NitrogenExcreted(Z59,Z167,AA183,Z139,Z23)</f>
        <v>#N/A</v>
      </c>
      <c r="AA199" s="25" t="e" cm="1">
        <f t="array" aca="1" ref="AA199" ca="1">MMS_PastureBeef_Soil_N2ODirect_Equations.VEERG_4_2_1_3__3_NitrogenExcreted(AA59,AA167,AB183,AA139,AA23)</f>
        <v>#N/A</v>
      </c>
      <c r="AB199" s="25" t="e" cm="1">
        <f t="array" aca="1" ref="AB199" ca="1">MMS_PastureBeef_Soil_N2ODirect_Equations.VEERG_4_2_1_3__3_NitrogenExcreted(AB59,AB167,AC183,AB139,AB23)</f>
        <v>#N/A</v>
      </c>
      <c r="AC199" s="25" t="e" cm="1">
        <f t="array" aca="1" ref="AC199" ca="1">MMS_PastureBeef_Soil_N2ODirect_Equations.VEERG_4_2_1_3__3_NitrogenExcreted(AC59,AC167,AD183,AC139,AC23)</f>
        <v>#N/A</v>
      </c>
      <c r="AD199" s="25" t="e" cm="1">
        <f t="array" aca="1" ref="AD199" ca="1">MMS_PastureBeef_Soil_N2ODirect_Equations.VEERG_4_2_1_3__3_NitrogenExcreted(AD59,AD167,AE183,AD139,AD23)</f>
        <v>#N/A</v>
      </c>
      <c r="AE199" s="25" t="e" cm="1">
        <f t="array" aca="1" ref="AE199" ca="1">MMS_PastureBeef_Soil_N2ODirect_Equations.VEERG_4_2_1_3__3_NitrogenExcreted(AE59,AE167,AF183,AE139,AE23)</f>
        <v>#N/A</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e">
        <f>TEXT(EDATE(X_Cell_Site_StartDate,4), "mmmm")</f>
        <v>#VALUE!</v>
      </c>
      <c r="V200" s="25" t="e" cm="1">
        <f t="array" aca="1" ref="V200" ca="1">MMS_PastureBeef_Soil_N2ODirect_Equations.VEERG_4_2_1_3__3_NitrogenExcreted(V60,V168,W184,V140,V24)</f>
        <v>#N/A</v>
      </c>
      <c r="W200" s="25" t="e" cm="1">
        <f t="array" aca="1" ref="W200" ca="1">MMS_PastureBeef_Soil_N2ODirect_Equations.VEERG_4_2_1_3__3_NitrogenExcreted(W60,W168,X184,W140,W24)</f>
        <v>#N/A</v>
      </c>
      <c r="X200" s="25" t="e" cm="1">
        <f t="array" aca="1" ref="X200" ca="1">MMS_PastureBeef_Soil_N2ODirect_Equations.VEERG_4_2_1_3__3_NitrogenExcreted(X60,X168,Y184,X140,X24)</f>
        <v>#N/A</v>
      </c>
      <c r="Y200" s="25" t="e" cm="1">
        <f t="array" aca="1" ref="Y200" ca="1">MMS_PastureBeef_Soil_N2ODirect_Equations.VEERG_4_2_1_3__3_NitrogenExcreted(Y60,Y168,Z184,Y140,Y24)</f>
        <v>#N/A</v>
      </c>
      <c r="Z200" s="25" t="e" cm="1">
        <f t="array" aca="1" ref="Z200" ca="1">MMS_PastureBeef_Soil_N2ODirect_Equations.VEERG_4_2_1_3__3_NitrogenExcreted(Z60,Z168,AA184,Z140,Z24)</f>
        <v>#N/A</v>
      </c>
      <c r="AA200" s="25" t="e" cm="1">
        <f t="array" aca="1" ref="AA200" ca="1">MMS_PastureBeef_Soil_N2ODirect_Equations.VEERG_4_2_1_3__3_NitrogenExcreted(AA60,AA168,AB184,AA140,AA24)</f>
        <v>#N/A</v>
      </c>
      <c r="AB200" s="25" t="e" cm="1">
        <f t="array" aca="1" ref="AB200" ca="1">MMS_PastureBeef_Soil_N2ODirect_Equations.VEERG_4_2_1_3__3_NitrogenExcreted(AB60,AB168,AC184,AB140,AB24)</f>
        <v>#N/A</v>
      </c>
      <c r="AC200" s="25" t="e" cm="1">
        <f t="array" aca="1" ref="AC200" ca="1">MMS_PastureBeef_Soil_N2ODirect_Equations.VEERG_4_2_1_3__3_NitrogenExcreted(AC60,AC168,AD184,AC140,AC24)</f>
        <v>#N/A</v>
      </c>
      <c r="AD200" s="25" t="e" cm="1">
        <f t="array" aca="1" ref="AD200" ca="1">MMS_PastureBeef_Soil_N2ODirect_Equations.VEERG_4_2_1_3__3_NitrogenExcreted(AD60,AD168,AE184,AD140,AD24)</f>
        <v>#N/A</v>
      </c>
      <c r="AE200" s="25" t="e" cm="1">
        <f t="array" aca="1" ref="AE200" ca="1">MMS_PastureBeef_Soil_N2ODirect_Equations.VEERG_4_2_1_3__3_NitrogenExcreted(AE60,AE168,AF184,AE140,AE24)</f>
        <v>#N/A</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e">
        <f>TEXT(EDATE(X_Cell_Site_StartDate,5), "mmmm")</f>
        <v>#VALUE!</v>
      </c>
      <c r="V201" s="25" t="e" cm="1">
        <f t="array" aca="1" ref="V201" ca="1">MMS_PastureBeef_Soil_N2ODirect_Equations.VEERG_4_2_1_3__3_NitrogenExcreted(V61,V169,W185,V141,V25)</f>
        <v>#N/A</v>
      </c>
      <c r="W201" s="25" t="e" cm="1">
        <f t="array" aca="1" ref="W201" ca="1">MMS_PastureBeef_Soil_N2ODirect_Equations.VEERG_4_2_1_3__3_NitrogenExcreted(W61,W169,X185,W141,W25)</f>
        <v>#N/A</v>
      </c>
      <c r="X201" s="25" t="e" cm="1">
        <f t="array" aca="1" ref="X201" ca="1">MMS_PastureBeef_Soil_N2ODirect_Equations.VEERG_4_2_1_3__3_NitrogenExcreted(X61,X169,Y185,X141,X25)</f>
        <v>#N/A</v>
      </c>
      <c r="Y201" s="25" t="e" cm="1">
        <f t="array" aca="1" ref="Y201" ca="1">MMS_PastureBeef_Soil_N2ODirect_Equations.VEERG_4_2_1_3__3_NitrogenExcreted(Y61,Y169,Z185,Y141,Y25)</f>
        <v>#N/A</v>
      </c>
      <c r="Z201" s="25" t="e" cm="1">
        <f t="array" aca="1" ref="Z201" ca="1">MMS_PastureBeef_Soil_N2ODirect_Equations.VEERG_4_2_1_3__3_NitrogenExcreted(Z61,Z169,AA185,Z141,Z25)</f>
        <v>#N/A</v>
      </c>
      <c r="AA201" s="25" t="e" cm="1">
        <f t="array" aca="1" ref="AA201" ca="1">MMS_PastureBeef_Soil_N2ODirect_Equations.VEERG_4_2_1_3__3_NitrogenExcreted(AA61,AA169,AB185,AA141,AA25)</f>
        <v>#N/A</v>
      </c>
      <c r="AB201" s="25" t="e" cm="1">
        <f t="array" aca="1" ref="AB201" ca="1">MMS_PastureBeef_Soil_N2ODirect_Equations.VEERG_4_2_1_3__3_NitrogenExcreted(AB61,AB169,AC185,AB141,AB25)</f>
        <v>#N/A</v>
      </c>
      <c r="AC201" s="25" t="e" cm="1">
        <f t="array" aca="1" ref="AC201" ca="1">MMS_PastureBeef_Soil_N2ODirect_Equations.VEERG_4_2_1_3__3_NitrogenExcreted(AC61,AC169,AD185,AC141,AC25)</f>
        <v>#N/A</v>
      </c>
      <c r="AD201" s="25" t="e" cm="1">
        <f t="array" aca="1" ref="AD201" ca="1">MMS_PastureBeef_Soil_N2ODirect_Equations.VEERG_4_2_1_3__3_NitrogenExcreted(AD61,AD169,AE185,AD141,AD25)</f>
        <v>#N/A</v>
      </c>
      <c r="AE201" s="25" t="e" cm="1">
        <f t="array" aca="1" ref="AE201" ca="1">MMS_PastureBeef_Soil_N2ODirect_Equations.VEERG_4_2_1_3__3_NitrogenExcreted(AE61,AE169,AF185,AE141,AE25)</f>
        <v>#N/A</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e">
        <f>TEXT(EDATE(X_Cell_Site_StartDate,6), "mmmm")</f>
        <v>#VALUE!</v>
      </c>
      <c r="V202" s="25" t="e" cm="1">
        <f t="array" aca="1" ref="V202" ca="1">MMS_PastureBeef_Soil_N2ODirect_Equations.VEERG_4_2_1_3__3_NitrogenExcreted(V62,V170,W186,V142,V26)</f>
        <v>#N/A</v>
      </c>
      <c r="W202" s="25" t="e" cm="1">
        <f t="array" aca="1" ref="W202" ca="1">MMS_PastureBeef_Soil_N2ODirect_Equations.VEERG_4_2_1_3__3_NitrogenExcreted(W62,W170,X186,W142,W26)</f>
        <v>#N/A</v>
      </c>
      <c r="X202" s="25" t="e" cm="1">
        <f t="array" aca="1" ref="X202" ca="1">MMS_PastureBeef_Soil_N2ODirect_Equations.VEERG_4_2_1_3__3_NitrogenExcreted(X62,X170,Y186,X142,X26)</f>
        <v>#N/A</v>
      </c>
      <c r="Y202" s="25" t="e" cm="1">
        <f t="array" aca="1" ref="Y202" ca="1">MMS_PastureBeef_Soil_N2ODirect_Equations.VEERG_4_2_1_3__3_NitrogenExcreted(Y62,Y170,Z186,Y142,Y26)</f>
        <v>#N/A</v>
      </c>
      <c r="Z202" s="25" t="e" cm="1">
        <f t="array" aca="1" ref="Z202" ca="1">MMS_PastureBeef_Soil_N2ODirect_Equations.VEERG_4_2_1_3__3_NitrogenExcreted(Z62,Z170,AA186,Z142,Z26)</f>
        <v>#N/A</v>
      </c>
      <c r="AA202" s="25" t="e" cm="1">
        <f t="array" aca="1" ref="AA202" ca="1">MMS_PastureBeef_Soil_N2ODirect_Equations.VEERG_4_2_1_3__3_NitrogenExcreted(AA62,AA170,AB186,AA142,AA26)</f>
        <v>#N/A</v>
      </c>
      <c r="AB202" s="25" t="e" cm="1">
        <f t="array" aca="1" ref="AB202" ca="1">MMS_PastureBeef_Soil_N2ODirect_Equations.VEERG_4_2_1_3__3_NitrogenExcreted(AB62,AB170,AC186,AB142,AB26)</f>
        <v>#N/A</v>
      </c>
      <c r="AC202" s="25" t="e" cm="1">
        <f t="array" aca="1" ref="AC202" ca="1">MMS_PastureBeef_Soil_N2ODirect_Equations.VEERG_4_2_1_3__3_NitrogenExcreted(AC62,AC170,AD186,AC142,AC26)</f>
        <v>#N/A</v>
      </c>
      <c r="AD202" s="25" t="e" cm="1">
        <f t="array" aca="1" ref="AD202" ca="1">MMS_PastureBeef_Soil_N2ODirect_Equations.VEERG_4_2_1_3__3_NitrogenExcreted(AD62,AD170,AE186,AD142,AD26)</f>
        <v>#N/A</v>
      </c>
      <c r="AE202" s="25" t="e" cm="1">
        <f t="array" aca="1" ref="AE202" ca="1">MMS_PastureBeef_Soil_N2ODirect_Equations.VEERG_4_2_1_3__3_NitrogenExcreted(AE62,AE170,AF186,AE142,AE26)</f>
        <v>#N/A</v>
      </c>
      <c r="AF202" s="26" t="str">
        <f t="shared" si="9"/>
        <v>kg N/head/day</v>
      </c>
      <c r="AG202" s="26"/>
      <c r="AH202" s="26"/>
    </row>
    <row r="203" spans="4:34" ht="20.100000000000001" customHeight="1" x14ac:dyDescent="0.25">
      <c r="U203" s="25" t="e">
        <f>TEXT(EDATE(X_Cell_Site_StartDate,7), "mmmm")</f>
        <v>#VALUE!</v>
      </c>
      <c r="V203" s="25" t="e" cm="1">
        <f t="array" aca="1" ref="V203" ca="1">MMS_PastureBeef_Soil_N2ODirect_Equations.VEERG_4_2_1_3__3_NitrogenExcreted(V63,V171,W187,V143,V27)</f>
        <v>#N/A</v>
      </c>
      <c r="W203" s="25" t="e" cm="1">
        <f t="array" aca="1" ref="W203" ca="1">MMS_PastureBeef_Soil_N2ODirect_Equations.VEERG_4_2_1_3__3_NitrogenExcreted(W63,W171,X187,W143,W27)</f>
        <v>#N/A</v>
      </c>
      <c r="X203" s="25" t="e" cm="1">
        <f t="array" aca="1" ref="X203" ca="1">MMS_PastureBeef_Soil_N2ODirect_Equations.VEERG_4_2_1_3__3_NitrogenExcreted(X63,X171,Y187,X143,X27)</f>
        <v>#N/A</v>
      </c>
      <c r="Y203" s="25" t="e" cm="1">
        <f t="array" aca="1" ref="Y203" ca="1">MMS_PastureBeef_Soil_N2ODirect_Equations.VEERG_4_2_1_3__3_NitrogenExcreted(Y63,Y171,Z187,Y143,Y27)</f>
        <v>#N/A</v>
      </c>
      <c r="Z203" s="25" t="e" cm="1">
        <f t="array" aca="1" ref="Z203" ca="1">MMS_PastureBeef_Soil_N2ODirect_Equations.VEERG_4_2_1_3__3_NitrogenExcreted(Z63,Z171,AA187,Z143,Z27)</f>
        <v>#N/A</v>
      </c>
      <c r="AA203" s="25" t="e" cm="1">
        <f t="array" aca="1" ref="AA203" ca="1">MMS_PastureBeef_Soil_N2ODirect_Equations.VEERG_4_2_1_3__3_NitrogenExcreted(AA63,AA171,AB187,AA143,AA27)</f>
        <v>#N/A</v>
      </c>
      <c r="AB203" s="25" t="e" cm="1">
        <f t="array" aca="1" ref="AB203" ca="1">MMS_PastureBeef_Soil_N2ODirect_Equations.VEERG_4_2_1_3__3_NitrogenExcreted(AB63,AB171,AC187,AB143,AB27)</f>
        <v>#N/A</v>
      </c>
      <c r="AC203" s="25" t="e" cm="1">
        <f t="array" aca="1" ref="AC203" ca="1">MMS_PastureBeef_Soil_N2ODirect_Equations.VEERG_4_2_1_3__3_NitrogenExcreted(AC63,AC171,AD187,AC143,AC27)</f>
        <v>#N/A</v>
      </c>
      <c r="AD203" s="25" t="e" cm="1">
        <f t="array" aca="1" ref="AD203" ca="1">MMS_PastureBeef_Soil_N2ODirect_Equations.VEERG_4_2_1_3__3_NitrogenExcreted(AD63,AD171,AE187,AD143,AD27)</f>
        <v>#N/A</v>
      </c>
      <c r="AE203" s="25" t="e" cm="1">
        <f t="array" aca="1" ref="AE203" ca="1">MMS_PastureBeef_Soil_N2ODirect_Equations.VEERG_4_2_1_3__3_NitrogenExcreted(AE63,AE171,AF187,AE143,AE27)</f>
        <v>#N/A</v>
      </c>
      <c r="AF203" s="26" t="str">
        <f t="shared" si="9"/>
        <v>kg N/head/day</v>
      </c>
      <c r="AG203" s="26"/>
      <c r="AH203" s="26"/>
    </row>
    <row r="204" spans="4:34" ht="20.100000000000001" customHeight="1" x14ac:dyDescent="0.25">
      <c r="D204" s="114" t="s">
        <v>453</v>
      </c>
      <c r="U204" s="25" t="e">
        <f>TEXT(EDATE(X_Cell_Site_StartDate,8), "mmmm")</f>
        <v>#VALUE!</v>
      </c>
      <c r="V204" s="25" t="e" cm="1">
        <f t="array" aca="1" ref="V204" ca="1">MMS_PastureBeef_Soil_N2ODirect_Equations.VEERG_4_2_1_3__3_NitrogenExcreted(V64,V172,W188,V144,V28)</f>
        <v>#N/A</v>
      </c>
      <c r="W204" s="25" t="e" cm="1">
        <f t="array" aca="1" ref="W204" ca="1">MMS_PastureBeef_Soil_N2ODirect_Equations.VEERG_4_2_1_3__3_NitrogenExcreted(W64,W172,X188,W144,W28)</f>
        <v>#N/A</v>
      </c>
      <c r="X204" s="25" t="e" cm="1">
        <f t="array" aca="1" ref="X204" ca="1">MMS_PastureBeef_Soil_N2ODirect_Equations.VEERG_4_2_1_3__3_NitrogenExcreted(X64,X172,Y188,X144,X28)</f>
        <v>#N/A</v>
      </c>
      <c r="Y204" s="25" t="e" cm="1">
        <f t="array" aca="1" ref="Y204" ca="1">MMS_PastureBeef_Soil_N2ODirect_Equations.VEERG_4_2_1_3__3_NitrogenExcreted(Y64,Y172,Z188,Y144,Y28)</f>
        <v>#N/A</v>
      </c>
      <c r="Z204" s="25" t="e" cm="1">
        <f t="array" aca="1" ref="Z204" ca="1">MMS_PastureBeef_Soil_N2ODirect_Equations.VEERG_4_2_1_3__3_NitrogenExcreted(Z64,Z172,AA188,Z144,Z28)</f>
        <v>#N/A</v>
      </c>
      <c r="AA204" s="25" t="e" cm="1">
        <f t="array" aca="1" ref="AA204" ca="1">MMS_PastureBeef_Soil_N2ODirect_Equations.VEERG_4_2_1_3__3_NitrogenExcreted(AA64,AA172,AB188,AA144,AA28)</f>
        <v>#N/A</v>
      </c>
      <c r="AB204" s="25" t="e" cm="1">
        <f t="array" aca="1" ref="AB204" ca="1">MMS_PastureBeef_Soil_N2ODirect_Equations.VEERG_4_2_1_3__3_NitrogenExcreted(AB64,AB172,AC188,AB144,AB28)</f>
        <v>#N/A</v>
      </c>
      <c r="AC204" s="25" t="e" cm="1">
        <f t="array" aca="1" ref="AC204" ca="1">MMS_PastureBeef_Soil_N2ODirect_Equations.VEERG_4_2_1_3__3_NitrogenExcreted(AC64,AC172,AD188,AC144,AC28)</f>
        <v>#N/A</v>
      </c>
      <c r="AD204" s="25" t="e" cm="1">
        <f t="array" aca="1" ref="AD204" ca="1">MMS_PastureBeef_Soil_N2ODirect_Equations.VEERG_4_2_1_3__3_NitrogenExcreted(AD64,AD172,AE188,AD144,AD28)</f>
        <v>#N/A</v>
      </c>
      <c r="AE204" s="25" t="e" cm="1">
        <f t="array" aca="1" ref="AE204" ca="1">MMS_PastureBeef_Soil_N2ODirect_Equations.VEERG_4_2_1_3__3_NitrogenExcreted(AE64,AE172,AF188,AE144,AE28)</f>
        <v>#N/A</v>
      </c>
      <c r="AF204" s="26" t="str">
        <f t="shared" si="9"/>
        <v>kg N/head/day</v>
      </c>
      <c r="AG204" s="26"/>
      <c r="AH204" s="26"/>
    </row>
    <row r="205" spans="4:34" ht="20.100000000000001" customHeight="1" x14ac:dyDescent="0.25">
      <c r="D205" s="115" t="s">
        <v>454</v>
      </c>
      <c r="U205" s="25" t="e">
        <f>TEXT(EDATE(X_Cell_Site_StartDate,9), "mmmm")</f>
        <v>#VALUE!</v>
      </c>
      <c r="V205" s="25" t="e" cm="1">
        <f t="array" aca="1" ref="V205" ca="1">MMS_PastureBeef_Soil_N2ODirect_Equations.VEERG_4_2_1_3__3_NitrogenExcreted(V65,V173,W189,V145,V29)</f>
        <v>#N/A</v>
      </c>
      <c r="W205" s="25" t="e" cm="1">
        <f t="array" aca="1" ref="W205" ca="1">MMS_PastureBeef_Soil_N2ODirect_Equations.VEERG_4_2_1_3__3_NitrogenExcreted(W65,W173,X189,W145,W29)</f>
        <v>#N/A</v>
      </c>
      <c r="X205" s="25" t="e" cm="1">
        <f t="array" aca="1" ref="X205" ca="1">MMS_PastureBeef_Soil_N2ODirect_Equations.VEERG_4_2_1_3__3_NitrogenExcreted(X65,X173,Y189,X145,X29)</f>
        <v>#N/A</v>
      </c>
      <c r="Y205" s="25" t="e" cm="1">
        <f t="array" aca="1" ref="Y205" ca="1">MMS_PastureBeef_Soil_N2ODirect_Equations.VEERG_4_2_1_3__3_NitrogenExcreted(Y65,Y173,Z189,Y145,Y29)</f>
        <v>#N/A</v>
      </c>
      <c r="Z205" s="25" t="e" cm="1">
        <f t="array" aca="1" ref="Z205" ca="1">MMS_PastureBeef_Soil_N2ODirect_Equations.VEERG_4_2_1_3__3_NitrogenExcreted(Z65,Z173,AA189,Z145,Z29)</f>
        <v>#N/A</v>
      </c>
      <c r="AA205" s="25" t="e" cm="1">
        <f t="array" aca="1" ref="AA205" ca="1">MMS_PastureBeef_Soil_N2ODirect_Equations.VEERG_4_2_1_3__3_NitrogenExcreted(AA65,AA173,AB189,AA145,AA29)</f>
        <v>#N/A</v>
      </c>
      <c r="AB205" s="25" t="e" cm="1">
        <f t="array" aca="1" ref="AB205" ca="1">MMS_PastureBeef_Soil_N2ODirect_Equations.VEERG_4_2_1_3__3_NitrogenExcreted(AB65,AB173,AC189,AB145,AB29)</f>
        <v>#N/A</v>
      </c>
      <c r="AC205" s="25" t="e" cm="1">
        <f t="array" aca="1" ref="AC205" ca="1">MMS_PastureBeef_Soil_N2ODirect_Equations.VEERG_4_2_1_3__3_NitrogenExcreted(AC65,AC173,AD189,AC145,AC29)</f>
        <v>#N/A</v>
      </c>
      <c r="AD205" s="25" t="e" cm="1">
        <f t="array" aca="1" ref="AD205" ca="1">MMS_PastureBeef_Soil_N2ODirect_Equations.VEERG_4_2_1_3__3_NitrogenExcreted(AD65,AD173,AE189,AD145,AD29)</f>
        <v>#N/A</v>
      </c>
      <c r="AE205" s="25" t="e" cm="1">
        <f t="array" aca="1" ref="AE205" ca="1">MMS_PastureBeef_Soil_N2ODirect_Equations.VEERG_4_2_1_3__3_NitrogenExcreted(AE65,AE173,AF189,AE145,AE29)</f>
        <v>#N/A</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e">
        <f>TEXT(EDATE(X_Cell_Site_StartDate,10), "mmmm")</f>
        <v>#VALUE!</v>
      </c>
      <c r="V206" s="25" t="e" cm="1">
        <f t="array" aca="1" ref="V206" ca="1">MMS_PastureBeef_Soil_N2ODirect_Equations.VEERG_4_2_1_3__3_NitrogenExcreted(V66,V174,W190,V146,V30)</f>
        <v>#N/A</v>
      </c>
      <c r="W206" s="25" t="e" cm="1">
        <f t="array" aca="1" ref="W206" ca="1">MMS_PastureBeef_Soil_N2ODirect_Equations.VEERG_4_2_1_3__3_NitrogenExcreted(W66,W174,X190,W146,W30)</f>
        <v>#N/A</v>
      </c>
      <c r="X206" s="25" t="e" cm="1">
        <f t="array" aca="1" ref="X206" ca="1">MMS_PastureBeef_Soil_N2ODirect_Equations.VEERG_4_2_1_3__3_NitrogenExcreted(X66,X174,Y190,X146,X30)</f>
        <v>#N/A</v>
      </c>
      <c r="Y206" s="25" t="e" cm="1">
        <f t="array" aca="1" ref="Y206" ca="1">MMS_PastureBeef_Soil_N2ODirect_Equations.VEERG_4_2_1_3__3_NitrogenExcreted(Y66,Y174,Z190,Y146,Y30)</f>
        <v>#N/A</v>
      </c>
      <c r="Z206" s="25" t="e" cm="1">
        <f t="array" aca="1" ref="Z206" ca="1">MMS_PastureBeef_Soil_N2ODirect_Equations.VEERG_4_2_1_3__3_NitrogenExcreted(Z66,Z174,AA190,Z146,Z30)</f>
        <v>#N/A</v>
      </c>
      <c r="AA206" s="25" t="e" cm="1">
        <f t="array" aca="1" ref="AA206" ca="1">MMS_PastureBeef_Soil_N2ODirect_Equations.VEERG_4_2_1_3__3_NitrogenExcreted(AA66,AA174,AB190,AA146,AA30)</f>
        <v>#N/A</v>
      </c>
      <c r="AB206" s="25" t="e" cm="1">
        <f t="array" aca="1" ref="AB206" ca="1">MMS_PastureBeef_Soil_N2ODirect_Equations.VEERG_4_2_1_3__3_NitrogenExcreted(AB66,AB174,AC190,AB146,AB30)</f>
        <v>#N/A</v>
      </c>
      <c r="AC206" s="25" t="e" cm="1">
        <f t="array" aca="1" ref="AC206" ca="1">MMS_PastureBeef_Soil_N2ODirect_Equations.VEERG_4_2_1_3__3_NitrogenExcreted(AC66,AC174,AD190,AC146,AC30)</f>
        <v>#N/A</v>
      </c>
      <c r="AD206" s="25" t="e" cm="1">
        <f t="array" aca="1" ref="AD206" ca="1">MMS_PastureBeef_Soil_N2ODirect_Equations.VEERG_4_2_1_3__3_NitrogenExcreted(AD66,AD174,AE190,AD146,AD30)</f>
        <v>#N/A</v>
      </c>
      <c r="AE206" s="25" t="e" cm="1">
        <f t="array" aca="1" ref="AE206" ca="1">MMS_PastureBeef_Soil_N2ODirect_Equations.VEERG_4_2_1_3__3_NitrogenExcreted(AE66,AE174,AF190,AE146,AE30)</f>
        <v>#N/A</v>
      </c>
      <c r="AF206" s="26" t="str">
        <f t="shared" si="9"/>
        <v>kg N/head/day</v>
      </c>
      <c r="AG206" s="26"/>
      <c r="AH206" s="26"/>
    </row>
    <row r="207" spans="4:34" ht="20.100000000000001" customHeight="1" x14ac:dyDescent="0.25">
      <c r="D207" s="25" t="s">
        <v>200</v>
      </c>
      <c r="E207" s="25" t="e" cm="1">
        <f t="array" aca="1" ref="E207" ca="1">MMS_PastureBeef_Soil_N2ODirect_Equations.VEERG_4_2_1_3__2_TotalNitrogenExcretedToPastureRangeAndPaddock(E191,E169,E199)</f>
        <v>#N/A</v>
      </c>
      <c r="F207" s="25" t="e" cm="1">
        <f t="array" aca="1" ref="F207" ca="1">MMS_PastureBeef_Soil_N2ODirect_Equations.VEERG_4_2_1_3__2_TotalNitrogenExcretedToPastureRangeAndPaddock(F191,F169,F199)</f>
        <v>#N/A</v>
      </c>
      <c r="G207" s="25" t="e" cm="1">
        <f t="array" aca="1" ref="G207" ca="1">MMS_PastureBeef_Soil_N2ODirect_Equations.VEERG_4_2_1_3__2_TotalNitrogenExcretedToPastureRangeAndPaddock(G191,G169,G199)</f>
        <v>#N/A</v>
      </c>
      <c r="H207" s="25" t="e" cm="1">
        <f t="array" aca="1" ref="H207" ca="1">MMS_PastureBeef_Soil_N2ODirect_Equations.VEERG_4_2_1_3__2_TotalNitrogenExcretedToPastureRangeAndPaddock(H191,H169,H199)</f>
        <v>#N/A</v>
      </c>
      <c r="I207" s="25" t="e" cm="1">
        <f t="array" aca="1" ref="I207" ca="1">MMS_PastureBeef_Soil_N2ODirect_Equations.VEERG_4_2_1_3__2_TotalNitrogenExcretedToPastureRangeAndPaddock(I191,I169,I199)</f>
        <v>#N/A</v>
      </c>
      <c r="J207" s="25" t="e" cm="1">
        <f t="array" aca="1" ref="J207" ca="1">MMS_PastureBeef_Soil_N2ODirect_Equations.VEERG_4_2_1_3__2_TotalNitrogenExcretedToPastureRangeAndPaddock(J191,J169,J199)</f>
        <v>#N/A</v>
      </c>
      <c r="K207" s="25" t="e" cm="1">
        <f t="array" aca="1" ref="K207" ca="1">MMS_PastureBeef_Soil_N2ODirect_Equations.VEERG_4_2_1_3__2_TotalNitrogenExcretedToPastureRangeAndPaddock(K191,K169,K199)</f>
        <v>#N/A</v>
      </c>
      <c r="L207" s="25" t="e" cm="1">
        <f t="array" aca="1" ref="L207" ca="1">MMS_PastureBeef_Soil_N2ODirect_Equations.VEERG_4_2_1_3__2_TotalNitrogenExcretedToPastureRangeAndPaddock(L191,L169,L199)</f>
        <v>#N/A</v>
      </c>
      <c r="M207" s="25" t="e" cm="1">
        <f t="array" aca="1" ref="M207" ca="1">MMS_PastureBeef_Soil_N2ODirect_Equations.VEERG_4_2_1_3__2_TotalNitrogenExcretedToPastureRangeAndPaddock(M191,M169,M199)</f>
        <v>#N/A</v>
      </c>
      <c r="N207" s="25" t="e" cm="1">
        <f t="array" aca="1" ref="N207" ca="1">MMS_PastureBeef_Soil_N2ODirect_Equations.VEERG_4_2_1_3__2_TotalNitrogenExcretedToPastureRangeAndPaddock(N191,N169,N199)</f>
        <v>#N/A</v>
      </c>
      <c r="O207" s="26" t="str">
        <f>$E$182</f>
        <v>kg N</v>
      </c>
      <c r="U207" s="25" t="e">
        <f>TEXT(EDATE(X_Cell_Site_StartDate,11), "mmmm")</f>
        <v>#VALUE!</v>
      </c>
      <c r="V207" s="25" t="e" cm="1">
        <f t="array" aca="1" ref="V207" ca="1">MMS_PastureBeef_Soil_N2ODirect_Equations.VEERG_4_2_1_3__3_NitrogenExcreted(V67,V175,W191,V147,V31)</f>
        <v>#N/A</v>
      </c>
      <c r="W207" s="25" t="e" cm="1">
        <f t="array" aca="1" ref="W207" ca="1">MMS_PastureBeef_Soil_N2ODirect_Equations.VEERG_4_2_1_3__3_NitrogenExcreted(W67,W175,X191,W147,W31)</f>
        <v>#N/A</v>
      </c>
      <c r="X207" s="25" t="e" cm="1">
        <f t="array" aca="1" ref="X207" ca="1">MMS_PastureBeef_Soil_N2ODirect_Equations.VEERG_4_2_1_3__3_NitrogenExcreted(X67,X175,Y191,X147,X31)</f>
        <v>#N/A</v>
      </c>
      <c r="Y207" s="25" t="e" cm="1">
        <f t="array" aca="1" ref="Y207" ca="1">MMS_PastureBeef_Soil_N2ODirect_Equations.VEERG_4_2_1_3__3_NitrogenExcreted(Y67,Y175,Z191,Y147,Y31)</f>
        <v>#N/A</v>
      </c>
      <c r="Z207" s="25" t="e" cm="1">
        <f t="array" aca="1" ref="Z207" ca="1">MMS_PastureBeef_Soil_N2ODirect_Equations.VEERG_4_2_1_3__3_NitrogenExcreted(Z67,Z175,AA191,Z147,Z31)</f>
        <v>#N/A</v>
      </c>
      <c r="AA207" s="25" t="e" cm="1">
        <f t="array" aca="1" ref="AA207" ca="1">MMS_PastureBeef_Soil_N2ODirect_Equations.VEERG_4_2_1_3__3_NitrogenExcreted(AA67,AA175,AB191,AA147,AA31)</f>
        <v>#N/A</v>
      </c>
      <c r="AB207" s="25" t="e" cm="1">
        <f t="array" aca="1" ref="AB207" ca="1">MMS_PastureBeef_Soil_N2ODirect_Equations.VEERG_4_2_1_3__3_NitrogenExcreted(AB67,AB175,AC191,AB147,AB31)</f>
        <v>#N/A</v>
      </c>
      <c r="AC207" s="25" t="e" cm="1">
        <f t="array" aca="1" ref="AC207" ca="1">MMS_PastureBeef_Soil_N2ODirect_Equations.VEERG_4_2_1_3__3_NitrogenExcreted(AC67,AC175,AD191,AC147,AC31)</f>
        <v>#N/A</v>
      </c>
      <c r="AD207" s="25" t="e" cm="1">
        <f t="array" aca="1" ref="AD207" ca="1">MMS_PastureBeef_Soil_N2ODirect_Equations.VEERG_4_2_1_3__3_NitrogenExcreted(AD67,AD175,AE191,AD147,AD31)</f>
        <v>#N/A</v>
      </c>
      <c r="AE207" s="25" t="e" cm="1">
        <f t="array" aca="1" ref="AE207" ca="1">MMS_PastureBeef_Soil_N2ODirect_Equations.VEERG_4_2_1_3__3_NitrogenExcreted(AE67,AE175,AF191,AE147,AE31)</f>
        <v>#N/A</v>
      </c>
      <c r="AF207" s="26" t="str">
        <f t="shared" si="9"/>
        <v>kg N/head/day</v>
      </c>
      <c r="AG207" s="26"/>
      <c r="AH207" s="26"/>
    </row>
    <row r="208" spans="4:34" ht="20.100000000000001" customHeight="1" x14ac:dyDescent="0.25">
      <c r="D208" s="25" t="s">
        <v>201</v>
      </c>
      <c r="E208" s="25" t="e" cm="1">
        <f t="array" aca="1" ref="E208" ca="1">MMS_PastureBeef_Soil_N2ODirect_Equations.VEERG_4_2_1_3__2_TotalNitrogenExcretedToPastureRangeAndPaddock(E192,E170,E200)</f>
        <v>#N/A</v>
      </c>
      <c r="F208" s="25" t="e" cm="1">
        <f t="array" aca="1" ref="F208" ca="1">MMS_PastureBeef_Soil_N2ODirect_Equations.VEERG_4_2_1_3__2_TotalNitrogenExcretedToPastureRangeAndPaddock(F192,F170,F200)</f>
        <v>#N/A</v>
      </c>
      <c r="G208" s="25" t="e" cm="1">
        <f t="array" aca="1" ref="G208" ca="1">MMS_PastureBeef_Soil_N2ODirect_Equations.VEERG_4_2_1_3__2_TotalNitrogenExcretedToPastureRangeAndPaddock(G192,G170,G200)</f>
        <v>#N/A</v>
      </c>
      <c r="H208" s="25" t="e" cm="1">
        <f t="array" aca="1" ref="H208" ca="1">MMS_PastureBeef_Soil_N2ODirect_Equations.VEERG_4_2_1_3__2_TotalNitrogenExcretedToPastureRangeAndPaddock(H192,H170,H200)</f>
        <v>#N/A</v>
      </c>
      <c r="I208" s="25" t="e" cm="1">
        <f t="array" aca="1" ref="I208" ca="1">MMS_PastureBeef_Soil_N2ODirect_Equations.VEERG_4_2_1_3__2_TotalNitrogenExcretedToPastureRangeAndPaddock(I192,I170,I200)</f>
        <v>#N/A</v>
      </c>
      <c r="J208" s="25" t="e" cm="1">
        <f t="array" aca="1" ref="J208" ca="1">MMS_PastureBeef_Soil_N2ODirect_Equations.VEERG_4_2_1_3__2_TotalNitrogenExcretedToPastureRangeAndPaddock(J192,J170,J200)</f>
        <v>#N/A</v>
      </c>
      <c r="K208" s="25" t="e" cm="1">
        <f t="array" aca="1" ref="K208" ca="1">MMS_PastureBeef_Soil_N2ODirect_Equations.VEERG_4_2_1_3__2_TotalNitrogenExcretedToPastureRangeAndPaddock(K192,K170,K200)</f>
        <v>#N/A</v>
      </c>
      <c r="L208" s="25" t="e" cm="1">
        <f t="array" aca="1" ref="L208" ca="1">MMS_PastureBeef_Soil_N2ODirect_Equations.VEERG_4_2_1_3__2_TotalNitrogenExcretedToPastureRangeAndPaddock(L192,L170,L200)</f>
        <v>#N/A</v>
      </c>
      <c r="M208" s="25" t="e" cm="1">
        <f t="array" aca="1" ref="M208" ca="1">MMS_PastureBeef_Soil_N2ODirect_Equations.VEERG_4_2_1_3__2_TotalNitrogenExcretedToPastureRangeAndPaddock(M192,M170,M200)</f>
        <v>#N/A</v>
      </c>
      <c r="N208" s="25" t="e" cm="1">
        <f t="array" aca="1" ref="N208" ca="1">MMS_PastureBeef_Soil_N2ODirect_Equations.VEERG_4_2_1_3__2_TotalNitrogenExcretedToPastureRangeAndPaddock(N192,N170,N200)</f>
        <v>#N/A</v>
      </c>
      <c r="O208" s="26" t="str">
        <f>$E$182</f>
        <v>kg N</v>
      </c>
    </row>
    <row r="209" spans="3:35" ht="20.100000000000001" customHeight="1" x14ac:dyDescent="0.25">
      <c r="D209" s="25" t="s">
        <v>202</v>
      </c>
      <c r="E209" s="25" t="e" cm="1">
        <f t="array" aca="1" ref="E209" ca="1">MMS_PastureBeef_Soil_N2ODirect_Equations.VEERG_4_2_1_3__2_TotalNitrogenExcretedToPastureRangeAndPaddock(E193,E171,E201)</f>
        <v>#N/A</v>
      </c>
      <c r="F209" s="25" t="e" cm="1">
        <f t="array" aca="1" ref="F209" ca="1">MMS_PastureBeef_Soil_N2ODirect_Equations.VEERG_4_2_1_3__2_TotalNitrogenExcretedToPastureRangeAndPaddock(F193,F171,F201)</f>
        <v>#N/A</v>
      </c>
      <c r="G209" s="25" t="e" cm="1">
        <f t="array" aca="1" ref="G209" ca="1">MMS_PastureBeef_Soil_N2ODirect_Equations.VEERG_4_2_1_3__2_TotalNitrogenExcretedToPastureRangeAndPaddock(G193,G171,G201)</f>
        <v>#N/A</v>
      </c>
      <c r="H209" s="25" t="e" cm="1">
        <f t="array" aca="1" ref="H209" ca="1">MMS_PastureBeef_Soil_N2ODirect_Equations.VEERG_4_2_1_3__2_TotalNitrogenExcretedToPastureRangeAndPaddock(H193,H171,H201)</f>
        <v>#N/A</v>
      </c>
      <c r="I209" s="25" t="e" cm="1">
        <f t="array" aca="1" ref="I209" ca="1">MMS_PastureBeef_Soil_N2ODirect_Equations.VEERG_4_2_1_3__2_TotalNitrogenExcretedToPastureRangeAndPaddock(I193,I171,I201)</f>
        <v>#N/A</v>
      </c>
      <c r="J209" s="25" t="e" cm="1">
        <f t="array" aca="1" ref="J209" ca="1">MMS_PastureBeef_Soil_N2ODirect_Equations.VEERG_4_2_1_3__2_TotalNitrogenExcretedToPastureRangeAndPaddock(J193,J171,J201)</f>
        <v>#N/A</v>
      </c>
      <c r="K209" s="25" t="e" cm="1">
        <f t="array" aca="1" ref="K209" ca="1">MMS_PastureBeef_Soil_N2ODirect_Equations.VEERG_4_2_1_3__2_TotalNitrogenExcretedToPastureRangeAndPaddock(K193,K171,K201)</f>
        <v>#N/A</v>
      </c>
      <c r="L209" s="25" t="e" cm="1">
        <f t="array" aca="1" ref="L209" ca="1">MMS_PastureBeef_Soil_N2ODirect_Equations.VEERG_4_2_1_3__2_TotalNitrogenExcretedToPastureRangeAndPaddock(L193,L171,L201)</f>
        <v>#N/A</v>
      </c>
      <c r="M209" s="25" t="e" cm="1">
        <f t="array" aca="1" ref="M209" ca="1">MMS_PastureBeef_Soil_N2ODirect_Equations.VEERG_4_2_1_3__2_TotalNitrogenExcretedToPastureRangeAndPaddock(M193,M171,M201)</f>
        <v>#N/A</v>
      </c>
      <c r="N209" s="25" t="e" cm="1">
        <f t="array" aca="1" ref="N209" ca="1">MMS_PastureBeef_Soil_N2ODirect_Equations.VEERG_4_2_1_3__2_TotalNitrogenExcretedToPastureRangeAndPaddock(N193,N171,N201)</f>
        <v>#N/A</v>
      </c>
      <c r="O209" s="26" t="str">
        <f>$E$182</f>
        <v>kg N</v>
      </c>
    </row>
    <row r="210" spans="3:35" ht="20.100000000000001" customHeight="1" x14ac:dyDescent="0.25">
      <c r="D210" s="25" t="s">
        <v>203</v>
      </c>
      <c r="E210" s="25" t="e" cm="1">
        <f t="array" aca="1" ref="E210" ca="1">MMS_PastureBeef_Soil_N2ODirect_Equations.VEERG_4_2_1_3__2_TotalNitrogenExcretedToPastureRangeAndPaddock(E194,E172,E202)</f>
        <v>#N/A</v>
      </c>
      <c r="F210" s="25" t="e" cm="1">
        <f t="array" aca="1" ref="F210" ca="1">MMS_PastureBeef_Soil_N2ODirect_Equations.VEERG_4_2_1_3__2_TotalNitrogenExcretedToPastureRangeAndPaddock(F194,F172,F202)</f>
        <v>#N/A</v>
      </c>
      <c r="G210" s="25" t="e" cm="1">
        <f t="array" aca="1" ref="G210" ca="1">MMS_PastureBeef_Soil_N2ODirect_Equations.VEERG_4_2_1_3__2_TotalNitrogenExcretedToPastureRangeAndPaddock(G194,G172,G202)</f>
        <v>#N/A</v>
      </c>
      <c r="H210" s="25" t="e" cm="1">
        <f t="array" aca="1" ref="H210" ca="1">MMS_PastureBeef_Soil_N2ODirect_Equations.VEERG_4_2_1_3__2_TotalNitrogenExcretedToPastureRangeAndPaddock(H194,H172,H202)</f>
        <v>#N/A</v>
      </c>
      <c r="I210" s="25" t="e" cm="1">
        <f t="array" aca="1" ref="I210" ca="1">MMS_PastureBeef_Soil_N2ODirect_Equations.VEERG_4_2_1_3__2_TotalNitrogenExcretedToPastureRangeAndPaddock(I194,I172,I202)</f>
        <v>#N/A</v>
      </c>
      <c r="J210" s="25" t="e" cm="1">
        <f t="array" aca="1" ref="J210" ca="1">MMS_PastureBeef_Soil_N2ODirect_Equations.VEERG_4_2_1_3__2_TotalNitrogenExcretedToPastureRangeAndPaddock(J194,J172,J202)</f>
        <v>#N/A</v>
      </c>
      <c r="K210" s="25" t="e" cm="1">
        <f t="array" aca="1" ref="K210" ca="1">MMS_PastureBeef_Soil_N2ODirect_Equations.VEERG_4_2_1_3__2_TotalNitrogenExcretedToPastureRangeAndPaddock(K194,K172,K202)</f>
        <v>#N/A</v>
      </c>
      <c r="L210" s="25" t="e" cm="1">
        <f t="array" aca="1" ref="L210" ca="1">MMS_PastureBeef_Soil_N2ODirect_Equations.VEERG_4_2_1_3__2_TotalNitrogenExcretedToPastureRangeAndPaddock(L194,L172,L202)</f>
        <v>#N/A</v>
      </c>
      <c r="M210" s="25" t="e" cm="1">
        <f t="array" aca="1" ref="M210" ca="1">MMS_PastureBeef_Soil_N2ODirect_Equations.VEERG_4_2_1_3__2_TotalNitrogenExcretedToPastureRangeAndPaddock(M194,M172,M202)</f>
        <v>#N/A</v>
      </c>
      <c r="N210" s="25" t="e" cm="1">
        <f t="array" aca="1" ref="N210" ca="1">MMS_PastureBeef_Soil_N2ODirect_Equations.VEERG_4_2_1_3__2_TotalNitrogenExcretedToPastureRangeAndPaddock(N194,N172,N202)</f>
        <v>#N/A</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t="e">
        <f ca="1">SUM(E207:N210)</f>
        <v>#N/A</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TEXT(EDATE(X_Cell_Site_StartDate,1), "mmmm")</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e">
        <f>TEXT(EDATE(X_Cell_Site_StartDate,2), "mmmm")</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e">
        <f>TEXT(EDATE(X_Cell_Site_StartDate,3), "mmmm")</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e">
        <f>TEXT(EDATE(X_Cell_Site_StartDate,4), "mmmm")</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e">
        <f>TEXT(EDATE(X_Cell_Site_StartDate,5), "mmmm")</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TEXT(EDATE(X_Cell_Site_StartDate,6), "mmmm")</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e">
        <f>TEXT(EDATE(X_Cell_Site_StartDate,7), "mmmm")</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TEXT(EDATE(X_Cell_Site_StartDate,8), "mmmm")</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t="e">
        <f>_xlfn.XLOOKUP(H227,Table_SourceData_EFPastureRangeAndPaddock[Climate zone],Table_SourceData_EFPastureRangeAndPaddock[EFPRP])</f>
        <v>#N/A</v>
      </c>
      <c r="U225" s="25" t="e">
        <f>TEXT(EDATE(X_Cell_Site_StartDate,9), "mmmm")</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TEXT(EDATE(X_Cell_Site_StartDate,10), "mmmm")</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f>X_Cell_Site_WetOrDryClimateZone</f>
        <v>0</v>
      </c>
      <c r="U227" s="25" t="e">
        <f>TEXT(EDATE(X_Cell_Site_StartDate,11), "mmmm")</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t="e" cm="1">
        <f t="array" aca="1" ref="E229" ca="1">MMS_PastureBeef_Soil_N2ODirect_Equations.VEERG_4_2_1_3__1_DirectNitrousOxideEmissionsOnPasture($E$212,$H$225,$H$226)</f>
        <v>#N/A</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t="e">
        <f ca="1">E229</f>
        <v>#N/A</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TEXT(X_Cell_Site_StartDate,"mmmm")</f>
        <v>NO - Not in leaching zone</v>
      </c>
      <c r="V232" s="25" t="e" cm="1">
        <f t="array" aca="1" ref="V232:AE243" ca="1">OFFSET(X_Table_PastureBeef_Duration_Method2, 1,1, 12,10)</f>
        <v>#VALUE!</v>
      </c>
      <c r="W232" s="25" t="e">
        <f ca="1"/>
        <v>#VALUE!</v>
      </c>
      <c r="X232" s="25" t="e">
        <f ca="1"/>
        <v>#VALUE!</v>
      </c>
      <c r="Y232" s="25" t="e">
        <f ca="1"/>
        <v>#VALUE!</v>
      </c>
      <c r="Z232" s="25" t="e">
        <f ca="1"/>
        <v>#VALUE!</v>
      </c>
      <c r="AA232" s="25" t="e">
        <f ca="1"/>
        <v>#VALUE!</v>
      </c>
      <c r="AB232" s="25" t="e">
        <f ca="1"/>
        <v>#VALUE!</v>
      </c>
      <c r="AC232" s="25" t="e">
        <f ca="1"/>
        <v>#VALUE!</v>
      </c>
      <c r="AD232" s="25" t="e">
        <f ca="1"/>
        <v>#VALUE!</v>
      </c>
      <c r="AE232" s="25" t="e">
        <f ca="1"/>
        <v>#VALUE!</v>
      </c>
      <c r="AF232" s="26" t="s">
        <v>415</v>
      </c>
      <c r="AG232" s="26"/>
      <c r="AH232" s="26"/>
    </row>
    <row r="233" spans="4:34" ht="20.100000000000001" customHeight="1" x14ac:dyDescent="0.25">
      <c r="U233" s="25" t="e">
        <f>TEXT(EDATE(X_Cell_Site_StartDate,1), "mmmm")</f>
        <v>#VALUE!</v>
      </c>
      <c r="V233" s="25" t="e">
        <f ca="1"/>
        <v>#VALUE!</v>
      </c>
      <c r="W233" s="25" t="e">
        <f ca="1"/>
        <v>#VALUE!</v>
      </c>
      <c r="X233" s="25" t="e">
        <f ca="1"/>
        <v>#VALUE!</v>
      </c>
      <c r="Y233" s="25" t="e">
        <f ca="1"/>
        <v>#VALUE!</v>
      </c>
      <c r="Z233" s="25" t="e">
        <f ca="1"/>
        <v>#VALUE!</v>
      </c>
      <c r="AA233" s="25" t="e">
        <f ca="1"/>
        <v>#VALUE!</v>
      </c>
      <c r="AB233" s="25" t="e">
        <f ca="1"/>
        <v>#VALUE!</v>
      </c>
      <c r="AC233" s="25" t="e">
        <f ca="1"/>
        <v>#VALUE!</v>
      </c>
      <c r="AD233" s="25" t="e">
        <f ca="1"/>
        <v>#VALUE!</v>
      </c>
      <c r="AE233" s="25" t="e">
        <f ca="1"/>
        <v>#VALUE!</v>
      </c>
      <c r="AF233" s="26" t="s">
        <v>415</v>
      </c>
      <c r="AG233" s="26"/>
      <c r="AH233" s="26"/>
    </row>
    <row r="234" spans="4:34" ht="20.100000000000001" customHeight="1" x14ac:dyDescent="0.25">
      <c r="D234" s="118" t="s">
        <v>298</v>
      </c>
      <c r="E234" s="118" t="e" cm="1">
        <f t="array" aca="1" ref="E234" ca="1">Common_Equations.Common_ConvertN2OToCO2e(G231,G232)</f>
        <v>#N/A</v>
      </c>
      <c r="F234" s="125" t="str" cm="1">
        <f t="array" ref="F234">Common_Equations.Common_ConvertN2OToCO2e_Unit()</f>
        <v>t CO2e</v>
      </c>
      <c r="U234" s="25" t="e">
        <f>TEXT(EDATE(X_Cell_Site_StartDate,2), "mmmm")</f>
        <v>#VALUE!</v>
      </c>
      <c r="V234" s="25" t="e">
        <f ca="1"/>
        <v>#VALUE!</v>
      </c>
      <c r="W234" s="25" t="e">
        <f ca="1"/>
        <v>#VALUE!</v>
      </c>
      <c r="X234" s="25" t="e">
        <f ca="1"/>
        <v>#VALUE!</v>
      </c>
      <c r="Y234" s="25" t="e">
        <f ca="1"/>
        <v>#VALUE!</v>
      </c>
      <c r="Z234" s="25" t="e">
        <f ca="1"/>
        <v>#VALUE!</v>
      </c>
      <c r="AA234" s="25" t="e">
        <f ca="1"/>
        <v>#VALUE!</v>
      </c>
      <c r="AB234" s="25" t="e">
        <f ca="1"/>
        <v>#VALUE!</v>
      </c>
      <c r="AC234" s="25" t="e">
        <f ca="1"/>
        <v>#VALUE!</v>
      </c>
      <c r="AD234" s="25" t="e">
        <f ca="1"/>
        <v>#VALUE!</v>
      </c>
      <c r="AE234" s="25" t="e">
        <f ca="1"/>
        <v>#VALUE!</v>
      </c>
      <c r="AF234" s="26" t="s">
        <v>415</v>
      </c>
      <c r="AG234" s="26"/>
      <c r="AH234" s="26"/>
    </row>
    <row r="235" spans="4:34" ht="20.100000000000001" customHeight="1" x14ac:dyDescent="0.25">
      <c r="U235" s="25" t="e">
        <f>TEXT(EDATE(X_Cell_Site_StartDate,3), "mmmm")</f>
        <v>#VALUE!</v>
      </c>
      <c r="V235" s="25" t="e">
        <f ca="1"/>
        <v>#VALUE!</v>
      </c>
      <c r="W235" s="25" t="e">
        <f ca="1"/>
        <v>#VALUE!</v>
      </c>
      <c r="X235" s="25" t="e">
        <f ca="1"/>
        <v>#VALUE!</v>
      </c>
      <c r="Y235" s="25" t="e">
        <f ca="1"/>
        <v>#VALUE!</v>
      </c>
      <c r="Z235" s="25" t="e">
        <f ca="1"/>
        <v>#VALUE!</v>
      </c>
      <c r="AA235" s="25" t="e">
        <f ca="1"/>
        <v>#VALUE!</v>
      </c>
      <c r="AB235" s="25" t="e">
        <f ca="1"/>
        <v>#VALUE!</v>
      </c>
      <c r="AC235" s="25" t="e">
        <f ca="1"/>
        <v>#VALUE!</v>
      </c>
      <c r="AD235" s="25" t="e">
        <f ca="1"/>
        <v>#VALUE!</v>
      </c>
      <c r="AE235" s="25" t="e">
        <f ca="1"/>
        <v>#VALUE!</v>
      </c>
      <c r="AF235" s="26" t="s">
        <v>415</v>
      </c>
      <c r="AG235" s="26"/>
      <c r="AH235" s="26"/>
    </row>
    <row r="236" spans="4:34" ht="20.100000000000001" customHeight="1" x14ac:dyDescent="0.25">
      <c r="U236" s="25" t="e">
        <f>TEXT(EDATE(X_Cell_Site_StartDate,4), "mmmm")</f>
        <v>#VALUE!</v>
      </c>
      <c r="V236" s="25" t="e">
        <f ca="1"/>
        <v>#VALUE!</v>
      </c>
      <c r="W236" s="25" t="e">
        <f ca="1"/>
        <v>#VALUE!</v>
      </c>
      <c r="X236" s="25" t="e">
        <f ca="1"/>
        <v>#VALUE!</v>
      </c>
      <c r="Y236" s="25" t="e">
        <f ca="1"/>
        <v>#VALUE!</v>
      </c>
      <c r="Z236" s="25" t="e">
        <f ca="1"/>
        <v>#VALUE!</v>
      </c>
      <c r="AA236" s="25" t="e">
        <f ca="1"/>
        <v>#VALUE!</v>
      </c>
      <c r="AB236" s="25" t="e">
        <f ca="1"/>
        <v>#VALUE!</v>
      </c>
      <c r="AC236" s="25" t="e">
        <f ca="1"/>
        <v>#VALUE!</v>
      </c>
      <c r="AD236" s="25" t="e">
        <f ca="1"/>
        <v>#VALUE!</v>
      </c>
      <c r="AE236" s="25" t="e">
        <f ca="1"/>
        <v>#VALUE!</v>
      </c>
      <c r="AF236" s="26" t="s">
        <v>415</v>
      </c>
      <c r="AG236" s="26"/>
      <c r="AH236" s="26"/>
    </row>
    <row r="237" spans="4:34" ht="20.100000000000001" customHeight="1" x14ac:dyDescent="0.25">
      <c r="U237" s="25" t="e">
        <f>TEXT(EDATE(X_Cell_Site_StartDate,5), "mmmm")</f>
        <v>#VALUE!</v>
      </c>
      <c r="V237" s="25" t="e">
        <f ca="1"/>
        <v>#VALUE!</v>
      </c>
      <c r="W237" s="25" t="e">
        <f ca="1"/>
        <v>#VALUE!</v>
      </c>
      <c r="X237" s="25" t="e">
        <f ca="1"/>
        <v>#VALUE!</v>
      </c>
      <c r="Y237" s="25" t="e">
        <f ca="1"/>
        <v>#VALUE!</v>
      </c>
      <c r="Z237" s="25" t="e">
        <f ca="1"/>
        <v>#VALUE!</v>
      </c>
      <c r="AA237" s="25" t="e">
        <f ca="1"/>
        <v>#VALUE!</v>
      </c>
      <c r="AB237" s="25" t="e">
        <f ca="1"/>
        <v>#VALUE!</v>
      </c>
      <c r="AC237" s="25" t="e">
        <f ca="1"/>
        <v>#VALUE!</v>
      </c>
      <c r="AD237" s="25" t="e">
        <f ca="1"/>
        <v>#VALUE!</v>
      </c>
      <c r="AE237" s="25" t="e">
        <f ca="1"/>
        <v>#VALUE!</v>
      </c>
      <c r="AF237" s="26" t="s">
        <v>415</v>
      </c>
      <c r="AG237" s="26"/>
      <c r="AH237" s="26"/>
    </row>
    <row r="238" spans="4:34" ht="20.100000000000001" customHeight="1" x14ac:dyDescent="0.25">
      <c r="U238" s="25" t="e">
        <f>TEXT(EDATE(X_Cell_Site_StartDate,6), "mmmm")</f>
        <v>#VALUE!</v>
      </c>
      <c r="V238" s="25" t="e">
        <f ca="1"/>
        <v>#VALUE!</v>
      </c>
      <c r="W238" s="25" t="e">
        <f ca="1"/>
        <v>#VALUE!</v>
      </c>
      <c r="X238" s="25" t="e">
        <f ca="1"/>
        <v>#VALUE!</v>
      </c>
      <c r="Y238" s="25" t="e">
        <f ca="1"/>
        <v>#VALUE!</v>
      </c>
      <c r="Z238" s="25" t="e">
        <f ca="1"/>
        <v>#VALUE!</v>
      </c>
      <c r="AA238" s="25" t="e">
        <f ca="1"/>
        <v>#VALUE!</v>
      </c>
      <c r="AB238" s="25" t="e">
        <f ca="1"/>
        <v>#VALUE!</v>
      </c>
      <c r="AC238" s="25" t="e">
        <f ca="1"/>
        <v>#VALUE!</v>
      </c>
      <c r="AD238" s="25" t="e">
        <f ca="1"/>
        <v>#VALUE!</v>
      </c>
      <c r="AE238" s="25" t="e">
        <f ca="1"/>
        <v>#VALUE!</v>
      </c>
      <c r="AF238" s="26" t="s">
        <v>415</v>
      </c>
      <c r="AG238" s="26"/>
      <c r="AH238" s="26"/>
    </row>
    <row r="239" spans="4:34" ht="20.100000000000001" customHeight="1" x14ac:dyDescent="0.25">
      <c r="U239" s="25" t="e">
        <f>TEXT(EDATE(X_Cell_Site_StartDate,7), "mmmm")</f>
        <v>#VALUE!</v>
      </c>
      <c r="V239" s="25" t="e">
        <f ca="1"/>
        <v>#VALUE!</v>
      </c>
      <c r="W239" s="25" t="e">
        <f ca="1"/>
        <v>#VALUE!</v>
      </c>
      <c r="X239" s="25" t="e">
        <f ca="1"/>
        <v>#VALUE!</v>
      </c>
      <c r="Y239" s="25" t="e">
        <f ca="1"/>
        <v>#VALUE!</v>
      </c>
      <c r="Z239" s="25" t="e">
        <f ca="1"/>
        <v>#VALUE!</v>
      </c>
      <c r="AA239" s="25" t="e">
        <f ca="1"/>
        <v>#VALUE!</v>
      </c>
      <c r="AB239" s="25" t="e">
        <f ca="1"/>
        <v>#VALUE!</v>
      </c>
      <c r="AC239" s="25" t="e">
        <f ca="1"/>
        <v>#VALUE!</v>
      </c>
      <c r="AD239" s="25" t="e">
        <f ca="1"/>
        <v>#VALUE!</v>
      </c>
      <c r="AE239" s="25" t="e">
        <f ca="1"/>
        <v>#VALUE!</v>
      </c>
      <c r="AF239" s="26" t="s">
        <v>415</v>
      </c>
      <c r="AG239" s="26"/>
      <c r="AH239" s="26"/>
    </row>
    <row r="240" spans="4:34" ht="20.100000000000001" customHeight="1" x14ac:dyDescent="0.25">
      <c r="U240" s="25" t="e">
        <f>TEXT(EDATE(X_Cell_Site_StartDate,8), "mmmm")</f>
        <v>#VALUE!</v>
      </c>
      <c r="V240" s="25" t="e">
        <f ca="1"/>
        <v>#VALUE!</v>
      </c>
      <c r="W240" s="25" t="e">
        <f ca="1"/>
        <v>#VALUE!</v>
      </c>
      <c r="X240" s="25" t="e">
        <f ca="1"/>
        <v>#VALUE!</v>
      </c>
      <c r="Y240" s="25" t="e">
        <f ca="1"/>
        <v>#VALUE!</v>
      </c>
      <c r="Z240" s="25" t="e">
        <f ca="1"/>
        <v>#VALUE!</v>
      </c>
      <c r="AA240" s="25" t="e">
        <f ca="1"/>
        <v>#VALUE!</v>
      </c>
      <c r="AB240" s="25" t="e">
        <f ca="1"/>
        <v>#VALUE!</v>
      </c>
      <c r="AC240" s="25" t="e">
        <f ca="1"/>
        <v>#VALUE!</v>
      </c>
      <c r="AD240" s="25" t="e">
        <f ca="1"/>
        <v>#VALUE!</v>
      </c>
      <c r="AE240" s="25" t="e">
        <f ca="1"/>
        <v>#VALUE!</v>
      </c>
      <c r="AF240" s="26" t="s">
        <v>415</v>
      </c>
      <c r="AG240" s="26"/>
      <c r="AH240" s="26"/>
    </row>
    <row r="241" spans="21:34" ht="20.100000000000001" customHeight="1" x14ac:dyDescent="0.25">
      <c r="U241" s="25" t="e">
        <f>TEXT(EDATE(X_Cell_Site_StartDate,9), "mmmm")</f>
        <v>#VALUE!</v>
      </c>
      <c r="V241" s="25" t="e">
        <f ca="1"/>
        <v>#VALUE!</v>
      </c>
      <c r="W241" s="25" t="e">
        <f ca="1"/>
        <v>#VALUE!</v>
      </c>
      <c r="X241" s="25" t="e">
        <f ca="1"/>
        <v>#VALUE!</v>
      </c>
      <c r="Y241" s="25" t="e">
        <f ca="1"/>
        <v>#VALUE!</v>
      </c>
      <c r="Z241" s="25" t="e">
        <f ca="1"/>
        <v>#VALUE!</v>
      </c>
      <c r="AA241" s="25" t="e">
        <f ca="1"/>
        <v>#VALUE!</v>
      </c>
      <c r="AB241" s="25" t="e">
        <f ca="1"/>
        <v>#VALUE!</v>
      </c>
      <c r="AC241" s="25" t="e">
        <f ca="1"/>
        <v>#VALUE!</v>
      </c>
      <c r="AD241" s="25" t="e">
        <f ca="1"/>
        <v>#VALUE!</v>
      </c>
      <c r="AE241" s="25" t="e">
        <f ca="1"/>
        <v>#VALUE!</v>
      </c>
      <c r="AF241" s="26" t="s">
        <v>415</v>
      </c>
      <c r="AG241" s="26"/>
      <c r="AH241" s="26"/>
    </row>
    <row r="242" spans="21:34" ht="20.100000000000001" customHeight="1" x14ac:dyDescent="0.25">
      <c r="U242" s="25" t="e">
        <f>TEXT(EDATE(X_Cell_Site_StartDate,10), "mmmm")</f>
        <v>#VALUE!</v>
      </c>
      <c r="V242" s="25" t="e">
        <f ca="1"/>
        <v>#VALUE!</v>
      </c>
      <c r="W242" s="25" t="e">
        <f ca="1"/>
        <v>#VALUE!</v>
      </c>
      <c r="X242" s="25" t="e">
        <f ca="1"/>
        <v>#VALUE!</v>
      </c>
      <c r="Y242" s="25" t="e">
        <f ca="1"/>
        <v>#VALUE!</v>
      </c>
      <c r="Z242" s="25" t="e">
        <f ca="1"/>
        <v>#VALUE!</v>
      </c>
      <c r="AA242" s="25" t="e">
        <f ca="1"/>
        <v>#VALUE!</v>
      </c>
      <c r="AB242" s="25" t="e">
        <f ca="1"/>
        <v>#VALUE!</v>
      </c>
      <c r="AC242" s="25" t="e">
        <f ca="1"/>
        <v>#VALUE!</v>
      </c>
      <c r="AD242" s="25" t="e">
        <f ca="1"/>
        <v>#VALUE!</v>
      </c>
      <c r="AE242" s="25" t="e">
        <f ca="1"/>
        <v>#VALUE!</v>
      </c>
      <c r="AF242" s="26" t="s">
        <v>415</v>
      </c>
      <c r="AG242" s="26"/>
      <c r="AH242" s="26"/>
    </row>
    <row r="243" spans="21:34" ht="20.100000000000001" customHeight="1" x14ac:dyDescent="0.25">
      <c r="U243" s="25" t="e">
        <f>TEXT(EDATE(X_Cell_Site_StartDate,11), "mmmm")</f>
        <v>#VALUE!</v>
      </c>
      <c r="V243" s="25" t="e">
        <f ca="1"/>
        <v>#VALUE!</v>
      </c>
      <c r="W243" s="25" t="e">
        <f ca="1"/>
        <v>#VALUE!</v>
      </c>
      <c r="X243" s="25" t="e">
        <f ca="1"/>
        <v>#VALUE!</v>
      </c>
      <c r="Y243" s="25" t="e">
        <f ca="1"/>
        <v>#VALUE!</v>
      </c>
      <c r="Z243" s="25" t="e">
        <f ca="1"/>
        <v>#VALUE!</v>
      </c>
      <c r="AA243" s="25" t="e">
        <f ca="1"/>
        <v>#VALUE!</v>
      </c>
      <c r="AB243" s="25" t="e">
        <f ca="1"/>
        <v>#VALUE!</v>
      </c>
      <c r="AC243" s="25" t="e">
        <f ca="1"/>
        <v>#VALUE!</v>
      </c>
      <c r="AD243" s="25" t="e">
        <f ca="1"/>
        <v>#VALUE!</v>
      </c>
      <c r="AE243" s="25" t="e">
        <f ca="1"/>
        <v>#VALUE!</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TEXT(X_Cell_Site_StartDate,"mmmm")</f>
        <v>NO - Not in leaching zone</v>
      </c>
      <c r="V248" s="25" t="e" cm="1">
        <f t="array" aca="1" ref="V248" ca="1">MMS_PastureBeef_Soil_N2ODirect_Equations.VEERG_4_2_1_3__2_TotalNitrogenExcretedToPastureRangeAndPaddock(V216,V196,V232)</f>
        <v>#N/A</v>
      </c>
      <c r="W248" s="25" t="e" cm="1">
        <f t="array" aca="1" ref="W248" ca="1">MMS_PastureBeef_Soil_N2ODirect_Equations.VEERG_4_2_1_3__2_TotalNitrogenExcretedToPastureRangeAndPaddock(W216,W196,W232)</f>
        <v>#N/A</v>
      </c>
      <c r="X248" s="25" t="e" cm="1">
        <f t="array" aca="1" ref="X248" ca="1">MMS_PastureBeef_Soil_N2ODirect_Equations.VEERG_4_2_1_3__2_TotalNitrogenExcretedToPastureRangeAndPaddock(X216,X196,X232)</f>
        <v>#N/A</v>
      </c>
      <c r="Y248" s="25" t="e" cm="1">
        <f t="array" aca="1" ref="Y248" ca="1">MMS_PastureBeef_Soil_N2ODirect_Equations.VEERG_4_2_1_3__2_TotalNitrogenExcretedToPastureRangeAndPaddock(Y216,Y196,Y232)</f>
        <v>#N/A</v>
      </c>
      <c r="Z248" s="25" t="e" cm="1">
        <f t="array" aca="1" ref="Z248" ca="1">MMS_PastureBeef_Soil_N2ODirect_Equations.VEERG_4_2_1_3__2_TotalNitrogenExcretedToPastureRangeAndPaddock(Z216,Z196,Z232)</f>
        <v>#N/A</v>
      </c>
      <c r="AA248" s="25" t="e" cm="1">
        <f t="array" aca="1" ref="AA248" ca="1">MMS_PastureBeef_Soil_N2ODirect_Equations.VEERG_4_2_1_3__2_TotalNitrogenExcretedToPastureRangeAndPaddock(AA216,AA196,AA232)</f>
        <v>#N/A</v>
      </c>
      <c r="AB248" s="25" t="e" cm="1">
        <f t="array" aca="1" ref="AB248" ca="1">MMS_PastureBeef_Soil_N2ODirect_Equations.VEERG_4_2_1_3__2_TotalNitrogenExcretedToPastureRangeAndPaddock(AB216,AB196,AB232)</f>
        <v>#N/A</v>
      </c>
      <c r="AC248" s="25" t="e" cm="1">
        <f t="array" aca="1" ref="AC248" ca="1">MMS_PastureBeef_Soil_N2ODirect_Equations.VEERG_4_2_1_3__2_TotalNitrogenExcretedToPastureRangeAndPaddock(AC216,AC196,AC232)</f>
        <v>#N/A</v>
      </c>
      <c r="AD248" s="25" t="e" cm="1">
        <f t="array" aca="1" ref="AD248" ca="1">MMS_PastureBeef_Soil_N2ODirect_Equations.VEERG_4_2_1_3__2_TotalNitrogenExcretedToPastureRangeAndPaddock(AD216,AD196,AD232)</f>
        <v>#N/A</v>
      </c>
      <c r="AE248" s="25" t="e" cm="1">
        <f t="array" aca="1" ref="AE248" ca="1">MMS_PastureBeef_Soil_N2ODirect_Equations.VEERG_4_2_1_3__2_TotalNitrogenExcretedToPastureRangeAndPaddock(AE216,AE196,AE232)</f>
        <v>#N/A</v>
      </c>
      <c r="AF248" s="26" t="str">
        <f t="shared" ref="AF248:AF259" si="10">$E$182</f>
        <v>kg N</v>
      </c>
      <c r="AG248" s="26"/>
      <c r="AH248" s="26"/>
    </row>
    <row r="249" spans="21:34" ht="20.100000000000001" customHeight="1" x14ac:dyDescent="0.25">
      <c r="U249" s="25" t="e">
        <f>TEXT(EDATE(X_Cell_Site_StartDate,1), "mmmm")</f>
        <v>#VALUE!</v>
      </c>
      <c r="V249" s="25" t="e" cm="1">
        <f t="array" aca="1" ref="V249" ca="1">MMS_PastureBeef_Soil_N2ODirect_Equations.VEERG_4_2_1_3__2_TotalNitrogenExcretedToPastureRangeAndPaddock(V217,V197,V233)</f>
        <v>#N/A</v>
      </c>
      <c r="W249" s="25" t="e" cm="1">
        <f t="array" aca="1" ref="W249" ca="1">MMS_PastureBeef_Soil_N2ODirect_Equations.VEERG_4_2_1_3__2_TotalNitrogenExcretedToPastureRangeAndPaddock(W217,W197,W233)</f>
        <v>#N/A</v>
      </c>
      <c r="X249" s="25" t="e" cm="1">
        <f t="array" aca="1" ref="X249" ca="1">MMS_PastureBeef_Soil_N2ODirect_Equations.VEERG_4_2_1_3__2_TotalNitrogenExcretedToPastureRangeAndPaddock(X217,X197,X233)</f>
        <v>#N/A</v>
      </c>
      <c r="Y249" s="25" t="e" cm="1">
        <f t="array" aca="1" ref="Y249" ca="1">MMS_PastureBeef_Soil_N2ODirect_Equations.VEERG_4_2_1_3__2_TotalNitrogenExcretedToPastureRangeAndPaddock(Y217,Y197,Y233)</f>
        <v>#N/A</v>
      </c>
      <c r="Z249" s="25" t="e" cm="1">
        <f t="array" aca="1" ref="Z249" ca="1">MMS_PastureBeef_Soil_N2ODirect_Equations.VEERG_4_2_1_3__2_TotalNitrogenExcretedToPastureRangeAndPaddock(Z217,Z197,Z233)</f>
        <v>#N/A</v>
      </c>
      <c r="AA249" s="25" t="e" cm="1">
        <f t="array" aca="1" ref="AA249" ca="1">MMS_PastureBeef_Soil_N2ODirect_Equations.VEERG_4_2_1_3__2_TotalNitrogenExcretedToPastureRangeAndPaddock(AA217,AA197,AA233)</f>
        <v>#N/A</v>
      </c>
      <c r="AB249" s="25" t="e" cm="1">
        <f t="array" aca="1" ref="AB249" ca="1">MMS_PastureBeef_Soil_N2ODirect_Equations.VEERG_4_2_1_3__2_TotalNitrogenExcretedToPastureRangeAndPaddock(AB217,AB197,AB233)</f>
        <v>#N/A</v>
      </c>
      <c r="AC249" s="25" t="e" cm="1">
        <f t="array" aca="1" ref="AC249" ca="1">MMS_PastureBeef_Soil_N2ODirect_Equations.VEERG_4_2_1_3__2_TotalNitrogenExcretedToPastureRangeAndPaddock(AC217,AC197,AC233)</f>
        <v>#N/A</v>
      </c>
      <c r="AD249" s="25" t="e" cm="1">
        <f t="array" aca="1" ref="AD249" ca="1">MMS_PastureBeef_Soil_N2ODirect_Equations.VEERG_4_2_1_3__2_TotalNitrogenExcretedToPastureRangeAndPaddock(AD217,AD197,AD233)</f>
        <v>#N/A</v>
      </c>
      <c r="AE249" s="25" t="e" cm="1">
        <f t="array" aca="1" ref="AE249" ca="1">MMS_PastureBeef_Soil_N2ODirect_Equations.VEERG_4_2_1_3__2_TotalNitrogenExcretedToPastureRangeAndPaddock(AE217,AE197,AE233)</f>
        <v>#N/A</v>
      </c>
      <c r="AF249" s="26" t="str">
        <f t="shared" si="10"/>
        <v>kg N</v>
      </c>
      <c r="AG249" s="26"/>
      <c r="AH249" s="26"/>
    </row>
    <row r="250" spans="21:34" ht="20.100000000000001" customHeight="1" x14ac:dyDescent="0.25">
      <c r="U250" s="25" t="e">
        <f>TEXT(EDATE(X_Cell_Site_StartDate,2), "mmmm")</f>
        <v>#VALUE!</v>
      </c>
      <c r="V250" s="25" t="e" cm="1">
        <f t="array" aca="1" ref="V250" ca="1">MMS_PastureBeef_Soil_N2ODirect_Equations.VEERG_4_2_1_3__2_TotalNitrogenExcretedToPastureRangeAndPaddock(V218,V198,V234)</f>
        <v>#N/A</v>
      </c>
      <c r="W250" s="25" t="e" cm="1">
        <f t="array" aca="1" ref="W250" ca="1">MMS_PastureBeef_Soil_N2ODirect_Equations.VEERG_4_2_1_3__2_TotalNitrogenExcretedToPastureRangeAndPaddock(W218,W198,W234)</f>
        <v>#N/A</v>
      </c>
      <c r="X250" s="25" t="e" cm="1">
        <f t="array" aca="1" ref="X250" ca="1">MMS_PastureBeef_Soil_N2ODirect_Equations.VEERG_4_2_1_3__2_TotalNitrogenExcretedToPastureRangeAndPaddock(X218,X198,X234)</f>
        <v>#N/A</v>
      </c>
      <c r="Y250" s="25" t="e" cm="1">
        <f t="array" aca="1" ref="Y250" ca="1">MMS_PastureBeef_Soil_N2ODirect_Equations.VEERG_4_2_1_3__2_TotalNitrogenExcretedToPastureRangeAndPaddock(Y218,Y198,Y234)</f>
        <v>#N/A</v>
      </c>
      <c r="Z250" s="25" t="e" cm="1">
        <f t="array" aca="1" ref="Z250" ca="1">MMS_PastureBeef_Soil_N2ODirect_Equations.VEERG_4_2_1_3__2_TotalNitrogenExcretedToPastureRangeAndPaddock(Z218,Z198,Z234)</f>
        <v>#N/A</v>
      </c>
      <c r="AA250" s="25" t="e" cm="1">
        <f t="array" aca="1" ref="AA250" ca="1">MMS_PastureBeef_Soil_N2ODirect_Equations.VEERG_4_2_1_3__2_TotalNitrogenExcretedToPastureRangeAndPaddock(AA218,AA198,AA234)</f>
        <v>#N/A</v>
      </c>
      <c r="AB250" s="25" t="e" cm="1">
        <f t="array" aca="1" ref="AB250" ca="1">MMS_PastureBeef_Soil_N2ODirect_Equations.VEERG_4_2_1_3__2_TotalNitrogenExcretedToPastureRangeAndPaddock(AB218,AB198,AB234)</f>
        <v>#N/A</v>
      </c>
      <c r="AC250" s="25" t="e" cm="1">
        <f t="array" aca="1" ref="AC250" ca="1">MMS_PastureBeef_Soil_N2ODirect_Equations.VEERG_4_2_1_3__2_TotalNitrogenExcretedToPastureRangeAndPaddock(AC218,AC198,AC234)</f>
        <v>#N/A</v>
      </c>
      <c r="AD250" s="25" t="e" cm="1">
        <f t="array" aca="1" ref="AD250" ca="1">MMS_PastureBeef_Soil_N2ODirect_Equations.VEERG_4_2_1_3__2_TotalNitrogenExcretedToPastureRangeAndPaddock(AD218,AD198,AD234)</f>
        <v>#N/A</v>
      </c>
      <c r="AE250" s="25" t="e" cm="1">
        <f t="array" aca="1" ref="AE250" ca="1">MMS_PastureBeef_Soil_N2ODirect_Equations.VEERG_4_2_1_3__2_TotalNitrogenExcretedToPastureRangeAndPaddock(AE218,AE198,AE234)</f>
        <v>#N/A</v>
      </c>
      <c r="AF250" s="26" t="str">
        <f t="shared" si="10"/>
        <v>kg N</v>
      </c>
      <c r="AG250" s="26"/>
      <c r="AH250" s="26"/>
    </row>
    <row r="251" spans="21:34" ht="20.100000000000001" customHeight="1" x14ac:dyDescent="0.25">
      <c r="U251" s="25" t="e">
        <f>TEXT(EDATE(X_Cell_Site_StartDate,3), "mmmm")</f>
        <v>#VALUE!</v>
      </c>
      <c r="V251" s="25" t="e" cm="1">
        <f t="array" aca="1" ref="V251" ca="1">MMS_PastureBeef_Soil_N2ODirect_Equations.VEERG_4_2_1_3__2_TotalNitrogenExcretedToPastureRangeAndPaddock(V219,V199,V235)</f>
        <v>#N/A</v>
      </c>
      <c r="W251" s="25" t="e" cm="1">
        <f t="array" aca="1" ref="W251" ca="1">MMS_PastureBeef_Soil_N2ODirect_Equations.VEERG_4_2_1_3__2_TotalNitrogenExcretedToPastureRangeAndPaddock(W219,W199,W235)</f>
        <v>#N/A</v>
      </c>
      <c r="X251" s="25" t="e" cm="1">
        <f t="array" aca="1" ref="X251" ca="1">MMS_PastureBeef_Soil_N2ODirect_Equations.VEERG_4_2_1_3__2_TotalNitrogenExcretedToPastureRangeAndPaddock(X219,X199,X235)</f>
        <v>#N/A</v>
      </c>
      <c r="Y251" s="25" t="e" cm="1">
        <f t="array" aca="1" ref="Y251" ca="1">MMS_PastureBeef_Soil_N2ODirect_Equations.VEERG_4_2_1_3__2_TotalNitrogenExcretedToPastureRangeAndPaddock(Y219,Y199,Y235)</f>
        <v>#N/A</v>
      </c>
      <c r="Z251" s="25" t="e" cm="1">
        <f t="array" aca="1" ref="Z251" ca="1">MMS_PastureBeef_Soil_N2ODirect_Equations.VEERG_4_2_1_3__2_TotalNitrogenExcretedToPastureRangeAndPaddock(Z219,Z199,Z235)</f>
        <v>#N/A</v>
      </c>
      <c r="AA251" s="25" t="e" cm="1">
        <f t="array" aca="1" ref="AA251" ca="1">MMS_PastureBeef_Soil_N2ODirect_Equations.VEERG_4_2_1_3__2_TotalNitrogenExcretedToPastureRangeAndPaddock(AA219,AA199,AA235)</f>
        <v>#N/A</v>
      </c>
      <c r="AB251" s="25" t="e" cm="1">
        <f t="array" aca="1" ref="AB251" ca="1">MMS_PastureBeef_Soil_N2ODirect_Equations.VEERG_4_2_1_3__2_TotalNitrogenExcretedToPastureRangeAndPaddock(AB219,AB199,AB235)</f>
        <v>#N/A</v>
      </c>
      <c r="AC251" s="25" t="e" cm="1">
        <f t="array" aca="1" ref="AC251" ca="1">MMS_PastureBeef_Soil_N2ODirect_Equations.VEERG_4_2_1_3__2_TotalNitrogenExcretedToPastureRangeAndPaddock(AC219,AC199,AC235)</f>
        <v>#N/A</v>
      </c>
      <c r="AD251" s="25" t="e" cm="1">
        <f t="array" aca="1" ref="AD251" ca="1">MMS_PastureBeef_Soil_N2ODirect_Equations.VEERG_4_2_1_3__2_TotalNitrogenExcretedToPastureRangeAndPaddock(AD219,AD199,AD235)</f>
        <v>#N/A</v>
      </c>
      <c r="AE251" s="25" t="e" cm="1">
        <f t="array" aca="1" ref="AE251" ca="1">MMS_PastureBeef_Soil_N2ODirect_Equations.VEERG_4_2_1_3__2_TotalNitrogenExcretedToPastureRangeAndPaddock(AE219,AE199,AE235)</f>
        <v>#N/A</v>
      </c>
      <c r="AF251" s="26" t="str">
        <f t="shared" si="10"/>
        <v>kg N</v>
      </c>
      <c r="AG251" s="26"/>
      <c r="AH251" s="26"/>
    </row>
    <row r="252" spans="21:34" ht="20.100000000000001" customHeight="1" x14ac:dyDescent="0.25">
      <c r="U252" s="25" t="e">
        <f>TEXT(EDATE(X_Cell_Site_StartDate,4), "mmmm")</f>
        <v>#VALUE!</v>
      </c>
      <c r="V252" s="25" t="e" cm="1">
        <f t="array" aca="1" ref="V252" ca="1">MMS_PastureBeef_Soil_N2ODirect_Equations.VEERG_4_2_1_3__2_TotalNitrogenExcretedToPastureRangeAndPaddock(V220,V200,V236)</f>
        <v>#N/A</v>
      </c>
      <c r="W252" s="25" t="e" cm="1">
        <f t="array" aca="1" ref="W252" ca="1">MMS_PastureBeef_Soil_N2ODirect_Equations.VEERG_4_2_1_3__2_TotalNitrogenExcretedToPastureRangeAndPaddock(W220,W200,W236)</f>
        <v>#N/A</v>
      </c>
      <c r="X252" s="25" t="e" cm="1">
        <f t="array" aca="1" ref="X252" ca="1">MMS_PastureBeef_Soil_N2ODirect_Equations.VEERG_4_2_1_3__2_TotalNitrogenExcretedToPastureRangeAndPaddock(X220,X200,X236)</f>
        <v>#N/A</v>
      </c>
      <c r="Y252" s="25" t="e" cm="1">
        <f t="array" aca="1" ref="Y252" ca="1">MMS_PastureBeef_Soil_N2ODirect_Equations.VEERG_4_2_1_3__2_TotalNitrogenExcretedToPastureRangeAndPaddock(Y220,Y200,Y236)</f>
        <v>#N/A</v>
      </c>
      <c r="Z252" s="25" t="e" cm="1">
        <f t="array" aca="1" ref="Z252" ca="1">MMS_PastureBeef_Soil_N2ODirect_Equations.VEERG_4_2_1_3__2_TotalNitrogenExcretedToPastureRangeAndPaddock(Z220,Z200,Z236)</f>
        <v>#N/A</v>
      </c>
      <c r="AA252" s="25" t="e" cm="1">
        <f t="array" aca="1" ref="AA252" ca="1">MMS_PastureBeef_Soil_N2ODirect_Equations.VEERG_4_2_1_3__2_TotalNitrogenExcretedToPastureRangeAndPaddock(AA220,AA200,AA236)</f>
        <v>#N/A</v>
      </c>
      <c r="AB252" s="25" t="e" cm="1">
        <f t="array" aca="1" ref="AB252" ca="1">MMS_PastureBeef_Soil_N2ODirect_Equations.VEERG_4_2_1_3__2_TotalNitrogenExcretedToPastureRangeAndPaddock(AB220,AB200,AB236)</f>
        <v>#N/A</v>
      </c>
      <c r="AC252" s="25" t="e" cm="1">
        <f t="array" aca="1" ref="AC252" ca="1">MMS_PastureBeef_Soil_N2ODirect_Equations.VEERG_4_2_1_3__2_TotalNitrogenExcretedToPastureRangeAndPaddock(AC220,AC200,AC236)</f>
        <v>#N/A</v>
      </c>
      <c r="AD252" s="25" t="e" cm="1">
        <f t="array" aca="1" ref="AD252" ca="1">MMS_PastureBeef_Soil_N2ODirect_Equations.VEERG_4_2_1_3__2_TotalNitrogenExcretedToPastureRangeAndPaddock(AD220,AD200,AD236)</f>
        <v>#N/A</v>
      </c>
      <c r="AE252" s="25" t="e" cm="1">
        <f t="array" aca="1" ref="AE252" ca="1">MMS_PastureBeef_Soil_N2ODirect_Equations.VEERG_4_2_1_3__2_TotalNitrogenExcretedToPastureRangeAndPaddock(AE220,AE200,AE236)</f>
        <v>#N/A</v>
      </c>
      <c r="AF252" s="26" t="str">
        <f t="shared" si="10"/>
        <v>kg N</v>
      </c>
      <c r="AG252" s="26"/>
      <c r="AH252" s="26"/>
    </row>
    <row r="253" spans="21:34" ht="20.100000000000001" customHeight="1" x14ac:dyDescent="0.25">
      <c r="U253" s="25" t="e">
        <f>TEXT(EDATE(X_Cell_Site_StartDate,5), "mmmm")</f>
        <v>#VALUE!</v>
      </c>
      <c r="V253" s="25" t="e" cm="1">
        <f t="array" aca="1" ref="V253" ca="1">MMS_PastureBeef_Soil_N2ODirect_Equations.VEERG_4_2_1_3__2_TotalNitrogenExcretedToPastureRangeAndPaddock(V221,V201,V237)</f>
        <v>#N/A</v>
      </c>
      <c r="W253" s="25" t="e" cm="1">
        <f t="array" aca="1" ref="W253" ca="1">MMS_PastureBeef_Soil_N2ODirect_Equations.VEERG_4_2_1_3__2_TotalNitrogenExcretedToPastureRangeAndPaddock(W221,W201,W237)</f>
        <v>#N/A</v>
      </c>
      <c r="X253" s="25" t="e" cm="1">
        <f t="array" aca="1" ref="X253" ca="1">MMS_PastureBeef_Soil_N2ODirect_Equations.VEERG_4_2_1_3__2_TotalNitrogenExcretedToPastureRangeAndPaddock(X221,X201,X237)</f>
        <v>#N/A</v>
      </c>
      <c r="Y253" s="25" t="e" cm="1">
        <f t="array" aca="1" ref="Y253" ca="1">MMS_PastureBeef_Soil_N2ODirect_Equations.VEERG_4_2_1_3__2_TotalNitrogenExcretedToPastureRangeAndPaddock(Y221,Y201,Y237)</f>
        <v>#N/A</v>
      </c>
      <c r="Z253" s="25" t="e" cm="1">
        <f t="array" aca="1" ref="Z253" ca="1">MMS_PastureBeef_Soil_N2ODirect_Equations.VEERG_4_2_1_3__2_TotalNitrogenExcretedToPastureRangeAndPaddock(Z221,Z201,Z237)</f>
        <v>#N/A</v>
      </c>
      <c r="AA253" s="25" t="e" cm="1">
        <f t="array" aca="1" ref="AA253" ca="1">MMS_PastureBeef_Soil_N2ODirect_Equations.VEERG_4_2_1_3__2_TotalNitrogenExcretedToPastureRangeAndPaddock(AA221,AA201,AA237)</f>
        <v>#N/A</v>
      </c>
      <c r="AB253" s="25" t="e" cm="1">
        <f t="array" aca="1" ref="AB253" ca="1">MMS_PastureBeef_Soil_N2ODirect_Equations.VEERG_4_2_1_3__2_TotalNitrogenExcretedToPastureRangeAndPaddock(AB221,AB201,AB237)</f>
        <v>#N/A</v>
      </c>
      <c r="AC253" s="25" t="e" cm="1">
        <f t="array" aca="1" ref="AC253" ca="1">MMS_PastureBeef_Soil_N2ODirect_Equations.VEERG_4_2_1_3__2_TotalNitrogenExcretedToPastureRangeAndPaddock(AC221,AC201,AC237)</f>
        <v>#N/A</v>
      </c>
      <c r="AD253" s="25" t="e" cm="1">
        <f t="array" aca="1" ref="AD253" ca="1">MMS_PastureBeef_Soil_N2ODirect_Equations.VEERG_4_2_1_3__2_TotalNitrogenExcretedToPastureRangeAndPaddock(AD221,AD201,AD237)</f>
        <v>#N/A</v>
      </c>
      <c r="AE253" s="25" t="e" cm="1">
        <f t="array" aca="1" ref="AE253" ca="1">MMS_PastureBeef_Soil_N2ODirect_Equations.VEERG_4_2_1_3__2_TotalNitrogenExcretedToPastureRangeAndPaddock(AE221,AE201,AE237)</f>
        <v>#N/A</v>
      </c>
      <c r="AF253" s="26" t="str">
        <f t="shared" si="10"/>
        <v>kg N</v>
      </c>
      <c r="AG253" s="26"/>
      <c r="AH253" s="26"/>
    </row>
    <row r="254" spans="21:34" ht="20.100000000000001" customHeight="1" x14ac:dyDescent="0.25">
      <c r="U254" s="25" t="e">
        <f>TEXT(EDATE(X_Cell_Site_StartDate,6), "mmmm")</f>
        <v>#VALUE!</v>
      </c>
      <c r="V254" s="25" t="e" cm="1">
        <f t="array" aca="1" ref="V254" ca="1">MMS_PastureBeef_Soil_N2ODirect_Equations.VEERG_4_2_1_3__2_TotalNitrogenExcretedToPastureRangeAndPaddock(V222,V202,V238)</f>
        <v>#N/A</v>
      </c>
      <c r="W254" s="25" t="e" cm="1">
        <f t="array" aca="1" ref="W254" ca="1">MMS_PastureBeef_Soil_N2ODirect_Equations.VEERG_4_2_1_3__2_TotalNitrogenExcretedToPastureRangeAndPaddock(W222,W202,W238)</f>
        <v>#N/A</v>
      </c>
      <c r="X254" s="25" t="e" cm="1">
        <f t="array" aca="1" ref="X254" ca="1">MMS_PastureBeef_Soil_N2ODirect_Equations.VEERG_4_2_1_3__2_TotalNitrogenExcretedToPastureRangeAndPaddock(X222,X202,X238)</f>
        <v>#N/A</v>
      </c>
      <c r="Y254" s="25" t="e" cm="1">
        <f t="array" aca="1" ref="Y254" ca="1">MMS_PastureBeef_Soil_N2ODirect_Equations.VEERG_4_2_1_3__2_TotalNitrogenExcretedToPastureRangeAndPaddock(Y222,Y202,Y238)</f>
        <v>#N/A</v>
      </c>
      <c r="Z254" s="25" t="e" cm="1">
        <f t="array" aca="1" ref="Z254" ca="1">MMS_PastureBeef_Soil_N2ODirect_Equations.VEERG_4_2_1_3__2_TotalNitrogenExcretedToPastureRangeAndPaddock(Z222,Z202,Z238)</f>
        <v>#N/A</v>
      </c>
      <c r="AA254" s="25" t="e" cm="1">
        <f t="array" aca="1" ref="AA254" ca="1">MMS_PastureBeef_Soil_N2ODirect_Equations.VEERG_4_2_1_3__2_TotalNitrogenExcretedToPastureRangeAndPaddock(AA222,AA202,AA238)</f>
        <v>#N/A</v>
      </c>
      <c r="AB254" s="25" t="e" cm="1">
        <f t="array" aca="1" ref="AB254" ca="1">MMS_PastureBeef_Soil_N2ODirect_Equations.VEERG_4_2_1_3__2_TotalNitrogenExcretedToPastureRangeAndPaddock(AB222,AB202,AB238)</f>
        <v>#N/A</v>
      </c>
      <c r="AC254" s="25" t="e" cm="1">
        <f t="array" aca="1" ref="AC254" ca="1">MMS_PastureBeef_Soil_N2ODirect_Equations.VEERG_4_2_1_3__2_TotalNitrogenExcretedToPastureRangeAndPaddock(AC222,AC202,AC238)</f>
        <v>#N/A</v>
      </c>
      <c r="AD254" s="25" t="e" cm="1">
        <f t="array" aca="1" ref="AD254" ca="1">MMS_PastureBeef_Soil_N2ODirect_Equations.VEERG_4_2_1_3__2_TotalNitrogenExcretedToPastureRangeAndPaddock(AD222,AD202,AD238)</f>
        <v>#N/A</v>
      </c>
      <c r="AE254" s="25" t="e" cm="1">
        <f t="array" aca="1" ref="AE254" ca="1">MMS_PastureBeef_Soil_N2ODirect_Equations.VEERG_4_2_1_3__2_TotalNitrogenExcretedToPastureRangeAndPaddock(AE222,AE202,AE238)</f>
        <v>#N/A</v>
      </c>
      <c r="AF254" s="26" t="str">
        <f t="shared" si="10"/>
        <v>kg N</v>
      </c>
      <c r="AG254" s="26"/>
      <c r="AH254" s="26"/>
    </row>
    <row r="255" spans="21:34" ht="20.100000000000001" customHeight="1" x14ac:dyDescent="0.25">
      <c r="U255" s="25" t="e">
        <f>TEXT(EDATE(X_Cell_Site_StartDate,7), "mmmm")</f>
        <v>#VALUE!</v>
      </c>
      <c r="V255" s="25" t="e" cm="1">
        <f t="array" aca="1" ref="V255" ca="1">MMS_PastureBeef_Soil_N2ODirect_Equations.VEERG_4_2_1_3__2_TotalNitrogenExcretedToPastureRangeAndPaddock(V223,V203,V239)</f>
        <v>#N/A</v>
      </c>
      <c r="W255" s="25" t="e" cm="1">
        <f t="array" aca="1" ref="W255" ca="1">MMS_PastureBeef_Soil_N2ODirect_Equations.VEERG_4_2_1_3__2_TotalNitrogenExcretedToPastureRangeAndPaddock(W223,W203,W239)</f>
        <v>#N/A</v>
      </c>
      <c r="X255" s="25" t="e" cm="1">
        <f t="array" aca="1" ref="X255" ca="1">MMS_PastureBeef_Soil_N2ODirect_Equations.VEERG_4_2_1_3__2_TotalNitrogenExcretedToPastureRangeAndPaddock(X223,X203,X239)</f>
        <v>#N/A</v>
      </c>
      <c r="Y255" s="25" t="e" cm="1">
        <f t="array" aca="1" ref="Y255" ca="1">MMS_PastureBeef_Soil_N2ODirect_Equations.VEERG_4_2_1_3__2_TotalNitrogenExcretedToPastureRangeAndPaddock(Y223,Y203,Y239)</f>
        <v>#N/A</v>
      </c>
      <c r="Z255" s="25" t="e" cm="1">
        <f t="array" aca="1" ref="Z255" ca="1">MMS_PastureBeef_Soil_N2ODirect_Equations.VEERG_4_2_1_3__2_TotalNitrogenExcretedToPastureRangeAndPaddock(Z223,Z203,Z239)</f>
        <v>#N/A</v>
      </c>
      <c r="AA255" s="25" t="e" cm="1">
        <f t="array" aca="1" ref="AA255" ca="1">MMS_PastureBeef_Soil_N2ODirect_Equations.VEERG_4_2_1_3__2_TotalNitrogenExcretedToPastureRangeAndPaddock(AA223,AA203,AA239)</f>
        <v>#N/A</v>
      </c>
      <c r="AB255" s="25" t="e" cm="1">
        <f t="array" aca="1" ref="AB255" ca="1">MMS_PastureBeef_Soil_N2ODirect_Equations.VEERG_4_2_1_3__2_TotalNitrogenExcretedToPastureRangeAndPaddock(AB223,AB203,AB239)</f>
        <v>#N/A</v>
      </c>
      <c r="AC255" s="25" t="e" cm="1">
        <f t="array" aca="1" ref="AC255" ca="1">MMS_PastureBeef_Soil_N2ODirect_Equations.VEERG_4_2_1_3__2_TotalNitrogenExcretedToPastureRangeAndPaddock(AC223,AC203,AC239)</f>
        <v>#N/A</v>
      </c>
      <c r="AD255" s="25" t="e" cm="1">
        <f t="array" aca="1" ref="AD255" ca="1">MMS_PastureBeef_Soil_N2ODirect_Equations.VEERG_4_2_1_3__2_TotalNitrogenExcretedToPastureRangeAndPaddock(AD223,AD203,AD239)</f>
        <v>#N/A</v>
      </c>
      <c r="AE255" s="25" t="e" cm="1">
        <f t="array" aca="1" ref="AE255" ca="1">MMS_PastureBeef_Soil_N2ODirect_Equations.VEERG_4_2_1_3__2_TotalNitrogenExcretedToPastureRangeAndPaddock(AE223,AE203,AE239)</f>
        <v>#N/A</v>
      </c>
      <c r="AF255" s="26" t="str">
        <f t="shared" si="10"/>
        <v>kg N</v>
      </c>
      <c r="AG255" s="26"/>
      <c r="AH255" s="26"/>
    </row>
    <row r="256" spans="21:34" ht="20.100000000000001" customHeight="1" x14ac:dyDescent="0.25">
      <c r="U256" s="25" t="e">
        <f>TEXT(EDATE(X_Cell_Site_StartDate,8), "mmmm")</f>
        <v>#VALUE!</v>
      </c>
      <c r="V256" s="25" t="e" cm="1">
        <f t="array" aca="1" ref="V256" ca="1">MMS_PastureBeef_Soil_N2ODirect_Equations.VEERG_4_2_1_3__2_TotalNitrogenExcretedToPastureRangeAndPaddock(V224,V204,V240)</f>
        <v>#N/A</v>
      </c>
      <c r="W256" s="25" t="e" cm="1">
        <f t="array" aca="1" ref="W256" ca="1">MMS_PastureBeef_Soil_N2ODirect_Equations.VEERG_4_2_1_3__2_TotalNitrogenExcretedToPastureRangeAndPaddock(W224,W204,W240)</f>
        <v>#N/A</v>
      </c>
      <c r="X256" s="25" t="e" cm="1">
        <f t="array" aca="1" ref="X256" ca="1">MMS_PastureBeef_Soil_N2ODirect_Equations.VEERG_4_2_1_3__2_TotalNitrogenExcretedToPastureRangeAndPaddock(X224,X204,X240)</f>
        <v>#N/A</v>
      </c>
      <c r="Y256" s="25" t="e" cm="1">
        <f t="array" aca="1" ref="Y256" ca="1">MMS_PastureBeef_Soil_N2ODirect_Equations.VEERG_4_2_1_3__2_TotalNitrogenExcretedToPastureRangeAndPaddock(Y224,Y204,Y240)</f>
        <v>#N/A</v>
      </c>
      <c r="Z256" s="25" t="e" cm="1">
        <f t="array" aca="1" ref="Z256" ca="1">MMS_PastureBeef_Soil_N2ODirect_Equations.VEERG_4_2_1_3__2_TotalNitrogenExcretedToPastureRangeAndPaddock(Z224,Z204,Z240)</f>
        <v>#N/A</v>
      </c>
      <c r="AA256" s="25" t="e" cm="1">
        <f t="array" aca="1" ref="AA256" ca="1">MMS_PastureBeef_Soil_N2ODirect_Equations.VEERG_4_2_1_3__2_TotalNitrogenExcretedToPastureRangeAndPaddock(AA224,AA204,AA240)</f>
        <v>#N/A</v>
      </c>
      <c r="AB256" s="25" t="e" cm="1">
        <f t="array" aca="1" ref="AB256" ca="1">MMS_PastureBeef_Soil_N2ODirect_Equations.VEERG_4_2_1_3__2_TotalNitrogenExcretedToPastureRangeAndPaddock(AB224,AB204,AB240)</f>
        <v>#N/A</v>
      </c>
      <c r="AC256" s="25" t="e" cm="1">
        <f t="array" aca="1" ref="AC256" ca="1">MMS_PastureBeef_Soil_N2ODirect_Equations.VEERG_4_2_1_3__2_TotalNitrogenExcretedToPastureRangeAndPaddock(AC224,AC204,AC240)</f>
        <v>#N/A</v>
      </c>
      <c r="AD256" s="25" t="e" cm="1">
        <f t="array" aca="1" ref="AD256" ca="1">MMS_PastureBeef_Soil_N2ODirect_Equations.VEERG_4_2_1_3__2_TotalNitrogenExcretedToPastureRangeAndPaddock(AD224,AD204,AD240)</f>
        <v>#N/A</v>
      </c>
      <c r="AE256" s="25" t="e" cm="1">
        <f t="array" aca="1" ref="AE256" ca="1">MMS_PastureBeef_Soil_N2ODirect_Equations.VEERG_4_2_1_3__2_TotalNitrogenExcretedToPastureRangeAndPaddock(AE224,AE204,AE240)</f>
        <v>#N/A</v>
      </c>
      <c r="AF256" s="26" t="str">
        <f t="shared" si="10"/>
        <v>kg N</v>
      </c>
      <c r="AG256" s="26"/>
      <c r="AH256" s="26"/>
    </row>
    <row r="257" spans="20:35" ht="20.100000000000001" customHeight="1" x14ac:dyDescent="0.25">
      <c r="U257" s="25" t="e">
        <f>TEXT(EDATE(X_Cell_Site_StartDate,9), "mmmm")</f>
        <v>#VALUE!</v>
      </c>
      <c r="V257" s="25" t="e" cm="1">
        <f t="array" aca="1" ref="V257" ca="1">MMS_PastureBeef_Soil_N2ODirect_Equations.VEERG_4_2_1_3__2_TotalNitrogenExcretedToPastureRangeAndPaddock(V225,V205,V241)</f>
        <v>#N/A</v>
      </c>
      <c r="W257" s="25" t="e" cm="1">
        <f t="array" aca="1" ref="W257" ca="1">MMS_PastureBeef_Soil_N2ODirect_Equations.VEERG_4_2_1_3__2_TotalNitrogenExcretedToPastureRangeAndPaddock(W225,W205,W241)</f>
        <v>#N/A</v>
      </c>
      <c r="X257" s="25" t="e" cm="1">
        <f t="array" aca="1" ref="X257" ca="1">MMS_PastureBeef_Soil_N2ODirect_Equations.VEERG_4_2_1_3__2_TotalNitrogenExcretedToPastureRangeAndPaddock(X225,X205,X241)</f>
        <v>#N/A</v>
      </c>
      <c r="Y257" s="25" t="e" cm="1">
        <f t="array" aca="1" ref="Y257" ca="1">MMS_PastureBeef_Soil_N2ODirect_Equations.VEERG_4_2_1_3__2_TotalNitrogenExcretedToPastureRangeAndPaddock(Y225,Y205,Y241)</f>
        <v>#N/A</v>
      </c>
      <c r="Z257" s="25" t="e" cm="1">
        <f t="array" aca="1" ref="Z257" ca="1">MMS_PastureBeef_Soil_N2ODirect_Equations.VEERG_4_2_1_3__2_TotalNitrogenExcretedToPastureRangeAndPaddock(Z225,Z205,Z241)</f>
        <v>#N/A</v>
      </c>
      <c r="AA257" s="25" t="e" cm="1">
        <f t="array" aca="1" ref="AA257" ca="1">MMS_PastureBeef_Soil_N2ODirect_Equations.VEERG_4_2_1_3__2_TotalNitrogenExcretedToPastureRangeAndPaddock(AA225,AA205,AA241)</f>
        <v>#N/A</v>
      </c>
      <c r="AB257" s="25" t="e" cm="1">
        <f t="array" aca="1" ref="AB257" ca="1">MMS_PastureBeef_Soil_N2ODirect_Equations.VEERG_4_2_1_3__2_TotalNitrogenExcretedToPastureRangeAndPaddock(AB225,AB205,AB241)</f>
        <v>#N/A</v>
      </c>
      <c r="AC257" s="25" t="e" cm="1">
        <f t="array" aca="1" ref="AC257" ca="1">MMS_PastureBeef_Soil_N2ODirect_Equations.VEERG_4_2_1_3__2_TotalNitrogenExcretedToPastureRangeAndPaddock(AC225,AC205,AC241)</f>
        <v>#N/A</v>
      </c>
      <c r="AD257" s="25" t="e" cm="1">
        <f t="array" aca="1" ref="AD257" ca="1">MMS_PastureBeef_Soil_N2ODirect_Equations.VEERG_4_2_1_3__2_TotalNitrogenExcretedToPastureRangeAndPaddock(AD225,AD205,AD241)</f>
        <v>#N/A</v>
      </c>
      <c r="AE257" s="25" t="e" cm="1">
        <f t="array" aca="1" ref="AE257" ca="1">MMS_PastureBeef_Soil_N2ODirect_Equations.VEERG_4_2_1_3__2_TotalNitrogenExcretedToPastureRangeAndPaddock(AE225,AE205,AE241)</f>
        <v>#N/A</v>
      </c>
      <c r="AF257" s="26" t="str">
        <f t="shared" si="10"/>
        <v>kg N</v>
      </c>
      <c r="AG257" s="26"/>
      <c r="AH257" s="26"/>
    </row>
    <row r="258" spans="20:35" ht="20.100000000000001" customHeight="1" x14ac:dyDescent="0.25">
      <c r="U258" s="25" t="e">
        <f>TEXT(EDATE(X_Cell_Site_StartDate,10), "mmmm")</f>
        <v>#VALUE!</v>
      </c>
      <c r="V258" s="25" t="e" cm="1">
        <f t="array" aca="1" ref="V258" ca="1">MMS_PastureBeef_Soil_N2ODirect_Equations.VEERG_4_2_1_3__2_TotalNitrogenExcretedToPastureRangeAndPaddock(V226,V206,V242)</f>
        <v>#N/A</v>
      </c>
      <c r="W258" s="25" t="e" cm="1">
        <f t="array" aca="1" ref="W258" ca="1">MMS_PastureBeef_Soil_N2ODirect_Equations.VEERG_4_2_1_3__2_TotalNitrogenExcretedToPastureRangeAndPaddock(W226,W206,W242)</f>
        <v>#N/A</v>
      </c>
      <c r="X258" s="25" t="e" cm="1">
        <f t="array" aca="1" ref="X258" ca="1">MMS_PastureBeef_Soil_N2ODirect_Equations.VEERG_4_2_1_3__2_TotalNitrogenExcretedToPastureRangeAndPaddock(X226,X206,X242)</f>
        <v>#N/A</v>
      </c>
      <c r="Y258" s="25" t="e" cm="1">
        <f t="array" aca="1" ref="Y258" ca="1">MMS_PastureBeef_Soil_N2ODirect_Equations.VEERG_4_2_1_3__2_TotalNitrogenExcretedToPastureRangeAndPaddock(Y226,Y206,Y242)</f>
        <v>#N/A</v>
      </c>
      <c r="Z258" s="25" t="e" cm="1">
        <f t="array" aca="1" ref="Z258" ca="1">MMS_PastureBeef_Soil_N2ODirect_Equations.VEERG_4_2_1_3__2_TotalNitrogenExcretedToPastureRangeAndPaddock(Z226,Z206,Z242)</f>
        <v>#N/A</v>
      </c>
      <c r="AA258" s="25" t="e" cm="1">
        <f t="array" aca="1" ref="AA258" ca="1">MMS_PastureBeef_Soil_N2ODirect_Equations.VEERG_4_2_1_3__2_TotalNitrogenExcretedToPastureRangeAndPaddock(AA226,AA206,AA242)</f>
        <v>#N/A</v>
      </c>
      <c r="AB258" s="25" t="e" cm="1">
        <f t="array" aca="1" ref="AB258" ca="1">MMS_PastureBeef_Soil_N2ODirect_Equations.VEERG_4_2_1_3__2_TotalNitrogenExcretedToPastureRangeAndPaddock(AB226,AB206,AB242)</f>
        <v>#N/A</v>
      </c>
      <c r="AC258" s="25" t="e" cm="1">
        <f t="array" aca="1" ref="AC258" ca="1">MMS_PastureBeef_Soil_N2ODirect_Equations.VEERG_4_2_1_3__2_TotalNitrogenExcretedToPastureRangeAndPaddock(AC226,AC206,AC242)</f>
        <v>#N/A</v>
      </c>
      <c r="AD258" s="25" t="e" cm="1">
        <f t="array" aca="1" ref="AD258" ca="1">MMS_PastureBeef_Soil_N2ODirect_Equations.VEERG_4_2_1_3__2_TotalNitrogenExcretedToPastureRangeAndPaddock(AD226,AD206,AD242)</f>
        <v>#N/A</v>
      </c>
      <c r="AE258" s="25" t="e" cm="1">
        <f t="array" aca="1" ref="AE258" ca="1">MMS_PastureBeef_Soil_N2ODirect_Equations.VEERG_4_2_1_3__2_TotalNitrogenExcretedToPastureRangeAndPaddock(AE226,AE206,AE242)</f>
        <v>#N/A</v>
      </c>
      <c r="AF258" s="26" t="str">
        <f t="shared" si="10"/>
        <v>kg N</v>
      </c>
      <c r="AG258" s="26"/>
      <c r="AH258" s="26"/>
    </row>
    <row r="259" spans="20:35" ht="20.100000000000001" customHeight="1" x14ac:dyDescent="0.25">
      <c r="U259" s="25" t="e">
        <f>TEXT(EDATE(X_Cell_Site_StartDate,11), "mmmm")</f>
        <v>#VALUE!</v>
      </c>
      <c r="V259" s="25" t="e" cm="1">
        <f t="array" aca="1" ref="V259" ca="1">MMS_PastureBeef_Soil_N2ODirect_Equations.VEERG_4_2_1_3__2_TotalNitrogenExcretedToPastureRangeAndPaddock(V227,V207,V243)</f>
        <v>#N/A</v>
      </c>
      <c r="W259" s="25" t="e" cm="1">
        <f t="array" aca="1" ref="W259" ca="1">MMS_PastureBeef_Soil_N2ODirect_Equations.VEERG_4_2_1_3__2_TotalNitrogenExcretedToPastureRangeAndPaddock(W227,W207,W243)</f>
        <v>#N/A</v>
      </c>
      <c r="X259" s="25" t="e" cm="1">
        <f t="array" aca="1" ref="X259" ca="1">MMS_PastureBeef_Soil_N2ODirect_Equations.VEERG_4_2_1_3__2_TotalNitrogenExcretedToPastureRangeAndPaddock(X227,X207,X243)</f>
        <v>#N/A</v>
      </c>
      <c r="Y259" s="25" t="e" cm="1">
        <f t="array" aca="1" ref="Y259" ca="1">MMS_PastureBeef_Soil_N2ODirect_Equations.VEERG_4_2_1_3__2_TotalNitrogenExcretedToPastureRangeAndPaddock(Y227,Y207,Y243)</f>
        <v>#N/A</v>
      </c>
      <c r="Z259" s="25" t="e" cm="1">
        <f t="array" aca="1" ref="Z259" ca="1">MMS_PastureBeef_Soil_N2ODirect_Equations.VEERG_4_2_1_3__2_TotalNitrogenExcretedToPastureRangeAndPaddock(Z227,Z207,Z243)</f>
        <v>#N/A</v>
      </c>
      <c r="AA259" s="25" t="e" cm="1">
        <f t="array" aca="1" ref="AA259" ca="1">MMS_PastureBeef_Soil_N2ODirect_Equations.VEERG_4_2_1_3__2_TotalNitrogenExcretedToPastureRangeAndPaddock(AA227,AA207,AA243)</f>
        <v>#N/A</v>
      </c>
      <c r="AB259" s="25" t="e" cm="1">
        <f t="array" aca="1" ref="AB259" ca="1">MMS_PastureBeef_Soil_N2ODirect_Equations.VEERG_4_2_1_3__2_TotalNitrogenExcretedToPastureRangeAndPaddock(AB227,AB207,AB243)</f>
        <v>#N/A</v>
      </c>
      <c r="AC259" s="25" t="e" cm="1">
        <f t="array" aca="1" ref="AC259" ca="1">MMS_PastureBeef_Soil_N2ODirect_Equations.VEERG_4_2_1_3__2_TotalNitrogenExcretedToPastureRangeAndPaddock(AC227,AC207,AC243)</f>
        <v>#N/A</v>
      </c>
      <c r="AD259" s="25" t="e" cm="1">
        <f t="array" aca="1" ref="AD259" ca="1">MMS_PastureBeef_Soil_N2ODirect_Equations.VEERG_4_2_1_3__2_TotalNitrogenExcretedToPastureRangeAndPaddock(AD227,AD207,AD243)</f>
        <v>#N/A</v>
      </c>
      <c r="AE259" s="25" t="e" cm="1">
        <f t="array" aca="1" ref="AE259" ca="1">MMS_PastureBeef_Soil_N2ODirect_Equations.VEERG_4_2_1_3__2_TotalNitrogenExcretedToPastureRangeAndPaddock(AE227,AE207,AE243)</f>
        <v>#N/A</v>
      </c>
      <c r="AF259" s="26" t="str">
        <f t="shared" si="10"/>
        <v>kg N</v>
      </c>
      <c r="AG259" s="26"/>
      <c r="AH259" s="26"/>
    </row>
    <row r="260" spans="20:35" ht="20.100000000000001" customHeight="1" x14ac:dyDescent="0.25"/>
    <row r="261" spans="20:35" ht="20.100000000000001" customHeight="1" x14ac:dyDescent="0.25">
      <c r="U261" s="130" t="s">
        <v>455</v>
      </c>
      <c r="V261" s="118"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t="e" cm="1">
        <f t="array" aca="1" ref="V267" ca="1">MMS_PastureBeef_Soil_N2ODirect_Equations.VEERG_4_2_1_3__1_DirectNitrousOxideEmissionsOnPasture($V$261,$H$225,$H$226)</f>
        <v>#N/A</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t="e">
        <f ca="1">V267</f>
        <v>#N/A</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t="e" cm="1">
        <f t="array" aca="1" ref="V272" ca="1">Common_Equations.Common_ConvertN2OToCO2e(X269,X270)</f>
        <v>#N/A</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B39C0D84-B25D-46B5-BCBF-D61845D29C0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7242C-3B7C-4931-9103-19A5B406A0AE}">
  <dimension ref="A1:V165"/>
  <sheetViews>
    <sheetView showGridLines="0" topLeftCell="H1"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t="e">
        <f ca="1">VEERG_4_2_1_3__2_TotalNitrogenExcretedToPastureRangeAndPaddock_Result_Method1</f>
        <v>#N/A</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t="e">
        <f ca="1">VEERG_4_2_1_3__2_TotalNitrogenExcretedToPastureRangeAndPaddock_Result_Method2</f>
        <v>#N/A</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SourceData_PastureBeef_FracGASMSoil_Data</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t="e" cm="1">
        <f t="array" aca="1" ref="E16" ca="1">MMS_PastureBeef_Soil_AtmosphericDeposition_Equations.VEERG_4_2_1_5__2_MassOfNitrogenVolatilisedOnPasture(J13,J14)</f>
        <v>#N/A</v>
      </c>
      <c r="F16" s="125" t="str">
        <f>E11</f>
        <v>kg N</v>
      </c>
      <c r="L16" s="91"/>
      <c r="N16" s="130" t="s">
        <v>460</v>
      </c>
      <c r="O16" s="118" t="e" cm="1">
        <f t="array" aca="1" ref="O16" ca="1">MMS_PastureBeef_Soil_AtmosphericDeposition_Equations.VEERG_4_2_1_5__2_MassOfNitrogenVolatilisedOnPasture(T13,$J$14)</f>
        <v>#N/A</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t="e">
        <f ca="1">E16</f>
        <v>#N/A</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t="e">
        <f ca="1">O16</f>
        <v>#N/A</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f>X_Cell_Site_RainfallZone</f>
        <v>0</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t="e" cm="1">
        <f t="array" aca="1" ref="E35" ca="1">MMS_PastureBeef_Soil_AtmosphericDeposition_Equations.VEERG_4_2_1_5__1_AtmosphericDepositionEmissionsFromUrineAndDungOnPasture(I28,I29,I30)</f>
        <v>#N/A</v>
      </c>
      <c r="F35" s="125" t="str">
        <f>$E$26</f>
        <v>t N2O</v>
      </c>
      <c r="N35" s="130" t="s">
        <v>461</v>
      </c>
      <c r="O35" s="118" t="e" cm="1">
        <f t="array" aca="1" ref="O35" ca="1">MMS_PastureBeef_Soil_AtmosphericDeposition_Equations.VEERG_4_2_1_5__1_AtmosphericDepositionEmissionsFromUrineAndDungOnPasture(S28,I29,I30)</f>
        <v>#N/A</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t="e">
        <f ca="1">E35</f>
        <v>#N/A</v>
      </c>
      <c r="N37" s="122" t="str" cm="1">
        <f t="array" ref="N37:O38">Common_Equations.Common_ConvertN2OToCO2e_Arguments()</f>
        <v>EN2O</v>
      </c>
      <c r="O37" s="123" t="str">
        <v>Nitrous oxide emissions (t N2O)</v>
      </c>
      <c r="P37" s="124"/>
      <c r="Q37" s="25" t="e">
        <f ca="1">O35</f>
        <v>#N/A</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t="e" cm="1">
        <f t="array" aca="1" ref="E40" ca="1">Common_Equations.Common_ConvertN2OToCO2e(G37,G38)</f>
        <v>#N/A</v>
      </c>
      <c r="F40" s="125" t="str" cm="1">
        <f t="array" ref="F40">Common_Equations.Common_ConvertN2OToCO2e_Unit()</f>
        <v>t CO2e</v>
      </c>
      <c r="N40" s="118" t="s">
        <v>298</v>
      </c>
      <c r="O40" s="118" t="e" cm="1">
        <f t="array" aca="1" ref="O40" ca="1">Common_Equations.Common_ConvertN2OToCO2e(Q37,Q38)</f>
        <v>#N/A</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142A555A-B5C2-4BCE-84A4-E4BF1E11D705}"/>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45629E-88AE-45E0-BCA0-7A916028326F}">
  <dimension ref="A1:S165"/>
  <sheetViews>
    <sheetView showGridLines="0" topLeftCell="E1"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t="e">
        <f ca="1">VEERG_4_2_1_3__2_TotalNitrogenExcretedToPastureRangeAndPaddock_Result_Method1</f>
        <v>#N/A</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t="e">
        <f ca="1">VEERG_4_2_1_3__2_TotalNitrogenExcretedToPastureRangeAndPaddock_Result_Method2</f>
        <v>#N/A</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SourceData_PastureBeef_FracLEACH_Data</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f>X_Cell_Site_LeachingZone</f>
        <v>0</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t="e" cm="1">
        <f t="array" aca="1" ref="E20" ca="1">MMS_PastureBeef_Soil_LeachingAndRunoff.VEERG_4_2_1_7__2_MassOfNitrogenLostToLeachingAndRunoffOnPasture($I$13,$I$14,$I$15)</f>
        <v>#N/A</v>
      </c>
      <c r="F20" s="125" t="str">
        <f>$E$11</f>
        <v>kg N</v>
      </c>
      <c r="K20" s="91"/>
      <c r="M20" s="130" t="s">
        <v>463</v>
      </c>
      <c r="N20" s="118" t="e" cm="1">
        <f t="array" aca="1" ref="N20" ca="1">MMS_PastureBeef_Soil_LeachingAndRunoff.VEERG_4_2_1_7__2_MassOfNitrogenLostToLeachingAndRunoffOnPasture($R$13,$I$14,$I$15)</f>
        <v>#N/A</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t="e">
        <f ca="1">$E$20</f>
        <v>#N/A</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t="e">
        <f ca="1">$N$20</f>
        <v>#N/A</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t="e" cm="1">
        <f t="array" aca="1" ref="E36" ca="1">MMS_PastureBeef_Soil_LeachingAndRunoff.VEERG_4_2_1_7__1_LeachingAndRunoffEmissionsFromUrineAndDungOnPasture(I32,I33,I34)</f>
        <v>#N/A</v>
      </c>
      <c r="F36" s="125" t="str">
        <f>$E$30</f>
        <v>t N2O</v>
      </c>
      <c r="M36" s="130" t="s">
        <v>464</v>
      </c>
      <c r="N36" s="118" t="e" cm="1">
        <f t="array" aca="1" ref="N36" ca="1">MMS_PastureBeef_Soil_LeachingAndRunoff.VEERG_4_2_1_7__1_LeachingAndRunoffEmissionsFromUrineAndDungOnPasture(R32,I33,I34)</f>
        <v>#N/A</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t="e">
        <f ca="1">E36</f>
        <v>#N/A</v>
      </c>
      <c r="M38" s="122" t="str" cm="1">
        <f t="array" ref="M38:N39">Common_Equations.Common_ConvertN2OToCO2e_Arguments()</f>
        <v>EN2O</v>
      </c>
      <c r="N38" s="123" t="str">
        <v>Nitrous oxide emissions (t N2O)</v>
      </c>
      <c r="O38" s="124"/>
      <c r="P38" s="25" t="e">
        <f ca="1">N36</f>
        <v>#N/A</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t="e" cm="1">
        <f t="array" aca="1" ref="E41" ca="1">Common_Equations.Common_ConvertN2OToCO2e(G38,G39)</f>
        <v>#N/A</v>
      </c>
      <c r="F41" s="125" t="str" cm="1">
        <f t="array" ref="F41">Common_Equations.Common_ConvertN2OToCO2e_Unit()</f>
        <v>t CO2e</v>
      </c>
      <c r="M41" s="118" t="s">
        <v>298</v>
      </c>
      <c r="N41" s="118" t="e" cm="1">
        <f t="array" aca="1" ref="N41" ca="1">Common_Equations.Common_ConvertN2OToCO2e(P38,P39)</f>
        <v>#N/A</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35A10456-7C63-4F2A-A6A9-F649BA4EC1DC}"/>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86D6C-F3CA-4F93-BD35-ADFDA4B2AA69}">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f>X_Cell_Site_RainfallZone</f>
        <v>0</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f>X_Cell_Site_RainfallZone</f>
        <v>0</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201BD95F-BCB8-4FEA-99D1-36D854B40240}"/>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CD9C2-0B52-48E3-B41D-51F698E6C539}">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E6732-21BA-42B0-8683-D1014B80AA2F}">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f>X_Cell_Site_WetOrDryClimateZone</f>
        <v>0</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0</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0</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0</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A9F1-0482-4506-B7C8-B800D8C23B19}">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34191-6CDD-4988-A6FB-A57574D6E2D3}">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f>X_Cell_Site_RainfallZone</f>
        <v>0</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f>X_Cell_Site_RainfallZone</f>
        <v>0</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1DBA3-84E8-44C1-A6E5-2EEE74B5568A}">
  <dimension ref="A1:T1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f>X_Cell_Site_LeachingZone</f>
        <v>0</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f>X_Cell_Site_LeachingZone</f>
        <v>0</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69D20-C528-438D-B9A6-32D3264CEFD4}">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0</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f>X_Cell_Site_WetOrDryClimateZone</f>
        <v>0</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0</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0</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0</v>
      </c>
      <c r="N42" s="122" t="str" cm="1">
        <f t="array" ref="N42:O43">Common_Equations.Common_ConvertN2OToCO2e_Arguments()</f>
        <v>EN2O</v>
      </c>
      <c r="O42" s="123" t="str">
        <v>Nitrous oxide emissions (t N2O)</v>
      </c>
      <c r="P42" s="172"/>
      <c r="Q42" s="122">
        <f>O40</f>
        <v>0</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0</v>
      </c>
      <c r="F45" s="15" t="str" cm="1">
        <f t="array" ref="F45">Common_Equations.Common_ConvertN2OToCO2e_Unit()</f>
        <v>t CO2e</v>
      </c>
      <c r="N45" s="1" t="s">
        <v>816</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50DF9-5DF9-4A74-96D5-790AFA4F5798}">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f>X_Cell_Site_LeachingZone</f>
        <v>0</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665B3-8E6D-4FA6-B2E3-5D75F476F630}">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67569B30-5792-4DC1-92E7-938E36FF8884}"/>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9353A-29A2-404F-8A04-105CB611A052}">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Dry climate zone</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0</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0</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5.8823999999999996</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5.8823999999999996</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3D91B-493D-4E8D-AB4C-0BA7756FA108}">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3912A769-5732-4D7F-973D-4B90C731EB09}"/>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7455B-B625-4020-80C1-494D26B95FD3}">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085D8-E7A9-4180-A413-13BAB4B05AB3}">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53916-34E0-46B2-A428-73D114DA815A}">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93CA7-42B8-4429-9547-A4D5658E42F4}">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1C297-8376-4E27-A103-0B4920A2BD35}">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3CC4D-B5EC-4C59-ACD5-38087B552947}">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6646F-AFB3-4A82-BC92-203FCE68E256}">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9A1A2-CAC5-4C60-B01B-4ABB5A5A56D0}">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580</vt:i4>
      </vt:variant>
    </vt:vector>
  </HeadingPairs>
  <TitlesOfParts>
    <vt:vector size="615"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'4.2.1.1-2 Methane'!SourceData_PastureBeef_AshContentOfFeedIntake_Data</vt:lpstr>
      <vt:lpstr>'4.2.1.3-4 Soil direct N20'!SourceData_PastureBeef_AshContentOfFeedIntake_Data</vt:lpstr>
      <vt:lpstr>'4.2.1.5-6 Soil Atmos Dep'!SourceData_PastureBeef_AshContentOfFeedIntake_Data</vt:lpstr>
      <vt:lpstr>'4.2.1.7-8 Soil leach runoff'!SourceData_PastureBeef_AshContentOfFeedIntake_Data</vt:lpstr>
      <vt:lpstr>'Input - Pasture Beef'!SourceData_PastureBeef_AshContentOfFeedIntake_Data</vt:lpstr>
      <vt:lpstr>SourceData_PastureBeef_AshContentOfFeedIntake_Data</vt:lpstr>
      <vt:lpstr>'4.2.1.1-2 Methane'!SourceData_PastureBeef_FracGASMSoil_Data</vt:lpstr>
      <vt:lpstr>'4.2.1.3-4 Soil direct N20'!SourceData_PastureBeef_FracGASMSoil_Data</vt:lpstr>
      <vt:lpstr>'4.2.1.5-6 Soil Atmos Dep'!SourceData_PastureBeef_FracGASMSoil_Data</vt:lpstr>
      <vt:lpstr>'4.2.1.7-8 Soil leach runoff'!SourceData_PastureBeef_FracGASMSoil_Data</vt:lpstr>
      <vt:lpstr>'Input - Pasture Beef'!SourceData_PastureBeef_FracGASMSoil_Data</vt:lpstr>
      <vt:lpstr>SourceData_PastureBeef_FracGASMSoil_Data</vt:lpstr>
      <vt:lpstr>'4.2.1.1-2 Methane'!SourceData_PastureBeef_FracLEACH_Data</vt:lpstr>
      <vt:lpstr>'4.2.1.3-4 Soil direct N20'!SourceData_PastureBeef_FracLEACH_Data</vt:lpstr>
      <vt:lpstr>'4.2.1.5-6 Soil Atmos Dep'!SourceData_PastureBeef_FracLEACH_Data</vt:lpstr>
      <vt:lpstr>'4.2.1.7-8 Soil leach runoff'!SourceData_PastureBeef_FracLEACH_Data</vt:lpstr>
      <vt:lpstr>'Input - Pasture Beef'!SourceData_PastureBeef_FracLEACH_Data</vt:lpstr>
      <vt:lpstr>SourceData_PastureBeef_FracLEACH_Data</vt:lpstr>
      <vt:lpstr>'4.2.1.1-2 Methane'!SourceData_PastureBeef_MethaneEmissionsPotential_Data</vt:lpstr>
      <vt:lpstr>'4.2.1.3-4 Soil direct N20'!SourceData_PastureBeef_MethaneEmissionsPotential_Data</vt:lpstr>
      <vt:lpstr>'4.2.1.5-6 Soil Atmos Dep'!SourceData_PastureBeef_MethaneEmissionsPotential_Data</vt:lpstr>
      <vt:lpstr>'4.2.1.7-8 Soil leach runoff'!SourceData_PastureBeef_MethaneEmissionsPotential_Data</vt:lpstr>
      <vt:lpstr>'Input - Pasture Beef'!SourceData_PastureBeef_MethaneEmissionsPotential_Data</vt:lpstr>
      <vt:lpstr>SourceData_PastureBeef_MethaneEmissionsPotential_Data</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'4.2.1.5-6 Soil Atmos Dep'!VEERG_4_2_1_3__2_TotalNitrogenExcretedToPastureRangeAndPaddock_Result_Method1</vt:lpstr>
      <vt:lpstr>'4.2.1.7-8 Soil leach runoff'!VEERG_4_2_1_3__2_TotalNitrogenExcretedToPastureRangeAndPaddock_Result_Method1</vt:lpstr>
      <vt:lpstr>VEERG_4_2_1_3__2_TotalNitrogenExcretedToPastureRangeAndPaddock_Result_Method1</vt:lpstr>
      <vt:lpstr>'4.2.1.5-6 Soil Atmos Dep'!VEERG_4_2_1_3__2_TotalNitrogenExcretedToPastureRangeAndPaddock_Result_Method2</vt:lpstr>
      <vt:lpstr>'4.2.1.7-8 Soil leach runoff'!VEERG_4_2_1_3__2_TotalNitrogenExcretedToPastureRangeAndPaddock_Result_Method2</vt:lpstr>
      <vt:lpstr>VEERG_4_2_1_3__2_TotalNitrogenExcretedToPastureRangeAndPaddock_Result_Method2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electricity'!X_Cell_Electricity_CalculationMethod</vt:lpstr>
      <vt:lpstr>'Constants - Electricity'!X_Cell_Electricity_CalculationMethod</vt:lpstr>
      <vt:lpstr>X_Cell_Electricity_CalculationMethod</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'4.2.1.1-2 Methane'!X_Cell_PastureBeef_CalculatedMMSAnaerobicLagoon</vt:lpstr>
      <vt:lpstr>'4.2.1.3-4 Soil direct N20'!X_Cell_PastureBeef_CalculatedMMSAnaerobicLagoon</vt:lpstr>
      <vt:lpstr>'4.2.1.5-6 Soil Atmos Dep'!X_Cell_PastureBeef_CalculatedMMSAnaerobicLagoon</vt:lpstr>
      <vt:lpstr>'4.2.1.7-8 Soil leach runoff'!X_Cell_PastureBeef_CalculatedMMSAnaerobicLagoon</vt:lpstr>
      <vt:lpstr>X_Cell_PastureBeef_CalculatedMMSAnaerobicLagoon</vt:lpstr>
      <vt:lpstr>'4.2.1.1-2 Methane'!X_Cell_PastureBeef_CalculatedMMSPastureRangeAndPaddock</vt:lpstr>
      <vt:lpstr>'4.2.1.3-4 Soil direct N20'!X_Cell_PastureBeef_CalculatedMMSPastureRangeAndPaddock</vt:lpstr>
      <vt:lpstr>'4.2.1.5-6 Soil Atmos Dep'!X_Cell_PastureBeef_CalculatedMMSPastureRangeAndPaddock</vt:lpstr>
      <vt:lpstr>'4.2.1.7-8 Soil leach runoff'!X_Cell_PastureBeef_CalculatedMMSPastureRangeAndPaddock</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X_Cell_Site_EndDate</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'14.1.1-2 Purchased electricity'!X_Cell_Site_Region</vt:lpstr>
      <vt:lpstr>'Constants - Electricity'!X_Cell_Site_Region</vt:lpstr>
      <vt:lpstr>'Input - Electricity'!X_Cell_Site_Region</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2026-07-23T02:23:23Z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