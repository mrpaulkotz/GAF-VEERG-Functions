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EE018B5-82B8-4D2D-9FB8-11C1F0A4ADCF}" xr6:coauthVersionLast="47" xr6:coauthVersionMax="47" xr10:uidLastSave="{00000000-0000-0000-0000-000000000000}"/>
  <bookViews>
    <workbookView xWindow="1170" yWindow="117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Enterprise_Method1">Results!$H$28</definedName>
    <definedName name="Result_Enterprise_Method2">Results!$I$28</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Location_AmountPurchasedInkWh">'Input - Electricity'!$E$11</definedName>
    <definedName name="X_Cell_Electricity_Location_GridElectricityPurchasedFrom">'Input - Electricity'!$E$13</definedName>
    <definedName name="X_Cell_Electricity_Market_AmountPurchasedExcludingGreenPower">'Input - Electricity'!$E$19</definedName>
    <definedName name="X_Cell_Electricity_Market_AmountPurchasedGreenPower">'Input - Electricity'!$E$23</definedName>
    <definedName name="X_Cell_Electricity_Market_JurisdictionalRenewablePowerPercentage">'Input - Electricity'!$E$21</definedName>
    <definedName name="X_Cell_Electricity_Market_RenewablePowerPercentage">'Input - Electricity'!$E$20</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Electricity'!$E$46</definedName>
    <definedName name="X_Cell_TotalElegibleVoluntarilySurrenderedRECs">'Input - Electricity'!$E$37</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c r="L38" i="96" a="1"/>
  <c r="L38" i="96"/>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c r="I33" i="96" a="1"/>
  <c r="I33" i="96"/>
  <c r="H33" i="96" a="1"/>
  <c r="H33" i="96"/>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J15" i="100" a="1"/>
  <c r="J15" i="100" s="1"/>
  <c r="J14" i="100" a="1"/>
  <c r="J14" i="100" s="1"/>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E112" i="89"/>
  <c r="E111" i="89"/>
  <c r="E110" i="89"/>
  <c r="E109" i="89"/>
  <c r="E108" i="89"/>
  <c r="E107" i="89"/>
  <c r="E106" i="89"/>
  <c r="E105" i="89"/>
  <c r="D102" i="89" a="1"/>
  <c r="D102" i="89" s="1"/>
  <c r="I97" i="89"/>
  <c r="G82" i="89"/>
  <c r="D59" i="89" a="1"/>
  <c r="D59" i="89" s="1"/>
  <c r="J51"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K45"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s="1"/>
  <c r="F27" i="86" a="1"/>
  <c r="F27" i="86" s="1"/>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I15" i="83"/>
  <c r="Q38" i="82"/>
  <c r="G38" i="82"/>
  <c r="I30" i="82"/>
  <c r="J14" i="82"/>
  <c r="X270" i="8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G232" i="81"/>
  <c r="U227" i="81"/>
  <c r="U226" i="81"/>
  <c r="H226" i="81"/>
  <c r="U225" i="81"/>
  <c r="U224" i="81"/>
  <c r="U223" i="81"/>
  <c r="U222" i="81"/>
  <c r="U221" i="81"/>
  <c r="U220" i="81"/>
  <c r="U219" i="81"/>
  <c r="U218" i="81"/>
  <c r="U217" i="81"/>
  <c r="U216" i="81"/>
  <c r="U207" i="81"/>
  <c r="U206" i="81"/>
  <c r="U205" i="81"/>
  <c r="U204" i="81"/>
  <c r="U203" i="81"/>
  <c r="U202" i="81"/>
  <c r="U201" i="81"/>
  <c r="U200" i="81"/>
  <c r="U199" i="81"/>
  <c r="U198" i="81"/>
  <c r="U197" i="81"/>
  <c r="U196" i="81"/>
  <c r="AC191" i="81" a="1"/>
  <c r="AC191" i="81" s="1"/>
  <c r="Y191" i="81" a="1"/>
  <c r="Y191" i="81" s="1"/>
  <c r="W191" i="81" a="1"/>
  <c r="W191" i="81" s="1"/>
  <c r="U191" i="81"/>
  <c r="AC190" i="81" a="1"/>
  <c r="AC190" i="81" s="1"/>
  <c r="Y190" i="81" a="1"/>
  <c r="Y190" i="81" s="1"/>
  <c r="W190" i="81" a="1"/>
  <c r="W190" i="81" s="1"/>
  <c r="U190" i="81"/>
  <c r="AC189" i="81" a="1"/>
  <c r="AC189" i="81" s="1"/>
  <c r="Y189" i="81" a="1"/>
  <c r="Y189" i="81" s="1"/>
  <c r="W189" i="81" a="1"/>
  <c r="W189" i="81" s="1"/>
  <c r="U189" i="81"/>
  <c r="AC188" i="81" a="1"/>
  <c r="AC188" i="81" s="1"/>
  <c r="Y188" i="81" a="1"/>
  <c r="Y188" i="81" s="1"/>
  <c r="W188" i="81" a="1"/>
  <c r="W188" i="81" s="1"/>
  <c r="U188" i="81"/>
  <c r="AC187" i="81" a="1"/>
  <c r="AC187" i="81" s="1"/>
  <c r="Y187" i="81" a="1"/>
  <c r="Y187" i="81" s="1"/>
  <c r="W187" i="81" a="1"/>
  <c r="W187" i="81" s="1"/>
  <c r="U187" i="81"/>
  <c r="AC186" i="81" a="1"/>
  <c r="AC186" i="81" s="1"/>
  <c r="Y186" i="81" a="1"/>
  <c r="Y186" i="81" s="1"/>
  <c r="W186" i="81" a="1"/>
  <c r="W186" i="81" s="1"/>
  <c r="U186" i="81"/>
  <c r="AC185" i="81" a="1"/>
  <c r="AC185" i="81" s="1"/>
  <c r="Y185" i="81" a="1"/>
  <c r="Y185" i="81" s="1"/>
  <c r="W185" i="81" a="1"/>
  <c r="W185" i="81" s="1"/>
  <c r="U185" i="81"/>
  <c r="AC184" i="81" a="1"/>
  <c r="AC184" i="81" s="1"/>
  <c r="Y184" i="81" a="1"/>
  <c r="Y184" i="81" s="1"/>
  <c r="W184" i="81" a="1"/>
  <c r="W184" i="81" s="1"/>
  <c r="U184" i="81"/>
  <c r="AC183" i="81" a="1"/>
  <c r="AC183" i="81" s="1"/>
  <c r="Y183" i="81" a="1"/>
  <c r="Y183" i="81" s="1"/>
  <c r="W183" i="81" a="1"/>
  <c r="W183" i="81" s="1"/>
  <c r="U183" i="81"/>
  <c r="AC182" i="81" a="1"/>
  <c r="AC182" i="81" s="1"/>
  <c r="Y182" i="81" a="1"/>
  <c r="Y182" i="81" s="1"/>
  <c r="W182" i="81" a="1"/>
  <c r="W182" i="81" s="1"/>
  <c r="U182" i="81"/>
  <c r="AC181" i="81" a="1"/>
  <c r="AC181" i="81" s="1"/>
  <c r="Y181" i="81" a="1"/>
  <c r="Y181" i="81" s="1"/>
  <c r="W181" i="81" a="1"/>
  <c r="W181" i="81" s="1"/>
  <c r="U181" i="81"/>
  <c r="AC180" i="81" a="1"/>
  <c r="AC180" i="81" s="1"/>
  <c r="Y180" i="81" a="1"/>
  <c r="Y180" i="81" s="1"/>
  <c r="W180" i="81" a="1"/>
  <c r="W180" i="81" s="1"/>
  <c r="U180" i="81"/>
  <c r="U175" i="81"/>
  <c r="U174" i="81"/>
  <c r="U173" i="81"/>
  <c r="U172" i="81"/>
  <c r="U171" i="81"/>
  <c r="U170" i="81"/>
  <c r="U169" i="81"/>
  <c r="U168" i="81"/>
  <c r="U167" i="81"/>
  <c r="U166" i="81"/>
  <c r="U165" i="81"/>
  <c r="U164" i="81"/>
  <c r="F163" i="81" a="1"/>
  <c r="F163" i="81" s="1"/>
  <c r="F162" i="81" a="1"/>
  <c r="F162" i="81" s="1"/>
  <c r="L161" i="81" a="1"/>
  <c r="L161" i="81" s="1"/>
  <c r="H161" i="81" a="1"/>
  <c r="H161" i="81" s="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U93" i="81"/>
  <c r="X92" i="81"/>
  <c r="W92" i="81"/>
  <c r="V92" i="81"/>
  <c r="U92" i="81"/>
  <c r="G87" i="81"/>
  <c r="F87" i="81"/>
  <c r="E87" i="81"/>
  <c r="D87" i="81"/>
  <c r="U83" i="81"/>
  <c r="U82" i="81"/>
  <c r="U81" i="81"/>
  <c r="I81" i="81" a="1"/>
  <c r="I81" i="81" s="1"/>
  <c r="U80" i="81"/>
  <c r="U79" i="81"/>
  <c r="U78" i="81"/>
  <c r="U77" i="81"/>
  <c r="U76" i="81"/>
  <c r="U75" i="81"/>
  <c r="U74" i="81"/>
  <c r="U73" i="81"/>
  <c r="U72" i="81"/>
  <c r="AF67" i="81"/>
  <c r="U67" i="81"/>
  <c r="AF66" i="81"/>
  <c r="U66" i="81"/>
  <c r="AF65" i="81"/>
  <c r="U65" i="81"/>
  <c r="AF64" i="81"/>
  <c r="U64" i="81"/>
  <c r="AF63" i="81"/>
  <c r="U63" i="81"/>
  <c r="AF62" i="81"/>
  <c r="U62" i="81"/>
  <c r="AF61" i="81"/>
  <c r="U61" i="81"/>
  <c r="AF60" i="81"/>
  <c r="U60" i="81"/>
  <c r="AF59" i="81"/>
  <c r="U59" i="81"/>
  <c r="AF58" i="81"/>
  <c r="U58" i="81"/>
  <c r="AF57" i="81"/>
  <c r="U57" i="81"/>
  <c r="O57" i="81"/>
  <c r="AF56" i="81"/>
  <c r="U56" i="81"/>
  <c r="O56" i="81"/>
  <c r="O55" i="81"/>
  <c r="O54" i="81"/>
  <c r="U47" i="81"/>
  <c r="U46" i="81"/>
  <c r="U45" i="81"/>
  <c r="U44" i="81"/>
  <c r="U43" i="81"/>
  <c r="U42" i="81"/>
  <c r="U41" i="81"/>
  <c r="U40" i="81"/>
  <c r="U39" i="81"/>
  <c r="U38" i="81"/>
  <c r="U37" i="81"/>
  <c r="U36" i="81"/>
  <c r="U31" i="81"/>
  <c r="U30" i="81"/>
  <c r="U29" i="81"/>
  <c r="U28" i="81"/>
  <c r="U27" i="81"/>
  <c r="U26" i="81"/>
  <c r="U25" i="81"/>
  <c r="U24" i="81"/>
  <c r="U23" i="81"/>
  <c r="U22" i="81"/>
  <c r="U21" i="81"/>
  <c r="U20"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I158" i="80"/>
  <c r="I155" i="80"/>
  <c r="I110"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W23" i="80"/>
  <c r="H23" i="80"/>
  <c r="G23" i="80"/>
  <c r="F23" i="80"/>
  <c r="E23" i="80"/>
  <c r="Z22" i="80"/>
  <c r="Y22" i="80"/>
  <c r="X22" i="80"/>
  <c r="W22" i="80"/>
  <c r="H22" i="80"/>
  <c r="G22" i="80"/>
  <c r="F22" i="80"/>
  <c r="E22" i="80"/>
  <c r="J15" i="80" a="1"/>
  <c r="J15" i="80" s="1"/>
  <c r="J14" i="80" a="1"/>
  <c r="J14" i="80" s="1"/>
  <c r="X164" i="77"/>
  <c r="U144" i="77"/>
  <c r="U143" i="77"/>
  <c r="U142" i="77"/>
  <c r="U141" i="77"/>
  <c r="U140" i="77"/>
  <c r="U139" i="77"/>
  <c r="U138" i="77"/>
  <c r="U137" i="77"/>
  <c r="U136" i="77"/>
  <c r="U135" i="77"/>
  <c r="U134" i="77"/>
  <c r="U133" i="77"/>
  <c r="G131"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J14" i="77" a="1"/>
  <c r="J14" i="77" s="1"/>
  <c r="E26" i="92"/>
  <c r="E25" i="92"/>
  <c r="E12" i="92"/>
  <c r="J21" i="95" a="1"/>
  <c r="J21" i="95" s="1"/>
  <c r="G21" i="95" a="1"/>
  <c r="G21" i="95" s="1"/>
  <c r="I21" i="95" s="1"/>
  <c r="J20" i="95" a="1"/>
  <c r="J20" i="95" s="1"/>
  <c r="G20" i="95" a="1"/>
  <c r="G20" i="95" s="1"/>
  <c r="J19" i="95" a="1"/>
  <c r="J19" i="95" s="1"/>
  <c r="G19" i="95" a="1"/>
  <c r="G19" i="95" s="1"/>
  <c r="J18" i="95" a="1"/>
  <c r="J18" i="95" s="1"/>
  <c r="G18" i="95" a="1"/>
  <c r="G18" i="95" s="1"/>
  <c r="I18" i="95" s="1"/>
  <c r="J17" i="95" a="1"/>
  <c r="J17" i="95" s="1"/>
  <c r="G17" i="95" a="1"/>
  <c r="G17" i="95" s="1"/>
  <c r="I17" i="95" s="1"/>
  <c r="P28" i="84"/>
  <c r="P27" i="84"/>
  <c r="P26" i="84"/>
  <c r="X22" i="84"/>
  <c r="W22" i="84"/>
  <c r="V22" i="84"/>
  <c r="U22" i="84" a="1"/>
  <c r="U22" i="84" s="1"/>
  <c r="T22" i="84" a="1"/>
  <c r="T22" i="84" s="1"/>
  <c r="S22" i="84" a="1"/>
  <c r="S22" i="84" s="1"/>
  <c r="R22" i="84" a="1"/>
  <c r="R22" i="84" s="1"/>
  <c r="Q22" i="84" a="1"/>
  <c r="Q22" i="84" s="1"/>
  <c r="P22" i="84" a="1"/>
  <c r="P22" i="84" s="1"/>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J200" i="76" a="1"/>
  <c r="J200" i="76" s="1"/>
  <c r="J199" i="76" a="1"/>
  <c r="J199" i="76" s="1"/>
  <c r="J198" i="76" a="1"/>
  <c r="J198" i="76" s="1"/>
  <c r="J197" i="76" a="1"/>
  <c r="J197" i="76" s="1"/>
  <c r="J196" i="76" a="1"/>
  <c r="J196" i="76" s="1"/>
  <c r="J195" i="76" a="1"/>
  <c r="J195" i="76"/>
  <c r="J194" i="76" a="1"/>
  <c r="J194" i="76" s="1"/>
  <c r="J193" i="76" a="1"/>
  <c r="J193" i="76" s="1"/>
  <c r="J192" i="76" a="1"/>
  <c r="J192" i="76" s="1"/>
  <c r="J191" i="76" a="1"/>
  <c r="J191" i="76" s="1"/>
  <c r="E180" i="76"/>
  <c r="K157" i="76"/>
  <c r="G156" i="76"/>
  <c r="M136" i="76"/>
  <c r="I135" i="76"/>
  <c r="E134" i="76"/>
  <c r="L86" i="76"/>
  <c r="H85" i="76"/>
  <c r="N83" i="76"/>
  <c r="F68" i="76"/>
  <c r="K63" i="76"/>
  <c r="G62" i="76"/>
  <c r="J200" i="79" a="1"/>
  <c r="J200" i="79" s="1"/>
  <c r="J199" i="79" a="1"/>
  <c r="J199" i="79" s="1"/>
  <c r="J198" i="79" a="1"/>
  <c r="J198" i="79" s="1"/>
  <c r="J197" i="79" a="1"/>
  <c r="J197" i="79" s="1"/>
  <c r="J196" i="79" a="1"/>
  <c r="J196" i="79" s="1"/>
  <c r="J195" i="79" a="1"/>
  <c r="J195" i="79" s="1"/>
  <c r="J194" i="79" a="1"/>
  <c r="J194" i="79" s="1"/>
  <c r="J193" i="79" a="1"/>
  <c r="J193" i="79" s="1"/>
  <c r="J192" i="79" a="1"/>
  <c r="J192" i="79" s="1"/>
  <c r="J191" i="79" a="1"/>
  <c r="J191" i="79" s="1"/>
  <c r="H171" i="79"/>
  <c r="G171" i="79"/>
  <c r="K162" i="79"/>
  <c r="N158" i="79"/>
  <c r="K157" i="79"/>
  <c r="J157" i="79"/>
  <c r="G156" i="79"/>
  <c r="F156" i="79"/>
  <c r="N149" i="79"/>
  <c r="M149" i="79"/>
  <c r="I145" i="79"/>
  <c r="I144" i="79"/>
  <c r="L136" i="79"/>
  <c r="I136" i="79"/>
  <c r="H136" i="79"/>
  <c r="H135" i="79"/>
  <c r="G135" i="79"/>
  <c r="E135" i="79"/>
  <c r="N134" i="79"/>
  <c r="N133" i="79"/>
  <c r="M133" i="79"/>
  <c r="K133" i="79"/>
  <c r="J133" i="79"/>
  <c r="L97" i="79"/>
  <c r="K97" i="79"/>
  <c r="I96" i="79"/>
  <c r="H96" i="79"/>
  <c r="G93" i="79"/>
  <c r="G92" i="79"/>
  <c r="E92" i="79"/>
  <c r="M91" i="79"/>
  <c r="M86" i="79"/>
  <c r="L86" i="79"/>
  <c r="J86" i="79"/>
  <c r="I86" i="79"/>
  <c r="I85" i="79"/>
  <c r="H85" i="79"/>
  <c r="F85" i="79"/>
  <c r="E85" i="79"/>
  <c r="E84" i="79"/>
  <c r="N83" i="79"/>
  <c r="L83" i="79"/>
  <c r="K83" i="79"/>
  <c r="N73" i="79"/>
  <c r="K73" i="79"/>
  <c r="I73" i="79"/>
  <c r="G73" i="79"/>
  <c r="I70" i="79"/>
  <c r="L69" i="79"/>
  <c r="H69" i="79"/>
  <c r="G69" i="79"/>
  <c r="J64" i="79"/>
  <c r="I64" i="79"/>
  <c r="G64" i="79"/>
  <c r="F64" i="79"/>
  <c r="F63" i="79"/>
  <c r="E63" i="79"/>
  <c r="M62" i="79"/>
  <c r="L62" i="79"/>
  <c r="L61" i="79"/>
  <c r="K61" i="79"/>
  <c r="I61" i="79"/>
  <c r="H61" i="79"/>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c r="D20" i="103" a="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c r="E74" i="102" a="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c r="H53" i="102" a="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F25" i="101"/>
  <c r="H25" i="101" s="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a="1"/>
  <c r="D6" i="100" s="1"/>
  <c r="D5" i="100" a="1"/>
  <c r="D5" i="100" s="1"/>
  <c r="E20" i="99"/>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27" i="97"/>
  <c r="P18" i="97"/>
  <c r="K39" i="97" s="1" a="1"/>
  <c r="K39" i="97" s="1"/>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60" i="96"/>
  <c r="D54" i="96"/>
  <c r="D38" i="96"/>
  <c r="D39" i="96"/>
  <c r="D35" i="96"/>
  <c r="D48" i="96"/>
  <c r="D31" i="96"/>
  <c r="D30" i="96"/>
  <c r="D29" i="96"/>
  <c r="D28" i="96"/>
  <c r="D27" i="96"/>
  <c r="D26"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4" i="92"/>
  <c r="E44" i="92"/>
  <c r="H43" i="92"/>
  <c r="E43" i="92"/>
  <c r="H42" i="92"/>
  <c r="E42" i="92"/>
  <c r="I35" i="92"/>
  <c r="H35" i="92"/>
  <c r="I34" i="92"/>
  <c r="H34" i="92"/>
  <c r="H33" i="92"/>
  <c r="I33" i="92"/>
  <c r="E37" i="92" s="1"/>
  <c r="I44" i="92"/>
  <c r="E18"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6" i="90" s="1"/>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7" i="90"/>
  <c r="I16" i="90"/>
  <c r="I14" i="90" s="1"/>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5" i="89" s="1"/>
  <c r="I127" i="89"/>
  <c r="I124" i="89" a="1"/>
  <c r="I124" i="89" s="1"/>
  <c r="G124" i="89" a="1"/>
  <c r="G124" i="89" s="1"/>
  <c r="D124" i="89" a="1"/>
  <c r="D124" i="89" s="1"/>
  <c r="E122" i="89" a="1"/>
  <c r="E122" i="89" s="1"/>
  <c r="F146" i="89" s="1"/>
  <c r="E121" i="89" a="1"/>
  <c r="E121" i="89" s="1"/>
  <c r="D117" i="89" a="1"/>
  <c r="D117" i="89" s="1"/>
  <c r="D116" i="89" a="1"/>
  <c r="D116" i="89" s="1"/>
  <c r="F112" i="89" a="1"/>
  <c r="F112" i="89" s="1"/>
  <c r="E144" i="89" s="1"/>
  <c r="F111" i="89" a="1"/>
  <c r="F111" i="89" s="1"/>
  <c r="E143" i="89" s="1"/>
  <c r="F110" i="89" a="1"/>
  <c r="F110" i="89" s="1"/>
  <c r="E142" i="89" s="1"/>
  <c r="F109" i="89" a="1"/>
  <c r="F109" i="89" s="1"/>
  <c r="E141" i="89" s="1"/>
  <c r="F108" i="89" a="1"/>
  <c r="F108" i="89" s="1"/>
  <c r="E140" i="89" s="1"/>
  <c r="F107" i="89" a="1"/>
  <c r="F107" i="89" s="1"/>
  <c r="E139" i="89" s="1"/>
  <c r="F106" i="89" a="1"/>
  <c r="F106" i="89" s="1"/>
  <c r="E138" i="89" s="1"/>
  <c r="E104" i="89"/>
  <c r="F104" i="89" s="1" a="1"/>
  <c r="F104" i="89" s="1"/>
  <c r="E136" i="89" s="1"/>
  <c r="E103" i="89"/>
  <c r="F103" i="89" s="1" a="1"/>
  <c r="F103" i="89" s="1"/>
  <c r="E135" i="89" s="1"/>
  <c r="E102" i="89"/>
  <c r="F102" i="89" s="1" a="1"/>
  <c r="F102" i="89" s="1"/>
  <c r="E134" i="89" s="1"/>
  <c r="F105" i="89" a="1"/>
  <c r="F105" i="89" s="1"/>
  <c r="E137"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2" i="89"/>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2" i="87" a="1"/>
  <c r="I22"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S71" i="85"/>
  <c r="S70" i="85"/>
  <c r="W51" i="85" s="1"/>
  <c r="S67" i="85" a="1"/>
  <c r="S67" i="85" s="1"/>
  <c r="Q67" i="85" a="1"/>
  <c r="Q67" i="85" s="1"/>
  <c r="M67" i="85" a="1"/>
  <c r="M67" i="85" s="1"/>
  <c r="N65" i="85" a="1"/>
  <c r="N65" i="85" s="1"/>
  <c r="N64" i="85" a="1"/>
  <c r="N64" i="85" s="1"/>
  <c r="M59" i="85" a="1"/>
  <c r="M59" i="85" s="1"/>
  <c r="M58" i="85" a="1"/>
  <c r="M58" i="85" s="1"/>
  <c r="I55" i="85"/>
  <c r="V54" i="85" a="1"/>
  <c r="V54" i="85" s="1"/>
  <c r="T54" i="85"/>
  <c r="U54" i="85" s="1"/>
  <c r="S54" i="85" a="1"/>
  <c r="S54" i="85" s="1"/>
  <c r="R54" i="85" a="1"/>
  <c r="R54" i="85" s="1"/>
  <c r="Q54" i="85"/>
  <c r="I54" i="85"/>
  <c r="I50" i="85" s="1"/>
  <c r="V53" i="85" a="1"/>
  <c r="V53" i="85" s="1"/>
  <c r="T53" i="85"/>
  <c r="U53" i="85" s="1"/>
  <c r="S53" i="85" a="1"/>
  <c r="S53" i="85" s="1"/>
  <c r="R53" i="85" a="1"/>
  <c r="R53" i="85" s="1"/>
  <c r="Q53" i="85"/>
  <c r="I53" i="85"/>
  <c r="I52" i="85"/>
  <c r="T51" i="85"/>
  <c r="V51" i="85" s="1" a="1"/>
  <c r="V51" i="85" s="1"/>
  <c r="T49" i="85"/>
  <c r="V49" i="85" s="1" a="1"/>
  <c r="V49" i="85" s="1"/>
  <c r="S49" i="85" a="1"/>
  <c r="S49" i="85" s="1"/>
  <c r="Q49" i="85"/>
  <c r="I49" i="85" a="1"/>
  <c r="I49" i="85" s="1"/>
  <c r="G49" i="85" a="1"/>
  <c r="G49" i="85" s="1"/>
  <c r="D49" i="85" a="1"/>
  <c r="D49" i="85" s="1"/>
  <c r="V48" i="85" a="1"/>
  <c r="V48" i="85" s="1"/>
  <c r="T48" i="85"/>
  <c r="R48" i="85" a="1"/>
  <c r="R48" i="85" s="1"/>
  <c r="V47" i="85" a="1"/>
  <c r="V47" i="85" s="1"/>
  <c r="T47" i="85"/>
  <c r="U47" i="85" s="1"/>
  <c r="S47" i="85" a="1"/>
  <c r="S47" i="85" s="1"/>
  <c r="R47" i="85" a="1"/>
  <c r="R47" i="85" s="1"/>
  <c r="E47" i="85" a="1"/>
  <c r="E47" i="85" s="1"/>
  <c r="U46" i="85"/>
  <c r="T46" i="85"/>
  <c r="S46" i="85" a="1"/>
  <c r="S46" i="85" s="1"/>
  <c r="R46" i="85" a="1"/>
  <c r="R46" i="85" s="1"/>
  <c r="E46" i="85" a="1"/>
  <c r="E46" i="85" s="1"/>
  <c r="U48" i="85"/>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J50" i="84" s="1"/>
  <c r="J49" i="84"/>
  <c r="H49" i="84"/>
  <c r="I49" i="84" s="1"/>
  <c r="G49" i="84"/>
  <c r="H48" i="84"/>
  <c r="J48" i="84" s="1"/>
  <c r="G48" i="84"/>
  <c r="K39" i="84"/>
  <c r="D35" i="84" s="1"/>
  <c r="G39" i="84"/>
  <c r="F39" i="84"/>
  <c r="K38" i="84"/>
  <c r="F38" i="84"/>
  <c r="G38" i="84" s="1"/>
  <c r="K37" i="84"/>
  <c r="F37" i="84"/>
  <c r="G37" i="84" s="1"/>
  <c r="G28" i="84"/>
  <c r="F28" i="84"/>
  <c r="G27" i="84"/>
  <c r="F27" i="84"/>
  <c r="F26" i="84"/>
  <c r="G26" i="84" s="1"/>
  <c r="H22" i="84"/>
  <c r="I22" i="84"/>
  <c r="H21" i="84"/>
  <c r="I21" i="84"/>
  <c r="H20" i="84"/>
  <c r="I20" i="84"/>
  <c r="H19" i="84"/>
  <c r="I19" i="84"/>
  <c r="H18" i="84"/>
  <c r="I18" i="84"/>
  <c r="O41" i="83" a="1"/>
  <c r="O41" i="83" s="1"/>
  <c r="F41" i="83" a="1"/>
  <c r="F41" i="83" s="1"/>
  <c r="M38" i="83" a="1"/>
  <c r="M38" i="83" s="1"/>
  <c r="D38" i="83" a="1"/>
  <c r="D38" i="83" s="1"/>
  <c r="P32" i="83" a="1"/>
  <c r="P32" i="83" s="1"/>
  <c r="M32" i="83" a="1"/>
  <c r="M32" i="83" s="1"/>
  <c r="G32" i="83" a="1"/>
  <c r="G32" i="83" s="1"/>
  <c r="D32" i="83" a="1"/>
  <c r="D32" i="83" s="1"/>
  <c r="E30" i="83" a="1"/>
  <c r="E30" i="83" s="1"/>
  <c r="O36" i="83" s="1"/>
  <c r="E29" i="83" a="1"/>
  <c r="E29" i="83" s="1"/>
  <c r="D25" i="83" a="1"/>
  <c r="D25" i="83" s="1"/>
  <c r="D24" i="83" a="1"/>
  <c r="D24" i="83" s="1"/>
  <c r="I18" i="83"/>
  <c r="I14" i="83" s="1"/>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29" i="82" s="1"/>
  <c r="I31" i="82"/>
  <c r="Q28" i="82" a="1"/>
  <c r="Q28" i="82" s="1"/>
  <c r="N28" i="82" a="1"/>
  <c r="N28" i="82" s="1"/>
  <c r="G28" i="82" a="1"/>
  <c r="G28" i="82" s="1"/>
  <c r="D28" i="82" a="1"/>
  <c r="D28" i="82" s="1"/>
  <c r="E26" i="82" a="1"/>
  <c r="E26" i="82" s="1"/>
  <c r="P35"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V232" i="81" a="1"/>
  <c r="V232" i="81" s="1"/>
  <c r="D231" i="81" a="1"/>
  <c r="D231" i="81" s="1"/>
  <c r="H227" i="81"/>
  <c r="H225" i="81" s="1"/>
  <c r="H224" i="81"/>
  <c r="D224" i="81" a="1"/>
  <c r="D224" i="81" s="1"/>
  <c r="E222" i="81" a="1"/>
  <c r="E222" i="81" s="1"/>
  <c r="W267" i="81" s="1"/>
  <c r="E221" i="81" a="1"/>
  <c r="E221" i="81" s="1"/>
  <c r="D217" i="81" a="1"/>
  <c r="D217" i="81" s="1"/>
  <c r="V216" i="81" a="1"/>
  <c r="D216" i="81" a="1"/>
  <c r="D216" i="81" s="1"/>
  <c r="U211" i="81" a="1"/>
  <c r="U211" i="81" s="1"/>
  <c r="E199" i="81" a="1"/>
  <c r="E199" i="81" s="1"/>
  <c r="E191" i="81" a="1"/>
  <c r="V186" i="81" a="1"/>
  <c r="V186" i="81" s="1"/>
  <c r="I186" i="81" a="1"/>
  <c r="I186" i="81" s="1"/>
  <c r="I185" i="81" a="1"/>
  <c r="I185" i="81" s="1"/>
  <c r="I184" i="81" a="1"/>
  <c r="I184" i="81" s="1"/>
  <c r="G184" i="81" a="1"/>
  <c r="G184" i="81" s="1"/>
  <c r="D184" i="81" a="1"/>
  <c r="D184" i="81" s="1"/>
  <c r="E182" i="81" a="1"/>
  <c r="E182" i="81" s="1"/>
  <c r="AF256" i="81" s="1"/>
  <c r="E181" i="81" a="1"/>
  <c r="E181" i="81" s="1"/>
  <c r="D177" i="81" a="1"/>
  <c r="D177" i="81" s="1"/>
  <c r="D176" i="81" a="1"/>
  <c r="D176" i="81" s="1"/>
  <c r="V164" i="81" a="1"/>
  <c r="V164" i="81" s="1"/>
  <c r="E162" i="81" a="1"/>
  <c r="E162" i="81" s="1"/>
  <c r="E153" i="81" a="1"/>
  <c r="E153" i="81" s="1"/>
  <c r="U151" i="81" a="1"/>
  <c r="U151" i="81" s="1"/>
  <c r="I147" i="81"/>
  <c r="F161" i="81" s="1" a="1"/>
  <c r="F161" i="81" s="1"/>
  <c r="I146" i="81" a="1"/>
  <c r="I146" i="81" s="1"/>
  <c r="I145" i="81" a="1"/>
  <c r="I145" i="81" s="1"/>
  <c r="I144" i="81" a="1"/>
  <c r="I144" i="81" s="1"/>
  <c r="I143" i="81" a="1"/>
  <c r="I143" i="81" s="1"/>
  <c r="I142" i="81" a="1"/>
  <c r="I142" i="81" s="1"/>
  <c r="G142" i="81" a="1"/>
  <c r="G142" i="81" s="1"/>
  <c r="D142" i="81" a="1"/>
  <c r="D142" i="81" s="1"/>
  <c r="E140" i="81" a="1"/>
  <c r="E140" i="81" s="1"/>
  <c r="AF201" i="81" s="1"/>
  <c r="E139" i="81" a="1"/>
  <c r="E139" i="81" s="1"/>
  <c r="D135" i="81" a="1"/>
  <c r="D135" i="81" s="1"/>
  <c r="D134" i="81" a="1"/>
  <c r="D134" i="81" s="1"/>
  <c r="D122" i="81"/>
  <c r="D121" i="81"/>
  <c r="V120" i="81" a="1"/>
  <c r="V120" i="81" s="1"/>
  <c r="D120" i="81"/>
  <c r="E119" i="81" a="1"/>
  <c r="E119" i="81" s="1"/>
  <c r="D119" i="81"/>
  <c r="U115" i="81" a="1"/>
  <c r="U115" i="81" s="1"/>
  <c r="I114" i="81" a="1"/>
  <c r="I114" i="81" s="1"/>
  <c r="I113" i="81" a="1"/>
  <c r="I113" i="81" s="1"/>
  <c r="I112" i="81" a="1"/>
  <c r="I112" i="81" s="1"/>
  <c r="I111" i="81" a="1"/>
  <c r="I111" i="81" s="1"/>
  <c r="G111" i="81" a="1"/>
  <c r="G111" i="81" s="1"/>
  <c r="D111" i="81" a="1"/>
  <c r="D111" i="81" s="1"/>
  <c r="V110" i="81" a="1"/>
  <c r="V110" i="81" s="1"/>
  <c r="E109" i="81" a="1"/>
  <c r="E109" i="81" s="1"/>
  <c r="AF136" i="81" s="1"/>
  <c r="E108" i="81" a="1"/>
  <c r="E108" i="81" s="1"/>
  <c r="V106" i="81" a="1"/>
  <c r="V106" i="81" s="1"/>
  <c r="W106" i="81" s="1" a="1"/>
  <c r="W106" i="81" s="1"/>
  <c r="V104" i="81" a="1"/>
  <c r="V104" i="81" s="1"/>
  <c r="W104" i="81" s="1" a="1"/>
  <c r="W104" i="81" s="1"/>
  <c r="AB104" i="81" s="1" a="1"/>
  <c r="AB104" i="81" s="1"/>
  <c r="D103" i="81" a="1"/>
  <c r="D103" i="81" s="1"/>
  <c r="D102" i="81" a="1"/>
  <c r="D102" i="81" s="1"/>
  <c r="V100" i="81" a="1"/>
  <c r="V100" i="81" s="1"/>
  <c r="D98" i="81"/>
  <c r="D97" i="81"/>
  <c r="D96" i="81"/>
  <c r="D95" i="81"/>
  <c r="V188" i="81" a="1"/>
  <c r="V188" i="81" s="1"/>
  <c r="U87" i="81" a="1"/>
  <c r="U87" i="81" s="1"/>
  <c r="I82" i="81"/>
  <c r="I80" i="81" s="1" a="1"/>
  <c r="I80" i="81" s="1"/>
  <c r="I79" i="81" a="1"/>
  <c r="I79" i="81" s="1"/>
  <c r="I78" i="81" a="1"/>
  <c r="I78" i="81" s="1"/>
  <c r="G78" i="81" a="1"/>
  <c r="G78" i="81" s="1"/>
  <c r="D78" i="81" a="1"/>
  <c r="D78" i="81" s="1"/>
  <c r="E76" i="81" a="1"/>
  <c r="E76" i="81" s="1"/>
  <c r="Q96"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V20" i="81" a="1"/>
  <c r="V20" i="81" s="1"/>
  <c r="E20" i="81" a="1"/>
  <c r="D20" i="81"/>
  <c r="H14" i="81" a="1"/>
  <c r="H14" i="81" s="1"/>
  <c r="H13" i="81" a="1"/>
  <c r="H13" i="81" s="1"/>
  <c r="F13" i="81" a="1"/>
  <c r="F13" i="81" s="1"/>
  <c r="D13" i="81" a="1"/>
  <c r="D13" i="81" s="1"/>
  <c r="E11" i="81" a="1"/>
  <c r="E11" i="81" s="1"/>
  <c r="AF41" i="81" s="1"/>
  <c r="E10" i="81" a="1"/>
  <c r="E10" i="81" s="1"/>
  <c r="D6" i="81" a="1"/>
  <c r="D6" i="81" s="1"/>
  <c r="D5" i="81" a="1"/>
  <c r="D5" i="81" s="1"/>
  <c r="Y281" i="80" a="1"/>
  <c r="Y281" i="80" s="1"/>
  <c r="W278" i="80" a="1"/>
  <c r="W278" i="80" s="1"/>
  <c r="X271" i="80"/>
  <c r="X262" i="80"/>
  <c r="X259" i="80"/>
  <c r="X255" i="80"/>
  <c r="X252" i="80"/>
  <c r="F249" i="80" a="1"/>
  <c r="F249" i="80" s="1"/>
  <c r="X274" i="80"/>
  <c r="D246" i="80" a="1"/>
  <c r="D246" i="80" s="1"/>
  <c r="X261" i="80"/>
  <c r="X258" i="80"/>
  <c r="X269" i="80"/>
  <c r="X267" i="80"/>
  <c r="X254" i="80"/>
  <c r="X264" i="80"/>
  <c r="X235" i="80" a="1"/>
  <c r="Y276" i="80" s="1"/>
  <c r="E227" i="80" a="1"/>
  <c r="E227" i="80" s="1"/>
  <c r="X219" i="80" a="1"/>
  <c r="E219" i="80" a="1"/>
  <c r="I214" i="80" a="1"/>
  <c r="I214" i="80" s="1"/>
  <c r="I213" i="80" a="1"/>
  <c r="I213" i="80" s="1"/>
  <c r="I212" i="80" a="1"/>
  <c r="I212" i="80" s="1"/>
  <c r="G212" i="80" a="1"/>
  <c r="G212" i="80" s="1"/>
  <c r="D212" i="80" a="1"/>
  <c r="D212" i="80" s="1"/>
  <c r="E210" i="80" a="1"/>
  <c r="E210" i="80" s="1"/>
  <c r="AI269" i="80" s="1"/>
  <c r="E209" i="80" a="1"/>
  <c r="E209" i="80" s="1"/>
  <c r="D205" i="80" a="1"/>
  <c r="D205" i="80" s="1"/>
  <c r="D204" i="80" a="1"/>
  <c r="D204" i="80" s="1"/>
  <c r="I160" i="80"/>
  <c r="AB159" i="80"/>
  <c r="X172" i="80" s="1"/>
  <c r="I159" i="80"/>
  <c r="E171" i="80" s="1"/>
  <c r="I157" i="80" a="1"/>
  <c r="I157" i="80" s="1"/>
  <c r="I156" i="80" a="1"/>
  <c r="I156" i="80" s="1"/>
  <c r="Z154" i="80" a="1"/>
  <c r="Z154" i="80" s="1"/>
  <c r="W154" i="80" a="1"/>
  <c r="W154" i="80" s="1"/>
  <c r="I154" i="80" a="1"/>
  <c r="I154" i="80" s="1"/>
  <c r="G154" i="80" a="1"/>
  <c r="G154" i="80" s="1"/>
  <c r="D154" i="80" a="1"/>
  <c r="D154" i="80" s="1"/>
  <c r="E152" i="80" a="1"/>
  <c r="E152" i="80" s="1"/>
  <c r="P178" i="80" s="1"/>
  <c r="E151" i="80" a="1"/>
  <c r="E151" i="80" s="1"/>
  <c r="D147" i="80" a="1"/>
  <c r="D147" i="80" s="1"/>
  <c r="D146" i="80" a="1"/>
  <c r="D146" i="80" s="1"/>
  <c r="W126" i="80"/>
  <c r="W142" i="80" s="1"/>
  <c r="W125" i="80"/>
  <c r="W141" i="80" s="1"/>
  <c r="W124" i="80"/>
  <c r="W140" i="80" s="1"/>
  <c r="W123" i="80"/>
  <c r="W139" i="80" s="1"/>
  <c r="W122" i="80"/>
  <c r="W138" i="80" s="1"/>
  <c r="W121" i="80"/>
  <c r="W137" i="80" s="1"/>
  <c r="X195" i="80" s="1"/>
  <c r="W120" i="80"/>
  <c r="W136" i="80" s="1"/>
  <c r="X194" i="80" s="1"/>
  <c r="W119" i="80"/>
  <c r="W135" i="80" s="1"/>
  <c r="W118" i="80"/>
  <c r="W134" i="80" s="1"/>
  <c r="W117" i="80"/>
  <c r="W133" i="80" s="1"/>
  <c r="W116" i="80"/>
  <c r="W132" i="80" s="1"/>
  <c r="X190" i="80" s="1"/>
  <c r="X115" i="80" a="1"/>
  <c r="X115" i="80" s="1"/>
  <c r="W115" i="80"/>
  <c r="W131" i="80" s="1"/>
  <c r="E115" i="80" a="1"/>
  <c r="E115" i="80" s="1"/>
  <c r="I109" i="80" a="1"/>
  <c r="I109" i="80" s="1"/>
  <c r="I108" i="80" a="1"/>
  <c r="I108" i="80" s="1"/>
  <c r="G108" i="80" a="1"/>
  <c r="G108" i="80" s="1"/>
  <c r="D108" i="80" a="1"/>
  <c r="D108" i="80" s="1"/>
  <c r="E106" i="80" a="1"/>
  <c r="E106" i="80" s="1"/>
  <c r="E105" i="80" a="1"/>
  <c r="E105" i="80" s="1"/>
  <c r="D100" i="80" a="1"/>
  <c r="D100" i="80" s="1"/>
  <c r="D99" i="80" a="1"/>
  <c r="D99" i="80" s="1"/>
  <c r="D71" i="80"/>
  <c r="D70" i="80"/>
  <c r="D69" i="80"/>
  <c r="E68" i="80" a="1"/>
  <c r="E68" i="80" s="1"/>
  <c r="D68" i="80"/>
  <c r="X60" i="80" a="1"/>
  <c r="X60" i="80" s="1"/>
  <c r="D55" i="80"/>
  <c r="D54" i="80"/>
  <c r="D53" i="80"/>
  <c r="E52" i="80" a="1"/>
  <c r="D52" i="80"/>
  <c r="I47" i="80" a="1"/>
  <c r="I47" i="80" s="1"/>
  <c r="I46" i="80" a="1"/>
  <c r="I46" i="80" s="1"/>
  <c r="I45" i="80" a="1"/>
  <c r="I45" i="80" s="1"/>
  <c r="G45" i="80" a="1"/>
  <c r="G45" i="80" s="1"/>
  <c r="D45" i="80" a="1"/>
  <c r="D45" i="80" s="1"/>
  <c r="X44" i="80" a="1"/>
  <c r="E43" i="80" a="1"/>
  <c r="E43" i="80" s="1"/>
  <c r="E42" i="80" a="1"/>
  <c r="E42" i="80" s="1"/>
  <c r="X39" i="80" a="1"/>
  <c r="X39" i="80" s="1"/>
  <c r="X38" i="80" a="1"/>
  <c r="X38" i="80" s="1"/>
  <c r="D38" i="80" a="1"/>
  <c r="D38" i="80" s="1"/>
  <c r="D37" i="80" a="1"/>
  <c r="D37" i="80" s="1"/>
  <c r="H33" i="80"/>
  <c r="G32" i="80"/>
  <c r="X30" i="80" a="1"/>
  <c r="X30" i="80" s="1"/>
  <c r="Y30" i="80" s="1" a="1"/>
  <c r="Y30" i="80" s="1"/>
  <c r="X29" i="80" a="1"/>
  <c r="X29" i="80" s="1"/>
  <c r="Y29" i="80" s="1" a="1"/>
  <c r="Y29" i="80" s="1"/>
  <c r="J16" i="80"/>
  <c r="J13" i="80" a="1"/>
  <c r="J13" i="80" s="1"/>
  <c r="H13" i="80" a="1"/>
  <c r="H13" i="80" s="1"/>
  <c r="D13" i="80" a="1"/>
  <c r="D13" i="80" s="1"/>
  <c r="E11" i="80" a="1"/>
  <c r="E11" i="80" s="1"/>
  <c r="S33" i="80" s="1"/>
  <c r="E10" i="80" a="1"/>
  <c r="E10" i="80" s="1"/>
  <c r="D6" i="80" a="1"/>
  <c r="D6" i="80" s="1"/>
  <c r="D5" i="80" a="1"/>
  <c r="D5" i="80" s="1"/>
  <c r="I216" i="79"/>
  <c r="I215" i="79"/>
  <c r="I214" i="79"/>
  <c r="I213" i="79"/>
  <c r="I212" i="79"/>
  <c r="I211" i="79"/>
  <c r="I210" i="79"/>
  <c r="I209" i="79"/>
  <c r="I208" i="79"/>
  <c r="I207" i="79"/>
  <c r="D172" i="79"/>
  <c r="D171" i="79"/>
  <c r="D170" i="79"/>
  <c r="N170" i="79" s="1"/>
  <c r="D169" i="79"/>
  <c r="D168" i="79"/>
  <c r="F168" i="79" s="1"/>
  <c r="D167" i="79"/>
  <c r="N167" i="79" s="1"/>
  <c r="D166" i="79"/>
  <c r="L166" i="79" s="1"/>
  <c r="D165" i="79"/>
  <c r="D164" i="79"/>
  <c r="N164" i="79" s="1"/>
  <c r="D163" i="79"/>
  <c r="N163" i="79" s="1"/>
  <c r="D162" i="79"/>
  <c r="D161" i="79"/>
  <c r="F161" i="79" s="1"/>
  <c r="D150" i="79"/>
  <c r="N150" i="79" s="1"/>
  <c r="D149" i="79"/>
  <c r="D148" i="79"/>
  <c r="D147" i="79"/>
  <c r="D146" i="79"/>
  <c r="L146" i="79" s="1"/>
  <c r="D145" i="79"/>
  <c r="D144" i="79"/>
  <c r="N144" i="79" s="1"/>
  <c r="D143" i="79"/>
  <c r="N143" i="79" s="1"/>
  <c r="D142" i="79"/>
  <c r="J142" i="79" s="1"/>
  <c r="D141" i="79"/>
  <c r="D140" i="79"/>
  <c r="N140" i="79" s="1"/>
  <c r="D139" i="79"/>
  <c r="L139" i="79" s="1"/>
  <c r="G128" i="79"/>
  <c r="F128" i="79"/>
  <c r="E128" i="79"/>
  <c r="D126" i="79"/>
  <c r="D125" i="79"/>
  <c r="K124" i="79"/>
  <c r="L124" i="79" s="1"/>
  <c r="J124" i="79"/>
  <c r="M123" i="79"/>
  <c r="K123" i="79"/>
  <c r="L123" i="79" s="1"/>
  <c r="J123" i="79"/>
  <c r="L122" i="79"/>
  <c r="K122" i="79"/>
  <c r="J122" i="79"/>
  <c r="M121" i="79"/>
  <c r="K121" i="79"/>
  <c r="M122" i="79" s="1"/>
  <c r="J121" i="79"/>
  <c r="E121" i="79"/>
  <c r="D127" i="79" s="1"/>
  <c r="D128" i="79" s="1"/>
  <c r="E120" i="79"/>
  <c r="M114" i="79"/>
  <c r="L114" i="79"/>
  <c r="M113" i="79"/>
  <c r="L113" i="79"/>
  <c r="M112" i="79"/>
  <c r="L112" i="79"/>
  <c r="M111" i="79"/>
  <c r="L111" i="79"/>
  <c r="D111" i="79"/>
  <c r="D100" i="79"/>
  <c r="F100" i="79" s="1"/>
  <c r="D99" i="79"/>
  <c r="D98" i="79"/>
  <c r="L98" i="79" s="1"/>
  <c r="D97" i="79"/>
  <c r="H97" i="79" s="1"/>
  <c r="D96" i="79"/>
  <c r="D95" i="79"/>
  <c r="D94" i="79"/>
  <c r="D93" i="79"/>
  <c r="F93" i="79" s="1"/>
  <c r="D92" i="79"/>
  <c r="D91" i="79"/>
  <c r="L91" i="79" s="1"/>
  <c r="D90" i="79"/>
  <c r="H90" i="79" s="1"/>
  <c r="D89" i="79"/>
  <c r="N89" i="79" s="1"/>
  <c r="D78" i="79"/>
  <c r="D77" i="79"/>
  <c r="H77" i="79" s="1"/>
  <c r="D76" i="79"/>
  <c r="N76" i="79" s="1"/>
  <c r="D75" i="79"/>
  <c r="D74" i="79"/>
  <c r="J74" i="79" s="1"/>
  <c r="D73" i="79"/>
  <c r="F73" i="79" s="1"/>
  <c r="D72" i="79"/>
  <c r="D71" i="79"/>
  <c r="D70" i="79"/>
  <c r="D69" i="79"/>
  <c r="N69" i="79" s="1"/>
  <c r="D68" i="79"/>
  <c r="D67" i="79"/>
  <c r="J67" i="79" s="1"/>
  <c r="D56" i="79"/>
  <c r="D55" i="79"/>
  <c r="D54" i="79"/>
  <c r="D53" i="79"/>
  <c r="D52" i="79"/>
  <c r="D51" i="79"/>
  <c r="D50" i="79"/>
  <c r="D49" i="79"/>
  <c r="D48" i="79"/>
  <c r="D47" i="79"/>
  <c r="D46" i="79"/>
  <c r="D45" i="79"/>
  <c r="D34" i="79"/>
  <c r="J34" i="79" s="1"/>
  <c r="D33" i="79"/>
  <c r="M33" i="79" s="1"/>
  <c r="D32" i="79"/>
  <c r="M32" i="79" s="1"/>
  <c r="D31" i="79"/>
  <c r="I31" i="79" s="1"/>
  <c r="D30" i="79"/>
  <c r="F30" i="79" s="1"/>
  <c r="D29" i="79"/>
  <c r="N29" i="79" s="1"/>
  <c r="D28" i="79"/>
  <c r="N28" i="79" s="1"/>
  <c r="D27" i="79"/>
  <c r="K27" i="79" s="1"/>
  <c r="D26" i="79"/>
  <c r="H26" i="79" s="1"/>
  <c r="D25" i="79"/>
  <c r="E25" i="79" s="1"/>
  <c r="D24" i="79"/>
  <c r="N24" i="79" s="1"/>
  <c r="D23" i="79"/>
  <c r="M23" i="79" s="1"/>
  <c r="E7" i="79"/>
  <c r="E171"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M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J355" i="78" a="1"/>
  <c r="J355" i="78" s="1"/>
  <c r="K366" i="78" s="1"/>
  <c r="I355" i="78" a="1"/>
  <c r="I355"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M365"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N362"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O117"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N116" i="78" s="1"/>
  <c r="L45" i="78" a="1"/>
  <c r="L45" i="78" s="1"/>
  <c r="M116" i="78" s="1"/>
  <c r="K45" i="78" a="1"/>
  <c r="K45" i="78" s="1"/>
  <c r="L116"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O114"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P113" i="78" s="1"/>
  <c r="L42" i="78" a="1"/>
  <c r="L42" i="78" s="1"/>
  <c r="M113" i="78" s="1"/>
  <c r="K42" i="78" a="1"/>
  <c r="K42" i="78" s="1"/>
  <c r="L113"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N110" i="78" s="1"/>
  <c r="L39" i="78" a="1"/>
  <c r="L39" i="78" s="1"/>
  <c r="M110" i="78" s="1"/>
  <c r="K39" i="78" a="1"/>
  <c r="K39" i="78" s="1"/>
  <c r="L110"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P109"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O107"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P106"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F102" i="78" s="1"/>
  <c r="E35" i="78" a="1"/>
  <c r="E35" i="78" s="1"/>
  <c r="E106" i="78" s="1"/>
  <c r="D35" i="78" a="1"/>
  <c r="D35" i="78" s="1"/>
  <c r="M34" i="78" a="1"/>
  <c r="M34" i="78" s="1"/>
  <c r="L34" i="78" a="1"/>
  <c r="L34" i="78" s="1"/>
  <c r="M105" i="78" s="1"/>
  <c r="K34" i="78" a="1"/>
  <c r="K34" i="78" s="1"/>
  <c r="K105"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K104"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P103" i="78" s="1"/>
  <c r="L32" i="78" a="1"/>
  <c r="L32" i="78" s="1"/>
  <c r="M103" i="78" s="1"/>
  <c r="K32" i="78" a="1"/>
  <c r="K32" i="78" s="1"/>
  <c r="K103"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L101"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P100"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N98"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P96" i="78" s="1"/>
  <c r="L25" i="78" a="1"/>
  <c r="L25" i="78" s="1"/>
  <c r="M96" i="78" s="1"/>
  <c r="K25" i="78" a="1"/>
  <c r="K25" i="78" s="1"/>
  <c r="L96"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P94"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O89" i="78" s="1"/>
  <c r="L22" i="78" a="1"/>
  <c r="L22" i="78" s="1"/>
  <c r="K22" i="78" a="1"/>
  <c r="K22" i="78" s="1"/>
  <c r="J22" i="78" a="1"/>
  <c r="J22" i="78" s="1"/>
  <c r="J89"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I92" i="78" s="1"/>
  <c r="H21" i="78" a="1"/>
  <c r="H21" i="78" s="1"/>
  <c r="G21" i="78" a="1"/>
  <c r="G21" i="78" s="1"/>
  <c r="F21" i="78" a="1"/>
  <c r="F21" i="78" s="1"/>
  <c r="E21" i="78" a="1"/>
  <c r="E21" i="78" s="1"/>
  <c r="D21" i="78" a="1"/>
  <c r="D21" i="78" s="1"/>
  <c r="O20" i="78"/>
  <c r="M20" i="78" a="1"/>
  <c r="M20" i="78" s="1"/>
  <c r="L20" i="78" a="1"/>
  <c r="L20" i="78" s="1"/>
  <c r="M91" i="78" s="1"/>
  <c r="K20" i="78" a="1"/>
  <c r="K20" i="78" s="1"/>
  <c r="J20" i="78" a="1"/>
  <c r="J20" i="78" s="1"/>
  <c r="J87" i="78" s="1"/>
  <c r="I20" i="78" a="1"/>
  <c r="I20" i="78" s="1"/>
  <c r="H20" i="78" a="1"/>
  <c r="H20" i="78" s="1"/>
  <c r="G20" i="78" a="1"/>
  <c r="G20" i="78" s="1"/>
  <c r="F20" i="78" a="1"/>
  <c r="F20" i="78" s="1"/>
  <c r="E20" i="78" a="1"/>
  <c r="E20" i="78" s="1"/>
  <c r="D20" i="78" a="1"/>
  <c r="D20" i="78" s="1"/>
  <c r="O19" i="78"/>
  <c r="M19" i="78" a="1"/>
  <c r="M19" i="78" s="1"/>
  <c r="O90"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60" i="77"/>
  <c r="U159" i="77"/>
  <c r="U158" i="77"/>
  <c r="U157" i="77"/>
  <c r="U156" i="77"/>
  <c r="U155" i="77"/>
  <c r="U154" i="77"/>
  <c r="U153" i="77"/>
  <c r="U152" i="77"/>
  <c r="U151" i="77"/>
  <c r="U150" i="77"/>
  <c r="V133" i="77" a="1"/>
  <c r="U149" i="77"/>
  <c r="F133" i="77" a="1"/>
  <c r="F133" i="77" s="1"/>
  <c r="D130" i="77" a="1"/>
  <c r="D130" i="77" s="1"/>
  <c r="V117" i="77" a="1"/>
  <c r="V117" i="77" s="1"/>
  <c r="E115" i="77" a="1"/>
  <c r="U112" i="77" a="1"/>
  <c r="U112" i="77" s="1"/>
  <c r="E107" i="77" a="1"/>
  <c r="E107" i="77" s="1"/>
  <c r="I102" i="77" a="1"/>
  <c r="I102" i="77" s="1"/>
  <c r="I101" i="77" a="1"/>
  <c r="I101" i="77" s="1"/>
  <c r="I100" i="77" a="1"/>
  <c r="I100" i="77" s="1"/>
  <c r="G100" i="77" a="1"/>
  <c r="G100" i="77" s="1"/>
  <c r="O115"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V60" i="77" a="1"/>
  <c r="V60" i="77" s="1"/>
  <c r="D59" i="77"/>
  <c r="D58" i="77"/>
  <c r="D57" i="77"/>
  <c r="E56" i="77" a="1"/>
  <c r="E56" i="77" s="1"/>
  <c r="D56" i="77"/>
  <c r="D51" i="77"/>
  <c r="D50" i="77"/>
  <c r="D49" i="77"/>
  <c r="E48" i="77" a="1"/>
  <c r="D48" i="77"/>
  <c r="V44" i="77" a="1"/>
  <c r="I43" i="77" a="1"/>
  <c r="I43" i="77" s="1"/>
  <c r="I42" i="77" a="1"/>
  <c r="I42" i="77" s="1"/>
  <c r="I41" i="77" a="1"/>
  <c r="I41" i="77" s="1"/>
  <c r="G41" i="77" a="1"/>
  <c r="G41" i="77" s="1"/>
  <c r="D41" i="77" a="1"/>
  <c r="D41" i="77" s="1"/>
  <c r="E39" i="77" a="1"/>
  <c r="E39" i="77" s="1"/>
  <c r="E38" i="77" a="1"/>
  <c r="E38" i="77" s="1"/>
  <c r="G37" i="77" a="1"/>
  <c r="G37" i="77" s="1"/>
  <c r="D34" i="77" a="1"/>
  <c r="D34" i="77" s="1"/>
  <c r="D33" i="77" a="1"/>
  <c r="D33" i="77" s="1"/>
  <c r="E29" i="77" a="1"/>
  <c r="E29" i="77" s="1"/>
  <c r="F29" i="77" s="1" a="1"/>
  <c r="F29" i="77" s="1"/>
  <c r="E28" i="77" a="1"/>
  <c r="E28" i="77" s="1"/>
  <c r="F28" i="77" s="1" a="1"/>
  <c r="F28" i="77" s="1"/>
  <c r="E26" i="77" a="1"/>
  <c r="E26" i="77" s="1"/>
  <c r="F26" i="77" s="1" a="1"/>
  <c r="F26" i="77" s="1"/>
  <c r="J26" i="77" s="1" a="1"/>
  <c r="J26" i="77" s="1"/>
  <c r="V36" i="77" a="1"/>
  <c r="V36" i="77" s="1"/>
  <c r="W36" i="77" s="1" a="1"/>
  <c r="W36" i="77" s="1"/>
  <c r="V33" i="77" a="1"/>
  <c r="V33" i="77" s="1"/>
  <c r="W33" i="77" s="1" a="1"/>
  <c r="W33" i="77" s="1"/>
  <c r="E27" i="77" a="1"/>
  <c r="E27" i="77" s="1"/>
  <c r="F27" i="77" s="1" a="1"/>
  <c r="F27" i="77" s="1"/>
  <c r="J16" i="77"/>
  <c r="J15" i="77" s="1" a="1"/>
  <c r="J15" i="77" s="1"/>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N172" i="76" s="1"/>
  <c r="D171" i="76"/>
  <c r="D170" i="76"/>
  <c r="D169" i="76"/>
  <c r="D168" i="76"/>
  <c r="L168" i="76" s="1"/>
  <c r="D167" i="76"/>
  <c r="H167" i="76" s="1"/>
  <c r="D166" i="76"/>
  <c r="N166" i="76" s="1"/>
  <c r="D165" i="76"/>
  <c r="N165" i="76" s="1"/>
  <c r="D164" i="76"/>
  <c r="D163" i="76"/>
  <c r="D162" i="76"/>
  <c r="D161" i="76"/>
  <c r="D150" i="76"/>
  <c r="F150" i="76" s="1"/>
  <c r="D149" i="76"/>
  <c r="N149" i="76" s="1"/>
  <c r="D148" i="76"/>
  <c r="L148" i="76" s="1"/>
  <c r="D147" i="76"/>
  <c r="D146" i="76"/>
  <c r="D145" i="76"/>
  <c r="D144" i="76"/>
  <c r="J144" i="76" s="1"/>
  <c r="D143" i="76"/>
  <c r="F143" i="76" s="1"/>
  <c r="D142" i="76"/>
  <c r="N142" i="76" s="1"/>
  <c r="D141" i="76"/>
  <c r="L141" i="76" s="1"/>
  <c r="D140" i="76"/>
  <c r="D139" i="76"/>
  <c r="G128" i="76"/>
  <c r="F128" i="76"/>
  <c r="E128" i="76"/>
  <c r="D125" i="76"/>
  <c r="K124" i="76"/>
  <c r="L124" i="76" s="1"/>
  <c r="J124" i="76"/>
  <c r="K123" i="76"/>
  <c r="J123" i="76"/>
  <c r="M123" i="76" s="1"/>
  <c r="M122" i="76"/>
  <c r="K122" i="76"/>
  <c r="L122" i="76" s="1"/>
  <c r="J122" i="76"/>
  <c r="M121" i="76"/>
  <c r="K121" i="76"/>
  <c r="L121" i="76" s="1"/>
  <c r="J121" i="76"/>
  <c r="E121" i="76"/>
  <c r="D127" i="76" s="1"/>
  <c r="D128" i="76" s="1"/>
  <c r="E120" i="76"/>
  <c r="D126" i="76" s="1"/>
  <c r="M114" i="76"/>
  <c r="L114" i="76"/>
  <c r="M113" i="76"/>
  <c r="L113" i="76"/>
  <c r="M112" i="76"/>
  <c r="L112" i="76"/>
  <c r="M111" i="76"/>
  <c r="L111" i="76"/>
  <c r="D111" i="76"/>
  <c r="D100" i="76"/>
  <c r="L100" i="76" s="1"/>
  <c r="D99" i="76"/>
  <c r="D98" i="76"/>
  <c r="D97" i="76"/>
  <c r="D96" i="76"/>
  <c r="D95" i="76"/>
  <c r="F95" i="76" s="1"/>
  <c r="D94" i="76"/>
  <c r="N94" i="76" s="1"/>
  <c r="D93" i="76"/>
  <c r="L93" i="76" s="1"/>
  <c r="D92" i="76"/>
  <c r="H92" i="76" s="1"/>
  <c r="D91" i="76"/>
  <c r="D90" i="76"/>
  <c r="N90" i="76" s="1"/>
  <c r="D89" i="76"/>
  <c r="I89" i="76" s="1"/>
  <c r="D78" i="76"/>
  <c r="N78" i="76" s="1"/>
  <c r="D77" i="76"/>
  <c r="M77" i="76" s="1"/>
  <c r="D76" i="76"/>
  <c r="I76" i="76" s="1"/>
  <c r="D75" i="76"/>
  <c r="D74" i="76"/>
  <c r="D73" i="76"/>
  <c r="D72" i="76"/>
  <c r="D71" i="76"/>
  <c r="N71" i="76" s="1"/>
  <c r="D70" i="76"/>
  <c r="M70" i="76" s="1"/>
  <c r="D69" i="76"/>
  <c r="I69" i="76" s="1"/>
  <c r="D68" i="76"/>
  <c r="E68" i="76" s="1"/>
  <c r="D67" i="76"/>
  <c r="N67" i="76" s="1"/>
  <c r="D56" i="76"/>
  <c r="D55" i="76"/>
  <c r="D54" i="76"/>
  <c r="D53" i="76"/>
  <c r="D52" i="76"/>
  <c r="D51" i="76"/>
  <c r="D50" i="76"/>
  <c r="D49" i="76"/>
  <c r="D48" i="76"/>
  <c r="D47" i="76"/>
  <c r="D46" i="76"/>
  <c r="D45" i="76"/>
  <c r="D34" i="76"/>
  <c r="G34" i="76" s="1"/>
  <c r="D33" i="76"/>
  <c r="N33" i="76" s="1"/>
  <c r="D32" i="76"/>
  <c r="F32" i="76" s="1"/>
  <c r="D31" i="76"/>
  <c r="D30" i="76"/>
  <c r="I30" i="76" s="1"/>
  <c r="D29" i="76"/>
  <c r="K29" i="76" s="1"/>
  <c r="D28" i="76"/>
  <c r="H28" i="76" s="1"/>
  <c r="D27" i="76"/>
  <c r="E27" i="76" s="1"/>
  <c r="D26" i="76"/>
  <c r="G26" i="76" s="1"/>
  <c r="D25" i="76"/>
  <c r="N25" i="76" s="1"/>
  <c r="D24" i="76"/>
  <c r="J24" i="76" s="1"/>
  <c r="D23" i="76"/>
  <c r="G23" i="76" s="1"/>
  <c r="E7" i="76"/>
  <c r="N158" i="76" s="1"/>
  <c r="F41" i="13"/>
  <c r="F40" i="13"/>
  <c r="E41" i="13"/>
  <c r="E40" i="13"/>
  <c r="D37" i="13" a="1"/>
  <c r="D37" i="13" s="1"/>
  <c r="F37" i="13" s="1"/>
  <c r="D48" i="13" a="1"/>
  <c r="D48" i="13" s="1"/>
  <c r="F67" i="13"/>
  <c r="F66" i="13"/>
  <c r="E53" i="13"/>
  <c r="F64" i="13"/>
  <c r="F6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9" i="72"/>
  <c r="E20"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218" i="81" a="1"/>
  <c r="E136" i="81" a="1"/>
  <c r="E178" i="81" a="1"/>
  <c r="E7" i="81" a="1"/>
  <c r="E104" i="81" a="1"/>
  <c r="E42" i="81" a="1"/>
  <c r="E148" i="80" a="1"/>
  <c r="E206" i="80" a="1"/>
  <c r="E101" i="80" a="1"/>
  <c r="E39" i="80" a="1"/>
  <c r="E73" i="77" a="1"/>
  <c r="E35" i="77" a="1"/>
  <c r="E94" i="77" a="1"/>
  <c r="H62" i="76" l="1"/>
  <c r="L63" i="76"/>
  <c r="L73" i="76"/>
  <c r="E84" i="76"/>
  <c r="I85" i="76"/>
  <c r="M86" i="76"/>
  <c r="F134" i="76"/>
  <c r="J135" i="76"/>
  <c r="N136" i="76"/>
  <c r="H156" i="76"/>
  <c r="L157" i="76"/>
  <c r="E181" i="76"/>
  <c r="E61" i="76"/>
  <c r="I62" i="76"/>
  <c r="M63" i="76"/>
  <c r="F75" i="76"/>
  <c r="F84" i="76"/>
  <c r="J85" i="76"/>
  <c r="N86" i="76"/>
  <c r="G134" i="76"/>
  <c r="K135" i="76"/>
  <c r="E155" i="76"/>
  <c r="I156" i="76"/>
  <c r="M157" i="76"/>
  <c r="G72" i="76"/>
  <c r="J96" i="76"/>
  <c r="L161" i="76"/>
  <c r="F61" i="76"/>
  <c r="J62" i="76"/>
  <c r="N63" i="76"/>
  <c r="J76" i="76"/>
  <c r="G84" i="76"/>
  <c r="K85" i="76"/>
  <c r="J89" i="76"/>
  <c r="H134" i="76"/>
  <c r="L135" i="76"/>
  <c r="F155" i="76"/>
  <c r="J156" i="76"/>
  <c r="N157" i="76"/>
  <c r="K73" i="76"/>
  <c r="N97" i="76"/>
  <c r="N162" i="76"/>
  <c r="G61" i="76"/>
  <c r="K62" i="76"/>
  <c r="E64" i="76"/>
  <c r="N77" i="76"/>
  <c r="H84" i="76"/>
  <c r="L85" i="76"/>
  <c r="E133" i="76"/>
  <c r="I134" i="76"/>
  <c r="M135" i="76"/>
  <c r="G155" i="76"/>
  <c r="K156" i="76"/>
  <c r="E158" i="76"/>
  <c r="N74" i="76"/>
  <c r="N98" i="76"/>
  <c r="N139" i="76"/>
  <c r="F163" i="76"/>
  <c r="H61" i="76"/>
  <c r="L62" i="76"/>
  <c r="F64" i="76"/>
  <c r="E83" i="76"/>
  <c r="I84" i="76"/>
  <c r="M85" i="76"/>
  <c r="F133" i="76"/>
  <c r="J134" i="76"/>
  <c r="N135" i="76"/>
  <c r="H155" i="76"/>
  <c r="L156" i="76"/>
  <c r="F158" i="76"/>
  <c r="E75" i="76"/>
  <c r="H99" i="76"/>
  <c r="H140" i="76"/>
  <c r="J164" i="76"/>
  <c r="I61" i="76"/>
  <c r="M62" i="76"/>
  <c r="G64" i="76"/>
  <c r="F83" i="76"/>
  <c r="J84" i="76"/>
  <c r="N85" i="76"/>
  <c r="G133" i="76"/>
  <c r="K134" i="76"/>
  <c r="E136" i="76"/>
  <c r="I155" i="76"/>
  <c r="M156" i="76"/>
  <c r="G158" i="76"/>
  <c r="J61" i="76"/>
  <c r="N62" i="76"/>
  <c r="H64" i="76"/>
  <c r="G83" i="76"/>
  <c r="K84" i="76"/>
  <c r="E86" i="76"/>
  <c r="H133" i="76"/>
  <c r="L134" i="76"/>
  <c r="F136" i="76"/>
  <c r="J155" i="76"/>
  <c r="N156" i="76"/>
  <c r="H158" i="76"/>
  <c r="K61" i="76"/>
  <c r="E63" i="76"/>
  <c r="I64" i="76"/>
  <c r="H83" i="76"/>
  <c r="L84" i="76"/>
  <c r="F86" i="76"/>
  <c r="I133" i="76"/>
  <c r="M134" i="76"/>
  <c r="G136" i="76"/>
  <c r="K155" i="76"/>
  <c r="E157" i="76"/>
  <c r="I158" i="76"/>
  <c r="L61" i="76"/>
  <c r="F63" i="76"/>
  <c r="J64" i="76"/>
  <c r="I83" i="76"/>
  <c r="M84" i="76"/>
  <c r="G86" i="76"/>
  <c r="J133" i="76"/>
  <c r="N134" i="76"/>
  <c r="H136" i="76"/>
  <c r="L155" i="76"/>
  <c r="F157" i="76"/>
  <c r="J158" i="76"/>
  <c r="M61" i="76"/>
  <c r="G63" i="76"/>
  <c r="K64" i="76"/>
  <c r="J83" i="76"/>
  <c r="N84" i="76"/>
  <c r="H86" i="76"/>
  <c r="K133" i="76"/>
  <c r="E135" i="76"/>
  <c r="I136" i="76"/>
  <c r="M155" i="76"/>
  <c r="G157" i="76"/>
  <c r="K158" i="76"/>
  <c r="N145" i="76"/>
  <c r="N169" i="76"/>
  <c r="N61" i="76"/>
  <c r="H63" i="76"/>
  <c r="L64" i="76"/>
  <c r="K83" i="76"/>
  <c r="E85" i="76"/>
  <c r="I86" i="76"/>
  <c r="L133" i="76"/>
  <c r="F135" i="76"/>
  <c r="J136" i="76"/>
  <c r="N155" i="76"/>
  <c r="H157" i="76"/>
  <c r="L158" i="76"/>
  <c r="N91" i="76"/>
  <c r="N146" i="76"/>
  <c r="F170" i="76"/>
  <c r="E62" i="76"/>
  <c r="I63" i="76"/>
  <c r="M64" i="76"/>
  <c r="L83" i="76"/>
  <c r="F85" i="76"/>
  <c r="J86" i="76"/>
  <c r="M133" i="76"/>
  <c r="G135" i="76"/>
  <c r="K136" i="76"/>
  <c r="E156" i="76"/>
  <c r="I157" i="76"/>
  <c r="M158" i="76"/>
  <c r="H147" i="76"/>
  <c r="J171" i="76"/>
  <c r="F62" i="76"/>
  <c r="J63" i="76"/>
  <c r="N64" i="76"/>
  <c r="M83" i="76"/>
  <c r="G85" i="76"/>
  <c r="K86" i="76"/>
  <c r="N133" i="76"/>
  <c r="H135" i="76"/>
  <c r="L136" i="76"/>
  <c r="F156" i="76"/>
  <c r="J157" i="76"/>
  <c r="N75" i="79"/>
  <c r="N99" i="79"/>
  <c r="J162" i="79"/>
  <c r="J61" i="79"/>
  <c r="N62" i="79"/>
  <c r="H64" i="79"/>
  <c r="I69" i="79"/>
  <c r="J73" i="79"/>
  <c r="M83" i="79"/>
  <c r="G85" i="79"/>
  <c r="K86" i="79"/>
  <c r="F92" i="79"/>
  <c r="I97" i="79"/>
  <c r="L133" i="79"/>
  <c r="F135" i="79"/>
  <c r="J136" i="79"/>
  <c r="K145" i="79"/>
  <c r="E150" i="79"/>
  <c r="H156" i="79"/>
  <c r="L157" i="79"/>
  <c r="M162" i="79"/>
  <c r="I171" i="79"/>
  <c r="H15" i="81"/>
  <c r="K136" i="79"/>
  <c r="L145" i="79"/>
  <c r="E155" i="79"/>
  <c r="I156" i="79"/>
  <c r="M157" i="79"/>
  <c r="N162" i="79"/>
  <c r="I172" i="79"/>
  <c r="M145" i="79"/>
  <c r="F155" i="79"/>
  <c r="J156" i="79"/>
  <c r="N157" i="79"/>
  <c r="M166" i="79"/>
  <c r="K172" i="79"/>
  <c r="L78" i="79"/>
  <c r="F141" i="79"/>
  <c r="H165" i="79"/>
  <c r="M61" i="79"/>
  <c r="G63" i="79"/>
  <c r="K64" i="79"/>
  <c r="K70" i="79"/>
  <c r="M74" i="79"/>
  <c r="F84" i="79"/>
  <c r="J85" i="79"/>
  <c r="N86" i="79"/>
  <c r="I93" i="79"/>
  <c r="M97" i="79"/>
  <c r="E134" i="79"/>
  <c r="I135" i="79"/>
  <c r="M136" i="79"/>
  <c r="M146" i="79"/>
  <c r="G155" i="79"/>
  <c r="K156" i="79"/>
  <c r="E158" i="79"/>
  <c r="E167" i="79"/>
  <c r="L172" i="79"/>
  <c r="N61" i="79"/>
  <c r="H63" i="79"/>
  <c r="L64" i="79"/>
  <c r="L70" i="79"/>
  <c r="E75" i="79"/>
  <c r="G84" i="79"/>
  <c r="K85" i="79"/>
  <c r="E89" i="79"/>
  <c r="J93" i="79"/>
  <c r="E99" i="79"/>
  <c r="F134" i="79"/>
  <c r="J135" i="79"/>
  <c r="N136" i="79"/>
  <c r="E147" i="79"/>
  <c r="H155" i="79"/>
  <c r="L156" i="79"/>
  <c r="F158" i="79"/>
  <c r="F167" i="79"/>
  <c r="M172" i="79"/>
  <c r="E62" i="79"/>
  <c r="I63" i="79"/>
  <c r="M64" i="79"/>
  <c r="M70" i="79"/>
  <c r="H75" i="79"/>
  <c r="H84" i="79"/>
  <c r="L85" i="79"/>
  <c r="G89" i="79"/>
  <c r="K93" i="79"/>
  <c r="F99" i="79"/>
  <c r="G134" i="79"/>
  <c r="K135" i="79"/>
  <c r="K142" i="79"/>
  <c r="F147" i="79"/>
  <c r="I155" i="79"/>
  <c r="M156" i="79"/>
  <c r="G158" i="79"/>
  <c r="G167" i="79"/>
  <c r="E180" i="79"/>
  <c r="E165" i="80" s="1"/>
  <c r="F62" i="79"/>
  <c r="J63" i="79"/>
  <c r="N64" i="79"/>
  <c r="F71" i="79"/>
  <c r="E83" i="79"/>
  <c r="I84" i="79"/>
  <c r="M85" i="79"/>
  <c r="H89" i="79"/>
  <c r="K94" i="79"/>
  <c r="G99" i="79"/>
  <c r="H134" i="79"/>
  <c r="L135" i="79"/>
  <c r="M142" i="79"/>
  <c r="G147" i="79"/>
  <c r="J155" i="79"/>
  <c r="N156" i="79"/>
  <c r="H158" i="79"/>
  <c r="I168" i="79"/>
  <c r="E181" i="79"/>
  <c r="E166" i="80" s="1"/>
  <c r="N68" i="79"/>
  <c r="N92" i="79"/>
  <c r="H145" i="79"/>
  <c r="J169" i="79"/>
  <c r="G62" i="79"/>
  <c r="K63" i="79"/>
  <c r="K67" i="79"/>
  <c r="M71" i="79"/>
  <c r="F83" i="79"/>
  <c r="J84" i="79"/>
  <c r="N85" i="79"/>
  <c r="I89" i="79"/>
  <c r="M94" i="79"/>
  <c r="E133" i="79"/>
  <c r="I134" i="79"/>
  <c r="M135" i="79"/>
  <c r="N142" i="79"/>
  <c r="G148" i="79"/>
  <c r="K155" i="79"/>
  <c r="E157" i="79"/>
  <c r="I158" i="79"/>
  <c r="J168" i="79"/>
  <c r="H62" i="79"/>
  <c r="L63" i="79"/>
  <c r="M67" i="79"/>
  <c r="E72" i="79"/>
  <c r="G83" i="79"/>
  <c r="K84" i="79"/>
  <c r="E86" i="79"/>
  <c r="I90" i="79"/>
  <c r="N94" i="79"/>
  <c r="F133" i="79"/>
  <c r="J134" i="79"/>
  <c r="N135" i="79"/>
  <c r="E143" i="79"/>
  <c r="I148" i="79"/>
  <c r="L155" i="79"/>
  <c r="F157" i="79"/>
  <c r="J158" i="79"/>
  <c r="M169" i="79"/>
  <c r="H70" i="79"/>
  <c r="J94" i="79"/>
  <c r="N147" i="79"/>
  <c r="N171" i="79"/>
  <c r="E61" i="79"/>
  <c r="I62" i="79"/>
  <c r="M63" i="79"/>
  <c r="N67" i="79"/>
  <c r="F72" i="79"/>
  <c r="H83" i="79"/>
  <c r="L84" i="79"/>
  <c r="F86" i="79"/>
  <c r="K90" i="79"/>
  <c r="E95" i="79"/>
  <c r="G133" i="79"/>
  <c r="K134" i="79"/>
  <c r="E136" i="79"/>
  <c r="E144" i="79"/>
  <c r="J148" i="79"/>
  <c r="M155" i="79"/>
  <c r="G157" i="79"/>
  <c r="K158" i="79"/>
  <c r="N169" i="79"/>
  <c r="L71" i="79"/>
  <c r="N95" i="79"/>
  <c r="F148" i="79"/>
  <c r="H172" i="79"/>
  <c r="F61" i="79"/>
  <c r="J62" i="79"/>
  <c r="N63" i="79"/>
  <c r="E68" i="79"/>
  <c r="G72" i="79"/>
  <c r="I83" i="79"/>
  <c r="M84" i="79"/>
  <c r="G86" i="79"/>
  <c r="L90" i="79"/>
  <c r="E96" i="79"/>
  <c r="H133" i="79"/>
  <c r="L134" i="79"/>
  <c r="F136" i="79"/>
  <c r="G144" i="79"/>
  <c r="K148" i="79"/>
  <c r="N155" i="79"/>
  <c r="H157" i="79"/>
  <c r="L158" i="79"/>
  <c r="E170" i="79"/>
  <c r="N72" i="79"/>
  <c r="N96" i="79"/>
  <c r="J149" i="79"/>
  <c r="G61" i="79"/>
  <c r="K62" i="79"/>
  <c r="E64" i="79"/>
  <c r="E69" i="79"/>
  <c r="J72" i="79"/>
  <c r="J83" i="79"/>
  <c r="N84" i="79"/>
  <c r="H86" i="79"/>
  <c r="M90" i="79"/>
  <c r="G96" i="79"/>
  <c r="I133" i="79"/>
  <c r="M134" i="79"/>
  <c r="G136" i="79"/>
  <c r="H144" i="79"/>
  <c r="K149" i="79"/>
  <c r="E156" i="79"/>
  <c r="I157" i="79"/>
  <c r="M158" i="79"/>
  <c r="E172" i="80"/>
  <c r="G68" i="76"/>
  <c r="K69" i="76"/>
  <c r="E71" i="76"/>
  <c r="I72" i="76"/>
  <c r="M73" i="76"/>
  <c r="G75" i="76"/>
  <c r="K76" i="76"/>
  <c r="E78" i="76"/>
  <c r="K89" i="76"/>
  <c r="E91" i="76"/>
  <c r="I92" i="76"/>
  <c r="M93" i="76"/>
  <c r="G95" i="76"/>
  <c r="K96" i="76"/>
  <c r="E98" i="76"/>
  <c r="I99" i="76"/>
  <c r="M100" i="76"/>
  <c r="E139" i="76"/>
  <c r="I140" i="76"/>
  <c r="M141" i="76"/>
  <c r="G143" i="76"/>
  <c r="K144" i="76"/>
  <c r="E146" i="76"/>
  <c r="I147" i="76"/>
  <c r="M148" i="76"/>
  <c r="G150" i="76"/>
  <c r="M161" i="76"/>
  <c r="G163" i="76"/>
  <c r="K164" i="76"/>
  <c r="E166" i="76"/>
  <c r="I167" i="76"/>
  <c r="M168" i="76"/>
  <c r="G170" i="76"/>
  <c r="K171" i="76"/>
  <c r="H68" i="76"/>
  <c r="L69" i="76"/>
  <c r="F71" i="76"/>
  <c r="J72" i="76"/>
  <c r="N73" i="76"/>
  <c r="H75" i="76"/>
  <c r="L76" i="76"/>
  <c r="F78" i="76"/>
  <c r="L89" i="76"/>
  <c r="F91" i="76"/>
  <c r="J92" i="76"/>
  <c r="N93" i="76"/>
  <c r="H95" i="76"/>
  <c r="L96" i="76"/>
  <c r="F98" i="76"/>
  <c r="J99" i="76"/>
  <c r="N100" i="76"/>
  <c r="F139" i="76"/>
  <c r="J140" i="76"/>
  <c r="N141" i="76"/>
  <c r="H143" i="76"/>
  <c r="L144" i="76"/>
  <c r="F146" i="76"/>
  <c r="J147" i="76"/>
  <c r="N148" i="76"/>
  <c r="H150" i="76"/>
  <c r="N161" i="76"/>
  <c r="H163" i="76"/>
  <c r="L164" i="76"/>
  <c r="F166" i="76"/>
  <c r="J167" i="76"/>
  <c r="N168" i="76"/>
  <c r="H170" i="76"/>
  <c r="L171" i="76"/>
  <c r="E67" i="76"/>
  <c r="I68" i="76"/>
  <c r="M69" i="76"/>
  <c r="G71" i="76"/>
  <c r="K72" i="76"/>
  <c r="E74" i="76"/>
  <c r="I75" i="76"/>
  <c r="M76" i="76"/>
  <c r="G78" i="76"/>
  <c r="M89" i="76"/>
  <c r="G91" i="76"/>
  <c r="K92" i="76"/>
  <c r="E94" i="76"/>
  <c r="I95" i="76"/>
  <c r="M96" i="76"/>
  <c r="G98" i="76"/>
  <c r="K99" i="76"/>
  <c r="G139" i="76"/>
  <c r="K140" i="76"/>
  <c r="E142" i="76"/>
  <c r="I143" i="76"/>
  <c r="M144" i="76"/>
  <c r="G146" i="76"/>
  <c r="K147" i="76"/>
  <c r="E149" i="76"/>
  <c r="I150" i="76"/>
  <c r="E162" i="76"/>
  <c r="I163" i="76"/>
  <c r="M164" i="76"/>
  <c r="G166" i="76"/>
  <c r="K167" i="76"/>
  <c r="E169" i="76"/>
  <c r="I170" i="76"/>
  <c r="M171" i="76"/>
  <c r="F67" i="76"/>
  <c r="J68" i="76"/>
  <c r="N69" i="76"/>
  <c r="H71" i="76"/>
  <c r="L72" i="76"/>
  <c r="F74" i="76"/>
  <c r="J75" i="76"/>
  <c r="N76" i="76"/>
  <c r="H78" i="76"/>
  <c r="N89" i="76"/>
  <c r="H91" i="76"/>
  <c r="L92" i="76"/>
  <c r="F94" i="76"/>
  <c r="J95" i="76"/>
  <c r="N96" i="76"/>
  <c r="H98" i="76"/>
  <c r="L99" i="76"/>
  <c r="H139" i="76"/>
  <c r="L140" i="76"/>
  <c r="F142" i="76"/>
  <c r="J143" i="76"/>
  <c r="N144" i="76"/>
  <c r="H146" i="76"/>
  <c r="L147" i="76"/>
  <c r="F149" i="76"/>
  <c r="J150" i="76"/>
  <c r="F162" i="76"/>
  <c r="J163" i="76"/>
  <c r="N164" i="76"/>
  <c r="H166" i="76"/>
  <c r="L167" i="76"/>
  <c r="F169" i="76"/>
  <c r="J170" i="76"/>
  <c r="N171" i="76"/>
  <c r="G67" i="76"/>
  <c r="K68" i="76"/>
  <c r="E70" i="76"/>
  <c r="I71" i="76"/>
  <c r="M72" i="76"/>
  <c r="G74" i="76"/>
  <c r="K75" i="76"/>
  <c r="E77" i="76"/>
  <c r="I78" i="76"/>
  <c r="E90" i="76"/>
  <c r="I91" i="76"/>
  <c r="M92" i="76"/>
  <c r="G94" i="76"/>
  <c r="K95" i="76"/>
  <c r="E97" i="76"/>
  <c r="I98" i="76"/>
  <c r="M99" i="76"/>
  <c r="I139" i="76"/>
  <c r="M140" i="76"/>
  <c r="G142" i="76"/>
  <c r="K143" i="76"/>
  <c r="E145" i="76"/>
  <c r="I146" i="76"/>
  <c r="M147" i="76"/>
  <c r="G149" i="76"/>
  <c r="K150" i="76"/>
  <c r="G162" i="76"/>
  <c r="K163" i="76"/>
  <c r="E165" i="76"/>
  <c r="I166" i="76"/>
  <c r="M167" i="76"/>
  <c r="G169" i="76"/>
  <c r="K170" i="76"/>
  <c r="E172" i="76"/>
  <c r="H67" i="76"/>
  <c r="L68" i="76"/>
  <c r="F70" i="76"/>
  <c r="J71" i="76"/>
  <c r="N72" i="76"/>
  <c r="H74" i="76"/>
  <c r="L75" i="76"/>
  <c r="F77" i="76"/>
  <c r="J78" i="76"/>
  <c r="F90" i="76"/>
  <c r="J91" i="76"/>
  <c r="N92" i="76"/>
  <c r="H94" i="76"/>
  <c r="L95" i="76"/>
  <c r="F97" i="76"/>
  <c r="J98" i="76"/>
  <c r="N99" i="76"/>
  <c r="J139" i="76"/>
  <c r="N140" i="76"/>
  <c r="H142" i="76"/>
  <c r="L143" i="76"/>
  <c r="F145" i="76"/>
  <c r="J146" i="76"/>
  <c r="N147" i="76"/>
  <c r="H149" i="76"/>
  <c r="L150" i="76"/>
  <c r="H162" i="76"/>
  <c r="L163" i="76"/>
  <c r="F165" i="76"/>
  <c r="J166" i="76"/>
  <c r="N167" i="76"/>
  <c r="H169" i="76"/>
  <c r="L170" i="76"/>
  <c r="F172" i="76"/>
  <c r="I67" i="76"/>
  <c r="M68" i="76"/>
  <c r="G70" i="76"/>
  <c r="K71" i="76"/>
  <c r="E73" i="76"/>
  <c r="I74" i="76"/>
  <c r="M75" i="76"/>
  <c r="G77" i="76"/>
  <c r="K78"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H72" i="76"/>
  <c r="J67" i="76"/>
  <c r="N68" i="76"/>
  <c r="H70" i="76"/>
  <c r="L71" i="76"/>
  <c r="F73" i="76"/>
  <c r="J74" i="76"/>
  <c r="N75" i="76"/>
  <c r="H77" i="76"/>
  <c r="L78" i="76"/>
  <c r="H90" i="76"/>
  <c r="L91" i="76"/>
  <c r="F93" i="76"/>
  <c r="J94" i="76"/>
  <c r="N95" i="76"/>
  <c r="H97" i="76"/>
  <c r="L98" i="76"/>
  <c r="F100" i="76"/>
  <c r="L139" i="76"/>
  <c r="F141" i="76"/>
  <c r="J142" i="76"/>
  <c r="N143" i="76"/>
  <c r="H145" i="76"/>
  <c r="L146" i="76"/>
  <c r="F148" i="76"/>
  <c r="J149" i="76"/>
  <c r="N150" i="76"/>
  <c r="F161" i="76"/>
  <c r="J162" i="76"/>
  <c r="N163" i="76"/>
  <c r="H165" i="76"/>
  <c r="L166" i="76"/>
  <c r="F168" i="76"/>
  <c r="J169" i="76"/>
  <c r="N170" i="76"/>
  <c r="H172" i="76"/>
  <c r="J69" i="76"/>
  <c r="K67" i="76"/>
  <c r="E69" i="76"/>
  <c r="I70" i="76"/>
  <c r="M71" i="76"/>
  <c r="G73" i="76"/>
  <c r="K74" i="76"/>
  <c r="E76" i="76"/>
  <c r="I77" i="76"/>
  <c r="M78" i="76"/>
  <c r="E89" i="76"/>
  <c r="I90" i="76"/>
  <c r="M91" i="76"/>
  <c r="G93" i="76"/>
  <c r="K94" i="76"/>
  <c r="E96" i="76"/>
  <c r="I97" i="76"/>
  <c r="M98" i="76"/>
  <c r="G100" i="76"/>
  <c r="M139" i="76"/>
  <c r="G141" i="76"/>
  <c r="K142" i="76"/>
  <c r="E144" i="76"/>
  <c r="I145" i="76"/>
  <c r="M146" i="76"/>
  <c r="G148" i="76"/>
  <c r="K149" i="76"/>
  <c r="G161" i="76"/>
  <c r="K162" i="76"/>
  <c r="E164" i="76"/>
  <c r="I165" i="76"/>
  <c r="M166" i="76"/>
  <c r="G168" i="76"/>
  <c r="K169" i="76"/>
  <c r="E171" i="76"/>
  <c r="I172" i="76"/>
  <c r="L67" i="76"/>
  <c r="F69" i="76"/>
  <c r="J70" i="76"/>
  <c r="H73" i="76"/>
  <c r="L74" i="76"/>
  <c r="F76" i="76"/>
  <c r="J77" i="76"/>
  <c r="F89" i="76"/>
  <c r="J90" i="76"/>
  <c r="H93" i="76"/>
  <c r="L94" i="76"/>
  <c r="F96" i="76"/>
  <c r="J97" i="76"/>
  <c r="H100" i="76"/>
  <c r="H141" i="76"/>
  <c r="L142" i="76"/>
  <c r="F144" i="76"/>
  <c r="J145" i="76"/>
  <c r="H148" i="76"/>
  <c r="L149" i="76"/>
  <c r="H161" i="76"/>
  <c r="L162" i="76"/>
  <c r="F164" i="76"/>
  <c r="J165" i="76"/>
  <c r="H168" i="76"/>
  <c r="L169" i="76"/>
  <c r="F171" i="76"/>
  <c r="J172" i="76"/>
  <c r="N70" i="76"/>
  <c r="M67" i="76"/>
  <c r="G69" i="76"/>
  <c r="K70" i="76"/>
  <c r="E72" i="76"/>
  <c r="I73" i="76"/>
  <c r="M74" i="76"/>
  <c r="G76" i="76"/>
  <c r="K77" i="76"/>
  <c r="G89" i="76"/>
  <c r="K90" i="76"/>
  <c r="E92" i="76"/>
  <c r="I93" i="76"/>
  <c r="M94" i="76"/>
  <c r="G96" i="76"/>
  <c r="K97" i="76"/>
  <c r="E99" i="76"/>
  <c r="I100" i="76"/>
  <c r="E140" i="76"/>
  <c r="I141" i="76"/>
  <c r="M142" i="76"/>
  <c r="G144" i="76"/>
  <c r="K145" i="76"/>
  <c r="E147" i="76"/>
  <c r="I148" i="76"/>
  <c r="M149" i="76"/>
  <c r="I161" i="76"/>
  <c r="M162" i="76"/>
  <c r="G164" i="76"/>
  <c r="K165" i="76"/>
  <c r="E167" i="76"/>
  <c r="I168" i="76"/>
  <c r="M169" i="76"/>
  <c r="G171" i="76"/>
  <c r="K172" i="76"/>
  <c r="H69" i="76"/>
  <c r="L70" i="76"/>
  <c r="F72" i="76"/>
  <c r="J73" i="76"/>
  <c r="H76" i="76"/>
  <c r="L77" i="76"/>
  <c r="H89" i="76"/>
  <c r="L90" i="76"/>
  <c r="F92" i="76"/>
  <c r="J93" i="76"/>
  <c r="H96" i="76"/>
  <c r="L97" i="76"/>
  <c r="F99" i="76"/>
  <c r="J100" i="76"/>
  <c r="F140" i="76"/>
  <c r="J141" i="76"/>
  <c r="H144" i="76"/>
  <c r="L145" i="76"/>
  <c r="F147" i="76"/>
  <c r="J148" i="76"/>
  <c r="J161" i="76"/>
  <c r="H164" i="76"/>
  <c r="L165" i="76"/>
  <c r="F167" i="76"/>
  <c r="J168" i="76"/>
  <c r="H171" i="76"/>
  <c r="L172" i="76"/>
  <c r="M90" i="76"/>
  <c r="G92" i="76"/>
  <c r="K93" i="76"/>
  <c r="E95" i="76"/>
  <c r="I96" i="76"/>
  <c r="M97" i="76"/>
  <c r="G99" i="76"/>
  <c r="K100" i="76"/>
  <c r="G140" i="76"/>
  <c r="K141" i="76"/>
  <c r="E143" i="76"/>
  <c r="I144" i="76"/>
  <c r="M145" i="76"/>
  <c r="G147" i="76"/>
  <c r="K148" i="76"/>
  <c r="E150" i="76"/>
  <c r="K161" i="76"/>
  <c r="E163" i="76"/>
  <c r="I164" i="76"/>
  <c r="M165" i="76"/>
  <c r="G167" i="76"/>
  <c r="K168" i="76"/>
  <c r="E170" i="76"/>
  <c r="I171" i="76"/>
  <c r="M172" i="76"/>
  <c r="K74" i="79"/>
  <c r="E76" i="79"/>
  <c r="I77" i="79"/>
  <c r="M78" i="79"/>
  <c r="M98" i="79"/>
  <c r="G100" i="79"/>
  <c r="M139" i="79"/>
  <c r="G141" i="79"/>
  <c r="G161" i="79"/>
  <c r="E164" i="79"/>
  <c r="I165" i="79"/>
  <c r="G168" i="79"/>
  <c r="K169" i="79"/>
  <c r="L67" i="79"/>
  <c r="F69" i="79"/>
  <c r="J70" i="79"/>
  <c r="N71" i="79"/>
  <c r="H73" i="79"/>
  <c r="L74" i="79"/>
  <c r="F76" i="79"/>
  <c r="J77" i="79"/>
  <c r="N78" i="79"/>
  <c r="F89" i="79"/>
  <c r="J90" i="79"/>
  <c r="N91" i="79"/>
  <c r="H93" i="79"/>
  <c r="L94" i="79"/>
  <c r="F96" i="79"/>
  <c r="J97" i="79"/>
  <c r="N98" i="79"/>
  <c r="H100" i="79"/>
  <c r="N139" i="79"/>
  <c r="H141" i="79"/>
  <c r="L142" i="79"/>
  <c r="F144" i="79"/>
  <c r="J145" i="79"/>
  <c r="N146" i="79"/>
  <c r="H148" i="79"/>
  <c r="L149" i="79"/>
  <c r="H161" i="79"/>
  <c r="L162" i="79"/>
  <c r="F164" i="79"/>
  <c r="J165" i="79"/>
  <c r="N166" i="79"/>
  <c r="H168" i="79"/>
  <c r="L169" i="79"/>
  <c r="F171" i="79"/>
  <c r="J172" i="79"/>
  <c r="G76" i="79"/>
  <c r="K77" i="79"/>
  <c r="I100" i="79"/>
  <c r="E140" i="79"/>
  <c r="I141" i="79"/>
  <c r="I161" i="79"/>
  <c r="G164" i="79"/>
  <c r="K165" i="79"/>
  <c r="N74" i="79"/>
  <c r="H76" i="79"/>
  <c r="L77" i="79"/>
  <c r="J100" i="79"/>
  <c r="F140" i="79"/>
  <c r="J141" i="79"/>
  <c r="J161" i="79"/>
  <c r="H164" i="79"/>
  <c r="L165" i="79"/>
  <c r="K141" i="79"/>
  <c r="I164" i="79"/>
  <c r="K161" i="79"/>
  <c r="F68" i="79"/>
  <c r="J69" i="79"/>
  <c r="N70" i="79"/>
  <c r="H72" i="79"/>
  <c r="L73" i="79"/>
  <c r="F75" i="79"/>
  <c r="J76" i="79"/>
  <c r="N77" i="79"/>
  <c r="J89" i="79"/>
  <c r="N90" i="79"/>
  <c r="H92" i="79"/>
  <c r="L93" i="79"/>
  <c r="F95" i="79"/>
  <c r="J96" i="79"/>
  <c r="N97" i="79"/>
  <c r="H99" i="79"/>
  <c r="L100" i="79"/>
  <c r="H140" i="79"/>
  <c r="L141" i="79"/>
  <c r="F143" i="79"/>
  <c r="J144" i="79"/>
  <c r="N145" i="79"/>
  <c r="H147" i="79"/>
  <c r="L148" i="79"/>
  <c r="F150" i="79"/>
  <c r="L161" i="79"/>
  <c r="F163" i="79"/>
  <c r="J164" i="79"/>
  <c r="N165" i="79"/>
  <c r="H167" i="79"/>
  <c r="L168" i="79"/>
  <c r="F170" i="79"/>
  <c r="J171" i="79"/>
  <c r="N172" i="79"/>
  <c r="I76" i="79"/>
  <c r="M77" i="79"/>
  <c r="K100" i="79"/>
  <c r="G140" i="79"/>
  <c r="E163" i="79"/>
  <c r="M165" i="79"/>
  <c r="K168" i="79"/>
  <c r="G68" i="79"/>
  <c r="K69" i="79"/>
  <c r="E71" i="79"/>
  <c r="I72" i="79"/>
  <c r="M73" i="79"/>
  <c r="G75" i="79"/>
  <c r="K76" i="79"/>
  <c r="E78" i="79"/>
  <c r="K89" i="79"/>
  <c r="E91" i="79"/>
  <c r="I92" i="79"/>
  <c r="M93" i="79"/>
  <c r="G95" i="79"/>
  <c r="K96" i="79"/>
  <c r="E98" i="79"/>
  <c r="I99" i="79"/>
  <c r="M100" i="79"/>
  <c r="E139" i="79"/>
  <c r="I140" i="79"/>
  <c r="M141" i="79"/>
  <c r="G143" i="79"/>
  <c r="K144" i="79"/>
  <c r="E146" i="79"/>
  <c r="I147" i="79"/>
  <c r="M148" i="79"/>
  <c r="G150" i="79"/>
  <c r="M161" i="79"/>
  <c r="G163" i="79"/>
  <c r="K164" i="79"/>
  <c r="E166" i="79"/>
  <c r="I167" i="79"/>
  <c r="M168" i="79"/>
  <c r="G170" i="79"/>
  <c r="K171" i="79"/>
  <c r="H68" i="79"/>
  <c r="L76" i="79"/>
  <c r="F78" i="79"/>
  <c r="L89" i="79"/>
  <c r="F91" i="79"/>
  <c r="J92" i="79"/>
  <c r="N93" i="79"/>
  <c r="H95" i="79"/>
  <c r="L96" i="79"/>
  <c r="F98" i="79"/>
  <c r="J99" i="79"/>
  <c r="N100" i="79"/>
  <c r="F139" i="79"/>
  <c r="J140" i="79"/>
  <c r="N141" i="79"/>
  <c r="H143" i="79"/>
  <c r="L144" i="79"/>
  <c r="F146" i="79"/>
  <c r="J147" i="79"/>
  <c r="N148" i="79"/>
  <c r="H150" i="79"/>
  <c r="N161" i="79"/>
  <c r="H163" i="79"/>
  <c r="L164" i="79"/>
  <c r="F166" i="79"/>
  <c r="J167" i="79"/>
  <c r="N168" i="79"/>
  <c r="H170" i="79"/>
  <c r="L171" i="79"/>
  <c r="E67" i="79"/>
  <c r="I68" i="79"/>
  <c r="M69" i="79"/>
  <c r="G71" i="79"/>
  <c r="K72" i="79"/>
  <c r="E74" i="79"/>
  <c r="I75" i="79"/>
  <c r="M76" i="79"/>
  <c r="G78" i="79"/>
  <c r="M89" i="79"/>
  <c r="G91" i="79"/>
  <c r="K92" i="79"/>
  <c r="E94" i="79"/>
  <c r="I95" i="79"/>
  <c r="M96" i="79"/>
  <c r="G98" i="79"/>
  <c r="K99" i="79"/>
  <c r="G139" i="79"/>
  <c r="K140" i="79"/>
  <c r="E142" i="79"/>
  <c r="I143" i="79"/>
  <c r="M144" i="79"/>
  <c r="G146" i="79"/>
  <c r="K147" i="79"/>
  <c r="E149" i="79"/>
  <c r="I150" i="79"/>
  <c r="E162" i="79"/>
  <c r="I163" i="79"/>
  <c r="M164" i="79"/>
  <c r="G166" i="79"/>
  <c r="K167" i="79"/>
  <c r="E169" i="79"/>
  <c r="I170" i="79"/>
  <c r="M171" i="79"/>
  <c r="F67" i="79"/>
  <c r="J68" i="79"/>
  <c r="H71" i="79"/>
  <c r="L72" i="79"/>
  <c r="F74" i="79"/>
  <c r="J75" i="79"/>
  <c r="H78" i="79"/>
  <c r="H91" i="79"/>
  <c r="L92" i="79"/>
  <c r="F94" i="79"/>
  <c r="J95" i="79"/>
  <c r="H98" i="79"/>
  <c r="L99" i="79"/>
  <c r="H139" i="79"/>
  <c r="L140" i="79"/>
  <c r="F142" i="79"/>
  <c r="J143" i="79"/>
  <c r="H146" i="79"/>
  <c r="L147" i="79"/>
  <c r="F149" i="79"/>
  <c r="J150" i="79"/>
  <c r="F162" i="79"/>
  <c r="J163" i="79"/>
  <c r="H166" i="79"/>
  <c r="L167" i="79"/>
  <c r="F169" i="79"/>
  <c r="J170" i="79"/>
  <c r="G67" i="79"/>
  <c r="K68" i="79"/>
  <c r="E70" i="79"/>
  <c r="I71" i="79"/>
  <c r="M72" i="79"/>
  <c r="G74" i="79"/>
  <c r="K75" i="79"/>
  <c r="E77" i="79"/>
  <c r="I78" i="79"/>
  <c r="E90" i="79"/>
  <c r="I91" i="79"/>
  <c r="M92" i="79"/>
  <c r="G94" i="79"/>
  <c r="K95" i="79"/>
  <c r="E97" i="79"/>
  <c r="I98" i="79"/>
  <c r="M99" i="79"/>
  <c r="I139" i="79"/>
  <c r="M140" i="79"/>
  <c r="G142" i="79"/>
  <c r="K143" i="79"/>
  <c r="E145" i="79"/>
  <c r="I146" i="79"/>
  <c r="M147" i="79"/>
  <c r="G149" i="79"/>
  <c r="K150" i="79"/>
  <c r="G162" i="79"/>
  <c r="K163" i="79"/>
  <c r="E165" i="79"/>
  <c r="I166" i="79"/>
  <c r="M167" i="79"/>
  <c r="G169" i="79"/>
  <c r="K170" i="79"/>
  <c r="E172" i="79"/>
  <c r="H67" i="79"/>
  <c r="L68" i="79"/>
  <c r="F70" i="79"/>
  <c r="J71" i="79"/>
  <c r="H74" i="79"/>
  <c r="L75" i="79"/>
  <c r="F77" i="79"/>
  <c r="J78" i="79"/>
  <c r="F90" i="79"/>
  <c r="J91" i="79"/>
  <c r="H94" i="79"/>
  <c r="L95" i="79"/>
  <c r="F97" i="79"/>
  <c r="J98" i="79"/>
  <c r="J139" i="79"/>
  <c r="H142" i="79"/>
  <c r="L143" i="79"/>
  <c r="F145" i="79"/>
  <c r="J146" i="79"/>
  <c r="H149" i="79"/>
  <c r="L150" i="79"/>
  <c r="H162" i="79"/>
  <c r="L163" i="79"/>
  <c r="F165" i="79"/>
  <c r="J166" i="79"/>
  <c r="H169" i="79"/>
  <c r="L170" i="79"/>
  <c r="F172" i="79"/>
  <c r="I67" i="79"/>
  <c r="M68" i="79"/>
  <c r="G70" i="79"/>
  <c r="K71" i="79"/>
  <c r="E73" i="79"/>
  <c r="I74" i="79"/>
  <c r="M75" i="79"/>
  <c r="G77" i="79"/>
  <c r="K78" i="79"/>
  <c r="G90" i="79"/>
  <c r="K91" i="79"/>
  <c r="E93" i="79"/>
  <c r="I94" i="79"/>
  <c r="M95" i="79"/>
  <c r="G97" i="79"/>
  <c r="K98" i="79"/>
  <c r="E100" i="79"/>
  <c r="K139" i="79"/>
  <c r="E141" i="79"/>
  <c r="I142" i="79"/>
  <c r="M143" i="79"/>
  <c r="G145" i="79"/>
  <c r="K146" i="79"/>
  <c r="E148" i="79"/>
  <c r="I149" i="79"/>
  <c r="M150" i="79"/>
  <c r="E161" i="79"/>
  <c r="I162" i="79"/>
  <c r="M163" i="79"/>
  <c r="G165" i="79"/>
  <c r="K166" i="79"/>
  <c r="E168" i="79"/>
  <c r="I169" i="79"/>
  <c r="M170" i="79"/>
  <c r="G172" i="79"/>
  <c r="X171" i="80"/>
  <c r="H162" i="81" a="1"/>
  <c r="H162" i="81" s="1"/>
  <c r="L162" i="81" a="1"/>
  <c r="L162" i="81" s="1"/>
  <c r="H163" i="81" a="1"/>
  <c r="H163" i="81" s="1"/>
  <c r="L163" i="81" a="1"/>
  <c r="L163" i="81" s="1"/>
  <c r="F164" i="81" a="1"/>
  <c r="F164" i="81" s="1"/>
  <c r="H164" i="81" a="1"/>
  <c r="H164" i="81" s="1"/>
  <c r="L164" i="81" a="1"/>
  <c r="L164" i="81" s="1"/>
  <c r="J16" i="100" a="1"/>
  <c r="J16" i="100" s="1"/>
  <c r="E21" i="100" s="1" a="1"/>
  <c r="E21" i="100" s="1"/>
  <c r="J17" i="100" a="1"/>
  <c r="J17" i="100" s="1"/>
  <c r="K40" i="97" a="1"/>
  <c r="K40" i="97" s="1"/>
  <c r="J50" i="89"/>
  <c r="W50" i="85"/>
  <c r="W52" i="85"/>
  <c r="W45" i="85"/>
  <c r="W48" i="85"/>
  <c r="W49" i="85"/>
  <c r="P30" i="96" a="1"/>
  <c r="P30" i="96" s="1"/>
  <c r="I20" i="87" a="1"/>
  <c r="I20" i="87" s="1"/>
  <c r="R45" i="85" a="1"/>
  <c r="R45" i="85" s="1"/>
  <c r="S45" i="85" a="1"/>
  <c r="S45" i="85" s="1"/>
  <c r="E7" i="101"/>
  <c r="E30" i="101"/>
  <c r="P48" i="101"/>
  <c r="F48" i="101"/>
  <c r="E27" i="100"/>
  <c r="O27" i="100"/>
  <c r="E7" i="100"/>
  <c r="Q30" i="96" a="1"/>
  <c r="Q30" i="96" s="1"/>
  <c r="F141" i="89" a="1"/>
  <c r="F141" i="89" s="1"/>
  <c r="E7" i="97"/>
  <c r="L8" i="97"/>
  <c r="Q31" i="97" a="1"/>
  <c r="Q31" i="97" s="1"/>
  <c r="F50" i="97"/>
  <c r="D39" i="97"/>
  <c r="D42" i="97"/>
  <c r="D30" i="97"/>
  <c r="D37" i="97"/>
  <c r="F51" i="97"/>
  <c r="Q25" i="97" a="1"/>
  <c r="Q25" i="97" s="1"/>
  <c r="F43" i="97"/>
  <c r="D28" i="97"/>
  <c r="D35" i="97"/>
  <c r="F52" i="97"/>
  <c r="F44" i="97"/>
  <c r="D26" i="97"/>
  <c r="D33" i="97"/>
  <c r="Q33" i="97" s="1" a="1"/>
  <c r="Q33" i="97" s="1"/>
  <c r="Q34" i="97" a="1"/>
  <c r="Q34" i="97" s="1"/>
  <c r="F55" i="97"/>
  <c r="F45" i="97"/>
  <c r="D31" i="97"/>
  <c r="Q32" i="97" a="1"/>
  <c r="Q32" i="97" s="1"/>
  <c r="D40" i="97"/>
  <c r="F56" i="97"/>
  <c r="D38" i="97"/>
  <c r="F46" i="97"/>
  <c r="D29" i="97"/>
  <c r="D36" i="97"/>
  <c r="D48" i="97"/>
  <c r="F57" i="97"/>
  <c r="F49" i="97"/>
  <c r="E7" i="96"/>
  <c r="L7" i="96"/>
  <c r="Q28" i="96" a="1"/>
  <c r="Q28" i="96" s="1"/>
  <c r="N28" i="96" a="1"/>
  <c r="N28" i="96" s="1"/>
  <c r="O31" i="96" a="1"/>
  <c r="O31" i="96" s="1"/>
  <c r="N31" i="96" a="1"/>
  <c r="N31" i="96" s="1"/>
  <c r="P31" i="96" a="1"/>
  <c r="P31" i="96" s="1"/>
  <c r="N35" i="96" a="1"/>
  <c r="N35" i="96" s="1"/>
  <c r="P35" i="96" a="1"/>
  <c r="P35" i="96" s="1"/>
  <c r="O35" i="96" a="1"/>
  <c r="O35" i="96" s="1"/>
  <c r="P37" i="96" a="1"/>
  <c r="P37" i="96" s="1"/>
  <c r="O37" i="96" a="1"/>
  <c r="O37" i="96" s="1"/>
  <c r="Q37" i="96" a="1"/>
  <c r="Q37" i="96" s="1"/>
  <c r="O30" i="96" a="1"/>
  <c r="O30" i="96" s="1"/>
  <c r="E18" i="93" a="1"/>
  <c r="E18" i="93" s="1"/>
  <c r="E26" i="13" s="1" a="1"/>
  <c r="E26" i="13" s="1"/>
  <c r="F26" i="13" s="1"/>
  <c r="I26" i="13" s="1"/>
  <c r="F44" i="96"/>
  <c r="F63" i="96"/>
  <c r="Q34" i="96" a="1"/>
  <c r="Q34" i="96" s="1"/>
  <c r="Q39" i="96" a="1"/>
  <c r="Q39" i="96" s="1"/>
  <c r="F45" i="96"/>
  <c r="F55" i="96"/>
  <c r="F64" i="96"/>
  <c r="F46" i="96"/>
  <c r="F56" i="96"/>
  <c r="D32" i="96"/>
  <c r="Q38" i="96" a="1"/>
  <c r="Q38" i="96" s="1"/>
  <c r="F67" i="96"/>
  <c r="F57" i="96"/>
  <c r="Q35" i="96" a="1"/>
  <c r="Q35" i="96" s="1"/>
  <c r="D36" i="96"/>
  <c r="F49" i="96"/>
  <c r="F68" i="96"/>
  <c r="F58" i="96"/>
  <c r="F50" i="96"/>
  <c r="O28" i="96" a="1"/>
  <c r="O28" i="96" s="1"/>
  <c r="N37" i="96" a="1"/>
  <c r="N37" i="96" s="1"/>
  <c r="D42" i="96"/>
  <c r="F69" i="96"/>
  <c r="F23" i="90" a="1"/>
  <c r="F23" i="90" s="1"/>
  <c r="F51" i="96"/>
  <c r="F61" i="96"/>
  <c r="N26" i="96" a="1"/>
  <c r="N26" i="96" s="1"/>
  <c r="P28" i="96" a="1"/>
  <c r="P28" i="96" s="1"/>
  <c r="F43" i="96"/>
  <c r="F70" i="96"/>
  <c r="F52" i="96"/>
  <c r="I20" i="95"/>
  <c r="I19" i="95"/>
  <c r="E25" i="93"/>
  <c r="E8" i="93"/>
  <c r="E39" i="93" a="1"/>
  <c r="E39" i="93" s="1"/>
  <c r="E27" i="13" s="1" a="1"/>
  <c r="E27" i="13" s="1"/>
  <c r="F27" i="13" s="1"/>
  <c r="I27" i="13" s="1"/>
  <c r="I42" i="92"/>
  <c r="E46" i="92" s="1"/>
  <c r="I43" i="92"/>
  <c r="F67" i="90" a="1"/>
  <c r="F67" i="90" s="1"/>
  <c r="H32" i="89" a="1"/>
  <c r="H32" i="89" s="1"/>
  <c r="E72" i="89" s="1"/>
  <c r="E83" i="90"/>
  <c r="E49" i="90"/>
  <c r="E7" i="90"/>
  <c r="G35" i="85" a="1"/>
  <c r="G35" i="85" s="1"/>
  <c r="F142" i="89" a="1"/>
  <c r="F142" i="89" s="1"/>
  <c r="H19" i="89" a="1"/>
  <c r="H19" i="89" s="1"/>
  <c r="E59" i="89" s="1"/>
  <c r="E43" i="89"/>
  <c r="E7" i="89"/>
  <c r="E118" i="89"/>
  <c r="E90" i="89"/>
  <c r="F79" i="89"/>
  <c r="G59" i="89"/>
  <c r="H34" i="89" a="1"/>
  <c r="H34" i="89" s="1"/>
  <c r="E74" i="89" s="1"/>
  <c r="H36" i="89" a="1"/>
  <c r="H36" i="89" s="1"/>
  <c r="E76" i="89" s="1"/>
  <c r="H29" i="88" a="1"/>
  <c r="H29" i="88" s="1"/>
  <c r="H21" i="89" a="1"/>
  <c r="H21" i="89" s="1"/>
  <c r="E61" i="89" s="1"/>
  <c r="H23" i="89" a="1"/>
  <c r="H23" i="89" s="1"/>
  <c r="E63" i="89" s="1"/>
  <c r="H25" i="89" a="1"/>
  <c r="H25" i="89" s="1"/>
  <c r="E65" i="89" s="1"/>
  <c r="H27" i="89" a="1"/>
  <c r="H27" i="89" s="1"/>
  <c r="E67" i="89" s="1"/>
  <c r="H29" i="89" a="1"/>
  <c r="H29" i="89" s="1"/>
  <c r="E69" i="89" s="1"/>
  <c r="H31" i="89" a="1"/>
  <c r="H31" i="89" s="1"/>
  <c r="E71" i="89" s="1"/>
  <c r="H33" i="89" a="1"/>
  <c r="H33" i="89" s="1"/>
  <c r="E73" i="89" s="1"/>
  <c r="H35" i="89" a="1"/>
  <c r="H35" i="89" s="1"/>
  <c r="E75" i="89" s="1"/>
  <c r="H37" i="89" a="1"/>
  <c r="H37" i="89" s="1"/>
  <c r="E77" i="89" s="1"/>
  <c r="H25" i="88" a="1"/>
  <c r="H25" i="88" s="1"/>
  <c r="H20" i="89" a="1"/>
  <c r="H20" i="89" s="1"/>
  <c r="E60" i="89" s="1"/>
  <c r="H22" i="89" a="1"/>
  <c r="H22" i="89" s="1"/>
  <c r="E62" i="89" s="1"/>
  <c r="H24" i="89" a="1"/>
  <c r="H24" i="89" s="1"/>
  <c r="E64" i="89" s="1"/>
  <c r="H26" i="89" a="1"/>
  <c r="H26" i="89" s="1"/>
  <c r="E66" i="89" s="1"/>
  <c r="H28" i="89" a="1"/>
  <c r="H28" i="89" s="1"/>
  <c r="E68" i="89" s="1"/>
  <c r="H30" i="89" a="1"/>
  <c r="H30" i="89" s="1"/>
  <c r="E70" i="89" s="1"/>
  <c r="E7" i="88"/>
  <c r="H26" i="88" a="1"/>
  <c r="H26" i="88" s="1"/>
  <c r="H27" i="88" a="1"/>
  <c r="H27" i="88" s="1"/>
  <c r="H28" i="88" a="1"/>
  <c r="H28" i="88" s="1"/>
  <c r="G36" i="85" a="1"/>
  <c r="G36" i="85" s="1"/>
  <c r="E38" i="87"/>
  <c r="E7" i="87"/>
  <c r="E32" i="87"/>
  <c r="K44" i="87" s="1"/>
  <c r="E50" i="87" s="1" a="1"/>
  <c r="E50" i="87" s="1"/>
  <c r="G20" i="86" a="1"/>
  <c r="G20" i="86" s="1"/>
  <c r="E59" i="86" s="1" a="1"/>
  <c r="E59" i="86" s="1"/>
  <c r="E7" i="86"/>
  <c r="E43" i="86"/>
  <c r="G22" i="86" a="1"/>
  <c r="G22" i="86" s="1"/>
  <c r="E61" i="86" s="1" a="1"/>
  <c r="E61" i="86" s="1"/>
  <c r="G34" i="86" a="1"/>
  <c r="G34" i="86" s="1"/>
  <c r="E73" i="86" s="1" a="1"/>
  <c r="E73" i="86" s="1"/>
  <c r="G27" i="86" a="1"/>
  <c r="G27" i="86" s="1"/>
  <c r="E66" i="86" s="1" a="1"/>
  <c r="E66" i="86" s="1"/>
  <c r="G21" i="86" a="1"/>
  <c r="G21" i="86" s="1"/>
  <c r="E60" i="86" s="1" a="1"/>
  <c r="E60" i="86" s="1"/>
  <c r="G26" i="86" a="1"/>
  <c r="G26" i="86" s="1"/>
  <c r="E65" i="86" s="1" a="1"/>
  <c r="E65" i="86" s="1"/>
  <c r="G28" i="86" a="1"/>
  <c r="G28" i="86" s="1"/>
  <c r="E67" i="86" s="1" a="1"/>
  <c r="E67" i="86" s="1"/>
  <c r="G33" i="86" a="1"/>
  <c r="G33" i="86" s="1"/>
  <c r="E72" i="86" s="1" a="1"/>
  <c r="E72" i="86" s="1"/>
  <c r="G35" i="86" a="1"/>
  <c r="G35" i="86" s="1"/>
  <c r="E74" i="86" s="1" a="1"/>
  <c r="E74" i="86" s="1"/>
  <c r="F58" i="86"/>
  <c r="G24" i="86" a="1"/>
  <c r="G24" i="86" s="1"/>
  <c r="E63" i="86" s="1" a="1"/>
  <c r="E63" i="86" s="1"/>
  <c r="G29" i="86" a="1"/>
  <c r="G29" i="86" s="1"/>
  <c r="E68" i="86" s="1" a="1"/>
  <c r="E68" i="86" s="1"/>
  <c r="G31" i="86" a="1"/>
  <c r="G31" i="86" s="1"/>
  <c r="E70" i="86" s="1" a="1"/>
  <c r="E70" i="86" s="1"/>
  <c r="S68" i="85" a="1"/>
  <c r="S68" i="85" s="1"/>
  <c r="O78" i="85" s="1" a="1"/>
  <c r="O78" i="85" s="1"/>
  <c r="P78" i="85" s="1" a="1"/>
  <c r="P78" i="85" s="1"/>
  <c r="G23" i="86" a="1"/>
  <c r="G23" i="86" s="1"/>
  <c r="E62" i="86" s="1" a="1"/>
  <c r="E62" i="86" s="1"/>
  <c r="G25" i="86" a="1"/>
  <c r="G25" i="86" s="1"/>
  <c r="E64" i="86" s="1" a="1"/>
  <c r="E64" i="86" s="1"/>
  <c r="G30" i="86" a="1"/>
  <c r="G30" i="86" s="1"/>
  <c r="E69" i="86" s="1" a="1"/>
  <c r="E69" i="86" s="1"/>
  <c r="G32" i="86" a="1"/>
  <c r="G32" i="86" s="1"/>
  <c r="E71" i="86" s="1" a="1"/>
  <c r="E71" i="86" s="1"/>
  <c r="G37" i="86" a="1"/>
  <c r="G37" i="86" s="1"/>
  <c r="E76" i="86" s="1" a="1"/>
  <c r="E76" i="86" s="1"/>
  <c r="E7" i="85"/>
  <c r="E42" i="85"/>
  <c r="N60" i="85"/>
  <c r="G33" i="85" a="1"/>
  <c r="G33" i="85" s="1"/>
  <c r="F80" i="85"/>
  <c r="O88" i="85"/>
  <c r="F60" i="85"/>
  <c r="G27" i="85" a="1"/>
  <c r="G27" i="85" s="1"/>
  <c r="G31" i="85" a="1"/>
  <c r="G31" i="85" s="1"/>
  <c r="Q45" i="85"/>
  <c r="U49" i="85"/>
  <c r="U51" i="85"/>
  <c r="G25" i="85" a="1"/>
  <c r="G25" i="85" s="1"/>
  <c r="G29" i="85" a="1"/>
  <c r="G29" i="85" s="1"/>
  <c r="G20" i="85" a="1"/>
  <c r="G20" i="85" s="1"/>
  <c r="T45" i="85"/>
  <c r="V45" i="85" s="1" a="1"/>
  <c r="V45" i="85" s="1"/>
  <c r="V46" i="85" a="1"/>
  <c r="V46" i="85" s="1"/>
  <c r="Q52" i="85"/>
  <c r="Q48" i="85"/>
  <c r="R52" i="85" a="1"/>
  <c r="R52" i="85" s="1"/>
  <c r="Q51" i="85"/>
  <c r="S52" i="85" a="1"/>
  <c r="S52" i="85" s="1"/>
  <c r="S48" i="85" a="1"/>
  <c r="S48" i="85" s="1"/>
  <c r="R49" i="85" a="1"/>
  <c r="R49" i="85" s="1"/>
  <c r="R51" i="85" a="1"/>
  <c r="R51" i="85" s="1"/>
  <c r="Q47" i="85"/>
  <c r="T52" i="85"/>
  <c r="U52" i="85" s="1"/>
  <c r="G21" i="85" a="1"/>
  <c r="G21" i="85" s="1"/>
  <c r="G23" i="85" a="1"/>
  <c r="G23" i="85" s="1"/>
  <c r="S51" i="85" a="1"/>
  <c r="S51" i="85" s="1"/>
  <c r="O20" i="83"/>
  <c r="F20" i="83"/>
  <c r="F36" i="83"/>
  <c r="E96" i="81" a="1"/>
  <c r="E96" i="81" s="1"/>
  <c r="F96" i="81" s="1" a="1"/>
  <c r="F96" i="81" s="1"/>
  <c r="J96" i="81" s="1" a="1"/>
  <c r="J96" i="81" s="1"/>
  <c r="F34" i="79"/>
  <c r="I48" i="84"/>
  <c r="E26" i="83"/>
  <c r="E7" i="83"/>
  <c r="AF146" i="81"/>
  <c r="G34" i="79"/>
  <c r="H34" i="79"/>
  <c r="X183" i="80"/>
  <c r="N34" i="79"/>
  <c r="M26" i="79"/>
  <c r="AF138" i="81"/>
  <c r="AF139" i="81"/>
  <c r="E7" i="82"/>
  <c r="E22" i="82"/>
  <c r="L31" i="79"/>
  <c r="E97" i="81" a="1"/>
  <c r="E97" i="81" s="1"/>
  <c r="F97" i="81" s="1" a="1"/>
  <c r="F97" i="81" s="1"/>
  <c r="J97" i="81" s="1" a="1"/>
  <c r="J97" i="81" s="1"/>
  <c r="F35" i="82"/>
  <c r="O128" i="81"/>
  <c r="X79" i="80" a="1"/>
  <c r="X79" i="80" s="1"/>
  <c r="X134" i="80" s="1" a="1"/>
  <c r="X134" i="80" s="1"/>
  <c r="AF144" i="81"/>
  <c r="K26" i="79"/>
  <c r="O129" i="81"/>
  <c r="Y79" i="80" a="1"/>
  <c r="Y79" i="80" s="1"/>
  <c r="Y134" i="80" s="1" a="1"/>
  <c r="Y134" i="80" s="1"/>
  <c r="E42" i="81"/>
  <c r="E104" i="81"/>
  <c r="E7" i="81"/>
  <c r="E178" i="81"/>
  <c r="E136" i="81"/>
  <c r="E218" i="81"/>
  <c r="AB106" i="81" a="1"/>
  <c r="AB106" i="81" s="1"/>
  <c r="AA106" i="81" a="1"/>
  <c r="AA106" i="81" s="1"/>
  <c r="AH138" i="80"/>
  <c r="AH139" i="80"/>
  <c r="O132" i="80"/>
  <c r="AH140" i="80"/>
  <c r="AF82" i="81"/>
  <c r="AF79" i="81"/>
  <c r="O62" i="81"/>
  <c r="AF74" i="81"/>
  <c r="AF81" i="81"/>
  <c r="AF80" i="81"/>
  <c r="AF76" i="81"/>
  <c r="AF78" i="81"/>
  <c r="AF73" i="81"/>
  <c r="O65" i="81"/>
  <c r="O64" i="81"/>
  <c r="AF77" i="81"/>
  <c r="AF83" i="81"/>
  <c r="O63" i="81"/>
  <c r="AF75" i="81"/>
  <c r="AF72" i="81"/>
  <c r="O34" i="81"/>
  <c r="AF39" i="81"/>
  <c r="N365" i="78"/>
  <c r="P237" i="80"/>
  <c r="AI264" i="80"/>
  <c r="O35" i="81"/>
  <c r="F229" i="81"/>
  <c r="AF202" i="81"/>
  <c r="AF199" i="81"/>
  <c r="AF204" i="81"/>
  <c r="AF198" i="81"/>
  <c r="O170" i="81"/>
  <c r="O171" i="81"/>
  <c r="AF207" i="81"/>
  <c r="AF206" i="81"/>
  <c r="AF205" i="81"/>
  <c r="AF197" i="81"/>
  <c r="AF203" i="81"/>
  <c r="AF200" i="81"/>
  <c r="AF196" i="81"/>
  <c r="O169" i="81"/>
  <c r="K31" i="79"/>
  <c r="AI266" i="80"/>
  <c r="AF46" i="81"/>
  <c r="AF43" i="81"/>
  <c r="AF40" i="81"/>
  <c r="O36" i="81"/>
  <c r="AF45" i="81"/>
  <c r="AF42" i="81"/>
  <c r="AF44" i="81"/>
  <c r="AF37" i="81"/>
  <c r="L23" i="79"/>
  <c r="P239" i="80"/>
  <c r="N23" i="79"/>
  <c r="F32" i="79"/>
  <c r="H32" i="79"/>
  <c r="AF36" i="81"/>
  <c r="AF47" i="81"/>
  <c r="AH109" i="81"/>
  <c r="AH108" i="81"/>
  <c r="AH107" i="81"/>
  <c r="AH100" i="81"/>
  <c r="AH101" i="81"/>
  <c r="AH102" i="81"/>
  <c r="Q95" i="81"/>
  <c r="AH105" i="81"/>
  <c r="AH103" i="81"/>
  <c r="AH110" i="81"/>
  <c r="Q97" i="81"/>
  <c r="AH104" i="81"/>
  <c r="AH111" i="81"/>
  <c r="AH106" i="81"/>
  <c r="O172" i="81"/>
  <c r="E20" i="81"/>
  <c r="O33" i="81"/>
  <c r="AF83" i="80" a="1"/>
  <c r="AF83" i="80" s="1"/>
  <c r="AF138" i="80" s="1" a="1"/>
  <c r="AF138" i="80" s="1"/>
  <c r="P241" i="80"/>
  <c r="E95" i="81" a="1"/>
  <c r="E95" i="81" s="1"/>
  <c r="E98" i="81" a="1"/>
  <c r="E98" i="81" s="1"/>
  <c r="O107" i="77"/>
  <c r="AI252" i="80"/>
  <c r="AI262" i="80"/>
  <c r="AF38" i="81"/>
  <c r="Q98" i="81"/>
  <c r="AC104" i="81" a="1"/>
  <c r="AC104" i="81" s="1"/>
  <c r="AF259" i="81"/>
  <c r="AF252" i="81"/>
  <c r="AF257" i="81"/>
  <c r="AF250" i="81"/>
  <c r="O207" i="81"/>
  <c r="AF248" i="81"/>
  <c r="O210" i="81"/>
  <c r="AF255" i="81"/>
  <c r="AF254" i="81"/>
  <c r="AF251" i="81"/>
  <c r="F212" i="81"/>
  <c r="AF253" i="81"/>
  <c r="O209" i="81"/>
  <c r="O208" i="81"/>
  <c r="AF258" i="81"/>
  <c r="AF249" i="81"/>
  <c r="W261" i="81"/>
  <c r="V189" i="81" a="1"/>
  <c r="V189" i="81" s="1"/>
  <c r="V190" i="81" a="1"/>
  <c r="V190" i="81" s="1"/>
  <c r="V182" i="81" a="1"/>
  <c r="V182" i="81" s="1"/>
  <c r="V108" i="81" a="1"/>
  <c r="V108" i="81" s="1"/>
  <c r="V107" i="81" a="1"/>
  <c r="V107" i="81" s="1"/>
  <c r="V102" i="81" a="1"/>
  <c r="V102" i="81" s="1"/>
  <c r="W102" i="81" s="1" a="1"/>
  <c r="W102" i="81" s="1"/>
  <c r="V183" i="81" a="1"/>
  <c r="V183" i="81" s="1"/>
  <c r="V103" i="81" a="1"/>
  <c r="V103" i="81" s="1"/>
  <c r="W103" i="81" s="1" a="1"/>
  <c r="W103" i="81" s="1"/>
  <c r="AB103" i="81" s="1" a="1"/>
  <c r="AB103" i="81" s="1"/>
  <c r="V184" i="81" a="1"/>
  <c r="V184" i="81" s="1"/>
  <c r="V191" i="81" a="1"/>
  <c r="V191" i="81" s="1"/>
  <c r="V187" i="81" a="1"/>
  <c r="V187" i="81" s="1"/>
  <c r="V109" i="81" a="1"/>
  <c r="V109" i="81" s="1"/>
  <c r="V181" i="81" a="1"/>
  <c r="V181" i="81" s="1"/>
  <c r="V111" i="81" a="1"/>
  <c r="V111" i="81" s="1"/>
  <c r="AF141" i="81"/>
  <c r="AF143" i="81"/>
  <c r="V185" i="81" a="1"/>
  <c r="V185" i="81" s="1"/>
  <c r="AC106" i="81" a="1"/>
  <c r="AC106" i="81" s="1"/>
  <c r="V105" i="81" a="1"/>
  <c r="V105" i="81" s="1"/>
  <c r="W105" i="81" s="1" a="1"/>
  <c r="W105" i="81" s="1"/>
  <c r="AA105" i="81" s="1" a="1"/>
  <c r="AA105" i="81" s="1"/>
  <c r="V180" i="81" a="1"/>
  <c r="V180" i="81" s="1"/>
  <c r="W110" i="81" a="1"/>
  <c r="W110" i="81" s="1"/>
  <c r="V101" i="81" a="1"/>
  <c r="V101" i="81" s="1"/>
  <c r="W101" i="81" s="1" a="1"/>
  <c r="W101" i="81" s="1"/>
  <c r="AF147" i="81"/>
  <c r="AF137" i="81"/>
  <c r="O127" i="81"/>
  <c r="AF145" i="81"/>
  <c r="AF140" i="81"/>
  <c r="O130" i="81"/>
  <c r="AF142" i="81"/>
  <c r="V216" i="81"/>
  <c r="AA104" i="81" a="1"/>
  <c r="AA104" i="81" s="1"/>
  <c r="E164" i="81" a="1"/>
  <c r="E164" i="81" s="1"/>
  <c r="E163" i="81" a="1"/>
  <c r="E163" i="81" s="1"/>
  <c r="E161" i="81" a="1"/>
  <c r="E161" i="81" s="1"/>
  <c r="E191" i="81"/>
  <c r="Y83" i="80" a="1"/>
  <c r="Y83" i="80" s="1"/>
  <c r="Y138" i="80" s="1" a="1"/>
  <c r="Y138" i="80" s="1"/>
  <c r="AD87" i="80" a="1"/>
  <c r="AD87" i="80" s="1"/>
  <c r="AD142" i="80" s="1" a="1"/>
  <c r="AD142" i="80" s="1"/>
  <c r="AE77" i="80" a="1"/>
  <c r="AE77" i="80" s="1"/>
  <c r="AE132" i="80" s="1" a="1"/>
  <c r="AE132" i="80" s="1"/>
  <c r="AF178" i="80" s="1" a="1"/>
  <c r="AF178" i="80" s="1"/>
  <c r="AF252" i="80" s="1" a="1"/>
  <c r="AF252" i="80" s="1"/>
  <c r="AF77" i="80" a="1"/>
  <c r="AF77" i="80" s="1"/>
  <c r="AF132" i="80" s="1" a="1"/>
  <c r="AF132" i="80" s="1"/>
  <c r="AG83" i="80" a="1"/>
  <c r="AG83" i="80" s="1"/>
  <c r="AG138" i="80" s="1" a="1"/>
  <c r="AG138" i="80" s="1"/>
  <c r="AH184" i="80" s="1" a="1"/>
  <c r="AH184" i="80" s="1"/>
  <c r="AH258" i="80" s="1" a="1"/>
  <c r="AH258" i="80" s="1"/>
  <c r="AF81" i="80" a="1"/>
  <c r="AF81" i="80" s="1"/>
  <c r="AF136" i="80" s="1" a="1"/>
  <c r="AF136" i="80" s="1"/>
  <c r="AG81" i="80" a="1"/>
  <c r="AG81" i="80" s="1"/>
  <c r="AG136" i="80" s="1" a="1"/>
  <c r="AG136" i="80" s="1"/>
  <c r="AH182" i="80" s="1" a="1"/>
  <c r="AH182" i="80" s="1"/>
  <c r="AH256" i="80" s="1" a="1"/>
  <c r="AH256" i="80" s="1"/>
  <c r="E39" i="80"/>
  <c r="E101" i="80"/>
  <c r="E206" i="80"/>
  <c r="E148" i="80"/>
  <c r="AD30" i="80" a="1"/>
  <c r="AD30" i="80" s="1"/>
  <c r="AB78" i="80" s="1" a="1"/>
  <c r="AB78" i="80" s="1"/>
  <c r="AB133" i="80" s="1" a="1"/>
  <c r="AB133" i="80" s="1"/>
  <c r="AC30" i="80" a="1"/>
  <c r="AC30" i="80" s="1"/>
  <c r="AA78" i="80" s="1" a="1"/>
  <c r="AA78" i="80" s="1"/>
  <c r="AA133" i="80" s="1" a="1"/>
  <c r="AA133" i="80" s="1"/>
  <c r="G30" i="80"/>
  <c r="G33" i="80"/>
  <c r="G31" i="80"/>
  <c r="X191" i="80"/>
  <c r="X179" i="80"/>
  <c r="X180" i="80"/>
  <c r="X192" i="80"/>
  <c r="X200" i="80"/>
  <c r="X188" i="80"/>
  <c r="X193" i="80"/>
  <c r="X181" i="80"/>
  <c r="X189" i="80"/>
  <c r="X177" i="80"/>
  <c r="AE29" i="80" a="1"/>
  <c r="AE29" i="80" s="1"/>
  <c r="AC77" i="80" s="1" a="1"/>
  <c r="AC77" i="80" s="1"/>
  <c r="AC132" i="80" s="1" a="1"/>
  <c r="AC132" i="80" s="1"/>
  <c r="AD29" i="80" a="1"/>
  <c r="AD29" i="80" s="1"/>
  <c r="AB77" i="80" s="1" a="1"/>
  <c r="AB77" i="80" s="1"/>
  <c r="AB132" i="80" s="1" a="1"/>
  <c r="AB132" i="80" s="1"/>
  <c r="L33" i="80" a="1"/>
  <c r="L33" i="80" s="1"/>
  <c r="H87" i="80" s="1" a="1"/>
  <c r="H87" i="80" s="1"/>
  <c r="H134" i="80" s="1" a="1"/>
  <c r="H134" i="80" s="1"/>
  <c r="AH87" i="80"/>
  <c r="O84" i="80"/>
  <c r="O85" i="80"/>
  <c r="AH77" i="80"/>
  <c r="O86" i="80"/>
  <c r="AH79" i="80"/>
  <c r="AH81" i="80"/>
  <c r="O87" i="80"/>
  <c r="AH83" i="80"/>
  <c r="AH84" i="80"/>
  <c r="AH85" i="80"/>
  <c r="AH76" i="80"/>
  <c r="AH78" i="80"/>
  <c r="AH86" i="80"/>
  <c r="AH82" i="80"/>
  <c r="AH80" i="80"/>
  <c r="G27" i="79"/>
  <c r="X31" i="80" a="1"/>
  <c r="X31" i="80" s="1"/>
  <c r="Y31" i="80" s="1" a="1"/>
  <c r="Y31" i="80" s="1"/>
  <c r="AJ39" i="80"/>
  <c r="Y76" i="80" a="1"/>
  <c r="Y76" i="80" s="1"/>
  <c r="Y131" i="80" s="1" a="1"/>
  <c r="Y131" i="80" s="1"/>
  <c r="Z78" i="80" a="1"/>
  <c r="Z78" i="80" s="1"/>
  <c r="Z133" i="80" s="1" a="1"/>
  <c r="Z133" i="80" s="1"/>
  <c r="AD79" i="80" a="1"/>
  <c r="AD79" i="80" s="1"/>
  <c r="AD134" i="80" s="1" a="1"/>
  <c r="AD134" i="80" s="1"/>
  <c r="X84" i="80" a="1"/>
  <c r="X84" i="80" s="1"/>
  <c r="X139" i="80" s="1" a="1"/>
  <c r="X139" i="80" s="1"/>
  <c r="Y85" i="80" a="1"/>
  <c r="Y85" i="80" s="1"/>
  <c r="Y140" i="80" s="1" a="1"/>
  <c r="Y140" i="80" s="1"/>
  <c r="AG85" i="80" a="1"/>
  <c r="AG85" i="80" s="1"/>
  <c r="AG140" i="80" s="1" a="1"/>
  <c r="AG140" i="80" s="1"/>
  <c r="K86" i="80" a="1"/>
  <c r="K86" i="80" s="1"/>
  <c r="K133" i="80" s="1" a="1"/>
  <c r="K133" i="80" s="1"/>
  <c r="L87" i="80" a="1"/>
  <c r="L87" i="80" s="1"/>
  <c r="L134" i="80" s="1" a="1"/>
  <c r="L134" i="80" s="1"/>
  <c r="P177" i="80"/>
  <c r="AI180" i="80"/>
  <c r="H31" i="80"/>
  <c r="AE30" i="80" a="1"/>
  <c r="AE30" i="80" s="1"/>
  <c r="AC78" i="80" s="1" a="1"/>
  <c r="AC78" i="80" s="1"/>
  <c r="AC133" i="80" s="1" a="1"/>
  <c r="AC133" i="80" s="1"/>
  <c r="AJ30" i="80"/>
  <c r="X33" i="80" a="1"/>
  <c r="X33" i="80" s="1"/>
  <c r="Y33" i="80" s="1" a="1"/>
  <c r="Y33" i="80" s="1"/>
  <c r="AJ38" i="80"/>
  <c r="AG76" i="80" a="1"/>
  <c r="AG76" i="80" s="1"/>
  <c r="AG131" i="80" s="1" a="1"/>
  <c r="AG131" i="80" s="1"/>
  <c r="AD77" i="80" a="1"/>
  <c r="AD77" i="80" s="1"/>
  <c r="AD132" i="80" s="1" a="1"/>
  <c r="AD132" i="80" s="1"/>
  <c r="AE81" i="80" a="1"/>
  <c r="AE81" i="80" s="1"/>
  <c r="AE136" i="80" s="1" a="1"/>
  <c r="AE136" i="80" s="1"/>
  <c r="AE83" i="80" a="1"/>
  <c r="AE83" i="80" s="1"/>
  <c r="AE138" i="80" s="1" a="1"/>
  <c r="AE138" i="80" s="1"/>
  <c r="AF84" i="80" a="1"/>
  <c r="AF84" i="80" s="1"/>
  <c r="AF139" i="80" s="1" a="1"/>
  <c r="AF139" i="80" s="1"/>
  <c r="Z85" i="80" a="1"/>
  <c r="Z85" i="80" s="1"/>
  <c r="Z140" i="80" s="1" a="1"/>
  <c r="Z140" i="80" s="1"/>
  <c r="E87" i="80" a="1"/>
  <c r="E87" i="80" s="1"/>
  <c r="E134" i="80" s="1" a="1"/>
  <c r="E134" i="80" s="1"/>
  <c r="X196" i="80"/>
  <c r="X184" i="80"/>
  <c r="AH131" i="80"/>
  <c r="P183" i="80"/>
  <c r="E34" i="79"/>
  <c r="X28" i="80" a="1"/>
  <c r="X28" i="80" s="1"/>
  <c r="AC29" i="80" a="1"/>
  <c r="AC29" i="80" s="1"/>
  <c r="AA77" i="80" s="1" a="1"/>
  <c r="AA77" i="80" s="1"/>
  <c r="AA132" i="80" s="1" a="1"/>
  <c r="AA132" i="80" s="1"/>
  <c r="AJ37" i="80"/>
  <c r="Z76" i="80" a="1"/>
  <c r="Z76" i="80" s="1"/>
  <c r="Z131" i="80" s="1" a="1"/>
  <c r="Z131" i="80" s="1"/>
  <c r="AE79" i="80" a="1"/>
  <c r="AE79" i="80" s="1"/>
  <c r="AE134" i="80" s="1" a="1"/>
  <c r="AE134" i="80" s="1"/>
  <c r="X81" i="80" a="1"/>
  <c r="X81" i="80" s="1"/>
  <c r="X136" i="80" s="1" a="1"/>
  <c r="X136" i="80" s="1"/>
  <c r="X83" i="80" a="1"/>
  <c r="X83" i="80" s="1"/>
  <c r="X138" i="80" s="1" a="1"/>
  <c r="X138" i="80" s="1"/>
  <c r="Y84" i="80" a="1"/>
  <c r="Y84" i="80" s="1"/>
  <c r="Y139" i="80" s="1" a="1"/>
  <c r="Y139" i="80" s="1"/>
  <c r="K85" i="80" a="1"/>
  <c r="K85" i="80" s="1"/>
  <c r="K132" i="80" s="1" a="1"/>
  <c r="K132" i="80" s="1"/>
  <c r="L86" i="80" a="1"/>
  <c r="L86" i="80" s="1"/>
  <c r="L133" i="80" s="1" a="1"/>
  <c r="L133" i="80" s="1"/>
  <c r="M87" i="80" a="1"/>
  <c r="M87" i="80" s="1"/>
  <c r="M134" i="80" s="1" a="1"/>
  <c r="M134" i="80" s="1"/>
  <c r="P184" i="80"/>
  <c r="AJ32" i="80"/>
  <c r="AJ36" i="80"/>
  <c r="E86" i="80" a="1"/>
  <c r="E86" i="80" s="1"/>
  <c r="E133" i="80" s="1" a="1"/>
  <c r="E133" i="80" s="1"/>
  <c r="F87" i="80" a="1"/>
  <c r="F87" i="80" s="1"/>
  <c r="F134" i="80" s="1" a="1"/>
  <c r="F134" i="80" s="1"/>
  <c r="X186" i="80"/>
  <c r="X198" i="80"/>
  <c r="X268" i="80"/>
  <c r="X256" i="80"/>
  <c r="S30" i="80"/>
  <c r="X77" i="80" a="1"/>
  <c r="X77" i="80" s="1"/>
  <c r="X132" i="80" s="1" a="1"/>
  <c r="X132" i="80" s="1"/>
  <c r="AF79" i="80" a="1"/>
  <c r="AF79" i="80" s="1"/>
  <c r="AF134" i="80" s="1" a="1"/>
  <c r="AF134" i="80" s="1"/>
  <c r="Y81" i="80" a="1"/>
  <c r="Y81" i="80" s="1"/>
  <c r="Y136" i="80" s="1" a="1"/>
  <c r="Y136" i="80" s="1"/>
  <c r="L85" i="80" a="1"/>
  <c r="L85" i="80" s="1"/>
  <c r="L132" i="80" s="1" a="1"/>
  <c r="L132" i="80" s="1"/>
  <c r="M86" i="80" a="1"/>
  <c r="M86" i="80" s="1"/>
  <c r="M133" i="80" s="1" a="1"/>
  <c r="M133" i="80" s="1"/>
  <c r="N87" i="80" a="1"/>
  <c r="N87" i="80" s="1"/>
  <c r="N134" i="80" s="1" a="1"/>
  <c r="N134" i="80" s="1"/>
  <c r="E85" i="80" a="1"/>
  <c r="E85" i="80" s="1"/>
  <c r="E132" i="80" s="1" a="1"/>
  <c r="E132" i="80" s="1"/>
  <c r="F86" i="80" a="1"/>
  <c r="F86" i="80" s="1"/>
  <c r="F133" i="80" s="1" a="1"/>
  <c r="F133" i="80" s="1"/>
  <c r="G87" i="80" a="1"/>
  <c r="G87" i="80" s="1"/>
  <c r="G134" i="80" s="1" a="1"/>
  <c r="G134" i="80" s="1"/>
  <c r="S32" i="80"/>
  <c r="AJ35" i="80"/>
  <c r="AF86" i="80" a="1"/>
  <c r="AF86" i="80" s="1"/>
  <c r="AF141" i="80" s="1" a="1"/>
  <c r="AF141" i="80" s="1"/>
  <c r="Y86" i="80" a="1"/>
  <c r="Y86" i="80" s="1"/>
  <c r="Y141" i="80" s="1" a="1"/>
  <c r="Y141" i="80" s="1"/>
  <c r="AG84" i="80" a="1"/>
  <c r="AG84" i="80" s="1"/>
  <c r="AG139" i="80" s="1" a="1"/>
  <c r="AG139" i="80" s="1"/>
  <c r="Z84" i="80" a="1"/>
  <c r="Z84" i="80" s="1"/>
  <c r="Z139" i="80" s="1" a="1"/>
  <c r="Z139" i="80" s="1"/>
  <c r="Y77" i="80" a="1"/>
  <c r="Y77" i="80" s="1"/>
  <c r="Y132" i="80" s="1" a="1"/>
  <c r="Y132" i="80" s="1"/>
  <c r="AG79" i="80" a="1"/>
  <c r="AG79" i="80" s="1"/>
  <c r="AG134" i="80" s="1" a="1"/>
  <c r="AG134" i="80" s="1"/>
  <c r="Z81" i="80" a="1"/>
  <c r="Z81" i="80" s="1"/>
  <c r="Z136" i="80" s="1" a="1"/>
  <c r="Z136" i="80" s="1"/>
  <c r="Z83" i="80" a="1"/>
  <c r="Z83" i="80" s="1"/>
  <c r="Z138" i="80" s="1" a="1"/>
  <c r="Z138" i="80" s="1"/>
  <c r="L84" i="80" a="1"/>
  <c r="L84" i="80" s="1"/>
  <c r="L131" i="80" s="1" a="1"/>
  <c r="L131" i="80" s="1"/>
  <c r="M85" i="80" a="1"/>
  <c r="M85" i="80" s="1"/>
  <c r="M132" i="80" s="1" a="1"/>
  <c r="M132" i="80" s="1"/>
  <c r="N86" i="80" a="1"/>
  <c r="N86" i="80" s="1"/>
  <c r="N133" i="80" s="1" a="1"/>
  <c r="N133" i="80" s="1"/>
  <c r="X199" i="80"/>
  <c r="X187" i="80"/>
  <c r="M31" i="79"/>
  <c r="X37" i="80" a="1"/>
  <c r="X37" i="80" s="1"/>
  <c r="Y37" i="80" s="1" a="1"/>
  <c r="Y37" i="80" s="1"/>
  <c r="X44" i="80"/>
  <c r="X76" i="80" s="1" a="1"/>
  <c r="X76" i="80" s="1"/>
  <c r="X131" i="80" s="1" a="1"/>
  <c r="X131" i="80" s="1"/>
  <c r="AG77" i="80" a="1"/>
  <c r="AG77" i="80" s="1"/>
  <c r="AG132" i="80" s="1" a="1"/>
  <c r="AG132" i="80" s="1"/>
  <c r="Z79" i="80" a="1"/>
  <c r="Z79" i="80" s="1"/>
  <c r="Z134" i="80" s="1" a="1"/>
  <c r="Z134" i="80" s="1"/>
  <c r="AD80" i="80" a="1"/>
  <c r="AD80" i="80" s="1"/>
  <c r="AD135" i="80" s="1" a="1"/>
  <c r="AD135" i="80" s="1"/>
  <c r="AD82" i="80" a="1"/>
  <c r="AD82" i="80" s="1"/>
  <c r="AD137" i="80" s="1" a="1"/>
  <c r="AD137" i="80" s="1"/>
  <c r="F85" i="80" a="1"/>
  <c r="F85" i="80" s="1"/>
  <c r="F132" i="80" s="1" a="1"/>
  <c r="F132" i="80" s="1"/>
  <c r="G86" i="80" a="1"/>
  <c r="G86" i="80" s="1"/>
  <c r="G133" i="80" s="1" a="1"/>
  <c r="G133" i="80" s="1"/>
  <c r="AD86" i="80" a="1"/>
  <c r="AD86" i="80" s="1"/>
  <c r="AD141" i="80" s="1" a="1"/>
  <c r="AD141" i="80" s="1"/>
  <c r="AE87" i="80" a="1"/>
  <c r="AE87" i="80" s="1"/>
  <c r="AE142" i="80" s="1" a="1"/>
  <c r="AE142" i="80" s="1"/>
  <c r="X219" i="80"/>
  <c r="X251" i="80"/>
  <c r="X263" i="80"/>
  <c r="N31" i="79"/>
  <c r="AJ29" i="80"/>
  <c r="X32" i="80" a="1"/>
  <c r="X32" i="80" s="1"/>
  <c r="Y32" i="80" s="1" a="1"/>
  <c r="Y32" i="80" s="1"/>
  <c r="AD32" i="80" s="1" a="1"/>
  <c r="AD32" i="80" s="1"/>
  <c r="AB80" i="80" s="1" a="1"/>
  <c r="AB80" i="80" s="1"/>
  <c r="AB135" i="80" s="1" a="1"/>
  <c r="AB135" i="80" s="1"/>
  <c r="AJ34" i="80"/>
  <c r="X36" i="80" a="1"/>
  <c r="X36" i="80" s="1"/>
  <c r="Y36" i="80" s="1" a="1"/>
  <c r="Y36" i="80" s="1"/>
  <c r="Z77" i="80" a="1"/>
  <c r="Z77" i="80" s="1"/>
  <c r="Z132" i="80" s="1" a="1"/>
  <c r="Z132" i="80" s="1"/>
  <c r="AD78" i="80" a="1"/>
  <c r="AD78" i="80" s="1"/>
  <c r="AD133" i="80" s="1" a="1"/>
  <c r="AD133" i="80" s="1"/>
  <c r="AE82" i="80" a="1"/>
  <c r="AE82" i="80" s="1"/>
  <c r="AE137" i="80" s="1" a="1"/>
  <c r="AE137" i="80" s="1"/>
  <c r="M84" i="80" a="1"/>
  <c r="M84" i="80" s="1"/>
  <c r="M131" i="80" s="1" a="1"/>
  <c r="M131" i="80" s="1"/>
  <c r="N85" i="80" a="1"/>
  <c r="N85" i="80" s="1"/>
  <c r="N132" i="80" s="1" a="1"/>
  <c r="N132" i="80" s="1"/>
  <c r="X87" i="80" a="1"/>
  <c r="X87" i="80" s="1"/>
  <c r="X142" i="80" s="1" a="1"/>
  <c r="X142" i="80" s="1"/>
  <c r="AF87" i="80" a="1"/>
  <c r="AF87" i="80" s="1"/>
  <c r="AF142" i="80" s="1" a="1"/>
  <c r="AF142" i="80" s="1"/>
  <c r="AH141" i="80"/>
  <c r="AH134" i="80"/>
  <c r="AH133" i="80"/>
  <c r="AH137" i="80"/>
  <c r="AH142" i="80"/>
  <c r="AH132" i="80"/>
  <c r="X197" i="80"/>
  <c r="X185" i="80"/>
  <c r="AI194" i="80"/>
  <c r="AI190" i="80"/>
  <c r="AI193" i="80"/>
  <c r="AI183" i="80"/>
  <c r="AI200" i="80"/>
  <c r="AI199" i="80"/>
  <c r="AI187" i="80"/>
  <c r="P181" i="80"/>
  <c r="AI178" i="80"/>
  <c r="AI198" i="80"/>
  <c r="AI197" i="80"/>
  <c r="AI182" i="80"/>
  <c r="P180" i="80"/>
  <c r="AI177" i="80"/>
  <c r="AI184" i="80"/>
  <c r="AI189" i="80"/>
  <c r="AI186" i="80"/>
  <c r="AI181" i="80"/>
  <c r="AI196" i="80"/>
  <c r="P179" i="80"/>
  <c r="AI192" i="80"/>
  <c r="AI185" i="80"/>
  <c r="AI195" i="80"/>
  <c r="AD76" i="80" a="1"/>
  <c r="AD76" i="80" s="1"/>
  <c r="AD131" i="80" s="1" a="1"/>
  <c r="AD131" i="80" s="1"/>
  <c r="AE80" i="80" a="1"/>
  <c r="AE80" i="80" s="1"/>
  <c r="AE135" i="80" s="1" a="1"/>
  <c r="AE135" i="80" s="1"/>
  <c r="X82" i="80" a="1"/>
  <c r="X82" i="80" s="1"/>
  <c r="X137" i="80" s="1" a="1"/>
  <c r="X137" i="80" s="1"/>
  <c r="F84" i="80" a="1"/>
  <c r="F84" i="80" s="1"/>
  <c r="F131" i="80" s="1" a="1"/>
  <c r="F131" i="80" s="1"/>
  <c r="G85" i="80" a="1"/>
  <c r="G85" i="80" s="1"/>
  <c r="G132" i="80" s="1" a="1"/>
  <c r="G132" i="80" s="1"/>
  <c r="AD85" i="80" a="1"/>
  <c r="AD85" i="80" s="1"/>
  <c r="AD140" i="80" s="1" a="1"/>
  <c r="AD140" i="80" s="1"/>
  <c r="AE86" i="80" a="1"/>
  <c r="AE86" i="80" s="1"/>
  <c r="AE141" i="80" s="1" a="1"/>
  <c r="AE141" i="80" s="1"/>
  <c r="Y87" i="80" a="1"/>
  <c r="Y87" i="80" s="1"/>
  <c r="Y142" i="80" s="1" a="1"/>
  <c r="Y142" i="80" s="1"/>
  <c r="O131" i="80"/>
  <c r="O133" i="80"/>
  <c r="AH136" i="80"/>
  <c r="X178" i="80"/>
  <c r="AI188" i="80"/>
  <c r="AJ31" i="80"/>
  <c r="AJ33" i="80"/>
  <c r="X35" i="80" a="1"/>
  <c r="X35" i="80" s="1"/>
  <c r="Y35" i="80" s="1" a="1"/>
  <c r="Y35" i="80" s="1"/>
  <c r="AE78" i="80" a="1"/>
  <c r="AE78" i="80" s="1"/>
  <c r="AE133" i="80" s="1" a="1"/>
  <c r="AE133" i="80" s="1"/>
  <c r="X80" i="80" a="1"/>
  <c r="X80" i="80" s="1"/>
  <c r="X135" i="80" s="1" a="1"/>
  <c r="X135" i="80" s="1"/>
  <c r="AF80" i="80" a="1"/>
  <c r="AF80" i="80" s="1"/>
  <c r="AF135" i="80" s="1" a="1"/>
  <c r="AF135" i="80" s="1"/>
  <c r="AF82" i="80" a="1"/>
  <c r="AF82" i="80" s="1"/>
  <c r="AF137" i="80" s="1" a="1"/>
  <c r="AF137" i="80" s="1"/>
  <c r="N84" i="80" a="1"/>
  <c r="N84" i="80" s="1"/>
  <c r="N131" i="80" s="1" a="1"/>
  <c r="N131" i="80" s="1"/>
  <c r="X86" i="80" a="1"/>
  <c r="X86" i="80" s="1"/>
  <c r="X141" i="80" s="1" a="1"/>
  <c r="X141" i="80" s="1"/>
  <c r="AG87" i="80" a="1"/>
  <c r="AG87" i="80" s="1"/>
  <c r="AG142" i="80" s="1" a="1"/>
  <c r="AG142" i="80" s="1"/>
  <c r="AI179" i="80"/>
  <c r="M66" i="77" a="1"/>
  <c r="M66" i="77" s="1"/>
  <c r="M87" i="77" s="1" a="1"/>
  <c r="M87" i="77" s="1"/>
  <c r="M125" i="77" s="1" a="1"/>
  <c r="M125" i="77" s="1"/>
  <c r="AF117" i="77"/>
  <c r="L26" i="79"/>
  <c r="G32" i="79"/>
  <c r="AJ28" i="80"/>
  <c r="K84" i="80" a="1"/>
  <c r="K84" i="80" s="1"/>
  <c r="K131" i="80" s="1" a="1"/>
  <c r="K131" i="80" s="1"/>
  <c r="AE76" i="80" a="1"/>
  <c r="AE76" i="80" s="1"/>
  <c r="AE131" i="80" s="1" a="1"/>
  <c r="AE131" i="80" s="1"/>
  <c r="X78" i="80" a="1"/>
  <c r="X78" i="80" s="1"/>
  <c r="X133" i="80" s="1" a="1"/>
  <c r="X133" i="80" s="1"/>
  <c r="Y80" i="80" a="1"/>
  <c r="Y80" i="80" s="1"/>
  <c r="Y135" i="80" s="1" a="1"/>
  <c r="Y135" i="80" s="1"/>
  <c r="Y82" i="80" a="1"/>
  <c r="Y82" i="80" s="1"/>
  <c r="Y137" i="80" s="1" a="1"/>
  <c r="Y137" i="80" s="1"/>
  <c r="G84" i="80" a="1"/>
  <c r="G84" i="80" s="1"/>
  <c r="G131" i="80" s="1" a="1"/>
  <c r="G131" i="80" s="1"/>
  <c r="AD84" i="80" a="1"/>
  <c r="AD84" i="80" s="1"/>
  <c r="AD139" i="80" s="1" a="1"/>
  <c r="AD139" i="80" s="1"/>
  <c r="AE85" i="80" a="1"/>
  <c r="AE85" i="80" s="1"/>
  <c r="AE140" i="80" s="1" a="1"/>
  <c r="AE140" i="80" s="1"/>
  <c r="Z87" i="80" a="1"/>
  <c r="Z87" i="80" s="1"/>
  <c r="Z142" i="80" s="1" a="1"/>
  <c r="Z142" i="80" s="1"/>
  <c r="O134" i="80"/>
  <c r="AH135" i="80"/>
  <c r="P182" i="80"/>
  <c r="AI191" i="80"/>
  <c r="S31" i="80"/>
  <c r="X34" i="80" a="1"/>
  <c r="X34" i="80" s="1"/>
  <c r="Y34" i="80" s="1" a="1"/>
  <c r="Y34" i="80" s="1"/>
  <c r="AC34" i="80" s="1" a="1"/>
  <c r="AC34" i="80" s="1"/>
  <c r="AA82" i="80" s="1" a="1"/>
  <c r="AA82" i="80" s="1"/>
  <c r="AA137" i="80" s="1" a="1"/>
  <c r="AA137" i="80" s="1"/>
  <c r="E52" i="80"/>
  <c r="E84" i="80" s="1" a="1"/>
  <c r="E84" i="80" s="1"/>
  <c r="E131" i="80" s="1" a="1"/>
  <c r="E131" i="80" s="1"/>
  <c r="AF78" i="80" a="1"/>
  <c r="AF78" i="80" s="1"/>
  <c r="AF133" i="80" s="1" a="1"/>
  <c r="AF133" i="80" s="1"/>
  <c r="AG80" i="80" a="1"/>
  <c r="AG80" i="80" s="1"/>
  <c r="AG135" i="80" s="1" a="1"/>
  <c r="AG135" i="80" s="1"/>
  <c r="AG82" i="80" a="1"/>
  <c r="AG82" i="80" s="1"/>
  <c r="AG137" i="80" s="1" a="1"/>
  <c r="AG137" i="80" s="1"/>
  <c r="X85" i="80" a="1"/>
  <c r="X85" i="80" s="1"/>
  <c r="X140" i="80" s="1" a="1"/>
  <c r="X140" i="80" s="1"/>
  <c r="AG86" i="80" a="1"/>
  <c r="AG86" i="80" s="1"/>
  <c r="AG141" i="80" s="1" a="1"/>
  <c r="AG141" i="80" s="1"/>
  <c r="K87" i="80" a="1"/>
  <c r="K87" i="80" s="1"/>
  <c r="K134" i="80" s="1" a="1"/>
  <c r="K134" i="80" s="1"/>
  <c r="N32" i="79"/>
  <c r="AF76" i="80" a="1"/>
  <c r="AF76" i="80" s="1"/>
  <c r="AF131" i="80" s="1" a="1"/>
  <c r="AF131" i="80" s="1"/>
  <c r="Y78" i="80" a="1"/>
  <c r="Y78" i="80" s="1"/>
  <c r="Y133" i="80" s="1" a="1"/>
  <c r="Y133" i="80" s="1"/>
  <c r="AG78" i="80" a="1"/>
  <c r="AG78" i="80" s="1"/>
  <c r="AG133" i="80" s="1" a="1"/>
  <c r="AG133" i="80" s="1"/>
  <c r="Z80" i="80" a="1"/>
  <c r="Z80" i="80" s="1"/>
  <c r="Z135" i="80" s="1" a="1"/>
  <c r="Z135" i="80" s="1"/>
  <c r="AD81" i="80" a="1"/>
  <c r="AD81" i="80" s="1"/>
  <c r="AD136" i="80" s="1" a="1"/>
  <c r="AD136" i="80" s="1"/>
  <c r="Z82" i="80" a="1"/>
  <c r="Z82" i="80" s="1"/>
  <c r="Z137" i="80" s="1" a="1"/>
  <c r="Z137" i="80" s="1"/>
  <c r="AD83" i="80" a="1"/>
  <c r="AD83" i="80" s="1"/>
  <c r="AD138" i="80" s="1" a="1"/>
  <c r="AD138" i="80" s="1"/>
  <c r="AE84" i="80" a="1"/>
  <c r="AE84" i="80" s="1"/>
  <c r="AE139" i="80" s="1" a="1"/>
  <c r="AE139" i="80" s="1"/>
  <c r="AF85" i="80" a="1"/>
  <c r="AF85" i="80" s="1"/>
  <c r="AF140" i="80" s="1" a="1"/>
  <c r="AF140" i="80" s="1"/>
  <c r="Z86" i="80" a="1"/>
  <c r="Z86" i="80" s="1"/>
  <c r="Z141" i="80" s="1" a="1"/>
  <c r="Z141" i="80" s="1"/>
  <c r="X182" i="80"/>
  <c r="X273" i="80"/>
  <c r="AI272" i="80"/>
  <c r="AI258" i="80"/>
  <c r="AI261" i="80"/>
  <c r="P236" i="80"/>
  <c r="AI267" i="80"/>
  <c r="AI253" i="80"/>
  <c r="P242" i="80"/>
  <c r="AI270" i="80"/>
  <c r="AI256" i="80"/>
  <c r="AI273" i="80"/>
  <c r="AI265" i="80"/>
  <c r="AI251" i="80"/>
  <c r="P240" i="80"/>
  <c r="AI268" i="80"/>
  <c r="AI254" i="80"/>
  <c r="AI271" i="80"/>
  <c r="AI257" i="80"/>
  <c r="AI274" i="80"/>
  <c r="AI260" i="80"/>
  <c r="P238" i="80"/>
  <c r="X270" i="80"/>
  <c r="X265" i="80"/>
  <c r="X253" i="80"/>
  <c r="F244" i="80"/>
  <c r="AI263" i="80"/>
  <c r="X260" i="80"/>
  <c r="X272" i="80"/>
  <c r="X257" i="80"/>
  <c r="P235" i="80"/>
  <c r="AI255" i="80"/>
  <c r="AI259" i="80"/>
  <c r="X235" i="80"/>
  <c r="E219" i="80"/>
  <c r="X266" i="80"/>
  <c r="H64" i="77" a="1"/>
  <c r="H64" i="77" s="1"/>
  <c r="H85" i="77" s="1" a="1"/>
  <c r="H85" i="77" s="1"/>
  <c r="H123" i="77" s="1" a="1"/>
  <c r="H123" i="77" s="1"/>
  <c r="L66" i="77" a="1"/>
  <c r="L66" i="77" s="1"/>
  <c r="L87" i="77" s="1" a="1"/>
  <c r="L87" i="77" s="1"/>
  <c r="L125" i="77" s="1" a="1"/>
  <c r="L125" i="77" s="1"/>
  <c r="J365" i="78"/>
  <c r="E30" i="79"/>
  <c r="E33" i="79"/>
  <c r="I367" i="78"/>
  <c r="G30" i="79"/>
  <c r="F33" i="79"/>
  <c r="E27" i="79"/>
  <c r="H30" i="79"/>
  <c r="N33" i="79"/>
  <c r="N369" i="78"/>
  <c r="F27" i="79"/>
  <c r="I30" i="79"/>
  <c r="E32" i="79"/>
  <c r="J30" i="79"/>
  <c r="H27" i="79"/>
  <c r="K30" i="79"/>
  <c r="J27" i="79"/>
  <c r="M30" i="79"/>
  <c r="L27" i="79"/>
  <c r="N30" i="79"/>
  <c r="I32" i="79"/>
  <c r="M27" i="79"/>
  <c r="J32" i="79"/>
  <c r="I34" i="79"/>
  <c r="I32" i="76"/>
  <c r="G26" i="79"/>
  <c r="N27" i="79"/>
  <c r="E31" i="79"/>
  <c r="K32" i="79"/>
  <c r="K34" i="79"/>
  <c r="L364" i="78"/>
  <c r="I26" i="79"/>
  <c r="H31" i="79"/>
  <c r="L32" i="79"/>
  <c r="L34" i="79"/>
  <c r="N364" i="78"/>
  <c r="J26" i="79"/>
  <c r="M28" i="79"/>
  <c r="J31" i="79"/>
  <c r="M34" i="79"/>
  <c r="N122" i="79"/>
  <c r="N123" i="79"/>
  <c r="O123" i="79" s="1"/>
  <c r="O122" i="79"/>
  <c r="E29" i="79"/>
  <c r="L121" i="79"/>
  <c r="G25" i="79"/>
  <c r="E24" i="79"/>
  <c r="H25" i="79"/>
  <c r="F29" i="79"/>
  <c r="F24" i="79"/>
  <c r="I25" i="79"/>
  <c r="G29" i="79"/>
  <c r="E23" i="79"/>
  <c r="H24" i="79"/>
  <c r="K25" i="79"/>
  <c r="N26" i="79"/>
  <c r="F28" i="79"/>
  <c r="I29" i="79"/>
  <c r="L30" i="79"/>
  <c r="G33" i="79"/>
  <c r="F23" i="79"/>
  <c r="I24" i="79"/>
  <c r="L25" i="79"/>
  <c r="G28" i="79"/>
  <c r="J29" i="79"/>
  <c r="H33" i="79"/>
  <c r="M124" i="79"/>
  <c r="G23" i="79"/>
  <c r="J24" i="79"/>
  <c r="M25" i="79"/>
  <c r="H28" i="79"/>
  <c r="K29" i="79"/>
  <c r="I33" i="79"/>
  <c r="H29" i="79"/>
  <c r="H23" i="79"/>
  <c r="K24" i="79"/>
  <c r="N25" i="79"/>
  <c r="I28" i="79"/>
  <c r="L29" i="79"/>
  <c r="J33" i="79"/>
  <c r="F25" i="79"/>
  <c r="G24" i="79"/>
  <c r="J25" i="79"/>
  <c r="E28" i="79"/>
  <c r="J28" i="79"/>
  <c r="M29" i="79"/>
  <c r="K33" i="79"/>
  <c r="J23" i="79"/>
  <c r="M24" i="79"/>
  <c r="E26" i="79"/>
  <c r="K28" i="79"/>
  <c r="F31" i="79"/>
  <c r="L33" i="79"/>
  <c r="I23" i="79"/>
  <c r="L24" i="79"/>
  <c r="K23" i="79"/>
  <c r="F26" i="79"/>
  <c r="I27" i="79"/>
  <c r="L28" i="79"/>
  <c r="G31" i="79"/>
  <c r="AC84" i="77" a="1"/>
  <c r="AC84" i="77" s="1"/>
  <c r="AC105" i="77" s="1" a="1"/>
  <c r="AC105" i="77" s="1"/>
  <c r="AC157" i="77" s="1" a="1"/>
  <c r="AC157" i="77" s="1"/>
  <c r="AF79" i="77"/>
  <c r="AF81" i="77"/>
  <c r="AF84" i="77"/>
  <c r="O66" i="77"/>
  <c r="AF80" i="77"/>
  <c r="AF83" i="77"/>
  <c r="AF82" i="77"/>
  <c r="AF77" i="77"/>
  <c r="O65" i="77"/>
  <c r="J369" i="78"/>
  <c r="L365" i="78"/>
  <c r="E24" i="76"/>
  <c r="L362" i="78"/>
  <c r="M362" i="78"/>
  <c r="G27" i="76"/>
  <c r="J28" i="77" a="1"/>
  <c r="J28" i="77" s="1"/>
  <c r="H66" i="77" s="1" a="1"/>
  <c r="H66" i="77" s="1"/>
  <c r="H87" i="77" s="1" a="1"/>
  <c r="H87" i="77" s="1"/>
  <c r="H125" i="77" s="1" a="1"/>
  <c r="H125" i="77" s="1"/>
  <c r="N27" i="76"/>
  <c r="L27" i="77" a="1"/>
  <c r="L27" i="77" s="1"/>
  <c r="J65" i="77" s="1" a="1"/>
  <c r="J65" i="77" s="1"/>
  <c r="J86" i="77" s="1" a="1"/>
  <c r="J86" i="77" s="1"/>
  <c r="J124" i="77" s="1" a="1"/>
  <c r="J124" i="77" s="1"/>
  <c r="L367" i="78"/>
  <c r="L27" i="76"/>
  <c r="K26" i="77" a="1"/>
  <c r="K26" i="77" s="1"/>
  <c r="I64" i="77" s="1" a="1"/>
  <c r="I64" i="77" s="1"/>
  <c r="I85" i="77" s="1" a="1"/>
  <c r="I85" i="77" s="1"/>
  <c r="I123" i="77" s="1" a="1"/>
  <c r="I123" i="77" s="1"/>
  <c r="N367" i="78"/>
  <c r="L100" i="78"/>
  <c r="K100" i="78"/>
  <c r="I91" i="78"/>
  <c r="I87" i="78"/>
  <c r="L94" i="78"/>
  <c r="K94" i="78"/>
  <c r="I227" i="78"/>
  <c r="I223" i="78"/>
  <c r="I224" i="78"/>
  <c r="I228" i="78"/>
  <c r="J92" i="78"/>
  <c r="J88" i="78"/>
  <c r="L89" i="78"/>
  <c r="L93" i="78"/>
  <c r="K89" i="78"/>
  <c r="K93" i="78"/>
  <c r="N95" i="78"/>
  <c r="P95" i="78"/>
  <c r="O95" i="78"/>
  <c r="J227" i="78"/>
  <c r="J223" i="78"/>
  <c r="I225" i="78"/>
  <c r="I229" i="78"/>
  <c r="I90" i="78"/>
  <c r="I86" i="78"/>
  <c r="K88" i="78"/>
  <c r="L92" i="78"/>
  <c r="K92" i="78"/>
  <c r="L88" i="78"/>
  <c r="M89" i="78"/>
  <c r="M93" i="78"/>
  <c r="P104" i="78"/>
  <c r="O104" i="78"/>
  <c r="N104" i="78"/>
  <c r="P105" i="78"/>
  <c r="O105" i="78"/>
  <c r="N105" i="78"/>
  <c r="J90" i="78"/>
  <c r="J86" i="78"/>
  <c r="L87" i="78"/>
  <c r="L91" i="78"/>
  <c r="K87" i="78"/>
  <c r="K91" i="78"/>
  <c r="M92" i="78"/>
  <c r="M88" i="78"/>
  <c r="L102" i="78"/>
  <c r="K102" i="78"/>
  <c r="M223" i="78"/>
  <c r="M227" i="78"/>
  <c r="L90" i="78"/>
  <c r="K90" i="78"/>
  <c r="L86" i="78"/>
  <c r="K86" i="78"/>
  <c r="M230" i="78"/>
  <c r="M226" i="78"/>
  <c r="M90" i="78"/>
  <c r="M86" i="78"/>
  <c r="P102" i="78"/>
  <c r="O102" i="78"/>
  <c r="N102" i="78"/>
  <c r="N91" i="78"/>
  <c r="P91" i="78"/>
  <c r="P87" i="78"/>
  <c r="O91" i="78"/>
  <c r="O87" i="78"/>
  <c r="N87" i="78"/>
  <c r="K98" i="78"/>
  <c r="L98" i="78"/>
  <c r="L99" i="78"/>
  <c r="K99" i="78"/>
  <c r="L111" i="78"/>
  <c r="K111" i="78"/>
  <c r="K114" i="78"/>
  <c r="L114" i="78"/>
  <c r="L115" i="78"/>
  <c r="K115" i="78"/>
  <c r="P101" i="78"/>
  <c r="O101" i="78"/>
  <c r="N101" i="78"/>
  <c r="G93" i="78"/>
  <c r="G89" i="78"/>
  <c r="L97" i="78"/>
  <c r="K97" i="78"/>
  <c r="L112" i="78"/>
  <c r="K112" i="78"/>
  <c r="F223" i="78"/>
  <c r="F227" i="78"/>
  <c r="F229" i="78"/>
  <c r="F225" i="78"/>
  <c r="G92" i="78"/>
  <c r="G88" i="78"/>
  <c r="H93" i="78"/>
  <c r="H89" i="78"/>
  <c r="O99" i="78"/>
  <c r="P99" i="78"/>
  <c r="N99" i="78"/>
  <c r="L106" i="78"/>
  <c r="K106" i="78"/>
  <c r="L108" i="78"/>
  <c r="K108" i="78"/>
  <c r="L109" i="78"/>
  <c r="K109" i="78"/>
  <c r="P111" i="78"/>
  <c r="N111" i="78"/>
  <c r="O111" i="78"/>
  <c r="O115" i="78"/>
  <c r="N115" i="78"/>
  <c r="P115" i="78"/>
  <c r="G226" i="78"/>
  <c r="G230" i="78"/>
  <c r="G87" i="78"/>
  <c r="G91" i="78"/>
  <c r="H92" i="78"/>
  <c r="H88" i="78"/>
  <c r="I93" i="78"/>
  <c r="I89" i="78"/>
  <c r="P97" i="78"/>
  <c r="O97" i="78"/>
  <c r="N97" i="78"/>
  <c r="O112" i="78"/>
  <c r="P112" i="78"/>
  <c r="N112" i="78"/>
  <c r="G86" i="78"/>
  <c r="G90" i="78"/>
  <c r="H91" i="78"/>
  <c r="H87" i="78"/>
  <c r="L95" i="78"/>
  <c r="K95" i="78"/>
  <c r="P108" i="78"/>
  <c r="O108" i="78"/>
  <c r="N108" i="78"/>
  <c r="AB84" i="77" a="1"/>
  <c r="AB84" i="77" s="1"/>
  <c r="AB105" i="77" s="1" a="1"/>
  <c r="AB105" i="77" s="1"/>
  <c r="AB157" i="77" s="1" a="1"/>
  <c r="AB157" i="77" s="1"/>
  <c r="H86" i="78"/>
  <c r="H90" i="78"/>
  <c r="L107" i="78"/>
  <c r="K107" i="78"/>
  <c r="P90" i="78"/>
  <c r="J93" i="78"/>
  <c r="J149" i="78" s="1"/>
  <c r="L103" i="78"/>
  <c r="L105" i="78"/>
  <c r="P114" i="78"/>
  <c r="O116" i="78"/>
  <c r="J230" i="78"/>
  <c r="J226" i="78"/>
  <c r="L247" i="78"/>
  <c r="K247" i="78"/>
  <c r="K254" i="78"/>
  <c r="L254" i="78"/>
  <c r="K101" i="78"/>
  <c r="P116" i="78"/>
  <c r="L242" i="78"/>
  <c r="K242" i="78"/>
  <c r="P248" i="78"/>
  <c r="O248" i="78"/>
  <c r="N248" i="78"/>
  <c r="P249" i="78"/>
  <c r="O249" i="78"/>
  <c r="N249" i="78"/>
  <c r="M87" i="78"/>
  <c r="M147" i="78" s="1"/>
  <c r="N103" i="78"/>
  <c r="N107" i="78"/>
  <c r="G223" i="78"/>
  <c r="G227" i="78"/>
  <c r="M229" i="78"/>
  <c r="M225" i="78"/>
  <c r="L230" i="78"/>
  <c r="K230" i="78"/>
  <c r="L226" i="78"/>
  <c r="K226" i="78"/>
  <c r="L238" i="78"/>
  <c r="K238" i="78"/>
  <c r="O247" i="78"/>
  <c r="N247" i="78"/>
  <c r="P247" i="78"/>
  <c r="N253" i="78"/>
  <c r="P253" i="78"/>
  <c r="O253" i="78"/>
  <c r="J91" i="78"/>
  <c r="J147" i="78" s="1"/>
  <c r="O103" i="78"/>
  <c r="P107" i="78"/>
  <c r="K113" i="78"/>
  <c r="L239" i="78"/>
  <c r="K239" i="78"/>
  <c r="P243" i="78"/>
  <c r="O243" i="78"/>
  <c r="N243" i="78"/>
  <c r="N93" i="78"/>
  <c r="N109" i="78"/>
  <c r="H223" i="78"/>
  <c r="H227" i="78"/>
  <c r="F228" i="78"/>
  <c r="F224" i="78"/>
  <c r="P225" i="78"/>
  <c r="O225" i="78"/>
  <c r="N225" i="78"/>
  <c r="P229" i="78"/>
  <c r="O229" i="78"/>
  <c r="N229" i="78"/>
  <c r="L231" i="78"/>
  <c r="K231" i="78"/>
  <c r="K232" i="78"/>
  <c r="L232" i="78"/>
  <c r="L235" i="78"/>
  <c r="K235" i="78"/>
  <c r="O241" i="78"/>
  <c r="N241" i="78"/>
  <c r="P241" i="78"/>
  <c r="N89" i="78"/>
  <c r="O93" i="78"/>
  <c r="F106" i="78"/>
  <c r="O109" i="78"/>
  <c r="K117" i="78"/>
  <c r="L234" i="78"/>
  <c r="K234" i="78"/>
  <c r="P89" i="78"/>
  <c r="P93" i="78"/>
  <c r="N113" i="78"/>
  <c r="G228" i="78"/>
  <c r="G224" i="78"/>
  <c r="P230" i="78"/>
  <c r="O230" i="78"/>
  <c r="O226" i="78"/>
  <c r="N230" i="78"/>
  <c r="N226" i="78"/>
  <c r="P226" i="78"/>
  <c r="K233" i="78"/>
  <c r="L233" i="78"/>
  <c r="P235" i="78"/>
  <c r="O235" i="78"/>
  <c r="N235" i="78"/>
  <c r="O113" i="78"/>
  <c r="H224" i="78"/>
  <c r="H228" i="78"/>
  <c r="N237" i="78"/>
  <c r="P237" i="78"/>
  <c r="O237" i="78"/>
  <c r="AE86" i="77" a="1"/>
  <c r="AE86" i="77" s="1"/>
  <c r="AE107" i="77" s="1" a="1"/>
  <c r="AE107" i="77" s="1"/>
  <c r="AE159" i="77" s="1" a="1"/>
  <c r="AE159" i="77" s="1"/>
  <c r="I88" i="78"/>
  <c r="I148" i="78" s="1"/>
  <c r="K96" i="78"/>
  <c r="L104" i="78"/>
  <c r="K110" i="78"/>
  <c r="G229" i="78"/>
  <c r="G225" i="78"/>
  <c r="F226" i="78"/>
  <c r="F230" i="78"/>
  <c r="P232" i="78"/>
  <c r="O232" i="78"/>
  <c r="N232" i="78"/>
  <c r="N234" i="78"/>
  <c r="P234" i="78"/>
  <c r="O234" i="78"/>
  <c r="N100" i="78"/>
  <c r="N106" i="78"/>
  <c r="L227" i="78"/>
  <c r="K227" i="78"/>
  <c r="L223" i="78"/>
  <c r="K223" i="78"/>
  <c r="N94" i="78"/>
  <c r="O100" i="78"/>
  <c r="O106" i="78"/>
  <c r="J228" i="78"/>
  <c r="J224" i="78"/>
  <c r="P88" i="78"/>
  <c r="O88" i="78"/>
  <c r="P92" i="78"/>
  <c r="N88" i="78"/>
  <c r="N86" i="78"/>
  <c r="O94" i="78"/>
  <c r="N96" i="78"/>
  <c r="O110" i="78"/>
  <c r="H230" i="78"/>
  <c r="H226" i="78"/>
  <c r="P98" i="78"/>
  <c r="O98" i="78"/>
  <c r="N117" i="78"/>
  <c r="P117" i="78"/>
  <c r="AB78" i="77" a="1"/>
  <c r="AB78" i="77" s="1"/>
  <c r="AB99" i="77" s="1" a="1"/>
  <c r="AB99" i="77" s="1"/>
  <c r="AB151" i="77" s="1" a="1"/>
  <c r="AB151" i="77" s="1"/>
  <c r="O86" i="78"/>
  <c r="N90" i="78"/>
  <c r="N92" i="78"/>
  <c r="O96" i="78"/>
  <c r="P110" i="78"/>
  <c r="N114" i="78"/>
  <c r="L224" i="78"/>
  <c r="K224" i="78"/>
  <c r="L228" i="78"/>
  <c r="K228" i="78"/>
  <c r="P86" i="78"/>
  <c r="O92" i="78"/>
  <c r="K116" i="78"/>
  <c r="P223" i="78"/>
  <c r="O223" i="78"/>
  <c r="N223" i="78"/>
  <c r="P227" i="78"/>
  <c r="O227" i="78"/>
  <c r="N227" i="78"/>
  <c r="M224" i="78"/>
  <c r="M228" i="78"/>
  <c r="J229" i="78"/>
  <c r="J225" i="78"/>
  <c r="L244" i="78"/>
  <c r="K244" i="78"/>
  <c r="L251" i="78"/>
  <c r="K251" i="78"/>
  <c r="K229" i="78"/>
  <c r="L225" i="78"/>
  <c r="K225" i="78"/>
  <c r="L229" i="78"/>
  <c r="N244" i="78"/>
  <c r="P244" i="78"/>
  <c r="O244" i="78"/>
  <c r="L245" i="78"/>
  <c r="K245" i="78"/>
  <c r="P236" i="78"/>
  <c r="O236" i="78"/>
  <c r="N236" i="78"/>
  <c r="L237" i="78"/>
  <c r="K237" i="78"/>
  <c r="P240" i="78"/>
  <c r="O240" i="78"/>
  <c r="N240" i="78"/>
  <c r="P245" i="78"/>
  <c r="O245" i="78"/>
  <c r="N245" i="78"/>
  <c r="L246" i="78"/>
  <c r="K246" i="78"/>
  <c r="L250" i="78"/>
  <c r="K250" i="78"/>
  <c r="P233" i="78"/>
  <c r="O233" i="78"/>
  <c r="N233" i="78"/>
  <c r="P246" i="78"/>
  <c r="O246" i="78"/>
  <c r="N246" i="78"/>
  <c r="N250" i="78"/>
  <c r="P250" i="78"/>
  <c r="O250" i="78"/>
  <c r="P254" i="78"/>
  <c r="O254" i="78"/>
  <c r="N254" i="78"/>
  <c r="N238" i="78"/>
  <c r="P238" i="78"/>
  <c r="O238" i="78"/>
  <c r="P242" i="78"/>
  <c r="O242" i="78"/>
  <c r="N242" i="78"/>
  <c r="L243" i="78"/>
  <c r="K243" i="78"/>
  <c r="H225" i="78"/>
  <c r="H229" i="78"/>
  <c r="L248" i="78"/>
  <c r="K248" i="78"/>
  <c r="N251" i="78"/>
  <c r="P251" i="78"/>
  <c r="O251" i="78"/>
  <c r="L252" i="78"/>
  <c r="K252" i="78"/>
  <c r="P231" i="78"/>
  <c r="O231" i="78"/>
  <c r="N231" i="78"/>
  <c r="O239" i="78"/>
  <c r="P239" i="78"/>
  <c r="N239" i="78"/>
  <c r="K240" i="78"/>
  <c r="L240" i="78"/>
  <c r="P252" i="78"/>
  <c r="O252" i="78"/>
  <c r="N252" i="78"/>
  <c r="L253" i="78"/>
  <c r="K253" i="78"/>
  <c r="P228" i="78"/>
  <c r="O228" i="78"/>
  <c r="N228" i="78"/>
  <c r="P224" i="78"/>
  <c r="O224" i="78"/>
  <c r="N224" i="78"/>
  <c r="I230" i="78"/>
  <c r="I226" i="78"/>
  <c r="L236" i="78"/>
  <c r="K236" i="78"/>
  <c r="L241" i="78"/>
  <c r="K241" i="78"/>
  <c r="K249" i="78"/>
  <c r="L249" i="78"/>
  <c r="M368" i="78"/>
  <c r="N368" i="78"/>
  <c r="L368" i="78"/>
  <c r="I362" i="78"/>
  <c r="J362" i="78"/>
  <c r="I366" i="78"/>
  <c r="J366" i="78"/>
  <c r="J363" i="78"/>
  <c r="M366" i="78"/>
  <c r="N366" i="78"/>
  <c r="L366" i="78"/>
  <c r="L363" i="78"/>
  <c r="M363" i="78"/>
  <c r="L369" i="78"/>
  <c r="I364" i="78"/>
  <c r="J364" i="78"/>
  <c r="J368" i="78"/>
  <c r="I368" i="78"/>
  <c r="F65" i="77" a="1"/>
  <c r="F65" i="77" s="1"/>
  <c r="F86" i="77" s="1" a="1"/>
  <c r="F86" i="77" s="1"/>
  <c r="F124" i="77" s="1" a="1"/>
  <c r="F124" i="77" s="1"/>
  <c r="AC82" i="77" a="1"/>
  <c r="AC82" i="77" s="1"/>
  <c r="AC103" i="77" s="1" a="1"/>
  <c r="AC103" i="77" s="1"/>
  <c r="AC155" i="77" s="1" a="1"/>
  <c r="AC155" i="77" s="1"/>
  <c r="W86" i="77" a="1"/>
  <c r="W86" i="77" s="1"/>
  <c r="W107" i="77" s="1" a="1"/>
  <c r="W107" i="77" s="1"/>
  <c r="W159" i="77" s="1" a="1"/>
  <c r="W159" i="77" s="1"/>
  <c r="E67" i="77" a="1"/>
  <c r="E67" i="77" s="1"/>
  <c r="E88" i="77" s="1" a="1"/>
  <c r="E88" i="77" s="1"/>
  <c r="E126" i="77" s="1" a="1"/>
  <c r="E126" i="77" s="1"/>
  <c r="M65" i="77" a="1"/>
  <c r="M65" i="77" s="1"/>
  <c r="M86" i="77" s="1" a="1"/>
  <c r="M86" i="77" s="1"/>
  <c r="M124" i="77" s="1" a="1"/>
  <c r="M124" i="77" s="1"/>
  <c r="L67" i="77" a="1"/>
  <c r="L67" i="77" s="1"/>
  <c r="L88" i="77" s="1" a="1"/>
  <c r="L88" i="77" s="1"/>
  <c r="L126" i="77" s="1" a="1"/>
  <c r="L126" i="77" s="1"/>
  <c r="N67" i="77" a="1"/>
  <c r="N67" i="77" s="1"/>
  <c r="N88" i="77" s="1" a="1"/>
  <c r="N88" i="77" s="1"/>
  <c r="N126" i="77" s="1" a="1"/>
  <c r="N126" i="77" s="1"/>
  <c r="X77" i="77" a="1"/>
  <c r="X77" i="77" s="1"/>
  <c r="X98" i="77" s="1" a="1"/>
  <c r="X98" i="77" s="1"/>
  <c r="X150" i="77" s="1" a="1"/>
  <c r="X150" i="77" s="1"/>
  <c r="V83" i="77" a="1"/>
  <c r="V83" i="77" s="1"/>
  <c r="V104" i="77" s="1" a="1"/>
  <c r="V104" i="77" s="1"/>
  <c r="V156" i="77" s="1" a="1"/>
  <c r="V156" i="77" s="1"/>
  <c r="E66" i="77" a="1"/>
  <c r="E66" i="77" s="1"/>
  <c r="E87" i="77" s="1" a="1"/>
  <c r="E87" i="77" s="1"/>
  <c r="E125" i="77" s="1" a="1"/>
  <c r="E125" i="77" s="1"/>
  <c r="AE77" i="77" a="1"/>
  <c r="AE77" i="77" s="1"/>
  <c r="AE98" i="77" s="1" a="1"/>
  <c r="AE98" i="77" s="1"/>
  <c r="AE150" i="77" s="1" a="1"/>
  <c r="AE150" i="77" s="1"/>
  <c r="AE83" i="77" a="1"/>
  <c r="AE83" i="77" s="1"/>
  <c r="AE104" i="77" s="1" a="1"/>
  <c r="AE104" i="77" s="1"/>
  <c r="AE156" i="77" s="1" a="1"/>
  <c r="AE156" i="77" s="1"/>
  <c r="F66" i="77" a="1"/>
  <c r="F66" i="77" s="1"/>
  <c r="F87" i="77" s="1" a="1"/>
  <c r="F87" i="77" s="1"/>
  <c r="F125" i="77" s="1" a="1"/>
  <c r="F125" i="77" s="1"/>
  <c r="V77" i="77" a="1"/>
  <c r="V77" i="77" s="1"/>
  <c r="V98" i="77" s="1" a="1"/>
  <c r="V98" i="77" s="1"/>
  <c r="V150" i="77" s="1" a="1"/>
  <c r="V150" i="77" s="1"/>
  <c r="G66" i="77" a="1"/>
  <c r="G66" i="77" s="1"/>
  <c r="G87" i="77" s="1" a="1"/>
  <c r="G87" i="77" s="1"/>
  <c r="G125" i="77" s="1" a="1"/>
  <c r="G125" i="77" s="1"/>
  <c r="AC80" i="77" a="1"/>
  <c r="AC80" i="77" s="1"/>
  <c r="AC101" i="77" s="1" a="1"/>
  <c r="AC101" i="77" s="1"/>
  <c r="AC153" i="77" s="1" a="1"/>
  <c r="AC153" i="77" s="1"/>
  <c r="AD87" i="77" a="1"/>
  <c r="AD87" i="77" s="1"/>
  <c r="AD108" i="77" s="1" a="1"/>
  <c r="AD108" i="77" s="1"/>
  <c r="AD160" i="77" s="1" a="1"/>
  <c r="AD160" i="77" s="1"/>
  <c r="K66" i="77" a="1"/>
  <c r="K66" i="77" s="1"/>
  <c r="K87" i="77" s="1" a="1"/>
  <c r="K87" i="77" s="1"/>
  <c r="K125" i="77" s="1" a="1"/>
  <c r="K125" i="77" s="1"/>
  <c r="X84" i="77" a="1"/>
  <c r="X84" i="77" s="1"/>
  <c r="X105" i="77" s="1" a="1"/>
  <c r="X105" i="77" s="1"/>
  <c r="X157" i="77" s="1" a="1"/>
  <c r="X157" i="77" s="1"/>
  <c r="AC78" i="77" a="1"/>
  <c r="AC78" i="77" s="1"/>
  <c r="AC99" i="77" s="1" a="1"/>
  <c r="AC99" i="77" s="1"/>
  <c r="AC151" i="77" s="1" a="1"/>
  <c r="AC151" i="77" s="1"/>
  <c r="M64" i="77" a="1"/>
  <c r="M64" i="77" s="1"/>
  <c r="M85" i="77" s="1" a="1"/>
  <c r="M85" i="77" s="1"/>
  <c r="M123" i="77" s="1" a="1"/>
  <c r="M123" i="77" s="1"/>
  <c r="L64" i="77" a="1"/>
  <c r="L64" i="77" s="1"/>
  <c r="L85" i="77" s="1" a="1"/>
  <c r="L85" i="77" s="1"/>
  <c r="L123" i="77" s="1" a="1"/>
  <c r="L123" i="77" s="1"/>
  <c r="V81" i="77" a="1"/>
  <c r="V81" i="77" s="1"/>
  <c r="V102" i="77" s="1" a="1"/>
  <c r="V102" i="77" s="1"/>
  <c r="V154" i="77" s="1" a="1"/>
  <c r="V154" i="77" s="1"/>
  <c r="V79" i="77" a="1"/>
  <c r="V79" i="77" s="1"/>
  <c r="V100" i="77" s="1" a="1"/>
  <c r="V100" i="77" s="1"/>
  <c r="V152" i="77" s="1" a="1"/>
  <c r="V152" i="77" s="1"/>
  <c r="N66" i="77" a="1"/>
  <c r="N66" i="77" s="1"/>
  <c r="N87" i="77" s="1" a="1"/>
  <c r="N87" i="77" s="1"/>
  <c r="N125" i="77" s="1" a="1"/>
  <c r="N125" i="77" s="1"/>
  <c r="AD84" i="77" a="1"/>
  <c r="AD84" i="77" s="1"/>
  <c r="AD105" i="77" s="1" a="1"/>
  <c r="AD105" i="77" s="1"/>
  <c r="AD157" i="77" s="1" a="1"/>
  <c r="AD157" i="77" s="1"/>
  <c r="E65" i="77" a="1"/>
  <c r="E65" i="77" s="1"/>
  <c r="E86" i="77" s="1" a="1"/>
  <c r="E86" i="77" s="1"/>
  <c r="E124" i="77" s="1" a="1"/>
  <c r="E124" i="77" s="1"/>
  <c r="K67" i="77" a="1"/>
  <c r="K67" i="77" s="1"/>
  <c r="K88" i="77" s="1" a="1"/>
  <c r="K88" i="77" s="1"/>
  <c r="K126" i="77" s="1" a="1"/>
  <c r="K126" i="77" s="1"/>
  <c r="AE76" i="77" a="1"/>
  <c r="AE76" i="77" s="1"/>
  <c r="AE97" i="77" s="1" a="1"/>
  <c r="AE97" i="77" s="1"/>
  <c r="AE149" i="77" s="1" a="1"/>
  <c r="AE149" i="77" s="1"/>
  <c r="AE79" i="77" a="1"/>
  <c r="AE79" i="77" s="1"/>
  <c r="AE100" i="77" s="1" a="1"/>
  <c r="AE100" i="77" s="1"/>
  <c r="AE152" i="77" s="1" a="1"/>
  <c r="AE152" i="77" s="1"/>
  <c r="X82" i="77" a="1"/>
  <c r="X82" i="77" s="1"/>
  <c r="X103" i="77" s="1" a="1"/>
  <c r="X103" i="77" s="1"/>
  <c r="X155" i="77" s="1" a="1"/>
  <c r="X155" i="77" s="1"/>
  <c r="E94" i="77"/>
  <c r="E35" i="77"/>
  <c r="E73" i="77"/>
  <c r="AC33" i="77" a="1"/>
  <c r="AC33" i="77" s="1"/>
  <c r="AA81" i="77" s="1" a="1"/>
  <c r="AA81" i="77" s="1"/>
  <c r="AA102" i="77" s="1" a="1"/>
  <c r="AA102" i="77" s="1"/>
  <c r="AA154" i="77" s="1" a="1"/>
  <c r="AA154" i="77" s="1"/>
  <c r="AB33" i="77" a="1"/>
  <c r="AB33" i="77" s="1"/>
  <c r="Z81" i="77" s="1" a="1"/>
  <c r="Z81" i="77" s="1"/>
  <c r="Z102" i="77" s="1" a="1"/>
  <c r="Z102" i="77" s="1"/>
  <c r="Z154" i="77" s="1" a="1"/>
  <c r="Z154" i="77" s="1"/>
  <c r="AA33" i="77" a="1"/>
  <c r="AA33" i="77" s="1"/>
  <c r="Y81" i="77" s="1" a="1"/>
  <c r="Y81" i="77" s="1"/>
  <c r="Y102" i="77" s="1" a="1"/>
  <c r="Y102" i="77" s="1"/>
  <c r="Y154" i="77" s="1" a="1"/>
  <c r="Y154" i="77" s="1"/>
  <c r="AA36" i="77" a="1"/>
  <c r="AA36" i="77" s="1"/>
  <c r="Y84" i="77" s="1" a="1"/>
  <c r="Y84" i="77" s="1"/>
  <c r="Y105" i="77" s="1" a="1"/>
  <c r="Y105" i="77" s="1"/>
  <c r="Y157" i="77" s="1" a="1"/>
  <c r="Y157" i="77" s="1"/>
  <c r="AB36" i="77" a="1"/>
  <c r="AB36" i="77" s="1"/>
  <c r="Z84" i="77" s="1" a="1"/>
  <c r="Z84" i="77" s="1"/>
  <c r="Z105" i="77" s="1" a="1"/>
  <c r="Z105" i="77" s="1"/>
  <c r="Z157" i="77" s="1" a="1"/>
  <c r="Z157" i="77" s="1"/>
  <c r="L28" i="77" a="1"/>
  <c r="L28" i="77" s="1"/>
  <c r="J66" i="77" s="1" a="1"/>
  <c r="J66" i="77" s="1"/>
  <c r="J87" i="77" s="1" a="1"/>
  <c r="J87" i="77" s="1"/>
  <c r="J125" i="77" s="1" a="1"/>
  <c r="J125" i="77" s="1"/>
  <c r="K28" i="77" a="1"/>
  <c r="K28" i="77" s="1"/>
  <c r="I66" i="77" s="1" a="1"/>
  <c r="I66" i="77" s="1"/>
  <c r="I87" i="77" s="1" a="1"/>
  <c r="I87" i="77" s="1"/>
  <c r="I125" i="77" s="1" a="1"/>
  <c r="I125" i="77" s="1"/>
  <c r="Q27" i="77"/>
  <c r="AH31" i="77"/>
  <c r="Q28" i="77"/>
  <c r="AH32" i="77"/>
  <c r="AH33" i="77"/>
  <c r="AH28" i="77"/>
  <c r="AH34" i="77"/>
  <c r="AH35" i="77"/>
  <c r="Q29" i="77"/>
  <c r="AH36" i="77"/>
  <c r="AH29" i="77"/>
  <c r="AH37" i="77"/>
  <c r="Q26" i="77"/>
  <c r="AH38" i="77"/>
  <c r="AH30" i="77"/>
  <c r="AH39" i="77"/>
  <c r="O85" i="77"/>
  <c r="AF97" i="77"/>
  <c r="J29" i="77" a="1"/>
  <c r="J29" i="77" s="1"/>
  <c r="H67" i="77" s="1" a="1"/>
  <c r="H67" i="77" s="1"/>
  <c r="H88" i="77" s="1" a="1"/>
  <c r="H88" i="77" s="1"/>
  <c r="H126" i="77" s="1" a="1"/>
  <c r="H126" i="77" s="1"/>
  <c r="K29" i="77" a="1"/>
  <c r="K29" i="77" s="1"/>
  <c r="I67" i="77" s="1" a="1"/>
  <c r="I67" i="77" s="1"/>
  <c r="I88" i="77" s="1" a="1"/>
  <c r="I88" i="77" s="1"/>
  <c r="I126" i="77" s="1" a="1"/>
  <c r="I126" i="77" s="1"/>
  <c r="F128" i="77"/>
  <c r="O123" i="77"/>
  <c r="AF149" i="77"/>
  <c r="K27" i="77" a="1"/>
  <c r="K27" i="77" s="1"/>
  <c r="I65" i="77" s="1" a="1"/>
  <c r="I65" i="77" s="1"/>
  <c r="I86" i="77" s="1" a="1"/>
  <c r="I86" i="77" s="1"/>
  <c r="I124" i="77" s="1" a="1"/>
  <c r="I124" i="77" s="1"/>
  <c r="J27" i="77" a="1"/>
  <c r="J27" i="77" s="1"/>
  <c r="H65" i="77" s="1" a="1"/>
  <c r="H65" i="77" s="1"/>
  <c r="H86" i="77" s="1" a="1"/>
  <c r="H86" i="77" s="1"/>
  <c r="H124" i="77" s="1" a="1"/>
  <c r="H124" i="77" s="1"/>
  <c r="L26" i="77" a="1"/>
  <c r="L26" i="77" s="1"/>
  <c r="J64" i="77" s="1" a="1"/>
  <c r="J64" i="77" s="1"/>
  <c r="J85" i="77" s="1" a="1"/>
  <c r="J85" i="77" s="1"/>
  <c r="J123" i="77" s="1" a="1"/>
  <c r="J123" i="77" s="1"/>
  <c r="V32" i="77" a="1"/>
  <c r="V32" i="77" s="1"/>
  <c r="W32" i="77" s="1" a="1"/>
  <c r="W32" i="77" s="1"/>
  <c r="AF133" i="77"/>
  <c r="AB77" i="77" a="1"/>
  <c r="AB77" i="77" s="1"/>
  <c r="AB98" i="77" s="1" a="1"/>
  <c r="AB98" i="77" s="1"/>
  <c r="AB150" i="77" s="1" a="1"/>
  <c r="AB150" i="77" s="1"/>
  <c r="X78" i="77" a="1"/>
  <c r="X78" i="77" s="1"/>
  <c r="X99" i="77" s="1" a="1"/>
  <c r="X99" i="77" s="1"/>
  <c r="X151" i="77" s="1" a="1"/>
  <c r="X151" i="77" s="1"/>
  <c r="AD82" i="77" a="1"/>
  <c r="AD82" i="77" s="1"/>
  <c r="AD103" i="77" s="1" a="1"/>
  <c r="AD103" i="77" s="1"/>
  <c r="AD155" i="77" s="1" a="1"/>
  <c r="AD155" i="77" s="1"/>
  <c r="W85" i="77" a="1"/>
  <c r="W85" i="77" s="1"/>
  <c r="W106" i="77" s="1" a="1"/>
  <c r="W106" i="77" s="1"/>
  <c r="W158" i="77" s="1" a="1"/>
  <c r="W158" i="77" s="1"/>
  <c r="X87" i="77" a="1"/>
  <c r="X87" i="77" s="1"/>
  <c r="X108" i="77" s="1" a="1"/>
  <c r="X108" i="77" s="1"/>
  <c r="X160" i="77" s="1" a="1"/>
  <c r="X160" i="77" s="1"/>
  <c r="G24" i="76"/>
  <c r="E32" i="76"/>
  <c r="AC36" i="77" a="1"/>
  <c r="AC36" i="77" s="1"/>
  <c r="AA84" i="77" s="1" a="1"/>
  <c r="AA84" i="77" s="1"/>
  <c r="AA105" i="77" s="1" a="1"/>
  <c r="AA105" i="77" s="1"/>
  <c r="AA157" i="77" s="1" a="1"/>
  <c r="AA157" i="77" s="1"/>
  <c r="F64" i="77" a="1"/>
  <c r="F64" i="77" s="1"/>
  <c r="F85" i="77" s="1" a="1"/>
  <c r="F85" i="77" s="1"/>
  <c r="F123" i="77" s="1" a="1"/>
  <c r="F123" i="77" s="1"/>
  <c r="N64" i="77" a="1"/>
  <c r="N64" i="77" s="1"/>
  <c r="N85" i="77" s="1" a="1"/>
  <c r="N85" i="77" s="1"/>
  <c r="N123" i="77" s="1" a="1"/>
  <c r="N123" i="77" s="1"/>
  <c r="K65" i="77" a="1"/>
  <c r="K65" i="77" s="1"/>
  <c r="K86" i="77" s="1" a="1"/>
  <c r="K86" i="77" s="1"/>
  <c r="K124" i="77" s="1" a="1"/>
  <c r="K124" i="77" s="1"/>
  <c r="W76" i="77" a="1"/>
  <c r="W76" i="77" s="1"/>
  <c r="W97" i="77" s="1" a="1"/>
  <c r="W97" i="77" s="1"/>
  <c r="W149" i="77" s="1" a="1"/>
  <c r="W149" i="77" s="1"/>
  <c r="AF76" i="77"/>
  <c r="W79" i="77" a="1"/>
  <c r="W79" i="77" s="1"/>
  <c r="W100" i="77" s="1" a="1"/>
  <c r="W100" i="77" s="1"/>
  <c r="W152" i="77" s="1" a="1"/>
  <c r="W152" i="77" s="1"/>
  <c r="W81" i="77" a="1"/>
  <c r="W81" i="77" s="1"/>
  <c r="W102" i="77" s="1" a="1"/>
  <c r="W102" i="77" s="1"/>
  <c r="W154" i="77" s="1" a="1"/>
  <c r="W154" i="77" s="1"/>
  <c r="AB83" i="77" a="1"/>
  <c r="AB83" i="77" s="1"/>
  <c r="AB104" i="77" s="1" a="1"/>
  <c r="AB104" i="77" s="1"/>
  <c r="AB156" i="77" s="1" a="1"/>
  <c r="AB156" i="77" s="1"/>
  <c r="X86" i="77" a="1"/>
  <c r="X86" i="77" s="1"/>
  <c r="X107" i="77" s="1" a="1"/>
  <c r="X107" i="77" s="1"/>
  <c r="X159" i="77" s="1" a="1"/>
  <c r="X159" i="77" s="1"/>
  <c r="M24" i="76"/>
  <c r="G32" i="76"/>
  <c r="L29" i="77" a="1"/>
  <c r="L29" i="77" s="1"/>
  <c r="J67" i="77" s="1" a="1"/>
  <c r="J67" i="77" s="1"/>
  <c r="J88" i="77" s="1" a="1"/>
  <c r="J88" i="77" s="1"/>
  <c r="J126" i="77" s="1" a="1"/>
  <c r="J126" i="77" s="1"/>
  <c r="V31" i="77" a="1"/>
  <c r="V31" i="77" s="1"/>
  <c r="W31" i="77" s="1" a="1"/>
  <c r="W31" i="77" s="1"/>
  <c r="AF78" i="77"/>
  <c r="AF87" i="77"/>
  <c r="AF86" i="77"/>
  <c r="AF85" i="77"/>
  <c r="M67" i="77" a="1"/>
  <c r="M67" i="77" s="1"/>
  <c r="M88" i="77" s="1" a="1"/>
  <c r="M88" i="77" s="1"/>
  <c r="M126" i="77" s="1" a="1"/>
  <c r="M126" i="77" s="1"/>
  <c r="F67" i="77" a="1"/>
  <c r="F67" i="77" s="1"/>
  <c r="F88" i="77" s="1" a="1"/>
  <c r="F88" i="77" s="1"/>
  <c r="F126" i="77" s="1" a="1"/>
  <c r="F126" i="77" s="1"/>
  <c r="N65" i="77" a="1"/>
  <c r="N65" i="77" s="1"/>
  <c r="N86" i="77" s="1" a="1"/>
  <c r="N86" i="77" s="1"/>
  <c r="N124" i="77" s="1" a="1"/>
  <c r="N124" i="77" s="1"/>
  <c r="G65" i="77" a="1"/>
  <c r="G65" i="77" s="1"/>
  <c r="G86" i="77" s="1" a="1"/>
  <c r="G86" i="77" s="1"/>
  <c r="G124" i="77" s="1" a="1"/>
  <c r="G124" i="77" s="1"/>
  <c r="K64" i="77" a="1"/>
  <c r="K64" i="77" s="1"/>
  <c r="K85" i="77" s="1" a="1"/>
  <c r="K85" i="77" s="1"/>
  <c r="K123" i="77" s="1" a="1"/>
  <c r="K123" i="77" s="1"/>
  <c r="O67" i="77"/>
  <c r="X76" i="77" a="1"/>
  <c r="X76" i="77" s="1"/>
  <c r="X97" i="77" s="1" a="1"/>
  <c r="X97" i="77" s="1"/>
  <c r="X149" i="77" s="1" a="1"/>
  <c r="X149" i="77" s="1"/>
  <c r="AC77" i="77" a="1"/>
  <c r="AC77" i="77" s="1"/>
  <c r="AC98" i="77" s="1" a="1"/>
  <c r="AC98" i="77" s="1"/>
  <c r="AC150" i="77" s="1" a="1"/>
  <c r="AC150" i="77" s="1"/>
  <c r="X79" i="77" a="1"/>
  <c r="X79" i="77" s="1"/>
  <c r="X100" i="77" s="1" a="1"/>
  <c r="X100" i="77" s="1"/>
  <c r="X152" i="77" s="1" a="1"/>
  <c r="X152" i="77" s="1"/>
  <c r="V82" i="77" a="1"/>
  <c r="V82" i="77" s="1"/>
  <c r="V103" i="77" s="1" a="1"/>
  <c r="V103" i="77" s="1"/>
  <c r="V155" i="77" s="1" a="1"/>
  <c r="V155" i="77" s="1"/>
  <c r="AE82" i="77" a="1"/>
  <c r="AE82" i="77" s="1"/>
  <c r="AE103" i="77" s="1" a="1"/>
  <c r="AE103" i="77" s="1"/>
  <c r="AE155" i="77" s="1" a="1"/>
  <c r="AE155" i="77" s="1"/>
  <c r="X85" i="77" a="1"/>
  <c r="X85" i="77" s="1"/>
  <c r="X106" i="77" s="1" a="1"/>
  <c r="X106" i="77" s="1"/>
  <c r="X158" i="77" s="1" a="1"/>
  <c r="X158" i="77" s="1"/>
  <c r="N24" i="76"/>
  <c r="H32" i="76"/>
  <c r="E48" i="77"/>
  <c r="E64" i="77" s="1" a="1"/>
  <c r="E64" i="77" s="1"/>
  <c r="E85" i="77" s="1" a="1"/>
  <c r="E85" i="77" s="1"/>
  <c r="G64" i="77" a="1"/>
  <c r="G64" i="77" s="1"/>
  <c r="G85" i="77" s="1" a="1"/>
  <c r="G85" i="77" s="1"/>
  <c r="G123" i="77" s="1" a="1"/>
  <c r="G123" i="77" s="1"/>
  <c r="O64" i="77"/>
  <c r="L65" i="77" a="1"/>
  <c r="L65" i="77" s="1"/>
  <c r="L86" i="77" s="1" a="1"/>
  <c r="L86" i="77" s="1"/>
  <c r="L124" i="77" s="1" a="1"/>
  <c r="L124" i="77" s="1"/>
  <c r="G67" i="77" a="1"/>
  <c r="G67" i="77" s="1"/>
  <c r="G88" i="77" s="1" a="1"/>
  <c r="G88" i="77" s="1"/>
  <c r="G126" i="77" s="1" a="1"/>
  <c r="G126" i="77" s="1"/>
  <c r="W82" i="77" a="1"/>
  <c r="W82" i="77" s="1"/>
  <c r="W103" i="77" s="1" a="1"/>
  <c r="W103" i="77" s="1"/>
  <c r="W155" i="77" s="1" a="1"/>
  <c r="W155" i="77" s="1"/>
  <c r="AC83" i="77" a="1"/>
  <c r="AC83" i="77" s="1"/>
  <c r="AC104" i="77" s="1" a="1"/>
  <c r="AC104" i="77" s="1"/>
  <c r="AC156" i="77" s="1" a="1"/>
  <c r="AC156" i="77" s="1"/>
  <c r="V30" i="77" a="1"/>
  <c r="V30" i="77" s="1"/>
  <c r="W30" i="77" s="1" a="1"/>
  <c r="W30" i="77" s="1"/>
  <c r="V39" i="77" a="1"/>
  <c r="V39" i="77" s="1"/>
  <c r="W39" i="77" s="1" a="1"/>
  <c r="W39" i="77" s="1"/>
  <c r="J32" i="76"/>
  <c r="V38" i="77" a="1"/>
  <c r="V38" i="77" s="1"/>
  <c r="W38" i="77" s="1" a="1"/>
  <c r="W38" i="77" s="1"/>
  <c r="E115" i="77"/>
  <c r="K32" i="76"/>
  <c r="V29" i="77" a="1"/>
  <c r="V29" i="77" s="1"/>
  <c r="W29" i="77" s="1" a="1"/>
  <c r="W29" i="77" s="1"/>
  <c r="V37" i="77" a="1"/>
  <c r="V37" i="77" s="1"/>
  <c r="W37" i="77" s="1" a="1"/>
  <c r="W37" i="77" s="1"/>
  <c r="AD80" i="77" a="1"/>
  <c r="AD80" i="77" s="1"/>
  <c r="AD101" i="77" s="1" a="1"/>
  <c r="AD101" i="77" s="1"/>
  <c r="AD153" i="77" s="1" a="1"/>
  <c r="AD153" i="77" s="1"/>
  <c r="AB81" i="77" a="1"/>
  <c r="AB81" i="77" s="1"/>
  <c r="AB102" i="77" s="1" a="1"/>
  <c r="AB102" i="77" s="1"/>
  <c r="AB154" i="77" s="1" a="1"/>
  <c r="AB154" i="77" s="1"/>
  <c r="X83" i="77" a="1"/>
  <c r="X83" i="77" s="1"/>
  <c r="X104" i="77" s="1" a="1"/>
  <c r="X104" i="77" s="1"/>
  <c r="X156" i="77" s="1" a="1"/>
  <c r="X156" i="77" s="1"/>
  <c r="AD86" i="77" a="1"/>
  <c r="AD86" i="77" s="1"/>
  <c r="AD107" i="77" s="1" a="1"/>
  <c r="AD107" i="77" s="1"/>
  <c r="AD159" i="77" s="1" a="1"/>
  <c r="AD159" i="77" s="1"/>
  <c r="I23" i="76"/>
  <c r="N34" i="76"/>
  <c r="AD78" i="77" a="1"/>
  <c r="AD78" i="77" s="1"/>
  <c r="AD99" i="77" s="1" a="1"/>
  <c r="AD99" i="77" s="1"/>
  <c r="AD151" i="77" s="1" a="1"/>
  <c r="AD151" i="77" s="1"/>
  <c r="V80" i="77" a="1"/>
  <c r="V80" i="77" s="1"/>
  <c r="V101" i="77" s="1" a="1"/>
  <c r="V101" i="77" s="1"/>
  <c r="V153" i="77" s="1" a="1"/>
  <c r="V153" i="77" s="1"/>
  <c r="AE80" i="77" a="1"/>
  <c r="AE80" i="77" s="1"/>
  <c r="AE101" i="77" s="1" a="1"/>
  <c r="AE101" i="77" s="1"/>
  <c r="AE153" i="77" s="1" a="1"/>
  <c r="AE153" i="77" s="1"/>
  <c r="V84" i="77" a="1"/>
  <c r="V84" i="77" s="1"/>
  <c r="V105" i="77" s="1" a="1"/>
  <c r="V105" i="77" s="1"/>
  <c r="V157" i="77" s="1" a="1"/>
  <c r="V157" i="77" s="1"/>
  <c r="AE84" i="77" a="1"/>
  <c r="AE84" i="77" s="1"/>
  <c r="AE105" i="77" s="1" a="1"/>
  <c r="AE105" i="77" s="1"/>
  <c r="AE157" i="77" s="1" a="1"/>
  <c r="AE157" i="77" s="1"/>
  <c r="AD85" i="77" a="1"/>
  <c r="AD85" i="77" s="1"/>
  <c r="AD106" i="77" s="1" a="1"/>
  <c r="AD106" i="77" s="1"/>
  <c r="AD158" i="77" s="1" a="1"/>
  <c r="AD158" i="77" s="1"/>
  <c r="AE87" i="77" a="1"/>
  <c r="AE87" i="77" s="1"/>
  <c r="AE108" i="77" s="1" a="1"/>
  <c r="AE108" i="77" s="1"/>
  <c r="AE160" i="77" s="1" a="1"/>
  <c r="AE160" i="77" s="1"/>
  <c r="J23" i="76"/>
  <c r="V35" i="77" a="1"/>
  <c r="V35" i="77" s="1"/>
  <c r="W35" i="77" s="1" a="1"/>
  <c r="W35" i="77" s="1"/>
  <c r="AA35" i="77" s="1" a="1"/>
  <c r="AA35" i="77" s="1"/>
  <c r="Y83" i="77" s="1" a="1"/>
  <c r="Y83" i="77" s="1"/>
  <c r="Y104" i="77" s="1" a="1"/>
  <c r="Y104" i="77" s="1"/>
  <c r="Y156" i="77" s="1" a="1"/>
  <c r="Y156" i="77" s="1"/>
  <c r="AC76" i="77" a="1"/>
  <c r="AC76" i="77" s="1"/>
  <c r="AC97" i="77" s="1" a="1"/>
  <c r="AC97" i="77" s="1"/>
  <c r="AC149" i="77" s="1" a="1"/>
  <c r="AC149" i="77" s="1"/>
  <c r="V78" i="77" a="1"/>
  <c r="V78" i="77" s="1"/>
  <c r="V99" i="77" s="1" a="1"/>
  <c r="V99" i="77" s="1"/>
  <c r="V151" i="77" s="1" a="1"/>
  <c r="V151" i="77" s="1"/>
  <c r="AC79" i="77" a="1"/>
  <c r="AC79" i="77" s="1"/>
  <c r="AC100" i="77" s="1" a="1"/>
  <c r="AC100" i="77" s="1"/>
  <c r="AC152" i="77" s="1" a="1"/>
  <c r="AC152" i="77" s="1"/>
  <c r="AC81" i="77" a="1"/>
  <c r="AC81" i="77" s="1"/>
  <c r="AC102" i="77" s="1" a="1"/>
  <c r="AC102" i="77" s="1"/>
  <c r="AC154" i="77" s="1" a="1"/>
  <c r="AC154" i="77" s="1"/>
  <c r="K23" i="76"/>
  <c r="V28" i="77" a="1"/>
  <c r="V28" i="77" s="1"/>
  <c r="W28" i="77" s="1" a="1"/>
  <c r="W28" i="77" s="1"/>
  <c r="AC28" i="77" s="1" a="1"/>
  <c r="AC28" i="77" s="1"/>
  <c r="AA76" i="77" s="1" a="1"/>
  <c r="AA76" i="77" s="1"/>
  <c r="AA97" i="77" s="1" a="1"/>
  <c r="AA97" i="77" s="1"/>
  <c r="AA149" i="77" s="1" a="1"/>
  <c r="AA149" i="77" s="1"/>
  <c r="V34" i="77" a="1"/>
  <c r="V34" i="77" s="1"/>
  <c r="W34" i="77" s="1" a="1"/>
  <c r="W34" i="77" s="1"/>
  <c r="AC34" i="77" s="1" a="1"/>
  <c r="AC34" i="77" s="1"/>
  <c r="AA82" i="77" s="1" a="1"/>
  <c r="AA82" i="77" s="1"/>
  <c r="AA103" i="77" s="1" a="1"/>
  <c r="AA103" i="77" s="1"/>
  <c r="AA155" i="77" s="1" a="1"/>
  <c r="AA155" i="77" s="1"/>
  <c r="AD83" i="77" a="1"/>
  <c r="AD83" i="77" s="1"/>
  <c r="AD104" i="77" s="1" a="1"/>
  <c r="AD104" i="77" s="1"/>
  <c r="AD156" i="77" s="1" a="1"/>
  <c r="AD156" i="77" s="1"/>
  <c r="W83" i="77" a="1"/>
  <c r="W83" i="77" s="1"/>
  <c r="W104" i="77" s="1" a="1"/>
  <c r="W104" i="77" s="1"/>
  <c r="W156" i="77" s="1" a="1"/>
  <c r="W156" i="77" s="1"/>
  <c r="AE81" i="77" a="1"/>
  <c r="AE81" i="77" s="1"/>
  <c r="AE102" i="77" s="1" a="1"/>
  <c r="AE102" i="77" s="1"/>
  <c r="AE154" i="77" s="1" a="1"/>
  <c r="AE154" i="77" s="1"/>
  <c r="X81" i="77" a="1"/>
  <c r="X81" i="77" s="1"/>
  <c r="X102" i="77" s="1" a="1"/>
  <c r="X102" i="77" s="1"/>
  <c r="X154" i="77" s="1" a="1"/>
  <c r="X154" i="77" s="1"/>
  <c r="AB80" i="77" a="1"/>
  <c r="AB80" i="77" s="1"/>
  <c r="AB101" i="77" s="1" a="1"/>
  <c r="AB101" i="77" s="1"/>
  <c r="AB153" i="77" s="1" a="1"/>
  <c r="AB153" i="77" s="1"/>
  <c r="AB79" i="77" a="1"/>
  <c r="AB79" i="77" s="1"/>
  <c r="AB100" i="77" s="1" a="1"/>
  <c r="AB100" i="77" s="1"/>
  <c r="AB152" i="77" s="1" a="1"/>
  <c r="AB152" i="77" s="1"/>
  <c r="AD77" i="77" a="1"/>
  <c r="AD77" i="77" s="1"/>
  <c r="AD98" i="77" s="1" a="1"/>
  <c r="AD98" i="77" s="1"/>
  <c r="AD150" i="77" s="1" a="1"/>
  <c r="AD150" i="77" s="1"/>
  <c r="W77" i="77" a="1"/>
  <c r="W77" i="77" s="1"/>
  <c r="W98" i="77" s="1" a="1"/>
  <c r="W98" i="77" s="1"/>
  <c r="W150" i="77" s="1" a="1"/>
  <c r="W150" i="77" s="1"/>
  <c r="AB76" i="77" a="1"/>
  <c r="AB76" i="77" s="1"/>
  <c r="AB97" i="77" s="1" a="1"/>
  <c r="AB97" i="77" s="1"/>
  <c r="AB149" i="77" s="1" a="1"/>
  <c r="AB149" i="77" s="1"/>
  <c r="V44" i="77"/>
  <c r="V76" i="77" s="1" a="1"/>
  <c r="V76" i="77" s="1"/>
  <c r="V97" i="77" s="1" a="1"/>
  <c r="V97" i="77" s="1"/>
  <c r="AC87" i="77" a="1"/>
  <c r="AC87" i="77" s="1"/>
  <c r="AC108" i="77" s="1" a="1"/>
  <c r="AC108" i="77" s="1"/>
  <c r="AC160" i="77" s="1" a="1"/>
  <c r="AC160" i="77" s="1"/>
  <c r="V87" i="77" a="1"/>
  <c r="V87" i="77" s="1"/>
  <c r="V108" i="77" s="1" a="1"/>
  <c r="V108" i="77" s="1"/>
  <c r="V160" i="77" s="1" a="1"/>
  <c r="V160" i="77" s="1"/>
  <c r="AC86" i="77" a="1"/>
  <c r="AC86" i="77" s="1"/>
  <c r="AC107" i="77" s="1" a="1"/>
  <c r="AC107" i="77" s="1"/>
  <c r="AC159" i="77" s="1" a="1"/>
  <c r="AC159" i="77" s="1"/>
  <c r="V86" i="77" a="1"/>
  <c r="V86" i="77" s="1"/>
  <c r="V107" i="77" s="1" a="1"/>
  <c r="V107" i="77" s="1"/>
  <c r="V159" i="77" s="1" a="1"/>
  <c r="V159" i="77" s="1"/>
  <c r="AC85" i="77" a="1"/>
  <c r="AC85" i="77" s="1"/>
  <c r="AC106" i="77" s="1" a="1"/>
  <c r="AC106" i="77" s="1"/>
  <c r="AC158" i="77" s="1" a="1"/>
  <c r="AC158" i="77" s="1"/>
  <c r="AB87" i="77" a="1"/>
  <c r="AB87" i="77" s="1"/>
  <c r="AB108" i="77" s="1" a="1"/>
  <c r="AB108" i="77" s="1"/>
  <c r="AB160" i="77" s="1" a="1"/>
  <c r="AB160" i="77" s="1"/>
  <c r="AB86" i="77" a="1"/>
  <c r="AB86" i="77" s="1"/>
  <c r="AB107" i="77" s="1" a="1"/>
  <c r="AB107" i="77" s="1"/>
  <c r="AB159" i="77" s="1" a="1"/>
  <c r="AB159" i="77" s="1"/>
  <c r="AB85" i="77" a="1"/>
  <c r="AB85" i="77" s="1"/>
  <c r="AB106" i="77" s="1" a="1"/>
  <c r="AB106" i="77" s="1"/>
  <c r="AB158" i="77" s="1" a="1"/>
  <c r="AB158" i="77" s="1"/>
  <c r="AE78" i="77" a="1"/>
  <c r="AE78" i="77" s="1"/>
  <c r="AE99" i="77" s="1" a="1"/>
  <c r="AE99" i="77" s="1"/>
  <c r="AE151" i="77" s="1" a="1"/>
  <c r="AE151" i="77" s="1"/>
  <c r="W80" i="77" a="1"/>
  <c r="W80" i="77" s="1"/>
  <c r="W101" i="77" s="1" a="1"/>
  <c r="W101" i="77" s="1"/>
  <c r="W153" i="77" s="1" a="1"/>
  <c r="W153" i="77" s="1"/>
  <c r="AB82" i="77" a="1"/>
  <c r="AB82" i="77" s="1"/>
  <c r="AB103" i="77" s="1" a="1"/>
  <c r="AB103" i="77" s="1"/>
  <c r="AB155" i="77" s="1" a="1"/>
  <c r="AB155" i="77" s="1"/>
  <c r="W84" i="77" a="1"/>
  <c r="W84" i="77" s="1"/>
  <c r="W105" i="77" s="1" a="1"/>
  <c r="W105" i="77" s="1"/>
  <c r="W157" i="77" s="1" a="1"/>
  <c r="W157" i="77" s="1"/>
  <c r="AE85" i="77" a="1"/>
  <c r="AE85" i="77" s="1"/>
  <c r="AE106" i="77" s="1" a="1"/>
  <c r="AE106" i="77" s="1"/>
  <c r="AE158" i="77" s="1" a="1"/>
  <c r="AE158" i="77" s="1"/>
  <c r="L23" i="76"/>
  <c r="AD76" i="77" a="1"/>
  <c r="AD76" i="77" s="1"/>
  <c r="AD97" i="77" s="1" a="1"/>
  <c r="AD97" i="77" s="1"/>
  <c r="AD149" i="77" s="1" a="1"/>
  <c r="AD149" i="77" s="1"/>
  <c r="W78" i="77" a="1"/>
  <c r="W78" i="77" s="1"/>
  <c r="W99" i="77" s="1" a="1"/>
  <c r="W99" i="77" s="1"/>
  <c r="W151" i="77" s="1" a="1"/>
  <c r="W151" i="77" s="1"/>
  <c r="AD79" i="77" a="1"/>
  <c r="AD79" i="77" s="1"/>
  <c r="AD100" i="77" s="1" a="1"/>
  <c r="AD100" i="77" s="1"/>
  <c r="AD152" i="77" s="1" a="1"/>
  <c r="AD152" i="77" s="1"/>
  <c r="X80" i="77" a="1"/>
  <c r="X80" i="77" s="1"/>
  <c r="X101" i="77" s="1" a="1"/>
  <c r="X101" i="77" s="1"/>
  <c r="X153" i="77" s="1" a="1"/>
  <c r="X153" i="77" s="1"/>
  <c r="AD81" i="77" a="1"/>
  <c r="AD81" i="77" s="1"/>
  <c r="AD102" i="77" s="1" a="1"/>
  <c r="AD102" i="77" s="1"/>
  <c r="AD154" i="77" s="1" a="1"/>
  <c r="AD154" i="77" s="1"/>
  <c r="V85" i="77" a="1"/>
  <c r="V85" i="77" s="1"/>
  <c r="V106" i="77" s="1" a="1"/>
  <c r="V106" i="77" s="1"/>
  <c r="V158" i="77" s="1" a="1"/>
  <c r="V158" i="77" s="1"/>
  <c r="W87" i="77" a="1"/>
  <c r="W87" i="77" s="1"/>
  <c r="W108" i="77" s="1" a="1"/>
  <c r="W108" i="77" s="1"/>
  <c r="W160" i="77" s="1" a="1"/>
  <c r="W160" i="77" s="1"/>
  <c r="V133" i="77"/>
  <c r="W161" i="77"/>
  <c r="F24" i="76"/>
  <c r="F27" i="76"/>
  <c r="N28" i="76"/>
  <c r="H24" i="76"/>
  <c r="H27" i="76"/>
  <c r="F29" i="76"/>
  <c r="I24" i="76"/>
  <c r="I27" i="76"/>
  <c r="L29" i="76"/>
  <c r="F23" i="76"/>
  <c r="K24" i="76"/>
  <c r="J27" i="76"/>
  <c r="M29" i="76"/>
  <c r="L32" i="76"/>
  <c r="H23" i="76"/>
  <c r="L24" i="76"/>
  <c r="K27" i="76"/>
  <c r="N29" i="76"/>
  <c r="M32" i="76"/>
  <c r="E22" i="75"/>
  <c r="E30" i="76"/>
  <c r="J33" i="76"/>
  <c r="F30" i="76"/>
  <c r="K33" i="76"/>
  <c r="E25" i="76"/>
  <c r="I28" i="76"/>
  <c r="L33" i="76"/>
  <c r="M23" i="76"/>
  <c r="H25" i="76"/>
  <c r="J28" i="76"/>
  <c r="M33" i="76"/>
  <c r="N23" i="76"/>
  <c r="K28" i="76"/>
  <c r="L28" i="76"/>
  <c r="M28" i="76"/>
  <c r="N31" i="76"/>
  <c r="M31" i="76"/>
  <c r="K31" i="76"/>
  <c r="J31" i="76"/>
  <c r="K26" i="76"/>
  <c r="F31" i="76"/>
  <c r="I33" i="76"/>
  <c r="H33" i="76"/>
  <c r="G33" i="76"/>
  <c r="F33" i="76"/>
  <c r="E33" i="76"/>
  <c r="H26" i="76"/>
  <c r="G31" i="76"/>
  <c r="E26" i="76"/>
  <c r="O121" i="76"/>
  <c r="N121" i="76"/>
  <c r="E31" i="76"/>
  <c r="N122" i="76"/>
  <c r="O122" i="76" s="1"/>
  <c r="H31" i="76"/>
  <c r="L123" i="76"/>
  <c r="M124" i="76"/>
  <c r="F26" i="76"/>
  <c r="L31" i="76"/>
  <c r="M25" i="76"/>
  <c r="L25" i="76"/>
  <c r="K25" i="76"/>
  <c r="J25" i="76"/>
  <c r="I25" i="76"/>
  <c r="G25" i="76"/>
  <c r="F25" i="76"/>
  <c r="N124" i="76"/>
  <c r="N26" i="76"/>
  <c r="M26" i="76"/>
  <c r="L26" i="76"/>
  <c r="J26" i="76"/>
  <c r="I26" i="76"/>
  <c r="I31" i="76"/>
  <c r="L34" i="76"/>
  <c r="K34" i="76"/>
  <c r="J34" i="76"/>
  <c r="I34" i="76"/>
  <c r="H34" i="76"/>
  <c r="F34" i="76"/>
  <c r="E34" i="76"/>
  <c r="N30" i="76"/>
  <c r="M30" i="76"/>
  <c r="L30" i="76"/>
  <c r="K30" i="76"/>
  <c r="J30" i="76"/>
  <c r="H30" i="76"/>
  <c r="G30" i="76"/>
  <c r="M34" i="76"/>
  <c r="M27" i="76"/>
  <c r="E29" i="76"/>
  <c r="N32" i="76"/>
  <c r="G29" i="76"/>
  <c r="E28" i="76"/>
  <c r="H29" i="76"/>
  <c r="E23" i="76"/>
  <c r="F28" i="76"/>
  <c r="I29" i="76"/>
  <c r="G28" i="76"/>
  <c r="J29" i="76"/>
  <c r="E19" i="75"/>
  <c r="E20" i="75"/>
  <c r="E21" i="75" s="1"/>
  <c r="E37" i="13"/>
  <c r="E39" i="13"/>
  <c r="F39" i="13"/>
  <c r="H54" i="74"/>
  <c r="H51" i="74"/>
  <c r="H49" i="74"/>
  <c r="F62" i="13"/>
  <c r="G63" i="13" s="1"/>
  <c r="H53" i="74"/>
  <c r="H48" i="74"/>
  <c r="H52" i="74"/>
  <c r="H50" i="74"/>
  <c r="Z184" i="80" l="1" a="1"/>
  <c r="Z184" i="80" s="1"/>
  <c r="Z258" i="80" s="1" a="1"/>
  <c r="Z258" i="80" s="1"/>
  <c r="H28" i="81"/>
  <c r="Z44" i="81" s="1" a="1"/>
  <c r="Z44" i="81" s="1"/>
  <c r="G28" i="81"/>
  <c r="H33" i="81" s="1" a="1"/>
  <c r="H33" i="81" s="1"/>
  <c r="F28" i="81"/>
  <c r="X36" i="81" s="1" a="1"/>
  <c r="X36" i="81" s="1"/>
  <c r="E28" i="81"/>
  <c r="W47" i="81" s="1" a="1"/>
  <c r="W47" i="81" s="1"/>
  <c r="D28" i="81"/>
  <c r="M28" i="81"/>
  <c r="AE45" i="81" s="1" a="1"/>
  <c r="AE45" i="81" s="1"/>
  <c r="L28" i="81"/>
  <c r="K28" i="81"/>
  <c r="J28" i="81"/>
  <c r="AB42" i="81" s="1" a="1"/>
  <c r="AB42" i="81" s="1"/>
  <c r="I28" i="81"/>
  <c r="AA41" i="81" s="1" a="1"/>
  <c r="AA41" i="81" s="1"/>
  <c r="F69" i="89" a="1"/>
  <c r="F69" i="89" s="1"/>
  <c r="F59" i="89" a="1"/>
  <c r="F59" i="89" s="1"/>
  <c r="F68" i="89" a="1"/>
  <c r="F68" i="89" s="1"/>
  <c r="F61" i="89" a="1"/>
  <c r="F61" i="89" s="1"/>
  <c r="F67" i="89" a="1"/>
  <c r="F67" i="89" s="1"/>
  <c r="F64" i="89" a="1"/>
  <c r="F64" i="89" s="1"/>
  <c r="F62" i="89" a="1"/>
  <c r="F62" i="89" s="1"/>
  <c r="F74" i="89" a="1"/>
  <c r="F74" i="89" s="1"/>
  <c r="Y180" i="80" a="1"/>
  <c r="Y180" i="80" s="1"/>
  <c r="Y254" i="80" s="1" a="1"/>
  <c r="Y254" i="80" s="1"/>
  <c r="J33" i="100"/>
  <c r="E40" i="100" s="1" a="1"/>
  <c r="E40" i="100" s="1"/>
  <c r="G42" i="100" s="1"/>
  <c r="E45" i="100" s="1" a="1"/>
  <c r="E45" i="100" s="1"/>
  <c r="E25" i="101"/>
  <c r="I25" i="101" s="1" a="1"/>
  <c r="I25" i="101" s="1"/>
  <c r="D46" i="101" s="1"/>
  <c r="E46" i="101" s="1" a="1"/>
  <c r="E46" i="101" s="1"/>
  <c r="E48" i="101" s="1"/>
  <c r="G50" i="101" s="1"/>
  <c r="E53" i="101" s="1" a="1"/>
  <c r="E53" i="101" s="1"/>
  <c r="F65" i="89" a="1"/>
  <c r="F65" i="89" s="1"/>
  <c r="F70" i="89" a="1"/>
  <c r="F70" i="89" s="1"/>
  <c r="F63" i="89" a="1"/>
  <c r="F63" i="89" s="1"/>
  <c r="F66" i="89" a="1"/>
  <c r="F66" i="89" s="1"/>
  <c r="F76" i="89" a="1"/>
  <c r="F76" i="89" s="1"/>
  <c r="F72" i="89" a="1"/>
  <c r="F72" i="89" s="1"/>
  <c r="F60" i="89" a="1"/>
  <c r="F60" i="89" s="1"/>
  <c r="F77" i="89" a="1"/>
  <c r="F77" i="89" s="1"/>
  <c r="F75" i="89" a="1"/>
  <c r="F75" i="89" s="1"/>
  <c r="F73" i="89" a="1"/>
  <c r="F73" i="89" s="1"/>
  <c r="F71" i="89" a="1"/>
  <c r="F71" i="89" s="1"/>
  <c r="H27" i="13"/>
  <c r="Q35" i="97" a="1"/>
  <c r="Q35" i="97" s="1"/>
  <c r="Q28" i="97" a="1"/>
  <c r="Q28" i="97" s="1"/>
  <c r="N39" i="96" a="1"/>
  <c r="N39" i="96" s="1"/>
  <c r="O39" i="96" a="1"/>
  <c r="O39" i="96" s="1"/>
  <c r="N30" i="96" a="1"/>
  <c r="N30" i="96" s="1"/>
  <c r="O29" i="96" a="1"/>
  <c r="O29" i="96" s="1"/>
  <c r="Q31" i="96" a="1"/>
  <c r="Q31" i="96" s="1"/>
  <c r="V52" i="85" a="1"/>
  <c r="V52" i="85" s="1"/>
  <c r="F139" i="89" a="1"/>
  <c r="F139" i="89" s="1"/>
  <c r="Q39" i="97" a="1"/>
  <c r="Q39" i="97" s="1"/>
  <c r="F138" i="89" a="1"/>
  <c r="F138" i="89" s="1"/>
  <c r="F140" i="89" a="1"/>
  <c r="F140" i="89" s="1"/>
  <c r="O21" i="100" a="1"/>
  <c r="O21" i="100" s="1"/>
  <c r="Q40" i="97" a="1"/>
  <c r="Q40" i="97" s="1"/>
  <c r="E18" i="13" a="1"/>
  <c r="E18" i="13" s="1"/>
  <c r="H18" i="13" s="1" a="1"/>
  <c r="H18" i="13" s="1"/>
  <c r="F134" i="89" a="1"/>
  <c r="F134" i="89" s="1"/>
  <c r="F136" i="89" a="1"/>
  <c r="F136" i="89" s="1"/>
  <c r="F144" i="89" a="1"/>
  <c r="F144" i="89" s="1"/>
  <c r="AC32" i="80" a="1"/>
  <c r="AC32" i="80" s="1"/>
  <c r="AA80" i="80" s="1" a="1"/>
  <c r="AA80" i="80" s="1"/>
  <c r="AA135" i="80" s="1" a="1"/>
  <c r="AA135" i="80" s="1"/>
  <c r="AB193" i="80" s="1" a="1"/>
  <c r="AB193" i="80" s="1"/>
  <c r="AB267" i="80" s="1" a="1"/>
  <c r="AB267" i="80" s="1"/>
  <c r="F137" i="89" a="1"/>
  <c r="F137" i="89" s="1"/>
  <c r="F135" i="89" a="1"/>
  <c r="F135" i="89" s="1"/>
  <c r="F143" i="89" a="1"/>
  <c r="F143" i="89" s="1"/>
  <c r="H26" i="13"/>
  <c r="F40" i="90" a="1"/>
  <c r="F40" i="90" s="1"/>
  <c r="P37" i="97" a="1"/>
  <c r="P37" i="97" s="1"/>
  <c r="O37" i="97" a="1"/>
  <c r="O37" i="97" s="1"/>
  <c r="N37" i="97" a="1"/>
  <c r="N37" i="97" s="1"/>
  <c r="Q37" i="97" a="1"/>
  <c r="Q37" i="97" s="1"/>
  <c r="P30" i="97" a="1"/>
  <c r="P30" i="97" s="1"/>
  <c r="O30" i="97" a="1"/>
  <c r="O30" i="97" s="1"/>
  <c r="N30" i="97" a="1"/>
  <c r="N30" i="97" s="1"/>
  <c r="Q30" i="97" a="1"/>
  <c r="Q30" i="97" s="1"/>
  <c r="P36" i="97" a="1"/>
  <c r="P36" i="97" s="1"/>
  <c r="O36" i="97" a="1"/>
  <c r="O36" i="97" s="1"/>
  <c r="N36" i="97" a="1"/>
  <c r="N36" i="97" s="1"/>
  <c r="Q36" i="97" a="1"/>
  <c r="Q36" i="97" s="1"/>
  <c r="O27" i="97" a="1"/>
  <c r="O27" i="97" s="1"/>
  <c r="N27" i="97" a="1"/>
  <c r="N27" i="97" s="1"/>
  <c r="P27" i="97" a="1"/>
  <c r="P27" i="97" s="1"/>
  <c r="Q26" i="97" a="1"/>
  <c r="Q26" i="97" s="1"/>
  <c r="P26" i="97" a="1"/>
  <c r="P26" i="97" s="1"/>
  <c r="O26" i="97" a="1"/>
  <c r="O26" i="97" s="1"/>
  <c r="N26" i="97" a="1"/>
  <c r="N26" i="97" s="1"/>
  <c r="P29" i="97" a="1"/>
  <c r="P29" i="97" s="1"/>
  <c r="O29" i="97" a="1"/>
  <c r="O29" i="97" s="1"/>
  <c r="N29" i="97" a="1"/>
  <c r="N29" i="97" s="1"/>
  <c r="Q29" i="97" a="1"/>
  <c r="Q29" i="97" s="1"/>
  <c r="P38" i="97" a="1"/>
  <c r="P38" i="97" s="1"/>
  <c r="O38" i="97" a="1"/>
  <c r="O38" i="97" s="1"/>
  <c r="N38" i="97" a="1"/>
  <c r="N38" i="97" s="1"/>
  <c r="Q38" i="97" a="1"/>
  <c r="Q38" i="97" s="1"/>
  <c r="E62" i="85" a="1"/>
  <c r="E62" i="85" s="1"/>
  <c r="O25" i="97" a="1"/>
  <c r="O25" i="97" s="1"/>
  <c r="F27" i="90" a="1"/>
  <c r="F27" i="90" s="1"/>
  <c r="P40" i="97" a="1"/>
  <c r="P40" i="97" s="1"/>
  <c r="O40" i="97" a="1"/>
  <c r="O40" i="97" s="1"/>
  <c r="N40" i="97" a="1"/>
  <c r="N40" i="97" s="1"/>
  <c r="P35" i="97" a="1"/>
  <c r="P35" i="97" s="1"/>
  <c r="O35" i="97" a="1"/>
  <c r="O35" i="97" s="1"/>
  <c r="N35" i="97" a="1"/>
  <c r="N35" i="97" s="1"/>
  <c r="P25" i="97" a="1"/>
  <c r="P25" i="97" s="1"/>
  <c r="P31" i="97" a="1"/>
  <c r="P31" i="97" s="1"/>
  <c r="O31" i="97" a="1"/>
  <c r="O31" i="97" s="1"/>
  <c r="N31" i="97" a="1"/>
  <c r="N31" i="97" s="1"/>
  <c r="O34" i="97" a="1"/>
  <c r="O34" i="97" s="1"/>
  <c r="N34" i="97" a="1"/>
  <c r="N34" i="97" s="1"/>
  <c r="P34" i="97" a="1"/>
  <c r="P34" i="97" s="1"/>
  <c r="N25" i="97" a="1"/>
  <c r="N25" i="97" s="1"/>
  <c r="Q27" i="97" a="1"/>
  <c r="Q27" i="97" s="1"/>
  <c r="F35" i="90" a="1"/>
  <c r="F35" i="90" s="1"/>
  <c r="P39" i="97" a="1"/>
  <c r="P39" i="97" s="1"/>
  <c r="O39" i="97" a="1"/>
  <c r="O39" i="97" s="1"/>
  <c r="N39" i="97" a="1"/>
  <c r="N39" i="97" s="1"/>
  <c r="P33" i="97" a="1"/>
  <c r="P33" i="97" s="1"/>
  <c r="O33" i="97" a="1"/>
  <c r="O33" i="97" s="1"/>
  <c r="N33" i="97" a="1"/>
  <c r="N33" i="97" s="1"/>
  <c r="P28" i="97" a="1"/>
  <c r="P28" i="97" s="1"/>
  <c r="O28" i="97" a="1"/>
  <c r="O28" i="97" s="1"/>
  <c r="N28" i="97" a="1"/>
  <c r="N28" i="97" s="1"/>
  <c r="N32" i="97" a="1"/>
  <c r="N32" i="97" s="1"/>
  <c r="P32" i="97" a="1"/>
  <c r="P32" i="97" s="1"/>
  <c r="O32" i="97" a="1"/>
  <c r="O32" i="97" s="1"/>
  <c r="O36" i="96" a="1"/>
  <c r="O36" i="96" s="1"/>
  <c r="N36" i="96" a="1"/>
  <c r="N36" i="96" s="1"/>
  <c r="Q36" i="96" a="1"/>
  <c r="Q36" i="96" s="1"/>
  <c r="E58" i="96" s="1"/>
  <c r="P36" i="96" a="1"/>
  <c r="P36" i="96" s="1"/>
  <c r="P32" i="96" a="1"/>
  <c r="P32" i="96" s="1"/>
  <c r="O32" i="96" a="1"/>
  <c r="O32" i="96" s="1"/>
  <c r="N32" i="96" a="1"/>
  <c r="N32" i="96" s="1"/>
  <c r="Q32" i="96" a="1"/>
  <c r="Q32" i="96" s="1"/>
  <c r="P29" i="96" a="1"/>
  <c r="P29" i="96" s="1"/>
  <c r="F32" i="90" a="1"/>
  <c r="F32" i="90" s="1"/>
  <c r="F29" i="90" a="1"/>
  <c r="F29" i="90" s="1"/>
  <c r="Q29" i="96" a="1"/>
  <c r="Q29" i="96" s="1"/>
  <c r="F34" i="90" a="1"/>
  <c r="F34" i="90" s="1"/>
  <c r="E64" i="96"/>
  <c r="P39" i="96" a="1"/>
  <c r="P39" i="96" s="1"/>
  <c r="F31" i="90" a="1"/>
  <c r="F31" i="90" s="1"/>
  <c r="F41" i="90" a="1"/>
  <c r="F41" i="90" s="1"/>
  <c r="F28" i="90" a="1"/>
  <c r="F28" i="90" s="1"/>
  <c r="Q25" i="96" a="1"/>
  <c r="Q25" i="96" s="1"/>
  <c r="P25" i="96" a="1"/>
  <c r="P25" i="96" s="1"/>
  <c r="O25" i="96" a="1"/>
  <c r="O25" i="96" s="1"/>
  <c r="N25" i="96" a="1"/>
  <c r="N25" i="96" s="1"/>
  <c r="O26" i="96" a="1"/>
  <c r="O26" i="96" s="1"/>
  <c r="F39" i="90" a="1"/>
  <c r="F39" i="90" s="1"/>
  <c r="F38" i="90" a="1"/>
  <c r="F38" i="90" s="1"/>
  <c r="N34" i="96" a="1"/>
  <c r="N34" i="96" s="1"/>
  <c r="P26" i="96" a="1"/>
  <c r="P26" i="96" s="1"/>
  <c r="F25" i="90" a="1"/>
  <c r="F25" i="90" s="1"/>
  <c r="Q33" i="96" a="1"/>
  <c r="Q33" i="96" s="1"/>
  <c r="E52" i="96" s="1"/>
  <c r="P33" i="96" a="1"/>
  <c r="P33" i="96" s="1"/>
  <c r="E51" i="96" s="1"/>
  <c r="O33" i="96" a="1"/>
  <c r="O33" i="96" s="1"/>
  <c r="E50" i="96" s="1"/>
  <c r="N33" i="96" a="1"/>
  <c r="N33" i="96" s="1"/>
  <c r="E49" i="96" s="1"/>
  <c r="O34" i="96" a="1"/>
  <c r="O34" i="96" s="1"/>
  <c r="Q26" i="96" a="1"/>
  <c r="Q26" i="96" s="1"/>
  <c r="F36" i="90" a="1"/>
  <c r="F36" i="90" s="1"/>
  <c r="P27" i="96" a="1"/>
  <c r="P27" i="96" s="1"/>
  <c r="O27" i="96" a="1"/>
  <c r="O27" i="96" s="1"/>
  <c r="N27" i="96" a="1"/>
  <c r="N27" i="96" s="1"/>
  <c r="Q27" i="96" a="1"/>
  <c r="Q27" i="96" s="1"/>
  <c r="P34" i="96" a="1"/>
  <c r="P34" i="96" s="1"/>
  <c r="N38" i="96" a="1"/>
  <c r="N38" i="96" s="1"/>
  <c r="F33" i="90" a="1"/>
  <c r="F33" i="90" s="1"/>
  <c r="F24" i="90" a="1"/>
  <c r="F24" i="90" s="1"/>
  <c r="O38" i="96" a="1"/>
  <c r="O38" i="96" s="1"/>
  <c r="F30" i="90" a="1"/>
  <c r="F30" i="90" s="1"/>
  <c r="F37" i="90" a="1"/>
  <c r="F37" i="90" s="1"/>
  <c r="N29" i="96" a="1"/>
  <c r="N29" i="96" s="1"/>
  <c r="P38" i="96" a="1"/>
  <c r="P38" i="96" s="1"/>
  <c r="F26" i="90" a="1"/>
  <c r="F26" i="90" s="1"/>
  <c r="E72" i="85" a="1"/>
  <c r="E72" i="85" s="1"/>
  <c r="K35" i="81" a="1"/>
  <c r="K35" i="81" s="1"/>
  <c r="F69" i="90" a="1"/>
  <c r="F69" i="90" s="1"/>
  <c r="E68" i="85" a="1"/>
  <c r="E68" i="85" s="1"/>
  <c r="O86" i="85" a="1"/>
  <c r="O86" i="85" s="1"/>
  <c r="P86" i="85" s="1" a="1"/>
  <c r="P86" i="85" s="1"/>
  <c r="O79" i="85" a="1"/>
  <c r="O79" i="85" s="1"/>
  <c r="P79" i="85" s="1" a="1"/>
  <c r="P79" i="85" s="1"/>
  <c r="F75" i="90" a="1"/>
  <c r="F75" i="90" s="1"/>
  <c r="F68" i="90" a="1"/>
  <c r="F68" i="90" s="1"/>
  <c r="F65" i="90" a="1"/>
  <c r="F65" i="90" s="1"/>
  <c r="F73" i="90" a="1"/>
  <c r="F73" i="90" s="1"/>
  <c r="Z39" i="81" a="1"/>
  <c r="Z39" i="81" s="1"/>
  <c r="F71" i="90" a="1"/>
  <c r="F71" i="90" s="1"/>
  <c r="F66" i="90" a="1"/>
  <c r="F66" i="90" s="1"/>
  <c r="F72" i="90" a="1"/>
  <c r="F72" i="90" s="1"/>
  <c r="F74" i="90" a="1"/>
  <c r="F74" i="90" s="1"/>
  <c r="F70" i="90" a="1"/>
  <c r="F70" i="90" s="1"/>
  <c r="E76" i="85" a="1"/>
  <c r="E76" i="85" s="1"/>
  <c r="G30" i="85" a="1"/>
  <c r="G30" i="85" s="1"/>
  <c r="E71" i="85" s="1" a="1"/>
  <c r="E71" i="85" s="1"/>
  <c r="E31" i="88"/>
  <c r="E15" i="13" s="1" a="1"/>
  <c r="E15" i="13" s="1"/>
  <c r="F15" i="13" s="1"/>
  <c r="I15" i="13" s="1"/>
  <c r="E61" i="85" a="1"/>
  <c r="E61" i="85" s="1"/>
  <c r="E77" i="85" a="1"/>
  <c r="E77" i="85" s="1"/>
  <c r="I35" i="81" a="1"/>
  <c r="I35" i="81" s="1"/>
  <c r="E70" i="85" a="1"/>
  <c r="E70" i="85" s="1"/>
  <c r="E74" i="85" a="1"/>
  <c r="E74" i="85" s="1"/>
  <c r="E66" i="85" a="1"/>
  <c r="E66" i="85" s="1"/>
  <c r="G36" i="86" a="1"/>
  <c r="G36" i="86" s="1"/>
  <c r="E75" i="86" s="1" a="1"/>
  <c r="E75" i="86" s="1"/>
  <c r="E64" i="85" a="1"/>
  <c r="E64" i="85" s="1"/>
  <c r="G34" i="85" a="1"/>
  <c r="G34" i="85" s="1"/>
  <c r="E75" i="85" s="1" a="1"/>
  <c r="E75" i="85" s="1"/>
  <c r="G22" i="85" a="1"/>
  <c r="G22" i="85" s="1"/>
  <c r="E63" i="85" s="1" a="1"/>
  <c r="E63" i="85" s="1"/>
  <c r="G37" i="85" a="1"/>
  <c r="G37" i="85" s="1"/>
  <c r="E78" i="85" s="1" a="1"/>
  <c r="E78" i="85" s="1"/>
  <c r="E14" i="13" a="1"/>
  <c r="E14" i="13" s="1"/>
  <c r="G52" i="87"/>
  <c r="E55" i="87" s="1" a="1"/>
  <c r="E55" i="87" s="1"/>
  <c r="Z40" i="81" a="1"/>
  <c r="Z40" i="81" s="1"/>
  <c r="G19" i="86" a="1"/>
  <c r="G19" i="86" s="1"/>
  <c r="E58" i="86" s="1" a="1"/>
  <c r="E58" i="86" s="1"/>
  <c r="O77" i="85" a="1"/>
  <c r="O77" i="85" s="1"/>
  <c r="P77" i="85" s="1" a="1"/>
  <c r="P77" i="85" s="1"/>
  <c r="O84" i="85" a="1"/>
  <c r="O84" i="85" s="1"/>
  <c r="P84" i="85" s="1" a="1"/>
  <c r="P84" i="85" s="1"/>
  <c r="K96" i="81" a="1"/>
  <c r="K96" i="81" s="1"/>
  <c r="O80" i="85" a="1"/>
  <c r="O80" i="85" s="1"/>
  <c r="P80" i="85" s="1" a="1"/>
  <c r="P80" i="85" s="1"/>
  <c r="O83" i="85" a="1"/>
  <c r="O83" i="85" s="1"/>
  <c r="P83" i="85" s="1" a="1"/>
  <c r="P83" i="85" s="1"/>
  <c r="O85" i="85" a="1"/>
  <c r="O85" i="85" s="1"/>
  <c r="P85" i="85" s="1" a="1"/>
  <c r="P85" i="85" s="1"/>
  <c r="AB40" i="81" a="1"/>
  <c r="AB40" i="81" s="1"/>
  <c r="O81" i="85" a="1"/>
  <c r="O81" i="85" s="1"/>
  <c r="P81" i="85" s="1" a="1"/>
  <c r="P81" i="85" s="1"/>
  <c r="L96" i="81" a="1"/>
  <c r="L96" i="81" s="1"/>
  <c r="L97" i="81" a="1"/>
  <c r="L97" i="81" s="1"/>
  <c r="AB43" i="81" a="1"/>
  <c r="AB43" i="81" s="1"/>
  <c r="G24" i="85" a="1"/>
  <c r="G24" i="85" s="1"/>
  <c r="E65" i="85" s="1" a="1"/>
  <c r="E65" i="85" s="1"/>
  <c r="AG196" i="80" a="1"/>
  <c r="AG196" i="80" s="1"/>
  <c r="AG270" i="80" s="1" a="1"/>
  <c r="AG270" i="80" s="1"/>
  <c r="R50" i="85" a="1"/>
  <c r="R50" i="85" s="1"/>
  <c r="Q50" i="85"/>
  <c r="O82" i="85" a="1"/>
  <c r="O82" i="85" s="1"/>
  <c r="T50" i="85"/>
  <c r="U50" i="85" s="1"/>
  <c r="S50" i="85" a="1"/>
  <c r="S50" i="85" s="1"/>
  <c r="AG194" i="80" a="1"/>
  <c r="AG194" i="80" s="1"/>
  <c r="AG268" i="80" s="1" a="1"/>
  <c r="AG268" i="80" s="1"/>
  <c r="G32" i="85" a="1"/>
  <c r="G32" i="85" s="1"/>
  <c r="E73" i="85" s="1" a="1"/>
  <c r="E73" i="85" s="1"/>
  <c r="AG190" i="80" a="1"/>
  <c r="AG190" i="80" s="1"/>
  <c r="AG264" i="80" s="1" a="1"/>
  <c r="AG264" i="80" s="1"/>
  <c r="G28" i="85" a="1"/>
  <c r="G28" i="85" s="1"/>
  <c r="E69" i="85" s="1" a="1"/>
  <c r="E69" i="85" s="1"/>
  <c r="U45" i="85"/>
  <c r="G26" i="85" a="1"/>
  <c r="G26" i="85" s="1"/>
  <c r="E67" i="85" s="1" a="1"/>
  <c r="E67" i="85" s="1"/>
  <c r="Z192" i="80" a="1"/>
  <c r="Z192" i="80" s="1"/>
  <c r="Z266" i="80" s="1" a="1"/>
  <c r="Z266" i="80" s="1"/>
  <c r="W37" i="81" a="1"/>
  <c r="W37" i="81" s="1"/>
  <c r="AB44" i="81" a="1"/>
  <c r="AB44" i="81" s="1"/>
  <c r="AA103" i="81" a="1"/>
  <c r="AA103" i="81" s="1"/>
  <c r="AC103" i="81" a="1"/>
  <c r="AC103" i="81" s="1"/>
  <c r="W108" i="81" a="1"/>
  <c r="W108" i="81" s="1"/>
  <c r="AC108" i="81" s="1" a="1"/>
  <c r="AC108" i="81" s="1"/>
  <c r="H36" i="81" a="1"/>
  <c r="H36" i="81" s="1"/>
  <c r="AB105" i="81" a="1"/>
  <c r="AB105" i="81" s="1"/>
  <c r="X44" i="81" a="1"/>
  <c r="X44" i="81" s="1"/>
  <c r="X46" i="81" a="1"/>
  <c r="X46" i="81" s="1"/>
  <c r="G33" i="81" a="1"/>
  <c r="G33" i="81" s="1"/>
  <c r="Z43" i="81" a="1"/>
  <c r="Z43" i="81" s="1"/>
  <c r="N31" i="80" a="1"/>
  <c r="N31" i="80" s="1"/>
  <c r="J85" i="80" s="1" a="1"/>
  <c r="J85" i="80" s="1"/>
  <c r="J132" i="80" s="1" a="1"/>
  <c r="J132" i="80" s="1"/>
  <c r="K178" i="80" s="1" a="1"/>
  <c r="K178" i="80" s="1"/>
  <c r="K236" i="80" s="1" a="1"/>
  <c r="K236" i="80" s="1"/>
  <c r="X41" i="81" a="1"/>
  <c r="X41" i="81" s="1"/>
  <c r="X43" i="81" a="1"/>
  <c r="X43" i="81" s="1"/>
  <c r="X45" i="81" a="1"/>
  <c r="X45" i="81" s="1"/>
  <c r="Y192" i="80" a="1"/>
  <c r="Y192" i="80" s="1"/>
  <c r="Y266" i="80" s="1" a="1"/>
  <c r="Y266" i="80" s="1"/>
  <c r="AH194" i="80" a="1"/>
  <c r="AH194" i="80" s="1"/>
  <c r="AH268" i="80" s="1" a="1"/>
  <c r="AH268" i="80" s="1"/>
  <c r="H32" i="80"/>
  <c r="M32" i="80" s="1" a="1"/>
  <c r="M32" i="80" s="1"/>
  <c r="I86" i="80" s="1" a="1"/>
  <c r="I86" i="80" s="1"/>
  <c r="I133" i="80" s="1" a="1"/>
  <c r="I133" i="80" s="1"/>
  <c r="J179" i="80" s="1" a="1"/>
  <c r="J179" i="80" s="1"/>
  <c r="J237" i="80" s="1" a="1"/>
  <c r="J237" i="80" s="1"/>
  <c r="Y42" i="81" a="1"/>
  <c r="Y42" i="81" s="1"/>
  <c r="Y43" i="81" a="1"/>
  <c r="Y43" i="81" s="1"/>
  <c r="K97" i="81" a="1"/>
  <c r="K97" i="81" s="1"/>
  <c r="AB45" i="81" a="1"/>
  <c r="AB45" i="81" s="1"/>
  <c r="F95" i="81" a="1"/>
  <c r="F95" i="81" s="1"/>
  <c r="K95" i="81" s="1" a="1"/>
  <c r="K95" i="81" s="1"/>
  <c r="Y46" i="81" a="1"/>
  <c r="Y46" i="81" s="1"/>
  <c r="AE46" i="81" a="1"/>
  <c r="AE46" i="81" s="1"/>
  <c r="Y44" i="81" a="1"/>
  <c r="Y44" i="81" s="1"/>
  <c r="W42" i="81" a="1"/>
  <c r="W42" i="81" s="1"/>
  <c r="W41" i="81" a="1"/>
  <c r="W41" i="81" s="1"/>
  <c r="AE38" i="81" a="1"/>
  <c r="AE38" i="81" s="1"/>
  <c r="F36" i="81" a="1"/>
  <c r="F36" i="81" s="1"/>
  <c r="X40" i="81" a="1"/>
  <c r="X40" i="81" s="1"/>
  <c r="AE47" i="81" a="1"/>
  <c r="AE47" i="81" s="1"/>
  <c r="N36" i="81" a="1"/>
  <c r="N36" i="81" s="1"/>
  <c r="AB38" i="81" a="1"/>
  <c r="AB38" i="81" s="1"/>
  <c r="Y41" i="81" a="1"/>
  <c r="Y41" i="81" s="1"/>
  <c r="AF190" i="80" a="1"/>
  <c r="AF190" i="80" s="1"/>
  <c r="AF264" i="80" s="1" a="1"/>
  <c r="AF264" i="80" s="1"/>
  <c r="AE188" i="80" a="1"/>
  <c r="AE188" i="80" s="1"/>
  <c r="AE262" i="80" s="1" a="1"/>
  <c r="AE262" i="80" s="1"/>
  <c r="AE200" i="80" a="1"/>
  <c r="AE200" i="80" s="1"/>
  <c r="AE274" i="80" s="1" a="1"/>
  <c r="AE274" i="80" s="1"/>
  <c r="AB110" i="81" a="1"/>
  <c r="AB110" i="81" s="1"/>
  <c r="AC110" i="81" a="1"/>
  <c r="AC110" i="81" s="1"/>
  <c r="AA110" i="81" a="1"/>
  <c r="AA110" i="81" s="1"/>
  <c r="E34" i="81" a="1"/>
  <c r="E34" i="81" s="1"/>
  <c r="V41" i="81" a="1"/>
  <c r="V41" i="81" s="1"/>
  <c r="E36" i="81" a="1"/>
  <c r="E36" i="81" s="1"/>
  <c r="V43" i="81" a="1"/>
  <c r="V43" i="81" s="1"/>
  <c r="V45" i="81" a="1"/>
  <c r="V45" i="81" s="1"/>
  <c r="V44" i="81" a="1"/>
  <c r="V44" i="81" s="1"/>
  <c r="V46" i="81" a="1"/>
  <c r="V46" i="81" s="1"/>
  <c r="V39" i="81" a="1"/>
  <c r="V39" i="81" s="1"/>
  <c r="H147" i="78"/>
  <c r="F98" i="81" a="1"/>
  <c r="F98" i="81" s="1"/>
  <c r="Y40" i="81" a="1"/>
  <c r="Y40" i="81" s="1"/>
  <c r="V37" i="81" a="1"/>
  <c r="V37" i="81" s="1"/>
  <c r="E33" i="81" a="1"/>
  <c r="E33" i="81" s="1"/>
  <c r="AC101" i="81" a="1"/>
  <c r="AC101" i="81" s="1"/>
  <c r="AB101" i="81" a="1"/>
  <c r="AB101" i="81" s="1"/>
  <c r="AA101" i="81" a="1"/>
  <c r="AA101" i="81" s="1"/>
  <c r="V40" i="81" a="1"/>
  <c r="V40" i="81" s="1"/>
  <c r="V42" i="81" a="1"/>
  <c r="V42" i="81" s="1"/>
  <c r="V36" i="81" a="1"/>
  <c r="V36" i="81" s="1"/>
  <c r="W111" i="81" a="1"/>
  <c r="W111" i="81" s="1"/>
  <c r="J36" i="81" a="1"/>
  <c r="J36" i="81" s="1"/>
  <c r="AA39" i="81" a="1"/>
  <c r="AA39" i="81" s="1"/>
  <c r="J34" i="81" a="1"/>
  <c r="J34" i="81" s="1"/>
  <c r="AA47" i="81" a="1"/>
  <c r="AA47" i="81" s="1"/>
  <c r="AA37" i="81" a="1"/>
  <c r="AA37" i="81" s="1"/>
  <c r="AA36" i="81" a="1"/>
  <c r="AA36" i="81" s="1"/>
  <c r="J33" i="81" a="1"/>
  <c r="J33" i="81" s="1"/>
  <c r="AA46" i="81" a="1"/>
  <c r="AA46" i="81" s="1"/>
  <c r="AG182" i="80" a="1"/>
  <c r="AG182" i="80" s="1"/>
  <c r="AG256" i="80" s="1" a="1"/>
  <c r="AG256" i="80" s="1"/>
  <c r="AA42" i="81" a="1"/>
  <c r="AA42" i="81" s="1"/>
  <c r="W109" i="81" a="1"/>
  <c r="W109" i="81" s="1"/>
  <c r="AA44" i="81" a="1"/>
  <c r="AA44" i="81" s="1"/>
  <c r="F34" i="81" a="1"/>
  <c r="F34" i="81" s="1"/>
  <c r="W38" i="81" a="1"/>
  <c r="W38" i="81" s="1"/>
  <c r="W40" i="81" a="1"/>
  <c r="W40" i="81" s="1"/>
  <c r="W44" i="81" a="1"/>
  <c r="W44" i="81" s="1"/>
  <c r="W43" i="81" a="1"/>
  <c r="W43" i="81" s="1"/>
  <c r="W46" i="81" a="1"/>
  <c r="W46" i="81" s="1"/>
  <c r="F35" i="81" a="1"/>
  <c r="F35" i="81" s="1"/>
  <c r="E35" i="81" a="1"/>
  <c r="E35" i="81" s="1"/>
  <c r="AE39" i="81" a="1"/>
  <c r="AE39" i="81" s="1"/>
  <c r="N34" i="81" a="1"/>
  <c r="N34" i="81" s="1"/>
  <c r="AE42" i="81" a="1"/>
  <c r="AE42" i="81" s="1"/>
  <c r="AE41" i="81" a="1"/>
  <c r="AE41" i="81" s="1"/>
  <c r="N35" i="81" a="1"/>
  <c r="N35" i="81" s="1"/>
  <c r="AH196" i="80" a="1"/>
  <c r="AH196" i="80" s="1"/>
  <c r="AH270" i="80" s="1" a="1"/>
  <c r="AH270" i="80" s="1"/>
  <c r="AG178" i="80" a="1"/>
  <c r="AG178" i="80" s="1"/>
  <c r="AG252" i="80" s="1" a="1"/>
  <c r="AG252" i="80" s="1"/>
  <c r="AG184" i="80" a="1"/>
  <c r="AG184" i="80" s="1"/>
  <c r="AG258" i="80" s="1" a="1"/>
  <c r="AG258" i="80" s="1"/>
  <c r="V38" i="81" a="1"/>
  <c r="V38" i="81" s="1"/>
  <c r="W45" i="81" a="1"/>
  <c r="W45" i="81" s="1"/>
  <c r="AA45" i="81" a="1"/>
  <c r="AA45" i="81" s="1"/>
  <c r="K36" i="81" a="1"/>
  <c r="K36" i="81" s="1"/>
  <c r="K34" i="81" a="1"/>
  <c r="K34" i="81" s="1"/>
  <c r="AB37" i="81" a="1"/>
  <c r="AB37" i="81" s="1"/>
  <c r="K33" i="81" a="1"/>
  <c r="K33" i="81" s="1"/>
  <c r="G36" i="81" a="1"/>
  <c r="G36" i="81" s="1"/>
  <c r="G35" i="81" a="1"/>
  <c r="G35" i="81" s="1"/>
  <c r="X39" i="81" a="1"/>
  <c r="X39" i="81" s="1"/>
  <c r="G34" i="81" a="1"/>
  <c r="G34" i="81" s="1"/>
  <c r="X47" i="81" a="1"/>
  <c r="X47" i="81" s="1"/>
  <c r="X38" i="81" a="1"/>
  <c r="X38" i="81" s="1"/>
  <c r="AE40" i="81" a="1"/>
  <c r="AE40" i="81" s="1"/>
  <c r="AB46" i="81" a="1"/>
  <c r="AB46" i="81" s="1"/>
  <c r="AB39" i="81" a="1"/>
  <c r="AB39" i="81" s="1"/>
  <c r="I33" i="81" a="1"/>
  <c r="I33" i="81" s="1"/>
  <c r="I34" i="81" a="1"/>
  <c r="I34" i="81" s="1"/>
  <c r="Z38" i="81" a="1"/>
  <c r="Z38" i="81" s="1"/>
  <c r="Z47" i="81" a="1"/>
  <c r="Z47" i="81" s="1"/>
  <c r="Z37" i="81" a="1"/>
  <c r="Z37" i="81" s="1"/>
  <c r="Z196" i="80" a="1"/>
  <c r="Z196" i="80" s="1"/>
  <c r="Z270" i="80" s="1" a="1"/>
  <c r="Z270" i="80" s="1"/>
  <c r="AB36" i="81" a="1"/>
  <c r="AB36" i="81" s="1"/>
  <c r="Z42" i="81" a="1"/>
  <c r="Z42" i="81" s="1"/>
  <c r="AE36" i="81" a="1"/>
  <c r="AE36" i="81" s="1"/>
  <c r="L31" i="80" a="1"/>
  <c r="L31" i="80" s="1"/>
  <c r="H85" i="80" s="1" a="1"/>
  <c r="H85" i="80" s="1"/>
  <c r="H132" i="80" s="1" a="1"/>
  <c r="H132" i="80" s="1"/>
  <c r="I182" i="80" s="1" a="1"/>
  <c r="I182" i="80" s="1"/>
  <c r="I240" i="80" s="1" a="1"/>
  <c r="I240" i="80" s="1"/>
  <c r="Y37" i="81" a="1"/>
  <c r="Y37" i="81" s="1"/>
  <c r="Y36" i="81" a="1"/>
  <c r="Y36" i="81" s="1"/>
  <c r="Y45" i="81" a="1"/>
  <c r="Y45" i="81" s="1"/>
  <c r="H35" i="81" a="1"/>
  <c r="H35" i="81" s="1"/>
  <c r="Y39" i="81" a="1"/>
  <c r="Y39" i="81" s="1"/>
  <c r="H34" i="81" a="1"/>
  <c r="H34" i="81" s="1"/>
  <c r="Y38" i="81" a="1"/>
  <c r="Y38" i="81" s="1"/>
  <c r="Y47" i="81" a="1"/>
  <c r="Y47" i="81" s="1"/>
  <c r="X37" i="81" a="1"/>
  <c r="X37" i="81" s="1"/>
  <c r="AB47" i="81" a="1"/>
  <c r="AB47" i="81" s="1"/>
  <c r="AA40" i="81" a="1"/>
  <c r="AA40" i="81" s="1"/>
  <c r="W100" i="81" a="1"/>
  <c r="W100" i="81" s="1"/>
  <c r="AA43" i="81" a="1"/>
  <c r="AA43" i="81" s="1"/>
  <c r="Z46" i="81" a="1"/>
  <c r="Z46" i="81" s="1"/>
  <c r="AE37" i="81" a="1"/>
  <c r="AE37" i="81" s="1"/>
  <c r="W36" i="81" a="1"/>
  <c r="W36" i="81" s="1"/>
  <c r="AC105" i="81" a="1"/>
  <c r="AC105" i="81" s="1"/>
  <c r="AA102" i="81" a="1"/>
  <c r="AA102" i="81" s="1"/>
  <c r="AB102" i="81" a="1"/>
  <c r="AB102" i="81" s="1"/>
  <c r="AC102" i="81" a="1"/>
  <c r="AC102" i="81" s="1"/>
  <c r="V47" i="81" a="1"/>
  <c r="V47" i="81" s="1"/>
  <c r="AB41" i="81" a="1"/>
  <c r="AB41" i="81" s="1"/>
  <c r="AA38" i="81" a="1"/>
  <c r="AA38" i="81" s="1"/>
  <c r="Z41" i="81" a="1"/>
  <c r="Z41" i="81" s="1"/>
  <c r="I36" i="81" a="1"/>
  <c r="I36" i="81" s="1"/>
  <c r="J35" i="81" a="1"/>
  <c r="J35" i="81" s="1"/>
  <c r="Z45" i="81" a="1"/>
  <c r="Z45" i="81" s="1"/>
  <c r="Z180" i="80" a="1"/>
  <c r="Z180" i="80" s="1"/>
  <c r="Z254" i="80" s="1" a="1"/>
  <c r="Z254" i="80" s="1"/>
  <c r="W107" i="81" a="1"/>
  <c r="W107" i="81" s="1"/>
  <c r="AE44" i="81" a="1"/>
  <c r="AE44" i="81" s="1"/>
  <c r="Z36" i="81" a="1"/>
  <c r="Z36" i="81" s="1"/>
  <c r="X42" i="81" a="1"/>
  <c r="X42" i="81" s="1"/>
  <c r="W39" i="81" a="1"/>
  <c r="W39" i="81" s="1"/>
  <c r="F33" i="81" a="1"/>
  <c r="F33" i="81" s="1"/>
  <c r="AB183" i="80" a="1"/>
  <c r="AB183" i="80" s="1"/>
  <c r="AB257" i="80" s="1" a="1"/>
  <c r="AB257" i="80" s="1"/>
  <c r="AB195" i="80" a="1"/>
  <c r="AB195" i="80" s="1"/>
  <c r="AB269" i="80" s="1" a="1"/>
  <c r="AB269" i="80" s="1"/>
  <c r="AC191" i="80" a="1"/>
  <c r="AC191" i="80" s="1"/>
  <c r="AC265" i="80" s="1" a="1"/>
  <c r="AC265" i="80" s="1"/>
  <c r="AC179" i="80" a="1"/>
  <c r="AC179" i="80" s="1"/>
  <c r="AC253" i="80" s="1" a="1"/>
  <c r="AC253" i="80" s="1"/>
  <c r="AG198" i="80" a="1"/>
  <c r="AG198" i="80" s="1"/>
  <c r="AG272" i="80" s="1" a="1"/>
  <c r="AG272" i="80" s="1"/>
  <c r="AG186" i="80" a="1"/>
  <c r="AG186" i="80" s="1"/>
  <c r="AG260" i="80" s="1" a="1"/>
  <c r="AG260" i="80" s="1"/>
  <c r="H177" i="80" a="1"/>
  <c r="H177" i="80" s="1"/>
  <c r="H235" i="80" s="1" a="1"/>
  <c r="H235" i="80" s="1"/>
  <c r="H181" i="80" a="1"/>
  <c r="H181" i="80" s="1"/>
  <c r="H239" i="80" s="1" a="1"/>
  <c r="H239" i="80" s="1"/>
  <c r="AF191" i="80" a="1"/>
  <c r="AF191" i="80" s="1"/>
  <c r="AF265" i="80" s="1" a="1"/>
  <c r="AF265" i="80" s="1"/>
  <c r="AF179" i="80" a="1"/>
  <c r="AF179" i="80" s="1"/>
  <c r="AF253" i="80" s="1" a="1"/>
  <c r="AF253" i="80" s="1"/>
  <c r="AF193" i="80" a="1"/>
  <c r="AF193" i="80" s="1"/>
  <c r="AF267" i="80" s="1" a="1"/>
  <c r="AF267" i="80" s="1"/>
  <c r="AF181" i="80" a="1"/>
  <c r="AF181" i="80" s="1"/>
  <c r="AF255" i="80" s="1" a="1"/>
  <c r="AF255" i="80" s="1"/>
  <c r="O182" i="80" a="1"/>
  <c r="O182" i="80" s="1"/>
  <c r="O240" i="80" s="1" a="1"/>
  <c r="O240" i="80" s="1"/>
  <c r="O178" i="80" a="1"/>
  <c r="O178" i="80" s="1"/>
  <c r="O236" i="80" s="1" a="1"/>
  <c r="O236" i="80" s="1"/>
  <c r="AE181" i="80" a="1"/>
  <c r="AE181" i="80" s="1"/>
  <c r="AE255" i="80" s="1" a="1"/>
  <c r="AE255" i="80" s="1"/>
  <c r="AE193" i="80" a="1"/>
  <c r="AE193" i="80" s="1"/>
  <c r="AE267" i="80" s="1" a="1"/>
  <c r="AE267" i="80" s="1"/>
  <c r="AH180" i="80" a="1"/>
  <c r="AH180" i="80" s="1"/>
  <c r="AH254" i="80" s="1" a="1"/>
  <c r="AH254" i="80" s="1"/>
  <c r="AH192" i="80" a="1"/>
  <c r="AH192" i="80" s="1"/>
  <c r="AH266" i="80" s="1" a="1"/>
  <c r="AH266" i="80" s="1"/>
  <c r="N183" i="80" a="1"/>
  <c r="N183" i="80" s="1"/>
  <c r="N241" i="80" s="1" a="1"/>
  <c r="N241" i="80" s="1"/>
  <c r="N179" i="80" a="1"/>
  <c r="N179" i="80" s="1"/>
  <c r="N237" i="80" s="1" a="1"/>
  <c r="N237" i="80" s="1"/>
  <c r="F183" i="80" a="1"/>
  <c r="F183" i="80" s="1"/>
  <c r="F241" i="80" s="1" a="1"/>
  <c r="F241" i="80" s="1"/>
  <c r="F179" i="80" a="1"/>
  <c r="F179" i="80" s="1"/>
  <c r="F237" i="80" s="1" a="1"/>
  <c r="F237" i="80" s="1"/>
  <c r="AD178" i="80" a="1"/>
  <c r="AD178" i="80" s="1"/>
  <c r="AD252" i="80" s="1" a="1"/>
  <c r="AD252" i="80" s="1"/>
  <c r="AD190" i="80" a="1"/>
  <c r="AD190" i="80" s="1"/>
  <c r="AD264" i="80" s="1" a="1"/>
  <c r="AD264" i="80" s="1"/>
  <c r="AB190" i="80" a="1"/>
  <c r="AB190" i="80" s="1"/>
  <c r="AB264" i="80" s="1" a="1"/>
  <c r="AB264" i="80" s="1"/>
  <c r="AB178" i="80" a="1"/>
  <c r="AB178" i="80" s="1"/>
  <c r="AB252" i="80" s="1" a="1"/>
  <c r="AB252" i="80" s="1"/>
  <c r="N177" i="80" a="1"/>
  <c r="N177" i="80" s="1"/>
  <c r="N235" i="80" s="1" a="1"/>
  <c r="N235" i="80" s="1"/>
  <c r="N181" i="80" a="1"/>
  <c r="N181" i="80" s="1"/>
  <c r="N239" i="80" s="1" a="1"/>
  <c r="N239" i="80" s="1"/>
  <c r="AA192" i="80" a="1"/>
  <c r="AA192" i="80" s="1"/>
  <c r="AA266" i="80" s="1" a="1"/>
  <c r="AA266" i="80" s="1"/>
  <c r="AA180" i="80" a="1"/>
  <c r="AA180" i="80" s="1"/>
  <c r="AA254" i="80" s="1" a="1"/>
  <c r="AA254" i="80" s="1"/>
  <c r="AD191" i="80" a="1"/>
  <c r="AD191" i="80" s="1"/>
  <c r="AD265" i="80" s="1" a="1"/>
  <c r="AD265" i="80" s="1"/>
  <c r="AD179" i="80" a="1"/>
  <c r="AD179" i="80" s="1"/>
  <c r="AD253" i="80" s="1" a="1"/>
  <c r="AD253" i="80" s="1"/>
  <c r="M182" i="80" a="1"/>
  <c r="M182" i="80" s="1"/>
  <c r="M240" i="80" s="1" a="1"/>
  <c r="M240" i="80" s="1"/>
  <c r="M178" i="80" a="1"/>
  <c r="M178" i="80" s="1"/>
  <c r="M236" i="80" s="1" a="1"/>
  <c r="M236" i="80" s="1"/>
  <c r="AG185" i="80" a="1"/>
  <c r="AG185" i="80" s="1"/>
  <c r="AG259" i="80" s="1" a="1"/>
  <c r="AG259" i="80" s="1"/>
  <c r="AG197" i="80" a="1"/>
  <c r="AG197" i="80" s="1"/>
  <c r="AG271" i="80" s="1" a="1"/>
  <c r="AG271" i="80" s="1"/>
  <c r="Z189" i="80" a="1"/>
  <c r="Z189" i="80" s="1"/>
  <c r="Z263" i="80" s="1" a="1"/>
  <c r="Z263" i="80" s="1"/>
  <c r="Z177" i="80" a="1"/>
  <c r="Z177" i="80" s="1"/>
  <c r="Z251" i="80" s="1" a="1"/>
  <c r="Z251" i="80" s="1"/>
  <c r="AF185" i="80" a="1"/>
  <c r="AF185" i="80" s="1"/>
  <c r="AF259" i="80" s="1" a="1"/>
  <c r="AF259" i="80" s="1"/>
  <c r="AF197" i="80" a="1"/>
  <c r="AF197" i="80" s="1"/>
  <c r="AF271" i="80" s="1" a="1"/>
  <c r="AF271" i="80" s="1"/>
  <c r="Z195" i="80" a="1"/>
  <c r="Z195" i="80" s="1"/>
  <c r="Z269" i="80" s="1" a="1"/>
  <c r="Z269" i="80" s="1"/>
  <c r="Z183" i="80" a="1"/>
  <c r="Z183" i="80" s="1"/>
  <c r="Z257" i="80" s="1" a="1"/>
  <c r="Z257" i="80" s="1"/>
  <c r="AE35" i="80" a="1"/>
  <c r="AE35" i="80" s="1"/>
  <c r="AC83" i="80" s="1" a="1"/>
  <c r="AC83" i="80" s="1"/>
  <c r="AC138" i="80" s="1" a="1"/>
  <c r="AC138" i="80" s="1"/>
  <c r="AD35" i="80" a="1"/>
  <c r="AD35" i="80" s="1"/>
  <c r="AB83" i="80" s="1" a="1"/>
  <c r="AB83" i="80" s="1"/>
  <c r="AB138" i="80" s="1" a="1"/>
  <c r="AB138" i="80" s="1"/>
  <c r="AE177" i="80" a="1"/>
  <c r="AE177" i="80" s="1"/>
  <c r="AE251" i="80" s="1" a="1"/>
  <c r="AE251" i="80" s="1"/>
  <c r="AE189" i="80" a="1"/>
  <c r="AE189" i="80" s="1"/>
  <c r="AE263" i="80" s="1" a="1"/>
  <c r="AE263" i="80" s="1"/>
  <c r="AF195" i="80" a="1"/>
  <c r="AF195" i="80" s="1"/>
  <c r="AF269" i="80" s="1" a="1"/>
  <c r="AF269" i="80" s="1"/>
  <c r="AF183" i="80" a="1"/>
  <c r="AF183" i="80" s="1"/>
  <c r="AF257" i="80" s="1" a="1"/>
  <c r="AF257" i="80" s="1"/>
  <c r="AH190" i="80" a="1"/>
  <c r="AH190" i="80" s="1"/>
  <c r="AH264" i="80" s="1" a="1"/>
  <c r="AH264" i="80" s="1"/>
  <c r="AH178" i="80" a="1"/>
  <c r="AH178" i="80" s="1"/>
  <c r="AH252" i="80" s="1" a="1"/>
  <c r="AH252" i="80" s="1"/>
  <c r="Z190" i="80" a="1"/>
  <c r="Z190" i="80" s="1"/>
  <c r="Z264" i="80" s="1" a="1"/>
  <c r="Z264" i="80" s="1"/>
  <c r="Z178" i="80" a="1"/>
  <c r="Z178" i="80" s="1"/>
  <c r="Z252" i="80" s="1" a="1"/>
  <c r="Z252" i="80" s="1"/>
  <c r="Z182" i="80" a="1"/>
  <c r="Z182" i="80" s="1"/>
  <c r="Z256" i="80" s="1" a="1"/>
  <c r="Z256" i="80" s="1"/>
  <c r="Z194" i="80" a="1"/>
  <c r="Z194" i="80" s="1"/>
  <c r="Z268" i="80" s="1" a="1"/>
  <c r="Z268" i="80" s="1"/>
  <c r="Y28" i="80" a="1"/>
  <c r="Y28" i="80" s="1"/>
  <c r="Y38" i="80" a="1"/>
  <c r="Y38" i="80" s="1"/>
  <c r="Z200" i="80" a="1"/>
  <c r="Z200" i="80" s="1"/>
  <c r="Z274" i="80" s="1" a="1"/>
  <c r="Z274" i="80" s="1"/>
  <c r="Z188" i="80" a="1"/>
  <c r="Z188" i="80" s="1"/>
  <c r="Z262" i="80" s="1" a="1"/>
  <c r="Z262" i="80" s="1"/>
  <c r="AA197" i="80" a="1"/>
  <c r="AA197" i="80" s="1"/>
  <c r="AA271" i="80" s="1" a="1"/>
  <c r="AA271" i="80" s="1"/>
  <c r="AA185" i="80" a="1"/>
  <c r="AA185" i="80" s="1"/>
  <c r="AA259" i="80" s="1" a="1"/>
  <c r="AA259" i="80" s="1"/>
  <c r="AG192" i="80" a="1"/>
  <c r="AG192" i="80" s="1"/>
  <c r="AG266" i="80" s="1" a="1"/>
  <c r="AG266" i="80" s="1"/>
  <c r="AG180" i="80" a="1"/>
  <c r="AG180" i="80" s="1"/>
  <c r="AG254" i="80" s="1" a="1"/>
  <c r="AG254" i="80" s="1"/>
  <c r="AF196" i="80" a="1"/>
  <c r="AF196" i="80" s="1"/>
  <c r="AF270" i="80" s="1" a="1"/>
  <c r="AF270" i="80" s="1"/>
  <c r="AF184" i="80" a="1"/>
  <c r="AF184" i="80" s="1"/>
  <c r="AF258" i="80" s="1" a="1"/>
  <c r="AF258" i="80" s="1"/>
  <c r="AC35" i="80" a="1"/>
  <c r="AC35" i="80" s="1"/>
  <c r="AA83" i="80" s="1" a="1"/>
  <c r="AA83" i="80" s="1"/>
  <c r="AA138" i="80" s="1" a="1"/>
  <c r="AA138" i="80" s="1"/>
  <c r="AE196" i="80" a="1"/>
  <c r="AE196" i="80" s="1"/>
  <c r="AE270" i="80" s="1" a="1"/>
  <c r="AE270" i="80" s="1"/>
  <c r="AE184" i="80" a="1"/>
  <c r="AE184" i="80" s="1"/>
  <c r="AE258" i="80" s="1" a="1"/>
  <c r="AE258" i="80" s="1"/>
  <c r="L184" i="80" a="1"/>
  <c r="L184" i="80" s="1"/>
  <c r="L242" i="80" s="1" a="1"/>
  <c r="L242" i="80" s="1"/>
  <c r="L180" i="80" a="1"/>
  <c r="L180" i="80" s="1"/>
  <c r="L238" i="80" s="1" a="1"/>
  <c r="L238" i="80" s="1"/>
  <c r="Z193" i="80" a="1"/>
  <c r="Z193" i="80" s="1"/>
  <c r="Z267" i="80" s="1" a="1"/>
  <c r="Z267" i="80" s="1"/>
  <c r="Z181" i="80" a="1"/>
  <c r="Z181" i="80" s="1"/>
  <c r="Z255" i="80" s="1" a="1"/>
  <c r="Z255" i="80" s="1"/>
  <c r="AE191" i="80" a="1"/>
  <c r="AE191" i="80" s="1"/>
  <c r="AE265" i="80" s="1" a="1"/>
  <c r="AE265" i="80" s="1"/>
  <c r="AE179" i="80" a="1"/>
  <c r="AE179" i="80" s="1"/>
  <c r="AE253" i="80" s="1" a="1"/>
  <c r="AE253" i="80" s="1"/>
  <c r="Y189" i="80" a="1"/>
  <c r="Y189" i="80" s="1"/>
  <c r="Y263" i="80" s="1" a="1"/>
  <c r="Y263" i="80" s="1"/>
  <c r="Y177" i="80" a="1"/>
  <c r="Y177" i="80" s="1"/>
  <c r="Y251" i="80" s="1" a="1"/>
  <c r="Y251" i="80" s="1"/>
  <c r="AH197" i="80" a="1"/>
  <c r="AH197" i="80" s="1"/>
  <c r="AH271" i="80" s="1" a="1"/>
  <c r="AH271" i="80" s="1"/>
  <c r="AH185" i="80" a="1"/>
  <c r="AH185" i="80" s="1"/>
  <c r="AH259" i="80" s="1" a="1"/>
  <c r="AH259" i="80" s="1"/>
  <c r="AE31" i="80" a="1"/>
  <c r="AE31" i="80" s="1"/>
  <c r="AC79" i="80" s="1" a="1"/>
  <c r="AC79" i="80" s="1"/>
  <c r="AC134" i="80" s="1" a="1"/>
  <c r="AC134" i="80" s="1"/>
  <c r="AD31" i="80" a="1"/>
  <c r="AD31" i="80" s="1"/>
  <c r="AB79" i="80" s="1" a="1"/>
  <c r="AB79" i="80" s="1"/>
  <c r="AB134" i="80" s="1" a="1"/>
  <c r="AB134" i="80" s="1"/>
  <c r="AC31" i="80" a="1"/>
  <c r="AC31" i="80" s="1"/>
  <c r="AA79" i="80" s="1" a="1"/>
  <c r="AA79" i="80" s="1"/>
  <c r="AA134" i="80" s="1" a="1"/>
  <c r="AA134" i="80" s="1"/>
  <c r="M31" i="80" a="1"/>
  <c r="M31" i="80" s="1"/>
  <c r="I85" i="80" s="1" a="1"/>
  <c r="I85" i="80" s="1"/>
  <c r="I132" i="80" s="1" a="1"/>
  <c r="I132" i="80" s="1"/>
  <c r="AA183" i="80" a="1"/>
  <c r="AA183" i="80" s="1"/>
  <c r="AA257" i="80" s="1" a="1"/>
  <c r="AA257" i="80" s="1"/>
  <c r="AA195" i="80" a="1"/>
  <c r="AA195" i="80" s="1"/>
  <c r="AA269" i="80" s="1" a="1"/>
  <c r="AA269" i="80" s="1"/>
  <c r="AH187" i="80" a="1"/>
  <c r="AH187" i="80" s="1"/>
  <c r="AH261" i="80" s="1" a="1"/>
  <c r="AH261" i="80" s="1"/>
  <c r="AH199" i="80" a="1"/>
  <c r="AH199" i="80" s="1"/>
  <c r="AH273" i="80" s="1" a="1"/>
  <c r="AH273" i="80" s="1"/>
  <c r="AF199" i="80" a="1"/>
  <c r="AF199" i="80" s="1"/>
  <c r="AF273" i="80" s="1" a="1"/>
  <c r="AF273" i="80" s="1"/>
  <c r="AF187" i="80" a="1"/>
  <c r="AF187" i="80" s="1"/>
  <c r="AF261" i="80" s="1" a="1"/>
  <c r="AF261" i="80" s="1"/>
  <c r="AA190" i="80" a="1"/>
  <c r="AA190" i="80" s="1"/>
  <c r="AA264" i="80" s="1" a="1"/>
  <c r="AA264" i="80" s="1"/>
  <c r="AA178" i="80" a="1"/>
  <c r="AA178" i="80" s="1"/>
  <c r="AA252" i="80" s="1" a="1"/>
  <c r="AA252" i="80" s="1"/>
  <c r="AF200" i="80" a="1"/>
  <c r="AF200" i="80" s="1"/>
  <c r="AF274" i="80" s="1" a="1"/>
  <c r="AF274" i="80" s="1"/>
  <c r="AF188" i="80" a="1"/>
  <c r="AF188" i="80" s="1"/>
  <c r="AF262" i="80" s="1" a="1"/>
  <c r="AF262" i="80" s="1"/>
  <c r="AD37" i="80" a="1"/>
  <c r="AD37" i="80" s="1"/>
  <c r="AB85" i="80" s="1" a="1"/>
  <c r="AB85" i="80" s="1"/>
  <c r="AB140" i="80" s="1" a="1"/>
  <c r="AB140" i="80" s="1"/>
  <c r="AC37" i="80" a="1"/>
  <c r="AC37" i="80" s="1"/>
  <c r="AA85" i="80" s="1" a="1"/>
  <c r="AA85" i="80" s="1"/>
  <c r="AA140" i="80" s="1" a="1"/>
  <c r="AA140" i="80" s="1"/>
  <c r="Z187" i="80" a="1"/>
  <c r="Z187" i="80" s="1"/>
  <c r="Z261" i="80" s="1" a="1"/>
  <c r="Z261" i="80" s="1"/>
  <c r="Z199" i="80" a="1"/>
  <c r="Z199" i="80" s="1"/>
  <c r="Z273" i="80" s="1" a="1"/>
  <c r="Z273" i="80" s="1"/>
  <c r="Y190" i="80" a="1"/>
  <c r="Y190" i="80" s="1"/>
  <c r="Y264" i="80" s="1" a="1"/>
  <c r="Y264" i="80" s="1"/>
  <c r="Y178" i="80" a="1"/>
  <c r="Y178" i="80" s="1"/>
  <c r="Y252" i="80" s="1" a="1"/>
  <c r="Y252" i="80" s="1"/>
  <c r="N184" i="80" a="1"/>
  <c r="N184" i="80" s="1"/>
  <c r="N242" i="80" s="1" a="1"/>
  <c r="N242" i="80" s="1"/>
  <c r="N180" i="80" a="1"/>
  <c r="N180" i="80" s="1"/>
  <c r="N238" i="80" s="1" a="1"/>
  <c r="N238" i="80" s="1"/>
  <c r="AF194" i="80" a="1"/>
  <c r="AF194" i="80" s="1"/>
  <c r="AF268" i="80" s="1" a="1"/>
  <c r="AF268" i="80" s="1"/>
  <c r="AF182" i="80" a="1"/>
  <c r="AF182" i="80" s="1"/>
  <c r="AF256" i="80" s="1" a="1"/>
  <c r="AF256" i="80" s="1"/>
  <c r="AE194" i="80" a="1"/>
  <c r="AE194" i="80" s="1"/>
  <c r="AE268" i="80" s="1" a="1"/>
  <c r="AE268" i="80" s="1"/>
  <c r="AE182" i="80" a="1"/>
  <c r="AE182" i="80" s="1"/>
  <c r="AE256" i="80" s="1" a="1"/>
  <c r="AE256" i="80" s="1"/>
  <c r="Y186" i="80" a="1"/>
  <c r="Y186" i="80" s="1"/>
  <c r="Y260" i="80" s="1" a="1"/>
  <c r="Y260" i="80" s="1"/>
  <c r="Y198" i="80" a="1"/>
  <c r="Y198" i="80" s="1"/>
  <c r="Y272" i="80" s="1" a="1"/>
  <c r="Y272" i="80" s="1"/>
  <c r="Y191" i="80" a="1"/>
  <c r="Y191" i="80" s="1"/>
  <c r="Y265" i="80" s="1" a="1"/>
  <c r="Y265" i="80" s="1"/>
  <c r="Y179" i="80" a="1"/>
  <c r="Y179" i="80" s="1"/>
  <c r="Y253" i="80" s="1" a="1"/>
  <c r="Y253" i="80" s="1"/>
  <c r="AD36" i="80" a="1"/>
  <c r="AD36" i="80" s="1"/>
  <c r="AB84" i="80" s="1" a="1"/>
  <c r="AB84" i="80" s="1"/>
  <c r="AB139" i="80" s="1" a="1"/>
  <c r="AB139" i="80" s="1"/>
  <c r="AC36" i="80" a="1"/>
  <c r="AC36" i="80" s="1"/>
  <c r="AA84" i="80" s="1" a="1"/>
  <c r="AA84" i="80" s="1"/>
  <c r="AA139" i="80" s="1" a="1"/>
  <c r="AA139" i="80" s="1"/>
  <c r="I180" i="80" a="1"/>
  <c r="I180" i="80" s="1"/>
  <c r="I238" i="80" s="1" a="1"/>
  <c r="I238" i="80" s="1"/>
  <c r="I184" i="80" a="1"/>
  <c r="I184" i="80" s="1"/>
  <c r="I242" i="80" s="1" a="1"/>
  <c r="I242" i="80" s="1"/>
  <c r="AG187" i="80" a="1"/>
  <c r="AG187" i="80" s="1"/>
  <c r="AG261" i="80" s="1" a="1"/>
  <c r="AG261" i="80" s="1"/>
  <c r="AG199" i="80" a="1"/>
  <c r="AG199" i="80" s="1"/>
  <c r="AG273" i="80" s="1" a="1"/>
  <c r="AG273" i="80" s="1"/>
  <c r="M183" i="80" a="1"/>
  <c r="M183" i="80" s="1"/>
  <c r="M241" i="80" s="1" a="1"/>
  <c r="M241" i="80" s="1"/>
  <c r="M179" i="80" a="1"/>
  <c r="M179" i="80" s="1"/>
  <c r="M237" i="80" s="1" a="1"/>
  <c r="M237" i="80" s="1"/>
  <c r="N33" i="80" a="1"/>
  <c r="N33" i="80" s="1"/>
  <c r="J87" i="80" s="1" a="1"/>
  <c r="J87" i="80" s="1"/>
  <c r="J134" i="80" s="1" a="1"/>
  <c r="J134" i="80" s="1"/>
  <c r="M33" i="80" a="1"/>
  <c r="M33" i="80" s="1"/>
  <c r="I87" i="80" s="1" a="1"/>
  <c r="I87" i="80" s="1"/>
  <c r="I134" i="80" s="1" a="1"/>
  <c r="I134" i="80" s="1"/>
  <c r="AA193" i="80" a="1"/>
  <c r="AA193" i="80" s="1"/>
  <c r="AA267" i="80" s="1" a="1"/>
  <c r="AA267" i="80" s="1"/>
  <c r="AA181" i="80" a="1"/>
  <c r="AA181" i="80" s="1"/>
  <c r="AA255" i="80" s="1" a="1"/>
  <c r="AA255" i="80" s="1"/>
  <c r="AH183" i="80" a="1"/>
  <c r="AH183" i="80" s="1"/>
  <c r="AH257" i="80" s="1" a="1"/>
  <c r="AH257" i="80" s="1"/>
  <c r="AH195" i="80" a="1"/>
  <c r="AH195" i="80" s="1"/>
  <c r="AH269" i="80" s="1" a="1"/>
  <c r="AH269" i="80" s="1"/>
  <c r="AF189" i="80" a="1"/>
  <c r="AF189" i="80" s="1"/>
  <c r="AF263" i="80" s="1" a="1"/>
  <c r="AF263" i="80" s="1"/>
  <c r="AF177" i="80" a="1"/>
  <c r="AF177" i="80" s="1"/>
  <c r="AF251" i="80" s="1" a="1"/>
  <c r="AF251" i="80" s="1"/>
  <c r="AE198" i="80" a="1"/>
  <c r="AE198" i="80" s="1"/>
  <c r="AE272" i="80" s="1" a="1"/>
  <c r="AE272" i="80" s="1"/>
  <c r="AE186" i="80" a="1"/>
  <c r="AE186" i="80" s="1"/>
  <c r="AE260" i="80" s="1" a="1"/>
  <c r="AE260" i="80" s="1"/>
  <c r="AE199" i="80" a="1"/>
  <c r="AE199" i="80" s="1"/>
  <c r="AE273" i="80" s="1" a="1"/>
  <c r="AE273" i="80" s="1"/>
  <c r="AE187" i="80" a="1"/>
  <c r="AE187" i="80" s="1"/>
  <c r="AE261" i="80" s="1" a="1"/>
  <c r="AE261" i="80" s="1"/>
  <c r="L178" i="80" a="1"/>
  <c r="L178" i="80" s="1"/>
  <c r="L236" i="80" s="1" a="1"/>
  <c r="L236" i="80" s="1"/>
  <c r="L182" i="80" a="1"/>
  <c r="L182" i="80" s="1"/>
  <c r="L240" i="80" s="1" a="1"/>
  <c r="L240" i="80" s="1"/>
  <c r="AE190" i="80" a="1"/>
  <c r="AE190" i="80" s="1"/>
  <c r="AE264" i="80" s="1" a="1"/>
  <c r="AE264" i="80" s="1"/>
  <c r="AE178" i="80" a="1"/>
  <c r="AE178" i="80" s="1"/>
  <c r="AE252" i="80" s="1" a="1"/>
  <c r="AE252" i="80" s="1"/>
  <c r="M184" i="80" a="1"/>
  <c r="M184" i="80" s="1"/>
  <c r="M242" i="80" s="1" a="1"/>
  <c r="M242" i="80" s="1"/>
  <c r="M180" i="80" a="1"/>
  <c r="M180" i="80" s="1"/>
  <c r="M238" i="80" s="1" a="1"/>
  <c r="M238" i="80" s="1"/>
  <c r="AH179" i="80" a="1"/>
  <c r="AH179" i="80" s="1"/>
  <c r="AH253" i="80" s="1" a="1"/>
  <c r="AH253" i="80" s="1"/>
  <c r="AH191" i="80" a="1"/>
  <c r="AH191" i="80" s="1"/>
  <c r="AH265" i="80" s="1" a="1"/>
  <c r="AH265" i="80" s="1"/>
  <c r="AH193" i="80" a="1"/>
  <c r="AH193" i="80" s="1"/>
  <c r="AH267" i="80" s="1" a="1"/>
  <c r="AH267" i="80" s="1"/>
  <c r="AH181" i="80" a="1"/>
  <c r="AH181" i="80" s="1"/>
  <c r="AH255" i="80" s="1" a="1"/>
  <c r="AH255" i="80" s="1"/>
  <c r="L177" i="80" a="1"/>
  <c r="L177" i="80" s="1"/>
  <c r="L235" i="80" s="1" a="1"/>
  <c r="L235" i="80" s="1"/>
  <c r="L181" i="80" a="1"/>
  <c r="L181" i="80" s="1"/>
  <c r="L239" i="80" s="1" a="1"/>
  <c r="L239" i="80" s="1"/>
  <c r="AH188" i="80" a="1"/>
  <c r="AH188" i="80" s="1"/>
  <c r="AH262" i="80" s="1" a="1"/>
  <c r="AH262" i="80" s="1"/>
  <c r="AH200" i="80" a="1"/>
  <c r="AH200" i="80" s="1"/>
  <c r="AH274" i="80" s="1" a="1"/>
  <c r="AH274" i="80" s="1"/>
  <c r="H182" i="80" a="1"/>
  <c r="H182" i="80" s="1"/>
  <c r="H240" i="80" s="1" a="1"/>
  <c r="H240" i="80" s="1"/>
  <c r="H178" i="80" a="1"/>
  <c r="H178" i="80" s="1"/>
  <c r="H236" i="80" s="1" a="1"/>
  <c r="H236" i="80" s="1"/>
  <c r="AC193" i="80" a="1"/>
  <c r="AC193" i="80" s="1"/>
  <c r="AC267" i="80" s="1" a="1"/>
  <c r="AC267" i="80" s="1"/>
  <c r="AC181" i="80" a="1"/>
  <c r="AC181" i="80" s="1"/>
  <c r="AC255" i="80" s="1" a="1"/>
  <c r="AC255" i="80" s="1"/>
  <c r="H183" i="80" a="1"/>
  <c r="H183" i="80" s="1"/>
  <c r="H241" i="80" s="1" a="1"/>
  <c r="H241" i="80" s="1"/>
  <c r="H179" i="80" a="1"/>
  <c r="H179" i="80" s="1"/>
  <c r="H237" i="80" s="1" a="1"/>
  <c r="H237" i="80" s="1"/>
  <c r="Z185" i="80" a="1"/>
  <c r="Z185" i="80" s="1"/>
  <c r="Z259" i="80" s="1" a="1"/>
  <c r="Z259" i="80" s="1"/>
  <c r="Z197" i="80" a="1"/>
  <c r="Z197" i="80" s="1"/>
  <c r="Z271" i="80" s="1" a="1"/>
  <c r="Z271" i="80" s="1"/>
  <c r="AH177" i="80" a="1"/>
  <c r="AH177" i="80" s="1"/>
  <c r="AH251" i="80" s="1" a="1"/>
  <c r="AH251" i="80" s="1"/>
  <c r="AH189" i="80" a="1"/>
  <c r="AH189" i="80" s="1"/>
  <c r="AH263" i="80" s="1" a="1"/>
  <c r="AH263" i="80" s="1"/>
  <c r="L179" i="80" a="1"/>
  <c r="L179" i="80" s="1"/>
  <c r="L237" i="80" s="1" a="1"/>
  <c r="L237" i="80" s="1"/>
  <c r="L183" i="80" a="1"/>
  <c r="L183" i="80" s="1"/>
  <c r="L241" i="80" s="1" a="1"/>
  <c r="L241" i="80" s="1"/>
  <c r="AE37" i="80" a="1"/>
  <c r="AE37" i="80" s="1"/>
  <c r="AC85" i="80" s="1" a="1"/>
  <c r="AC85" i="80" s="1"/>
  <c r="AC140" i="80" s="1" a="1"/>
  <c r="AC140" i="80" s="1"/>
  <c r="Z179" i="80" a="1"/>
  <c r="Z179" i="80" s="1"/>
  <c r="Z253" i="80" s="1" a="1"/>
  <c r="Z253" i="80" s="1"/>
  <c r="Z191" i="80" a="1"/>
  <c r="Z191" i="80" s="1"/>
  <c r="Z265" i="80" s="1" a="1"/>
  <c r="Z265" i="80" s="1"/>
  <c r="AA188" i="80" a="1"/>
  <c r="AA188" i="80" s="1"/>
  <c r="AA262" i="80" s="1" a="1"/>
  <c r="AA262" i="80" s="1"/>
  <c r="AA200" i="80" a="1"/>
  <c r="AA200" i="80" s="1"/>
  <c r="AA274" i="80" s="1" a="1"/>
  <c r="AA274" i="80" s="1"/>
  <c r="Y199" i="80" a="1"/>
  <c r="Y199" i="80" s="1"/>
  <c r="Y273" i="80" s="1" a="1"/>
  <c r="Y273" i="80" s="1"/>
  <c r="Y187" i="80" a="1"/>
  <c r="Y187" i="80" s="1"/>
  <c r="Y261" i="80" s="1" a="1"/>
  <c r="Y261" i="80" s="1"/>
  <c r="O183" i="80" a="1"/>
  <c r="O183" i="80" s="1"/>
  <c r="O241" i="80" s="1" a="1"/>
  <c r="O241" i="80" s="1"/>
  <c r="O179" i="80" a="1"/>
  <c r="O179" i="80" s="1"/>
  <c r="O237" i="80" s="1" a="1"/>
  <c r="O237" i="80" s="1"/>
  <c r="H180" i="80" a="1"/>
  <c r="H180" i="80" s="1"/>
  <c r="H238" i="80" s="1" a="1"/>
  <c r="H238" i="80" s="1"/>
  <c r="H184" i="80" a="1"/>
  <c r="H184" i="80" s="1"/>
  <c r="H242" i="80" s="1" a="1"/>
  <c r="H242" i="80" s="1"/>
  <c r="Y196" i="80" a="1"/>
  <c r="Y196" i="80" s="1"/>
  <c r="Y270" i="80" s="1" a="1"/>
  <c r="Y270" i="80" s="1"/>
  <c r="Y184" i="80" a="1"/>
  <c r="Y184" i="80" s="1"/>
  <c r="Y258" i="80" s="1" a="1"/>
  <c r="Y258" i="80" s="1"/>
  <c r="AH198" i="80" a="1"/>
  <c r="AH198" i="80" s="1"/>
  <c r="AH272" i="80" s="1" a="1"/>
  <c r="AH272" i="80" s="1"/>
  <c r="AH186" i="80" a="1"/>
  <c r="AH186" i="80" s="1"/>
  <c r="AH260" i="80" s="1" a="1"/>
  <c r="AH260" i="80" s="1"/>
  <c r="AG189" i="80" a="1"/>
  <c r="AG189" i="80" s="1"/>
  <c r="AG263" i="80" s="1" a="1"/>
  <c r="AG263" i="80" s="1"/>
  <c r="AG177" i="80" a="1"/>
  <c r="AG177" i="80" s="1"/>
  <c r="AG251" i="80" s="1" a="1"/>
  <c r="AG251" i="80" s="1"/>
  <c r="AG191" i="80" a="1"/>
  <c r="AG191" i="80" s="1"/>
  <c r="AG265" i="80" s="1" a="1"/>
  <c r="AG265" i="80" s="1"/>
  <c r="AG179" i="80" a="1"/>
  <c r="AG179" i="80" s="1"/>
  <c r="AG253" i="80" s="1" a="1"/>
  <c r="AG253" i="80" s="1"/>
  <c r="O177" i="80" a="1"/>
  <c r="O177" i="80" s="1"/>
  <c r="O235" i="80" s="1" a="1"/>
  <c r="O235" i="80" s="1"/>
  <c r="O181" i="80" a="1"/>
  <c r="O181" i="80" s="1"/>
  <c r="O239" i="80" s="1" a="1"/>
  <c r="O239" i="80" s="1"/>
  <c r="G177" i="80" a="1"/>
  <c r="G177" i="80" s="1"/>
  <c r="G235" i="80" s="1" a="1"/>
  <c r="G235" i="80" s="1"/>
  <c r="G181" i="80" a="1"/>
  <c r="G181" i="80" s="1"/>
  <c r="G239" i="80" s="1" a="1"/>
  <c r="G239" i="80" s="1"/>
  <c r="G178" i="80" a="1"/>
  <c r="G178" i="80" s="1"/>
  <c r="G236" i="80" s="1" a="1"/>
  <c r="G236" i="80" s="1"/>
  <c r="G182" i="80" a="1"/>
  <c r="G182" i="80" s="1"/>
  <c r="G240" i="80" s="1" a="1"/>
  <c r="G240" i="80" s="1"/>
  <c r="N178" i="80" a="1"/>
  <c r="N178" i="80" s="1"/>
  <c r="N236" i="80" s="1" a="1"/>
  <c r="N236" i="80" s="1"/>
  <c r="N182" i="80" a="1"/>
  <c r="N182" i="80" s="1"/>
  <c r="N240" i="80" s="1" a="1"/>
  <c r="N240" i="80" s="1"/>
  <c r="G183" i="80" a="1"/>
  <c r="G183" i="80" s="1"/>
  <c r="G241" i="80" s="1" a="1"/>
  <c r="G241" i="80" s="1"/>
  <c r="G179" i="80" a="1"/>
  <c r="G179" i="80" s="1"/>
  <c r="G237" i="80" s="1" a="1"/>
  <c r="G237" i="80" s="1"/>
  <c r="Y194" i="80" a="1"/>
  <c r="Y194" i="80" s="1"/>
  <c r="Y268" i="80" s="1" a="1"/>
  <c r="Y268" i="80" s="1"/>
  <c r="Y182" i="80" a="1"/>
  <c r="Y182" i="80" s="1"/>
  <c r="Y256" i="80" s="1" a="1"/>
  <c r="Y256" i="80" s="1"/>
  <c r="AE36" i="80" a="1"/>
  <c r="AE36" i="80" s="1"/>
  <c r="AC84" i="80" s="1" a="1"/>
  <c r="AC84" i="80" s="1"/>
  <c r="AC139" i="80" s="1" a="1"/>
  <c r="AC139" i="80" s="1"/>
  <c r="Z186" i="80" a="1"/>
  <c r="Z186" i="80" s="1"/>
  <c r="Z260" i="80" s="1" a="1"/>
  <c r="Z260" i="80" s="1"/>
  <c r="Z198" i="80" a="1"/>
  <c r="Z198" i="80" s="1"/>
  <c r="Z272" i="80" s="1" a="1"/>
  <c r="Z272" i="80" s="1"/>
  <c r="H30" i="80"/>
  <c r="L30" i="80" s="1" a="1"/>
  <c r="L30" i="80" s="1"/>
  <c r="H84" i="80" s="1" a="1"/>
  <c r="H84" i="80" s="1"/>
  <c r="H131" i="80" s="1" a="1"/>
  <c r="H131" i="80" s="1"/>
  <c r="AC178" i="80" a="1"/>
  <c r="AC178" i="80" s="1"/>
  <c r="AC252" i="80" s="1" a="1"/>
  <c r="AC252" i="80" s="1"/>
  <c r="AC190" i="80" a="1"/>
  <c r="AC190" i="80" s="1"/>
  <c r="AC264" i="80" s="1" a="1"/>
  <c r="AC264" i="80" s="1"/>
  <c r="AF186" i="80" a="1"/>
  <c r="AF186" i="80" s="1"/>
  <c r="AF260" i="80" s="1" a="1"/>
  <c r="AF260" i="80" s="1"/>
  <c r="AF198" i="80" a="1"/>
  <c r="AF198" i="80" s="1"/>
  <c r="AF272" i="80" s="1" a="1"/>
  <c r="AF272" i="80" s="1"/>
  <c r="AG195" i="80" a="1"/>
  <c r="AG195" i="80" s="1"/>
  <c r="AG269" i="80" s="1" a="1"/>
  <c r="AG269" i="80" s="1"/>
  <c r="AG183" i="80" a="1"/>
  <c r="AG183" i="80" s="1"/>
  <c r="AG257" i="80" s="1" a="1"/>
  <c r="AG257" i="80" s="1"/>
  <c r="M177" i="80" a="1"/>
  <c r="M177" i="80" s="1"/>
  <c r="M235" i="80" s="1" a="1"/>
  <c r="M235" i="80" s="1"/>
  <c r="M181" i="80" a="1"/>
  <c r="M181" i="80" s="1"/>
  <c r="M239" i="80" s="1" a="1"/>
  <c r="M239" i="80" s="1"/>
  <c r="F182" i="80" a="1"/>
  <c r="F182" i="80" s="1"/>
  <c r="F240" i="80" s="1" a="1"/>
  <c r="F240" i="80" s="1"/>
  <c r="F178" i="80" a="1"/>
  <c r="F178" i="80" s="1"/>
  <c r="F236" i="80" s="1" a="1"/>
  <c r="F236" i="80" s="1"/>
  <c r="AF180" i="80" a="1"/>
  <c r="AF180" i="80" s="1"/>
  <c r="AF254" i="80" s="1" a="1"/>
  <c r="AF254" i="80" s="1"/>
  <c r="AF192" i="80" a="1"/>
  <c r="AF192" i="80" s="1"/>
  <c r="AF266" i="80" s="1" a="1"/>
  <c r="AF266" i="80" s="1"/>
  <c r="F184" i="80" a="1"/>
  <c r="F184" i="80" s="1"/>
  <c r="F242" i="80" s="1" a="1"/>
  <c r="F242" i="80" s="1"/>
  <c r="F180" i="80" a="1"/>
  <c r="F180" i="80" s="1"/>
  <c r="F238" i="80" s="1" a="1"/>
  <c r="F238" i="80" s="1"/>
  <c r="AE33" i="80" a="1"/>
  <c r="AE33" i="80" s="1"/>
  <c r="AC81" i="80" s="1" a="1"/>
  <c r="AC81" i="80" s="1"/>
  <c r="AC136" i="80" s="1" a="1"/>
  <c r="AC136" i="80" s="1"/>
  <c r="AD33" i="80" a="1"/>
  <c r="AD33" i="80" s="1"/>
  <c r="AB81" i="80" s="1" a="1"/>
  <c r="AB81" i="80" s="1"/>
  <c r="AB136" i="80" s="1" a="1"/>
  <c r="AB136" i="80" s="1"/>
  <c r="AC33" i="80" a="1"/>
  <c r="AC33" i="80" s="1"/>
  <c r="AA81" i="80" s="1" a="1"/>
  <c r="AA81" i="80" s="1"/>
  <c r="AA136" i="80" s="1" a="1"/>
  <c r="AA136" i="80" s="1"/>
  <c r="Y185" i="80" a="1"/>
  <c r="Y185" i="80" s="1"/>
  <c r="Y259" i="80" s="1" a="1"/>
  <c r="Y259" i="80" s="1"/>
  <c r="Y197" i="80" a="1"/>
  <c r="Y197" i="80" s="1"/>
  <c r="Y271" i="80" s="1" a="1"/>
  <c r="Y271" i="80" s="1"/>
  <c r="F177" i="80" a="1"/>
  <c r="F177" i="80" s="1"/>
  <c r="F235" i="80" s="1" a="1"/>
  <c r="F235" i="80" s="1"/>
  <c r="F181" i="80" a="1"/>
  <c r="F181" i="80" s="1"/>
  <c r="F239" i="80" s="1" a="1"/>
  <c r="F239" i="80" s="1"/>
  <c r="AG193" i="80" a="1"/>
  <c r="AG193" i="80" s="1"/>
  <c r="AG267" i="80" s="1" a="1"/>
  <c r="AG267" i="80" s="1"/>
  <c r="AG181" i="80" a="1"/>
  <c r="AG181" i="80" s="1"/>
  <c r="AG255" i="80" s="1" a="1"/>
  <c r="AG255" i="80" s="1"/>
  <c r="Y195" i="80" a="1"/>
  <c r="Y195" i="80" s="1"/>
  <c r="Y269" i="80" s="1" a="1"/>
  <c r="Y269" i="80" s="1"/>
  <c r="Y183" i="80" a="1"/>
  <c r="Y183" i="80" s="1"/>
  <c r="Y257" i="80" s="1" a="1"/>
  <c r="Y257" i="80" s="1"/>
  <c r="AG200" i="80" a="1"/>
  <c r="AG200" i="80" s="1"/>
  <c r="AG274" i="80" s="1" a="1"/>
  <c r="AG274" i="80" s="1"/>
  <c r="AG188" i="80" a="1"/>
  <c r="AG188" i="80" s="1"/>
  <c r="AG262" i="80" s="1" a="1"/>
  <c r="AG262" i="80" s="1"/>
  <c r="AA196" i="80" a="1"/>
  <c r="AA196" i="80" s="1"/>
  <c r="AA270" i="80" s="1" a="1"/>
  <c r="AA270" i="80" s="1"/>
  <c r="AA184" i="80" a="1"/>
  <c r="AA184" i="80" s="1"/>
  <c r="AA258" i="80" s="1" a="1"/>
  <c r="AA258" i="80" s="1"/>
  <c r="AB191" i="80" a="1"/>
  <c r="AB191" i="80" s="1"/>
  <c r="AB265" i="80" s="1" a="1"/>
  <c r="AB265" i="80" s="1"/>
  <c r="AB179" i="80" a="1"/>
  <c r="AB179" i="80" s="1"/>
  <c r="AB253" i="80" s="1" a="1"/>
  <c r="AB253" i="80" s="1"/>
  <c r="AE32" i="80" a="1"/>
  <c r="AE32" i="80" s="1"/>
  <c r="AC80" i="80" s="1" a="1"/>
  <c r="AC80" i="80" s="1"/>
  <c r="AC135" i="80" s="1" a="1"/>
  <c r="AC135" i="80" s="1"/>
  <c r="AE192" i="80" a="1"/>
  <c r="AE192" i="80" s="1"/>
  <c r="AE266" i="80" s="1" a="1"/>
  <c r="AE266" i="80" s="1"/>
  <c r="AE180" i="80" a="1"/>
  <c r="AE180" i="80" s="1"/>
  <c r="AE254" i="80" s="1" a="1"/>
  <c r="AE254" i="80" s="1"/>
  <c r="AA187" i="80" a="1"/>
  <c r="AA187" i="80" s="1"/>
  <c r="AA261" i="80" s="1" a="1"/>
  <c r="AA261" i="80" s="1"/>
  <c r="AA199" i="80" a="1"/>
  <c r="AA199" i="80" s="1"/>
  <c r="AA273" i="80" s="1" a="1"/>
  <c r="AA273" i="80" s="1"/>
  <c r="AE34" i="80" a="1"/>
  <c r="AE34" i="80" s="1"/>
  <c r="AC82" i="80" s="1" a="1"/>
  <c r="AC82" i="80" s="1"/>
  <c r="AC137" i="80" s="1" a="1"/>
  <c r="AC137" i="80" s="1"/>
  <c r="AD34" i="80" a="1"/>
  <c r="AD34" i="80" s="1"/>
  <c r="AB82" i="80" s="1" a="1"/>
  <c r="AB82" i="80" s="1"/>
  <c r="AB137" i="80" s="1" a="1"/>
  <c r="AB137" i="80" s="1"/>
  <c r="AE197" i="80" a="1"/>
  <c r="AE197" i="80" s="1"/>
  <c r="AE271" i="80" s="1" a="1"/>
  <c r="AE271" i="80" s="1"/>
  <c r="AE185" i="80" a="1"/>
  <c r="AE185" i="80" s="1"/>
  <c r="AE259" i="80" s="1" a="1"/>
  <c r="AE259" i="80" s="1"/>
  <c r="Y193" i="80" a="1"/>
  <c r="Y193" i="80" s="1"/>
  <c r="Y267" i="80" s="1" a="1"/>
  <c r="Y267" i="80" s="1"/>
  <c r="Y181" i="80" a="1"/>
  <c r="Y181" i="80" s="1"/>
  <c r="Y255" i="80" s="1" a="1"/>
  <c r="Y255" i="80" s="1"/>
  <c r="Y200" i="80" a="1"/>
  <c r="Y200" i="80" s="1"/>
  <c r="Y274" i="80" s="1" a="1"/>
  <c r="Y274" i="80" s="1"/>
  <c r="Y188" i="80" a="1"/>
  <c r="Y188" i="80" s="1"/>
  <c r="Y262" i="80" s="1" a="1"/>
  <c r="Y262" i="80" s="1"/>
  <c r="AE195" i="80" a="1"/>
  <c r="AE195" i="80" s="1"/>
  <c r="AE269" i="80" s="1" a="1"/>
  <c r="AE269" i="80" s="1"/>
  <c r="AE183" i="80" a="1"/>
  <c r="AE183" i="80" s="1"/>
  <c r="AE257" i="80" s="1" a="1"/>
  <c r="AE257" i="80" s="1"/>
  <c r="AA182" i="80" a="1"/>
  <c r="AA182" i="80" s="1"/>
  <c r="AA256" i="80" s="1" a="1"/>
  <c r="AA256" i="80" s="1"/>
  <c r="AA194" i="80" a="1"/>
  <c r="AA194" i="80" s="1"/>
  <c r="AA268" i="80" s="1" a="1"/>
  <c r="AA268" i="80" s="1"/>
  <c r="O184" i="80" a="1"/>
  <c r="O184" i="80" s="1"/>
  <c r="O242" i="80" s="1" a="1"/>
  <c r="O242" i="80" s="1"/>
  <c r="O180" i="80" a="1"/>
  <c r="O180" i="80" s="1"/>
  <c r="O238" i="80" s="1" a="1"/>
  <c r="O238" i="80" s="1"/>
  <c r="G184" i="80" a="1"/>
  <c r="G184" i="80" s="1"/>
  <c r="G242" i="80" s="1" a="1"/>
  <c r="G242" i="80" s="1"/>
  <c r="G180" i="80" a="1"/>
  <c r="G180" i="80" s="1"/>
  <c r="G238" i="80" s="1" a="1"/>
  <c r="G238" i="80" s="1"/>
  <c r="AA189" i="80" a="1"/>
  <c r="AA189" i="80" s="1"/>
  <c r="AA263" i="80" s="1" a="1"/>
  <c r="AA263" i="80" s="1"/>
  <c r="AA177" i="80" a="1"/>
  <c r="AA177" i="80" s="1"/>
  <c r="AA251" i="80" s="1" a="1"/>
  <c r="AA251" i="80" s="1"/>
  <c r="AA198" i="80" a="1"/>
  <c r="AA198" i="80" s="1"/>
  <c r="AA272" i="80" s="1" a="1"/>
  <c r="AA272" i="80" s="1"/>
  <c r="AA186" i="80" a="1"/>
  <c r="AA186" i="80" s="1"/>
  <c r="AA260" i="80" s="1" a="1"/>
  <c r="AA260" i="80" s="1"/>
  <c r="AA179" i="80" a="1"/>
  <c r="AA179" i="80" s="1"/>
  <c r="AA253" i="80" s="1" a="1"/>
  <c r="AA253" i="80" s="1"/>
  <c r="AA191" i="80" a="1"/>
  <c r="AA191" i="80" s="1"/>
  <c r="AA265" i="80" s="1" a="1"/>
  <c r="AA265" i="80" s="1"/>
  <c r="Y39" i="80" a="1"/>
  <c r="Y39" i="80" s="1"/>
  <c r="O149" i="78"/>
  <c r="I146" i="78"/>
  <c r="AA28" i="77" a="1"/>
  <c r="AA28" i="77" s="1"/>
  <c r="Y76" i="77" s="1" a="1"/>
  <c r="Y76" i="77" s="1"/>
  <c r="Y97" i="77" s="1" a="1"/>
  <c r="Y97" i="77" s="1"/>
  <c r="Y149" i="77" s="1" a="1"/>
  <c r="Y149" i="77" s="1"/>
  <c r="H146" i="78"/>
  <c r="P149" i="78"/>
  <c r="I147" i="78"/>
  <c r="O124" i="79"/>
  <c r="N121" i="79"/>
  <c r="O121" i="79" s="1"/>
  <c r="N124" i="79"/>
  <c r="V149" i="77" a="1"/>
  <c r="V149" i="77" s="1"/>
  <c r="P148" i="78"/>
  <c r="L147" i="78"/>
  <c r="K148" i="78"/>
  <c r="AC35" i="77" a="1"/>
  <c r="AC35" i="77" s="1"/>
  <c r="AA83" i="77" s="1" a="1"/>
  <c r="AA83" i="77" s="1"/>
  <c r="AA104" i="77" s="1" a="1"/>
  <c r="AA104" i="77" s="1"/>
  <c r="AA156" i="77" s="1" a="1"/>
  <c r="AA156" i="77" s="1"/>
  <c r="H149" i="78"/>
  <c r="G148" i="78"/>
  <c r="I149" i="78"/>
  <c r="E123" i="77" a="1"/>
  <c r="E123" i="77" s="1"/>
  <c r="E128" i="77" s="1"/>
  <c r="H148" i="78"/>
  <c r="M149" i="78"/>
  <c r="L149" i="78"/>
  <c r="G146" i="78"/>
  <c r="G149" i="78"/>
  <c r="K146" i="78"/>
  <c r="J146" i="78"/>
  <c r="J148" i="78"/>
  <c r="N147" i="78"/>
  <c r="L146" i="78"/>
  <c r="P146" i="78"/>
  <c r="O147" i="78"/>
  <c r="P147" i="78"/>
  <c r="M148" i="78"/>
  <c r="N146" i="78"/>
  <c r="N148" i="78"/>
  <c r="M146" i="78"/>
  <c r="L148" i="78"/>
  <c r="K147" i="78"/>
  <c r="K149" i="78"/>
  <c r="O146" i="78"/>
  <c r="O148" i="78"/>
  <c r="N149" i="78"/>
  <c r="G147" i="78"/>
  <c r="AC32" i="77" a="1"/>
  <c r="AC32" i="77" s="1"/>
  <c r="AA80" i="77" s="1" a="1"/>
  <c r="AA80" i="77" s="1"/>
  <c r="AA101" i="77" s="1" a="1"/>
  <c r="AA101" i="77" s="1"/>
  <c r="AA153" i="77" s="1" a="1"/>
  <c r="AA153" i="77" s="1"/>
  <c r="AB32" i="77" a="1"/>
  <c r="AB32" i="77" s="1"/>
  <c r="Z80" i="77" s="1" a="1"/>
  <c r="Z80" i="77" s="1"/>
  <c r="Z101" i="77" s="1" a="1"/>
  <c r="Z101" i="77" s="1"/>
  <c r="Z153" i="77" s="1" a="1"/>
  <c r="Z153" i="77" s="1"/>
  <c r="AA32" i="77" a="1"/>
  <c r="AA32" i="77" s="1"/>
  <c r="Y80" i="77" s="1" a="1"/>
  <c r="Y80" i="77" s="1"/>
  <c r="Y101" i="77" s="1" a="1"/>
  <c r="Y101" i="77" s="1"/>
  <c r="Y153" i="77" s="1" a="1"/>
  <c r="Y153" i="77" s="1"/>
  <c r="AB34" i="77" a="1"/>
  <c r="AB34" i="77" s="1"/>
  <c r="Z82" i="77" s="1" a="1"/>
  <c r="Z82" i="77" s="1"/>
  <c r="Z103" i="77" s="1" a="1"/>
  <c r="Z103" i="77" s="1"/>
  <c r="Z155" i="77" s="1" a="1"/>
  <c r="Z155" i="77" s="1"/>
  <c r="AA34" i="77" a="1"/>
  <c r="AA34" i="77" s="1"/>
  <c r="Y82" i="77" s="1" a="1"/>
  <c r="Y82" i="77" s="1"/>
  <c r="Y103" i="77" s="1" a="1"/>
  <c r="Y103" i="77" s="1"/>
  <c r="Y155" i="77" s="1" a="1"/>
  <c r="Y155" i="77" s="1"/>
  <c r="AB37" i="77" a="1"/>
  <c r="AB37" i="77" s="1"/>
  <c r="Z85" i="77" s="1" a="1"/>
  <c r="Z85" i="77" s="1"/>
  <c r="Z106" i="77" s="1" a="1"/>
  <c r="Z106" i="77" s="1"/>
  <c r="Z158" i="77" s="1" a="1"/>
  <c r="Z158" i="77" s="1"/>
  <c r="AA37" i="77" a="1"/>
  <c r="AA37" i="77" s="1"/>
  <c r="Y85" i="77" s="1" a="1"/>
  <c r="Y85" i="77" s="1"/>
  <c r="Y106" i="77" s="1" a="1"/>
  <c r="Y106" i="77" s="1"/>
  <c r="Y158" i="77" s="1" a="1"/>
  <c r="Y158" i="77" s="1"/>
  <c r="AC37" i="77" a="1"/>
  <c r="AC37" i="77" s="1"/>
  <c r="AA85" i="77" s="1" a="1"/>
  <c r="AA85" i="77" s="1"/>
  <c r="AA106" i="77" s="1" a="1"/>
  <c r="AA106" i="77" s="1"/>
  <c r="AA158" i="77" s="1" a="1"/>
  <c r="AA158" i="77" s="1"/>
  <c r="AB38" i="77" a="1"/>
  <c r="AB38" i="77" s="1"/>
  <c r="Z86" i="77" s="1" a="1"/>
  <c r="Z86" i="77" s="1"/>
  <c r="Z107" i="77" s="1" a="1"/>
  <c r="Z107" i="77" s="1"/>
  <c r="Z159" i="77" s="1" a="1"/>
  <c r="Z159" i="77" s="1"/>
  <c r="AA38" i="77" a="1"/>
  <c r="AA38" i="77" s="1"/>
  <c r="Y86" i="77" s="1" a="1"/>
  <c r="Y86" i="77" s="1"/>
  <c r="Y107" i="77" s="1" a="1"/>
  <c r="Y107" i="77" s="1"/>
  <c r="Y159" i="77" s="1" a="1"/>
  <c r="Y159" i="77" s="1"/>
  <c r="AC38" i="77" a="1"/>
  <c r="AC38" i="77" s="1"/>
  <c r="AA86" i="77" s="1" a="1"/>
  <c r="AA86" i="77" s="1"/>
  <c r="AA107" i="77" s="1" a="1"/>
  <c r="AA107" i="77" s="1"/>
  <c r="AA159" i="77" s="1" a="1"/>
  <c r="AA159" i="77" s="1"/>
  <c r="AB35" i="77" a="1"/>
  <c r="AB35" i="77" s="1"/>
  <c r="Z83" i="77" s="1" a="1"/>
  <c r="Z83" i="77" s="1"/>
  <c r="Z104" i="77" s="1" a="1"/>
  <c r="Z104" i="77" s="1"/>
  <c r="Z156" i="77" s="1" a="1"/>
  <c r="Z156" i="77" s="1"/>
  <c r="AB29" i="77" a="1"/>
  <c r="AB29" i="77" s="1"/>
  <c r="Z77" i="77" s="1" a="1"/>
  <c r="Z77" i="77" s="1"/>
  <c r="Z98" i="77" s="1" a="1"/>
  <c r="Z98" i="77" s="1"/>
  <c r="Z150" i="77" s="1" a="1"/>
  <c r="Z150" i="77" s="1"/>
  <c r="AA29" i="77" a="1"/>
  <c r="AA29" i="77" s="1"/>
  <c r="Y77" i="77" s="1" a="1"/>
  <c r="Y77" i="77" s="1"/>
  <c r="Y98" i="77" s="1" a="1"/>
  <c r="Y98" i="77" s="1"/>
  <c r="Y150" i="77" s="1" a="1"/>
  <c r="Y150" i="77" s="1"/>
  <c r="AC29" i="77" a="1"/>
  <c r="AC29" i="77" s="1"/>
  <c r="AA77" i="77" s="1" a="1"/>
  <c r="AA77" i="77" s="1"/>
  <c r="AA98" i="77" s="1" a="1"/>
  <c r="AA98" i="77" s="1"/>
  <c r="AA150" i="77" s="1" a="1"/>
  <c r="AA150" i="77" s="1"/>
  <c r="AC31" i="77" a="1"/>
  <c r="AC31" i="77" s="1"/>
  <c r="AA79" i="77" s="1" a="1"/>
  <c r="AA79" i="77" s="1"/>
  <c r="AA100" i="77" s="1" a="1"/>
  <c r="AA100" i="77" s="1"/>
  <c r="AA152" i="77" s="1" a="1"/>
  <c r="AA152" i="77" s="1"/>
  <c r="AB31" i="77" a="1"/>
  <c r="AB31" i="77" s="1"/>
  <c r="Z79" i="77" s="1" a="1"/>
  <c r="Z79" i="77" s="1"/>
  <c r="Z100" i="77" s="1" a="1"/>
  <c r="Z100" i="77" s="1"/>
  <c r="Z152" i="77" s="1" a="1"/>
  <c r="Z152" i="77" s="1"/>
  <c r="AA31" i="77" a="1"/>
  <c r="AA31" i="77" s="1"/>
  <c r="Y79" i="77" s="1" a="1"/>
  <c r="Y79" i="77" s="1"/>
  <c r="Y100" i="77" s="1" a="1"/>
  <c r="Y100" i="77" s="1"/>
  <c r="Y152" i="77" s="1" a="1"/>
  <c r="Y152" i="77" s="1"/>
  <c r="AC39" i="77" a="1"/>
  <c r="AC39" i="77" s="1"/>
  <c r="AA87" i="77" s="1" a="1"/>
  <c r="AA87" i="77" s="1"/>
  <c r="AA108" i="77" s="1" a="1"/>
  <c r="AA108" i="77" s="1"/>
  <c r="AA160" i="77" s="1" a="1"/>
  <c r="AA160" i="77" s="1"/>
  <c r="AB39" i="77" a="1"/>
  <c r="AB39" i="77" s="1"/>
  <c r="Z87" i="77" s="1" a="1"/>
  <c r="Z87" i="77" s="1"/>
  <c r="Z108" i="77" s="1" a="1"/>
  <c r="Z108" i="77" s="1"/>
  <c r="Z160" i="77" s="1" a="1"/>
  <c r="Z160" i="77" s="1"/>
  <c r="AA39" i="77" a="1"/>
  <c r="AA39" i="77" s="1"/>
  <c r="Y87" i="77" s="1" a="1"/>
  <c r="Y87" i="77" s="1"/>
  <c r="Y108" i="77" s="1" a="1"/>
  <c r="Y108" i="77" s="1"/>
  <c r="Y160" i="77" s="1" a="1"/>
  <c r="Y160" i="77" s="1"/>
  <c r="AC30" i="77" a="1"/>
  <c r="AC30" i="77" s="1"/>
  <c r="AA78" i="77" s="1" a="1"/>
  <c r="AA78" i="77" s="1"/>
  <c r="AA99" i="77" s="1" a="1"/>
  <c r="AA99" i="77" s="1"/>
  <c r="AA151" i="77" s="1" a="1"/>
  <c r="AA151" i="77" s="1"/>
  <c r="AB30" i="77" a="1"/>
  <c r="AB30" i="77" s="1"/>
  <c r="Z78" i="77" s="1" a="1"/>
  <c r="Z78" i="77" s="1"/>
  <c r="Z99" i="77" s="1" a="1"/>
  <c r="Z99" i="77" s="1"/>
  <c r="Z151" i="77" s="1" a="1"/>
  <c r="Z151" i="77" s="1"/>
  <c r="AA30" i="77" a="1"/>
  <c r="AA30" i="77" s="1"/>
  <c r="Y78" i="77" s="1" a="1"/>
  <c r="Y78" i="77" s="1"/>
  <c r="Y99" i="77" s="1" a="1"/>
  <c r="Y99" i="77" s="1"/>
  <c r="Y151" i="77" s="1" a="1"/>
  <c r="Y151" i="77" s="1"/>
  <c r="AB28" i="77" a="1"/>
  <c r="AB28" i="77" s="1"/>
  <c r="Z76" i="77" s="1" a="1"/>
  <c r="Z76" i="77" s="1"/>
  <c r="Z97" i="77" s="1" a="1"/>
  <c r="Z97" i="77" s="1"/>
  <c r="Z149" i="77" s="1" a="1"/>
  <c r="Z149" i="77" s="1"/>
  <c r="O124" i="76"/>
  <c r="N123" i="76"/>
  <c r="O123" i="76"/>
  <c r="G62" i="13"/>
  <c r="L36" i="81" l="1" a="1"/>
  <c r="L36" i="81" s="1"/>
  <c r="L35" i="81" a="1"/>
  <c r="L35" i="81" s="1"/>
  <c r="AC39" i="81" a="1"/>
  <c r="AC39" i="81" s="1"/>
  <c r="L34" i="81" a="1"/>
  <c r="L34" i="81" s="1"/>
  <c r="AC38" i="81" a="1"/>
  <c r="AC38" i="81" s="1"/>
  <c r="AC42" i="81" a="1"/>
  <c r="AC42" i="81" s="1"/>
  <c r="AC43" i="81" a="1"/>
  <c r="AC43" i="81" s="1"/>
  <c r="AC36" i="81" a="1"/>
  <c r="AC36" i="81" s="1"/>
  <c r="AC45" i="81" a="1"/>
  <c r="AC45" i="81" s="1"/>
  <c r="AC41" i="81" a="1"/>
  <c r="AC41" i="81" s="1"/>
  <c r="L33" i="81" a="1"/>
  <c r="L33" i="81" s="1"/>
  <c r="AC37" i="81" a="1"/>
  <c r="AC37" i="81" s="1"/>
  <c r="AC44" i="81" a="1"/>
  <c r="AC44" i="81" s="1"/>
  <c r="AC47" i="81" a="1"/>
  <c r="AC47" i="81" s="1"/>
  <c r="AC40" i="81" a="1"/>
  <c r="AC40" i="81" s="1"/>
  <c r="AC46" i="81" a="1"/>
  <c r="AC46" i="81" s="1"/>
  <c r="M34" i="81" a="1"/>
  <c r="M34" i="81" s="1"/>
  <c r="AD45" i="81" a="1"/>
  <c r="AD45" i="81" s="1"/>
  <c r="AD37" i="81" a="1"/>
  <c r="AD37" i="81" s="1"/>
  <c r="M36" i="81" a="1"/>
  <c r="M36" i="81" s="1"/>
  <c r="AD36" i="81" a="1"/>
  <c r="AD36" i="81" s="1"/>
  <c r="AD39" i="81" a="1"/>
  <c r="AD39" i="81" s="1"/>
  <c r="M35" i="81" a="1"/>
  <c r="M35" i="81" s="1"/>
  <c r="AD40" i="81" a="1"/>
  <c r="AD40" i="81" s="1"/>
  <c r="AD43" i="81" a="1"/>
  <c r="AD43" i="81" s="1"/>
  <c r="AD38" i="81" a="1"/>
  <c r="AD38" i="81" s="1"/>
  <c r="M33" i="81" a="1"/>
  <c r="M33" i="81" s="1"/>
  <c r="AD46" i="81" a="1"/>
  <c r="AD46" i="81" s="1"/>
  <c r="AD42" i="81" a="1"/>
  <c r="AD42" i="81" s="1"/>
  <c r="AD41" i="81" a="1"/>
  <c r="AD41" i="81" s="1"/>
  <c r="AD47" i="81" a="1"/>
  <c r="AD47" i="81" s="1"/>
  <c r="AD44" i="81" a="1"/>
  <c r="AD44" i="81" s="1"/>
  <c r="AE43" i="81" a="1"/>
  <c r="AE43" i="81" s="1"/>
  <c r="N33" i="81" a="1"/>
  <c r="N33" i="81" s="1"/>
  <c r="E79" i="89"/>
  <c r="G81" i="89" s="1"/>
  <c r="E84" i="89" s="1" a="1"/>
  <c r="E84" i="89" s="1"/>
  <c r="E19" i="13" a="1"/>
  <c r="E19" i="13" s="1"/>
  <c r="H19" i="13" s="1" a="1"/>
  <c r="H19" i="13" s="1"/>
  <c r="T33" i="100"/>
  <c r="O40" i="100" s="1" a="1"/>
  <c r="O40" i="100" s="1"/>
  <c r="F18" i="13" s="1" a="1"/>
  <c r="F18" i="13" s="1"/>
  <c r="I18" i="13" s="1" a="1"/>
  <c r="I18" i="13" s="1"/>
  <c r="O25" i="101"/>
  <c r="S25" i="101" s="1" a="1"/>
  <c r="S25" i="101" s="1"/>
  <c r="N46" i="101" s="1"/>
  <c r="O46" i="101" s="1" a="1"/>
  <c r="O46" i="101" s="1"/>
  <c r="O48" i="101" s="1"/>
  <c r="Q50" i="101" s="1"/>
  <c r="O53" i="101" s="1" a="1"/>
  <c r="O53" i="101" s="1"/>
  <c r="E61" i="96"/>
  <c r="E62" i="96"/>
  <c r="V50" i="85" a="1"/>
  <c r="V50" i="85" s="1"/>
  <c r="E146" i="89"/>
  <c r="E16" i="13" s="1" a="1"/>
  <c r="E16" i="13" s="1"/>
  <c r="F16" i="13" s="1"/>
  <c r="I16" i="13" s="1" a="1"/>
  <c r="I16" i="13" s="1"/>
  <c r="E63" i="96"/>
  <c r="AB181" i="80" a="1"/>
  <c r="AB181" i="80" s="1"/>
  <c r="AB255" i="80" s="1" a="1"/>
  <c r="AB255" i="80" s="1"/>
  <c r="E52" i="97"/>
  <c r="E46" i="97"/>
  <c r="E45" i="97"/>
  <c r="E56" i="96"/>
  <c r="E46" i="96"/>
  <c r="E70" i="96" s="1"/>
  <c r="E43" i="90"/>
  <c r="J89" i="90" s="1"/>
  <c r="E50" i="97"/>
  <c r="E43" i="97"/>
  <c r="E55" i="96"/>
  <c r="E51" i="97"/>
  <c r="E44" i="97"/>
  <c r="E49" i="97"/>
  <c r="E43" i="96"/>
  <c r="E44" i="96"/>
  <c r="E45" i="96"/>
  <c r="E57" i="96"/>
  <c r="E77" i="90"/>
  <c r="J90" i="90" s="1"/>
  <c r="H15" i="13"/>
  <c r="L95" i="81" a="1"/>
  <c r="L95" i="81" s="1"/>
  <c r="E78" i="86"/>
  <c r="E13" i="13" s="1" a="1"/>
  <c r="E13" i="13" s="1"/>
  <c r="F13" i="13" s="1"/>
  <c r="I13" i="13" s="1"/>
  <c r="F14" i="13"/>
  <c r="I14" i="13" s="1" a="1"/>
  <c r="I14" i="13" s="1"/>
  <c r="H14" i="13" a="1"/>
  <c r="H14" i="13" s="1"/>
  <c r="AB108" i="81" a="1"/>
  <c r="AB108" i="81" s="1"/>
  <c r="L32" i="80" a="1"/>
  <c r="L32" i="80" s="1"/>
  <c r="H86" i="80" s="1" a="1"/>
  <c r="H86" i="80" s="1"/>
  <c r="H133" i="80" s="1" a="1"/>
  <c r="H133" i="80" s="1"/>
  <c r="I183" i="80" s="1" a="1"/>
  <c r="I183" i="80" s="1"/>
  <c r="I241" i="80" s="1" a="1"/>
  <c r="I241" i="80" s="1"/>
  <c r="N32" i="80" a="1"/>
  <c r="N32" i="80" s="1"/>
  <c r="J86" i="80" s="1" a="1"/>
  <c r="J86" i="80" s="1"/>
  <c r="J133" i="80" s="1" a="1"/>
  <c r="J133" i="80" s="1"/>
  <c r="K183" i="80" s="1" a="1"/>
  <c r="K183" i="80" s="1"/>
  <c r="K241" i="80" s="1" a="1"/>
  <c r="K241" i="80" s="1"/>
  <c r="G19" i="85" a="1"/>
  <c r="G19" i="85" s="1"/>
  <c r="E60" i="85" s="1" a="1"/>
  <c r="E60" i="85" s="1"/>
  <c r="E80" i="85" s="1"/>
  <c r="G82" i="85" s="1"/>
  <c r="E85" i="85" s="1" a="1"/>
  <c r="E85" i="85" s="1"/>
  <c r="P82" i="85" a="1"/>
  <c r="P82" i="85" s="1"/>
  <c r="N88" i="85" s="1"/>
  <c r="F12" i="13" s="1" a="1"/>
  <c r="F12" i="13" s="1"/>
  <c r="I12" i="13" s="1" a="1"/>
  <c r="I12" i="13" s="1"/>
  <c r="K182" i="80" a="1"/>
  <c r="K182" i="80" s="1"/>
  <c r="K240" i="80" s="1" a="1"/>
  <c r="K240" i="80" s="1"/>
  <c r="AA108" i="81" a="1"/>
  <c r="AA108" i="81" s="1"/>
  <c r="J183" i="80" a="1"/>
  <c r="J183" i="80" s="1"/>
  <c r="J241" i="80" s="1" a="1"/>
  <c r="J241" i="80" s="1"/>
  <c r="J95" i="81" a="1"/>
  <c r="J95" i="81" s="1"/>
  <c r="I178" i="80" a="1"/>
  <c r="I178" i="80" s="1"/>
  <c r="I236" i="80" s="1" a="1"/>
  <c r="I236" i="80" s="1"/>
  <c r="AA109" i="81" a="1"/>
  <c r="AA109" i="81" s="1"/>
  <c r="AC109" i="81" a="1"/>
  <c r="AC109" i="81" s="1"/>
  <c r="AB109" i="81" a="1"/>
  <c r="AB109" i="81" s="1"/>
  <c r="AA107" i="81" a="1"/>
  <c r="AA107" i="81" s="1"/>
  <c r="AC107" i="81" a="1"/>
  <c r="AC107" i="81" s="1"/>
  <c r="AB107" i="81" a="1"/>
  <c r="AB107" i="81" s="1"/>
  <c r="K98" i="81" a="1"/>
  <c r="K98" i="81" s="1"/>
  <c r="J98" i="81" a="1"/>
  <c r="J98" i="81" s="1"/>
  <c r="L98" i="81" a="1"/>
  <c r="L98" i="81" s="1"/>
  <c r="AB100" i="81" a="1"/>
  <c r="AB100" i="81" s="1"/>
  <c r="AA100" i="81" a="1"/>
  <c r="AA100" i="81" s="1"/>
  <c r="AC100" i="81" a="1"/>
  <c r="AC100" i="81" s="1"/>
  <c r="AB111" i="81" a="1"/>
  <c r="AB111" i="81" s="1"/>
  <c r="AA111" i="81" a="1"/>
  <c r="AA111" i="81" s="1"/>
  <c r="AC111" i="81" a="1"/>
  <c r="AC111" i="81" s="1"/>
  <c r="I181" i="80" a="1"/>
  <c r="I181" i="80" s="1"/>
  <c r="I239" i="80" s="1" a="1"/>
  <c r="I239" i="80" s="1"/>
  <c r="I177" i="80" a="1"/>
  <c r="I177" i="80" s="1"/>
  <c r="I235" i="80" s="1" a="1"/>
  <c r="I235" i="80" s="1"/>
  <c r="AD186" i="80" a="1"/>
  <c r="AD186" i="80" s="1"/>
  <c r="AD260" i="80" s="1" a="1"/>
  <c r="AD260" i="80" s="1"/>
  <c r="AD198" i="80" a="1"/>
  <c r="AD198" i="80" s="1"/>
  <c r="AD272" i="80" s="1" a="1"/>
  <c r="AD272" i="80" s="1"/>
  <c r="AC196" i="80" a="1"/>
  <c r="AC196" i="80" s="1"/>
  <c r="AC270" i="80" s="1" a="1"/>
  <c r="AC270" i="80" s="1"/>
  <c r="AC184" i="80" a="1"/>
  <c r="AC184" i="80" s="1"/>
  <c r="AC258" i="80" s="1" a="1"/>
  <c r="AC258" i="80" s="1"/>
  <c r="AD181" i="80" a="1"/>
  <c r="AD181" i="80" s="1"/>
  <c r="AD255" i="80" s="1" a="1"/>
  <c r="AD255" i="80" s="1"/>
  <c r="AD193" i="80" a="1"/>
  <c r="AD193" i="80" s="1"/>
  <c r="AD267" i="80" s="1" a="1"/>
  <c r="AD267" i="80" s="1"/>
  <c r="AD184" i="80" a="1"/>
  <c r="AD184" i="80" s="1"/>
  <c r="AD258" i="80" s="1" a="1"/>
  <c r="AD258" i="80" s="1"/>
  <c r="AD196" i="80" a="1"/>
  <c r="AD196" i="80" s="1"/>
  <c r="AD270" i="80" s="1" a="1"/>
  <c r="AD270" i="80" s="1"/>
  <c r="AE39" i="80" a="1"/>
  <c r="AE39" i="80" s="1"/>
  <c r="AC87" i="80" s="1" a="1"/>
  <c r="AC87" i="80" s="1"/>
  <c r="AC142" i="80" s="1" a="1"/>
  <c r="AC142" i="80" s="1"/>
  <c r="AD39" i="80" a="1"/>
  <c r="AD39" i="80" s="1"/>
  <c r="AB87" i="80" s="1" a="1"/>
  <c r="AB87" i="80" s="1"/>
  <c r="AB142" i="80" s="1" a="1"/>
  <c r="AB142" i="80" s="1"/>
  <c r="AC39" i="80" a="1"/>
  <c r="AC39" i="80" s="1"/>
  <c r="AA87" i="80" s="1" a="1"/>
  <c r="AA87" i="80" s="1"/>
  <c r="AA142" i="80" s="1" a="1"/>
  <c r="AA142" i="80" s="1"/>
  <c r="AB197" i="80" a="1"/>
  <c r="AB197" i="80" s="1"/>
  <c r="AB271" i="80" s="1" a="1"/>
  <c r="AB271" i="80" s="1"/>
  <c r="AB185" i="80" a="1"/>
  <c r="AB185" i="80" s="1"/>
  <c r="AB259" i="80" s="1" a="1"/>
  <c r="AB259" i="80" s="1"/>
  <c r="J182" i="80" a="1"/>
  <c r="J182" i="80" s="1"/>
  <c r="J240" i="80" s="1" a="1"/>
  <c r="J240" i="80" s="1"/>
  <c r="J178" i="80" a="1"/>
  <c r="J178" i="80" s="1"/>
  <c r="J236" i="80" s="1" a="1"/>
  <c r="J236" i="80" s="1"/>
  <c r="AE38" i="80" a="1"/>
  <c r="AE38" i="80" s="1"/>
  <c r="AC86" i="80" s="1" a="1"/>
  <c r="AC86" i="80" s="1"/>
  <c r="AC141" i="80" s="1" a="1"/>
  <c r="AC141" i="80" s="1"/>
  <c r="AD38" i="80" a="1"/>
  <c r="AD38" i="80" s="1"/>
  <c r="AB86" i="80" s="1" a="1"/>
  <c r="AB86" i="80" s="1"/>
  <c r="AB141" i="80" s="1" a="1"/>
  <c r="AB141" i="80" s="1"/>
  <c r="AC38" i="80" a="1"/>
  <c r="AC38" i="80" s="1"/>
  <c r="AA86" i="80" s="1" a="1"/>
  <c r="AA86" i="80" s="1"/>
  <c r="AA141" i="80" s="1" a="1"/>
  <c r="AA141" i="80" s="1"/>
  <c r="AC185" i="80" a="1"/>
  <c r="AC185" i="80" s="1"/>
  <c r="AC259" i="80" s="1" a="1"/>
  <c r="AC259" i="80" s="1"/>
  <c r="AC197" i="80" a="1"/>
  <c r="AC197" i="80" s="1"/>
  <c r="AC271" i="80" s="1" a="1"/>
  <c r="AC271" i="80" s="1"/>
  <c r="AB192" i="80" a="1"/>
  <c r="AB192" i="80" s="1"/>
  <c r="AB266" i="80" s="1" a="1"/>
  <c r="AB266" i="80" s="1"/>
  <c r="AB180" i="80" a="1"/>
  <c r="AB180" i="80" s="1"/>
  <c r="AB254" i="80" s="1" a="1"/>
  <c r="AB254" i="80" s="1"/>
  <c r="AE28" i="80" a="1"/>
  <c r="AE28" i="80" s="1"/>
  <c r="AC76" i="80" s="1" a="1"/>
  <c r="AC76" i="80" s="1"/>
  <c r="AC131" i="80" s="1" a="1"/>
  <c r="AC131" i="80" s="1"/>
  <c r="AD28" i="80" a="1"/>
  <c r="AD28" i="80" s="1"/>
  <c r="AB76" i="80" s="1" a="1"/>
  <c r="AB76" i="80" s="1"/>
  <c r="AB131" i="80" s="1" a="1"/>
  <c r="AB131" i="80" s="1"/>
  <c r="AC28" i="80" a="1"/>
  <c r="AC28" i="80" s="1"/>
  <c r="AA76" i="80" s="1" a="1"/>
  <c r="AA76" i="80" s="1"/>
  <c r="AA131" i="80" s="1" a="1"/>
  <c r="AA131" i="80" s="1"/>
  <c r="AB194" i="80" a="1"/>
  <c r="AB194" i="80" s="1"/>
  <c r="AB268" i="80" s="1" a="1"/>
  <c r="AB268" i="80" s="1"/>
  <c r="AB182" i="80" a="1"/>
  <c r="AB182" i="80" s="1"/>
  <c r="AB256" i="80" s="1" a="1"/>
  <c r="AB256" i="80" s="1"/>
  <c r="AB186" i="80" a="1"/>
  <c r="AB186" i="80" s="1"/>
  <c r="AB260" i="80" s="1" a="1"/>
  <c r="AB260" i="80" s="1"/>
  <c r="AB198" i="80" a="1"/>
  <c r="AB198" i="80" s="1"/>
  <c r="AB272" i="80" s="1" a="1"/>
  <c r="AB272" i="80" s="1"/>
  <c r="AC192" i="80" a="1"/>
  <c r="AC192" i="80" s="1"/>
  <c r="AC266" i="80" s="1" a="1"/>
  <c r="AC266" i="80" s="1"/>
  <c r="AC180" i="80" a="1"/>
  <c r="AC180" i="80" s="1"/>
  <c r="AC254" i="80" s="1" a="1"/>
  <c r="AC254" i="80" s="1"/>
  <c r="AC182" i="80" a="1"/>
  <c r="AC182" i="80" s="1"/>
  <c r="AC256" i="80" s="1" a="1"/>
  <c r="AC256" i="80" s="1"/>
  <c r="AC194" i="80" a="1"/>
  <c r="AC194" i="80" s="1"/>
  <c r="AC268" i="80" s="1" a="1"/>
  <c r="AC268" i="80" s="1"/>
  <c r="AC198" i="80" a="1"/>
  <c r="AC198" i="80" s="1"/>
  <c r="AC272" i="80" s="1" a="1"/>
  <c r="AC272" i="80" s="1"/>
  <c r="AC186" i="80" a="1"/>
  <c r="AC186" i="80" s="1"/>
  <c r="AC260" i="80" s="1" a="1"/>
  <c r="AC260" i="80" s="1"/>
  <c r="AD192" i="80" a="1"/>
  <c r="AD192" i="80" s="1"/>
  <c r="AD266" i="80" s="1" a="1"/>
  <c r="AD266" i="80" s="1"/>
  <c r="AD180" i="80" a="1"/>
  <c r="AD180" i="80" s="1"/>
  <c r="AD254" i="80" s="1" a="1"/>
  <c r="AD254" i="80" s="1"/>
  <c r="N30" i="80" a="1"/>
  <c r="N30" i="80" s="1"/>
  <c r="J84" i="80" s="1" a="1"/>
  <c r="J84" i="80" s="1"/>
  <c r="J131" i="80" s="1" a="1"/>
  <c r="J131" i="80" s="1"/>
  <c r="M30" i="80" a="1"/>
  <c r="M30" i="80" s="1"/>
  <c r="I84" i="80" s="1" a="1"/>
  <c r="I84" i="80" s="1"/>
  <c r="I131" i="80" s="1" a="1"/>
  <c r="I131" i="80" s="1"/>
  <c r="AB196" i="80" a="1"/>
  <c r="AB196" i="80" s="1"/>
  <c r="AB270" i="80" s="1" a="1"/>
  <c r="AB270" i="80" s="1"/>
  <c r="AB184" i="80" a="1"/>
  <c r="AB184" i="80" s="1"/>
  <c r="AB258" i="80" s="1" a="1"/>
  <c r="AB258" i="80" s="1"/>
  <c r="AD182" i="80" a="1"/>
  <c r="AD182" i="80" s="1"/>
  <c r="AD256" i="80" s="1" a="1"/>
  <c r="AD256" i="80" s="1"/>
  <c r="AD194" i="80" a="1"/>
  <c r="AD194" i="80" s="1"/>
  <c r="AD268" i="80" s="1" a="1"/>
  <c r="AD268" i="80" s="1"/>
  <c r="J180" i="80" a="1"/>
  <c r="J180" i="80" s="1"/>
  <c r="J238" i="80" s="1" a="1"/>
  <c r="J238" i="80" s="1"/>
  <c r="J184" i="80" a="1"/>
  <c r="J184" i="80" s="1"/>
  <c r="J242" i="80" s="1" a="1"/>
  <c r="J242" i="80" s="1"/>
  <c r="AC195" i="80" a="1"/>
  <c r="AC195" i="80" s="1"/>
  <c r="AC269" i="80" s="1" a="1"/>
  <c r="AC269" i="80" s="1"/>
  <c r="AC183" i="80" a="1"/>
  <c r="AC183" i="80" s="1"/>
  <c r="AC257" i="80" s="1" a="1"/>
  <c r="AC257" i="80" s="1"/>
  <c r="K180" i="80" a="1"/>
  <c r="K180" i="80" s="1"/>
  <c r="K238" i="80" s="1" a="1"/>
  <c r="K238" i="80" s="1"/>
  <c r="K184" i="80" a="1"/>
  <c r="K184" i="80" s="1"/>
  <c r="K242" i="80" s="1" a="1"/>
  <c r="K242" i="80" s="1"/>
  <c r="AD183" i="80" a="1"/>
  <c r="AD183" i="80" s="1"/>
  <c r="AD257" i="80" s="1" a="1"/>
  <c r="AD257" i="80" s="1"/>
  <c r="AD195" i="80" a="1"/>
  <c r="AD195" i="80" s="1"/>
  <c r="AD269" i="80" s="1" a="1"/>
  <c r="AD269" i="80" s="1"/>
  <c r="AD185" i="80" a="1"/>
  <c r="AD185" i="80" s="1"/>
  <c r="AD259" i="80" s="1" a="1"/>
  <c r="AD259" i="80" s="1"/>
  <c r="AD197" i="80" a="1"/>
  <c r="AD197" i="80" s="1"/>
  <c r="AD271" i="80" s="1" a="1"/>
  <c r="AD271" i="80" s="1"/>
  <c r="V161" i="77"/>
  <c r="X163" i="77" s="1"/>
  <c r="V166" i="77" s="1" a="1"/>
  <c r="V166" i="77" s="1"/>
  <c r="G130" i="77"/>
  <c r="E133" i="77" s="1" a="1"/>
  <c r="E133" i="77" s="1"/>
  <c r="E7" i="13" a="1"/>
  <c r="E7" i="13" s="1"/>
  <c r="H7" i="13" s="1" a="1"/>
  <c r="H7" i="13" s="1"/>
  <c r="Q42" i="100" l="1"/>
  <c r="O45" i="100" s="1" a="1"/>
  <c r="O45" i="100" s="1"/>
  <c r="F19" i="13" a="1"/>
  <c r="F19" i="13" s="1"/>
  <c r="I19" i="13" s="1" a="1"/>
  <c r="I19" i="13" s="1"/>
  <c r="H16" i="13" a="1"/>
  <c r="H16" i="13" s="1"/>
  <c r="G148" i="89"/>
  <c r="E151" i="89" s="1" a="1"/>
  <c r="E151" i="89" s="1"/>
  <c r="E58" i="97"/>
  <c r="E67" i="96"/>
  <c r="E20" i="13" s="1" a="1"/>
  <c r="E20" i="13" s="1"/>
  <c r="H20" i="13" s="1"/>
  <c r="E68" i="96"/>
  <c r="E21" i="13" s="1" a="1"/>
  <c r="E21" i="13" s="1"/>
  <c r="F21" i="13" s="1"/>
  <c r="I21" i="13" s="1" a="1"/>
  <c r="I21" i="13" s="1"/>
  <c r="E55" i="97"/>
  <c r="E23" i="13" s="1" a="1"/>
  <c r="E23" i="13" s="1"/>
  <c r="F23" i="13" s="1"/>
  <c r="I23" i="13" s="1"/>
  <c r="E94" i="90" a="1"/>
  <c r="E94" i="90" s="1"/>
  <c r="E17" i="13" s="1" a="1"/>
  <c r="E17" i="13" s="1"/>
  <c r="F17" i="13" s="1"/>
  <c r="I17" i="13" s="1" a="1"/>
  <c r="I17" i="13" s="1"/>
  <c r="E56" i="97"/>
  <c r="E24" i="13" s="1" a="1"/>
  <c r="E24" i="13" s="1"/>
  <c r="E57" i="97"/>
  <c r="E25" i="13" s="1" a="1"/>
  <c r="E25" i="13" s="1"/>
  <c r="E69" i="96"/>
  <c r="E22" i="13" s="1" a="1"/>
  <c r="E22" i="13" s="1"/>
  <c r="I179" i="80" a="1"/>
  <c r="I179" i="80" s="1"/>
  <c r="I237" i="80" s="1" a="1"/>
  <c r="I237" i="80" s="1"/>
  <c r="E12" i="13" a="1"/>
  <c r="E12" i="13" s="1"/>
  <c r="H12" i="13" s="1" a="1"/>
  <c r="H12" i="13" s="1"/>
  <c r="H13" i="13"/>
  <c r="K179" i="80" a="1"/>
  <c r="K179" i="80" s="1"/>
  <c r="K237" i="80" s="1" a="1"/>
  <c r="K237" i="80" s="1"/>
  <c r="P90" i="85"/>
  <c r="N93" i="85" s="1" a="1"/>
  <c r="N93" i="85" s="1"/>
  <c r="AB189" i="80" a="1"/>
  <c r="AB189" i="80" s="1"/>
  <c r="AB263" i="80" s="1" a="1"/>
  <c r="AB263" i="80" s="1"/>
  <c r="AB177" i="80" a="1"/>
  <c r="AB177" i="80" s="1"/>
  <c r="AB251" i="80" s="1" a="1"/>
  <c r="AB251" i="80" s="1"/>
  <c r="AB188" i="80" a="1"/>
  <c r="AB188" i="80" s="1"/>
  <c r="AB262" i="80" s="1" a="1"/>
  <c r="AB262" i="80" s="1"/>
  <c r="AB200" i="80" a="1"/>
  <c r="AB200" i="80" s="1"/>
  <c r="AB274" i="80" s="1" a="1"/>
  <c r="AB274" i="80" s="1"/>
  <c r="AC189" i="80" a="1"/>
  <c r="AC189" i="80" s="1"/>
  <c r="AC263" i="80" s="1" a="1"/>
  <c r="AC263" i="80" s="1"/>
  <c r="AC177" i="80" a="1"/>
  <c r="AC177" i="80" s="1"/>
  <c r="AC251" i="80" s="1" a="1"/>
  <c r="AC251" i="80" s="1"/>
  <c r="AC200" i="80" a="1"/>
  <c r="AC200" i="80" s="1"/>
  <c r="AC274" i="80" s="1" a="1"/>
  <c r="AC274" i="80" s="1"/>
  <c r="AC188" i="80" a="1"/>
  <c r="AC188" i="80" s="1"/>
  <c r="AC262" i="80" s="1" a="1"/>
  <c r="AC262" i="80" s="1"/>
  <c r="AD189" i="80" a="1"/>
  <c r="AD189" i="80" s="1"/>
  <c r="AD263" i="80" s="1" a="1"/>
  <c r="AD263" i="80" s="1"/>
  <c r="AD177" i="80" a="1"/>
  <c r="AD177" i="80" s="1"/>
  <c r="AD251" i="80" s="1" a="1"/>
  <c r="AD251" i="80" s="1"/>
  <c r="AD188" i="80" a="1"/>
  <c r="AD188" i="80" s="1"/>
  <c r="AD262" i="80" s="1" a="1"/>
  <c r="AD262" i="80" s="1"/>
  <c r="AD200" i="80" a="1"/>
  <c r="AD200" i="80" s="1"/>
  <c r="AD274" i="80" s="1" a="1"/>
  <c r="AD274" i="80" s="1"/>
  <c r="AB199" i="80" a="1"/>
  <c r="AB199" i="80" s="1"/>
  <c r="AB273" i="80" s="1" a="1"/>
  <c r="AB273" i="80" s="1"/>
  <c r="AB187" i="80" a="1"/>
  <c r="AB187" i="80" s="1"/>
  <c r="AB261" i="80" s="1" a="1"/>
  <c r="AB261" i="80" s="1"/>
  <c r="AC199" i="80" a="1"/>
  <c r="AC199" i="80" s="1"/>
  <c r="AC273" i="80" s="1" a="1"/>
  <c r="AC273" i="80" s="1"/>
  <c r="AC187" i="80" a="1"/>
  <c r="AC187" i="80" s="1"/>
  <c r="AC261" i="80" s="1" a="1"/>
  <c r="AC261" i="80" s="1"/>
  <c r="AD199" i="80" a="1"/>
  <c r="AD199" i="80" s="1"/>
  <c r="AD273" i="80" s="1" a="1"/>
  <c r="AD273" i="80" s="1"/>
  <c r="AD187" i="80" a="1"/>
  <c r="AD187" i="80" s="1"/>
  <c r="AD261" i="80" s="1" a="1"/>
  <c r="AD261" i="80" s="1"/>
  <c r="J177" i="80" a="1"/>
  <c r="J177" i="80" s="1"/>
  <c r="J235" i="80" s="1" a="1"/>
  <c r="J235" i="80" s="1"/>
  <c r="J181" i="80" a="1"/>
  <c r="J181" i="80" s="1"/>
  <c r="J239" i="80" s="1" a="1"/>
  <c r="J239" i="80" s="1"/>
  <c r="K177" i="80" a="1"/>
  <c r="K177" i="80" s="1"/>
  <c r="K235" i="80" s="1" a="1"/>
  <c r="K235" i="80" s="1"/>
  <c r="K181" i="80" a="1"/>
  <c r="K181" i="80" s="1"/>
  <c r="K239" i="80" s="1" a="1"/>
  <c r="K239" i="80" s="1"/>
  <c r="H23" i="13" l="1"/>
  <c r="F20" i="13"/>
  <c r="I20" i="13" s="1"/>
  <c r="H17" i="13" a="1"/>
  <c r="H17" i="13" s="1"/>
  <c r="G96" i="90"/>
  <c r="E99" i="90" s="1" a="1"/>
  <c r="E99" i="90" s="1"/>
  <c r="H21" i="13" a="1"/>
  <c r="H21" i="13" s="1"/>
  <c r="F25" i="13"/>
  <c r="I25" i="13" s="1" a="1"/>
  <c r="I25" i="13" s="1"/>
  <c r="H25" i="13" a="1"/>
  <c r="H25" i="13" s="1"/>
  <c r="F24" i="13"/>
  <c r="I24" i="13" s="1" a="1"/>
  <c r="I24" i="13" s="1"/>
  <c r="H24" i="13" a="1"/>
  <c r="H24" i="13" s="1"/>
  <c r="F22" i="13"/>
  <c r="I22" i="13" s="1" a="1"/>
  <c r="I22" i="13" s="1"/>
  <c r="H22" i="13" a="1"/>
  <c r="H22" i="13" s="1"/>
  <c r="E244" i="80"/>
  <c r="G246" i="80" s="1"/>
  <c r="E249" i="80" s="1" a="1"/>
  <c r="E249" i="80" s="1"/>
  <c r="X276" i="80"/>
  <c r="Z278" i="80" s="1"/>
  <c r="X281" i="80" s="1" a="1"/>
  <c r="X281" i="80" s="1"/>
  <c r="V63" i="81" l="1"/>
  <c r="AC59" i="81"/>
  <c r="V57" i="81"/>
  <c r="X67" i="81"/>
  <c r="AC64" i="81"/>
  <c r="Z63" i="81"/>
  <c r="Z57" i="81"/>
  <c r="AE65" i="81"/>
  <c r="Y60" i="81"/>
  <c r="AC58" i="81"/>
  <c r="Z58"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X60" i="81" l="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Z73" i="81" a="1"/>
  <c r="Z73" i="81" s="1"/>
  <c r="Z137" i="81" s="1" a="1"/>
  <c r="Z137" i="81" s="1"/>
  <c r="Z197" i="81" s="1" a="1"/>
  <c r="Z197" i="81" s="1"/>
  <c r="Z249" i="81" s="1" a="1"/>
  <c r="Z249" i="81" s="1"/>
  <c r="AC63" i="8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F64" i="81" a="1"/>
  <c r="F64" i="81" s="1"/>
  <c r="F129" i="81" s="1" a="1"/>
  <c r="F129" i="81" s="1"/>
  <c r="F171" i="81" s="1" a="1"/>
  <c r="F171" i="81" s="1"/>
  <c r="F209" i="81" s="1" a="1"/>
  <c r="F209" i="81" s="1"/>
  <c r="X73" i="81" a="1"/>
  <c r="X73" i="81" s="1"/>
  <c r="X137" i="81" s="1" a="1"/>
  <c r="X137" i="81" s="1"/>
  <c r="X197" i="81" s="1" a="1"/>
  <c r="X197" i="81" s="1"/>
  <c r="X249" i="81" s="1" a="1"/>
  <c r="X249" i="81" s="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Z79" i="81" a="1"/>
  <c r="Z79" i="81" s="1"/>
  <c r="Z143" i="81" s="1" a="1"/>
  <c r="Z143" i="81" s="1"/>
  <c r="Z203" i="81" s="1" a="1"/>
  <c r="Z203" i="81" s="1"/>
  <c r="Z255" i="81" s="1" a="1"/>
  <c r="Z255" i="81" s="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E65" i="81" a="1"/>
  <c r="E65" i="81" s="1"/>
  <c r="E130" i="81" s="1" a="1"/>
  <c r="E130" i="81" s="1"/>
  <c r="E172" i="81" s="1" a="1"/>
  <c r="E172" i="81" s="1"/>
  <c r="E210" i="81" s="1" a="1"/>
  <c r="E210" i="81" s="1"/>
  <c r="AD59" i="81"/>
  <c r="K64" i="81" a="1"/>
  <c r="K64" i="81" s="1"/>
  <c r="K129" i="81" s="1" a="1"/>
  <c r="K129" i="81" s="1"/>
  <c r="K171" i="81" s="1" a="1"/>
  <c r="K171" i="81" s="1"/>
  <c r="K209" i="81" s="1" a="1"/>
  <c r="K209"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Y74" i="81" a="1"/>
  <c r="Y74" i="81" s="1"/>
  <c r="Y138" i="81" s="1" a="1"/>
  <c r="Y138" i="81" s="1"/>
  <c r="Y198" i="81" s="1" a="1"/>
  <c r="Y198" i="81" s="1"/>
  <c r="Y250" i="81" s="1" a="1"/>
  <c r="Y250" i="81" s="1"/>
  <c r="AC80" i="81" a="1"/>
  <c r="AC80" i="81" s="1"/>
  <c r="AC144" i="81" s="1" a="1"/>
  <c r="AC144" i="81" s="1"/>
  <c r="AC204" i="81" s="1" a="1"/>
  <c r="AC204" i="81" s="1"/>
  <c r="AC256" i="81" s="1" a="1"/>
  <c r="AC256" i="81" s="1"/>
  <c r="I65" i="81" a="1"/>
  <c r="I65" i="81" s="1"/>
  <c r="I130" i="81" s="1" a="1"/>
  <c r="I130" i="81" s="1"/>
  <c r="I172" i="81" s="1" a="1"/>
  <c r="I172" i="81" s="1"/>
  <c r="I210" i="81" s="1" a="1"/>
  <c r="I210" i="81" s="1"/>
  <c r="J56" i="81"/>
  <c r="M62" i="81" a="1"/>
  <c r="M62" i="81" s="1"/>
  <c r="M127" i="81" s="1" a="1"/>
  <c r="M127" i="81" s="1"/>
  <c r="M169" i="81" s="1" a="1"/>
  <c r="M169" i="81" s="1"/>
  <c r="M207" i="81" s="1" a="1"/>
  <c r="M207" i="81" s="1"/>
  <c r="AE56" i="81"/>
  <c r="H64" i="81" a="1"/>
  <c r="H64" i="81" s="1"/>
  <c r="H129" i="81" s="1" a="1"/>
  <c r="H129" i="81" s="1"/>
  <c r="H171" i="81" s="1" a="1"/>
  <c r="H171" i="81" s="1"/>
  <c r="H209" i="81" s="1" a="1"/>
  <c r="H209" i="81" s="1"/>
  <c r="E54" i="81"/>
  <c r="AE57"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AB60" i="81"/>
  <c r="J62" i="81" a="1"/>
  <c r="J62" i="81" s="1"/>
  <c r="J127" i="81" s="1" a="1"/>
  <c r="J127" i="81" s="1"/>
  <c r="J169" i="81" s="1" a="1"/>
  <c r="J169" i="81" s="1"/>
  <c r="J207" i="81" s="1" a="1"/>
  <c r="J207" i="81" s="1"/>
  <c r="G62" i="81" a="1"/>
  <c r="G62" i="81" s="1"/>
  <c r="G127" i="81" s="1" a="1"/>
  <c r="G127" i="81" s="1"/>
  <c r="G169" i="81" s="1" a="1"/>
  <c r="G169" i="81" s="1"/>
  <c r="G207" i="81" s="1" a="1"/>
  <c r="G207"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Z74" i="81" a="1"/>
  <c r="Z74" i="81" s="1"/>
  <c r="Z138" i="81" s="1" a="1"/>
  <c r="Z138" i="81" s="1"/>
  <c r="Z198" i="81" s="1" a="1"/>
  <c r="Z198" i="81" s="1"/>
  <c r="Z250" i="81" s="1" a="1"/>
  <c r="Z250" i="81" s="1"/>
  <c r="X83" i="81" a="1"/>
  <c r="X83" i="81" s="1"/>
  <c r="X147" i="81" s="1" a="1"/>
  <c r="X147" i="81" s="1"/>
  <c r="X207" i="81" s="1" a="1"/>
  <c r="X207" i="81" s="1"/>
  <c r="X259" i="81" s="1" a="1"/>
  <c r="X259" i="81" s="1"/>
  <c r="G63" i="81" a="1"/>
  <c r="G63" i="81" s="1"/>
  <c r="G128" i="81" s="1" a="1"/>
  <c r="G128" i="81" s="1"/>
  <c r="G170" i="81" s="1" a="1"/>
  <c r="G170" i="81" s="1"/>
  <c r="G208" i="81" s="1" a="1"/>
  <c r="G208" i="81" s="1"/>
  <c r="V76" i="81" a="1"/>
  <c r="V76" i="81" s="1"/>
  <c r="V140" i="81" s="1" a="1"/>
  <c r="V140" i="81" s="1"/>
  <c r="V200" i="81" s="1" a="1"/>
  <c r="V200" i="81" s="1"/>
  <c r="V252" i="81" s="1" a="1"/>
  <c r="V252" i="81" s="1"/>
  <c r="AC61" i="81"/>
  <c r="W76" i="81" a="1"/>
  <c r="W76" i="81" s="1"/>
  <c r="W140" i="81" s="1" a="1"/>
  <c r="W140" i="81" s="1"/>
  <c r="W200" i="81" s="1" a="1"/>
  <c r="W200" i="81" s="1"/>
  <c r="W252" i="81" s="1" a="1"/>
  <c r="W252" i="81" s="1"/>
  <c r="J63" i="81" a="1"/>
  <c r="J63" i="81" s="1"/>
  <c r="J128" i="81" s="1" a="1"/>
  <c r="J128" i="81" s="1"/>
  <c r="J170" i="81" s="1" a="1"/>
  <c r="J170" i="81" s="1"/>
  <c r="J208" i="81" s="1" a="1"/>
  <c r="J208" i="81" s="1"/>
  <c r="J65" i="81" a="1"/>
  <c r="J65" i="81" s="1"/>
  <c r="J130" i="81" s="1" a="1"/>
  <c r="J130" i="81" s="1"/>
  <c r="J172" i="81" s="1" a="1"/>
  <c r="J172" i="81" s="1"/>
  <c r="J210" i="81" s="1" a="1"/>
  <c r="J210" i="81" s="1"/>
  <c r="K55" i="81"/>
  <c r="F63" i="81" a="1"/>
  <c r="F63" i="81" s="1"/>
  <c r="F128" i="81" s="1" a="1"/>
  <c r="F128" i="81" s="1"/>
  <c r="F170" i="81" s="1" a="1"/>
  <c r="F170" i="81" s="1"/>
  <c r="F208" i="81" s="1" a="1"/>
  <c r="F208" i="81" s="1"/>
  <c r="M63" i="81" a="1"/>
  <c r="M63" i="81" s="1"/>
  <c r="M128" i="81" s="1" a="1"/>
  <c r="M128" i="81" s="1"/>
  <c r="M170" i="81" s="1" a="1"/>
  <c r="M170" i="81" s="1"/>
  <c r="M208" i="81" s="1" a="1"/>
  <c r="M208" i="81" s="1"/>
  <c r="AA78" i="81" a="1"/>
  <c r="AA78" i="81" s="1"/>
  <c r="AA142" i="81" s="1" a="1"/>
  <c r="AA142" i="81" s="1"/>
  <c r="AA202" i="81" s="1" a="1"/>
  <c r="AA202" i="81" s="1"/>
  <c r="AA254" i="81" s="1" a="1"/>
  <c r="AA254"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AC74" i="81" a="1"/>
  <c r="AC74" i="81" s="1"/>
  <c r="AC138" i="81" s="1" a="1"/>
  <c r="AC138" i="81" s="1"/>
  <c r="AC198" i="81" s="1" a="1"/>
  <c r="AC198" i="81" s="1"/>
  <c r="AC250" i="81" s="1" a="1"/>
  <c r="AC250" i="81" s="1"/>
  <c r="V73" i="81" a="1"/>
  <c r="V73" i="81" s="1"/>
  <c r="V137" i="81" s="1" a="1"/>
  <c r="V137" i="81" s="1"/>
  <c r="V197" i="81" s="1" a="1"/>
  <c r="V197" i="81" s="1"/>
  <c r="V249" i="81" s="1" a="1"/>
  <c r="V249"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AC65" i="81"/>
  <c r="V59" i="81"/>
  <c r="AC78" i="81" a="1"/>
  <c r="AC78" i="81" s="1"/>
  <c r="AC142" i="81" s="1" a="1"/>
  <c r="AC142" i="81" s="1"/>
  <c r="AC202" i="81" s="1" a="1"/>
  <c r="AC202" i="81" s="1"/>
  <c r="AC254" i="81" s="1" a="1"/>
  <c r="AC254"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Y76" i="81" a="1"/>
  <c r="Y76" i="81" s="1"/>
  <c r="Y140" i="81" s="1" a="1"/>
  <c r="Y140" i="81" s="1"/>
  <c r="Y200" i="81" s="1" a="1"/>
  <c r="Y200" i="81" s="1"/>
  <c r="Y252" i="81" s="1" a="1"/>
  <c r="Y252" i="81" s="1"/>
  <c r="AC75" i="81" a="1"/>
  <c r="AC75" i="81" s="1"/>
  <c r="AC139" i="81" s="1" a="1"/>
  <c r="AC139" i="81" s="1"/>
  <c r="AC199" i="81" s="1" a="1"/>
  <c r="AC199" i="81" s="1"/>
  <c r="AC251" i="81" s="1" a="1"/>
  <c r="AC251" i="81" s="1"/>
  <c r="H65" i="81" a="1"/>
  <c r="H65" i="81" s="1"/>
  <c r="H130" i="81" s="1" a="1"/>
  <c r="H130" i="81" s="1"/>
  <c r="H172" i="81" s="1" a="1"/>
  <c r="H172" i="81" s="1"/>
  <c r="H210" i="81" s="1" a="1"/>
  <c r="H210" i="81" s="1"/>
  <c r="E64" i="81" a="1"/>
  <c r="E64" i="81" s="1"/>
  <c r="E129" i="81" s="1" a="1"/>
  <c r="E129" i="81" s="1"/>
  <c r="E171" i="81" s="1" a="1"/>
  <c r="E171" i="81" s="1"/>
  <c r="E209" i="81" s="1" a="1"/>
  <c r="E209" i="81" s="1"/>
  <c r="Z75" i="81" a="1"/>
  <c r="Z75" i="81" s="1"/>
  <c r="Z139" i="81" s="1" a="1"/>
  <c r="Z139" i="81" s="1"/>
  <c r="Z199" i="81" s="1" a="1"/>
  <c r="Z199" i="81" s="1"/>
  <c r="Z251" i="81" s="1" a="1"/>
  <c r="Z251"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F62" i="81" a="1"/>
  <c r="F62" i="81" s="1"/>
  <c r="F127" i="81" s="1" a="1"/>
  <c r="F127" i="81" s="1"/>
  <c r="F169" i="81" s="1" a="1"/>
  <c r="F169" i="81" s="1"/>
  <c r="F207" i="81" s="1" a="1"/>
  <c r="F207"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E81" i="81" a="1"/>
  <c r="AE81" i="81" s="1"/>
  <c r="AE145" i="81" s="1" a="1"/>
  <c r="AE145" i="81" s="1"/>
  <c r="AE205" i="81" s="1" a="1"/>
  <c r="AE205" i="81" s="1"/>
  <c r="AE257" i="81" s="1" a="1"/>
  <c r="AE257" i="81" s="1"/>
  <c r="V79" i="81" a="1"/>
  <c r="V79" i="81" s="1"/>
  <c r="V143" i="81" s="1" a="1"/>
  <c r="V143" i="81" s="1"/>
  <c r="V203" i="81" s="1" a="1"/>
  <c r="V203" i="81" s="1"/>
  <c r="V255" i="81" s="1" a="1"/>
  <c r="V255" i="81" s="1"/>
  <c r="H63" i="81" a="1"/>
  <c r="H63" i="81" s="1"/>
  <c r="H128" i="81" s="1" a="1"/>
  <c r="H128" i="81" s="1"/>
  <c r="H170" i="81" s="1" a="1"/>
  <c r="H170" i="81" s="1"/>
  <c r="H208" i="81" s="1" a="1"/>
  <c r="H208" i="81" s="1"/>
  <c r="L65" i="81" a="1"/>
  <c r="L65" i="81" s="1"/>
  <c r="L130" i="81" s="1" a="1"/>
  <c r="L130" i="81" s="1"/>
  <c r="L172" i="81" s="1" a="1"/>
  <c r="L172" i="81" s="1"/>
  <c r="L210" i="81" s="1" a="1"/>
  <c r="L210"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5" i="81" l="1" a="1"/>
  <c r="Y75" i="81" s="1"/>
  <c r="Y139" i="81" s="1" a="1"/>
  <c r="Y139" i="81" s="1"/>
  <c r="Y199" i="81" s="1" a="1"/>
  <c r="Y199" i="81" s="1"/>
  <c r="Y251" i="81" s="1" a="1"/>
  <c r="Y251" i="81" s="1"/>
  <c r="AC77" i="81" a="1"/>
  <c r="AC77" i="81" s="1"/>
  <c r="AC141" i="81" s="1" a="1"/>
  <c r="AC141" i="81" s="1"/>
  <c r="AC201" i="81" s="1" a="1"/>
  <c r="AC201" i="81" s="1"/>
  <c r="AC253" i="81" s="1" a="1"/>
  <c r="AC253" i="81" s="1"/>
  <c r="V72" i="81" a="1"/>
  <c r="V72" i="81" s="1"/>
  <c r="V136" i="81" s="1" a="1"/>
  <c r="V136" i="81" s="1"/>
  <c r="V196" i="81" s="1" a="1"/>
  <c r="V196" i="81" s="1"/>
  <c r="V248" i="81" s="1" a="1"/>
  <c r="V248" i="81" s="1"/>
  <c r="AA75" i="81" a="1"/>
  <c r="AA75" i="81" s="1"/>
  <c r="AA139" i="81" s="1" a="1"/>
  <c r="AA139" i="81" s="1"/>
  <c r="AA199" i="81" s="1" a="1"/>
  <c r="AA199" i="81" s="1"/>
  <c r="AA251" i="81" s="1" a="1"/>
  <c r="AA251" i="81" s="1"/>
  <c r="Y80" i="81" a="1"/>
  <c r="Y80" i="81" s="1"/>
  <c r="Y144" i="81" s="1" a="1"/>
  <c r="Y144" i="81" s="1"/>
  <c r="Y204" i="81" s="1" a="1"/>
  <c r="Y204" i="81" s="1"/>
  <c r="Y256" i="81" s="1" a="1"/>
  <c r="Y256" i="81" s="1"/>
  <c r="AB72" i="81" a="1"/>
  <c r="AB72" i="81" s="1"/>
  <c r="AB136" i="81" s="1" a="1"/>
  <c r="AB136" i="81" s="1"/>
  <c r="AB196" i="81" s="1" a="1"/>
  <c r="AB196" i="81" s="1"/>
  <c r="AB248" i="81" s="1" a="1"/>
  <c r="AB248" i="81" s="1"/>
  <c r="AE72" i="81" a="1"/>
  <c r="AE72" i="81" s="1"/>
  <c r="AE136" i="81" s="1" a="1"/>
  <c r="AE136" i="81" s="1"/>
  <c r="AE196" i="81" s="1" a="1"/>
  <c r="AE196" i="81" s="1"/>
  <c r="AE248" i="81" s="1" a="1"/>
  <c r="AE248" i="81" s="1"/>
  <c r="AD75" i="81" a="1"/>
  <c r="AD75" i="81" s="1"/>
  <c r="AD139" i="81" s="1" a="1"/>
  <c r="AD139" i="81" s="1"/>
  <c r="AD199" i="81" s="1" a="1"/>
  <c r="AD199" i="81" s="1"/>
  <c r="AD251" i="81" s="1" a="1"/>
  <c r="AD251" i="81" s="1"/>
  <c r="AA74" i="81" a="1"/>
  <c r="AA74" i="81" s="1"/>
  <c r="AA138" i="81" s="1" a="1"/>
  <c r="AA138" i="81" s="1"/>
  <c r="AA198" i="81" s="1" a="1"/>
  <c r="AA198" i="81" s="1"/>
  <c r="AA250" i="81" s="1" a="1"/>
  <c r="AA250" i="81" s="1"/>
  <c r="W82" i="81" a="1"/>
  <c r="W82" i="81" s="1"/>
  <c r="W146" i="81" s="1" a="1"/>
  <c r="W146" i="81" s="1"/>
  <c r="W206" i="81" s="1" a="1"/>
  <c r="W206" i="81" s="1"/>
  <c r="W258" i="81" s="1" a="1"/>
  <c r="W258" i="81" s="1"/>
  <c r="AD83" i="81" a="1"/>
  <c r="AD83" i="81" s="1"/>
  <c r="AD147" i="81" s="1" a="1"/>
  <c r="AD147" i="81" s="1"/>
  <c r="AD207" i="81" s="1" a="1"/>
  <c r="AD207" i="81" s="1"/>
  <c r="AD259" i="81" s="1" a="1"/>
  <c r="AD259" i="81" s="1"/>
  <c r="Z80" i="81" a="1"/>
  <c r="Z80" i="81" s="1"/>
  <c r="Z144" i="81" s="1" a="1"/>
  <c r="Z144" i="81" s="1"/>
  <c r="Z204" i="81" s="1" a="1"/>
  <c r="Z204" i="81" s="1"/>
  <c r="Z256" i="81" s="1" a="1"/>
  <c r="Z256" i="81" s="1"/>
  <c r="AB78" i="81" a="1"/>
  <c r="AB78" i="81" s="1"/>
  <c r="AB142" i="81" s="1" a="1"/>
  <c r="AB142" i="81" s="1"/>
  <c r="AB202" i="81" s="1" a="1"/>
  <c r="AB202" i="81" s="1"/>
  <c r="AB254" i="81" s="1" a="1"/>
  <c r="AB254" i="81" s="1"/>
  <c r="AD79" i="81" a="1"/>
  <c r="AD79" i="81" s="1"/>
  <c r="AD143" i="81" s="1" a="1"/>
  <c r="AD143" i="81" s="1"/>
  <c r="AD203" i="81" s="1" a="1"/>
  <c r="AD203" i="81" s="1"/>
  <c r="AD255" i="81" s="1" a="1"/>
  <c r="AD255" i="81" s="1"/>
  <c r="Y79" i="81" a="1"/>
  <c r="Y79" i="81" s="1"/>
  <c r="Y143" i="81" s="1" a="1"/>
  <c r="Y143" i="81" s="1"/>
  <c r="Y203" i="81" s="1" a="1"/>
  <c r="Y203" i="81" s="1"/>
  <c r="Y255" i="81" s="1" a="1"/>
  <c r="Y255" i="81" s="1"/>
  <c r="K63" i="81" a="1"/>
  <c r="K63" i="81" s="1"/>
  <c r="K128" i="81" s="1" a="1"/>
  <c r="K128" i="81" s="1"/>
  <c r="K170" i="81" s="1" a="1"/>
  <c r="K170" i="81" s="1"/>
  <c r="K208" i="81" s="1" a="1"/>
  <c r="K208" i="81" s="1"/>
  <c r="J64" i="81" a="1"/>
  <c r="J64" i="81" s="1"/>
  <c r="J129" i="81" s="1" a="1"/>
  <c r="J129" i="81" s="1"/>
  <c r="J171" i="81" s="1" a="1"/>
  <c r="J171" i="81" s="1"/>
  <c r="J209" i="81" s="1" a="1"/>
  <c r="J209" i="81" s="1"/>
  <c r="AD73" i="81" a="1"/>
  <c r="AD73" i="81" s="1"/>
  <c r="AD137" i="81" s="1" a="1"/>
  <c r="AD137" i="81" s="1"/>
  <c r="AD197" i="81" s="1" a="1"/>
  <c r="AD197" i="81" s="1"/>
  <c r="AD249" i="81" s="1" a="1"/>
  <c r="AD249" i="81" s="1"/>
  <c r="AA73" i="81" a="1"/>
  <c r="AA73" i="81" s="1"/>
  <c r="AA137" i="81" s="1" a="1"/>
  <c r="AA137" i="81" s="1"/>
  <c r="AA197" i="81" s="1" a="1"/>
  <c r="AA197" i="81" s="1"/>
  <c r="AA249" i="81" s="1" a="1"/>
  <c r="AA249" i="81" s="1"/>
  <c r="Z78" i="81" a="1"/>
  <c r="Z78" i="81" s="1"/>
  <c r="Z142" i="81" s="1" a="1"/>
  <c r="Z142" i="81" s="1"/>
  <c r="Z202" i="81" s="1" a="1"/>
  <c r="Z202" i="81" s="1"/>
  <c r="Z254" i="81" s="1" a="1"/>
  <c r="Z254" i="81" s="1"/>
  <c r="Z76" i="81" a="1"/>
  <c r="Z76" i="81" s="1"/>
  <c r="Z140" i="81" s="1" a="1"/>
  <c r="Z140" i="81" s="1"/>
  <c r="Z200" i="81" s="1" a="1"/>
  <c r="Z200" i="81" s="1"/>
  <c r="Z252" i="81" s="1" a="1"/>
  <c r="Z252" i="81" s="1"/>
  <c r="AD81" i="81" a="1"/>
  <c r="AD81" i="81" s="1"/>
  <c r="AD145" i="81" s="1" a="1"/>
  <c r="AD145" i="81" s="1"/>
  <c r="AD205" i="81" s="1" a="1"/>
  <c r="AD205" i="81" s="1"/>
  <c r="AD257" i="81" s="1" a="1"/>
  <c r="AD257" i="81" s="1"/>
  <c r="V75" i="81" a="1"/>
  <c r="V75" i="81" s="1"/>
  <c r="V139" i="81" s="1" a="1"/>
  <c r="V139" i="81" s="1"/>
  <c r="V199" i="81" s="1" a="1"/>
  <c r="V199" i="81" s="1"/>
  <c r="V251" i="81" s="1" a="1"/>
  <c r="V251" i="81" s="1"/>
  <c r="K65" i="81" a="1"/>
  <c r="K65" i="81" s="1"/>
  <c r="K130" i="81" s="1" a="1"/>
  <c r="K130" i="81" s="1"/>
  <c r="K172" i="81" s="1" a="1"/>
  <c r="K172" i="81" s="1"/>
  <c r="K210" i="81" s="1" a="1"/>
  <c r="K210" i="81" s="1"/>
  <c r="V80" i="81" a="1"/>
  <c r="V80" i="81" s="1"/>
  <c r="V144" i="81" s="1" a="1"/>
  <c r="V144" i="81" s="1"/>
  <c r="V204" i="81" s="1" a="1"/>
  <c r="V204" i="81" s="1"/>
  <c r="V256" i="81" s="1" a="1"/>
  <c r="V256" i="81" s="1"/>
  <c r="AA76" i="81" a="1"/>
  <c r="AA76" i="81" s="1"/>
  <c r="AA140" i="81" s="1" a="1"/>
  <c r="AA140" i="81" s="1"/>
  <c r="AA200" i="81" s="1" a="1"/>
  <c r="AA200" i="81" s="1"/>
  <c r="AA252" i="81" s="1" a="1"/>
  <c r="AA252" i="81" s="1"/>
  <c r="AB77" i="81" a="1"/>
  <c r="AB77" i="81" s="1"/>
  <c r="AB141" i="81" s="1" a="1"/>
  <c r="AB141" i="81" s="1"/>
  <c r="AB201" i="81" s="1" a="1"/>
  <c r="AB201" i="81" s="1"/>
  <c r="AB253" i="81" s="1" a="1"/>
  <c r="AB253" i="81" s="1"/>
  <c r="V77" i="81" a="1"/>
  <c r="V77" i="81" s="1"/>
  <c r="V141" i="81" s="1" a="1"/>
  <c r="V141" i="81" s="1"/>
  <c r="V201" i="81" s="1" a="1"/>
  <c r="V201" i="81" s="1"/>
  <c r="V253" i="81" s="1" a="1"/>
  <c r="V253" i="81" s="1"/>
  <c r="AB75" i="81" a="1"/>
  <c r="AB75" i="81" s="1"/>
  <c r="AB139" i="81" s="1" a="1"/>
  <c r="AB139" i="81" s="1"/>
  <c r="AB199" i="81" s="1" a="1"/>
  <c r="AB199" i="81" s="1"/>
  <c r="AB251" i="81" s="1" a="1"/>
  <c r="AB251" i="81" s="1"/>
  <c r="W83" i="81" a="1"/>
  <c r="W83" i="81" s="1"/>
  <c r="W147" i="81" s="1" a="1"/>
  <c r="W147" i="81" s="1"/>
  <c r="W207" i="81" s="1" a="1"/>
  <c r="W207" i="81" s="1"/>
  <c r="W259" i="81" s="1" a="1"/>
  <c r="W259" i="81" s="1"/>
  <c r="AA81" i="81" a="1"/>
  <c r="AA81" i="81" s="1"/>
  <c r="AA145" i="81" s="1" a="1"/>
  <c r="AA145" i="81" s="1"/>
  <c r="AA205" i="81" s="1" a="1"/>
  <c r="AA205" i="81" s="1"/>
  <c r="AA257" i="81" s="1" a="1"/>
  <c r="AA257" i="81" s="1"/>
  <c r="AE82" i="81" a="1"/>
  <c r="AE82" i="81" s="1"/>
  <c r="AE146" i="81" s="1" a="1"/>
  <c r="AE146" i="81" s="1"/>
  <c r="AE206" i="81" s="1" a="1"/>
  <c r="AE206" i="81" s="1"/>
  <c r="AE258" i="81" s="1" a="1"/>
  <c r="AE258" i="81" s="1"/>
  <c r="AA83" i="81" a="1"/>
  <c r="AA83" i="81" s="1"/>
  <c r="AA147" i="81" s="1" a="1"/>
  <c r="AA147" i="81" s="1"/>
  <c r="AA207" i="81" s="1" a="1"/>
  <c r="AA207" i="81" s="1"/>
  <c r="AA259" i="81" s="1" a="1"/>
  <c r="AA259" i="81" s="1"/>
  <c r="AC81" i="81" a="1"/>
  <c r="AC81" i="81" s="1"/>
  <c r="AC145" i="81" s="1" a="1"/>
  <c r="AC145" i="81" s="1"/>
  <c r="AC205" i="81" s="1" a="1"/>
  <c r="AC205" i="81" s="1"/>
  <c r="AC257" i="81" s="1" a="1"/>
  <c r="AC257" i="81" s="1"/>
  <c r="Y73" i="81" a="1"/>
  <c r="Y73" i="81" s="1"/>
  <c r="Y137" i="81" s="1" a="1"/>
  <c r="Y137" i="81" s="1"/>
  <c r="Y197" i="81" s="1" a="1"/>
  <c r="Y197" i="81" s="1"/>
  <c r="Y249" i="81" s="1" a="1"/>
  <c r="Y249" i="81" s="1"/>
  <c r="AE73" i="81" a="1"/>
  <c r="AE73" i="81" s="1"/>
  <c r="AE137" i="81" s="1" a="1"/>
  <c r="AE137" i="81" s="1"/>
  <c r="AE197" i="81" s="1" a="1"/>
  <c r="AE197" i="81" s="1"/>
  <c r="AE249" i="81" s="1" a="1"/>
  <c r="AE249" i="81" s="1"/>
  <c r="AD78" i="81" a="1"/>
  <c r="AD78" i="81" s="1"/>
  <c r="AD142" i="81" s="1" a="1"/>
  <c r="AD142" i="81" s="1"/>
  <c r="AD202" i="81" s="1" a="1"/>
  <c r="AD202" i="81" s="1"/>
  <c r="AD254" i="81" s="1" a="1"/>
  <c r="AD254" i="81" s="1"/>
  <c r="W75" i="81" a="1"/>
  <c r="W75" i="81" s="1"/>
  <c r="W139" i="81" s="1" a="1"/>
  <c r="W139" i="81" s="1"/>
  <c r="W199" i="81" s="1" a="1"/>
  <c r="W199" i="81" s="1"/>
  <c r="W251" i="81" s="1" a="1"/>
  <c r="W251" i="81" s="1"/>
  <c r="G64" i="81" a="1"/>
  <c r="G64" i="81" s="1"/>
  <c r="G129" i="81" s="1" a="1"/>
  <c r="G129" i="81" s="1"/>
  <c r="G171" i="81" s="1" a="1"/>
  <c r="G171" i="81" s="1"/>
  <c r="G209" i="81" s="1" a="1"/>
  <c r="G209" i="81" s="1"/>
  <c r="AD74" i="81" a="1"/>
  <c r="AD74" i="81" s="1"/>
  <c r="AD138" i="81" s="1" a="1"/>
  <c r="AD138" i="81" s="1"/>
  <c r="AD198" i="81" s="1" a="1"/>
  <c r="AD198" i="81" s="1"/>
  <c r="AD250" i="81" s="1" a="1"/>
  <c r="AD250" i="81" s="1"/>
  <c r="AB76" i="81" a="1"/>
  <c r="AB76" i="81" s="1"/>
  <c r="AB140" i="81" s="1" a="1"/>
  <c r="AB140" i="81" s="1"/>
  <c r="AB200" i="81" s="1" a="1"/>
  <c r="AB200" i="81" s="1"/>
  <c r="AB252" i="81" s="1" a="1"/>
  <c r="AB252" i="81" s="1"/>
  <c r="E62" i="81" a="1"/>
  <c r="E62" i="81" s="1"/>
  <c r="E127" i="81" s="1" a="1"/>
  <c r="E127" i="81" s="1"/>
  <c r="E169" i="81" s="1" a="1"/>
  <c r="E169" i="81" s="1"/>
  <c r="E207" i="81" s="1" a="1"/>
  <c r="E207" i="81" s="1"/>
  <c r="W73" i="81" a="1"/>
  <c r="W73" i="81" s="1"/>
  <c r="W137" i="81" s="1" a="1"/>
  <c r="W137" i="81" s="1"/>
  <c r="W197" i="81" s="1" a="1"/>
  <c r="W197" i="81" s="1"/>
  <c r="W249" i="81" s="1" a="1"/>
  <c r="W249" i="81" s="1"/>
  <c r="Z83" i="81" a="1"/>
  <c r="Z83" i="81" s="1"/>
  <c r="Z147" i="81" s="1" a="1"/>
  <c r="Z147" i="81" s="1"/>
  <c r="Z207" i="81" s="1" a="1"/>
  <c r="Z207" i="81" s="1"/>
  <c r="Z259" i="81" s="1" a="1"/>
  <c r="Z259" i="81" s="1"/>
  <c r="Z72" i="81" a="1"/>
  <c r="Z72" i="81" s="1"/>
  <c r="Z136" i="81" s="1" a="1"/>
  <c r="Z136" i="81" s="1"/>
  <c r="Z196" i="81" s="1" a="1"/>
  <c r="Z196" i="81" s="1"/>
  <c r="Z248" i="81" s="1" a="1"/>
  <c r="Z248" i="81" s="1"/>
  <c r="Y78" i="81" a="1"/>
  <c r="Y78" i="81" s="1"/>
  <c r="Y142" i="81" s="1" a="1"/>
  <c r="Y142" i="81" s="1"/>
  <c r="Y202" i="81" s="1" a="1"/>
  <c r="Y202" i="81" s="1"/>
  <c r="Y254" i="81" s="1" a="1"/>
  <c r="Y254" i="81" s="1"/>
  <c r="AC79" i="81" a="1"/>
  <c r="AC79" i="81" s="1"/>
  <c r="AC143" i="81" s="1" a="1"/>
  <c r="AC143" i="81" s="1"/>
  <c r="AC203" i="81" s="1" a="1"/>
  <c r="AC203" i="81" s="1"/>
  <c r="AC255" i="81" s="1" a="1"/>
  <c r="AC255" i="81" s="1"/>
  <c r="X76" i="81" a="1"/>
  <c r="X76" i="81" s="1"/>
  <c r="X140" i="81" s="1" a="1"/>
  <c r="X140" i="81" s="1"/>
  <c r="X200" i="81" s="1" a="1"/>
  <c r="X200" i="81" s="1"/>
  <c r="X252" i="81" s="1" a="1"/>
  <c r="X252" i="81" s="1"/>
  <c r="G65" i="81" a="1"/>
  <c r="G65" i="81" s="1"/>
  <c r="G130" i="81" s="1" a="1"/>
  <c r="G130" i="81" s="1"/>
  <c r="G172" i="81" s="1" a="1"/>
  <c r="G172" i="81" s="1"/>
  <c r="G210" i="81" s="1" a="1"/>
  <c r="G210" i="81" s="1"/>
  <c r="E212" i="81" l="1"/>
  <c r="I13" i="83" s="1"/>
  <c r="E20" i="83" s="1" a="1"/>
  <c r="E20" i="83" s="1"/>
  <c r="I32" i="83" s="1"/>
  <c r="E36" i="83" s="1" a="1"/>
  <c r="E36" i="83" s="1"/>
  <c r="G38" i="83" s="1"/>
  <c r="E41" i="83" s="1" a="1"/>
  <c r="E41" i="83" s="1"/>
  <c r="V261" i="81"/>
  <c r="R13"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9" i="13" l="1" a="1"/>
  <c r="E9" i="13" s="1"/>
  <c r="H9" i="13" s="1" a="1"/>
  <c r="H9" i="13" s="1"/>
  <c r="E10" i="13" a="1"/>
  <c r="E10" i="13" s="1"/>
  <c r="H10" i="13" s="1" a="1"/>
  <c r="H10"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E59" i="13" s="1"/>
  <c r="H66" i="13" s="1"/>
  <c r="F10" i="13" a="1"/>
  <c r="F10" i="13" s="1"/>
  <c r="I10" i="13" s="1" a="1"/>
  <c r="I10" i="13" s="1"/>
  <c r="F11" i="13" a="1"/>
  <c r="F11" i="13" s="1"/>
  <c r="I11" i="13" s="1" a="1"/>
  <c r="I11" i="13" s="1"/>
  <c r="F9" i="13" a="1"/>
  <c r="F9" i="13" s="1"/>
  <c r="I9" i="13" s="1" a="1"/>
  <c r="I9" i="13" s="1"/>
  <c r="H62" i="13" l="1"/>
  <c r="H63" i="13"/>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<sst xmlns="http://schemas.openxmlformats.org/spreadsheetml/2006/main" count="3584" uniqueCount="870">
  <si>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</si>
  <si>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</si>
  <si>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</si>
  <si>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</si>
  <si>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</si>
  <si>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</si>
  <si>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</si>
  <si>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</si>
  <si>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</si>
  <si>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</si>
  <si>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</si>
  <si>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</si>
  <si>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</si>
  <si>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</si>
  <si>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</si>
  <si>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</si>
  <si>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</si>
  <si>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</si>
  <si>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</si>
  <si>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</si>
  <si>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</si>
  <si>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</si>
  <si>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</si>
  <si>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</si>
  <si>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</si>
  <si>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</si>
  <si>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</si>
  <si>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Manure produced</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</si>
  <si>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</si>
  <si>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</si>
  <si>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</si>
  <si>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</si>
  <si>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</si>
  <si>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</si>
  <si>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</si>
  <si>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</si>
  <si>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</si>
  <si>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</si>
  <si>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</si>
  <si>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</si>
  <si>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</si>
  <si>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</si>
  <si>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</si>
  <si>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</si>
  <si>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</si>
  <si>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</si>
  <si>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</si>
  <si>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</si>
  <si>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</si>
  <si>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</si>
  <si>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</si>
  <si>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</si>
  <si>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</si>
  <si>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</si>
  <si>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</si>
  <si>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</si>
  <si>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</si>
  <si>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</si>
  <si>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</si>
  <si>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</si>
  <si>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</si>
  <si>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</si>
  <si>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</si>
  <si>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</si>
  <si>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</si>
  <si>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</si>
  <si>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</si>
  <si>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</si>
  <si>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</si>
  <si>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</si>
  <si>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</si>
  <si>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</si>
  <si>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</si>
  <si>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</si>
  <si>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</si>
  <si>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</si>
  <si>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</si>
  <si>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</si>
  <si>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</si>
  <si>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</si>
  <si>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</si>
  <si>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</si>
  <si>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</si>
  <si>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</si>
  <si>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</si>
  <si>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</si>
  <si>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</si>
  <si>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</si>
  <si>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</si>
  <si>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</si>
  <si>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</si>
  <si>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</si>
  <si>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</si>
  <si>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</si>
  <si>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</si>
  <si>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</si>
  <si>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</si>
  <si>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</si>
  <si>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</si>
  <si>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</si>
  <si>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</si>
  <si>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</si>
  <si>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</si>
  <si>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</si>
  <si>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</si>
  <si>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</si>
  <si>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</si>
  <si>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</si>
  <si>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</si>
  <si>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</si>
  <si>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</si>
  <si>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</si>
  <si>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</si>
  <si>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</si>
  <si>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</si>
  <si>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</si>
  <si>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</si>
  <si>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</si>
  <si>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</si>
  <si>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</si>
  <si>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</si>
  <si>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</si>
  <si>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</si>
  <si>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</si>
  <si>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</si>
  <si>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</si>
  <si>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</si>
  <si>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</si>
  <si>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</si>
  <si>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</si>
  <si>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</si>
  <si>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</si>
  <si>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</si>
  <si>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</si>
  <si>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</si>
  <si>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</si>
  <si>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</si>
  <si>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</si>
  <si>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</si>
  <si>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</si>
  <si>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</si>
  <si>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</si>
  <si>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</si>
  <si>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</si>
  <si>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</si>
  <si>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</si>
  <si>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</si>
  <si>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</si>
  <si>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</si>
  <si>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</si>
  <si>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</si>
  <si>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</si>
  <si>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</si>
  <si>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</si>
  <si>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</si>
  <si>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</si>
  <si>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</si>
  <si>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</si>
  <si>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</si>
  <si>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</si>
  <si>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</si>
  <si>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</si>
  <si>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</si>
  <si>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</si>
  <si>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</si>
  <si>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</si>
  <si>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</si>
  <si>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</si>
  <si>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</si>
  <si>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</si>
  <si>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</si>
  <si>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</si>
  <si>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</si>
  <si>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</si>
  <si>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</si>
  <si>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</si>
  <si>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</si>
  <si>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Liveweight sold - method 1</t>
  </si>
  <si>
    <t>Liveweight sold - method 2</t>
  </si>
  <si>
    <t>percent</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</si>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</sst>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1">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9ED51156-BD7F-4C9F-93DB-661509B4215D}"/>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30A54267-7D47-42FE-945E-D8D5F852508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30A54267-7D47-42FE-945E-D8D5F852508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3EDAA51-F306-48D7-A10F-5347FD88CA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E3EDAA51-F306-48D7-A10F-5347FD88CA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5B07CA1-DF9C-441B-AF11-6B3ED15DD79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5B07CA1-DF9C-441B-AF11-6B3ED15DD79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A9AD5397-E3F9-4659-9A01-5006CABD443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A9AD5397-E3F9-4659-9A01-5006CABD443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3E378E0-BCAA-45B4-A99C-534FD6ACACC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23E378E0-BCAA-45B4-A99C-534FD6ACACC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AEF33CE-73C8-494A-BE07-19E8B3F004B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3AEF33CE-73C8-494A-BE07-19E8B3F004B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0EAA128-8A2E-4960-92D3-6A59FFB9539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A0EAA128-8A2E-4960-92D3-6A59FFB9539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6595EE3-6033-4435-BD3B-FA78A74DAE5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F6595EE3-6033-4435-BD3B-FA78A74DAE5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C5DC2F3C-9BA3-4118-B48C-7E815A1BA0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C5DC2F3C-9BA3-4118-B48C-7E815A1BA0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4782B238-410F-4EDC-A4D8-A3FB7165731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4782B238-410F-4EDC-A4D8-A3FB7165731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825BB0C-182A-4F41-AE70-5365D0EBC1D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6825BB0C-182A-4F41-AE70-5365D0EBC1D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C3D30D9-2B0F-405C-A32C-804AE2A134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DC3D30D9-2B0F-405C-A32C-804AE2A134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6B7FA26C-12CF-4C5F-BFA9-B7F56BF32D7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6B7FA26C-12CF-4C5F-BFA9-B7F56BF32D7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F10722A6-7A28-4101-A6B6-0390DFEE40E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F10722A6-7A28-4101-A6B6-0390DFEE40E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A3615F7-35ED-4965-9556-5BB27561245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AA3615F7-35ED-4965-9556-5BB27561245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7720C900-6544-43FA-B147-FF4C2F3659F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7720C900-6544-43FA-B147-FF4C2F3659F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6B95CAEA-1AE0-44EB-A60B-779C27D1BF0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6B95CAEA-1AE0-44EB-A60B-779C27D1BF0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9100D22-0478-4E6C-A28B-7995D88FA83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A9100D22-0478-4E6C-A28B-7995D88FA83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84CACED-7AEF-405B-9E62-BA04FB88160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884CACED-7AEF-405B-9E62-BA04FB88160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1CD1348-0295-4F7C-BCAE-86EB7C8C969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91CD1348-0295-4F7C-BCAE-86EB7C8C969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6B98079-6A04-48B6-BC1D-F1BE999C732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C6B98079-6A04-48B6-BC1D-F1BE999C732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C3A9B87-77A9-4D1D-ACEF-D44551C39C8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C3A9B87-77A9-4D1D-ACEF-D44551C39C8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34C89A1-535B-49D6-85E3-583351F2C2B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934C89A1-535B-49D6-85E3-583351F2C2B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0B2F011-E1C3-41B8-93C5-7E777D094C8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40B2F011-E1C3-41B8-93C5-7E777D094C8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CFF04F9-E8CE-4FC2-B6B4-136F7E1CC7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6CFF04F9-E8CE-4FC2-B6B4-136F7E1CC7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66B7EFA6-87A1-4ADB-A40F-65D6AC1F952B}"/>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66B7EFA6-87A1-4ADB-A40F-65D6AC1F952B}"/>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3C505F33-5523-48C5-A89D-E71826F6391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3C505F33-5523-48C5-A89D-E71826F6391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9F9E8CF-F3E8-484A-87EA-DD80141062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A9F9E8CF-F3E8-484A-87EA-DD80141062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DC5F5AD-9510-4790-8D8A-9AE9B2FCDF4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5DC5F5AD-9510-4790-8D8A-9AE9B2FCDF4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71DB937-2CD2-406A-A144-D94BC71F8C0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71DB937-2CD2-406A-A144-D94BC71F8C0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A133A1B-BD20-4032-A305-40E5DA5ADE9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DA133A1B-BD20-4032-A305-40E5DA5ADE9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FBF0ED1-E275-4581-9F22-B6A2BF580D3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FFBF0ED1-E275-4581-9F22-B6A2BF580D3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03C2C95-5FA7-48C3-B809-2D9895D96C4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E03C2C95-5FA7-48C3-B809-2D9895D96C4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E9B229F-61BC-4190-9160-4CEE5A6E6A9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DE9B229F-61BC-4190-9160-4CEE5A6E6A9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69CA9E9F-553C-4667-BFB8-C6518FCB199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69CA9E9F-553C-4667-BFB8-C6518FCB199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D4A5DFE-D651-46D6-B9C7-6117D978601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AD4A5DFE-D651-46D6-B9C7-6117D978601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9497B3C1-5991-44E8-A1E3-C6888BC242A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9497B3C1-5991-44E8-A1E3-C6888BC242A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FA8EDF0-E919-4853-A590-F7A3D7AF7F5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DFA8EDF0-E919-4853-A590-F7A3D7AF7F5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FCDF184-F387-4D33-9B5E-8DFE49D251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FFCDF184-F387-4D33-9B5E-8DFE49D251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CEF72832-10DC-4AF7-A7F3-8C80BB763F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CEF72832-10DC-4AF7-A7F3-8C80BB763F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D325754-B09B-47B8-BA5B-8367C8EAAED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D325754-B09B-47B8-BA5B-8367C8EAAED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7716F43-37A0-4829-AC87-06F576669D8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97716F43-37A0-4829-AC87-06F576669D8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2E32DBC-D5DE-4436-B1F7-3E1243CBF10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A2E32DBC-D5DE-4436-B1F7-3E1243CBF10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240B36A-F68A-4DB9-A4C0-330B913DEE5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1240B36A-F68A-4DB9-A4C0-330B913DEE5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661F925-41E6-430F-8A41-CF675E084E8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A661F925-41E6-430F-8A41-CF675E084E8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389554B-5B3F-4E97-8594-D09CB4E8209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389554B-5B3F-4E97-8594-D09CB4E8209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71F62A9-80D3-4340-B34D-2070C3B4E3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71F62A9-80D3-4340-B34D-2070C3B4E3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D557AAB-D3D8-456D-889E-28B0F60AD16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FD557AAB-D3D8-456D-889E-28B0F60AD16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FF6330E-5836-44EC-B7C6-97D9AE0E769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FF6330E-5836-44EC-B7C6-97D9AE0E769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D35D8794-24E8-407F-9CBB-607BE4DF0F5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D35D8794-24E8-407F-9CBB-607BE4DF0F5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FE37A02-510D-4DA4-AE01-638B449FAC9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DFE37A02-510D-4DA4-AE01-638B449FAC9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A686E0B-1FFE-4E5D-AFE5-A78059646EE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BA686E0B-1FFE-4E5D-AFE5-A78059646EE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F2FA4D4-269D-4DB4-BDDD-7F05749ECA8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DF2FA4D4-269D-4DB4-BDDD-7F05749ECA8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C877525-7C5D-4EB1-B927-F41C2257E1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6C877525-7C5D-4EB1-B927-F41C2257E1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4882615-2510-437F-B02A-CC742FC9F43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1370D99-1F1B-43EA-97E9-AD97E2A5CB3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DF1E0ADE-8537-4824-9508-4928A2B8DAC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210DFA26-E177-4BAA-828E-08E23363C688}"/>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FEF2C5-6B56-413C-84CF-AAB78DC3045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034E103-AD01-4304-A0D1-935B2803ECB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5A272630-79A3-4741-AFD0-756D2B008A80}"/>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8F8E32B-7D15-4F09-B026-623D8F12575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F45E29B-081D-4C7D-A0DD-AA101471126F}"/>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BB47A280-76D0-4FAD-8C41-46BB4B20D091}"/>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A3BC544E-4135-4D8C-BB8F-31BD33B2945F}"/>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8586F97D-53EB-4E37-9995-90C0A7E7558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D08E2CB3-7900-417F-A511-14F135D6131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73094E60-D529-4495-980A-2F691C116B4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655F880-9DDB-4818-BEA7-1C79A40FB5EF}"/>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A8FE81F-1641-4FE4-AA73-4D7DDF33FE91}"/>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501A750-ED3B-4A1C-873F-B325F797D89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9C79A4D-DC93-4ACE-81B4-CB53E516CFC9}"/>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636CE0EA-B6F2-40BC-BC58-11FD0A16565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02180829-24F4-40C4-8F56-EC05A9763C28}"/>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4955461-EECC-4847-9AF9-EC4CACF0BAB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68ECD3D-DBEB-42C4-B598-BFBC9C96FB1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F902FD41-9D0F-492A-9399-9B4C972428D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C4232E71-52A2-4B87-85C6-332DEFA12D6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44B021B5-6FA2-492C-AAEA-A32B302E9B6B}"/>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2C1D99F8-E773-4631-8067-47214C38DF4B}"/>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3A7CC801-39BD-444D-BB74-3263660E3BE5}"/>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82B585C8-954E-4805-8C06-5A59EB82A700}"/>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0198303-32D8-4929-B05F-487DD0C34FD3}"/>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01B432D7-C913-4246-AE2C-476D410494F8}"/>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AE4A593C-DC3C-49D3-8B67-8AD7B64846A8}"/>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3B39B364-C07F-4EF9-8219-4463252C9E32}"/>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829D647-76F1-46F8-8CA1-607B4BB7F9EA}"/>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8A766906-4385-4598-A1D2-6A5E844AE869}"/>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3B510DBA-B006-4E7D-91ED-927C5E10CCCA}"/>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F240C827-A641-434A-9EA9-3B3487C7D153}"/>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B06338AF-6E5F-4F24-B10C-CEAC40046846}"/>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1.xlsx" TargetMode="External"/><Relationship Id="rId2" Type="http://schemas.openxmlformats.org/officeDocument/2006/relationships/externalLinkPath" Target="file:///C:\htdocs\zneagcrc\GAF-VEERG-Functions\Excel\14_Electricity_Scope2_WIP_v01.xlsx" TargetMode="External"/><Relationship Id="rId1" Type="http://schemas.openxmlformats.org/officeDocument/2006/relationships/externalLinkPath" Target="/htdocs/zneagcrc/GAF-VEERG-Functions/Excel/14_Electricity_Scope2_WIP_v01.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59FAEA7-F350-47A5-A547-A7FDCAA4A475}" name="Table_Input_LivestockSales348" displayName="Table_Input_LivestockSales3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9EB8E8BC-6DD4-428F-845C-0BA883717CA7}" name="Transaction name" dataCellStyle="Input text"/>
    <tableColumn id="1" xr3:uid="{4E025348-F817-449A-83C9-47169AB6ECBA}" name="Class (select)" dataCellStyle="Input select"/>
    <tableColumn id="2" xr3:uid="{90E95904-8E4F-4B5C-AF9E-C0DED94B8516}" name="Sale date" dataDxfId="285"/>
    <tableColumn id="3" xr3:uid="{2E78116E-3C4A-47E6-81D6-00C1C0FA205E}" name="Head sold"/>
    <tableColumn id="4" xr3:uid="{422626FF-DC86-4F30-AE55-5032589BE3EE}" name="Average weight per head (kg)"/>
    <tableColumn id="5" xr3:uid="{88D07DDC-F76D-4D38-BCCB-3BCF539E9D1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FE2C19B-3D2D-4DDF-89F0-2A83129FDD16}"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5119ED8-27A2-4F66-8029-C328D37F60FB}" name="Transaction name" dataCellStyle="Input text"/>
    <tableColumn id="13" xr3:uid="{70D67979-BBCA-4308-B462-0E531713A623}" name="Purchase date" dataCellStyle="Input text"/>
    <tableColumn id="11" xr3:uid="{2DFA88C9-E2F9-401F-B9CB-19147F9BE005}" name="Class (select)" dataDxfId="284" dataCellStyle="Input select"/>
    <tableColumn id="2" xr3:uid="{ACA4A903-E295-4164-890B-699691B3D202}" name="Purchase class (select)" dataDxfId="283" dataCellStyle="Input select"/>
    <tableColumn id="6" xr3:uid="{CE984B6B-63EA-4522-8B9B-D8F5C506E0EA}" name="Source region (Select)" dataDxfId="282" dataCellStyle="Input select"/>
    <tableColumn id="3" xr3:uid="{092B2702-ACF8-4345-BF35-209863F95260}" name="Quantity (head)" dataCellStyle="Input number general"/>
    <tableColumn id="12" xr3:uid="{FED28D7B-25A8-48AB-8DAD-3F6C355D4D0F}" name="Liveweight (kg/head) Method 1" dataCellStyle="Input number general calculated"/>
    <tableColumn id="4" xr3:uid="{8FECC0EC-D194-41A9-8E0B-720A567B22A1}"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E4A610-A031-4970-8B01-4436078253EA}" name="Table_Input_LivestockSales3" displayName="Table_Input_LivestockSales3" ref="D206:I216" totalsRowShown="0">
  <autoFilter ref="D206:I216" xr:uid="{484622CD-CCF3-4BB9-AAA9-4F75EF631CF3}"/>
  <tableColumns count="6">
    <tableColumn id="6" xr3:uid="{B3819E28-A342-4AC3-9796-D2C7A0ED8B68}" name="Transaction name" dataCellStyle="Input text"/>
    <tableColumn id="1" xr3:uid="{E10566BA-B77B-455B-882C-E8388C602F47}" name="Class (select)" dataCellStyle="Input select"/>
    <tableColumn id="2" xr3:uid="{07A5404A-B273-4A42-9032-A022A7904E7B}" name="Sale date" dataDxfId="396"/>
    <tableColumn id="3" xr3:uid="{5AB32437-2EDF-45BF-BA83-669ED9615F53}" name="Head sold"/>
    <tableColumn id="4" xr3:uid="{27728864-9A4A-4F0D-89DC-07DDE8945E9F}" name="Average weight per head (kg)"/>
    <tableColumn id="5" xr3:uid="{9B189209-C3F9-4E01-A42E-D8D710CC22FD}"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B70670-EC2E-44E6-A6AC-45AE3F40CCE3}" name="Table_Input_LivestockPurchases_Beefcattle" displayName="Table_Input_LivestockPurchases_Beefcattle" ref="D190:K200" totalsRowShown="0">
  <autoFilter ref="D190:K200" xr:uid="{AAB6424C-3730-40E0-8F0E-53BDFDC2DDBB}"/>
  <tableColumns count="8">
    <tableColumn id="9" xr3:uid="{EEDFEC65-070A-4EDB-8591-F85C169C5556}" name="Transaction name" dataCellStyle="Input text"/>
    <tableColumn id="13" xr3:uid="{EBFC599F-036F-47F5-91D1-4AD74D3E058E}" name="Purchase date" dataCellStyle="Input text"/>
    <tableColumn id="11" xr3:uid="{5462BAD7-B600-4F24-8BD2-F19E7850CF00}" name="Class (select)" dataDxfId="395" dataCellStyle="Input select"/>
    <tableColumn id="2" xr3:uid="{A0379F8D-1BCB-4FEE-8E93-533CE8DE013C}" name="Purchase class (select)" dataDxfId="394" dataCellStyle="Input select"/>
    <tableColumn id="6" xr3:uid="{0184C973-A141-4166-B9E9-2D11F6C6653F}" name="Source region (Select)" dataDxfId="393" dataCellStyle="Input select"/>
    <tableColumn id="3" xr3:uid="{8362F982-0957-484C-9F58-C18EB97ABBB2}" name="Quantity (head)" dataCellStyle="Input number general"/>
    <tableColumn id="12" xr3:uid="{1E92F836-DB14-4EB4-9ADE-4C23A9D04B62}" name="Liveweight (kg/head) Method 1" dataCellStyle="Input number general calculated"/>
    <tableColumn id="4" xr3:uid="{ABF5C496-F19F-44B3-BA6A-4C60430B10F6}"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5D4A87F-7A64-4A3E-AB54-BB88336F1841}"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78F55123-4938-468C-99BD-4C16BFE242FA}" name="Product (select)" dataDxfId="249" totalsRowDxfId="250" dataCellStyle="Input select"/>
    <tableColumn id="23" xr3:uid="{A971BF2A-C2C0-4723-82E2-7D82DB9908CE}" name="Amount applied per hectare" totalsRowFunction="custom" dataDxfId="247" totalsRowDxfId="248">
      <totalsRowFormula>SUM(Table_Input_InorganicFertiliser_Brands[[#Headers],[#Data],[Amount applied per hectare]])</totalsRowFormula>
    </tableColumn>
    <tableColumn id="12" xr3:uid="{CFA0AF9E-B26A-4F3A-943B-C04FF7FCAE48}" name="Application unit" dataDxfId="245" totalsRowDxfId="246" dataCellStyle="Input number 2 decimal places"/>
    <tableColumn id="9" xr3:uid="{D061D6AB-AF4C-4D41-B0DA-8C5C5762FDBE}" name="Density" dataDxfId="243" totalsRowDxfId="244" dataCellStyle="Input number 2 decimal places"/>
    <tableColumn id="6" xr3:uid="{018782D9-AC22-4E35-920F-8D045F2B070A}" name="Application area (ha)" dataDxfId="241" totalsRowDxfId="242">
      <calculatedColumnFormula>$E$9</calculatedColumnFormula>
    </tableColumn>
    <tableColumn id="1" xr3:uid="{F762819D-F4FE-43A8-A7F2-17ECB530A4D3}"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928B977-332B-4FE8-9C1A-58226D96F3ED}" name="Ingredient 1" dataDxfId="237" totalsRowDxfId="238" dataCellStyle="Input number general calculated"/>
    <tableColumn id="4" xr3:uid="{0B20123B-C5DE-409B-AE0A-541B43D20B3D}" name="Ingredient 1 percent" dataDxfId="235" totalsRowDxfId="236" dataCellStyle="Input number general calculated"/>
    <tableColumn id="7" xr3:uid="{48EDBCA3-6305-4DB7-A94A-DCD6D57AC509}" name="Ingredient 2" dataDxfId="234" dataCellStyle="Input number general calculated"/>
    <tableColumn id="8" xr3:uid="{10E405E7-F176-492D-908C-64BACCCA3B5E}" name="Ingredient 2 percent" dataDxfId="232" totalsRowDxfId="233" dataCellStyle="Input number general calculated"/>
    <tableColumn id="10" xr3:uid="{C6165099-2A5F-4C81-9246-4E66FFC92275}" name="Ingredient 3" dataDxfId="230" totalsRowDxfId="231" dataCellStyle="Input number general calculated"/>
    <tableColumn id="11" xr3:uid="{FC737E7D-CFE2-412B-BA9C-46F25ABE1415}" name="Ingredient 3 percent" dataDxfId="228" totalsRowDxfId="229" dataCellStyle="Input number general calculated"/>
    <tableColumn id="13" xr3:uid="{648E330D-EE4F-4ECF-B2AF-D994C0CCBF2C}" name="Ingredient 4" dataDxfId="226" totalsRowDxfId="227" dataCellStyle="Input number general calculated"/>
    <tableColumn id="14" xr3:uid="{DFB3FF1B-DC59-472A-8F8F-F967B8712826}" name="Ingredient 4 percent" dataDxfId="225" dataCellStyle="Input number general calculated"/>
    <tableColumn id="16" xr3:uid="{C3A9D37B-9C30-4857-BBD5-F48BD7439269}" name="Ingredient 5" dataDxfId="224" dataCellStyle="Input number general calculated"/>
    <tableColumn id="17" xr3:uid="{CE6D9540-923C-44B5-9028-A3DBEFB9CC2A}" name="Ingredient 5 percent" dataDxfId="223" dataCellStyle="Input number general calculated"/>
    <tableColumn id="19" xr3:uid="{F4EB10C0-9BB1-4477-ABE4-B441E2E20543}" name="Ingredient 6" dataDxfId="222" dataCellStyle="Input number general calculated"/>
    <tableColumn id="20" xr3:uid="{E4CF2FE7-9DDB-42FD-8EEF-5D601C9B8E9E}" name="Ingredient 6 percent" dataDxfId="221" dataCellStyle="Input number general calculated"/>
    <tableColumn id="5" xr3:uid="{E3D83959-F2F1-4CDA-A3DB-8516459FBA69}" name="N application rate (kg/ha)" dataDxfId="219" totalsRowDxfId="220" dataCellStyle="Input number general calculated"/>
    <tableColumn id="15" xr3:uid="{A4CC1074-9D44-4331-B59E-647A4B8483BF}" name="Urea source" dataDxfId="217" totalsRowDxfId="218" dataCellStyle="Input number general calculated"/>
    <tableColumn id="18" xr3:uid="{5377EDE8-1F81-43B2-9853-85412F90C4E0}"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B66A057-969D-4AEE-8A54-53BB87655B8B}"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AA9D5CA-A70D-4A3D-9D6A-81E9A30AD56B}" name="Custom blend name" dataCellStyle="Input text"/>
    <tableColumn id="2" xr3:uid="{1A431F61-204C-45EC-AD6B-22174ABFA517}" name="Amount applied (kg / ha)" dataDxfId="212"/>
    <tableColumn id="3" xr3:uid="{29592FB5-3E2B-4D1B-A4EE-4042228878E6}" name="Application area (ha)" dataDxfId="211" dataCellStyle="Input number 2 decimal places">
      <calculatedColumnFormula>$E$9</calculatedColumnFormula>
    </tableColumn>
    <tableColumn id="4" xr3:uid="{E63DE0C4-C49F-4503-B4AD-7E01B082AC2A}"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A027146B-04FF-48D4-ADC8-5C8D9AD06B52}" name="Ingredient 1 (select)" dataDxfId="209" dataCellStyle="Input select"/>
    <tableColumn id="6" xr3:uid="{17CFE8EA-793D-40D8-984B-C891C638B86D}" name="Ingredient 1 percent" dataDxfId="208"/>
    <tableColumn id="8" xr3:uid="{F4C42277-B7CD-4381-89A5-049BF67FCFE1}" name="Ingredient 2" dataDxfId="207" dataCellStyle="Input select"/>
    <tableColumn id="9" xr3:uid="{8EC9858A-B1AD-483B-97B9-9A51F0F8538B}" name="Ingredient 2 percent" dataDxfId="206"/>
    <tableColumn id="11" xr3:uid="{6822C4BB-EE0C-46E5-8179-6840AA9D60F8}" name="Ingredient 3" dataDxfId="205" dataCellStyle="Input select"/>
    <tableColumn id="12" xr3:uid="{458ACC75-4B68-4EF9-A560-3A99F4B3104D}" name="Ingredient 3 percent" dataDxfId="204"/>
    <tableColumn id="14" xr3:uid="{3E459EC6-4E23-429E-B32B-EAB349526267}" name="Ingredient 4" dataDxfId="203" dataCellStyle="Input select"/>
    <tableColumn id="15" xr3:uid="{64E4C784-C030-424E-94E4-78BB84D3ADA1}" name="Ingredient 4 percent" dataCellStyle="Input percent"/>
    <tableColumn id="7" xr3:uid="{36D702F8-65DD-48AE-A9B0-A51DB2F7E7DF}" name="N application rate (kg/ha)" dataDxfId="202" dataCellStyle="Input number general calculated"/>
    <tableColumn id="10" xr3:uid="{FCB59F62-C363-451B-BC43-9E73F7C2EA92}" name="Urea source (Select)" dataCellStyle="Input select"/>
    <tableColumn id="13" xr3:uid="{62822B6B-D481-47C6-9D5F-A32F913B322E}"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1E0B5F8-B52D-4B4D-832F-23DAD153845B}"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DACA3C4-DE1F-40AB-A987-A6A389CFB8DE}" name="Product" dataDxfId="199"/>
    <tableColumn id="2" xr3:uid="{C86B8C41-F319-4DF2-A797-06C9EF4471CB}" name="Amount applied (t/hectare)" dataDxfId="198"/>
    <tableColumn id="4" xr3:uid="{6B998E7A-1BC8-4DE4-AFE3-BD36AAF94FAA}" name="Application area (ha)" dataDxfId="197">
      <calculatedColumnFormula>$E$9</calculatedColumnFormula>
    </tableColumn>
    <tableColumn id="3" xr3:uid="{EBD69F47-044D-45A7-A2A4-58F2F54C5CFB}" name="Total amount applied (t)" dataDxfId="196" dataCellStyle="Input number general calculated">
      <calculatedColumnFormula>IFERROR(Table_Input_Lime[[#This Row],[Amount applied (t/hectare)]]*Table_Input_Lime[[#This Row],[Application area (ha)]], 0)</calculatedColumnFormula>
    </tableColumn>
    <tableColumn id="6" xr3:uid="{DA65EC2C-46C9-48A3-9E6A-33648C4A97BA}" name="Percent Lime CaCO3" dataDxfId="195"/>
    <tableColumn id="8" xr3:uid="{A90B4B71-DA7D-4107-9165-DC731A905DCD}" name="Percent Dolomite CaMg(CO3)2" dataDxfId="194"/>
    <tableColumn id="7" xr3:uid="{73E7ABFD-CBE9-44E8-A222-DED41EB16786}" name="Percent Gypsum" dataDxfId="193"/>
    <tableColumn id="10" xr3:uid="{6D77FF05-D8C7-4634-8A11-5EF949EDB7C0}"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9E0EBCC-C825-46D9-95B3-F60D402DAD64}"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C1478C2-2291-422F-98F1-D972EF2B755F}" name="Organic fertiliser type (select)" dataDxfId="189" dataCellStyle="Input select"/>
    <tableColumn id="5" xr3:uid="{7E654BF1-20A0-48BF-87BE-3607F38F890A}" name="Percentage of N in fertiliser" dataDxfId="188"/>
    <tableColumn id="2" xr3:uid="{879AB60D-85A7-475B-A366-1CA4788823E5}" name="Amount applied (kg/hectare)" dataDxfId="187"/>
    <tableColumn id="11" xr3:uid="{4EEDC5E7-D0FF-476F-86C2-1BB0920ADFEF}"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52EA5CC3-5CD4-4CC6-A79F-7C23A2EC685B}" name="Application area (ha)" dataDxfId="185">
      <calculatedColumnFormula>$E$9</calculatedColumnFormula>
    </tableColumn>
    <tableColumn id="7" xr3:uid="{6E14264F-7201-467A-B37A-EDA0348D0DE3}"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5864A1DD-A5D5-4800-B8D2-EC61CBB3A55A}"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C8CDBA9-66C9-420D-9265-D5941B61DD3E}"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8D0DE0D-D40E-4E6B-AD80-D18C69C8648F}" name="Fuel use (select)" totalsRowFunction="average" totalsRowDxfId="87" dataCellStyle="Input select" totalsRowCellStyle="Input select"/>
    <tableColumn id="3" xr3:uid="{AAAB3908-9E39-4306-B763-85F16D57E806}" name="Fuel type (select)" totalsRowDxfId="86" dataCellStyle="Input select" totalsRowCellStyle="Input select"/>
    <tableColumn id="4" xr3:uid="{9E197EF6-DF8B-456F-A3F9-463BEBA81890}" name="Amount purchased" totalsRowDxfId="85" totalsRowCellStyle="Content bold"/>
    <tableColumn id="6" xr3:uid="{CED77A11-7B06-4631-947B-86D0429A8D3D}" name="Amount unit" totalsRowDxfId="84" dataCellStyle="Input number general calculated" totalsRowCellStyle="Input text calculated"/>
    <tableColumn id="5" xr3:uid="{BE7D1DEA-8F8F-4B54-9481-604FBCCC3D65}" name="Percent consumed" totalsRowDxfId="83" totalsRowCellStyle="Input percent">
      <calculatedColumnFormula>1</calculatedColumnFormula>
    </tableColumn>
    <tableColumn id="1" xr3:uid="{B47C59C7-341E-46C3-A4DE-00408A485C4A}"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25D82969-C8F0-4034-8D0A-56BF560B6A48}"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8146ED0-43E3-459D-9314-60E7978EF012}"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137CE20-D1F7-4D91-BD4A-993EDEE9B935}" name="Description"/>
    <tableColumn id="5" xr3:uid="{8643137F-4F08-4F56-8AC2-060E417B00D4}" name="Source (select)" dataCellStyle="Input select"/>
    <tableColumn id="2" xr3:uid="{7A0C9A9B-8A31-4D26-ACAA-8FD96E66DAEF}" name="Generation date" dataDxfId="108"/>
    <tableColumn id="3" xr3:uid="{DFF2814F-6B26-4063-A82C-D05D78F0B9E2}" name="Number of certificates"/>
    <tableColumn id="4" xr3:uid="{EA0D5F52-7D87-4E71-A79F-D973A70FB9B3}" name="MWh" dataCellStyle="Input number general calculated">
      <calculatedColumnFormula>Table_Input_RECSurrendered[[#This Row],[Number of certificates]]</calculatedColumnFormula>
    </tableColumn>
    <tableColumn id="7" xr3:uid="{04496635-A819-435B-9D61-05E4A777B19C}"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E239A3D-FA64-4B32-9E58-B68963B6D1E2}"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E041028-15D6-488F-B59A-FCE818F7B9B1}" name="Description"/>
    <tableColumn id="5" xr3:uid="{C7A8A9FD-0116-42C4-ACB2-42B969E9DB29}" name="Source" dataCellStyle="Input text calculated">
      <calculatedColumnFormula>"Issued for generated electricity"</calculatedColumnFormula>
    </tableColumn>
    <tableColumn id="2" xr3:uid="{E1B0D12D-C20D-43B5-8CC8-53DB499FBD39}" name="Generation date" dataDxfId="107"/>
    <tableColumn id="3" xr3:uid="{91F1F8EC-E4F2-4727-B1F8-B88F0859BCDD}" name="Number of certificates"/>
    <tableColumn id="4" xr3:uid="{1366150E-4E93-4BE7-B0AD-A473339F78F1}" name="MWh" dataCellStyle="Input number general calculated">
      <calculatedColumnFormula>Table_Input_RECConsumedByEntity[[#This Row],[Number of certificates]]</calculatedColumnFormula>
    </tableColumn>
    <tableColumn id="7" xr3:uid="{AD3768B2-0881-4ECB-9058-3DA3F22FC91A}"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7D87CEA-7159-4957-A844-CA5D70D432B3}" name="Table_SourceData_PastureBeef_CropProdSystems" displayName="Table_SourceData_PastureBeef_CropProdSystems" ref="D7:D9" totalsRowShown="0">
  <autoFilter ref="D7:D9" xr:uid="{B6F3FE3A-A0B5-47E7-85B2-8426FB75A7C8}">
    <filterColumn colId="0" hiddenButton="1"/>
  </autoFilter>
  <tableColumns count="1">
    <tableColumn id="1" xr3:uid="{AF5775F7-F964-4CB3-AF08-6A03E86EBC0A}"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8ED4000-F28E-4BD2-9CD3-A983C03DF20C}"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C9FECF80-D2AA-42FB-B64C-5A16E777042B}"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5548A83-0AF7-42CE-9A4A-D641FA489F2C}"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972F9AE-FA73-4FBB-9E40-756261C4AD1E}" name="State">
      <calculatedColumnFormula array="1">Common_InputFunctions.Utility_DisplayArrayInTable(SourceData_PastureBeef.SourceData_PastureBeef_Liveweight_Data(), Table_SourceData_PastureBeef_Liveweight[[#Headers],[State]], 0)</calculatedColumnFormula>
    </tableColumn>
    <tableColumn id="2" xr3:uid="{F3A7158F-A33C-469E-A881-C06C682112D8}"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EF35CB5-2402-437F-AAD6-D07809FFB6E1}"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1792D7C5-493B-46C0-92AB-B96AA4C4AAC9}"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FDB3BA0B-2ABE-4EF9-838F-FB2318EBC33D}"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CF77D704-9C43-489F-9AD3-3BFA78F37167}"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1819E1D7-D3BD-4D28-AAEB-1EE0380A53DF}"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201401F-5B60-4795-93ED-CBD691586FA6}"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DD56B21-E266-478D-97E5-4386FA108476}"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D607C0E1-1261-40E5-BEF3-0F7CBC4D897A}"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FBAB674-733E-4E8E-938F-86CD97D3DD6F}"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A91000F-4EBF-4E18-A137-A3BEF036097B}" name="State">
      <calculatedColumnFormula array="1">Common_InputFunctions.Utility_DisplayArrayInTable(SourceData_PastureBeef.SourceData_PastureBeef_LiveweightNTQLD_Data(),Table_SourceData_PastureBeef_LiveweightNTQD[[#Headers],[State]], 0)</calculatedColumnFormula>
    </tableColumn>
    <tableColumn id="2" xr3:uid="{26DBDFC6-A7B0-43BC-8D27-84BDA27A4B6C}"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3CF3EA95-52B2-442F-815A-6EEBCFF37187}"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4623AB45-35D9-4BD7-ABFB-90C1BBB9152C}"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95F902B5-F840-4C73-9E22-08EBB013897C}"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A346115-3A77-428E-9394-6C5AA6527196}"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DB90A601-809B-4AD4-9656-E271B69DFC64}"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8288039B-40CE-4039-89B9-254DEBF728A7}"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9233DC0D-57DB-4B78-A5F2-AD677FAC2720}"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8F80FF15-05BC-4B80-B2FD-52110543DAB2}"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D56CF73-BB20-4177-8C1B-EF397DA18F47}"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AD15F1C-4DD3-402E-8BCD-D56827570F44}"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C885AC6E-495F-4DA8-8356-1C2252E403EF}"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68B661E-1AA8-469B-9B8F-F299FD9F2E2E}"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AA377CC-312B-47AF-98D3-D482919ABEA3}" name="State"/>
    <tableColumn id="2" xr3:uid="{C17EE640-0C69-42F1-B6B6-36612BF05A37}" name="Region">
      <calculatedColumnFormula>E22</calculatedColumnFormula>
    </tableColumn>
    <tableColumn id="3" xr3:uid="{EB02324E-7E82-45C6-BFCD-4DAA248984EF}" name="Season">
      <calculatedColumnFormula>F22</calculatedColumnFormula>
    </tableColumn>
    <tableColumn id="4" xr3:uid="{3B17ADA6-45DE-4472-88F3-C167AE7E95CC}" name="Bulls &lt; 1 year">
      <calculatedColumnFormula>G22</calculatedColumnFormula>
    </tableColumn>
    <tableColumn id="5" xr3:uid="{BDEDD486-F6BA-4F79-9AB2-303A90312AD8}" name="Bulls &gt; 1 year">
      <calculatedColumnFormula>H22</calculatedColumnFormula>
    </tableColumn>
    <tableColumn id="6" xr3:uid="{AA817070-AA2A-4C3C-9D8F-B4887E96B2D8}" name="Cows &lt; 1 year">
      <calculatedColumnFormula>I22</calculatedColumnFormula>
    </tableColumn>
    <tableColumn id="7" xr3:uid="{87BE6C87-7A71-453F-9A62-2BC5D4EDAD80}" name="Cows 1-2 years">
      <calculatedColumnFormula>J22</calculatedColumnFormula>
    </tableColumn>
    <tableColumn id="8" xr3:uid="{48971E7B-19ED-4A2F-9BF6-C150EEA95AC3}" name="Cows 2-3 years">
      <calculatedColumnFormula>K22</calculatedColumnFormula>
    </tableColumn>
    <tableColumn id="9" xr3:uid="{A2175DB4-987B-4944-B7CA-752EB15775F3}" name="Cows &gt; 3 years">
      <calculatedColumnFormula>L22</calculatedColumnFormula>
    </tableColumn>
    <tableColumn id="10" xr3:uid="{89FA58E1-B827-4554-AB0C-EE1F7A717BA9}" name="Steers &lt; 1 year">
      <calculatedColumnFormula>M22</calculatedColumnFormula>
    </tableColumn>
    <tableColumn id="11" xr3:uid="{23A08813-F837-4B3F-BCB2-5915CCA5917F}" name="Steers 1-2 years">
      <calculatedColumnFormula>N22</calculatedColumnFormula>
    </tableColumn>
    <tableColumn id="12" xr3:uid="{93505B76-F511-4AAD-B6C9-1E0D5782CC9E}" name="Steers 2-3 years">
      <calculatedColumnFormula>O22</calculatedColumnFormula>
    </tableColumn>
    <tableColumn id="13" xr3:uid="{462968CD-6099-4C05-8361-CADC2B85DF93}"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E3C1DE9-53C7-4E08-AB68-D70A18BA13E6}"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C222287A-F98B-4EF0-8F3D-9FC7B681DD7A}"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E37E1CE-0FDD-46F9-8157-346DDEFE580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6D86E634-C273-4761-8B2B-B8F7545AD140}"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D935CE2-0415-42B2-9775-C392599DC74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0C53688E-1ED6-4AA8-A71F-73FF1FC5AFE9}"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F36AD92-4EB9-4CDD-8BBB-5A8C40B46A57}" name="Table_SourceData_PastureBeef_Region_Victoria" displayName="Table_SourceData_PastureBeef_Region_Victoria" ref="S7:S8" totalsRowShown="0">
  <autoFilter ref="S7:S8" xr:uid="{7D474D93-C1E0-4898-A434-69585070D0B9}">
    <filterColumn colId="0" hiddenButton="1"/>
  </autoFilter>
  <tableColumns count="1">
    <tableColumn id="1" xr3:uid="{B05F0D43-CA1C-4D02-AEF6-2B8EC11A4B9D}"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02CCDC6-8EFB-4CEF-AA35-DA651F05F9A9}"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CE0972AE-1E62-4543-BFAC-F232CA93FAD5}"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344B06C-5CDC-49A2-882C-DF54245CC60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C2E25117-3585-41FA-A5D8-77A2A1539F5D}"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BD329A7-C2DD-45E9-A7D4-5881D1BDB6B5}" name="Table_SourceData_PastureBeef_Region_Tasmania" displayName="Table_SourceData_PastureBeef_Region_Tasmania" ref="S22:S23" totalsRowShown="0">
  <autoFilter ref="S22:S23" xr:uid="{4E5A7E40-F6AE-4323-873A-9AB20571A18A}">
    <filterColumn colId="0" hiddenButton="1"/>
  </autoFilter>
  <tableColumns count="1">
    <tableColumn id="1" xr3:uid="{6F7CCB79-CCA9-4395-944C-DBD7A98F1F50}"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F709A-9A3A-4488-B248-7C8818399923}" name="Table_SourceData_PastureBeef_Region_ACT" displayName="Table_SourceData_PastureBeef_Region_ACT" ref="S27:S28" totalsRowShown="0">
  <autoFilter ref="S27:S28" xr:uid="{3655B7FD-A2CC-4B05-9668-16F7A54ED6C1}">
    <filterColumn colId="0" hiddenButton="1"/>
  </autoFilter>
  <tableColumns count="1">
    <tableColumn id="1" xr3:uid="{9CD49086-849B-4A06-8803-3A7266053910}"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838C831-A5CE-4465-A780-A16652181556}"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54AABCD-69A9-4164-AB48-848D149D6B04}" name="State">
      <calculatedColumnFormula array="1">Common_InputFunctions.Utility_DisplayArrayInTable(SourceData_PastureBeef.SourceData_PastureBeef_LiveweightGain_Data(), Table_SourceData_PastureBeef_LiveweightGain[[#Headers],[State]],0)</calculatedColumnFormula>
    </tableColumn>
    <tableColumn id="2" xr3:uid="{4FB375EB-D36D-4890-9B69-13EA8F5496F8}"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A8C8AE14-C9E1-46E0-9F0C-76326E24E767}"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7D706D6-268C-4D20-9582-B5C874528997}"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BBD5938-3077-436B-94DE-6313A3EA8DFA}"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5F9E44CF-2688-428A-8BD4-4B17E0EC1463}"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56EAD732-911A-48FD-9005-468BC3517E3B}"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FCD451F-62AC-40C4-B59A-ADCF1D157CBA}"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4FBE942B-1177-455D-B625-BDF7B514DC60}"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06CC76FB-5F43-44E3-8636-24B5C53F9DD4}"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35F5481-E269-4174-B8A7-E67DB3AE348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5A428B3-AE17-4586-BE0D-84D0180D43DB}" name="State">
      <calculatedColumnFormula array="1">Common_InputFunctions.Utility_DisplayArrayInTable(SourceData_PastureBeef.SourceData_PastureBeef_LiveweightGainNTQLD_Data(),Table_SourceData_PastureBeef_LiveweightGainNTQLD[[#Headers],[State]],0)</calculatedColumnFormula>
    </tableColumn>
    <tableColumn id="2" xr3:uid="{899885A1-57F3-43AC-9DB5-14C8CE8897D6}"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3FAEBFB-8946-44E2-9981-49D82B22C25F}"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6CA6AB3-BB22-4074-97C3-AFC9027D4451}"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4F87A8E-2BE8-4EC7-9675-1617BAE30796}"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66ACDC34-9D57-442A-9704-7360B992696F}"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486E1E59-F70C-4ECB-86BB-7C694D42FE10}"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436EF16-CAA3-4BA1-8EF9-6BAC95739299}"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F9B28C1-5A36-4FE8-A5A8-6140C12C81AC}"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3EFD59F-D706-4C13-9A8C-2C14D78933B5}"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3772AA0-1FD0-4C2F-86DC-2377726D3495}"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68BF2F64-9D01-4D73-9B2B-18AA7ABEF526}"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FAAC981-03CA-4828-9877-CCA7FDC996C1}"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76C32E9-C593-414F-8145-92759D17BFD3}"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854C7B7-B330-4A4C-B907-D42D23717D25}" name="State"/>
    <tableColumn id="2" xr3:uid="{533A8BE4-0B35-4482-B299-AC836E31A801}" name="Region">
      <calculatedColumnFormula>E159</calculatedColumnFormula>
    </tableColumn>
    <tableColumn id="3" xr3:uid="{5BB93C3D-25AF-4EDB-8138-5E7D7DD49A49}" name="Season">
      <calculatedColumnFormula>F159</calculatedColumnFormula>
    </tableColumn>
    <tableColumn id="4" xr3:uid="{BABFA766-F4B6-413D-BE34-CD2BCD4BF75D}" name="Bulls &lt; 1 year">
      <calculatedColumnFormula>G159</calculatedColumnFormula>
    </tableColumn>
    <tableColumn id="5" xr3:uid="{AF9B5022-568D-4B4B-BF1B-81BBAA5FAAC3}" name="Bulls &gt; 1 year">
      <calculatedColumnFormula>H159</calculatedColumnFormula>
    </tableColumn>
    <tableColumn id="6" xr3:uid="{B71F998C-7C56-4754-A0CF-177002E87D42}" name="Cows &lt; 1 year">
      <calculatedColumnFormula>I159</calculatedColumnFormula>
    </tableColumn>
    <tableColumn id="7" xr3:uid="{A60AB536-A228-467E-8C3D-CD518675A5C3}" name="Cows 1-2 years">
      <calculatedColumnFormula>J159</calculatedColumnFormula>
    </tableColumn>
    <tableColumn id="8" xr3:uid="{828BA592-5B99-40DE-99DD-B91E5AFD701A}" name="Cows 2-3 years">
      <calculatedColumnFormula>K159</calculatedColumnFormula>
    </tableColumn>
    <tableColumn id="9" xr3:uid="{7911A464-6403-47EE-8184-8D0928EA96F3}" name="Cows &gt; 3 years">
      <calculatedColumnFormula>L159</calculatedColumnFormula>
    </tableColumn>
    <tableColumn id="10" xr3:uid="{CD89B677-CB6B-40B6-A6D0-E2E261986A62}" name="Steers &lt; 1 year">
      <calculatedColumnFormula>M159</calculatedColumnFormula>
    </tableColumn>
    <tableColumn id="11" xr3:uid="{42103D29-5CD4-494C-B975-47FC6C9F9443}" name="Steers 1-2 years">
      <calculatedColumnFormula>N159</calculatedColumnFormula>
    </tableColumn>
    <tableColumn id="12" xr3:uid="{64B9B983-24DA-4F06-8E27-196F43B2C4FD}" name="Steers 2-3 years">
      <calculatedColumnFormula>O159</calculatedColumnFormula>
    </tableColumn>
    <tableColumn id="13" xr3:uid="{88A6A521-B4B5-46B0-8126-84634C7411F8}"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8F0F9D-36C2-4816-BF13-D5465BF547EB}"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BB72A518-6FF9-4559-BC3F-348A7EFA450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90CA912D-D11A-4EC5-B099-CCDDFA38AF0D}"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AB15236C-99A0-429A-83C9-D0CD82CBBAE3}"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0A35123D-7B80-46BF-B5DF-8D59070CF494}"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054BBFCC-C2E6-4390-9496-1BE394499A2F}"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B62AB02-8045-4C66-A35C-52D39852B09A}"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7D6E216-2BD2-4649-BFDD-92E71E860AAE}"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12BC43D-F4ED-4AD8-B953-C10AF4B69EC1}"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9F9F083E-255C-47AB-87D5-EB6171B294DA}"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B222F6C-568A-4B97-AE2E-115CBC29BA37}"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2F4C2D31-7852-43DA-A0F3-24DCE0C39C10}"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BB64EEC0-A166-468C-B5B7-C9CD9F96D979}"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8A559D26-1BFA-4758-BF15-34FD4E8F69DE}"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14DDA3F-8248-48EE-8A94-735372BF1806}"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140E564-054F-4E03-A679-C60D82300738}"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51FD680-CE30-4444-8157-0678148E0AC2}"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C7EF052B-F009-4736-8A11-72B9D76822A8}"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0DA7F84-D606-4755-81A2-A7DCC7C9EE97}"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A7B2916-B4B2-4A66-85EE-D40433020B96}"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DA883C2-4F72-489C-8A77-17CB233C3CC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2B946B5-ECD0-4787-A3F8-9F6EFE0E3231}"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C5926FD-EE10-4224-AC3B-656CCAC5128F}"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3AB008CC-5F52-4B26-AF84-7737271A0C6A}"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8F83402-5649-4F14-812E-60F180974D63}"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F5214F7D-0098-48CD-8C5A-83251AEFC9DB}"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7B94775-0DE3-41EA-A9D7-A91C76D11BDC}"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185798C0-14B4-4835-B377-94C0CABFF970}"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2295008B-1CB6-409C-B98C-E49A7CD174F4}"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03BCBD3-9A41-4439-9427-B6B08ABA651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A5CD631-6393-46EB-A824-4E7B60731CB0}" name="State" dataDxfId="327" dataCellStyle="Content normal">
      <calculatedColumnFormula>D351</calculatedColumnFormula>
    </tableColumn>
    <tableColumn id="2" xr3:uid="{ACC4A7FD-A7B6-4FC2-89E8-65D4A2EAFCA2}" name="Bulls &lt; 1 year" dataDxfId="326" dataCellStyle="Content normal">
      <calculatedColumnFormula>E351</calculatedColumnFormula>
    </tableColumn>
    <tableColumn id="3" xr3:uid="{0B746370-9662-412D-8DEB-A1A215F74F64}" name="Bulls &gt; 1 year" dataDxfId="325" dataCellStyle="Content normal">
      <calculatedColumnFormula>F351</calculatedColumnFormula>
    </tableColumn>
    <tableColumn id="4" xr3:uid="{F7C24DE3-F5DC-42A9-805A-F8521F2D9C57}" name="Cows &lt; 1 year" dataDxfId="324" dataCellStyle="Content normal">
      <calculatedColumnFormula>G351</calculatedColumnFormula>
    </tableColumn>
    <tableColumn id="5" xr3:uid="{BC0E7642-CFF2-4FA5-9EC3-B88507D30FE0}" name="Cows 1-2 years" dataDxfId="323" dataCellStyle="Content normal">
      <calculatedColumnFormula>H351</calculatedColumnFormula>
    </tableColumn>
    <tableColumn id="6" xr3:uid="{E97B6762-7F69-49F9-AD73-E0639B6918A7}" name="Cows 2-3 years" dataDxfId="322" dataCellStyle="Content normal">
      <calculatedColumnFormula>I351</calculatedColumnFormula>
    </tableColumn>
    <tableColumn id="7" xr3:uid="{65ABF779-C84C-4861-97B7-A40509267EE6}" name="Cows &gt; 3 years" dataDxfId="321" dataCellStyle="Content normal">
      <calculatedColumnFormula>I351</calculatedColumnFormula>
    </tableColumn>
    <tableColumn id="8" xr3:uid="{ED1F7802-8D86-480E-AADD-C81D6C10F4BE}" name="Steers &lt; 1 year" dataDxfId="320" dataCellStyle="Content normal">
      <calculatedColumnFormula>J351</calculatedColumnFormula>
    </tableColumn>
    <tableColumn id="9" xr3:uid="{0C2A03EE-A11B-41BC-8079-775E541343FE}" name="Steers 1-2 years" dataDxfId="319" dataCellStyle="Content normal">
      <calculatedColumnFormula>K351</calculatedColumnFormula>
    </tableColumn>
    <tableColumn id="10" xr3:uid="{C726A0F4-11E5-42A8-8217-2C74A87593E8}" name="Steers 2-3 years" dataDxfId="318" dataCellStyle="Content normal">
      <calculatedColumnFormula>K351</calculatedColumnFormula>
    </tableColumn>
    <tableColumn id="11" xr3:uid="{E79A95FD-410F-43C2-9E34-8297E8B186FB}" name="Steers &gt;3 years" dataDxfId="317" dataCellStyle="Content normal">
      <calculatedColumnFormula>K351</calculatedColumnFormula>
    </tableColumn>
    <tableColumn id="12" xr3:uid="{3029340B-BA66-40EF-A366-287220F15AFE}"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089234-B28F-46BF-ACF0-B59E2FB4BDA1}"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C6CB004-FF1F-4A2F-921B-9B464346955B}"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94A2DDE-C53C-4E8D-BB30-3D07329FC822}"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81DDCA4F-78B0-405F-9E1A-CAF22CBA27A4}"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75E1000-C2C4-4AED-9871-776B2DEE7E3E}"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5FAAA4B-50AC-40F1-8AF2-75F0EE318D2E}"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D0100C5D-111C-4F84-9244-4F5B6BCC6C31}"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AEB7912-CB0B-4150-8504-5C9B29FECEF1}"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74C33B02-5DCB-40B4-A87F-1DD008AB7FFA}"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86866CE-0988-4C0E-B6F4-0EAB3074DF06}"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D37CD3F-B7AF-495D-93BE-8158520E0B9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A12483E9-223A-4459-A113-F3D8C5F90B4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DE2AA902-B74C-4EC5-BAD6-0E4B5394D43E}"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0C4DBE0-AA6D-4F63-9D6E-9DB0067A86A2}"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7AB345B4-913F-4020-9AE8-701233100D29}"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90B5305-9D1B-414D-B50D-D02AB60FE733}" name="Table_LivestockClasses_Beefcattle" displayName="Table_LivestockClasses_Beefcattle" ref="O18:O28" totalsRowShown="0">
  <autoFilter ref="O18:O28" xr:uid="{96840E84-168C-4D51-8D9B-9C727DE4F3B7}">
    <filterColumn colId="0" hiddenButton="1"/>
  </autoFilter>
  <tableColumns count="1">
    <tableColumn id="1" xr3:uid="{8D8EA769-2F63-4900-AF92-E06E171BB72D}"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57BED2F-2CA0-424E-8DA0-E8505639D3A8}"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1AEB9F22-40DF-4DA3-91F0-C9BB11E32F70}" name="Region"/>
    <tableColumn id="2" xr3:uid="{45C1C392-4B2B-4145-8F4B-348904B46E5C}"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299812D-4A7F-4E6F-8704-61DD4B75D5B6}"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02DD2DD2-E38E-4E7B-AF61-D264E1B8F4F7}"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6E5A42A2-4446-40DF-B857-A28C8A907FBB}" name="Product" dataDxfId="303" dataCellStyle="Content normal">
      <calculatedColumnFormula array="1">Common_InputFunctions.Utility_DisplayArrayInTable(Scope3_SourceData.Scope3_Livestock_Data(), Table_SourceData_Scope3_Animals[[#Headers],[Category]], 0, 2)</calculatedColumnFormula>
    </tableColumn>
    <tableColumn id="3" xr3:uid="{F7E5E8FB-9A5E-4FD3-B42A-6F76C207F76C}"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AAE24747-7A9E-42EF-AB78-64A49013C657}"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00B06894-54C2-4F64-BC64-9567A248BB82}"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EE0841B9-2A95-4A1C-B546-1AD3674FA551}"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2F63B386-A517-42C1-BE3C-10EDD8993A69}"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1AB64A0-92E9-4965-8F53-20FEC1448764}" name="Crop type">
      <calculatedColumnFormula array="1">Common_InputFunctions.Utility_DisplayArrayInTable(Agresidue_SourceData.CropAttributes_Data(),Table_SourceData_CropAttributes[[#Headers],[Crop type]], -1)</calculatedColumnFormula>
    </tableColumn>
    <tableColumn id="2" xr3:uid="{2EB4D257-1F6B-4862-8FD6-A6E9CAEEAE9C}" name="Residue: Crop ratio">
      <calculatedColumnFormula array="1">Common_InputFunctions.Utility_DisplayArrayInTable(Agresidue_SourceData.CropAttributes_Data(),Table_SourceData_CropAttributes[[#Headers],[Crop type]], -1)</calculatedColumnFormula>
    </tableColumn>
    <tableColumn id="3" xr3:uid="{2A2D70DB-7883-4945-A5E5-6285AAC78406}" name="Below-ground: above-ground residue ratio">
      <calculatedColumnFormula array="1">Common_InputFunctions.Utility_DisplayArrayInTable(Agresidue_SourceData.CropAttributes_Data(),Table_SourceData_CropAttributes[[#Headers],[Crop type]], -1)</calculatedColumnFormula>
    </tableColumn>
    <tableColumn id="4" xr3:uid="{F39C31F1-CA20-410D-84CD-05F9ACCFDB0E}" name="Dry matter content">
      <calculatedColumnFormula array="1">Common_InputFunctions.Utility_DisplayArrayInTable(Agresidue_SourceData.CropAttributes_Data(),Table_SourceData_CropAttributes[[#Headers],[Crop type]], -1)</calculatedColumnFormula>
    </tableColumn>
    <tableColumn id="5" xr3:uid="{6DF25B40-3340-41B8-97E4-A71A2B1C209A}" name="Carbon fraction in dry matter">
      <calculatedColumnFormula array="1">Common_InputFunctions.Utility_DisplayArrayInTable(Agresidue_SourceData.CropAttributes_Data(),Table_SourceData_CropAttributes[[#Headers],[Crop type]], -1)</calculatedColumnFormula>
    </tableColumn>
    <tableColumn id="6" xr3:uid="{2E462C44-6E59-4629-82F3-AA9914AEF15D}" name="N content above-ground">
      <calculatedColumnFormula array="1">Common_InputFunctions.Utility_DisplayArrayInTable(Agresidue_SourceData.CropAttributes_Data(),Table_SourceData_CropAttributes[[#Headers],[Crop type]], -1)</calculatedColumnFormula>
    </tableColumn>
    <tableColumn id="7" xr3:uid="{4ECE940A-DC0D-4795-A699-9F279902EF20}" name="N content below-ground">
      <calculatedColumnFormula array="1">Common_InputFunctions.Utility_DisplayArrayInTable(Agresidue_SourceData.CropAttributes_Data(),Table_SourceData_CropAttributes[[#Headers],[Crop type]], -1)</calculatedColumnFormula>
    </tableColumn>
    <tableColumn id="8" xr3:uid="{5F4F1D86-4FD8-426F-B1C3-7595154706A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2856C365-40C7-4E87-8673-E97B88D7151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1314AF1E-F2D4-4D58-A024-1A90F8A31169}" name="Table76" displayName="Table76" ref="D73:F89" totalsRowShown="0">
  <autoFilter ref="D73:F89" xr:uid="{7CD0B032-9881-4EF1-81E3-483C7C16D9D0}">
    <filterColumn colId="0" hiddenButton="1"/>
    <filterColumn colId="1" hiddenButton="1"/>
    <filterColumn colId="2" hiddenButton="1"/>
  </autoFilter>
  <tableColumns count="3">
    <tableColumn id="1" xr3:uid="{12359674-2BE4-46AA-BC21-C6FA1624117C}" name="Crop type c">
      <calculatedColumnFormula array="1">Common_InputFunctions.Utility_DisplayArrayInTable(Agresidue_SourceData.CropFractionRemoved_Data(), Table76[[#Headers],[Crop type c]], 0)</calculatedColumnFormula>
    </tableColumn>
    <tableColumn id="2" xr3:uid="{919AC5A2-1BEE-433B-A6FD-A00167DFA63F}" name="State" dataDxfId="29">
      <calculatedColumnFormula array="1">Common_InputFunctions.Utility_DisplayArrayInTable(Agresidue_SourceData.CropFractionRemoved_Data(), Table76[[#Headers],[Crop type c]], 0)</calculatedColumnFormula>
    </tableColumn>
    <tableColumn id="3" xr3:uid="{1DDBDFCD-CBA2-4B35-B4CF-EF9A611CA7B2}"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1070FF2-9085-45F9-BED8-69203B907B4B}" name="Table77" displayName="Table77" ref="D92:F235" totalsRowShown="0">
  <autoFilter ref="D92:F235" xr:uid="{1FA7CC86-1C1E-41FA-9AA1-AAD48AA2EEF0}">
    <filterColumn colId="0" hiddenButton="1"/>
    <filterColumn colId="1" hiddenButton="1"/>
    <filterColumn colId="2" hiddenButton="1"/>
  </autoFilter>
  <tableColumns count="3">
    <tableColumn id="1" xr3:uid="{A0EA6ECC-B4E7-4BE5-91BD-CD07F7D10F70}" name="Crop type c">
      <calculatedColumnFormula array="1">Common_InputFunctions.Utility_DisplayArrayInTable(Agresidue_SourceData.CropFractionRemoved_CustomisedData(), Table77[[#Headers],[Crop type c]], 0)</calculatedColumnFormula>
    </tableColumn>
    <tableColumn id="2" xr3:uid="{90D67D27-0711-4C19-BA95-6465FB0A5D9E}" name="State" dataDxfId="27">
      <calculatedColumnFormula array="1">Common_InputFunctions.Utility_DisplayArrayInTable(Agresidue_SourceData.CropFractionRemoved_CustomisedData(), Table77[[#Headers],[Crop type c]], 0)</calculatedColumnFormula>
    </tableColumn>
    <tableColumn id="3" xr3:uid="{A6D24CCB-4009-4E39-8CD4-42678D09E075}"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1FB5600-1C7C-4E41-8ECF-1022B3CEAAFC}"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7B84133A-5AFE-41EA-AE53-A333D807D820}"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B03662CF-FC49-4656-9E9B-278E3809BDA4}"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6065938-501A-4E8D-BD9E-C15FC08BAC1A}"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FF446F8-E067-4CB7-A62B-E021489639C9}"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9D8F321A-2157-422E-A280-8148C3F5D4DD}"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EF680DDB-2AA6-492F-9B15-55D9C41DC0E2}"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B3964F19-DE7E-4C5C-BB1A-5179F758C149}"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E474DE1B-3087-48EE-B002-AF396D9946D4}"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CF260D8D-3746-46AD-8419-C25E74136CAC}"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A841971-7BA3-4002-B786-5A78AB354B02}"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EDFEB24-3B61-40BC-AC69-20B1CB5A2BB7}" name="Gas species">
      <calculatedColumnFormula array="1">Common_InputFunctions.Utility_DisplayArrayInTable(AgResidues_SourceData.BurningOfAgriculturalResiduesEFs_Data(), Table_SourceData_BurningResidueEFs[[#Headers],[Gas species]], 0)</calculatedColumnFormula>
    </tableColumn>
    <tableColumn id="2" xr3:uid="{47D6ABCB-E541-466A-AACA-AB82AF88EA5E}"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A43E40A7-4B87-42F5-9D6D-7CE5DB647050}"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52C57913-54B6-4870-B888-04CB03F2C4E7}"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8F0E6EB-1DEA-42A5-9F0D-816FE1C6DD0C}" name="Purpose">
      <calculatedColumnFormula array="1">Common_InputFunctions.Utility_DisplayArrayInTable(Agresidue_SourceData.CropPurposeAndYield_Data(), Table_SourceData_CropPurposeAndYields[[#Headers],[Purpose]], 0)</calculatedColumnFormula>
    </tableColumn>
    <tableColumn id="2" xr3:uid="{E2A8D4BA-E230-4636-A948-D2A786C2CD6B}" name="Per hectare unit">
      <calculatedColumnFormula array="1">Common_InputFunctions.Utility_DisplayArrayInTable(Agresidue_SourceData.CropPurposeAndYield_Data(), Table_SourceData_CropPurposeAndYields[[#Headers],[Purpose]], 0)</calculatedColumnFormula>
    </tableColumn>
    <tableColumn id="3" xr3:uid="{1E6D83B6-103E-4E9E-9333-3AB5434B6598}" name="harvest term">
      <calculatedColumnFormula array="1">Common_InputFunctions.Utility_DisplayArrayInTable(Agresidue_SourceData.CropPurposeAndYield_Data(), Table_SourceData_CropPurposeAndYields[[#Headers],[Purpose]], 0)</calculatedColumnFormula>
    </tableColumn>
    <tableColumn id="4" xr3:uid="{3D9BCC57-ABE5-4263-A625-A669B6CCC942}" name="harvest endpoint">
      <calculatedColumnFormula array="1">Common_InputFunctions.Utility_DisplayArrayInTable(Agresidue_SourceData.CropPurposeAndYield_Data(), Table_SourceData_CropPurposeAndYields[[#Headers],[Purpose]], 0)</calculatedColumnFormula>
    </tableColumn>
    <tableColumn id="5" xr3:uid="{DFFFD3A9-323E-443B-A0D2-452439C72352}" name="Harvest uit">
      <calculatedColumnFormula array="1">Common_InputFunctions.Utility_DisplayArrayInTable(Agresidue_SourceData.CropPurposeAndYield_Data(), Table_SourceData_CropPurposeAndYields[[#Headers],[Purpose]], 0)</calculatedColumnFormula>
    </tableColumn>
    <tableColumn id="6" xr3:uid="{CF61BD2D-795F-483D-924D-4EF922D5141F}" name="Yield note">
      <calculatedColumnFormula array="1">Common_InputFunctions.Utility_DisplayArrayInTable(Agresidue_SourceData.CropPurposeAndYield_Data(), Table_SourceData_CropPurposeAndYields[[#Headers],[Purpose]], 0)</calculatedColumnFormula>
    </tableColumn>
    <tableColumn id="8" xr3:uid="{5CEFD795-4AA2-44FD-8FC5-9510F9EAC888}" name="Residue crop ratio note">
      <calculatedColumnFormula array="1">Common_InputFunctions.Utility_DisplayArrayInTable(Agresidue_SourceData.CropPurposeAndYield_Data(), Table_SourceData_CropPurposeAndYields[[#Headers],[Purpose]], 0)</calculatedColumnFormula>
    </tableColumn>
    <tableColumn id="9" xr3:uid="{DE0B338A-8EB5-4206-90B7-1CDA8AB9FBF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127D363-FFCF-4CAA-BE0A-024CD4EC82B7}"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F849162D-4DE1-43B5-A41D-349E63E6D8D0}"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0A2CE99-678F-45C9-8602-1BD767183DE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D18C17E4-F859-4DA4-B51C-5E10037B1D39}" name="Symbol">
      <calculatedColumnFormula array="1">Common_InputFunctions.Utility_DisplayArrayInTable(CommonLivestock_SourceData.SourceData_Livestock_Common_SymbolsMMS_Data(), Table_Data_MMSSymbols[[#Headers],[Symbol]], 0)</calculatedColumnFormula>
    </tableColumn>
    <tableColumn id="2" xr3:uid="{E57E1DC6-8A4B-4B02-BA2A-A096A7CDD836}" name="Manure management system">
      <calculatedColumnFormula array="1">Common_InputFunctions.Utility_DisplayArrayInTable(CommonLivestock_SourceData.SourceData_Livestock_Common_SymbolsMMS_Data(), Table_Data_MMSSymbols[[#Headers],[Symbol]], 0)</calculatedColumnFormula>
    </tableColumn>
    <tableColumn id="3" xr3:uid="{E9C59600-9B90-4CB0-B5DE-5096AD04C48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4AAF823-9F12-4F60-B055-3D08130E427A}" name="Table_SourceData_LivestockProduct_Beefcattle" displayName="Table_SourceData_LivestockProduct_Beefcattle" ref="D31:E39" totalsRowShown="0">
  <autoFilter ref="D31:E39" xr:uid="{A0696731-6602-481C-9AD7-5F0AC3A93169}"/>
  <tableColumns count="2">
    <tableColumn id="1" xr3:uid="{9F75DDA0-3D8F-4808-920A-27C05F52E2AA}" name="Product">
      <calculatedColumnFormula array="1">Common_InputFunctions.Utility_DisplayArrayInTable(CommonLivestock_SourceData.SourceData_Livestock_Product_BeefCattle_Data(),Table_SourceData_LivestockProduct_Beefcattle[[#Headers],[Product]],0)</calculatedColumnFormula>
    </tableColumn>
    <tableColumn id="2" xr3:uid="{2C8E2CA8-5602-4190-AF3D-C1B02FD959BC}"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5C9F826-B4B4-4DE1-82E8-71E334C368B5}" name="Table_SourceData_LivestockProduct_Sheep" displayName="Table_SourceData_LivestockProduct_Sheep" ref="D43:E50" totalsRowShown="0" dataDxfId="11" dataCellStyle="Content normal">
  <autoFilter ref="D43:E50" xr:uid="{F711E95C-01C8-48A7-BB52-9F827483965C}"/>
  <tableColumns count="2">
    <tableColumn id="1" xr3:uid="{F79D4078-D070-4165-8301-D94137FEABB2}"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7ACD2C7-E5D0-4AD6-8CA6-4B3A3DCC936A}"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68F6C46-7B8C-4D21-950C-E26FC54894F4}" name="Table_SourceData_LivestockProduct_Chickens" displayName="Table_SourceData_LivestockProduct_Chickens" ref="D54:E55" totalsRowShown="0" dataDxfId="8" dataCellStyle="Content normal">
  <autoFilter ref="D54:E55" xr:uid="{2A75A840-CA11-4C7B-8899-C3A821D14E27}"/>
  <tableColumns count="2">
    <tableColumn id="1" xr3:uid="{B102929A-2F7F-40BF-A48E-2FDF8B09A088}"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AA90A6B-B4C7-4D3D-B3F4-FB5299A67E9E}"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E3DBA77-6E97-4A82-A57E-949A4C8FCA75}" name="Table_SourceData_LivestockProduct_Dairycattle" displayName="Table_SourceData_LivestockProduct_Dairycattle" ref="D59:E60" totalsRowShown="0" dataDxfId="5" dataCellStyle="Content normal">
  <autoFilter ref="D59:E60" xr:uid="{2D888E1E-7753-4DC0-B298-BEAC22F6BD88}"/>
  <tableColumns count="2">
    <tableColumn id="1" xr3:uid="{C5C24623-33EB-4295-83EE-763F359CB08B}"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CDE4F93F-004E-492F-B2AE-5C99656B2F82}"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E5C31DF4-0733-4A8B-B371-004043F73937}" name="Table_SourceData_LivestockProduct_Pigs" displayName="Table_SourceData_LivestockProduct_Pigs" ref="D64:E65" totalsRowShown="0" dataDxfId="2" dataCellStyle="Content normal">
  <autoFilter ref="D64:E65" xr:uid="{4DB6C08B-3AF7-4AD1-AB80-46559AA7950B}"/>
  <tableColumns count="2">
    <tableColumn id="1" xr3:uid="{64755353-1B92-47BC-B97A-E6F480983CD5}"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87A42ADE-9828-4C84-9E53-D16C99389CDE}"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3F75EDD-A263-49EF-9506-FA1843A33127}"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A5710884-A13A-4728-AF0D-6B6216C8289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1D944BB-B2B9-493A-A474-FE7E8E6E56D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2DCC28D-029E-49B2-BC8B-034E31CF960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297092D-CFCF-4105-8785-5914069D1CD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9BDF943-D75C-4F3C-8759-BEC5593E866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10D6F9B-5BCF-41B8-BAAA-D50BEB15C86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0FAFD13B-06C5-4D41-A49A-D0668F12E8F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C7E1CB1-F013-4856-9F6B-5A2CD3996E7C}"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CC6C74E-2F86-4656-ABAE-888A8513D63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EE2C77C-8EF5-4526-8CFD-01C0564E3EA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D9396688-CE4D-47D7-B37C-2332440B951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D5783CA-D5EB-4C9B-ADB0-E05C789DDDE9}" name="FNinorganic f">
      <calculatedColumnFormula array="1">Common_InputFunctions.Utility_DisplayArrayInTable(Fertiliser_SourceData.Fertiliser_ChemicalCompoundElements_Data(),Table_Fertiliser_ChemicalCompounds[[#Headers],[Fertiliser type f]], 0)</calculatedColumnFormula>
    </tableColumn>
    <tableColumn id="3" xr3:uid="{8475A3CA-FC32-4DC7-AB93-AC6C1D6E0509}" name="FU f">
      <calculatedColumnFormula array="1">Common_InputFunctions.Utility_DisplayArrayInTable(Fertiliser_SourceData.Fertiliser_ChemicalCompoundElements_Data(),Table_Fertiliser_ChemicalCompounds[[#Headers],[Fertiliser type f]], 0)</calculatedColumnFormula>
    </tableColumn>
    <tableColumn id="4" xr3:uid="{5D51B9B4-F2D2-4122-B701-9B23CF56A031}" name="Basis">
      <calculatedColumnFormula array="1">Common_InputFunctions.Utility_DisplayArrayInTable(Fertiliser_SourceData.Fertiliser_ChemicalCompoundElements_Data(),Table_Fertiliser_ChemicalCompounds[[#Headers],[Fertiliser type f]], 0)</calculatedColumnFormula>
    </tableColumn>
    <tableColumn id="5" xr3:uid="{E22D252F-EFDD-49DA-B8AF-74DB30BEE47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DB97AB0-8EEE-447C-847E-800D4548461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1CC0324-2B47-40C6-95C2-08D67AD0614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B966436-B6AD-430A-9589-9DCF4982824A}"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B4C51DFC-0888-428F-8A51-2F48AA2DB7B4}" name="Notes" dataDxfId="179" totalsRowDxfId="180">
      <calculatedColumnFormula array="1">Common_InputFunctions.Utility_DisplayArrayInTable(Fertiliser_SourceData.Fertiliser_Products_Data1(),FertiliserProducts[[#Headers],[Include or Exclude]], 0)</calculatedColumnFormula>
    </tableColumn>
    <tableColumn id="3" xr3:uid="{A5DD474A-DD98-4EEC-9A5F-1AEA6DA0E6AA}" name="Company" dataDxfId="177" totalsRowDxfId="178">
      <calculatedColumnFormula array="1">Common_InputFunctions.Utility_DisplayArrayInTable(Fertiliser_SourceData.Fertiliser_Products_Data1(),FertiliserProducts[[#Headers],[Include or Exclude]], 0)</calculatedColumnFormula>
    </tableColumn>
    <tableColumn id="4" xr3:uid="{9B308C13-9CCB-4631-AA27-08240214B378}" name="Product name" dataDxfId="175" totalsRowDxfId="176">
      <calculatedColumnFormula array="1">Common_InputFunctions.Utility_DisplayArrayInTable(Fertiliser_SourceData.Fertiliser_Products_Data1(),FertiliserProducts[[#Headers],[Include or Exclude]], 0)</calculatedColumnFormula>
    </tableColumn>
    <tableColumn id="5" xr3:uid="{C11BAA98-6123-49F9-B576-C10FB23540C7}" name="Unit" dataDxfId="173" totalsRowDxfId="174">
      <calculatedColumnFormula array="1">Common_InputFunctions.Utility_DisplayArrayInTable(Fertiliser_SourceData.Fertiliser_Products_Data1(),FertiliserProducts[[#Headers],[Include or Exclude]], 0,4)</calculatedColumnFormula>
    </tableColumn>
    <tableColumn id="6" xr3:uid="{B5E08E2E-D2E9-4B28-8CBC-8D12B7D0DDF6}"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A730A1C8-C3FF-438B-B6B0-469CEFFB8021}" name="Urea source" dataDxfId="169" totalsRowDxfId="170">
      <calculatedColumnFormula array="1">Common_InputFunctions.Utility_DisplayArrayInTable(Fertiliser_SourceData.Fertiliser_Products_Data1(),FertiliserProducts[[#Headers],[Include or Exclude]], 0,4)</calculatedColumnFormula>
    </tableColumn>
    <tableColumn id="8" xr3:uid="{CEB9BD14-632A-48C0-8D90-E2D999367613}" name="Ammonia source" dataDxfId="167" totalsRowDxfId="168">
      <calculatedColumnFormula array="1">Common_InputFunctions.Utility_DisplayArrayInTable(Fertiliser_SourceData.Fertiliser_Products_Data1(),FertiliserProducts[[#Headers],[Include or Exclude]], 0,4)</calculatedColumnFormula>
    </tableColumn>
    <tableColumn id="9" xr3:uid="{01C4F7FD-E8DB-44F3-B8FC-9DF56056229B}" name="Ingredient 1" dataDxfId="165" totalsRowDxfId="166">
      <calculatedColumnFormula array="1">Common_InputFunctions.Utility_DisplayArrayInTable(Fertiliser_SourceData.Fertiliser_Products_Data1(),FertiliserProducts[[#Headers],[Include or Exclude]], 0,4)</calculatedColumnFormula>
    </tableColumn>
    <tableColumn id="10" xr3:uid="{42BEBB46-816B-4F5B-BD02-461086F2A64F}"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BDA7BA06-5DBB-4E90-B439-90E30BFDE71C}" name="Ingredient 2" dataDxfId="161" totalsRowDxfId="162">
      <calculatedColumnFormula array="1">Common_InputFunctions.Utility_DisplayArrayInTable(Fertiliser_SourceData.Fertiliser_Products_Data1(),FertiliserProducts[[#Headers],[Include or Exclude]], 0,4)</calculatedColumnFormula>
    </tableColumn>
    <tableColumn id="12" xr3:uid="{6EED4666-827A-4C8F-8138-A8CB8B8E6342}"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7EFE6DE3-F0BE-44F5-8E00-C591C5DC0DB2}" name="Ingredient 3" dataDxfId="157" totalsRowDxfId="158">
      <calculatedColumnFormula array="1">Common_InputFunctions.Utility_DisplayArrayInTable(Fertiliser_SourceData.Fertiliser_Products_Data1(),FertiliserProducts[[#Headers],[Include or Exclude]], 0,4)</calculatedColumnFormula>
    </tableColumn>
    <tableColumn id="14" xr3:uid="{E4893F61-C636-4EED-B764-DEA4E5F69B2A}"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B9468F2D-CD58-4D0D-A4FF-2C069F8F7D5F}" name="Ingredient 4" dataDxfId="153" totalsRowDxfId="154">
      <calculatedColumnFormula array="1">Common_InputFunctions.Utility_DisplayArrayInTable(Fertiliser_SourceData.Fertiliser_Products_Data1(),FertiliserProducts[[#Headers],[Include or Exclude]], 0,4)</calculatedColumnFormula>
    </tableColumn>
    <tableColumn id="16" xr3:uid="{BE51224D-44A5-4AB6-8563-3546554E4C9C}"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9A791E8D-04E3-43DE-BE3B-93476756A3B6}" name="Ingredient 5" dataDxfId="149" totalsRowDxfId="150">
      <calculatedColumnFormula array="1">Common_InputFunctions.Utility_DisplayArrayInTable(Fertiliser_SourceData.Fertiliser_Products_Data1(),FertiliserProducts[[#Headers],[Include or Exclude]], 0,4)</calculatedColumnFormula>
    </tableColumn>
    <tableColumn id="18" xr3:uid="{DC0F840E-76FC-4127-88C8-0B6F4B454447}"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376454B0-1D16-4E27-85A3-FD1AEE69BE5C}" name="Ingredient 6" dataDxfId="145" totalsRowDxfId="146">
      <calculatedColumnFormula array="1">Common_InputFunctions.Utility_DisplayArrayInTable(Fertiliser_SourceData.Fertiliser_Products_Data1(),FertiliserProducts[[#Headers],[Include or Exclude]], 0,4)</calculatedColumnFormula>
    </tableColumn>
    <tableColumn id="37" xr3:uid="{A941BE54-F26F-4A3A-BE31-73E35B70F859}"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6CD14EA5-944D-42EA-B4E8-FC5D350F1454}" name="Ingredient 7" dataDxfId="142">
      <calculatedColumnFormula array="1">Common_InputFunctions.Utility_DisplayArrayInTable(Fertiliser_SourceData.Fertiliser_Products_Data1(),FertiliserProducts[[#Headers],[Include or Exclude]], 0,4)</calculatedColumnFormula>
    </tableColumn>
    <tableColumn id="24" xr3:uid="{21C6A2E7-1594-4FE6-BEDD-426EC492855B}" name="Ingredient 7 percent" dataDxfId="141">
      <calculatedColumnFormula array="1">Common_InputFunctions.Utility_DisplayArrayInTable(Fertiliser_SourceData.Fertiliser_Products_Data1(),FertiliserProducts[[#Headers],[Include or Exclude]], 0,4)</calculatedColumnFormula>
    </tableColumn>
    <tableColumn id="23" xr3:uid="{E0ED30DF-FAE5-4BDA-A0F7-CA1F352898C5}" name="Ingredient 8" dataDxfId="140">
      <calculatedColumnFormula array="1">Common_InputFunctions.Utility_DisplayArrayInTable(Fertiliser_SourceData.Fertiliser_Products_Data1(),FertiliserProducts[[#Headers],[Include or Exclude]], 0,4)</calculatedColumnFormula>
    </tableColumn>
    <tableColumn id="26" xr3:uid="{B87A6160-7306-47D2-A6E1-7D0CF4C307F2}" name="Ingredient 8 percent" dataDxfId="139">
      <calculatedColumnFormula array="1">Common_InputFunctions.Utility_DisplayArrayInTable(Fertiliser_SourceData.Fertiliser_Products_Data1(),FertiliserProducts[[#Headers],[Include or Exclude]], 0,4)</calculatedColumnFormula>
    </tableColumn>
    <tableColumn id="25" xr3:uid="{51406316-A2DD-430F-BDFA-2A09814621F5}" name="Ingredient 9" dataDxfId="138">
      <calculatedColumnFormula array="1">Common_InputFunctions.Utility_DisplayArrayInTable(Fertiliser_SourceData.Fertiliser_Products_Data1(),FertiliserProducts[[#Headers],[Include or Exclude]], 0,4)</calculatedColumnFormula>
    </tableColumn>
    <tableColumn id="30" xr3:uid="{A19C56DC-79BF-45D2-A790-74A6123F528A}" name="Ingredient 9 percent" dataDxfId="137">
      <calculatedColumnFormula array="1">Common_InputFunctions.Utility_DisplayArrayInTable(Fertiliser_SourceData.Fertiliser_Products_Data1(),FertiliserProducts[[#Headers],[Include or Exclude]], 0,4)</calculatedColumnFormula>
    </tableColumn>
    <tableColumn id="29" xr3:uid="{900D6AA4-1EEA-414B-9CB5-EB2D14FB1FCE}" name="Imngredient 10" dataDxfId="136">
      <calculatedColumnFormula array="1">Common_InputFunctions.Utility_DisplayArrayInTable(Fertiliser_SourceData.Fertiliser_Products_Data1(),FertiliserProducts[[#Headers],[Include or Exclude]], 0,4)</calculatedColumnFormula>
    </tableColumn>
    <tableColumn id="28" xr3:uid="{862C2732-E47E-4B26-AE9D-E16674407171}"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604CB10-CA80-4BBF-A727-2D4B135EA96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55933850-DA5D-4A6E-8371-7CC0EA625FCF}" name="Fertiliser type f">
      <calculatedColumnFormula array="1">Common_InputFunctions.Utility_DisplayArrayInTable(Fertiliser_SourceData.Fertiliser_FracGASF_Data(), Table_SourceData_Fertiliser_FracGASF[[#Headers],[Fertiliser type f]], 0)</calculatedColumnFormula>
    </tableColumn>
    <tableColumn id="2" xr3:uid="{820492FB-7D31-41CB-B5F7-FE4876B56E44}"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5835F24-46DB-4422-93ED-E51A6AD3F53C}" name="Table_SourceData_Fertiliser_CropProdSystems" displayName="Table_SourceData_Fertiliser_CropProdSystems" ref="D41:D43" totalsRowShown="0">
  <autoFilter ref="D41:D43" xr:uid="{24F3A11E-40F5-4BB9-BFF4-A71FA2ADA0EF}">
    <filterColumn colId="0" hiddenButton="1"/>
  </autoFilter>
  <tableColumns count="1">
    <tableColumn id="1" xr3:uid="{7BE57D9C-C499-471A-8AFC-1CEB65B28872}"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8DD780-6210-41A3-AC2A-B095D93C755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03E05E-9830-471D-B2AC-7E43333B360D}"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1F6A94E-8BE6-4578-88CB-431F586DF989}" name="Table_SourceData_Fertiliser_CropTypes" displayName="Table_SourceData_Fertiliser_CropTypes" ref="F41:F45" totalsRowShown="0">
  <autoFilter ref="F41:F45" xr:uid="{CB5044B5-FA3C-4AA2-B1AB-72F7E61D072F}">
    <filterColumn colId="0" hiddenButton="1"/>
  </autoFilter>
  <tableColumns count="1">
    <tableColumn id="1" xr3:uid="{15CAACCE-6144-4FAC-ADE4-E94B06EF6207}"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AF3AECF-4DDE-4D5D-803F-9106C001920F}" name="Table_SourceData_OrganicFertiliserTypes" displayName="Table_SourceData_OrganicFertiliserTypes" ref="J41:J46" totalsRowShown="0">
  <autoFilter ref="J41:J46" xr:uid="{B44627B1-537E-4ABC-92C3-57282CEE5B40}">
    <filterColumn colId="0" hiddenButton="1"/>
  </autoFilter>
  <tableColumns count="1">
    <tableColumn id="1" xr3:uid="{1F40791C-4B68-4DC8-8535-06F516E9E274}"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BC7E74-2BEF-424C-9F5F-249BE6A5761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19A01F4-F7E1-49E2-89E0-DF1D52532F8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E6300740-72D9-474F-88DE-9077DD5ED07F}"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78FC6A8-9AC8-47E9-9BCD-B63C9FB2897A}"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C9AC8A9-E422-4A74-8355-994137EC358C}" name="Table2" displayName="Table2" ref="K19:L28" totalsRowShown="0" dataDxfId="131" dataCellStyle="Content normal">
  <autoFilter ref="K19:L28" xr:uid="{27B93029-EB1F-4C4A-A946-CD673A8A6C46}">
    <filterColumn colId="0" hiddenButton="1"/>
    <filterColumn colId="1" hiddenButton="1"/>
  </autoFilter>
  <tableColumns count="2">
    <tableColumn id="1" xr3:uid="{F9845615-9A20-48C2-B282-2A3705371471}"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94488C23-95D5-42FB-A7B0-B8CC16D5F7CD}"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DE7AE65-0E10-4BBB-AFDE-11038DE46BE0}" name="Table28" displayName="Table28" ref="Q19:R28" totalsRowShown="0" dataDxfId="128" dataCellStyle="Content normal">
  <autoFilter ref="Q19:R28" xr:uid="{791CEA59-796C-47AB-86BC-41E8F699030C}">
    <filterColumn colId="0" hiddenButton="1"/>
    <filterColumn colId="1" hiddenButton="1"/>
  </autoFilter>
  <tableColumns count="2">
    <tableColumn id="1" xr3:uid="{B8A50E06-1F94-451C-A676-4FBF2582B77A}"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03FB9E6C-72EE-4D19-B1DF-6E08A2F27010}"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4269B96-53A5-4C49-A0D3-ABCA415E611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1A40B73-297C-4361-B28B-0B91FCCB52A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C0B62DFA-DE75-4A93-96CB-5A75A4D72612}"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F35BE97-9BF9-40FA-99E0-A01FD4CC5DE5}"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27722DF9-DA14-4CCF-A7C9-D857ED646A38}"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736F865E-9150-4758-AA49-691FED9544D0}"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994A1BA7-C4EC-44F8-9230-DD543AC90BED}"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714F2657-1E6F-45B5-8399-B88BD2A59978}"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6FD07E4D-573A-4967-BA1F-BAA48858DC37}"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8ADCE6BC-370F-45F0-B9AC-47B17D60BF27}"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3F17DDB6-EA5B-4FEB-A4D7-359511D45698}"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534752E-9E77-46EF-8D14-19A963D1BA7F}"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944BCDF-9D87-44CF-90B8-5BBF4D342CBE}" name="Transport type" dataDxfId="68">
      <calculatedColumnFormula array="1">Common_InputFunctions.Utility_DisplayArrayInTable(Fuel_SourceData.Fuel_Scope1Scope3EmissionFactorsTransport_Data(), Table_Fuel_EFs_Transport[[#Headers],[Transport type]], 0)</calculatedColumnFormula>
    </tableColumn>
    <tableColumn id="2" xr3:uid="{F96DFA50-832B-4A64-8F52-38E4E79B9C77}" name="Fuel combusted" dataDxfId="67">
      <calculatedColumnFormula array="1">Common_InputFunctions.Utility_DisplayArrayInTable(Fuel_SourceData.Fuel_Scope1Scope3EmissionFactorsTransport_Data(), Table_Fuel_EFs_Transport[[#Headers],[Transport type]], 0)</calculatedColumnFormula>
    </tableColumn>
    <tableColumn id="3" xr3:uid="{18825D17-AB04-47B3-A64B-3D8FB032C1AA}"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43137FE5-AAC2-475E-A804-6C861A5C3158}" name="Fuel unit" dataDxfId="65">
      <calculatedColumnFormula array="1">Common_InputFunctions.Utility_DisplayArrayInTable(Fuel_SourceData.Fuel_Scope1Scope3EmissionFactorsTransport_Data(), Table_Fuel_EFs_Transport[[#Headers],[Transport type]], 0)</calculatedColumnFormula>
    </tableColumn>
    <tableColumn id="8" xr3:uid="{07702B49-39AF-41E1-B014-A60F4EC6C089}"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E8DF703C-9CE5-4D47-BA16-B152A8E318FC}"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364D81CB-927A-4CF7-9F5C-D20670925937}"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EBFCC194-CFFF-4E41-83A3-93F6223FAA6A}"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9EDC9981-FB76-490A-A684-3A101C12536B}"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FC26763B-E707-48F7-B4EF-9278B15FD281}"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C928A00-8A3B-4D68-A730-E8EADC396C27}" name="Generators" dataDxfId="57"/>
    <tableColumn id="2" xr3:uid="{CB324E10-8197-45F6-957E-BAF516C82F86}" name="Power standalone machinery or heating" dataDxfId="56"/>
    <tableColumn id="3" xr3:uid="{E422E60E-5AC3-4FD6-AF5E-72ECB15F6112}" name="Aviation" dataDxfId="55"/>
    <tableColumn id="5" xr3:uid="{29A070BD-9D0F-43A1-B4B0-33CFD315F0A7}" name="Cars and light commercial vehicles" dataDxfId="54"/>
    <tableColumn id="7" xr3:uid="{1BB36553-9C4D-458E-9B52-76133EB6E35F}" name="Off-road Agriculture and forestry equipment" dataDxfId="53" dataCellStyle="Content bold"/>
    <tableColumn id="8" xr3:uid="{B6319090-460E-4447-B829-B690F957EE3B}"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94A5686-7E6D-41BA-9BAF-4993BEEC8724}"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8F6C8E8-7861-4608-9C4E-EE0C731AEF42}"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58A13FA5-6D36-4973-8024-73704FC979F2}"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EDC1869D-3898-4DB3-B449-F02C4D107798}"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1BE7EA77-6D9A-4D13-A06D-950B5379E5EF}"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44C97A57-39EF-45DE-91D4-04F6065B3389}"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7314BB95-3177-4726-B525-A6E46C0F5EEF}"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63C5D870-FD6F-4485-B214-23AE65891DF0}"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D978E7B-77D5-458E-BD9F-046761613D8A}"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D7141AE9-6C32-42CA-9D79-3DB07198E707}"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0E2E2E32-AB43-4980-922D-FCFDFFC4DC22}"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2ADF3BFA-C1DD-48E6-8B29-EDA3F1154633}"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6AF5528-073A-4735-AC67-D5FD91DBC5F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751BE0A-DB49-49AD-882A-C0A024F04133}" name="Fuel type"/>
    <tableColumn id="2" xr3:uid="{7306411F-955A-4002-943E-FEBF3EFBF653}" name="Unit"/>
    <tableColumn id="3" xr3:uid="{9A89C14D-0752-4918-A963-6F682D4B4863}"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2C4C8EF-770E-4054-A850-4204961A81D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74779B-5E34-4DB8-9F0B-105F8933A94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1FE84B7-0C33-4B5C-8806-E6A4FAA3943B}"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AB7933F-4FAF-4DAE-88D1-0BFE07642B5E}"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79B4DF0-864B-42E5-9241-B8B67B59BD55}"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9FC38FE-43A5-4840-B180-FF3045A5BC78}"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58FAD80-B9F1-4821-AD61-1B8B4C821947}"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7415AA0-64BC-4CB3-A459-537C75A4B039}"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2.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3.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4.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5.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6.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8"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0"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8"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158</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159</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160</v>
      </c>
      <c r="E13" s="18" cm="1">
        <f t="array" ref="E13">VEERG_5_1_1_3__1_InorganicFertiliserApplicationCO2Emissions_Result_Method1</f>
        <v>7.333333333333333</v>
      </c>
      <c r="F13" s="18">
        <f>E13</f>
        <v>7.333333333333333</v>
      </c>
      <c r="G13" s="15" t="s">
        <v>148</v>
      </c>
      <c r="H13" s="18">
        <f>E13</f>
        <v>7.333333333333333</v>
      </c>
      <c r="I13" s="18">
        <f>F13</f>
        <v>7.333333333333333</v>
      </c>
      <c r="J13" s="15" t="s">
        <v>7</v>
      </c>
      <c r="K13" s="8"/>
    </row>
    <row r="14" spans="1:11" ht="20.100000000000001" customHeight="1" x14ac:dyDescent="0.25">
      <c r="A14" s="5" t="str">
        <f>HYPERLINK("#'Input - Fuel'!A1", "Fuel")</f>
        <v>Fuel</v>
      </c>
      <c r="C14" s="8"/>
      <c r="D14" s="1" t="s">
        <v>161</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162</v>
      </c>
      <c r="E15" s="18" cm="1">
        <f t="array" ref="E15">VEERG_5_3_1_1__1_LimeApplicationCO2Emissions_Result_Method1</f>
        <v>75.808333333333337</v>
      </c>
      <c r="F15" s="18">
        <f>E15</f>
        <v>75.808333333333337</v>
      </c>
      <c r="G15" s="15" t="s">
        <v>148</v>
      </c>
      <c r="H15" s="18">
        <f>E15</f>
        <v>75.808333333333337</v>
      </c>
      <c r="I15" s="18">
        <f>F15</f>
        <v>75.808333333333337</v>
      </c>
      <c r="J15" s="15" t="s">
        <v>7</v>
      </c>
      <c r="K15" s="8"/>
    </row>
    <row r="16" spans="1:11" ht="20.100000000000001" customHeight="1" x14ac:dyDescent="0.25">
      <c r="C16" s="8"/>
      <c r="D16" s="1" t="s">
        <v>163</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164</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165</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166</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167</v>
      </c>
      <c r="E20" s="18" cm="1">
        <f t="array" ref="E20">VEERG_8_1_1_1__1_FuelCombustionTransport_Result_CO2</f>
        <v>83.182000000000002</v>
      </c>
      <c r="F20" s="18">
        <f>E20</f>
        <v>83.182000000000002</v>
      </c>
      <c r="G20" s="15" t="s">
        <v>148</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169</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168</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170</v>
      </c>
      <c r="E23" s="18" cm="1">
        <f t="array" ref="E23">VEERG_8_2_1_1__1_FuelCombustionStationary_Result_CO2</f>
        <v>29.070800000000002</v>
      </c>
      <c r="F23" s="18">
        <f>E23</f>
        <v>29.070800000000002</v>
      </c>
      <c r="G23" s="15" t="s">
        <v>148</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171</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172</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173</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174</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127</v>
      </c>
      <c r="E32" s="1"/>
      <c r="F32" s="1"/>
      <c r="G32" s="1"/>
      <c r="H32" s="13"/>
      <c r="I32" s="8"/>
      <c r="J32" s="8"/>
      <c r="K32" s="8"/>
    </row>
    <row r="33" spans="1:11" ht="20.100000000000001" customHeight="1" x14ac:dyDescent="0.3">
      <c r="A33" s="5" t="str">
        <f>HYPERLINK("#'8.2.1.1-2 Stationary fuel'!A1", "8.2.1.1-2 Stationary fuel")</f>
        <v>8.2.1.1-2 Stationary fuel</v>
      </c>
      <c r="C33" s="8"/>
      <c r="D33" s="89"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129</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128</v>
      </c>
      <c r="E36" s="20" t="s">
        <v>10</v>
      </c>
      <c r="F36" s="20" t="s">
        <v>11</v>
      </c>
      <c r="G36" s="1"/>
      <c r="H36" s="13"/>
      <c r="I36" s="8"/>
      <c r="J36" s="8"/>
      <c r="K36" s="8"/>
    </row>
    <row r="37" spans="1:11" ht="20.100000000000001" customHeight="1" x14ac:dyDescent="0.3">
      <c r="A37" s="250" t="s">
        <v>1</v>
      </c>
      <c r="C37" s="8"/>
      <c r="D37" s="1" t="str" cm="1">
        <f t="array" ref="D37:D39">Common_InputFunctions.getOverlappingReportingPeriods(X_Cell_Enterprise_ProductionTimeframeStart,X_Cell_Enterprise_ProductionTimeframeEnd,X_Cell_Site_StartDate)</f>
        <v>01 Jan 2023 to 31 Dec 2023</v>
      </c>
      <c r="E37" s="87" t="str">
        <f>IF(ISBLANK($D37), "", IF(ISNUMBER(SEARCH("reporting", $D37)), Result_Enterprise_Method1, "Enter value"))</f>
        <v>Enter value</v>
      </c>
      <c r="F37" s="87"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7" t="e">
        <f ca="1">IF(ISBLANK($D38), "", IF(ISNUMBER(SEARCH("reporting", $D38)), Result_Enterprise_Method1, "Enter value"))</f>
        <v>#N/A</v>
      </c>
      <c r="F38" s="87"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7" t="str">
        <f>IF(ISBLANK($D39), "", IF(ISNUMBER(SEARCH("reporting", $D39)), Result_Enterprise_Method1, "Enter value"))</f>
        <v>Enter value</v>
      </c>
      <c r="F39" s="87"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7" t="str">
        <f>IF(ISBLANK($D40), "", IF(ISNUMBER(SEARCH("reporting", $D40)), Result_Enterprise_Method1, "Enter value"))</f>
        <v/>
      </c>
      <c r="F40" s="87"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9"/>
      <c r="E41" s="87" t="str">
        <f>IF(ISBLANK($D41), "", IF(ISNUMBER(SEARCH("reporting", $D41)), Result_Enterprise_Method1, "Enter value"))</f>
        <v/>
      </c>
      <c r="F41" s="87"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149</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146</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128</v>
      </c>
      <c r="E47" s="20" t="s">
        <v>147</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7">
        <v>0.6</v>
      </c>
      <c r="F48" s="15" t="s">
        <v>148</v>
      </c>
      <c r="G48" s="1"/>
      <c r="H48" s="1"/>
      <c r="I48" s="1"/>
      <c r="J48" s="1"/>
      <c r="K48" s="8"/>
    </row>
    <row r="49" spans="3:11" ht="20.100000000000001" customHeight="1" x14ac:dyDescent="0.25">
      <c r="C49" s="8"/>
      <c r="D49" s="1" t="str">
        <v>01 Jan 2024 to 31 Dec 2024 (This reporting cycle)</v>
      </c>
      <c r="E49" s="87">
        <v>0.5</v>
      </c>
      <c r="F49" s="15" t="s">
        <v>148</v>
      </c>
      <c r="G49" s="1"/>
      <c r="H49" s="1"/>
      <c r="I49" s="1"/>
      <c r="J49" s="1"/>
      <c r="K49" s="8"/>
    </row>
    <row r="50" spans="3:11" ht="20.100000000000001" customHeight="1" x14ac:dyDescent="0.25">
      <c r="C50" s="8"/>
      <c r="D50" s="1" t="str">
        <v>01 Jan 2025 to 31 Dec 2025</v>
      </c>
      <c r="E50" s="87" t="s">
        <v>175</v>
      </c>
      <c r="F50" s="15" t="s">
        <v>148</v>
      </c>
      <c r="G50" s="1"/>
      <c r="H50" s="1"/>
      <c r="I50" s="1"/>
      <c r="J50" s="1"/>
      <c r="K50" s="8"/>
    </row>
    <row r="51" spans="3:11" ht="20.100000000000001" customHeight="1" x14ac:dyDescent="0.25">
      <c r="C51" s="8"/>
      <c r="D51" s="1"/>
      <c r="E51" s="87"/>
      <c r="F51" s="15" t="s">
        <v>148</v>
      </c>
      <c r="G51" s="1"/>
      <c r="H51" s="1"/>
      <c r="I51" s="1"/>
      <c r="J51" s="1"/>
      <c r="K51" s="8"/>
    </row>
    <row r="52" spans="3:11" ht="20.100000000000001" customHeight="1" x14ac:dyDescent="0.25">
      <c r="C52" s="8"/>
      <c r="D52" s="1"/>
      <c r="E52" s="87"/>
      <c r="F52" s="15" t="s">
        <v>148</v>
      </c>
      <c r="G52" s="1"/>
      <c r="H52" s="1"/>
      <c r="I52" s="8"/>
      <c r="J52" s="8"/>
      <c r="K52" s="8"/>
    </row>
    <row r="53" spans="3:11" ht="20.100000000000001" customHeight="1" x14ac:dyDescent="0.3">
      <c r="C53" s="8"/>
      <c r="D53" s="14" t="s">
        <v>150</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131</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152</v>
      </c>
      <c r="F58" s="20" t="s">
        <v>153</v>
      </c>
      <c r="G58" s="1"/>
      <c r="H58" s="1"/>
      <c r="I58" s="1"/>
      <c r="J58" s="1"/>
      <c r="K58" s="8"/>
    </row>
    <row r="59" spans="3:11" ht="20.100000000000001" customHeight="1" x14ac:dyDescent="0.3">
      <c r="C59" s="8"/>
      <c r="D59" s="90" t="s">
        <v>151</v>
      </c>
      <c r="E59" s="88" t="e">
        <f ca="1">E42-E53</f>
        <v>#N/A</v>
      </c>
      <c r="F59" s="88"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156</v>
      </c>
      <c r="E61" s="20" t="s">
        <v>140</v>
      </c>
      <c r="F61" s="20" t="s">
        <v>132</v>
      </c>
      <c r="G61" s="20" t="s">
        <v>134</v>
      </c>
      <c r="H61" s="20" t="s">
        <v>138</v>
      </c>
      <c r="I61" s="20" t="s">
        <v>139</v>
      </c>
      <c r="J61" s="20" t="s">
        <v>133</v>
      </c>
      <c r="K61" s="8"/>
    </row>
    <row r="62" spans="3:11" ht="20.100000000000001" customHeight="1" x14ac:dyDescent="0.25">
      <c r="C62" s="8"/>
      <c r="D62" s="1" t="s">
        <v>24</v>
      </c>
      <c r="E62" s="1" t="s">
        <v>141</v>
      </c>
      <c r="F62" s="18">
        <f>'Input - Enterprise'!E22</f>
        <v>0</v>
      </c>
      <c r="G62" s="18" t="e">
        <f>F62/(F62+F63)</f>
        <v>#DIV/0!</v>
      </c>
      <c r="H62" s="18" t="e">
        <f ca="1">($E$42/F62)*G62</f>
        <v>#N/A</v>
      </c>
      <c r="I62" s="18" t="e">
        <f ca="1">($F$42/F62)*G62</f>
        <v>#VALUE!</v>
      </c>
      <c r="J62" s="15" t="s">
        <v>136</v>
      </c>
      <c r="K62" s="8"/>
    </row>
    <row r="63" spans="3:11" ht="20.100000000000001" customHeight="1" x14ac:dyDescent="0.25">
      <c r="C63" s="8"/>
      <c r="D63" s="1" t="s">
        <v>135</v>
      </c>
      <c r="E63" s="1" t="s">
        <v>142</v>
      </c>
      <c r="F63" s="18">
        <f>'Input - Enterprise'!E26*'Input - Enterprise'!E27</f>
        <v>0</v>
      </c>
      <c r="G63" s="18" t="e">
        <f>F63/(F62+F63)</f>
        <v>#DIV/0!</v>
      </c>
      <c r="H63" s="18" t="e">
        <f ca="1">($E$42/F63)*G63</f>
        <v>#N/A</v>
      </c>
      <c r="I63" s="18" t="e">
        <f ca="1">($F$42/F63)*G63</f>
        <v>#VALUE!</v>
      </c>
      <c r="J63" s="15" t="s">
        <v>137</v>
      </c>
      <c r="K63" s="8"/>
    </row>
    <row r="64" spans="3:11" ht="20.100000000000001" customHeight="1" x14ac:dyDescent="0.25">
      <c r="C64" s="8"/>
      <c r="D64" s="1" t="s">
        <v>143</v>
      </c>
      <c r="E64" s="1" t="s">
        <v>145</v>
      </c>
      <c r="F64" s="18">
        <f>'Input - Enterprise'!E26*'Input - Enterprise'!E28</f>
        <v>0</v>
      </c>
      <c r="G64" s="18" t="s">
        <v>144</v>
      </c>
      <c r="H64" s="18" t="s">
        <v>144</v>
      </c>
      <c r="I64" s="18" t="s">
        <v>144</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154</v>
      </c>
      <c r="E66" s="1" t="s">
        <v>144</v>
      </c>
      <c r="F66" s="18">
        <f>'Input - Enterprise'!E24</f>
        <v>0</v>
      </c>
      <c r="G66" s="18" t="s">
        <v>144</v>
      </c>
      <c r="H66" s="18" t="e">
        <f ca="1">E59/F66</f>
        <v>#N/A</v>
      </c>
      <c r="I66" s="18" t="s">
        <v>144</v>
      </c>
      <c r="J66" s="15" t="s">
        <v>157</v>
      </c>
      <c r="K66" s="8"/>
    </row>
    <row r="67" spans="3:11" ht="20.100000000000001" customHeight="1" x14ac:dyDescent="0.25">
      <c r="C67" s="8"/>
      <c r="D67" s="1" t="s">
        <v>155</v>
      </c>
      <c r="E67" s="1" t="s">
        <v>144</v>
      </c>
      <c r="F67" s="18">
        <f>'Input - Enterprise'!E25</f>
        <v>0</v>
      </c>
      <c r="G67" s="18" t="s">
        <v>144</v>
      </c>
      <c r="H67" s="18" t="s">
        <v>144</v>
      </c>
      <c r="I67" s="18" t="e">
        <f ca="1">F59/F67</f>
        <v>#VALUE!</v>
      </c>
      <c r="J67" s="15" t="s">
        <v>157</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9" t="s">
        <v>176</v>
      </c>
      <c r="D1" s="33"/>
      <c r="E1" s="33"/>
      <c r="F1" s="33"/>
      <c r="G1" s="33"/>
      <c r="H1" s="33"/>
      <c r="I1" s="33"/>
      <c r="J1" s="33"/>
    </row>
    <row r="2" spans="1:10" x14ac:dyDescent="0.25">
      <c r="C2" s="3"/>
      <c r="D2" s="3"/>
      <c r="E2" s="3"/>
      <c r="F2" s="3"/>
      <c r="G2" s="3"/>
      <c r="H2" s="3"/>
      <c r="I2" s="3"/>
      <c r="J2" s="3"/>
    </row>
    <row r="3" spans="1:10" ht="20.25" x14ac:dyDescent="0.25">
      <c r="A3" s="5" t="str">
        <f>HYPERLINK("#'Home'!A1", "Home")</f>
        <v>Home</v>
      </c>
      <c r="C3" s="40"/>
      <c r="D3" s="40"/>
      <c r="E3" s="40"/>
      <c r="F3" s="40"/>
      <c r="G3" s="40"/>
      <c r="H3" s="40"/>
      <c r="I3" s="40"/>
      <c r="J3" s="40"/>
    </row>
    <row r="4" spans="1:10" x14ac:dyDescent="0.25">
      <c r="A4" s="5" t="str">
        <f>HYPERLINK("#'Results'!A1", "Results")</f>
        <v>Results</v>
      </c>
    </row>
    <row r="5" spans="1:10" ht="23.25" x14ac:dyDescent="0.25">
      <c r="D5" s="2" t="s">
        <v>99</v>
      </c>
      <c r="E5" s="36"/>
      <c r="F5" s="36"/>
      <c r="G5" s="36"/>
    </row>
    <row r="6" spans="1:10" x14ac:dyDescent="0.25">
      <c r="D6" s="43"/>
      <c r="E6" s="36"/>
      <c r="F6" s="36"/>
      <c r="G6" s="36"/>
    </row>
    <row r="7" spans="1:10" x14ac:dyDescent="0.25">
      <c r="A7" s="7" t="s">
        <v>0</v>
      </c>
      <c r="D7" s="1" t="s">
        <v>100</v>
      </c>
      <c r="E7" s="45" t="s">
        <v>101</v>
      </c>
      <c r="F7" s="27"/>
      <c r="G7" s="36"/>
    </row>
    <row r="8" spans="1:10" x14ac:dyDescent="0.25">
      <c r="A8" s="134" t="str">
        <f>HYPERLINK("#'Input - Enterprise'!A1", "Enterprise")</f>
        <v>Enterprise</v>
      </c>
      <c r="D8" s="22" t="s">
        <v>102</v>
      </c>
      <c r="E8" s="45" t="s">
        <v>103</v>
      </c>
      <c r="F8" s="36"/>
      <c r="G8" s="36"/>
    </row>
    <row r="9" spans="1:10" x14ac:dyDescent="0.25">
      <c r="A9" s="5" t="str">
        <f>HYPERLINK("#'Input - Site'!A1", "Site")</f>
        <v>Site</v>
      </c>
      <c r="D9" s="36"/>
      <c r="E9" s="36"/>
      <c r="F9" s="36"/>
      <c r="G9" s="36"/>
    </row>
    <row r="10" spans="1:10" x14ac:dyDescent="0.25">
      <c r="A10" s="5" t="str">
        <f>HYPERLINK("#'Input - Pasture Beef'!A1", "Pasture Beef")</f>
        <v>Pasture Beef</v>
      </c>
      <c r="D10" s="47" t="s">
        <v>104</v>
      </c>
      <c r="E10" s="48"/>
      <c r="F10" s="49"/>
      <c r="G10" s="50"/>
    </row>
    <row r="11" spans="1:10" x14ac:dyDescent="0.25">
      <c r="A11" s="5" t="str">
        <f>HYPERLINK("#'Input - Pasture Beef (Enteric)'!A1", "Pasture Beef (Enteric)")</f>
        <v>Pasture Beef (Enteric)</v>
      </c>
      <c r="D11" s="36"/>
      <c r="E11" s="36"/>
      <c r="F11" s="36"/>
      <c r="G11" s="36"/>
    </row>
    <row r="12" spans="1:10" x14ac:dyDescent="0.25">
      <c r="A12" s="5" t="str">
        <f>HYPERLINK("#'Input - Pasture'!A1", "Pasture")</f>
        <v>Pasture</v>
      </c>
      <c r="D12" s="22" t="s">
        <v>21</v>
      </c>
      <c r="E12" s="25">
        <v>45292</v>
      </c>
      <c r="F12" s="27" t="s">
        <v>105</v>
      </c>
      <c r="G12" s="36"/>
    </row>
    <row r="13" spans="1:10" x14ac:dyDescent="0.25">
      <c r="A13" s="5" t="str">
        <f>HYPERLINK("#'Input - Fertiliser'!A1", "Fertiliser")</f>
        <v>Fertiliser</v>
      </c>
      <c r="D13" s="22" t="s">
        <v>22</v>
      </c>
      <c r="E13" s="52">
        <f>DATE(YEAR(E12)+1,MONTH(E12),DAY(E12))-1</f>
        <v>45657</v>
      </c>
      <c r="F13" s="27" t="s">
        <v>106</v>
      </c>
      <c r="G13" s="36"/>
    </row>
    <row r="14" spans="1:10" x14ac:dyDescent="0.25">
      <c r="A14" s="5" t="str">
        <f>HYPERLINK("#'Input - Fuel'!A1", "Fuel")</f>
        <v>Fuel</v>
      </c>
      <c r="F14" s="36"/>
      <c r="G14" s="36"/>
    </row>
    <row r="15" spans="1:10" x14ac:dyDescent="0.25">
      <c r="A15" s="5" t="str">
        <f>HYPERLINK("#'Input - Electricity'!A1", "Electricity")</f>
        <v>Electricity</v>
      </c>
    </row>
    <row r="16" spans="1:10" ht="23.25" x14ac:dyDescent="0.25">
      <c r="D16" s="2" t="s">
        <v>23</v>
      </c>
    </row>
    <row r="18" spans="1:6" x14ac:dyDescent="0.25">
      <c r="A18" s="6" t="s">
        <v>2</v>
      </c>
      <c r="D18" s="1" t="s">
        <v>18</v>
      </c>
      <c r="E18" s="25">
        <v>45231</v>
      </c>
      <c r="F18" s="27" t="s">
        <v>105</v>
      </c>
    </row>
    <row r="19" spans="1:6" x14ac:dyDescent="0.25">
      <c r="A19" s="5" t="str">
        <f>HYPERLINK("#'3.2.1.1-2 Enteric Methane'!A1", "3.2.1.1-2 Enteric methane")</f>
        <v>3.2.1.1-2 Enteric methane</v>
      </c>
      <c r="D19" s="1" t="s">
        <v>19</v>
      </c>
      <c r="E19" s="25">
        <v>45747</v>
      </c>
      <c r="F19" s="27" t="s">
        <v>105</v>
      </c>
    </row>
    <row r="20" spans="1:6" x14ac:dyDescent="0.25">
      <c r="A20" s="5" t="str">
        <f>HYPERLINK("#'4.2.1.1-2 Methane'!A1", "4.2.1.1-2 Manure methane")</f>
        <v>4.2.1.1-2 Manure methane</v>
      </c>
      <c r="D20" s="1" t="s">
        <v>20</v>
      </c>
      <c r="E20" s="26">
        <f>DATEDIF(E18,E19+1,"m")</f>
        <v>17</v>
      </c>
      <c r="F20" s="27" t="s">
        <v>130</v>
      </c>
    </row>
    <row r="21" spans="1:6" x14ac:dyDescent="0.25">
      <c r="A21" s="5" t="str">
        <f>HYPERLINK("#'4.2.1.3-4 Soil direct N20'!A1", "4.2.1.3-4 Soil direct N2O")</f>
        <v>4.2.1.3-4 Soil direct N2O</v>
      </c>
    </row>
    <row r="22" spans="1:6" x14ac:dyDescent="0.25">
      <c r="A22" s="5" t="str">
        <f>HYPERLINK("#'4.2.1.5-6 Soil Atmos Dep'!A1", "4.2.1.5-6 Soil atm. deposition")</f>
        <v>4.2.1.5-6 Soil atm. deposition</v>
      </c>
      <c r="D22" s="1" t="s">
        <v>177</v>
      </c>
      <c r="E22" s="26"/>
      <c r="F22" s="27" t="s">
        <v>31</v>
      </c>
    </row>
    <row r="23" spans="1:6" x14ac:dyDescent="0.25">
      <c r="A23" s="5" t="str">
        <f>HYPERLINK("#'4.2.1.7-8 Soil leach runoff'!A1", "4.2.1.7-8 Soil leach &amp; runoff")</f>
        <v>4.2.1.7-8 Soil leach &amp; runoff</v>
      </c>
      <c r="D23" s="1" t="s">
        <v>178</v>
      </c>
      <c r="E23" s="26"/>
      <c r="F23" s="27" t="s">
        <v>31</v>
      </c>
    </row>
    <row r="24" spans="1:6" x14ac:dyDescent="0.25">
      <c r="A24" s="5" t="str">
        <f>HYPERLINK("#'5.1.1.1-2 Inorganic fert N2O'!A1", "5.1.1.1-2 Inorganic fert N2O")</f>
        <v>5.1.1.1-2 Inorganic fert N2O</v>
      </c>
      <c r="D24" s="1" t="s">
        <v>25</v>
      </c>
      <c r="E24" s="26"/>
      <c r="F24" s="27" t="s">
        <v>31</v>
      </c>
    </row>
    <row r="25" spans="1:6" x14ac:dyDescent="0.25">
      <c r="A25" s="5" t="str">
        <f>HYPERLINK("#'5.1.1.3-4 Inorganic fert CO2'!A1", "5.1.1.3-4 Inorganic fert CO2")</f>
        <v>5.1.1.3-4 Inorganic fert CO2</v>
      </c>
      <c r="D25" s="1" t="s">
        <v>26</v>
      </c>
      <c r="E25" s="26"/>
      <c r="F25" s="27" t="s">
        <v>31</v>
      </c>
    </row>
    <row r="26" spans="1:6" x14ac:dyDescent="0.25">
      <c r="A26" s="5" t="str">
        <f>HYPERLINK("#'5.2.1.1-2 Organic Fert N2O'!A1", "5.2.1.1-2 Organic fert N2O")</f>
        <v>5.2.1.1-2 Organic fert N2O</v>
      </c>
      <c r="D26" s="1" t="s">
        <v>27</v>
      </c>
      <c r="E26" s="26"/>
      <c r="F26" s="27" t="s">
        <v>31</v>
      </c>
    </row>
    <row r="27" spans="1:6" x14ac:dyDescent="0.25">
      <c r="A27" s="5" t="str">
        <f>HYPERLINK("#'5.3.1.1-2 Lime CO2'!A1", "5.3.1.1-2 Lime CO2")</f>
        <v>5.3.1.1-2 Lime CO2</v>
      </c>
      <c r="D27" s="1" t="s">
        <v>28</v>
      </c>
      <c r="E27" s="29">
        <v>0.5</v>
      </c>
      <c r="F27" s="27" t="s">
        <v>179</v>
      </c>
    </row>
    <row r="28" spans="1:6" x14ac:dyDescent="0.25">
      <c r="A28" s="5" t="str">
        <f>HYPERLINK("#'5.4.1.1-4 Atmos deposition'!A1", "5.4.1.1-4 Atmos. deposition")</f>
        <v>5.4.1.1-4 Atmos. deposition</v>
      </c>
      <c r="D28" s="1" t="s">
        <v>29</v>
      </c>
      <c r="E28" s="29">
        <v>0.3</v>
      </c>
      <c r="F28" s="27" t="s">
        <v>179</v>
      </c>
    </row>
    <row r="29" spans="1:6" x14ac:dyDescent="0.25">
      <c r="A29" s="5" t="str">
        <f>HYPERLINK("#'5.5.1.1-2 Leaching and runoff'!A1", "5.5.1.1-2 Leaching &amp; runoff")</f>
        <v>5.5.1.1-2 Leaching &amp; runoff</v>
      </c>
      <c r="D29" s="1" t="s">
        <v>30</v>
      </c>
      <c r="E29" s="30">
        <f>100%-E27-E28</f>
        <v>0.2</v>
      </c>
      <c r="F29" s="27" t="s">
        <v>179</v>
      </c>
    </row>
    <row r="30" spans="1:6" x14ac:dyDescent="0.25">
      <c r="A30" s="5" t="str">
        <f>HYPERLINK("#'6.2.1.1-2 Pasture residue N2O'!A1", "6.2.1.1-2 Pasture residue N2O")</f>
        <v>6.2.1.1-2 Pasture residue N2O</v>
      </c>
    </row>
    <row r="31" spans="1:6" ht="23.25" x14ac:dyDescent="0.25">
      <c r="A31" s="5" t="str">
        <f>HYPERLINK("#'6.3.1.1-2 Leach runoff pasture'!A1", "6.3.1.1-2 Leach &amp; runoff (pasture)")</f>
        <v>6.3.1.1-2 Leach &amp; runoff (pasture)</v>
      </c>
      <c r="D31" s="2"/>
    </row>
    <row r="32" spans="1:6" x14ac:dyDescent="0.25">
      <c r="A32" s="5" t="str">
        <f>HYPERLINK("#'8.1.1.1-2 Transport fuel'!A1", "8.1.1.1-2 Transport fuel")</f>
        <v>8.1.1.1-2 Transport fuel</v>
      </c>
      <c r="D32" s="24"/>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0"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3" customWidth="1"/>
    <col min="3" max="3" width="4.7109375" style="36" customWidth="1"/>
    <col min="4" max="4" width="60.7109375" style="36" customWidth="1"/>
    <col min="5" max="5" width="50.7109375" style="36" customWidth="1"/>
    <col min="6" max="11" width="28.7109375" style="36" customWidth="1"/>
    <col min="12" max="25" width="28.7109375" style="33" customWidth="1"/>
    <col min="26" max="27" width="9.140625" style="33"/>
    <col min="28" max="16384" width="9.140625" style="36"/>
  </cols>
  <sheetData>
    <row r="1" spans="1:24" s="33" customFormat="1" ht="30" customHeight="1" x14ac:dyDescent="0.35">
      <c r="A1" s="16" t="e" vm="1">
        <v>#VALUE!</v>
      </c>
      <c r="C1" s="39" t="s">
        <v>98</v>
      </c>
    </row>
    <row r="2" spans="1:24" s="33" customFormat="1" ht="20.100000000000001" customHeight="1" x14ac:dyDescent="0.25">
      <c r="A2"/>
      <c r="C2" s="3"/>
      <c r="D2" s="3"/>
      <c r="E2" s="3"/>
      <c r="F2" s="3"/>
      <c r="G2" s="3"/>
      <c r="H2" s="3"/>
      <c r="I2" s="3"/>
      <c r="J2" s="3"/>
    </row>
    <row r="3" spans="1:24" ht="20.100000000000001" customHeight="1" x14ac:dyDescent="0.25">
      <c r="A3" s="5" t="str">
        <f>HYPERLINK("#'Home'!A1", "Home")</f>
        <v>Home</v>
      </c>
      <c r="C3" s="40"/>
      <c r="D3" s="40"/>
      <c r="E3" s="40"/>
      <c r="F3" s="40"/>
      <c r="G3" s="40"/>
      <c r="H3" s="40"/>
      <c r="I3" s="40"/>
      <c r="J3" s="40"/>
      <c r="K3" s="40"/>
      <c r="M3" s="35"/>
      <c r="N3" s="35"/>
      <c r="O3" s="35"/>
      <c r="P3" s="35"/>
      <c r="Q3" s="35"/>
      <c r="R3" s="35"/>
      <c r="S3" s="35"/>
      <c r="T3" s="35"/>
      <c r="U3" s="35"/>
      <c r="V3" s="35"/>
      <c r="W3" s="35"/>
      <c r="X3" s="35"/>
    </row>
    <row r="4" spans="1:24" ht="20.100000000000001" customHeight="1" x14ac:dyDescent="0.25">
      <c r="A4" s="5" t="str">
        <f>HYPERLINK("#'Results'!A1", "Results")</f>
        <v>Results</v>
      </c>
      <c r="C4" s="41"/>
      <c r="D4" s="41"/>
      <c r="E4" s="41"/>
      <c r="F4" s="41"/>
      <c r="G4" s="41"/>
      <c r="H4" s="41"/>
      <c r="I4" s="41"/>
      <c r="J4" s="41"/>
      <c r="K4" s="41"/>
    </row>
    <row r="5" spans="1:24" ht="20.100000000000001" customHeight="1" x14ac:dyDescent="0.25">
      <c r="A5"/>
      <c r="D5" s="2" t="s">
        <v>107</v>
      </c>
      <c r="N5" s="42"/>
    </row>
    <row r="6" spans="1:24" ht="20.100000000000001" customHeight="1" x14ac:dyDescent="0.25">
      <c r="A6"/>
      <c r="N6" s="44"/>
    </row>
    <row r="7" spans="1:24" ht="20.100000000000001" customHeight="1" x14ac:dyDescent="0.25">
      <c r="A7" s="7" t="s">
        <v>0</v>
      </c>
      <c r="D7" s="54" t="s">
        <v>108</v>
      </c>
      <c r="E7" s="55"/>
      <c r="F7" s="55"/>
      <c r="G7" s="56"/>
    </row>
    <row r="8" spans="1:24" ht="20.100000000000001" customHeight="1" x14ac:dyDescent="0.25">
      <c r="A8" s="5" t="str">
        <f>HYPERLINK("#'Input - Enterprise'!A1", "Enterprise")</f>
        <v>Enterprise</v>
      </c>
      <c r="D8" s="57" t="s">
        <v>109</v>
      </c>
      <c r="E8" s="58"/>
      <c r="F8" s="58"/>
      <c r="G8" s="59"/>
    </row>
    <row r="9" spans="1:24" ht="20.100000000000001" customHeight="1" x14ac:dyDescent="0.25">
      <c r="A9" s="134" t="str">
        <f>HYPERLINK("#'Input - Site'!A1", "Site")</f>
        <v>Site</v>
      </c>
      <c r="D9" s="1"/>
      <c r="E9" s="60"/>
      <c r="F9" s="27"/>
      <c r="N9" s="46"/>
    </row>
    <row r="10" spans="1:24" ht="20.100000000000001" customHeight="1" x14ac:dyDescent="0.25">
      <c r="A10" s="5" t="str">
        <f>HYPERLINK("#'Input - Pasture Beef'!A1", "Pasture Beef")</f>
        <v>Pasture Beef</v>
      </c>
      <c r="D10" s="1" t="s">
        <v>110</v>
      </c>
      <c r="E10" s="23" t="s">
        <v>111</v>
      </c>
      <c r="F10" s="27" t="s">
        <v>112</v>
      </c>
      <c r="N10" s="46"/>
    </row>
    <row r="11" spans="1:24" ht="20.100000000000001" customHeight="1" x14ac:dyDescent="0.25">
      <c r="A11" s="5" t="str">
        <f>HYPERLINK("#'Input - Pasture Beef (Enteric)'!A1", "Pasture Beef (Enteric)")</f>
        <v>Pasture Beef (Enteric)</v>
      </c>
      <c r="D11" s="1" t="s">
        <v>113</v>
      </c>
      <c r="E11" s="23" t="s">
        <v>114</v>
      </c>
      <c r="F11" s="27" t="s">
        <v>112</v>
      </c>
      <c r="G11" s="1"/>
      <c r="N11" s="51"/>
    </row>
    <row r="12" spans="1:24" ht="20.100000000000001" customHeight="1" x14ac:dyDescent="0.25">
      <c r="A12" s="5" t="str">
        <f>HYPERLINK("#'Input - Pasture'!A1", "Pasture")</f>
        <v>Pasture</v>
      </c>
      <c r="D12" s="1" t="s">
        <v>115</v>
      </c>
      <c r="E12" s="23" t="s">
        <v>116</v>
      </c>
      <c r="F12" s="27" t="s">
        <v>112</v>
      </c>
    </row>
    <row r="13" spans="1:24" ht="20.100000000000001" customHeight="1" x14ac:dyDescent="0.25">
      <c r="A13" s="5" t="str">
        <f>HYPERLINK("#'Input - Fertiliser'!A1", "Fertiliser")</f>
        <v>Fertiliser</v>
      </c>
      <c r="D13" s="1" t="s">
        <v>48</v>
      </c>
      <c r="E13" s="45">
        <v>307.7</v>
      </c>
      <c r="F13" s="27" t="s">
        <v>117</v>
      </c>
      <c r="N13" s="53"/>
      <c r="O13" s="53"/>
    </row>
    <row r="14" spans="1:24" ht="20.100000000000001" customHeight="1" x14ac:dyDescent="0.25">
      <c r="A14" s="5" t="str">
        <f>HYPERLINK("#'Input - Fuel'!A1", "Fuel")</f>
        <v>Fuel</v>
      </c>
      <c r="D14" s="1" t="s">
        <v>118</v>
      </c>
      <c r="E14" s="45">
        <v>18</v>
      </c>
      <c r="F14" s="27" t="s">
        <v>119</v>
      </c>
      <c r="N14" s="53"/>
      <c r="O14" s="53"/>
    </row>
    <row r="15" spans="1:24" ht="20.100000000000001" customHeight="1" x14ac:dyDescent="0.25">
      <c r="A15" s="5" t="str">
        <f>HYPERLINK("#'Input - Electricity'!A1", "Electricity")</f>
        <v>Electricity</v>
      </c>
      <c r="D15" s="1" t="s">
        <v>120</v>
      </c>
      <c r="E15" s="45">
        <v>601</v>
      </c>
      <c r="F15" s="27" t="s">
        <v>121</v>
      </c>
      <c r="N15" s="53"/>
      <c r="O15" s="53"/>
    </row>
    <row r="16" spans="1:24" ht="20.100000000000001" customHeight="1" x14ac:dyDescent="0.25">
      <c r="A16"/>
      <c r="D16" s="22" t="s">
        <v>122</v>
      </c>
      <c r="E16" s="45">
        <v>1326</v>
      </c>
      <c r="F16" s="27" t="s">
        <v>121</v>
      </c>
      <c r="N16" s="53"/>
      <c r="O16" s="53"/>
    </row>
    <row r="17" spans="1:25" ht="20.100000000000001" customHeight="1" x14ac:dyDescent="0.25">
      <c r="A17"/>
      <c r="D17" s="1" t="s">
        <v>123</v>
      </c>
      <c r="E17" s="45">
        <v>7</v>
      </c>
      <c r="F17" s="27" t="s">
        <v>124</v>
      </c>
    </row>
    <row r="18" spans="1:25" ht="20.100000000000001" customHeight="1" x14ac:dyDescent="0.25">
      <c r="A18" s="6" t="s">
        <v>2</v>
      </c>
      <c r="D18" s="22" t="s">
        <v>125</v>
      </c>
      <c r="E18" s="26">
        <f>E15/E16</f>
        <v>0.45324283559577677</v>
      </c>
      <c r="F18" s="27"/>
    </row>
    <row r="19" spans="1:25" ht="20.100000000000001" customHeight="1" x14ac:dyDescent="0.25">
      <c r="A19" s="5" t="str">
        <f>HYPERLINK("#'3.2.1.1-2 Enteric Methane'!A1", "3.2.1.1-2 Enteric methane")</f>
        <v>3.2.1.1-2 Enteric methane</v>
      </c>
      <c r="D19" s="22" t="s">
        <v>76</v>
      </c>
      <c r="E19" s="26" t="str">
        <f>Common_InputFunctions.Utility_LookupItemFromMinMax(E15,Table_SourceData_RainfallZones[Min rainfall],Table_SourceData_RainfallZones[Max rainfall],Table_SourceData_RainfallZones[Rainfall Zone])</f>
        <v>High rainfall</v>
      </c>
      <c r="G19" s="61"/>
      <c r="N19" s="42"/>
    </row>
    <row r="20" spans="1:25" ht="20.100000000000001" customHeight="1" x14ac:dyDescent="0.25">
      <c r="A20" s="5" t="str">
        <f>HYPERLINK("#'4.2.1.1-2 Methane'!A1", "4.2.1.1-2 Manure methane")</f>
        <v>4.2.1.1-2 Manure methane</v>
      </c>
      <c r="D20" s="1" t="s">
        <v>43</v>
      </c>
      <c r="E20" s="2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60"/>
      <c r="N20" s="44"/>
    </row>
    <row r="21" spans="1:25" ht="20.100000000000001" customHeight="1" x14ac:dyDescent="0.25">
      <c r="A21" s="5" t="str">
        <f>HYPERLINK("#'4.2.1.3-4 Soil direct N20'!A1", "4.2.1.3-4 Soil direct N2O")</f>
        <v>4.2.1.3-4 Soil direct N2O</v>
      </c>
      <c r="D21" s="1" t="s">
        <v>126</v>
      </c>
      <c r="E21" s="26" t="str">
        <f>Common_InputFunctions.Utility_LookupValueInTable($E$20,Table_SourceData_WetDryZones[Climate zone],Table_SourceData_WetDryZones[Wet or Dry Zone])</f>
        <v>Dry climate zone</v>
      </c>
      <c r="F21" s="1"/>
      <c r="G21" s="60"/>
    </row>
    <row r="22" spans="1:25" ht="20.100000000000001" customHeight="1" x14ac:dyDescent="0.25">
      <c r="A22" s="5" t="str">
        <f>HYPERLINK("#'4.2.1.5-6 Soil Atmos Dep'!A1", "4.2.1.5-6 Soil atm. deposition")</f>
        <v>4.2.1.5-6 Soil atm. deposition</v>
      </c>
      <c r="D22" s="1" t="s">
        <v>80</v>
      </c>
      <c r="E22" s="26" t="str">
        <f>Common_InputFunctions.Utility_LookupItemFromMinMax(E14,Table_SourceData_TemperatureZones[Min MAT],Table_SourceData_TemperatureZones[Max MAT],Table_SourceData_TemperatureZones[Temperature Zone])</f>
        <v>Temperate</v>
      </c>
      <c r="G22" s="64"/>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4"/>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2"/>
      <c r="M30" s="62"/>
      <c r="N30" s="62"/>
      <c r="O30" s="62"/>
      <c r="P30" s="62"/>
      <c r="Q30" s="62"/>
      <c r="R30" s="62"/>
      <c r="S30" s="62"/>
      <c r="T30" s="62"/>
      <c r="U30" s="62"/>
      <c r="V30" s="62"/>
      <c r="W30" s="62"/>
      <c r="X30" s="62"/>
      <c r="Y30" s="62"/>
    </row>
    <row r="31" spans="1:25" ht="20.100000000000001" customHeight="1" x14ac:dyDescent="0.25">
      <c r="A31" s="5" t="str">
        <f>HYPERLINK("#'6.3.1.1-2 Leach runoff pasture'!A1", "6.3.1.1-2 Leach &amp; runoff (pasture)")</f>
        <v>6.3.1.1-2 Leach &amp; runoff (pasture)</v>
      </c>
      <c r="L31" s="63"/>
      <c r="M31" s="63"/>
      <c r="N31" s="63"/>
      <c r="O31" s="63"/>
      <c r="P31" s="63"/>
      <c r="Q31" s="63"/>
      <c r="R31" s="63"/>
      <c r="S31" s="63"/>
      <c r="T31" s="63"/>
      <c r="U31" s="63"/>
      <c r="V31" s="63"/>
      <c r="W31" s="63"/>
      <c r="X31" s="63"/>
      <c r="Y31" s="63"/>
    </row>
    <row r="32" spans="1:25" ht="20.100000000000001" customHeight="1" x14ac:dyDescent="0.25">
      <c r="A32" s="5" t="str">
        <f>HYPERLINK("#'8.1.1.1-2 Transport fuel'!A1", "8.1.1.1-2 Transport fuel")</f>
        <v>8.1.1.1-2 Transport fuel</v>
      </c>
      <c r="L32" s="63"/>
      <c r="M32" s="63"/>
      <c r="N32" s="63"/>
      <c r="O32" s="63"/>
      <c r="P32" s="63"/>
      <c r="Q32" s="63"/>
      <c r="R32" s="63"/>
      <c r="S32" s="63"/>
      <c r="T32" s="63"/>
      <c r="U32" s="63"/>
      <c r="V32" s="63"/>
      <c r="W32" s="63"/>
      <c r="X32" s="63"/>
      <c r="Y32" s="63"/>
    </row>
    <row r="33" spans="1:25" ht="20.100000000000001" customHeight="1" x14ac:dyDescent="0.25">
      <c r="A33" s="5" t="str">
        <f>HYPERLINK("#'8.2.1.1-2 Stationary fuel'!A1", "8.2.1.1-2 Stationary fuel")</f>
        <v>8.2.1.1-2 Stationary fuel</v>
      </c>
      <c r="L33" s="63"/>
      <c r="M33" s="63"/>
      <c r="N33" s="63"/>
      <c r="O33" s="63"/>
      <c r="P33" s="63"/>
      <c r="Q33" s="63"/>
      <c r="R33" s="63"/>
      <c r="S33" s="63"/>
      <c r="T33" s="63"/>
      <c r="U33" s="63"/>
      <c r="V33" s="63"/>
      <c r="W33" s="63"/>
      <c r="X33" s="63"/>
      <c r="Y33" s="63"/>
    </row>
    <row r="34" spans="1:25" ht="20.100000000000001" customHeight="1" x14ac:dyDescent="0.25">
      <c r="A34" s="5" t="str">
        <f>HYPERLINK("#'14.1.1-2 Purchased electricity'!A1", "14.1.1-2 Purchased electricity")</f>
        <v>14.1.1-2 Purchased electricity</v>
      </c>
      <c r="J34" s="65"/>
      <c r="K34" s="66"/>
      <c r="L34" s="63"/>
      <c r="M34" s="63"/>
      <c r="N34" s="63"/>
      <c r="O34" s="63"/>
      <c r="P34" s="63"/>
      <c r="Q34" s="63"/>
      <c r="R34" s="63"/>
      <c r="S34" s="63"/>
      <c r="T34" s="63"/>
      <c r="U34" s="63"/>
      <c r="V34" s="63"/>
      <c r="W34" s="63"/>
      <c r="X34" s="63"/>
      <c r="Y34" s="63"/>
    </row>
    <row r="35" spans="1:25" ht="20.100000000000001" customHeight="1" x14ac:dyDescent="0.25">
      <c r="A35"/>
      <c r="J35" s="65"/>
      <c r="K35" s="66"/>
      <c r="L35" s="63"/>
      <c r="M35" s="63"/>
      <c r="N35" s="63"/>
      <c r="O35" s="63"/>
      <c r="P35" s="63"/>
      <c r="Q35" s="63"/>
      <c r="R35" s="63"/>
      <c r="S35" s="63"/>
      <c r="T35" s="63"/>
      <c r="U35" s="63"/>
      <c r="V35" s="63"/>
      <c r="W35" s="63"/>
      <c r="X35" s="63"/>
      <c r="Y35" s="63"/>
    </row>
    <row r="36" spans="1:25" ht="20.100000000000001" customHeight="1" x14ac:dyDescent="0.25">
      <c r="A36"/>
      <c r="D36" s="67"/>
      <c r="E36" s="67"/>
      <c r="F36" s="68"/>
      <c r="G36" s="65"/>
      <c r="H36" s="65"/>
      <c r="I36" s="69"/>
      <c r="J36" s="65"/>
      <c r="K36" s="66"/>
      <c r="L36" s="63"/>
      <c r="M36" s="63"/>
      <c r="N36" s="63"/>
      <c r="O36" s="63"/>
      <c r="P36" s="63"/>
      <c r="Q36" s="63"/>
      <c r="R36" s="63"/>
      <c r="S36" s="63"/>
      <c r="T36" s="63"/>
      <c r="U36" s="63"/>
      <c r="V36" s="63"/>
      <c r="W36" s="63"/>
      <c r="X36" s="63"/>
      <c r="Y36" s="63"/>
    </row>
    <row r="37" spans="1:25" ht="20.100000000000001" customHeight="1" x14ac:dyDescent="0.25">
      <c r="A37" s="250" t="s">
        <v>1</v>
      </c>
      <c r="D37" s="67"/>
      <c r="E37" s="67"/>
      <c r="F37" s="68"/>
      <c r="G37" s="65"/>
      <c r="H37" s="65"/>
      <c r="I37" s="69"/>
      <c r="J37" s="65"/>
      <c r="K37" s="66"/>
      <c r="L37" s="63"/>
      <c r="M37" s="63"/>
      <c r="N37" s="63"/>
      <c r="O37" s="63"/>
      <c r="P37" s="63"/>
      <c r="Q37" s="63"/>
      <c r="R37" s="63"/>
      <c r="S37" s="63"/>
      <c r="T37" s="63"/>
      <c r="U37" s="63"/>
      <c r="V37" s="63"/>
      <c r="W37" s="63"/>
      <c r="X37" s="63"/>
      <c r="Y37" s="63"/>
    </row>
    <row r="38" spans="1:25" ht="20.100000000000001" customHeight="1" x14ac:dyDescent="0.25">
      <c r="A38" s="5" t="str">
        <f>HYPERLINK("#'Constants - Pasture Beef'!A1", "Constants - Pasture Beef")</f>
        <v>Constants - Pasture Beef</v>
      </c>
      <c r="D38" s="67"/>
      <c r="E38" s="67"/>
      <c r="F38" s="68"/>
      <c r="G38" s="65"/>
      <c r="H38" s="65"/>
      <c r="I38" s="69"/>
      <c r="J38" s="65"/>
      <c r="K38" s="66"/>
      <c r="L38" s="63"/>
      <c r="M38" s="63"/>
      <c r="N38" s="63"/>
      <c r="O38" s="63"/>
      <c r="P38" s="63"/>
      <c r="Q38" s="63"/>
      <c r="R38" s="63"/>
      <c r="S38" s="63"/>
      <c r="T38" s="63"/>
      <c r="U38" s="63"/>
      <c r="V38" s="63"/>
      <c r="W38" s="63"/>
      <c r="X38" s="63"/>
      <c r="Y38" s="63"/>
    </row>
    <row r="39" spans="1:25" ht="20.100000000000001" customHeight="1" x14ac:dyDescent="0.25">
      <c r="A39" s="5" t="str">
        <f>HYPERLINK("#'Constants - Ag Residue'!A1", "Constants - Ag residue")</f>
        <v>Constants - Ag residue</v>
      </c>
      <c r="D39" s="67"/>
      <c r="E39" s="67"/>
      <c r="F39" s="68"/>
      <c r="G39" s="65"/>
      <c r="H39" s="65"/>
      <c r="I39" s="69"/>
      <c r="J39" s="65"/>
      <c r="K39" s="66"/>
      <c r="L39" s="63"/>
      <c r="M39" s="63"/>
      <c r="N39" s="63"/>
      <c r="O39" s="63"/>
      <c r="P39" s="63"/>
      <c r="Q39" s="63"/>
      <c r="R39" s="63"/>
      <c r="S39" s="63"/>
      <c r="T39" s="63"/>
      <c r="U39" s="63"/>
      <c r="V39" s="63"/>
      <c r="W39" s="63"/>
      <c r="X39" s="63"/>
      <c r="Y39" s="63"/>
    </row>
    <row r="40" spans="1:25" ht="20.100000000000001" customHeight="1" x14ac:dyDescent="0.25">
      <c r="A40" s="5" t="str">
        <f>HYPERLINK("#'Constants - Common Livestock'!A1", "Constants - Common Livestock")</f>
        <v>Constants - Common Livestock</v>
      </c>
      <c r="D40" s="70"/>
      <c r="E40" s="70"/>
      <c r="F40" s="70"/>
      <c r="G40" s="71"/>
      <c r="H40" s="72"/>
      <c r="I40" s="72"/>
      <c r="J40" s="72"/>
      <c r="K40" s="72"/>
      <c r="L40" s="73"/>
      <c r="M40" s="73"/>
      <c r="N40" s="73"/>
      <c r="O40" s="73"/>
      <c r="P40" s="73"/>
      <c r="Q40" s="73"/>
      <c r="R40" s="73"/>
      <c r="S40" s="73"/>
      <c r="T40" s="73"/>
      <c r="U40" s="73"/>
      <c r="V40" s="73"/>
      <c r="W40" s="73"/>
      <c r="X40" s="73"/>
      <c r="Y40" s="73"/>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4"/>
      <c r="E47" s="74"/>
      <c r="F47" s="74"/>
      <c r="G47" s="74"/>
      <c r="H47" s="74"/>
    </row>
    <row r="48" spans="1:25" ht="20.100000000000001" customHeight="1" x14ac:dyDescent="0.25">
      <c r="A48"/>
      <c r="D48" s="75"/>
      <c r="E48" s="75"/>
      <c r="F48" s="76"/>
      <c r="G48" s="76"/>
      <c r="H48" s="75"/>
    </row>
    <row r="49" spans="1:8" ht="20.100000000000001" customHeight="1" x14ac:dyDescent="0.25">
      <c r="A49"/>
      <c r="D49" s="75"/>
      <c r="E49" s="75"/>
      <c r="F49" s="76"/>
      <c r="G49" s="76"/>
      <c r="H49" s="75"/>
    </row>
    <row r="50" spans="1:8" ht="20.100000000000001" customHeight="1" x14ac:dyDescent="0.25">
      <c r="A50"/>
      <c r="D50" s="75"/>
      <c r="E50" s="75"/>
      <c r="F50" s="76"/>
      <c r="G50" s="76"/>
      <c r="H50" s="75"/>
    </row>
    <row r="51" spans="1:8" ht="20.100000000000001" customHeight="1" x14ac:dyDescent="0.25">
      <c r="A51"/>
      <c r="D51" s="77"/>
      <c r="E51" s="78"/>
      <c r="F51" s="78"/>
      <c r="G51" s="78"/>
      <c r="H51" s="79"/>
    </row>
    <row r="52" spans="1:8" ht="20.100000000000001" customHeight="1" x14ac:dyDescent="0.25">
      <c r="A52"/>
    </row>
    <row r="53" spans="1:8" ht="20.100000000000001" customHeight="1" x14ac:dyDescent="0.25">
      <c r="A53"/>
    </row>
    <row r="54" spans="1:8" ht="20.100000000000001" customHeight="1" x14ac:dyDescent="0.25">
      <c r="A54"/>
      <c r="G54" s="80"/>
    </row>
    <row r="55" spans="1:8" ht="20.100000000000001" customHeight="1" x14ac:dyDescent="0.25">
      <c r="A55"/>
      <c r="D55" s="2"/>
    </row>
    <row r="56" spans="1:8" ht="20.100000000000001" customHeight="1" x14ac:dyDescent="0.25">
      <c r="A56"/>
    </row>
    <row r="57" spans="1:8" ht="20.100000000000001" customHeight="1" x14ac:dyDescent="0.25">
      <c r="A57"/>
      <c r="D57" s="81"/>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81"/>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85"/>
      <c r="E69" s="85"/>
      <c r="F69" s="85"/>
      <c r="G69" s="85"/>
      <c r="H69" s="85"/>
      <c r="I69" s="85"/>
    </row>
    <row r="70" spans="1:9" ht="20.100000000000001" customHeight="1" x14ac:dyDescent="0.25">
      <c r="A70"/>
      <c r="D70" s="85"/>
      <c r="E70" s="85"/>
      <c r="F70" s="85"/>
      <c r="G70" s="85"/>
      <c r="H70" s="85"/>
      <c r="I70" s="85"/>
    </row>
    <row r="71" spans="1:9" ht="20.100000000000001" customHeight="1" x14ac:dyDescent="0.25">
      <c r="A71"/>
      <c r="D71" s="85"/>
      <c r="E71" s="85"/>
      <c r="F71" s="85"/>
      <c r="G71" s="85"/>
      <c r="H71" s="85"/>
      <c r="I71" s="85"/>
    </row>
    <row r="72" spans="1:9" ht="20.100000000000001" customHeight="1" x14ac:dyDescent="0.25">
      <c r="A72"/>
      <c r="D72" s="85"/>
      <c r="E72" s="85"/>
      <c r="F72" s="85"/>
      <c r="G72" s="85"/>
      <c r="H72" s="85"/>
      <c r="I72" s="8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6"/>
    </row>
    <row r="79" spans="1:9" ht="20.100000000000001" customHeight="1" x14ac:dyDescent="0.25">
      <c r="A79"/>
      <c r="D79" s="86"/>
    </row>
    <row r="80" spans="1:9" ht="20.100000000000001" customHeight="1" x14ac:dyDescent="0.25">
      <c r="A80"/>
      <c r="D80" s="86"/>
    </row>
    <row r="81" spans="1:4" ht="20.100000000000001" customHeight="1" x14ac:dyDescent="0.25">
      <c r="A81"/>
      <c r="D81" s="86"/>
    </row>
    <row r="82" spans="1:4" ht="20.100000000000001" customHeight="1" x14ac:dyDescent="0.25">
      <c r="A82"/>
      <c r="D82" s="86"/>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3887E-6408-4643-A964-812903609172}">
  <dimension ref="A1:AA350"/>
  <sheetViews>
    <sheetView showGridLines="0" topLeftCell="A176"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180</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40"/>
      <c r="D3" s="40"/>
      <c r="E3" s="40"/>
      <c r="F3" s="40"/>
      <c r="G3" s="40"/>
      <c r="H3" s="40"/>
      <c r="I3" s="40"/>
      <c r="J3" s="40"/>
      <c r="K3" s="40"/>
      <c r="L3" s="40"/>
      <c r="M3" s="40"/>
      <c r="N3" s="40"/>
      <c r="O3" s="40"/>
      <c r="P3" s="40"/>
    </row>
    <row r="4" spans="1:25" ht="20.100000000000001" customHeight="1" x14ac:dyDescent="0.25">
      <c r="A4" s="5" t="str">
        <f>HYPERLINK("#'Results'!A1", "Results")</f>
        <v>Results</v>
      </c>
    </row>
    <row r="5" spans="1:25" ht="20.100000000000001" customHeight="1" x14ac:dyDescent="0.25">
      <c r="D5" s="2" t="s">
        <v>181</v>
      </c>
      <c r="P5" s="36"/>
      <c r="T5" s="33"/>
    </row>
    <row r="6" spans="1:25" ht="20.100000000000001" customHeight="1" x14ac:dyDescent="0.25">
      <c r="P6" s="36"/>
      <c r="T6" s="33"/>
    </row>
    <row r="7" spans="1:25" ht="20.100000000000001" customHeight="1" x14ac:dyDescent="0.25">
      <c r="A7" s="7" t="s">
        <v>0</v>
      </c>
      <c r="D7" s="1" t="s">
        <v>110</v>
      </c>
      <c r="E7" s="26" t="str">
        <f>X_Cell_Site_State</f>
        <v>Dry climate zone</v>
      </c>
      <c r="P7" s="36"/>
      <c r="T7" s="33"/>
    </row>
    <row r="8" spans="1:25" ht="20.100000000000001" customHeight="1" x14ac:dyDescent="0.25">
      <c r="A8" s="5" t="str">
        <f>HYPERLINK("#'Input - Enterprise'!A1", "Enterprise")</f>
        <v>Enterprise</v>
      </c>
      <c r="D8" s="1" t="s">
        <v>182</v>
      </c>
      <c r="E8" s="23" t="s">
        <v>183</v>
      </c>
      <c r="F8" s="27" t="s">
        <v>112</v>
      </c>
      <c r="P8" s="36"/>
      <c r="T8" s="33"/>
    </row>
    <row r="9" spans="1:25" ht="20.100000000000001" customHeight="1" x14ac:dyDescent="0.25">
      <c r="A9" s="5" t="str">
        <f>HYPERLINK("#'Input - Site'!A1", "Site")</f>
        <v>Site</v>
      </c>
      <c r="D9" s="1" t="s">
        <v>184</v>
      </c>
      <c r="E9" s="23" t="s">
        <v>185</v>
      </c>
      <c r="F9" s="27" t="s">
        <v>112</v>
      </c>
      <c r="T9" s="33"/>
    </row>
    <row r="10" spans="1:25" ht="20.100000000000001" customHeight="1" x14ac:dyDescent="0.25">
      <c r="A10" s="134" t="str">
        <f>HYPERLINK("#'Input - Pasture Beef'!A1", "Pasture Beef")</f>
        <v>Pasture Beef</v>
      </c>
      <c r="T10" s="33"/>
    </row>
    <row r="11" spans="1:25" ht="20.100000000000001" customHeight="1" x14ac:dyDescent="0.25">
      <c r="A11" s="5" t="str">
        <f>HYPERLINK("#'Input - Pasture Beef (Enteric)'!A1", "Pasture Beef (Enteric)")</f>
        <v>Pasture Beef (Enteric)</v>
      </c>
      <c r="T11" s="33"/>
    </row>
    <row r="12" spans="1:25" ht="20.100000000000001" customHeight="1" x14ac:dyDescent="0.25">
      <c r="A12" s="5" t="str">
        <f>HYPERLINK("#'Input - Pasture'!A1", "Pasture")</f>
        <v>Pasture</v>
      </c>
      <c r="T12" s="33"/>
    </row>
    <row r="13" spans="1:25" ht="20.100000000000001" customHeight="1" x14ac:dyDescent="0.25">
      <c r="A13" s="5" t="str">
        <f>HYPERLINK("#'Input - Fertiliser'!A1", "Fertiliser")</f>
        <v>Fertiliser</v>
      </c>
      <c r="D13" s="47" t="s">
        <v>186</v>
      </c>
      <c r="E13" s="49"/>
      <c r="F13" s="49"/>
      <c r="G13" s="50"/>
      <c r="T13" s="53"/>
    </row>
    <row r="14" spans="1:25" ht="20.100000000000001" customHeight="1" x14ac:dyDescent="0.25">
      <c r="A14" s="5" t="str">
        <f>HYPERLINK("#'Input - Fuel'!A1", "Fuel")</f>
        <v>Fuel</v>
      </c>
      <c r="T14" s="53"/>
    </row>
    <row r="15" spans="1:25" ht="20.100000000000001" customHeight="1" x14ac:dyDescent="0.25">
      <c r="A15" s="5" t="str">
        <f>HYPERLINK("#'Input - Electricity'!A1", "Electricity")</f>
        <v>Electricity</v>
      </c>
      <c r="D15" s="92" t="s">
        <v>187</v>
      </c>
      <c r="T15" s="53"/>
    </row>
    <row r="16" spans="1:25" ht="20.100000000000001" customHeight="1" x14ac:dyDescent="0.25">
      <c r="D16" s="93" t="s">
        <v>188</v>
      </c>
      <c r="E16" s="93" t="s">
        <v>189</v>
      </c>
      <c r="F16" s="93" t="s">
        <v>190</v>
      </c>
      <c r="G16" s="93" t="s">
        <v>191</v>
      </c>
      <c r="H16" s="93" t="s">
        <v>192</v>
      </c>
      <c r="I16" s="93" t="s">
        <v>193</v>
      </c>
      <c r="J16" s="93" t="s">
        <v>194</v>
      </c>
      <c r="K16" s="93" t="s">
        <v>195</v>
      </c>
      <c r="L16" s="93" t="s">
        <v>196</v>
      </c>
      <c r="M16" s="93" t="s">
        <v>197</v>
      </c>
      <c r="N16" s="93" t="s">
        <v>198</v>
      </c>
      <c r="T16" s="53"/>
    </row>
    <row r="17" spans="1:20" ht="20.100000000000001" customHeight="1" x14ac:dyDescent="0.25">
      <c r="D17" s="1" t="s">
        <v>199</v>
      </c>
      <c r="E17" s="26">
        <v>91.25</v>
      </c>
      <c r="F17" s="26">
        <v>91.25</v>
      </c>
      <c r="G17" s="26">
        <v>91.25</v>
      </c>
      <c r="H17" s="26">
        <v>91.25</v>
      </c>
      <c r="I17" s="26">
        <v>91.25</v>
      </c>
      <c r="J17" s="26">
        <v>91.25</v>
      </c>
      <c r="K17" s="26">
        <v>91.25</v>
      </c>
      <c r="L17" s="26">
        <v>91.25</v>
      </c>
      <c r="M17" s="26">
        <v>91.25</v>
      </c>
      <c r="N17" s="26">
        <v>91.25</v>
      </c>
      <c r="O17" s="27" t="s">
        <v>124</v>
      </c>
      <c r="T17" s="33"/>
    </row>
    <row r="18" spans="1:20" ht="20.100000000000001" customHeight="1" x14ac:dyDescent="0.25">
      <c r="A18" s="6" t="s">
        <v>2</v>
      </c>
      <c r="D18" s="1" t="s">
        <v>200</v>
      </c>
      <c r="E18" s="26">
        <v>91.25</v>
      </c>
      <c r="F18" s="26">
        <v>91.25</v>
      </c>
      <c r="G18" s="26">
        <v>91.25</v>
      </c>
      <c r="H18" s="26">
        <v>91.25</v>
      </c>
      <c r="I18" s="26">
        <v>91.25</v>
      </c>
      <c r="J18" s="26">
        <v>91.25</v>
      </c>
      <c r="K18" s="26">
        <v>91.25</v>
      </c>
      <c r="L18" s="26">
        <v>91.25</v>
      </c>
      <c r="M18" s="26">
        <v>91.25</v>
      </c>
      <c r="N18" s="26">
        <v>91.25</v>
      </c>
      <c r="O18" s="27" t="s">
        <v>124</v>
      </c>
      <c r="T18" s="33"/>
    </row>
    <row r="19" spans="1:20" ht="20.100000000000001" customHeight="1" x14ac:dyDescent="0.25">
      <c r="A19" s="5" t="str">
        <f>HYPERLINK("#'3.2.1.1-2 Enteric Methane'!A1", "3.2.1.1-2 Enteric methane")</f>
        <v>3.2.1.1-2 Enteric methane</v>
      </c>
      <c r="D19" s="1" t="s">
        <v>201</v>
      </c>
      <c r="E19" s="26">
        <v>91.25</v>
      </c>
      <c r="F19" s="26">
        <v>91.25</v>
      </c>
      <c r="G19" s="26">
        <v>91.25</v>
      </c>
      <c r="H19" s="26">
        <v>91.25</v>
      </c>
      <c r="I19" s="26">
        <v>91.25</v>
      </c>
      <c r="J19" s="26">
        <v>91.25</v>
      </c>
      <c r="K19" s="26">
        <v>91.25</v>
      </c>
      <c r="L19" s="26">
        <v>91.25</v>
      </c>
      <c r="M19" s="26">
        <v>91.25</v>
      </c>
      <c r="N19" s="26">
        <v>91.25</v>
      </c>
      <c r="O19" s="27" t="s">
        <v>124</v>
      </c>
      <c r="T19" s="33"/>
    </row>
    <row r="20" spans="1:20" ht="20.100000000000001" customHeight="1" x14ac:dyDescent="0.25">
      <c r="A20" s="5" t="str">
        <f>HYPERLINK("#'4.2.1.1-2 Methane'!A1", "4.2.1.1-2 Manure methane")</f>
        <v>4.2.1.1-2 Manure methane</v>
      </c>
      <c r="D20" s="1" t="s">
        <v>202</v>
      </c>
      <c r="E20" s="26">
        <v>91.25</v>
      </c>
      <c r="F20" s="26">
        <v>91.25</v>
      </c>
      <c r="G20" s="26">
        <v>91.25</v>
      </c>
      <c r="H20" s="26">
        <v>91.25</v>
      </c>
      <c r="I20" s="26">
        <v>91.25</v>
      </c>
      <c r="J20" s="26">
        <v>91.25</v>
      </c>
      <c r="K20" s="26">
        <v>91.25</v>
      </c>
      <c r="L20" s="26">
        <v>91.25</v>
      </c>
      <c r="M20" s="26">
        <v>91.25</v>
      </c>
      <c r="N20" s="26">
        <v>91.25</v>
      </c>
      <c r="O20" s="27" t="s">
        <v>124</v>
      </c>
      <c r="T20" s="33"/>
    </row>
    <row r="21" spans="1:20" ht="20.100000000000001" customHeight="1" x14ac:dyDescent="0.25">
      <c r="A21" s="5" t="str">
        <f>HYPERLINK("#'4.2.1.3-4 Soil direct N20'!A1", "4.2.1.3-4 Soil direct N2O")</f>
        <v>4.2.1.3-4 Soil direct N2O</v>
      </c>
      <c r="T21" s="33"/>
    </row>
    <row r="22" spans="1:20" ht="20.100000000000001" customHeight="1" x14ac:dyDescent="0.25">
      <c r="A22" s="5" t="str">
        <f>HYPERLINK("#'4.2.1.5-6 Soil Atmos Dep'!A1", "4.2.1.5-6 Soil atm. deposition")</f>
        <v>4.2.1.5-6 Soil atm. deposition</v>
      </c>
      <c r="D22" s="93" t="s">
        <v>203</v>
      </c>
      <c r="E22" s="93" t="s">
        <v>189</v>
      </c>
      <c r="F22" s="93" t="s">
        <v>190</v>
      </c>
      <c r="G22" s="93" t="s">
        <v>191</v>
      </c>
      <c r="H22" s="93" t="s">
        <v>192</v>
      </c>
      <c r="I22" s="93" t="s">
        <v>193</v>
      </c>
      <c r="J22" s="93" t="s">
        <v>194</v>
      </c>
      <c r="K22" s="93" t="s">
        <v>195</v>
      </c>
      <c r="L22" s="93" t="s">
        <v>196</v>
      </c>
      <c r="M22" s="93" t="s">
        <v>197</v>
      </c>
      <c r="N22" s="93" t="s">
        <v>198</v>
      </c>
      <c r="T22" s="33"/>
    </row>
    <row r="23" spans="1:20" ht="20.100000000000001" customHeight="1" x14ac:dyDescent="0.25">
      <c r="A23" s="5" t="str">
        <f>HYPERLINK("#'4.2.1.7-8 Soil leach runoff'!A1", "4.2.1.7-8 Soil leach &amp; runoff")</f>
        <v>4.2.1.7-8 Soil leach &amp; runoff</v>
      </c>
      <c r="D23" s="1" t="str">
        <f>TEXT(X_Cell_Site_StartDate, "mmmm yyyy")</f>
        <v>NO - Not in leaching zone</v>
      </c>
      <c r="E23" s="87" t="e">
        <f t="shared" ref="E23:N34" si="0">DAY(EOMONTH($D23,0))</f>
        <v>#VALUE!</v>
      </c>
      <c r="F23" s="87" t="e">
        <f t="shared" si="0"/>
        <v>#VALUE!</v>
      </c>
      <c r="G23" s="87" t="e">
        <f t="shared" si="0"/>
        <v>#VALUE!</v>
      </c>
      <c r="H23" s="87" t="e">
        <f t="shared" si="0"/>
        <v>#VALUE!</v>
      </c>
      <c r="I23" s="87" t="e">
        <f t="shared" si="0"/>
        <v>#VALUE!</v>
      </c>
      <c r="J23" s="87" t="e">
        <f t="shared" si="0"/>
        <v>#VALUE!</v>
      </c>
      <c r="K23" s="87" t="e">
        <f t="shared" si="0"/>
        <v>#VALUE!</v>
      </c>
      <c r="L23" s="87" t="e">
        <f t="shared" si="0"/>
        <v>#VALUE!</v>
      </c>
      <c r="M23" s="87" t="e">
        <f t="shared" si="0"/>
        <v>#VALUE!</v>
      </c>
      <c r="N23" s="87" t="e">
        <f t="shared" si="0"/>
        <v>#VALUE!</v>
      </c>
      <c r="O23" s="27" t="s">
        <v>124</v>
      </c>
      <c r="T23" s="33"/>
    </row>
    <row r="24" spans="1:20" ht="20.100000000000001" customHeight="1" x14ac:dyDescent="0.25">
      <c r="A24" s="5" t="str">
        <f>HYPERLINK("#'5.1.1.1-2 Inorganic fert N2O'!A1", "5.1.1.1-2 Inorganic fert N2O")</f>
        <v>5.1.1.1-2 Inorganic fert N2O</v>
      </c>
      <c r="D24" s="1" t="e">
        <f>TEXT(EDATE(X_Cell_Site_StartDate,1), "mmmm yyyy")</f>
        <v>#VALUE!</v>
      </c>
      <c r="E24" s="87" t="e">
        <f t="shared" si="0"/>
        <v>#VALUE!</v>
      </c>
      <c r="F24" s="87" t="e">
        <f t="shared" si="0"/>
        <v>#VALUE!</v>
      </c>
      <c r="G24" s="87" t="e">
        <f t="shared" si="0"/>
        <v>#VALUE!</v>
      </c>
      <c r="H24" s="87" t="e">
        <f t="shared" si="0"/>
        <v>#VALUE!</v>
      </c>
      <c r="I24" s="87" t="e">
        <f t="shared" si="0"/>
        <v>#VALUE!</v>
      </c>
      <c r="J24" s="87" t="e">
        <f t="shared" si="0"/>
        <v>#VALUE!</v>
      </c>
      <c r="K24" s="87" t="e">
        <f t="shared" si="0"/>
        <v>#VALUE!</v>
      </c>
      <c r="L24" s="87" t="e">
        <f t="shared" si="0"/>
        <v>#VALUE!</v>
      </c>
      <c r="M24" s="87" t="e">
        <f t="shared" si="0"/>
        <v>#VALUE!</v>
      </c>
      <c r="N24" s="87" t="e">
        <f t="shared" si="0"/>
        <v>#VALUE!</v>
      </c>
      <c r="O24" s="27" t="s">
        <v>124</v>
      </c>
      <c r="T24" s="33"/>
    </row>
    <row r="25" spans="1:20" ht="20.100000000000001" customHeight="1" x14ac:dyDescent="0.25">
      <c r="A25" s="5" t="str">
        <f>HYPERLINK("#'5.1.1.3-4 Inorganic fert CO2'!A1", "5.1.1.3-4 Inorganic fert CO2")</f>
        <v>5.1.1.3-4 Inorganic fert CO2</v>
      </c>
      <c r="D25" s="1" t="e">
        <f>TEXT(EDATE(X_Cell_Site_StartDate,2), "mmmm yyyy")</f>
        <v>#VALUE!</v>
      </c>
      <c r="E25" s="87" t="e">
        <f t="shared" si="0"/>
        <v>#VALUE!</v>
      </c>
      <c r="F25" s="87" t="e">
        <f t="shared" si="0"/>
        <v>#VALUE!</v>
      </c>
      <c r="G25" s="87" t="e">
        <f t="shared" si="0"/>
        <v>#VALUE!</v>
      </c>
      <c r="H25" s="87" t="e">
        <f t="shared" si="0"/>
        <v>#VALUE!</v>
      </c>
      <c r="I25" s="87" t="e">
        <f t="shared" si="0"/>
        <v>#VALUE!</v>
      </c>
      <c r="J25" s="87" t="e">
        <f t="shared" si="0"/>
        <v>#VALUE!</v>
      </c>
      <c r="K25" s="87" t="e">
        <f t="shared" si="0"/>
        <v>#VALUE!</v>
      </c>
      <c r="L25" s="87" t="e">
        <f t="shared" si="0"/>
        <v>#VALUE!</v>
      </c>
      <c r="M25" s="87" t="e">
        <f t="shared" si="0"/>
        <v>#VALUE!</v>
      </c>
      <c r="N25" s="87" t="e">
        <f t="shared" si="0"/>
        <v>#VALUE!</v>
      </c>
      <c r="O25" s="27" t="s">
        <v>124</v>
      </c>
      <c r="T25" s="33"/>
    </row>
    <row r="26" spans="1:20" ht="20.100000000000001" customHeight="1" x14ac:dyDescent="0.25">
      <c r="A26" s="5" t="str">
        <f>HYPERLINK("#'5.2.1.1-2 Organic Fert N2O'!A1", "5.2.1.1-2 Organic fert N2O")</f>
        <v>5.2.1.1-2 Organic fert N2O</v>
      </c>
      <c r="D26" s="1" t="e">
        <f>TEXT(EDATE(X_Cell_Site_StartDate,3), "mmmm yyyy")</f>
        <v>#VALUE!</v>
      </c>
      <c r="E26" s="87" t="e">
        <f t="shared" si="0"/>
        <v>#VALUE!</v>
      </c>
      <c r="F26" s="87" t="e">
        <f t="shared" si="0"/>
        <v>#VALUE!</v>
      </c>
      <c r="G26" s="87" t="e">
        <f t="shared" si="0"/>
        <v>#VALUE!</v>
      </c>
      <c r="H26" s="87" t="e">
        <f t="shared" si="0"/>
        <v>#VALUE!</v>
      </c>
      <c r="I26" s="87" t="e">
        <f t="shared" si="0"/>
        <v>#VALUE!</v>
      </c>
      <c r="J26" s="87" t="e">
        <f t="shared" si="0"/>
        <v>#VALUE!</v>
      </c>
      <c r="K26" s="87" t="e">
        <f t="shared" si="0"/>
        <v>#VALUE!</v>
      </c>
      <c r="L26" s="87" t="e">
        <f t="shared" si="0"/>
        <v>#VALUE!</v>
      </c>
      <c r="M26" s="87" t="e">
        <f t="shared" si="0"/>
        <v>#VALUE!</v>
      </c>
      <c r="N26" s="87" t="e">
        <f t="shared" si="0"/>
        <v>#VALUE!</v>
      </c>
      <c r="O26" s="27" t="s">
        <v>124</v>
      </c>
      <c r="T26" s="33"/>
    </row>
    <row r="27" spans="1:20" ht="20.100000000000001" customHeight="1" x14ac:dyDescent="0.25">
      <c r="A27" s="5" t="str">
        <f>HYPERLINK("#'5.3.1.1-2 Lime CO2'!A1", "5.3.1.1-2 Lime CO2")</f>
        <v>5.3.1.1-2 Lime CO2</v>
      </c>
      <c r="D27" s="1" t="e">
        <f>TEXT(EDATE(X_Cell_Site_StartDate,4), "mmmm yyyy")</f>
        <v>#VALUE!</v>
      </c>
      <c r="E27" s="87" t="e">
        <f t="shared" si="0"/>
        <v>#VALUE!</v>
      </c>
      <c r="F27" s="87" t="e">
        <f t="shared" si="0"/>
        <v>#VALUE!</v>
      </c>
      <c r="G27" s="87" t="e">
        <f t="shared" si="0"/>
        <v>#VALUE!</v>
      </c>
      <c r="H27" s="87" t="e">
        <f t="shared" si="0"/>
        <v>#VALUE!</v>
      </c>
      <c r="I27" s="87" t="e">
        <f t="shared" si="0"/>
        <v>#VALUE!</v>
      </c>
      <c r="J27" s="87" t="e">
        <f t="shared" si="0"/>
        <v>#VALUE!</v>
      </c>
      <c r="K27" s="87" t="e">
        <f t="shared" si="0"/>
        <v>#VALUE!</v>
      </c>
      <c r="L27" s="87" t="e">
        <f t="shared" si="0"/>
        <v>#VALUE!</v>
      </c>
      <c r="M27" s="87" t="e">
        <f t="shared" si="0"/>
        <v>#VALUE!</v>
      </c>
      <c r="N27" s="87" t="e">
        <f t="shared" si="0"/>
        <v>#VALUE!</v>
      </c>
      <c r="O27" s="27" t="s">
        <v>124</v>
      </c>
      <c r="T27" s="33"/>
    </row>
    <row r="28" spans="1:20" ht="20.100000000000001" customHeight="1" x14ac:dyDescent="0.25">
      <c r="A28" s="5" t="str">
        <f>HYPERLINK("#'5.4.1.1-4 Atmos deposition'!A1", "5.4.1.1-4 Atmos. deposition")</f>
        <v>5.4.1.1-4 Atmos. deposition</v>
      </c>
      <c r="D28" s="1" t="e">
        <f>TEXT(EDATE(X_Cell_Site_StartDate,5), "mmmm yyyy")</f>
        <v>#VALUE!</v>
      </c>
      <c r="E28" s="87" t="e">
        <f t="shared" si="0"/>
        <v>#VALUE!</v>
      </c>
      <c r="F28" s="87" t="e">
        <f t="shared" si="0"/>
        <v>#VALUE!</v>
      </c>
      <c r="G28" s="87" t="e">
        <f t="shared" si="0"/>
        <v>#VALUE!</v>
      </c>
      <c r="H28" s="87" t="e">
        <f t="shared" si="0"/>
        <v>#VALUE!</v>
      </c>
      <c r="I28" s="87" t="e">
        <f t="shared" si="0"/>
        <v>#VALUE!</v>
      </c>
      <c r="J28" s="87" t="e">
        <f t="shared" si="0"/>
        <v>#VALUE!</v>
      </c>
      <c r="K28" s="87" t="e">
        <f t="shared" si="0"/>
        <v>#VALUE!</v>
      </c>
      <c r="L28" s="87" t="e">
        <f t="shared" si="0"/>
        <v>#VALUE!</v>
      </c>
      <c r="M28" s="87" t="e">
        <f t="shared" si="0"/>
        <v>#VALUE!</v>
      </c>
      <c r="N28" s="87" t="e">
        <f t="shared" si="0"/>
        <v>#VALUE!</v>
      </c>
      <c r="O28" s="27" t="s">
        <v>124</v>
      </c>
      <c r="T28" s="33"/>
    </row>
    <row r="29" spans="1:20" ht="20.100000000000001" customHeight="1" x14ac:dyDescent="0.25">
      <c r="A29" s="5" t="str">
        <f>HYPERLINK("#'5.5.1.1-2 Leaching and runoff'!A1", "5.5.1.1-2 Leaching &amp; runoff")</f>
        <v>5.5.1.1-2 Leaching &amp; runoff</v>
      </c>
      <c r="D29" s="1" t="e">
        <f>TEXT(EDATE(X_Cell_Site_StartDate,6), "mmmm yyyy")</f>
        <v>#VALUE!</v>
      </c>
      <c r="E29" s="87" t="e">
        <f t="shared" si="0"/>
        <v>#VALUE!</v>
      </c>
      <c r="F29" s="87" t="e">
        <f t="shared" si="0"/>
        <v>#VALUE!</v>
      </c>
      <c r="G29" s="87" t="e">
        <f t="shared" si="0"/>
        <v>#VALUE!</v>
      </c>
      <c r="H29" s="87" t="e">
        <f t="shared" si="0"/>
        <v>#VALUE!</v>
      </c>
      <c r="I29" s="87" t="e">
        <f t="shared" si="0"/>
        <v>#VALUE!</v>
      </c>
      <c r="J29" s="87" t="e">
        <f t="shared" si="0"/>
        <v>#VALUE!</v>
      </c>
      <c r="K29" s="87" t="e">
        <f t="shared" si="0"/>
        <v>#VALUE!</v>
      </c>
      <c r="L29" s="87" t="e">
        <f t="shared" si="0"/>
        <v>#VALUE!</v>
      </c>
      <c r="M29" s="87" t="e">
        <f t="shared" si="0"/>
        <v>#VALUE!</v>
      </c>
      <c r="N29" s="87" t="e">
        <f t="shared" si="0"/>
        <v>#VALUE!</v>
      </c>
      <c r="O29" s="27" t="s">
        <v>124</v>
      </c>
      <c r="T29" s="33"/>
    </row>
    <row r="30" spans="1:20" ht="20.100000000000001" customHeight="1" x14ac:dyDescent="0.25">
      <c r="A30" s="5" t="str">
        <f>HYPERLINK("#'6.2.1.1-2 Pasture residue N2O'!A1", "6.2.1.1-2 Pasture residue N2O")</f>
        <v>6.2.1.1-2 Pasture residue N2O</v>
      </c>
      <c r="D30" s="1" t="e">
        <f>TEXT(EDATE(X_Cell_Site_StartDate,7), "mmmm yyyy")</f>
        <v>#VALUE!</v>
      </c>
      <c r="E30" s="87" t="e">
        <f t="shared" si="0"/>
        <v>#VALUE!</v>
      </c>
      <c r="F30" s="87" t="e">
        <f t="shared" si="0"/>
        <v>#VALUE!</v>
      </c>
      <c r="G30" s="87" t="e">
        <f t="shared" si="0"/>
        <v>#VALUE!</v>
      </c>
      <c r="H30" s="87" t="e">
        <f t="shared" si="0"/>
        <v>#VALUE!</v>
      </c>
      <c r="I30" s="87" t="e">
        <f t="shared" si="0"/>
        <v>#VALUE!</v>
      </c>
      <c r="J30" s="87" t="e">
        <f t="shared" si="0"/>
        <v>#VALUE!</v>
      </c>
      <c r="K30" s="87" t="e">
        <f t="shared" si="0"/>
        <v>#VALUE!</v>
      </c>
      <c r="L30" s="87" t="e">
        <f t="shared" si="0"/>
        <v>#VALUE!</v>
      </c>
      <c r="M30" s="87" t="e">
        <f t="shared" si="0"/>
        <v>#VALUE!</v>
      </c>
      <c r="N30" s="87" t="e">
        <f t="shared" si="0"/>
        <v>#VALUE!</v>
      </c>
      <c r="O30" s="27" t="s">
        <v>124</v>
      </c>
      <c r="T30" s="33"/>
    </row>
    <row r="31" spans="1:20" ht="20.100000000000001" customHeight="1" x14ac:dyDescent="0.25">
      <c r="A31" s="5" t="str">
        <f>HYPERLINK("#'6.3.1.1-2 Leach runoff pasture'!A1", "6.3.1.1-2 Leach &amp; runoff (pasture)")</f>
        <v>6.3.1.1-2 Leach &amp; runoff (pasture)</v>
      </c>
      <c r="D31" s="1" t="e">
        <f>TEXT(EDATE(X_Cell_Site_StartDate,8), "mmmm yyyy")</f>
        <v>#VALUE!</v>
      </c>
      <c r="E31" s="87" t="e">
        <f t="shared" si="0"/>
        <v>#VALUE!</v>
      </c>
      <c r="F31" s="87" t="e">
        <f t="shared" si="0"/>
        <v>#VALUE!</v>
      </c>
      <c r="G31" s="87" t="e">
        <f t="shared" si="0"/>
        <v>#VALUE!</v>
      </c>
      <c r="H31" s="87" t="e">
        <f t="shared" si="0"/>
        <v>#VALUE!</v>
      </c>
      <c r="I31" s="87" t="e">
        <f t="shared" si="0"/>
        <v>#VALUE!</v>
      </c>
      <c r="J31" s="87" t="e">
        <f t="shared" si="0"/>
        <v>#VALUE!</v>
      </c>
      <c r="K31" s="87" t="e">
        <f t="shared" si="0"/>
        <v>#VALUE!</v>
      </c>
      <c r="L31" s="87" t="e">
        <f t="shared" si="0"/>
        <v>#VALUE!</v>
      </c>
      <c r="M31" s="87" t="e">
        <f t="shared" si="0"/>
        <v>#VALUE!</v>
      </c>
      <c r="N31" s="87" t="e">
        <f t="shared" si="0"/>
        <v>#VALUE!</v>
      </c>
      <c r="O31" s="27" t="s">
        <v>124</v>
      </c>
      <c r="T31" s="33"/>
    </row>
    <row r="32" spans="1:20" ht="20.100000000000001" customHeight="1" x14ac:dyDescent="0.25">
      <c r="A32" s="5" t="str">
        <f>HYPERLINK("#'8.1.1.1-2 Transport fuel'!A1", "8.1.1.1-2 Transport fuel")</f>
        <v>8.1.1.1-2 Transport fuel</v>
      </c>
      <c r="D32" s="1" t="e">
        <f>TEXT(EDATE(X_Cell_Site_StartDate,9), "mmmm yyyy")</f>
        <v>#VALUE!</v>
      </c>
      <c r="E32" s="87" t="e">
        <f t="shared" si="0"/>
        <v>#VALUE!</v>
      </c>
      <c r="F32" s="87" t="e">
        <f t="shared" si="0"/>
        <v>#VALUE!</v>
      </c>
      <c r="G32" s="87" t="e">
        <f t="shared" si="0"/>
        <v>#VALUE!</v>
      </c>
      <c r="H32" s="87" t="e">
        <f t="shared" si="0"/>
        <v>#VALUE!</v>
      </c>
      <c r="I32" s="87" t="e">
        <f t="shared" si="0"/>
        <v>#VALUE!</v>
      </c>
      <c r="J32" s="87" t="e">
        <f t="shared" si="0"/>
        <v>#VALUE!</v>
      </c>
      <c r="K32" s="87" t="e">
        <f t="shared" si="0"/>
        <v>#VALUE!</v>
      </c>
      <c r="L32" s="87" t="e">
        <f t="shared" si="0"/>
        <v>#VALUE!</v>
      </c>
      <c r="M32" s="87" t="e">
        <f t="shared" si="0"/>
        <v>#VALUE!</v>
      </c>
      <c r="N32" s="87" t="e">
        <f t="shared" si="0"/>
        <v>#VALUE!</v>
      </c>
      <c r="O32" s="27" t="s">
        <v>124</v>
      </c>
      <c r="T32" s="33"/>
    </row>
    <row r="33" spans="1:20" ht="20.100000000000001" customHeight="1" x14ac:dyDescent="0.25">
      <c r="A33" s="5" t="str">
        <f>HYPERLINK("#'8.2.1.1-2 Stationary fuel'!A1", "8.2.1.1-2 Stationary fuel")</f>
        <v>8.2.1.1-2 Stationary fuel</v>
      </c>
      <c r="D33" s="1" t="e">
        <f>TEXT(EDATE(X_Cell_Site_StartDate,10), "mmmm yyyy")</f>
        <v>#VALUE!</v>
      </c>
      <c r="E33" s="87" t="e">
        <f t="shared" si="0"/>
        <v>#VALUE!</v>
      </c>
      <c r="F33" s="87" t="e">
        <f t="shared" si="0"/>
        <v>#VALUE!</v>
      </c>
      <c r="G33" s="87" t="e">
        <f t="shared" si="0"/>
        <v>#VALUE!</v>
      </c>
      <c r="H33" s="87" t="e">
        <f t="shared" si="0"/>
        <v>#VALUE!</v>
      </c>
      <c r="I33" s="87" t="e">
        <f t="shared" si="0"/>
        <v>#VALUE!</v>
      </c>
      <c r="J33" s="87" t="e">
        <f t="shared" si="0"/>
        <v>#VALUE!</v>
      </c>
      <c r="K33" s="87" t="e">
        <f t="shared" si="0"/>
        <v>#VALUE!</v>
      </c>
      <c r="L33" s="87" t="e">
        <f t="shared" si="0"/>
        <v>#VALUE!</v>
      </c>
      <c r="M33" s="87" t="e">
        <f t="shared" si="0"/>
        <v>#VALUE!</v>
      </c>
      <c r="N33" s="87" t="e">
        <f t="shared" si="0"/>
        <v>#VALUE!</v>
      </c>
      <c r="O33" s="27" t="s">
        <v>124</v>
      </c>
      <c r="T33" s="33"/>
    </row>
    <row r="34" spans="1:20" ht="20.100000000000001" customHeight="1" x14ac:dyDescent="0.25">
      <c r="A34" s="5" t="str">
        <f>HYPERLINK("#'14.1.1-2 Purchased electricity'!A1", "14.1.1-2 Purchased electricity")</f>
        <v>14.1.1-2 Purchased electricity</v>
      </c>
      <c r="D34" s="1" t="e">
        <f>TEXT(EDATE(X_Cell_Site_StartDate,11), "mmmm yyyy")</f>
        <v>#VALUE!</v>
      </c>
      <c r="E34" s="87" t="e">
        <f t="shared" si="0"/>
        <v>#VALUE!</v>
      </c>
      <c r="F34" s="87" t="e">
        <f t="shared" si="0"/>
        <v>#VALUE!</v>
      </c>
      <c r="G34" s="87" t="e">
        <f t="shared" si="0"/>
        <v>#VALUE!</v>
      </c>
      <c r="H34" s="87" t="e">
        <f t="shared" si="0"/>
        <v>#VALUE!</v>
      </c>
      <c r="I34" s="87" t="e">
        <f t="shared" si="0"/>
        <v>#VALUE!</v>
      </c>
      <c r="J34" s="87" t="e">
        <f t="shared" si="0"/>
        <v>#VALUE!</v>
      </c>
      <c r="K34" s="87" t="e">
        <f t="shared" si="0"/>
        <v>#VALUE!</v>
      </c>
      <c r="L34" s="87" t="e">
        <f t="shared" si="0"/>
        <v>#VALUE!</v>
      </c>
      <c r="M34" s="87" t="e">
        <f t="shared" si="0"/>
        <v>#VALUE!</v>
      </c>
      <c r="N34" s="87" t="e">
        <f t="shared" si="0"/>
        <v>#VALUE!</v>
      </c>
      <c r="O34" s="27" t="s">
        <v>124</v>
      </c>
      <c r="T34" s="33"/>
    </row>
    <row r="35" spans="1:20" ht="20.100000000000001" customHeight="1" x14ac:dyDescent="0.25">
      <c r="T35" s="33"/>
    </row>
    <row r="36" spans="1:20" ht="20.100000000000001" customHeight="1" x14ac:dyDescent="0.25">
      <c r="T36" s="33"/>
    </row>
    <row r="37" spans="1:20" ht="20.100000000000001" customHeight="1" x14ac:dyDescent="0.25">
      <c r="A37" s="250" t="s">
        <v>1</v>
      </c>
      <c r="D37" s="92" t="s">
        <v>204</v>
      </c>
      <c r="T37" s="33"/>
    </row>
    <row r="38" spans="1:20" ht="20.100000000000001" customHeight="1" x14ac:dyDescent="0.25">
      <c r="A38" s="5" t="str">
        <f>HYPERLINK("#'Constants - Pasture Beef'!A1", "Constants - Pasture Beef")</f>
        <v>Constants - Pasture Beef</v>
      </c>
      <c r="D38" s="93" t="s">
        <v>205</v>
      </c>
      <c r="E38" s="93" t="s">
        <v>189</v>
      </c>
      <c r="F38" s="93" t="s">
        <v>190</v>
      </c>
      <c r="G38" s="93" t="s">
        <v>191</v>
      </c>
      <c r="H38" s="93" t="s">
        <v>192</v>
      </c>
      <c r="I38" s="93" t="s">
        <v>193</v>
      </c>
      <c r="J38" s="93" t="s">
        <v>194</v>
      </c>
      <c r="K38" s="93" t="s">
        <v>195</v>
      </c>
      <c r="L38" s="93" t="s">
        <v>196</v>
      </c>
      <c r="M38" s="93" t="s">
        <v>197</v>
      </c>
      <c r="N38" s="93" t="s">
        <v>198</v>
      </c>
      <c r="T38" s="33"/>
    </row>
    <row r="39" spans="1:20" ht="20.100000000000001" customHeight="1" x14ac:dyDescent="0.25">
      <c r="A39" s="5" t="str">
        <f>HYPERLINK("#'Constants - Ag Residue'!A1", "Constants - Ag residue")</f>
        <v>Constants - Ag residue</v>
      </c>
      <c r="D39" s="1" t="s">
        <v>199</v>
      </c>
      <c r="E39" s="87">
        <v>100</v>
      </c>
      <c r="F39" s="87">
        <v>100</v>
      </c>
      <c r="G39" s="87">
        <v>100</v>
      </c>
      <c r="H39" s="87">
        <v>100</v>
      </c>
      <c r="I39" s="87">
        <v>100</v>
      </c>
      <c r="J39" s="87">
        <v>100</v>
      </c>
      <c r="K39" s="87">
        <v>100</v>
      </c>
      <c r="L39" s="87">
        <v>100</v>
      </c>
      <c r="M39" s="87">
        <v>100</v>
      </c>
      <c r="N39" s="87">
        <v>100</v>
      </c>
      <c r="O39" s="27" t="s">
        <v>204</v>
      </c>
      <c r="T39" s="33"/>
    </row>
    <row r="40" spans="1:20" ht="20.100000000000001" customHeight="1" x14ac:dyDescent="0.25">
      <c r="A40" s="5" t="str">
        <f>HYPERLINK("#'Constants - Common Livestock'!A1", "Constants - Common Livestock")</f>
        <v>Constants - Common Livestock</v>
      </c>
      <c r="D40" s="1" t="s">
        <v>200</v>
      </c>
      <c r="E40" s="87">
        <v>100</v>
      </c>
      <c r="F40" s="87">
        <v>100</v>
      </c>
      <c r="G40" s="87">
        <v>100</v>
      </c>
      <c r="H40" s="87">
        <v>100</v>
      </c>
      <c r="I40" s="87">
        <v>100</v>
      </c>
      <c r="J40" s="87">
        <v>100</v>
      </c>
      <c r="K40" s="87">
        <v>100</v>
      </c>
      <c r="L40" s="87">
        <v>100</v>
      </c>
      <c r="M40" s="87">
        <v>100</v>
      </c>
      <c r="N40" s="87">
        <v>100</v>
      </c>
      <c r="O40" s="27" t="s">
        <v>204</v>
      </c>
      <c r="T40" s="33"/>
    </row>
    <row r="41" spans="1:20" ht="20.100000000000001" customHeight="1" x14ac:dyDescent="0.25">
      <c r="A41" s="5" t="str">
        <f>HYPERLINK("#'Constants - Electricity'!A1", "Constants - Electricity")</f>
        <v>Constants - Electricity</v>
      </c>
      <c r="D41" s="1" t="s">
        <v>201</v>
      </c>
      <c r="E41" s="87">
        <v>100</v>
      </c>
      <c r="F41" s="87">
        <v>100</v>
      </c>
      <c r="G41" s="87">
        <v>100</v>
      </c>
      <c r="H41" s="87">
        <v>100</v>
      </c>
      <c r="I41" s="87">
        <v>100</v>
      </c>
      <c r="J41" s="87">
        <v>100</v>
      </c>
      <c r="K41" s="87">
        <v>100</v>
      </c>
      <c r="L41" s="87">
        <v>100</v>
      </c>
      <c r="M41" s="87">
        <v>100</v>
      </c>
      <c r="N41" s="87">
        <v>100</v>
      </c>
      <c r="O41" s="27" t="s">
        <v>204</v>
      </c>
      <c r="T41" s="33"/>
    </row>
    <row r="42" spans="1:20" ht="20.100000000000001" customHeight="1" x14ac:dyDescent="0.25">
      <c r="A42" s="5" t="str">
        <f>HYPERLINK("#'Constants - Fertiliser'!A1", "Constants - Fertiliser")</f>
        <v>Constants - Fertiliser</v>
      </c>
      <c r="D42" s="1" t="s">
        <v>202</v>
      </c>
      <c r="E42" s="87">
        <v>100</v>
      </c>
      <c r="F42" s="87">
        <v>100</v>
      </c>
      <c r="G42" s="87">
        <v>100</v>
      </c>
      <c r="H42" s="87">
        <v>100</v>
      </c>
      <c r="I42" s="87">
        <v>100</v>
      </c>
      <c r="J42" s="87">
        <v>100</v>
      </c>
      <c r="K42" s="87">
        <v>100</v>
      </c>
      <c r="L42" s="87">
        <v>100</v>
      </c>
      <c r="M42" s="87">
        <v>100</v>
      </c>
      <c r="N42" s="87">
        <v>100</v>
      </c>
      <c r="O42" s="27" t="s">
        <v>204</v>
      </c>
      <c r="T42" s="33"/>
    </row>
    <row r="43" spans="1:20" ht="20.100000000000001" customHeight="1" x14ac:dyDescent="0.25">
      <c r="A43" s="5" t="str">
        <f>HYPERLINK("#'Constants - Fuel'!A1", "Constants - Fuel")</f>
        <v>Constants - Fuel</v>
      </c>
      <c r="O43" s="27"/>
      <c r="T43" s="33"/>
    </row>
    <row r="44" spans="1:20" ht="20.100000000000001" customHeight="1" x14ac:dyDescent="0.25">
      <c r="A44" s="5" t="str">
        <f>HYPERLINK("#'Constants - Common'!A1", "Constants - Common")</f>
        <v>Constants - Common</v>
      </c>
      <c r="D44" s="93" t="s">
        <v>206</v>
      </c>
      <c r="E44" s="93" t="s">
        <v>189</v>
      </c>
      <c r="F44" s="93" t="s">
        <v>190</v>
      </c>
      <c r="G44" s="93" t="s">
        <v>191</v>
      </c>
      <c r="H44" s="93" t="s">
        <v>192</v>
      </c>
      <c r="I44" s="93" t="s">
        <v>193</v>
      </c>
      <c r="J44" s="93" t="s">
        <v>194</v>
      </c>
      <c r="K44" s="93" t="s">
        <v>195</v>
      </c>
      <c r="L44" s="93" t="s">
        <v>196</v>
      </c>
      <c r="M44" s="93" t="s">
        <v>197</v>
      </c>
      <c r="N44" s="93" t="s">
        <v>198</v>
      </c>
      <c r="O44" s="27"/>
      <c r="T44" s="33"/>
    </row>
    <row r="45" spans="1:20" ht="20.100000000000001" customHeight="1" x14ac:dyDescent="0.25">
      <c r="A45" s="5" t="str">
        <f>HYPERLINK("#'Acknowledgements'!A1", "Acknowledgements")</f>
        <v>Acknowledgements</v>
      </c>
      <c r="D45" s="1" t="str">
        <f>TEXT(X_Cell_Site_StartDate, "mmmm yyyy")</f>
        <v>NO - Not in leaching zone</v>
      </c>
      <c r="E45" s="87">
        <v>100</v>
      </c>
      <c r="F45" s="87">
        <v>100</v>
      </c>
      <c r="G45" s="87">
        <v>100</v>
      </c>
      <c r="H45" s="87">
        <v>100</v>
      </c>
      <c r="I45" s="87">
        <v>100</v>
      </c>
      <c r="J45" s="87">
        <v>100</v>
      </c>
      <c r="K45" s="87">
        <v>100</v>
      </c>
      <c r="L45" s="87">
        <v>100</v>
      </c>
      <c r="M45" s="87">
        <v>100</v>
      </c>
      <c r="N45" s="87">
        <v>100</v>
      </c>
      <c r="O45" s="27" t="s">
        <v>204</v>
      </c>
      <c r="T45" s="33"/>
    </row>
    <row r="46" spans="1:20" ht="20.100000000000001" customHeight="1" x14ac:dyDescent="0.25">
      <c r="A46" s="5" t="str">
        <f>HYPERLINK("#'Overview'!A1", "Overview")</f>
        <v>Overview</v>
      </c>
      <c r="D46" s="1" t="e">
        <f>TEXT(EDATE(X_Cell_Site_StartDate,1), "mmmm yyyy")</f>
        <v>#VALUE!</v>
      </c>
      <c r="E46" s="87">
        <v>100</v>
      </c>
      <c r="F46" s="87">
        <v>100</v>
      </c>
      <c r="G46" s="87">
        <v>100</v>
      </c>
      <c r="H46" s="87">
        <v>100</v>
      </c>
      <c r="I46" s="87">
        <v>100</v>
      </c>
      <c r="J46" s="87">
        <v>100</v>
      </c>
      <c r="K46" s="87">
        <v>100</v>
      </c>
      <c r="L46" s="87">
        <v>100</v>
      </c>
      <c r="M46" s="87">
        <v>100</v>
      </c>
      <c r="N46" s="87">
        <v>100</v>
      </c>
      <c r="O46" s="27" t="s">
        <v>204</v>
      </c>
      <c r="T46" s="33"/>
    </row>
    <row r="47" spans="1:20" ht="20.100000000000001" customHeight="1" x14ac:dyDescent="0.25">
      <c r="D47" s="1" t="e">
        <f>TEXT(EDATE(X_Cell_Site_StartDate,2), "mmmm yyyy")</f>
        <v>#VALUE!</v>
      </c>
      <c r="E47" s="87">
        <v>100</v>
      </c>
      <c r="F47" s="87">
        <v>100</v>
      </c>
      <c r="G47" s="87">
        <v>100</v>
      </c>
      <c r="H47" s="87">
        <v>100</v>
      </c>
      <c r="I47" s="87">
        <v>100</v>
      </c>
      <c r="J47" s="87">
        <v>100</v>
      </c>
      <c r="K47" s="87">
        <v>100</v>
      </c>
      <c r="L47" s="87">
        <v>100</v>
      </c>
      <c r="M47" s="87">
        <v>100</v>
      </c>
      <c r="N47" s="87">
        <v>100</v>
      </c>
      <c r="O47" s="27" t="s">
        <v>204</v>
      </c>
      <c r="T47" s="33"/>
    </row>
    <row r="48" spans="1:20" ht="20.100000000000001" customHeight="1" x14ac:dyDescent="0.25">
      <c r="D48" s="1" t="e">
        <f>TEXT(EDATE(X_Cell_Site_StartDate,3), "mmmm yyyy")</f>
        <v>#VALUE!</v>
      </c>
      <c r="E48" s="87">
        <v>100</v>
      </c>
      <c r="F48" s="87">
        <v>100</v>
      </c>
      <c r="G48" s="87">
        <v>100</v>
      </c>
      <c r="H48" s="87">
        <v>100</v>
      </c>
      <c r="I48" s="87">
        <v>100</v>
      </c>
      <c r="J48" s="87">
        <v>100</v>
      </c>
      <c r="K48" s="87">
        <v>100</v>
      </c>
      <c r="L48" s="87">
        <v>100</v>
      </c>
      <c r="M48" s="87">
        <v>100</v>
      </c>
      <c r="N48" s="87">
        <v>100</v>
      </c>
      <c r="O48" s="27" t="s">
        <v>204</v>
      </c>
      <c r="T48" s="33"/>
    </row>
    <row r="49" spans="4:20" ht="20.100000000000001" customHeight="1" x14ac:dyDescent="0.25">
      <c r="D49" s="1" t="e">
        <f>TEXT(EDATE(X_Cell_Site_StartDate,4), "mmmm yyyy")</f>
        <v>#VALUE!</v>
      </c>
      <c r="E49" s="87">
        <v>100</v>
      </c>
      <c r="F49" s="87">
        <v>100</v>
      </c>
      <c r="G49" s="87">
        <v>100</v>
      </c>
      <c r="H49" s="87">
        <v>100</v>
      </c>
      <c r="I49" s="87">
        <v>100</v>
      </c>
      <c r="J49" s="87">
        <v>100</v>
      </c>
      <c r="K49" s="87">
        <v>100</v>
      </c>
      <c r="L49" s="87">
        <v>100</v>
      </c>
      <c r="M49" s="87">
        <v>100</v>
      </c>
      <c r="N49" s="87">
        <v>100</v>
      </c>
      <c r="O49" s="27" t="s">
        <v>204</v>
      </c>
      <c r="T49" s="33"/>
    </row>
    <row r="50" spans="4:20" ht="20.100000000000001" customHeight="1" x14ac:dyDescent="0.25">
      <c r="D50" s="1" t="e">
        <f>TEXT(EDATE(X_Cell_Site_StartDate,5), "mmmm yyyy")</f>
        <v>#VALUE!</v>
      </c>
      <c r="E50" s="87">
        <v>100</v>
      </c>
      <c r="F50" s="87">
        <v>100</v>
      </c>
      <c r="G50" s="87">
        <v>100</v>
      </c>
      <c r="H50" s="87">
        <v>100</v>
      </c>
      <c r="I50" s="87">
        <v>100</v>
      </c>
      <c r="J50" s="87">
        <v>100</v>
      </c>
      <c r="K50" s="87">
        <v>100</v>
      </c>
      <c r="L50" s="87">
        <v>100</v>
      </c>
      <c r="M50" s="87">
        <v>100</v>
      </c>
      <c r="N50" s="87">
        <v>100</v>
      </c>
      <c r="O50" s="27" t="s">
        <v>204</v>
      </c>
      <c r="P50" s="36"/>
      <c r="T50" s="33"/>
    </row>
    <row r="51" spans="4:20" ht="20.100000000000001" customHeight="1" x14ac:dyDescent="0.25">
      <c r="D51" s="1" t="e">
        <f>TEXT(EDATE(X_Cell_Site_StartDate,6), "mmmm yyyy")</f>
        <v>#VALUE!</v>
      </c>
      <c r="E51" s="87">
        <v>100</v>
      </c>
      <c r="F51" s="87">
        <v>100</v>
      </c>
      <c r="G51" s="87">
        <v>100</v>
      </c>
      <c r="H51" s="87">
        <v>100</v>
      </c>
      <c r="I51" s="87">
        <v>100</v>
      </c>
      <c r="J51" s="87">
        <v>100</v>
      </c>
      <c r="K51" s="87">
        <v>100</v>
      </c>
      <c r="L51" s="87">
        <v>100</v>
      </c>
      <c r="M51" s="87">
        <v>100</v>
      </c>
      <c r="N51" s="87">
        <v>100</v>
      </c>
      <c r="O51" s="27" t="s">
        <v>204</v>
      </c>
      <c r="P51" s="36"/>
      <c r="T51" s="33"/>
    </row>
    <row r="52" spans="4:20" ht="20.100000000000001" customHeight="1" x14ac:dyDescent="0.25">
      <c r="D52" s="1" t="e">
        <f>TEXT(EDATE(X_Cell_Site_StartDate,7), "mmmm yyyy")</f>
        <v>#VALUE!</v>
      </c>
      <c r="E52" s="87">
        <v>100</v>
      </c>
      <c r="F52" s="87">
        <v>100</v>
      </c>
      <c r="G52" s="87">
        <v>100</v>
      </c>
      <c r="H52" s="87">
        <v>100</v>
      </c>
      <c r="I52" s="87">
        <v>100</v>
      </c>
      <c r="J52" s="87">
        <v>100</v>
      </c>
      <c r="K52" s="87">
        <v>100</v>
      </c>
      <c r="L52" s="87">
        <v>100</v>
      </c>
      <c r="M52" s="87">
        <v>100</v>
      </c>
      <c r="N52" s="87">
        <v>100</v>
      </c>
      <c r="O52" s="27" t="s">
        <v>204</v>
      </c>
      <c r="P52" s="36"/>
      <c r="T52" s="33"/>
    </row>
    <row r="53" spans="4:20" ht="20.100000000000001" customHeight="1" x14ac:dyDescent="0.25">
      <c r="D53" s="1" t="e">
        <f>TEXT(EDATE(X_Cell_Site_StartDate,8), "mmmm yyyy")</f>
        <v>#VALUE!</v>
      </c>
      <c r="E53" s="87">
        <v>100</v>
      </c>
      <c r="F53" s="87">
        <v>100</v>
      </c>
      <c r="G53" s="87">
        <v>100</v>
      </c>
      <c r="H53" s="87">
        <v>100</v>
      </c>
      <c r="I53" s="87">
        <v>100</v>
      </c>
      <c r="J53" s="87">
        <v>100</v>
      </c>
      <c r="K53" s="87">
        <v>100</v>
      </c>
      <c r="L53" s="87">
        <v>100</v>
      </c>
      <c r="M53" s="87">
        <v>100</v>
      </c>
      <c r="N53" s="87">
        <v>100</v>
      </c>
      <c r="O53" s="27" t="s">
        <v>204</v>
      </c>
      <c r="P53" s="36"/>
      <c r="T53" s="33"/>
    </row>
    <row r="54" spans="4:20" ht="20.100000000000001" customHeight="1" x14ac:dyDescent="0.25">
      <c r="D54" s="1" t="e">
        <f>TEXT(EDATE(X_Cell_Site_StartDate,9), "mmmm yyyy")</f>
        <v>#VALUE!</v>
      </c>
      <c r="E54" s="87">
        <v>100</v>
      </c>
      <c r="F54" s="87">
        <v>100</v>
      </c>
      <c r="G54" s="87">
        <v>100</v>
      </c>
      <c r="H54" s="87">
        <v>100</v>
      </c>
      <c r="I54" s="87">
        <v>100</v>
      </c>
      <c r="J54" s="87">
        <v>100</v>
      </c>
      <c r="K54" s="87">
        <v>100</v>
      </c>
      <c r="L54" s="87">
        <v>100</v>
      </c>
      <c r="M54" s="87">
        <v>100</v>
      </c>
      <c r="N54" s="87">
        <v>100</v>
      </c>
      <c r="O54" s="27" t="s">
        <v>204</v>
      </c>
      <c r="P54" s="36"/>
      <c r="T54" s="33"/>
    </row>
    <row r="55" spans="4:20" ht="20.100000000000001" customHeight="1" x14ac:dyDescent="0.25">
      <c r="D55" s="1" t="e">
        <f>TEXT(EDATE(X_Cell_Site_StartDate,10), "mmmm yyyy")</f>
        <v>#VALUE!</v>
      </c>
      <c r="E55" s="87">
        <v>100</v>
      </c>
      <c r="F55" s="87">
        <v>100</v>
      </c>
      <c r="G55" s="87">
        <v>100</v>
      </c>
      <c r="H55" s="87">
        <v>100</v>
      </c>
      <c r="I55" s="87">
        <v>100</v>
      </c>
      <c r="J55" s="87">
        <v>100</v>
      </c>
      <c r="K55" s="87">
        <v>100</v>
      </c>
      <c r="L55" s="87">
        <v>100</v>
      </c>
      <c r="M55" s="87">
        <v>100</v>
      </c>
      <c r="N55" s="87">
        <v>100</v>
      </c>
      <c r="O55" s="27" t="s">
        <v>204</v>
      </c>
      <c r="P55" s="36"/>
      <c r="T55" s="33"/>
    </row>
    <row r="56" spans="4:20" ht="20.100000000000001" customHeight="1" x14ac:dyDescent="0.25">
      <c r="D56" s="1" t="e">
        <f>TEXT(EDATE(X_Cell_Site_StartDate,11), "mmmm yyyy")</f>
        <v>#VALUE!</v>
      </c>
      <c r="E56" s="87">
        <v>100</v>
      </c>
      <c r="F56" s="87">
        <v>100</v>
      </c>
      <c r="G56" s="87">
        <v>100</v>
      </c>
      <c r="H56" s="87">
        <v>100</v>
      </c>
      <c r="I56" s="87">
        <v>100</v>
      </c>
      <c r="J56" s="87">
        <v>100</v>
      </c>
      <c r="K56" s="87">
        <v>100</v>
      </c>
      <c r="L56" s="87">
        <v>100</v>
      </c>
      <c r="M56" s="87">
        <v>100</v>
      </c>
      <c r="N56" s="87">
        <v>100</v>
      </c>
      <c r="O56" s="27" t="s">
        <v>204</v>
      </c>
      <c r="P56" s="36"/>
      <c r="T56" s="33"/>
    </row>
    <row r="57" spans="4:20" ht="20.100000000000001" customHeight="1" x14ac:dyDescent="0.25">
      <c r="P57" s="36"/>
      <c r="T57" s="33"/>
    </row>
    <row r="58" spans="4:20" ht="20.100000000000001" customHeight="1" x14ac:dyDescent="0.25">
      <c r="P58" s="36"/>
      <c r="T58" s="33"/>
    </row>
    <row r="59" spans="4:20" ht="20.100000000000001" customHeight="1" x14ac:dyDescent="0.25">
      <c r="D59" s="92" t="s">
        <v>207</v>
      </c>
      <c r="P59" s="36"/>
      <c r="T59" s="33"/>
    </row>
    <row r="60" spans="4:20" ht="20.100000000000001" customHeight="1" x14ac:dyDescent="0.25">
      <c r="D60" s="93" t="s">
        <v>188</v>
      </c>
      <c r="E60" s="93" t="s">
        <v>189</v>
      </c>
      <c r="F60" s="93" t="s">
        <v>190</v>
      </c>
      <c r="G60" s="93" t="s">
        <v>191</v>
      </c>
      <c r="H60" s="93" t="s">
        <v>192</v>
      </c>
      <c r="I60" s="93" t="s">
        <v>193</v>
      </c>
      <c r="J60" s="93" t="s">
        <v>194</v>
      </c>
      <c r="K60" s="93" t="s">
        <v>195</v>
      </c>
      <c r="L60" s="93" t="s">
        <v>196</v>
      </c>
      <c r="M60" s="93" t="s">
        <v>197</v>
      </c>
      <c r="N60" s="93" t="s">
        <v>198</v>
      </c>
      <c r="P60" s="36"/>
      <c r="T60" s="33"/>
    </row>
    <row r="61" spans="4:20" ht="20.100000000000001" customHeight="1" x14ac:dyDescent="0.25">
      <c r="D61" s="1" t="s">
        <v>199</v>
      </c>
      <c r="E61" s="26"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6"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6"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6"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6"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6"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6"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6"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6"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6"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7" t="s">
        <v>208</v>
      </c>
      <c r="P61" s="36"/>
      <c r="T61" s="33"/>
    </row>
    <row r="62" spans="4:20" ht="20.100000000000001" customHeight="1" x14ac:dyDescent="0.25">
      <c r="D62" s="1" t="s">
        <v>200</v>
      </c>
      <c r="E62" s="26"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6"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6"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6"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6"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6"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6"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6"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6"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6"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7" t="s">
        <v>208</v>
      </c>
      <c r="P62" s="36"/>
      <c r="T62" s="33"/>
    </row>
    <row r="63" spans="4:20" ht="20.100000000000001" customHeight="1" x14ac:dyDescent="0.25">
      <c r="D63" s="1" t="s">
        <v>201</v>
      </c>
      <c r="E63" s="26"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6"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6"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6"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6"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6"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6"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6"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6"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6"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7" t="s">
        <v>208</v>
      </c>
      <c r="P63" s="36"/>
      <c r="T63" s="33"/>
    </row>
    <row r="64" spans="4:20" ht="20.100000000000001" customHeight="1" x14ac:dyDescent="0.25">
      <c r="D64" s="1" t="s">
        <v>202</v>
      </c>
      <c r="E64" s="26"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6"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6"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6"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6"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6"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6"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6"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6"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6"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7" t="s">
        <v>208</v>
      </c>
      <c r="P64" s="36"/>
      <c r="T64" s="33"/>
    </row>
    <row r="65" spans="4:20" ht="20.100000000000001" customHeight="1" x14ac:dyDescent="0.25">
      <c r="O65" s="27"/>
      <c r="P65" s="36"/>
      <c r="T65" s="33"/>
    </row>
    <row r="66" spans="4:20" ht="20.100000000000001" customHeight="1" x14ac:dyDescent="0.25">
      <c r="D66" s="93" t="s">
        <v>203</v>
      </c>
      <c r="E66" s="93" t="s">
        <v>189</v>
      </c>
      <c r="F66" s="93" t="s">
        <v>190</v>
      </c>
      <c r="G66" s="93" t="s">
        <v>191</v>
      </c>
      <c r="H66" s="93" t="s">
        <v>192</v>
      </c>
      <c r="I66" s="93" t="s">
        <v>193</v>
      </c>
      <c r="J66" s="93" t="s">
        <v>194</v>
      </c>
      <c r="K66" s="93" t="s">
        <v>195</v>
      </c>
      <c r="L66" s="93" t="s">
        <v>196</v>
      </c>
      <c r="M66" s="93" t="s">
        <v>197</v>
      </c>
      <c r="N66" s="93" t="s">
        <v>198</v>
      </c>
      <c r="O66" s="27"/>
      <c r="P66" s="36"/>
      <c r="T66" s="33"/>
    </row>
    <row r="67" spans="4:20" ht="20.100000000000001" customHeight="1" x14ac:dyDescent="0.25">
      <c r="D67" s="1" t="str">
        <f>TEXT(X_Cell_Site_StartDate, "mmmm yyyy")</f>
        <v>NO - Not in leaching zone</v>
      </c>
      <c r="E67" s="87"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7"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7"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7"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7"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7"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7"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7"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7"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7"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7" t="s">
        <v>208</v>
      </c>
      <c r="P67" s="36"/>
      <c r="T67" s="33"/>
    </row>
    <row r="68" spans="4:20" ht="20.100000000000001" customHeight="1" x14ac:dyDescent="0.25">
      <c r="D68" s="1" t="e">
        <f>TEXT(EDATE(X_Cell_Site_StartDate,1), "mmmm yyyy")</f>
        <v>#VALUE!</v>
      </c>
      <c r="E68" s="87"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7"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7"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7"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7"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7"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7"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7"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7"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7"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7" t="s">
        <v>208</v>
      </c>
      <c r="P68" s="36"/>
      <c r="T68" s="33"/>
    </row>
    <row r="69" spans="4:20" ht="20.100000000000001" customHeight="1" x14ac:dyDescent="0.25">
      <c r="D69" s="1" t="e">
        <f>TEXT(EDATE(X_Cell_Site_StartDate,2), "mmmm yyyy")</f>
        <v>#VALUE!</v>
      </c>
      <c r="E69" s="87"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7"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7"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7"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7"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7"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7"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7"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7"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7"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7" t="s">
        <v>208</v>
      </c>
      <c r="P69" s="36"/>
      <c r="T69" s="33"/>
    </row>
    <row r="70" spans="4:20" ht="20.100000000000001" customHeight="1" x14ac:dyDescent="0.25">
      <c r="D70" s="1" t="e">
        <f>TEXT(EDATE(X_Cell_Site_StartDate,3), "mmmm yyyy")</f>
        <v>#VALUE!</v>
      </c>
      <c r="E70" s="87"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7"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7"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7"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7"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7"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7"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7"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7"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7"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7" t="s">
        <v>208</v>
      </c>
      <c r="P70" s="36"/>
      <c r="T70" s="33"/>
    </row>
    <row r="71" spans="4:20" ht="20.100000000000001" customHeight="1" x14ac:dyDescent="0.25">
      <c r="D71" s="1" t="e">
        <f>TEXT(EDATE(X_Cell_Site_StartDate,4), "mmmm yyyy")</f>
        <v>#VALUE!</v>
      </c>
      <c r="E71" s="87"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7"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7"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7"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7"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7"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7"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7"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7"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7"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7" t="s">
        <v>208</v>
      </c>
      <c r="P71" s="36"/>
      <c r="T71" s="33"/>
    </row>
    <row r="72" spans="4:20" ht="20.100000000000001" customHeight="1" x14ac:dyDescent="0.25">
      <c r="D72" s="1" t="e">
        <f>TEXT(EDATE(X_Cell_Site_StartDate,5), "mmmm yyyy")</f>
        <v>#VALUE!</v>
      </c>
      <c r="E72" s="87"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7"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7"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7"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7"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7"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7"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7"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7"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7"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7" t="s">
        <v>208</v>
      </c>
      <c r="T72" s="33"/>
    </row>
    <row r="73" spans="4:20" ht="20.100000000000001" customHeight="1" x14ac:dyDescent="0.25">
      <c r="D73" s="1" t="e">
        <f>TEXT(EDATE(X_Cell_Site_StartDate,6), "mmmm yyyy")</f>
        <v>#VALUE!</v>
      </c>
      <c r="E73" s="87"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7"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7"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7"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7"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7"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7"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7"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7"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7"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7" t="s">
        <v>208</v>
      </c>
      <c r="T73" s="33"/>
    </row>
    <row r="74" spans="4:20" ht="20.100000000000001" customHeight="1" x14ac:dyDescent="0.25">
      <c r="D74" s="1" t="e">
        <f>TEXT(EDATE(X_Cell_Site_StartDate,7), "mmmm yyyy")</f>
        <v>#VALUE!</v>
      </c>
      <c r="E74" s="87"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7"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7"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7"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7"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7"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7"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7"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7"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7"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7" t="s">
        <v>208</v>
      </c>
      <c r="T74" s="33"/>
    </row>
    <row r="75" spans="4:20" ht="20.100000000000001" customHeight="1" x14ac:dyDescent="0.25">
      <c r="D75" s="1" t="e">
        <f>TEXT(EDATE(X_Cell_Site_StartDate,8), "mmmm yyyy")</f>
        <v>#VALUE!</v>
      </c>
      <c r="E75" s="87"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7"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7"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7"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7"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7"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7"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7"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7"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7"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7" t="s">
        <v>208</v>
      </c>
      <c r="T75" s="33"/>
    </row>
    <row r="76" spans="4:20" ht="20.100000000000001" customHeight="1" x14ac:dyDescent="0.25">
      <c r="D76" s="1" t="e">
        <f>TEXT(EDATE(X_Cell_Site_StartDate,9), "mmmm yyyy")</f>
        <v>#VALUE!</v>
      </c>
      <c r="E76" s="87"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7"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7"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7"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7"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7"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7"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7"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7"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7"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7" t="s">
        <v>208</v>
      </c>
      <c r="T76" s="33"/>
    </row>
    <row r="77" spans="4:20" ht="20.100000000000001" customHeight="1" x14ac:dyDescent="0.25">
      <c r="D77" s="1" t="e">
        <f>TEXT(EDATE(X_Cell_Site_StartDate,10), "mmmm yyyy")</f>
        <v>#VALUE!</v>
      </c>
      <c r="E77" s="87"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7"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7"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7"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7"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7"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7"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7"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7"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7"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7" t="s">
        <v>208</v>
      </c>
      <c r="T77" s="33"/>
    </row>
    <row r="78" spans="4:20" ht="20.100000000000001" customHeight="1" x14ac:dyDescent="0.25">
      <c r="D78" s="1" t="e">
        <f>TEXT(EDATE(X_Cell_Site_StartDate,11), "mmmm yyyy")</f>
        <v>#VALUE!</v>
      </c>
      <c r="E78" s="87"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7"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7"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7"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7"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7"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7"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7"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7"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7"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7" t="s">
        <v>208</v>
      </c>
      <c r="T78" s="33"/>
    </row>
    <row r="79" spans="4:20" ht="20.100000000000001" customHeight="1" x14ac:dyDescent="0.25">
      <c r="T79" s="33"/>
    </row>
    <row r="80" spans="4:20" ht="20.100000000000001" customHeight="1" x14ac:dyDescent="0.25">
      <c r="T80" s="33"/>
    </row>
    <row r="81" spans="4:20" ht="20.100000000000001" customHeight="1" x14ac:dyDescent="0.25">
      <c r="D81" s="92" t="s">
        <v>209</v>
      </c>
      <c r="T81" s="33"/>
    </row>
    <row r="82" spans="4:20" ht="20.100000000000001" customHeight="1" x14ac:dyDescent="0.25">
      <c r="D82" s="93" t="s">
        <v>188</v>
      </c>
      <c r="E82" s="93" t="s">
        <v>189</v>
      </c>
      <c r="F82" s="93" t="s">
        <v>190</v>
      </c>
      <c r="G82" s="93" t="s">
        <v>191</v>
      </c>
      <c r="H82" s="93" t="s">
        <v>192</v>
      </c>
      <c r="I82" s="93" t="s">
        <v>193</v>
      </c>
      <c r="J82" s="93" t="s">
        <v>194</v>
      </c>
      <c r="K82" s="93" t="s">
        <v>195</v>
      </c>
      <c r="L82" s="93" t="s">
        <v>196</v>
      </c>
      <c r="M82" s="93" t="s">
        <v>197</v>
      </c>
      <c r="N82" s="93" t="s">
        <v>198</v>
      </c>
      <c r="T82" s="33"/>
    </row>
    <row r="83" spans="4:20" ht="20.100000000000001" customHeight="1" x14ac:dyDescent="0.25">
      <c r="D83" s="1" t="s">
        <v>199</v>
      </c>
      <c r="E83" s="26"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6"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6"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6"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6"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6"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6"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6"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6"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6"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7" t="s">
        <v>210</v>
      </c>
      <c r="T83" s="33"/>
    </row>
    <row r="84" spans="4:20" ht="20.100000000000001" customHeight="1" x14ac:dyDescent="0.25">
      <c r="D84" s="1" t="s">
        <v>200</v>
      </c>
      <c r="E84" s="26"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6"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6"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6"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6"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6"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6"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6"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6"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6"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7" t="s">
        <v>210</v>
      </c>
      <c r="T84" s="33"/>
    </row>
    <row r="85" spans="4:20" ht="20.100000000000001" customHeight="1" x14ac:dyDescent="0.25">
      <c r="D85" s="1" t="s">
        <v>201</v>
      </c>
      <c r="E85" s="26"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6"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6"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6"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6"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6"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6"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6"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6"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6"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7" t="s">
        <v>210</v>
      </c>
      <c r="T85" s="33"/>
    </row>
    <row r="86" spans="4:20" ht="20.100000000000001" customHeight="1" x14ac:dyDescent="0.25">
      <c r="D86" s="1" t="s">
        <v>202</v>
      </c>
      <c r="E86" s="26"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6"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6"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6"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6"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6"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6"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6"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6"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6"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7" t="s">
        <v>210</v>
      </c>
      <c r="T86" s="33"/>
    </row>
    <row r="87" spans="4:20" ht="20.100000000000001" customHeight="1" x14ac:dyDescent="0.25">
      <c r="O87" s="27"/>
      <c r="T87" s="33"/>
    </row>
    <row r="88" spans="4:20" ht="20.100000000000001" customHeight="1" x14ac:dyDescent="0.25">
      <c r="D88" s="93" t="s">
        <v>203</v>
      </c>
      <c r="E88" s="93" t="s">
        <v>189</v>
      </c>
      <c r="F88" s="93" t="s">
        <v>190</v>
      </c>
      <c r="G88" s="93" t="s">
        <v>191</v>
      </c>
      <c r="H88" s="93" t="s">
        <v>192</v>
      </c>
      <c r="I88" s="93" t="s">
        <v>193</v>
      </c>
      <c r="J88" s="93" t="s">
        <v>194</v>
      </c>
      <c r="K88" s="93" t="s">
        <v>195</v>
      </c>
      <c r="L88" s="93" t="s">
        <v>196</v>
      </c>
      <c r="M88" s="93" t="s">
        <v>197</v>
      </c>
      <c r="N88" s="93" t="s">
        <v>198</v>
      </c>
      <c r="O88" s="27"/>
      <c r="T88" s="33"/>
    </row>
    <row r="89" spans="4:20" ht="20.100000000000001" customHeight="1" x14ac:dyDescent="0.25">
      <c r="D89" s="1" t="str">
        <f>TEXT(X_Cell_Site_StartDate, "mmmm yyyy")</f>
        <v>NO - Not in leaching zone</v>
      </c>
      <c r="E89" s="87"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7"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7"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7"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7"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7"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7"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7"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7"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7"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7" t="s">
        <v>210</v>
      </c>
      <c r="T89" s="33"/>
    </row>
    <row r="90" spans="4:20" ht="20.100000000000001" customHeight="1" x14ac:dyDescent="0.25">
      <c r="D90" s="1" t="e">
        <f>TEXT(EDATE(X_Cell_Site_StartDate,1), "mmmm yyyy")</f>
        <v>#VALUE!</v>
      </c>
      <c r="E90" s="87"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7"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7"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7"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7"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7"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7"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7"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7"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7"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7" t="s">
        <v>210</v>
      </c>
      <c r="T90" s="33"/>
    </row>
    <row r="91" spans="4:20" ht="20.100000000000001" customHeight="1" x14ac:dyDescent="0.25">
      <c r="D91" s="1" t="e">
        <f>TEXT(EDATE(X_Cell_Site_StartDate,2), "mmmm yyyy")</f>
        <v>#VALUE!</v>
      </c>
      <c r="E91" s="87"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7"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7"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7"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7"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7"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7"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7"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7"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7"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7" t="s">
        <v>210</v>
      </c>
      <c r="T91" s="33"/>
    </row>
    <row r="92" spans="4:20" ht="20.100000000000001" customHeight="1" x14ac:dyDescent="0.25">
      <c r="D92" s="1" t="e">
        <f>TEXT(EDATE(X_Cell_Site_StartDate,3), "mmmm yyyy")</f>
        <v>#VALUE!</v>
      </c>
      <c r="E92" s="87"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7"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7"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7"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7"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7"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7"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7"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7"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7"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7" t="s">
        <v>210</v>
      </c>
      <c r="T92" s="33"/>
    </row>
    <row r="93" spans="4:20" ht="20.100000000000001" customHeight="1" x14ac:dyDescent="0.25">
      <c r="D93" s="1" t="e">
        <f>TEXT(EDATE(X_Cell_Site_StartDate,4), "mmmm yyyy")</f>
        <v>#VALUE!</v>
      </c>
      <c r="E93" s="87"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7"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7"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7"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7"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7"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7"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7"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7"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7"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7" t="s">
        <v>210</v>
      </c>
      <c r="T93" s="33"/>
    </row>
    <row r="94" spans="4:20" ht="20.100000000000001" customHeight="1" x14ac:dyDescent="0.25">
      <c r="D94" s="1" t="e">
        <f>TEXT(EDATE(X_Cell_Site_StartDate,5), "mmmm yyyy")</f>
        <v>#VALUE!</v>
      </c>
      <c r="E94" s="87"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7"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7"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7"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7"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7"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7"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7"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7"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7"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7" t="s">
        <v>210</v>
      </c>
      <c r="T94" s="33"/>
    </row>
    <row r="95" spans="4:20" ht="20.100000000000001" customHeight="1" x14ac:dyDescent="0.25">
      <c r="D95" s="1" t="e">
        <f>TEXT(EDATE(X_Cell_Site_StartDate,6), "mmmm yyyy")</f>
        <v>#VALUE!</v>
      </c>
      <c r="E95" s="87"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7"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7"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7"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7"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7"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7"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7"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7"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7"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7" t="s">
        <v>210</v>
      </c>
      <c r="T95" s="33"/>
    </row>
    <row r="96" spans="4:20" ht="20.100000000000001" customHeight="1" x14ac:dyDescent="0.25">
      <c r="D96" s="1" t="e">
        <f>TEXT(EDATE(X_Cell_Site_StartDate,7), "mmmm yyyy")</f>
        <v>#VALUE!</v>
      </c>
      <c r="E96" s="87"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7"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7"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7"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7"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7"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7"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7"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7"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7"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7" t="s">
        <v>210</v>
      </c>
      <c r="T96" s="33"/>
    </row>
    <row r="97" spans="4:20" ht="20.100000000000001" customHeight="1" x14ac:dyDescent="0.25">
      <c r="D97" s="1" t="e">
        <f>TEXT(EDATE(X_Cell_Site_StartDate,8), "mmmm yyyy")</f>
        <v>#VALUE!</v>
      </c>
      <c r="E97" s="87"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7"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7"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7"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7"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7"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7"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7"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7"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7"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7" t="s">
        <v>210</v>
      </c>
      <c r="T97" s="33"/>
    </row>
    <row r="98" spans="4:20" ht="20.100000000000001" customHeight="1" x14ac:dyDescent="0.25">
      <c r="D98" s="1" t="e">
        <f>TEXT(EDATE(X_Cell_Site_StartDate,9), "mmmm yyyy")</f>
        <v>#VALUE!</v>
      </c>
      <c r="E98" s="87"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7"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7"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7"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7"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7"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7"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7"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7"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7"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7" t="s">
        <v>210</v>
      </c>
      <c r="T98" s="33"/>
    </row>
    <row r="99" spans="4:20" ht="20.100000000000001" customHeight="1" x14ac:dyDescent="0.25">
      <c r="D99" s="1" t="e">
        <f>TEXT(EDATE(X_Cell_Site_StartDate,10), "mmmm yyyy")</f>
        <v>#VALUE!</v>
      </c>
      <c r="E99" s="87"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7"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7"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7"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7"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7"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7"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7"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7"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7"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7" t="s">
        <v>210</v>
      </c>
      <c r="T99" s="33"/>
    </row>
    <row r="100" spans="4:20" ht="20.100000000000001" customHeight="1" x14ac:dyDescent="0.25">
      <c r="D100" s="1" t="e">
        <f>TEXT(EDATE(X_Cell_Site_StartDate,11), "mmmm yyyy")</f>
        <v>#VALUE!</v>
      </c>
      <c r="E100" s="87"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7"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7"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7"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7"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7"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7"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7"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7"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7"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7" t="s">
        <v>210</v>
      </c>
      <c r="T100" s="33"/>
    </row>
    <row r="101" spans="4:20" ht="20.100000000000001" customHeight="1" x14ac:dyDescent="0.25">
      <c r="T101" s="33"/>
    </row>
    <row r="102" spans="4:20" ht="20.100000000000001" customHeight="1" x14ac:dyDescent="0.25">
      <c r="T102" s="33"/>
    </row>
    <row r="103" spans="4:20" ht="20.100000000000001" customHeight="1" x14ac:dyDescent="0.25">
      <c r="D103" s="92" t="s">
        <v>211</v>
      </c>
      <c r="K103" s="27"/>
      <c r="L103" s="27"/>
      <c r="M103" s="27"/>
      <c r="N103" s="27"/>
      <c r="O103" s="27"/>
      <c r="T103" s="33"/>
    </row>
    <row r="104" spans="4:20" ht="20.100000000000001" customHeight="1" x14ac:dyDescent="0.25">
      <c r="D104" s="93" t="s">
        <v>205</v>
      </c>
      <c r="E104" s="93"/>
      <c r="F104" s="93"/>
      <c r="G104" s="93"/>
      <c r="T104" s="33"/>
    </row>
    <row r="105" spans="4:20" ht="20.100000000000001" customHeight="1" x14ac:dyDescent="0.25">
      <c r="D105" s="1" t="s">
        <v>212</v>
      </c>
      <c r="E105" s="23" t="s">
        <v>202</v>
      </c>
      <c r="F105" s="27" t="s">
        <v>112</v>
      </c>
      <c r="T105" s="33"/>
    </row>
    <row r="106" spans="4:20" ht="20.100000000000001" customHeight="1" x14ac:dyDescent="0.25">
      <c r="T106" s="33"/>
    </row>
    <row r="107" spans="4:20" ht="20.100000000000001" customHeight="1" x14ac:dyDescent="0.25"/>
    <row r="108" spans="4:20" ht="20.100000000000001" customHeight="1" x14ac:dyDescent="0.25">
      <c r="K108" s="1" t="s">
        <v>213</v>
      </c>
    </row>
    <row r="109" spans="4:20" ht="20.100000000000001" customHeight="1" x14ac:dyDescent="0.25"/>
    <row r="110" spans="4:20" ht="20.100000000000001" customHeight="1" x14ac:dyDescent="0.25">
      <c r="E110" s="93" t="s">
        <v>214</v>
      </c>
      <c r="F110" s="93" t="s">
        <v>192</v>
      </c>
      <c r="G110" s="93" t="s">
        <v>193</v>
      </c>
      <c r="H110" s="93" t="s">
        <v>194</v>
      </c>
      <c r="L110" s="1" t="s">
        <v>191</v>
      </c>
      <c r="M110" s="1" t="s">
        <v>195</v>
      </c>
      <c r="N110" s="27"/>
      <c r="O110" s="27"/>
    </row>
    <row r="111" spans="4:20" ht="20.100000000000001" customHeight="1" x14ac:dyDescent="0.25">
      <c r="D111" s="1" t="str">
        <f>"Proportion of cows &gt; 1 years in calf in " &amp; E105</f>
        <v>Proportion of cows &gt; 1 years in calf in Winter</v>
      </c>
      <c r="E111" s="23" t="s">
        <v>215</v>
      </c>
      <c r="F111" s="29">
        <v>0.7</v>
      </c>
      <c r="G111" s="29">
        <v>0.5</v>
      </c>
      <c r="H111" s="29">
        <v>0.5</v>
      </c>
      <c r="I111" s="27" t="s">
        <v>216</v>
      </c>
      <c r="L111" s="26">
        <f>MAX(0, G42-G41)</f>
        <v>0</v>
      </c>
      <c r="M111" s="26">
        <f>MAX(0,K42-K41)</f>
        <v>0</v>
      </c>
      <c r="N111" s="27"/>
      <c r="O111" s="27"/>
    </row>
    <row r="112" spans="4:20" ht="20.100000000000001" customHeight="1" x14ac:dyDescent="0.25">
      <c r="D112" s="1" t="s">
        <v>199</v>
      </c>
      <c r="E112" s="23" t="s">
        <v>215</v>
      </c>
      <c r="F112" s="29">
        <v>0.1</v>
      </c>
      <c r="G112" s="29">
        <v>0.4</v>
      </c>
      <c r="H112" s="29">
        <v>0.4</v>
      </c>
      <c r="I112" s="27" t="s">
        <v>216</v>
      </c>
      <c r="L112" s="26">
        <f>MAX(0, G39-G42)</f>
        <v>0</v>
      </c>
      <c r="M112" s="26">
        <f>MAX(0,K39-K42)</f>
        <v>0</v>
      </c>
    </row>
    <row r="113" spans="4:15" ht="20.100000000000001" customHeight="1" x14ac:dyDescent="0.25">
      <c r="D113" s="1" t="s">
        <v>200</v>
      </c>
      <c r="E113" s="23" t="s">
        <v>215</v>
      </c>
      <c r="F113" s="29">
        <v>0.1</v>
      </c>
      <c r="G113" s="29">
        <v>0</v>
      </c>
      <c r="H113" s="29">
        <v>0</v>
      </c>
      <c r="I113" s="27" t="s">
        <v>216</v>
      </c>
      <c r="L113" s="26">
        <f>MAX(0, G40-G39)</f>
        <v>0</v>
      </c>
      <c r="M113" s="26">
        <f>MAX(0,K40-K39)</f>
        <v>0</v>
      </c>
    </row>
    <row r="114" spans="4:15" ht="20.100000000000001" customHeight="1" x14ac:dyDescent="0.25">
      <c r="D114" s="1" t="s">
        <v>201</v>
      </c>
      <c r="E114" s="23" t="s">
        <v>217</v>
      </c>
      <c r="F114" s="29">
        <v>0</v>
      </c>
      <c r="G114" s="29">
        <v>0</v>
      </c>
      <c r="H114" s="29">
        <v>0</v>
      </c>
      <c r="I114" s="27" t="s">
        <v>216</v>
      </c>
      <c r="L114" s="26">
        <f>MAX(0,G41-G40)</f>
        <v>0</v>
      </c>
      <c r="M114" s="26">
        <f>MAX(0,K41-K40)</f>
        <v>0</v>
      </c>
    </row>
    <row r="115" spans="4:15" ht="20.100000000000001" customHeight="1" x14ac:dyDescent="0.25">
      <c r="J115" s="1" t="s">
        <v>218</v>
      </c>
    </row>
    <row r="116" spans="4:15" ht="20.100000000000001" customHeight="1" x14ac:dyDescent="0.25"/>
    <row r="117" spans="4:15" ht="20.100000000000001" customHeight="1" x14ac:dyDescent="0.25"/>
    <row r="118" spans="4:15" ht="20.100000000000001" customHeight="1" x14ac:dyDescent="0.25">
      <c r="D118" s="93" t="s">
        <v>206</v>
      </c>
      <c r="E118" s="93"/>
      <c r="F118" s="93"/>
      <c r="G118" s="93"/>
      <c r="L118" s="94" t="s">
        <v>219</v>
      </c>
    </row>
    <row r="119" spans="4:15" ht="20.100000000000001" customHeight="1" x14ac:dyDescent="0.25">
      <c r="D119" s="1" t="s">
        <v>220</v>
      </c>
      <c r="E119" s="23" t="s">
        <v>221</v>
      </c>
      <c r="F119" s="27" t="s">
        <v>112</v>
      </c>
      <c r="J119" s="89" t="s">
        <v>189</v>
      </c>
    </row>
    <row r="120" spans="4:15" ht="20.100000000000001" customHeight="1" x14ac:dyDescent="0.25">
      <c r="D120" s="1" t="s">
        <v>222</v>
      </c>
      <c r="E120" s="26" t="str">
        <f>TEXT(EDATE(E119,1), "mmmm yyyy")</f>
        <v>September 2024</v>
      </c>
      <c r="J120" s="1" t="s">
        <v>204</v>
      </c>
      <c r="K120" s="1" t="s">
        <v>223</v>
      </c>
      <c r="L120" s="1" t="s">
        <v>218</v>
      </c>
      <c r="M120" s="1" t="s">
        <v>224</v>
      </c>
      <c r="N120" s="1" t="s">
        <v>225</v>
      </c>
      <c r="O120" s="1" t="s">
        <v>226</v>
      </c>
    </row>
    <row r="121" spans="4:15" ht="20.100000000000001" customHeight="1" x14ac:dyDescent="0.25">
      <c r="D121" s="1" t="s">
        <v>227</v>
      </c>
      <c r="E121" s="26" t="str">
        <f>TEXT(EDATE(E119,2), "mmmm yyyy")</f>
        <v>October 2024</v>
      </c>
      <c r="J121" s="26">
        <f>E39</f>
        <v>100</v>
      </c>
      <c r="K121" s="26">
        <f>MAX(0, E39-E42)</f>
        <v>0</v>
      </c>
      <c r="L121" s="1">
        <f>K121/J121</f>
        <v>0</v>
      </c>
      <c r="M121" s="1">
        <f>K124/J121</f>
        <v>0</v>
      </c>
      <c r="N121" s="27">
        <f>1-(L121+M121)</f>
        <v>1</v>
      </c>
      <c r="O121" s="89">
        <f>(L121*6)+(M121*4)+(N121*0)</f>
        <v>0</v>
      </c>
    </row>
    <row r="122" spans="4:15" ht="20.100000000000001" customHeight="1" x14ac:dyDescent="0.25">
      <c r="J122" s="26">
        <f>E40</f>
        <v>100</v>
      </c>
      <c r="K122" s="26">
        <f>MAX(0, E40-E39)</f>
        <v>0</v>
      </c>
      <c r="L122" s="1">
        <f>K122/J122</f>
        <v>0</v>
      </c>
      <c r="M122" s="1">
        <f>K121/J122</f>
        <v>0</v>
      </c>
      <c r="N122" s="27">
        <f>1-(L122+M122)</f>
        <v>1</v>
      </c>
      <c r="O122" s="89">
        <f t="shared" ref="O122:O124" si="1">(L122*6)+(M122*4)+(N122*0)</f>
        <v>0</v>
      </c>
    </row>
    <row r="123" spans="4:15" ht="20.100000000000001" customHeight="1" x14ac:dyDescent="0.25">
      <c r="J123" s="26">
        <f>E41</f>
        <v>100</v>
      </c>
      <c r="K123" s="26">
        <f>MAX(0,E41-E40)</f>
        <v>0</v>
      </c>
      <c r="L123" s="1">
        <f>K123/J123</f>
        <v>0</v>
      </c>
      <c r="M123" s="1">
        <f>K122/J123</f>
        <v>0</v>
      </c>
      <c r="N123" s="27">
        <f>1-(L123+M123)</f>
        <v>1</v>
      </c>
      <c r="O123" s="89">
        <f t="shared" si="1"/>
        <v>0</v>
      </c>
    </row>
    <row r="124" spans="4:15" ht="20.100000000000001" customHeight="1" x14ac:dyDescent="0.25">
      <c r="E124" s="93" t="s">
        <v>192</v>
      </c>
      <c r="F124" s="93" t="s">
        <v>193</v>
      </c>
      <c r="G124" s="93" t="s">
        <v>194</v>
      </c>
      <c r="J124" s="26">
        <f>E42</f>
        <v>100</v>
      </c>
      <c r="K124" s="26">
        <f>MAX(0, E42-E41)</f>
        <v>0</v>
      </c>
      <c r="L124" s="1">
        <f>K124/J124</f>
        <v>0</v>
      </c>
      <c r="M124" s="27">
        <f>K123/J124</f>
        <v>0</v>
      </c>
      <c r="N124" s="27">
        <f>1-(L124+M124)</f>
        <v>1</v>
      </c>
      <c r="O124" s="89">
        <f t="shared" si="1"/>
        <v>0</v>
      </c>
    </row>
    <row r="125" spans="4:15" ht="20.100000000000001" customHeight="1" x14ac:dyDescent="0.25">
      <c r="D125" s="1" t="str">
        <f>E119</f>
        <v>August 2024</v>
      </c>
      <c r="E125" s="29">
        <v>0.25</v>
      </c>
      <c r="F125" s="29">
        <v>0.25</v>
      </c>
      <c r="G125" s="29">
        <v>0.25</v>
      </c>
      <c r="H125" s="27" t="s">
        <v>216</v>
      </c>
      <c r="L125" s="27"/>
      <c r="M125" s="27"/>
      <c r="N125" s="27"/>
      <c r="O125" s="27"/>
    </row>
    <row r="126" spans="4:15" ht="20.100000000000001" customHeight="1" x14ac:dyDescent="0.25">
      <c r="D126" s="1" t="str">
        <f>E120</f>
        <v>September 2024</v>
      </c>
      <c r="E126" s="29">
        <v>0.25</v>
      </c>
      <c r="F126" s="29">
        <v>0.25</v>
      </c>
      <c r="G126" s="29">
        <v>0.25</v>
      </c>
      <c r="H126" s="27" t="s">
        <v>216</v>
      </c>
    </row>
    <row r="127" spans="4:15" ht="20.100000000000001" customHeight="1" x14ac:dyDescent="0.25">
      <c r="D127" s="1" t="str">
        <f>E121</f>
        <v>October 2024</v>
      </c>
      <c r="E127" s="29">
        <v>0.25</v>
      </c>
      <c r="F127" s="29">
        <v>0.25</v>
      </c>
      <c r="G127" s="29">
        <v>0.25</v>
      </c>
      <c r="H127" s="27" t="s">
        <v>216</v>
      </c>
    </row>
    <row r="128" spans="4:15" ht="20.100000000000001" customHeight="1" x14ac:dyDescent="0.25">
      <c r="D128" s="1" t="str">
        <f>"Proportion of cows &gt; 1 years in calf in " &amp; D125 &amp; " to " &amp; D127</f>
        <v>Proportion of cows &gt; 1 years in calf in August 2024 to October 2024</v>
      </c>
      <c r="E128" s="30">
        <f>SUM(E125:E127)</f>
        <v>0.75</v>
      </c>
      <c r="F128" s="30">
        <f>SUM(F125:F127)</f>
        <v>0.75</v>
      </c>
      <c r="G128" s="30">
        <f>SUM(G125:G127)</f>
        <v>0.75</v>
      </c>
      <c r="H128" s="27" t="s">
        <v>216</v>
      </c>
    </row>
    <row r="129" spans="4:15" ht="20.100000000000001" customHeight="1" x14ac:dyDescent="0.25"/>
    <row r="130" spans="4:15" ht="20.100000000000001" customHeight="1" x14ac:dyDescent="0.25">
      <c r="K130" s="27"/>
      <c r="L130" s="27"/>
      <c r="M130" s="27"/>
      <c r="N130" s="27"/>
      <c r="O130" s="27"/>
    </row>
    <row r="131" spans="4:15" ht="20.100000000000001" customHeight="1" x14ac:dyDescent="0.25">
      <c r="D131" s="92" t="s">
        <v>228</v>
      </c>
      <c r="K131" s="27"/>
      <c r="L131" s="27"/>
      <c r="M131" s="27"/>
      <c r="N131" s="27"/>
      <c r="O131" s="27"/>
    </row>
    <row r="132" spans="4:15" ht="20.100000000000001" customHeight="1" x14ac:dyDescent="0.25">
      <c r="D132" s="93" t="s">
        <v>188</v>
      </c>
      <c r="E132" s="93" t="s">
        <v>189</v>
      </c>
      <c r="F132" s="93" t="s">
        <v>190</v>
      </c>
      <c r="G132" s="93" t="s">
        <v>191</v>
      </c>
      <c r="H132" s="93" t="s">
        <v>192</v>
      </c>
      <c r="I132" s="93" t="s">
        <v>193</v>
      </c>
      <c r="J132" s="93" t="s">
        <v>194</v>
      </c>
      <c r="K132" s="93" t="s">
        <v>195</v>
      </c>
      <c r="L132" s="93" t="s">
        <v>196</v>
      </c>
      <c r="M132" s="93" t="s">
        <v>197</v>
      </c>
      <c r="N132" s="93" t="s">
        <v>198</v>
      </c>
    </row>
    <row r="133" spans="4:15" ht="20.100000000000001" customHeight="1" x14ac:dyDescent="0.25">
      <c r="D133" s="1" t="s">
        <v>199</v>
      </c>
      <c r="E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7" t="s">
        <v>229</v>
      </c>
    </row>
    <row r="134" spans="4:15" ht="20.100000000000001" customHeight="1" x14ac:dyDescent="0.25">
      <c r="D134" s="1" t="s">
        <v>200</v>
      </c>
      <c r="E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7" t="s">
        <v>229</v>
      </c>
    </row>
    <row r="135" spans="4:15" ht="20.100000000000001" customHeight="1" x14ac:dyDescent="0.25">
      <c r="D135" s="1" t="s">
        <v>201</v>
      </c>
      <c r="E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7" t="s">
        <v>229</v>
      </c>
    </row>
    <row r="136" spans="4:15" ht="20.100000000000001" customHeight="1" x14ac:dyDescent="0.25">
      <c r="D136" s="1" t="s">
        <v>202</v>
      </c>
      <c r="E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7" t="s">
        <v>229</v>
      </c>
    </row>
    <row r="137" spans="4:15" ht="20.100000000000001" customHeight="1" x14ac:dyDescent="0.25"/>
    <row r="138" spans="4:15" ht="20.100000000000001" customHeight="1" x14ac:dyDescent="0.25">
      <c r="D138" s="93" t="s">
        <v>203</v>
      </c>
      <c r="E138" s="93" t="s">
        <v>189</v>
      </c>
      <c r="F138" s="93" t="s">
        <v>190</v>
      </c>
      <c r="G138" s="93" t="s">
        <v>191</v>
      </c>
      <c r="H138" s="93" t="s">
        <v>192</v>
      </c>
      <c r="I138" s="93" t="s">
        <v>193</v>
      </c>
      <c r="J138" s="93" t="s">
        <v>194</v>
      </c>
      <c r="K138" s="93" t="s">
        <v>195</v>
      </c>
      <c r="L138" s="93" t="s">
        <v>196</v>
      </c>
      <c r="M138" s="93" t="s">
        <v>197</v>
      </c>
      <c r="N138" s="93" t="s">
        <v>198</v>
      </c>
    </row>
    <row r="139" spans="4:15" ht="20.100000000000001" customHeight="1" x14ac:dyDescent="0.25">
      <c r="D139" s="1" t="str">
        <f>TEXT(X_Cell_Site_StartDate, "mmmm yyyy")</f>
        <v>NO - Not in leaching zone</v>
      </c>
      <c r="E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7" t="s">
        <v>229</v>
      </c>
    </row>
    <row r="140" spans="4:15" ht="20.100000000000001" customHeight="1" x14ac:dyDescent="0.25">
      <c r="D140" s="1" t="e">
        <f>TEXT(EDATE(X_Cell_Site_StartDate,1), "mmmm yyyy")</f>
        <v>#VALUE!</v>
      </c>
      <c r="E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7" t="s">
        <v>229</v>
      </c>
    </row>
    <row r="141" spans="4:15" ht="20.100000000000001" customHeight="1" x14ac:dyDescent="0.25">
      <c r="D141" s="1" t="e">
        <f>TEXT(EDATE(X_Cell_Site_StartDate,2), "mmmm yyyy")</f>
        <v>#VALUE!</v>
      </c>
      <c r="E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7" t="s">
        <v>229</v>
      </c>
    </row>
    <row r="142" spans="4:15" ht="20.100000000000001" customHeight="1" x14ac:dyDescent="0.25">
      <c r="D142" s="1" t="e">
        <f>TEXT(EDATE(X_Cell_Site_StartDate,3), "mmmm yyyy")</f>
        <v>#VALUE!</v>
      </c>
      <c r="E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7" t="s">
        <v>229</v>
      </c>
    </row>
    <row r="143" spans="4:15" ht="20.100000000000001" customHeight="1" x14ac:dyDescent="0.25">
      <c r="D143" s="1" t="e">
        <f>TEXT(EDATE(X_Cell_Site_StartDate,4), "mmmm yyyy")</f>
        <v>#VALUE!</v>
      </c>
      <c r="E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7" t="s">
        <v>229</v>
      </c>
    </row>
    <row r="144" spans="4:15" ht="20.100000000000001" customHeight="1" x14ac:dyDescent="0.25">
      <c r="D144" s="1" t="e">
        <f>TEXT(EDATE(X_Cell_Site_StartDate,5), "mmmm yyyy")</f>
        <v>#VALUE!</v>
      </c>
      <c r="E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7" t="s">
        <v>229</v>
      </c>
    </row>
    <row r="145" spans="4:15" ht="20.100000000000001" customHeight="1" x14ac:dyDescent="0.25">
      <c r="D145" s="1" t="e">
        <f>TEXT(EDATE(X_Cell_Site_StartDate,6), "mmmm yyyy")</f>
        <v>#VALUE!</v>
      </c>
      <c r="E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7" t="s">
        <v>229</v>
      </c>
    </row>
    <row r="146" spans="4:15" ht="20.100000000000001" customHeight="1" x14ac:dyDescent="0.25">
      <c r="D146" s="1" t="e">
        <f>TEXT(EDATE(X_Cell_Site_StartDate,7), "mmmm yyyy")</f>
        <v>#VALUE!</v>
      </c>
      <c r="E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7" t="s">
        <v>229</v>
      </c>
    </row>
    <row r="147" spans="4:15" ht="20.100000000000001" customHeight="1" x14ac:dyDescent="0.25">
      <c r="D147" s="1" t="e">
        <f>TEXT(EDATE(X_Cell_Site_StartDate,8), "mmmm yyyy")</f>
        <v>#VALUE!</v>
      </c>
      <c r="E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7" t="s">
        <v>229</v>
      </c>
    </row>
    <row r="148" spans="4:15" ht="20.100000000000001" customHeight="1" x14ac:dyDescent="0.25">
      <c r="D148" s="1" t="e">
        <f>TEXT(EDATE(X_Cell_Site_StartDate,9), "mmmm yyyy")</f>
        <v>#VALUE!</v>
      </c>
      <c r="E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7" t="s">
        <v>229</v>
      </c>
    </row>
    <row r="149" spans="4:15" ht="20.100000000000001" customHeight="1" x14ac:dyDescent="0.25">
      <c r="D149" s="1" t="e">
        <f>TEXT(EDATE(X_Cell_Site_StartDate,10), "mmmm yyyy")</f>
        <v>#VALUE!</v>
      </c>
      <c r="E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7" t="s">
        <v>229</v>
      </c>
    </row>
    <row r="150" spans="4:15" ht="20.100000000000001" customHeight="1" x14ac:dyDescent="0.25">
      <c r="D150" s="1" t="e">
        <f>TEXT(EDATE(X_Cell_Site_StartDate,11), "mmmm yyyy")</f>
        <v>#VALUE!</v>
      </c>
      <c r="E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7" t="s">
        <v>229</v>
      </c>
    </row>
    <row r="151" spans="4:15" ht="20.100000000000001" customHeight="1" x14ac:dyDescent="0.25"/>
    <row r="152" spans="4:15" ht="20.100000000000001" customHeight="1" x14ac:dyDescent="0.25"/>
    <row r="153" spans="4:15" ht="20.100000000000001" customHeight="1" x14ac:dyDescent="0.25">
      <c r="D153" s="92" t="s">
        <v>230</v>
      </c>
      <c r="K153" s="27"/>
      <c r="L153" s="27"/>
      <c r="M153" s="27"/>
      <c r="N153" s="27"/>
      <c r="O153" s="27"/>
    </row>
    <row r="154" spans="4:15" ht="20.100000000000001" customHeight="1" x14ac:dyDescent="0.25">
      <c r="D154" s="93" t="s">
        <v>188</v>
      </c>
      <c r="E154" s="93" t="s">
        <v>189</v>
      </c>
      <c r="F154" s="93" t="s">
        <v>190</v>
      </c>
      <c r="G154" s="93" t="s">
        <v>191</v>
      </c>
      <c r="H154" s="93" t="s">
        <v>192</v>
      </c>
      <c r="I154" s="93" t="s">
        <v>193</v>
      </c>
      <c r="J154" s="93" t="s">
        <v>194</v>
      </c>
      <c r="K154" s="93" t="s">
        <v>195</v>
      </c>
      <c r="L154" s="93" t="s">
        <v>196</v>
      </c>
      <c r="M154" s="93" t="s">
        <v>197</v>
      </c>
      <c r="N154" s="93" t="s">
        <v>198</v>
      </c>
    </row>
    <row r="155" spans="4:15" ht="20.100000000000001" customHeight="1" x14ac:dyDescent="0.25">
      <c r="D155" s="1" t="s">
        <v>199</v>
      </c>
      <c r="E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7" t="s">
        <v>229</v>
      </c>
    </row>
    <row r="156" spans="4:15" ht="20.100000000000001" customHeight="1" x14ac:dyDescent="0.25">
      <c r="D156" s="1" t="s">
        <v>200</v>
      </c>
      <c r="E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7" t="s">
        <v>229</v>
      </c>
    </row>
    <row r="157" spans="4:15" ht="20.100000000000001" customHeight="1" x14ac:dyDescent="0.25">
      <c r="D157" s="1" t="s">
        <v>201</v>
      </c>
      <c r="E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7" t="s">
        <v>229</v>
      </c>
    </row>
    <row r="158" spans="4:15" ht="20.100000000000001" customHeight="1" x14ac:dyDescent="0.25">
      <c r="D158" s="1" t="s">
        <v>202</v>
      </c>
      <c r="E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7" t="s">
        <v>229</v>
      </c>
    </row>
    <row r="159" spans="4:15" ht="20.100000000000001" customHeight="1" x14ac:dyDescent="0.25"/>
    <row r="160" spans="4:15" ht="20.100000000000001" customHeight="1" x14ac:dyDescent="0.25">
      <c r="D160" s="93" t="s">
        <v>203</v>
      </c>
      <c r="E160" s="93" t="s">
        <v>189</v>
      </c>
      <c r="F160" s="93" t="s">
        <v>190</v>
      </c>
      <c r="G160" s="93" t="s">
        <v>191</v>
      </c>
      <c r="H160" s="93" t="s">
        <v>192</v>
      </c>
      <c r="I160" s="93" t="s">
        <v>193</v>
      </c>
      <c r="J160" s="93" t="s">
        <v>194</v>
      </c>
      <c r="K160" s="93" t="s">
        <v>195</v>
      </c>
      <c r="L160" s="93" t="s">
        <v>196</v>
      </c>
      <c r="M160" s="93" t="s">
        <v>197</v>
      </c>
      <c r="N160" s="93" t="s">
        <v>198</v>
      </c>
    </row>
    <row r="161" spans="4:15" ht="20.100000000000001" customHeight="1" x14ac:dyDescent="0.25">
      <c r="D161" s="1" t="str">
        <f>TEXT(X_Cell_Site_StartDate, "mmmm yyyy")</f>
        <v>NO - Not in leaching zone</v>
      </c>
      <c r="E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7" t="s">
        <v>229</v>
      </c>
    </row>
    <row r="162" spans="4:15" ht="20.100000000000001" customHeight="1" x14ac:dyDescent="0.25">
      <c r="D162" s="1" t="e">
        <f>TEXT(EDATE(X_Cell_Site_StartDate,1), "mmmm yyyy")</f>
        <v>#VALUE!</v>
      </c>
      <c r="E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7" t="s">
        <v>229</v>
      </c>
    </row>
    <row r="163" spans="4:15" ht="20.100000000000001" customHeight="1" x14ac:dyDescent="0.25">
      <c r="D163" s="1" t="e">
        <f>TEXT(EDATE(X_Cell_Site_StartDate,2), "mmmm yyyy")</f>
        <v>#VALUE!</v>
      </c>
      <c r="E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7" t="s">
        <v>229</v>
      </c>
    </row>
    <row r="164" spans="4:15" ht="20.100000000000001" customHeight="1" x14ac:dyDescent="0.25">
      <c r="D164" s="1" t="e">
        <f>TEXT(EDATE(X_Cell_Site_StartDate,3), "mmmm yyyy")</f>
        <v>#VALUE!</v>
      </c>
      <c r="E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7" t="s">
        <v>229</v>
      </c>
    </row>
    <row r="165" spans="4:15" ht="20.100000000000001" customHeight="1" x14ac:dyDescent="0.25">
      <c r="D165" s="1" t="e">
        <f>TEXT(EDATE(X_Cell_Site_StartDate,4), "mmmm yyyy")</f>
        <v>#VALUE!</v>
      </c>
      <c r="E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7" t="s">
        <v>229</v>
      </c>
    </row>
    <row r="166" spans="4:15" ht="20.100000000000001" customHeight="1" x14ac:dyDescent="0.25">
      <c r="D166" s="1" t="e">
        <f>TEXT(EDATE(X_Cell_Site_StartDate,5), "mmmm yyyy")</f>
        <v>#VALUE!</v>
      </c>
      <c r="E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7" t="s">
        <v>229</v>
      </c>
    </row>
    <row r="167" spans="4:15" ht="20.100000000000001" customHeight="1" x14ac:dyDescent="0.25">
      <c r="D167" s="1" t="e">
        <f>TEXT(EDATE(X_Cell_Site_StartDate,6), "mmmm yyyy")</f>
        <v>#VALUE!</v>
      </c>
      <c r="E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7" t="s">
        <v>229</v>
      </c>
    </row>
    <row r="168" spans="4:15" ht="20.100000000000001" customHeight="1" x14ac:dyDescent="0.25">
      <c r="D168" s="1" t="e">
        <f>TEXT(EDATE(X_Cell_Site_StartDate,7), "mmmm yyyy")</f>
        <v>#VALUE!</v>
      </c>
      <c r="E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7" t="s">
        <v>229</v>
      </c>
    </row>
    <row r="169" spans="4:15" ht="20.100000000000001" customHeight="1" x14ac:dyDescent="0.25">
      <c r="D169" s="1" t="e">
        <f>TEXT(EDATE(X_Cell_Site_StartDate,8), "mmmm yyyy")</f>
        <v>#VALUE!</v>
      </c>
      <c r="E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7" t="s">
        <v>229</v>
      </c>
    </row>
    <row r="170" spans="4:15" ht="20.100000000000001" customHeight="1" x14ac:dyDescent="0.25">
      <c r="D170" s="1" t="e">
        <f>TEXT(EDATE(X_Cell_Site_StartDate,9), "mmmm yyyy")</f>
        <v>#VALUE!</v>
      </c>
      <c r="E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7" t="s">
        <v>229</v>
      </c>
    </row>
    <row r="171" spans="4:15" ht="20.100000000000001" customHeight="1" x14ac:dyDescent="0.25">
      <c r="D171" s="1" t="e">
        <f>TEXT(EDATE(X_Cell_Site_StartDate,10), "mmmm yyyy")</f>
        <v>#VALUE!</v>
      </c>
      <c r="E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7" t="s">
        <v>229</v>
      </c>
    </row>
    <row r="172" spans="4:15" ht="20.100000000000001" customHeight="1" x14ac:dyDescent="0.25">
      <c r="D172" s="1" t="e">
        <f>TEXT(EDATE(X_Cell_Site_StartDate,11), "mmmm yyyy")</f>
        <v>#VALUE!</v>
      </c>
      <c r="E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7" t="s">
        <v>229</v>
      </c>
    </row>
    <row r="173" spans="4:15" ht="20.100000000000001" customHeight="1" x14ac:dyDescent="0.25">
      <c r="L173" s="27"/>
      <c r="M173" s="27"/>
      <c r="N173" s="27"/>
      <c r="O173" s="27"/>
    </row>
    <row r="174" spans="4:15" ht="20.100000000000001" customHeight="1" x14ac:dyDescent="0.25">
      <c r="L174" s="27"/>
      <c r="M174" s="27"/>
      <c r="N174" s="27"/>
      <c r="O174" s="27"/>
    </row>
    <row r="175" spans="4:15" ht="20.100000000000001" customHeight="1" x14ac:dyDescent="0.25">
      <c r="D175" s="92" t="s">
        <v>231</v>
      </c>
      <c r="L175" s="27"/>
      <c r="M175" s="27"/>
      <c r="N175" s="27"/>
      <c r="O175" s="27"/>
    </row>
    <row r="176" spans="4:15" ht="20.100000000000001" customHeight="1" x14ac:dyDescent="0.25"/>
    <row r="177" spans="4:15" ht="20.100000000000001" customHeight="1" x14ac:dyDescent="0.25">
      <c r="D177" s="1" t="s">
        <v>232</v>
      </c>
      <c r="E177" s="23" t="s">
        <v>217</v>
      </c>
      <c r="F177" s="27" t="s">
        <v>112</v>
      </c>
      <c r="L177" s="27"/>
      <c r="M177" s="27"/>
      <c r="N177" s="27"/>
      <c r="O177" s="27"/>
    </row>
    <row r="178" spans="4:15" ht="20.100000000000001" customHeight="1" x14ac:dyDescent="0.25"/>
    <row r="179" spans="4:15" ht="20.100000000000001" customHeight="1" x14ac:dyDescent="0.25">
      <c r="D179" s="93" t="s">
        <v>233</v>
      </c>
      <c r="E179" s="93" t="s">
        <v>234</v>
      </c>
      <c r="L179" s="27"/>
      <c r="M179" s="27"/>
      <c r="N179" s="27"/>
      <c r="O179" s="27"/>
    </row>
    <row r="180" spans="4:15" ht="20.100000000000001" customHeight="1" x14ac:dyDescent="0.25">
      <c r="D180" s="1" t="s">
        <v>94</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7" t="s">
        <v>216</v>
      </c>
      <c r="L180" s="27"/>
      <c r="M180" s="27"/>
      <c r="N180" s="27"/>
      <c r="O180" s="27"/>
    </row>
    <row r="181" spans="4:15" ht="20.100000000000001" customHeight="1" x14ac:dyDescent="0.25">
      <c r="D181" s="1" t="s">
        <v>82</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7" t="s">
        <v>216</v>
      </c>
      <c r="L181" s="27"/>
      <c r="M181" s="27"/>
      <c r="N181" s="27"/>
      <c r="O181" s="27"/>
    </row>
    <row r="182" spans="4:15" ht="20.100000000000001" customHeight="1" x14ac:dyDescent="0.25">
      <c r="L182" s="27"/>
      <c r="M182" s="27"/>
      <c r="N182" s="27"/>
      <c r="O182" s="27"/>
    </row>
    <row r="183" spans="4:15" ht="20.100000000000001" customHeight="1" x14ac:dyDescent="0.25"/>
    <row r="184" spans="4:15" ht="20.100000000000001" customHeight="1" x14ac:dyDescent="0.25">
      <c r="D184" s="1" t="s">
        <v>235</v>
      </c>
      <c r="E184" s="23" t="s">
        <v>236</v>
      </c>
      <c r="F184" s="27" t="s">
        <v>112</v>
      </c>
      <c r="L184" s="27"/>
      <c r="M184" s="27"/>
      <c r="N184" s="27"/>
      <c r="O184" s="27"/>
    </row>
    <row r="185" spans="4:15" ht="20.100000000000001" customHeight="1" x14ac:dyDescent="0.25">
      <c r="E185" s="23" t="s">
        <v>237</v>
      </c>
      <c r="F185" s="27" t="s">
        <v>112</v>
      </c>
    </row>
    <row r="186" spans="4:15" ht="20.100000000000001" customHeight="1" x14ac:dyDescent="0.25"/>
    <row r="187" spans="4:15" ht="20.100000000000001" customHeight="1" x14ac:dyDescent="0.25"/>
    <row r="188" spans="4:15" ht="20.100000000000001" customHeight="1" x14ac:dyDescent="0.25">
      <c r="D188" s="2" t="s">
        <v>238</v>
      </c>
    </row>
    <row r="189" spans="4:15" ht="20.100000000000001" customHeight="1" x14ac:dyDescent="0.25">
      <c r="D189" s="24" t="s">
        <v>239</v>
      </c>
    </row>
    <row r="190" spans="4:15" ht="20.100000000000001" customHeight="1" x14ac:dyDescent="0.25">
      <c r="D190" s="31" t="s">
        <v>240</v>
      </c>
      <c r="E190" s="31" t="s">
        <v>241</v>
      </c>
      <c r="F190" s="31" t="s">
        <v>242</v>
      </c>
      <c r="G190" s="31" t="s">
        <v>243</v>
      </c>
      <c r="H190" s="31" t="s">
        <v>244</v>
      </c>
      <c r="I190" s="31" t="s">
        <v>245</v>
      </c>
      <c r="J190" s="96" t="s">
        <v>246</v>
      </c>
      <c r="K190" s="96" t="s">
        <v>247</v>
      </c>
    </row>
    <row r="191" spans="4:15" ht="20.100000000000001" customHeight="1" x14ac:dyDescent="0.25">
      <c r="D191" s="45" t="s">
        <v>248</v>
      </c>
      <c r="E191" s="97">
        <v>45547</v>
      </c>
      <c r="F191" s="23" t="s">
        <v>195</v>
      </c>
      <c r="G191" s="98" t="s">
        <v>249</v>
      </c>
      <c r="H191" s="23" t="s">
        <v>250</v>
      </c>
      <c r="I191" s="87">
        <v>100</v>
      </c>
      <c r="J191" s="26"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7">
        <v>205</v>
      </c>
    </row>
    <row r="192" spans="4:15" ht="20.100000000000001" customHeight="1" x14ac:dyDescent="0.25">
      <c r="D192" s="45"/>
      <c r="E192" s="45"/>
      <c r="F192" s="99"/>
      <c r="G192" s="98"/>
      <c r="H192" s="23"/>
      <c r="I192" s="87"/>
      <c r="J192" s="26"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7"/>
    </row>
    <row r="193" spans="4:27" ht="20.100000000000001" customHeight="1" x14ac:dyDescent="0.25">
      <c r="D193" s="45"/>
      <c r="E193" s="45"/>
      <c r="F193" s="99"/>
      <c r="G193" s="98"/>
      <c r="H193" s="23"/>
      <c r="I193" s="87"/>
      <c r="J193" s="26"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7"/>
    </row>
    <row r="194" spans="4:27" ht="20.100000000000001" customHeight="1" x14ac:dyDescent="0.25">
      <c r="D194" s="45"/>
      <c r="E194" s="45"/>
      <c r="F194" s="99"/>
      <c r="G194" s="98"/>
      <c r="H194" s="23"/>
      <c r="I194" s="87"/>
      <c r="J194" s="26"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7"/>
    </row>
    <row r="195" spans="4:27" ht="20.100000000000001" customHeight="1" x14ac:dyDescent="0.25">
      <c r="D195" s="45"/>
      <c r="E195" s="45"/>
      <c r="F195" s="99"/>
      <c r="G195" s="98"/>
      <c r="H195" s="23"/>
      <c r="I195" s="87"/>
      <c r="J195" s="26"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7"/>
    </row>
    <row r="196" spans="4:27" ht="20.100000000000001" customHeight="1" x14ac:dyDescent="0.25">
      <c r="D196" s="45"/>
      <c r="E196" s="45"/>
      <c r="F196" s="99"/>
      <c r="G196" s="98"/>
      <c r="H196" s="23"/>
      <c r="I196" s="87"/>
      <c r="J196" s="26"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7"/>
    </row>
    <row r="197" spans="4:27" ht="20.100000000000001" customHeight="1" x14ac:dyDescent="0.25">
      <c r="D197" s="45"/>
      <c r="E197" s="45"/>
      <c r="F197" s="99"/>
      <c r="G197" s="98"/>
      <c r="H197" s="23"/>
      <c r="I197" s="87"/>
      <c r="J197" s="26"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7"/>
    </row>
    <row r="198" spans="4:27" ht="20.100000000000001" customHeight="1" x14ac:dyDescent="0.25">
      <c r="D198" s="45"/>
      <c r="E198" s="45"/>
      <c r="F198" s="99"/>
      <c r="G198" s="98"/>
      <c r="H198" s="23"/>
      <c r="I198" s="87"/>
      <c r="J198" s="26"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7"/>
    </row>
    <row r="199" spans="4:27" ht="20.100000000000001" customHeight="1" x14ac:dyDescent="0.25">
      <c r="D199" s="45"/>
      <c r="E199" s="45"/>
      <c r="F199" s="99"/>
      <c r="G199" s="98"/>
      <c r="H199" s="23"/>
      <c r="I199" s="87"/>
      <c r="J199" s="26"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7"/>
    </row>
    <row r="200" spans="4:27" ht="20.100000000000001" customHeight="1" x14ac:dyDescent="0.25">
      <c r="D200" s="100"/>
      <c r="E200" s="100"/>
      <c r="F200" s="99"/>
      <c r="G200" s="101"/>
      <c r="H200" s="99"/>
      <c r="I200" s="102"/>
      <c r="J200" s="26"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2"/>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251</v>
      </c>
    </row>
    <row r="205" spans="4:27" ht="20.100000000000001" customHeight="1" x14ac:dyDescent="0.25">
      <c r="D205" s="24" t="s">
        <v>239</v>
      </c>
      <c r="Q205" s="1"/>
      <c r="Z205" s="91"/>
    </row>
    <row r="206" spans="4:27" ht="20.100000000000001" customHeight="1" x14ac:dyDescent="0.25">
      <c r="D206" s="31" t="s">
        <v>240</v>
      </c>
      <c r="E206" s="31" t="s">
        <v>242</v>
      </c>
      <c r="F206" s="31" t="s">
        <v>252</v>
      </c>
      <c r="G206" s="31" t="s">
        <v>253</v>
      </c>
      <c r="H206" s="31" t="s">
        <v>254</v>
      </c>
      <c r="I206" s="31" t="s">
        <v>255</v>
      </c>
      <c r="Q206" s="1"/>
      <c r="R206" s="1"/>
      <c r="Z206" s="91"/>
      <c r="AA206" s="91"/>
    </row>
    <row r="207" spans="4:27" ht="20.100000000000001" customHeight="1" x14ac:dyDescent="0.25">
      <c r="D207" s="45"/>
      <c r="E207" s="23" t="s">
        <v>190</v>
      </c>
      <c r="F207" s="103">
        <v>45566</v>
      </c>
      <c r="G207" s="31">
        <v>10</v>
      </c>
      <c r="H207" s="31">
        <v>500</v>
      </c>
      <c r="I207" s="26">
        <f t="shared" ref="I207:I216" si="2">G207*H207</f>
        <v>5000</v>
      </c>
      <c r="Q207" s="1"/>
      <c r="R207" s="1"/>
      <c r="Z207" s="91"/>
      <c r="AA207" s="91"/>
    </row>
    <row r="208" spans="4:27" ht="20.100000000000001" customHeight="1" x14ac:dyDescent="0.25">
      <c r="D208" s="45"/>
      <c r="E208" s="23"/>
      <c r="F208" s="103"/>
      <c r="G208" s="31"/>
      <c r="H208" s="31"/>
      <c r="I208" s="26">
        <f t="shared" si="2"/>
        <v>0</v>
      </c>
      <c r="Q208" s="1"/>
      <c r="R208" s="1"/>
      <c r="Z208" s="91"/>
      <c r="AA208" s="91"/>
    </row>
    <row r="209" spans="4:27" ht="20.100000000000001" customHeight="1" x14ac:dyDescent="0.25">
      <c r="D209" s="45"/>
      <c r="E209" s="23"/>
      <c r="F209" s="103"/>
      <c r="G209" s="31"/>
      <c r="H209" s="31"/>
      <c r="I209" s="26">
        <f t="shared" si="2"/>
        <v>0</v>
      </c>
      <c r="Q209" s="1"/>
      <c r="R209" s="1"/>
      <c r="Z209" s="91"/>
      <c r="AA209" s="91"/>
    </row>
    <row r="210" spans="4:27" ht="20.100000000000001" customHeight="1" x14ac:dyDescent="0.25">
      <c r="D210" s="45"/>
      <c r="E210" s="23"/>
      <c r="F210" s="103"/>
      <c r="G210" s="31"/>
      <c r="H210" s="31"/>
      <c r="I210" s="26">
        <f t="shared" si="2"/>
        <v>0</v>
      </c>
      <c r="Q210" s="1"/>
      <c r="R210" s="1"/>
      <c r="Z210" s="91"/>
      <c r="AA210" s="91"/>
    </row>
    <row r="211" spans="4:27" ht="20.100000000000001" customHeight="1" x14ac:dyDescent="0.25">
      <c r="D211" s="45"/>
      <c r="E211" s="23"/>
      <c r="F211" s="103"/>
      <c r="G211" s="31"/>
      <c r="H211" s="31"/>
      <c r="I211" s="26">
        <f t="shared" si="2"/>
        <v>0</v>
      </c>
      <c r="Q211" s="1"/>
      <c r="R211" s="1"/>
      <c r="Z211" s="91"/>
      <c r="AA211" s="91"/>
    </row>
    <row r="212" spans="4:27" ht="20.100000000000001" customHeight="1" x14ac:dyDescent="0.25">
      <c r="D212" s="45"/>
      <c r="E212" s="23"/>
      <c r="F212" s="103"/>
      <c r="G212" s="31"/>
      <c r="H212" s="31"/>
      <c r="I212" s="26">
        <f t="shared" si="2"/>
        <v>0</v>
      </c>
      <c r="Q212" s="1"/>
      <c r="R212" s="1"/>
      <c r="Z212" s="91"/>
      <c r="AA212" s="91"/>
    </row>
    <row r="213" spans="4:27" ht="20.100000000000001" customHeight="1" x14ac:dyDescent="0.25">
      <c r="D213" s="45"/>
      <c r="E213" s="23"/>
      <c r="F213" s="103"/>
      <c r="G213" s="31"/>
      <c r="H213" s="31"/>
      <c r="I213" s="26">
        <f t="shared" si="2"/>
        <v>0</v>
      </c>
      <c r="Q213" s="1"/>
      <c r="R213" s="1"/>
      <c r="Z213" s="91"/>
      <c r="AA213" s="91"/>
    </row>
    <row r="214" spans="4:27" ht="20.100000000000001" customHeight="1" x14ac:dyDescent="0.25">
      <c r="D214" s="45"/>
      <c r="E214" s="23"/>
      <c r="F214" s="103"/>
      <c r="G214" s="31"/>
      <c r="H214" s="31"/>
      <c r="I214" s="26">
        <f t="shared" si="2"/>
        <v>0</v>
      </c>
      <c r="Q214" s="1"/>
      <c r="R214" s="1"/>
      <c r="Z214" s="91"/>
      <c r="AA214" s="91"/>
    </row>
    <row r="215" spans="4:27" ht="20.100000000000001" customHeight="1" x14ac:dyDescent="0.25">
      <c r="D215" s="45"/>
      <c r="E215" s="23"/>
      <c r="F215" s="103"/>
      <c r="G215" s="31"/>
      <c r="H215" s="31"/>
      <c r="I215" s="26">
        <f t="shared" si="2"/>
        <v>0</v>
      </c>
      <c r="Q215" s="1"/>
      <c r="R215" s="1"/>
      <c r="Z215" s="91"/>
      <c r="AA215" s="91"/>
    </row>
    <row r="216" spans="4:27" ht="20.100000000000001" customHeight="1" x14ac:dyDescent="0.25">
      <c r="D216" s="45"/>
      <c r="E216" s="23"/>
      <c r="F216" s="103"/>
      <c r="G216" s="31"/>
      <c r="H216" s="31"/>
      <c r="I216" s="26">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7"/>
      <c r="M227" s="27"/>
      <c r="N227" s="27"/>
      <c r="O227" s="27"/>
    </row>
    <row r="228" spans="11:15" x14ac:dyDescent="0.25">
      <c r="L228" s="27"/>
      <c r="M228" s="27"/>
      <c r="N228" s="27"/>
      <c r="O228" s="27"/>
    </row>
    <row r="229" spans="11:15" x14ac:dyDescent="0.25">
      <c r="L229" s="27"/>
      <c r="M229" s="27"/>
      <c r="N229" s="27"/>
      <c r="O229" s="27"/>
    </row>
    <row r="232" spans="11:15" x14ac:dyDescent="0.25">
      <c r="L232" s="27"/>
      <c r="M232" s="27"/>
      <c r="N232" s="27"/>
      <c r="O232" s="27"/>
    </row>
    <row r="233" spans="11:15" x14ac:dyDescent="0.25">
      <c r="L233" s="27"/>
      <c r="M233" s="27"/>
      <c r="N233" s="27"/>
      <c r="O233" s="27"/>
    </row>
    <row r="234" spans="11:15" x14ac:dyDescent="0.25">
      <c r="K234" s="27"/>
      <c r="L234" s="27"/>
      <c r="M234" s="27"/>
      <c r="N234" s="27"/>
      <c r="O234" s="27"/>
    </row>
    <row r="237" spans="11:15" x14ac:dyDescent="0.25">
      <c r="L237" s="27"/>
      <c r="M237" s="27"/>
      <c r="N237" s="27"/>
      <c r="O237" s="27"/>
    </row>
    <row r="238" spans="11:15" x14ac:dyDescent="0.25">
      <c r="L238" s="27"/>
      <c r="M238" s="27"/>
      <c r="N238" s="27"/>
      <c r="O238" s="27"/>
    </row>
    <row r="239" spans="11:15" x14ac:dyDescent="0.25">
      <c r="K239" s="27"/>
      <c r="L239" s="27"/>
      <c r="M239" s="27"/>
      <c r="N239" s="27"/>
      <c r="O239" s="27"/>
    </row>
    <row r="242" spans="11:15" x14ac:dyDescent="0.25">
      <c r="L242" s="27"/>
      <c r="M242" s="27"/>
      <c r="N242" s="27"/>
      <c r="O242" s="27"/>
    </row>
    <row r="243" spans="11:15" x14ac:dyDescent="0.25">
      <c r="L243" s="27"/>
      <c r="M243" s="27"/>
      <c r="N243" s="27"/>
      <c r="O243" s="27"/>
    </row>
    <row r="244" spans="11:15" x14ac:dyDescent="0.25">
      <c r="K244" s="27"/>
      <c r="L244" s="27"/>
      <c r="M244" s="27"/>
      <c r="N244" s="27"/>
      <c r="O244" s="27"/>
    </row>
    <row r="249" spans="11:15" x14ac:dyDescent="0.25">
      <c r="K249" s="27"/>
    </row>
    <row r="250" spans="11:15" x14ac:dyDescent="0.25">
      <c r="K250" s="27"/>
    </row>
    <row r="251" spans="11:15" x14ac:dyDescent="0.25">
      <c r="K251" s="27"/>
      <c r="L251" s="27"/>
      <c r="M251" s="27"/>
      <c r="N251" s="27"/>
      <c r="O251" s="27"/>
    </row>
    <row r="252" spans="11:15" x14ac:dyDescent="0.25">
      <c r="K252" s="27"/>
      <c r="L252" s="27"/>
      <c r="M252" s="27"/>
      <c r="N252" s="27"/>
      <c r="O252" s="27"/>
    </row>
    <row r="253" spans="11:15" x14ac:dyDescent="0.25">
      <c r="K253" s="27"/>
      <c r="L253" s="27"/>
      <c r="M253" s="27"/>
      <c r="N253" s="27"/>
      <c r="O253" s="27"/>
    </row>
    <row r="255" spans="11:15" x14ac:dyDescent="0.25">
      <c r="K255" s="27"/>
    </row>
    <row r="256" spans="11:15" x14ac:dyDescent="0.25">
      <c r="L256" s="27"/>
      <c r="M256" s="27"/>
      <c r="N256" s="27"/>
      <c r="O256" s="27"/>
    </row>
    <row r="257" spans="11:15" x14ac:dyDescent="0.25">
      <c r="K257" s="27"/>
      <c r="L257" s="27"/>
      <c r="M257" s="27"/>
      <c r="N257" s="27"/>
      <c r="O257" s="27"/>
    </row>
    <row r="258" spans="11:15" x14ac:dyDescent="0.25">
      <c r="K258" s="27"/>
      <c r="L258" s="27"/>
      <c r="M258" s="27"/>
      <c r="N258" s="27"/>
      <c r="O258" s="27"/>
    </row>
    <row r="259" spans="11:15" x14ac:dyDescent="0.25">
      <c r="K259" s="27"/>
    </row>
    <row r="260" spans="11:15" x14ac:dyDescent="0.25">
      <c r="K260" s="27"/>
    </row>
    <row r="261" spans="11:15" x14ac:dyDescent="0.25">
      <c r="L261" s="27"/>
      <c r="M261" s="27"/>
      <c r="N261" s="27"/>
      <c r="O261" s="27"/>
    </row>
    <row r="262" spans="11:15" x14ac:dyDescent="0.25">
      <c r="K262" s="27"/>
      <c r="L262" s="27"/>
      <c r="M262" s="27"/>
      <c r="N262" s="27"/>
      <c r="O262" s="27"/>
    </row>
    <row r="263" spans="11:15" x14ac:dyDescent="0.25">
      <c r="L263" s="27"/>
      <c r="M263" s="27"/>
      <c r="N263" s="27"/>
      <c r="O263" s="27"/>
    </row>
    <row r="266" spans="11:15" x14ac:dyDescent="0.25">
      <c r="L266" s="27"/>
      <c r="M266" s="27"/>
      <c r="N266" s="27"/>
      <c r="O266" s="27"/>
    </row>
    <row r="267" spans="11:15" x14ac:dyDescent="0.25">
      <c r="L267" s="27"/>
      <c r="M267" s="27"/>
      <c r="N267" s="27"/>
      <c r="O267" s="27"/>
    </row>
    <row r="268" spans="11:15" x14ac:dyDescent="0.25">
      <c r="K268" s="27"/>
      <c r="L268" s="27"/>
      <c r="M268" s="27"/>
      <c r="N268" s="27"/>
      <c r="O268" s="27"/>
    </row>
    <row r="273" spans="11:11" x14ac:dyDescent="0.25">
      <c r="K273" s="27"/>
    </row>
    <row r="278" spans="11:11" x14ac:dyDescent="0.25">
      <c r="K278" s="27"/>
    </row>
    <row r="283" spans="11:11" x14ac:dyDescent="0.25">
      <c r="K283" s="27"/>
    </row>
    <row r="284" spans="11:11" x14ac:dyDescent="0.25">
      <c r="K284" s="27"/>
    </row>
    <row r="285" spans="11:11" x14ac:dyDescent="0.25">
      <c r="K285" s="27"/>
    </row>
    <row r="286" spans="11:11" x14ac:dyDescent="0.25">
      <c r="K286" s="27"/>
    </row>
    <row r="287" spans="11:11" x14ac:dyDescent="0.25">
      <c r="K287" s="27"/>
    </row>
    <row r="289" spans="11:11" x14ac:dyDescent="0.25">
      <c r="K289" s="27"/>
    </row>
    <row r="291" spans="11:11" x14ac:dyDescent="0.25">
      <c r="K291" s="27"/>
    </row>
    <row r="292" spans="11:11" x14ac:dyDescent="0.25">
      <c r="K292" s="27"/>
    </row>
    <row r="293" spans="11:11" x14ac:dyDescent="0.25">
      <c r="K293" s="27"/>
    </row>
    <row r="294" spans="11:11" x14ac:dyDescent="0.25">
      <c r="K294" s="27"/>
    </row>
    <row r="296" spans="11:11" x14ac:dyDescent="0.25">
      <c r="K296" s="27"/>
    </row>
    <row r="304" spans="11:11" x14ac:dyDescent="0.25">
      <c r="K304" s="27"/>
    </row>
    <row r="305" spans="11:11" x14ac:dyDescent="0.25">
      <c r="K305" s="27"/>
    </row>
    <row r="306" spans="11:11" x14ac:dyDescent="0.25">
      <c r="K306" s="27"/>
    </row>
    <row r="309" spans="11:11" x14ac:dyDescent="0.25">
      <c r="K309" s="27"/>
    </row>
    <row r="310" spans="11:11" x14ac:dyDescent="0.25">
      <c r="K310" s="27"/>
    </row>
    <row r="311" spans="11:11" x14ac:dyDescent="0.25">
      <c r="K311" s="27"/>
    </row>
    <row r="314" spans="11:11" x14ac:dyDescent="0.25">
      <c r="K314" s="27"/>
    </row>
    <row r="315" spans="11:11" x14ac:dyDescent="0.25">
      <c r="K315" s="27"/>
    </row>
    <row r="316" spans="11:11" x14ac:dyDescent="0.25">
      <c r="K316" s="27"/>
    </row>
    <row r="319" spans="11:11" x14ac:dyDescent="0.25">
      <c r="K319" s="27"/>
    </row>
    <row r="320" spans="11:11" x14ac:dyDescent="0.25">
      <c r="K320" s="27"/>
    </row>
    <row r="321" spans="11:11" x14ac:dyDescent="0.25">
      <c r="K321" s="27"/>
    </row>
    <row r="328" spans="11:11" x14ac:dyDescent="0.25">
      <c r="K328" s="27"/>
    </row>
    <row r="329" spans="11:11" x14ac:dyDescent="0.25">
      <c r="K329" s="27"/>
    </row>
    <row r="330" spans="11:11" x14ac:dyDescent="0.25">
      <c r="K330" s="27"/>
    </row>
    <row r="333" spans="11:11" x14ac:dyDescent="0.25">
      <c r="K333" s="27"/>
    </row>
    <row r="334" spans="11:11" x14ac:dyDescent="0.25">
      <c r="K334" s="27"/>
    </row>
    <row r="335" spans="11:11" x14ac:dyDescent="0.25">
      <c r="K335" s="27"/>
    </row>
    <row r="338" spans="4:11" x14ac:dyDescent="0.25">
      <c r="K338" s="27"/>
    </row>
    <row r="339" spans="4:11" x14ac:dyDescent="0.25">
      <c r="K339" s="27"/>
    </row>
    <row r="340" spans="4:11" x14ac:dyDescent="0.25">
      <c r="K340" s="27"/>
    </row>
    <row r="343" spans="4:11" x14ac:dyDescent="0.25">
      <c r="K343" s="27"/>
    </row>
    <row r="344" spans="4:11" x14ac:dyDescent="0.25">
      <c r="K344" s="27"/>
    </row>
    <row r="345" spans="4:11" x14ac:dyDescent="0.25">
      <c r="K345" s="27"/>
    </row>
    <row r="350" spans="4:11" x14ac:dyDescent="0.25">
      <c r="D350" s="2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B3B34B05-2B26-4DE5-81EC-A11DDBC9AE63}">
      <formula1>INDIRECT("Table_ProductRegions_Beefcattle[Region]")</formula1>
    </dataValidation>
    <dataValidation type="list" allowBlank="1" showInputMessage="1" showErrorMessage="1" sqref="G191:G200" xr:uid="{B71F0875-B7DE-47C8-A538-913A3E1CD85F}">
      <formula1>INDIRECT(TRIM("Table_SourceData_LivestockProduct_Beefcattle[Product]"))</formula1>
    </dataValidation>
    <dataValidation type="list" allowBlank="1" showInputMessage="1" showErrorMessage="1" sqref="F191:F200 D207:E216" xr:uid="{8302415A-3D56-481A-8717-E213658394B2}">
      <formula1>INDIRECT("Table_LivestockClasses_Beefcattle[Livestock class]")</formula1>
    </dataValidation>
    <dataValidation type="list" allowBlank="1" showInputMessage="1" showErrorMessage="1" sqref="E119" xr:uid="{BCFA7DF6-A776-402D-86DD-1DAE42E4E1EF}">
      <formula1>$D$23:$D$34</formula1>
    </dataValidation>
    <dataValidation type="list" allowBlank="1" showInputMessage="1" showErrorMessage="1" sqref="E105" xr:uid="{7FAE1A7B-FACF-4B29-8AF2-ADE0DCD4F5EF}">
      <formula1>"Spring, Summer, Autumn, Winter"</formula1>
    </dataValidation>
    <dataValidation type="list" allowBlank="1" showInputMessage="1" showErrorMessage="1" sqref="E184" xr:uid="{9C768CC4-7BE6-40C4-83F3-C3FF1FE4527D}">
      <formula1>INDIRECT("Table_SourceData_PastureBeef_CropProdSystems[Production system]")</formula1>
    </dataValidation>
    <dataValidation type="list" allowBlank="1" showInputMessage="1" showErrorMessage="1" sqref="E185" xr:uid="{0FDF3F54-E532-41BF-9EE7-B5238A17B79F}">
      <formula1>INDIRECT("Table_SourceData_PastureBeef_IrrigationMethods[Irrigation method]")</formula1>
    </dataValidation>
    <dataValidation type="list" allowBlank="1" showInputMessage="1" showErrorMessage="1" sqref="E9" xr:uid="{57A1BF87-B0F1-4A86-9843-A17EBA77F754}">
      <formula1>INDIRECT("Table_SourceData_PastureBeef_FeedIntakeAdjustment[Breed]")</formula1>
    </dataValidation>
    <dataValidation type="list" allowBlank="1" showInputMessage="1" showErrorMessage="1" sqref="E8" xr:uid="{45D69574-74FE-4D0F-A45C-B27A7AB7C4B8}">
      <formula1>INDIRECT("Table_SourceData_PastureBeef_Region_" &amp; SUBSTITUTE($E$7, " ", "") &amp; "[Region]")</formula1>
    </dataValidation>
    <dataValidation type="list" allowBlank="1" showInputMessage="1" showErrorMessage="1" sqref="E15 E37 E59 E81" xr:uid="{B9BC7A7A-DE82-4382-B5C9-9B8C4A445C6F}">
      <formula1>INDIRECT("Table_SourceData_Dairy_WjCowsHeifers[Breed]")</formula1>
    </dataValidation>
    <dataValidation type="list" allowBlank="1" showInputMessage="1" showErrorMessage="1" sqref="E238 E243 E248 E282 E277 E272 E177" xr:uid="{FA842923-7180-4D18-B1F4-C509AB732DC4}">
      <formula1>"Yes, No"</formula1>
    </dataValidation>
    <dataValidation type="list" allowBlank="1" showInputMessage="1" showErrorMessage="1" sqref="D266" xr:uid="{F775EA28-6D16-4CD3-9B49-967FC0EE2F8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B1CFF-F81A-45FE-B450-C41300C02DC9}">
  <dimension ref="A1:AA350"/>
  <sheetViews>
    <sheetView showGridLines="0" topLeftCell="D1"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180</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40"/>
      <c r="D3" s="40"/>
      <c r="E3" s="40"/>
      <c r="F3" s="40"/>
      <c r="G3" s="40"/>
      <c r="H3" s="40"/>
      <c r="I3" s="40"/>
      <c r="J3" s="40"/>
      <c r="K3" s="40"/>
      <c r="L3" s="40"/>
      <c r="M3" s="40"/>
      <c r="N3" s="40"/>
      <c r="O3" s="40"/>
      <c r="P3" s="40"/>
    </row>
    <row r="4" spans="1:25" ht="20.100000000000001" customHeight="1" x14ac:dyDescent="0.25">
      <c r="A4" s="5" t="str">
        <f>HYPERLINK("#'Results'!A1", "Results")</f>
        <v>Results</v>
      </c>
    </row>
    <row r="5" spans="1:25" ht="20.100000000000001" customHeight="1" x14ac:dyDescent="0.25">
      <c r="D5" s="2" t="s">
        <v>181</v>
      </c>
      <c r="P5" s="36"/>
      <c r="T5" s="33"/>
    </row>
    <row r="6" spans="1:25" ht="20.100000000000001" customHeight="1" x14ac:dyDescent="0.25">
      <c r="P6" s="36"/>
      <c r="T6" s="33"/>
    </row>
    <row r="7" spans="1:25" ht="20.100000000000001" customHeight="1" x14ac:dyDescent="0.25">
      <c r="A7" s="7" t="s">
        <v>0</v>
      </c>
      <c r="D7" s="1" t="s">
        <v>110</v>
      </c>
      <c r="E7" s="26" t="str">
        <f>X_Cell_Site_State</f>
        <v>Dry climate zone</v>
      </c>
      <c r="P7" s="36"/>
      <c r="T7" s="33"/>
    </row>
    <row r="8" spans="1:25" ht="20.100000000000001" customHeight="1" x14ac:dyDescent="0.25">
      <c r="A8" s="5" t="str">
        <f>HYPERLINK("#'Input - Enterprise'!A1", "Enterprise")</f>
        <v>Enterprise</v>
      </c>
      <c r="D8" s="1" t="s">
        <v>182</v>
      </c>
      <c r="E8" s="23" t="s">
        <v>183</v>
      </c>
      <c r="F8" s="27" t="s">
        <v>112</v>
      </c>
      <c r="P8" s="36"/>
      <c r="T8" s="33"/>
    </row>
    <row r="9" spans="1:25" ht="20.100000000000001" customHeight="1" x14ac:dyDescent="0.25">
      <c r="A9" s="5" t="str">
        <f>HYPERLINK("#'Input - Site'!A1", "Site")</f>
        <v>Site</v>
      </c>
      <c r="D9" s="1" t="s">
        <v>184</v>
      </c>
      <c r="E9" s="23" t="s">
        <v>185</v>
      </c>
      <c r="F9" s="27" t="s">
        <v>112</v>
      </c>
      <c r="T9" s="33"/>
    </row>
    <row r="10" spans="1:25" ht="20.100000000000001" customHeight="1" x14ac:dyDescent="0.25">
      <c r="A10" s="5" t="str">
        <f>HYPERLINK("#'Input - Pasture Beef'!A1", "Pasture Beef")</f>
        <v>Pasture Beef</v>
      </c>
      <c r="T10" s="33"/>
    </row>
    <row r="11" spans="1:25" ht="20.100000000000001" customHeight="1" x14ac:dyDescent="0.25">
      <c r="A11" s="134" t="str">
        <f>HYPERLINK("#'Input - Pasture Beef (Enteric)'!A1", "Pasture Beef (Enteric)")</f>
        <v>Pasture Beef (Enteric)</v>
      </c>
      <c r="T11" s="33"/>
    </row>
    <row r="12" spans="1:25" ht="20.100000000000001" customHeight="1" x14ac:dyDescent="0.25">
      <c r="A12" s="5" t="str">
        <f>HYPERLINK("#'Input - Pasture'!A1", "Pasture")</f>
        <v>Pasture</v>
      </c>
      <c r="T12" s="33"/>
    </row>
    <row r="13" spans="1:25" ht="20.100000000000001" customHeight="1" x14ac:dyDescent="0.25">
      <c r="A13" s="5" t="str">
        <f>HYPERLINK("#'Input - Fertiliser'!A1", "Fertiliser")</f>
        <v>Fertiliser</v>
      </c>
      <c r="D13" s="47" t="s">
        <v>186</v>
      </c>
      <c r="E13" s="49"/>
      <c r="F13" s="49"/>
      <c r="G13" s="50"/>
      <c r="T13" s="53"/>
    </row>
    <row r="14" spans="1:25" ht="20.100000000000001" customHeight="1" x14ac:dyDescent="0.25">
      <c r="A14" s="5" t="str">
        <f>HYPERLINK("#'Input - Fuel'!A1", "Fuel")</f>
        <v>Fuel</v>
      </c>
      <c r="T14" s="53"/>
    </row>
    <row r="15" spans="1:25" ht="20.100000000000001" customHeight="1" x14ac:dyDescent="0.25">
      <c r="A15" s="5" t="str">
        <f>HYPERLINK("#'Input - Electricity'!A1", "Electricity")</f>
        <v>Electricity</v>
      </c>
      <c r="D15" s="92" t="s">
        <v>187</v>
      </c>
      <c r="T15" s="53"/>
    </row>
    <row r="16" spans="1:25" ht="20.100000000000001" customHeight="1" x14ac:dyDescent="0.25">
      <c r="D16" s="93" t="s">
        <v>188</v>
      </c>
      <c r="E16" s="93" t="s">
        <v>189</v>
      </c>
      <c r="F16" s="93" t="s">
        <v>190</v>
      </c>
      <c r="G16" s="93" t="s">
        <v>191</v>
      </c>
      <c r="H16" s="93" t="s">
        <v>192</v>
      </c>
      <c r="I16" s="93" t="s">
        <v>193</v>
      </c>
      <c r="J16" s="93" t="s">
        <v>194</v>
      </c>
      <c r="K16" s="93" t="s">
        <v>195</v>
      </c>
      <c r="L16" s="93" t="s">
        <v>196</v>
      </c>
      <c r="M16" s="93" t="s">
        <v>197</v>
      </c>
      <c r="N16" s="93" t="s">
        <v>198</v>
      </c>
      <c r="T16" s="53"/>
    </row>
    <row r="17" spans="1:20" ht="20.100000000000001" customHeight="1" x14ac:dyDescent="0.25">
      <c r="D17" s="1" t="s">
        <v>199</v>
      </c>
      <c r="E17" s="26">
        <v>91.25</v>
      </c>
      <c r="F17" s="26">
        <v>91.25</v>
      </c>
      <c r="G17" s="26">
        <v>91.25</v>
      </c>
      <c r="H17" s="26">
        <v>91.25</v>
      </c>
      <c r="I17" s="26">
        <v>91.25</v>
      </c>
      <c r="J17" s="26">
        <v>91.25</v>
      </c>
      <c r="K17" s="26">
        <v>91.25</v>
      </c>
      <c r="L17" s="26">
        <v>91.25</v>
      </c>
      <c r="M17" s="26">
        <v>91.25</v>
      </c>
      <c r="N17" s="26">
        <v>91.25</v>
      </c>
      <c r="O17" s="27" t="s">
        <v>124</v>
      </c>
      <c r="T17" s="33"/>
    </row>
    <row r="18" spans="1:20" ht="20.100000000000001" customHeight="1" x14ac:dyDescent="0.25">
      <c r="A18" s="6" t="s">
        <v>2</v>
      </c>
      <c r="D18" s="1" t="s">
        <v>200</v>
      </c>
      <c r="E18" s="26">
        <v>91.25</v>
      </c>
      <c r="F18" s="26">
        <v>91.25</v>
      </c>
      <c r="G18" s="26">
        <v>91.25</v>
      </c>
      <c r="H18" s="26">
        <v>91.25</v>
      </c>
      <c r="I18" s="26">
        <v>91.25</v>
      </c>
      <c r="J18" s="26">
        <v>91.25</v>
      </c>
      <c r="K18" s="26">
        <v>91.25</v>
      </c>
      <c r="L18" s="26">
        <v>91.25</v>
      </c>
      <c r="M18" s="26">
        <v>91.25</v>
      </c>
      <c r="N18" s="26">
        <v>91.25</v>
      </c>
      <c r="O18" s="27" t="s">
        <v>124</v>
      </c>
      <c r="T18" s="33"/>
    </row>
    <row r="19" spans="1:20" ht="20.100000000000001" customHeight="1" x14ac:dyDescent="0.25">
      <c r="A19" s="5" t="str">
        <f>HYPERLINK("#'3.2.1.1-2 Enteric Methane'!A1", "3.2.1.1-2 Enteric methane")</f>
        <v>3.2.1.1-2 Enteric methane</v>
      </c>
      <c r="D19" s="1" t="s">
        <v>201</v>
      </c>
      <c r="E19" s="26">
        <v>91.25</v>
      </c>
      <c r="F19" s="26">
        <v>91.25</v>
      </c>
      <c r="G19" s="26">
        <v>91.25</v>
      </c>
      <c r="H19" s="26">
        <v>91.25</v>
      </c>
      <c r="I19" s="26">
        <v>91.25</v>
      </c>
      <c r="J19" s="26">
        <v>91.25</v>
      </c>
      <c r="K19" s="26">
        <v>91.25</v>
      </c>
      <c r="L19" s="26">
        <v>91.25</v>
      </c>
      <c r="M19" s="26">
        <v>91.25</v>
      </c>
      <c r="N19" s="26">
        <v>91.25</v>
      </c>
      <c r="O19" s="27" t="s">
        <v>124</v>
      </c>
      <c r="T19" s="33"/>
    </row>
    <row r="20" spans="1:20" ht="20.100000000000001" customHeight="1" x14ac:dyDescent="0.25">
      <c r="A20" s="5" t="str">
        <f>HYPERLINK("#'4.2.1.1-2 Methane'!A1", "4.2.1.1-2 Manure methane")</f>
        <v>4.2.1.1-2 Manure methane</v>
      </c>
      <c r="D20" s="1" t="s">
        <v>202</v>
      </c>
      <c r="E20" s="26">
        <v>91.25</v>
      </c>
      <c r="F20" s="26">
        <v>91.25</v>
      </c>
      <c r="G20" s="26">
        <v>91.25</v>
      </c>
      <c r="H20" s="26">
        <v>91.25</v>
      </c>
      <c r="I20" s="26">
        <v>91.25</v>
      </c>
      <c r="J20" s="26">
        <v>91.25</v>
      </c>
      <c r="K20" s="26">
        <v>91.25</v>
      </c>
      <c r="L20" s="26">
        <v>91.25</v>
      </c>
      <c r="M20" s="26">
        <v>91.25</v>
      </c>
      <c r="N20" s="26">
        <v>91.25</v>
      </c>
      <c r="O20" s="27" t="s">
        <v>124</v>
      </c>
      <c r="T20" s="33"/>
    </row>
    <row r="21" spans="1:20" ht="20.100000000000001" customHeight="1" x14ac:dyDescent="0.25">
      <c r="A21" s="5" t="str">
        <f>HYPERLINK("#'4.2.1.3-4 Soil direct N20'!A1", "4.2.1.3-4 Soil direct N2O")</f>
        <v>4.2.1.3-4 Soil direct N2O</v>
      </c>
      <c r="T21" s="33"/>
    </row>
    <row r="22" spans="1:20" ht="20.100000000000001" customHeight="1" x14ac:dyDescent="0.25">
      <c r="A22" s="5" t="str">
        <f>HYPERLINK("#'4.2.1.5-6 Soil Atmos Dep'!A1", "4.2.1.5-6 Soil atm. deposition")</f>
        <v>4.2.1.5-6 Soil atm. deposition</v>
      </c>
      <c r="D22" s="93" t="s">
        <v>203</v>
      </c>
      <c r="E22" s="93" t="s">
        <v>189</v>
      </c>
      <c r="F22" s="93" t="s">
        <v>190</v>
      </c>
      <c r="G22" s="93" t="s">
        <v>191</v>
      </c>
      <c r="H22" s="93" t="s">
        <v>192</v>
      </c>
      <c r="I22" s="93" t="s">
        <v>193</v>
      </c>
      <c r="J22" s="93" t="s">
        <v>194</v>
      </c>
      <c r="K22" s="93" t="s">
        <v>195</v>
      </c>
      <c r="L22" s="93" t="s">
        <v>196</v>
      </c>
      <c r="M22" s="93" t="s">
        <v>197</v>
      </c>
      <c r="N22" s="93" t="s">
        <v>198</v>
      </c>
      <c r="T22" s="33"/>
    </row>
    <row r="23" spans="1:20" ht="20.100000000000001" customHeight="1" x14ac:dyDescent="0.25">
      <c r="A23" s="5" t="str">
        <f>HYPERLINK("#'4.2.1.7-8 Soil leach runoff'!A1", "4.2.1.7-8 Soil leach &amp; runoff")</f>
        <v>4.2.1.7-8 Soil leach &amp; runoff</v>
      </c>
      <c r="D23" s="1" t="str">
        <f>TEXT(X_Cell_Site_StartDate, "mmmm yyyy")</f>
        <v>NO - Not in leaching zone</v>
      </c>
      <c r="E23" s="87" t="e">
        <f t="shared" ref="E23:N34" si="0">DAY(EOMONTH($D23,0))</f>
        <v>#VALUE!</v>
      </c>
      <c r="F23" s="87" t="e">
        <f t="shared" si="0"/>
        <v>#VALUE!</v>
      </c>
      <c r="G23" s="87" t="e">
        <f t="shared" si="0"/>
        <v>#VALUE!</v>
      </c>
      <c r="H23" s="87" t="e">
        <f t="shared" si="0"/>
        <v>#VALUE!</v>
      </c>
      <c r="I23" s="87" t="e">
        <f t="shared" si="0"/>
        <v>#VALUE!</v>
      </c>
      <c r="J23" s="87" t="e">
        <f t="shared" si="0"/>
        <v>#VALUE!</v>
      </c>
      <c r="K23" s="87" t="e">
        <f t="shared" si="0"/>
        <v>#VALUE!</v>
      </c>
      <c r="L23" s="87" t="e">
        <f t="shared" si="0"/>
        <v>#VALUE!</v>
      </c>
      <c r="M23" s="87" t="e">
        <f t="shared" si="0"/>
        <v>#VALUE!</v>
      </c>
      <c r="N23" s="87" t="e">
        <f t="shared" si="0"/>
        <v>#VALUE!</v>
      </c>
      <c r="O23" s="27" t="s">
        <v>124</v>
      </c>
      <c r="T23" s="33"/>
    </row>
    <row r="24" spans="1:20" ht="20.100000000000001" customHeight="1" x14ac:dyDescent="0.25">
      <c r="A24" s="5" t="str">
        <f>HYPERLINK("#'5.1.1.1-2 Inorganic fert N2O'!A1", "5.1.1.1-2 Inorganic fert N2O")</f>
        <v>5.1.1.1-2 Inorganic fert N2O</v>
      </c>
      <c r="D24" s="1" t="e">
        <f>TEXT(EDATE(X_Cell_Site_StartDate,1), "mmmm yyyy")</f>
        <v>#VALUE!</v>
      </c>
      <c r="E24" s="87" t="e">
        <f t="shared" si="0"/>
        <v>#VALUE!</v>
      </c>
      <c r="F24" s="87" t="e">
        <f t="shared" si="0"/>
        <v>#VALUE!</v>
      </c>
      <c r="G24" s="87" t="e">
        <f t="shared" si="0"/>
        <v>#VALUE!</v>
      </c>
      <c r="H24" s="87" t="e">
        <f t="shared" si="0"/>
        <v>#VALUE!</v>
      </c>
      <c r="I24" s="87" t="e">
        <f t="shared" si="0"/>
        <v>#VALUE!</v>
      </c>
      <c r="J24" s="87" t="e">
        <f t="shared" si="0"/>
        <v>#VALUE!</v>
      </c>
      <c r="K24" s="87" t="e">
        <f t="shared" si="0"/>
        <v>#VALUE!</v>
      </c>
      <c r="L24" s="87" t="e">
        <f t="shared" si="0"/>
        <v>#VALUE!</v>
      </c>
      <c r="M24" s="87" t="e">
        <f t="shared" si="0"/>
        <v>#VALUE!</v>
      </c>
      <c r="N24" s="87" t="e">
        <f t="shared" si="0"/>
        <v>#VALUE!</v>
      </c>
      <c r="O24" s="27" t="s">
        <v>124</v>
      </c>
      <c r="T24" s="33"/>
    </row>
    <row r="25" spans="1:20" ht="20.100000000000001" customHeight="1" x14ac:dyDescent="0.25">
      <c r="A25" s="5" t="str">
        <f>HYPERLINK("#'5.1.1.3-4 Inorganic fert CO2'!A1", "5.1.1.3-4 Inorganic fert CO2")</f>
        <v>5.1.1.3-4 Inorganic fert CO2</v>
      </c>
      <c r="D25" s="1" t="e">
        <f>TEXT(EDATE(X_Cell_Site_StartDate,2), "mmmm yyyy")</f>
        <v>#VALUE!</v>
      </c>
      <c r="E25" s="87" t="e">
        <f t="shared" si="0"/>
        <v>#VALUE!</v>
      </c>
      <c r="F25" s="87" t="e">
        <f t="shared" si="0"/>
        <v>#VALUE!</v>
      </c>
      <c r="G25" s="87" t="e">
        <f t="shared" si="0"/>
        <v>#VALUE!</v>
      </c>
      <c r="H25" s="87" t="e">
        <f t="shared" si="0"/>
        <v>#VALUE!</v>
      </c>
      <c r="I25" s="87" t="e">
        <f t="shared" si="0"/>
        <v>#VALUE!</v>
      </c>
      <c r="J25" s="87" t="e">
        <f t="shared" si="0"/>
        <v>#VALUE!</v>
      </c>
      <c r="K25" s="87" t="e">
        <f t="shared" si="0"/>
        <v>#VALUE!</v>
      </c>
      <c r="L25" s="87" t="e">
        <f t="shared" si="0"/>
        <v>#VALUE!</v>
      </c>
      <c r="M25" s="87" t="e">
        <f t="shared" si="0"/>
        <v>#VALUE!</v>
      </c>
      <c r="N25" s="87" t="e">
        <f t="shared" si="0"/>
        <v>#VALUE!</v>
      </c>
      <c r="O25" s="27" t="s">
        <v>124</v>
      </c>
      <c r="T25" s="33"/>
    </row>
    <row r="26" spans="1:20" ht="20.100000000000001" customHeight="1" x14ac:dyDescent="0.25">
      <c r="A26" s="5" t="str">
        <f>HYPERLINK("#'5.2.1.1-2 Organic Fert N2O'!A1", "5.2.1.1-2 Organic fert N2O")</f>
        <v>5.2.1.1-2 Organic fert N2O</v>
      </c>
      <c r="D26" s="1" t="e">
        <f>TEXT(EDATE(X_Cell_Site_StartDate,3), "mmmm yyyy")</f>
        <v>#VALUE!</v>
      </c>
      <c r="E26" s="87" t="e">
        <f t="shared" si="0"/>
        <v>#VALUE!</v>
      </c>
      <c r="F26" s="87" t="e">
        <f t="shared" si="0"/>
        <v>#VALUE!</v>
      </c>
      <c r="G26" s="87" t="e">
        <f t="shared" si="0"/>
        <v>#VALUE!</v>
      </c>
      <c r="H26" s="87" t="e">
        <f t="shared" si="0"/>
        <v>#VALUE!</v>
      </c>
      <c r="I26" s="87" t="e">
        <f t="shared" si="0"/>
        <v>#VALUE!</v>
      </c>
      <c r="J26" s="87" t="e">
        <f t="shared" si="0"/>
        <v>#VALUE!</v>
      </c>
      <c r="K26" s="87" t="e">
        <f t="shared" si="0"/>
        <v>#VALUE!</v>
      </c>
      <c r="L26" s="87" t="e">
        <f t="shared" si="0"/>
        <v>#VALUE!</v>
      </c>
      <c r="M26" s="87" t="e">
        <f t="shared" si="0"/>
        <v>#VALUE!</v>
      </c>
      <c r="N26" s="87" t="e">
        <f t="shared" si="0"/>
        <v>#VALUE!</v>
      </c>
      <c r="O26" s="27" t="s">
        <v>124</v>
      </c>
      <c r="T26" s="33"/>
    </row>
    <row r="27" spans="1:20" ht="20.100000000000001" customHeight="1" x14ac:dyDescent="0.25">
      <c r="A27" s="5" t="str">
        <f>HYPERLINK("#'5.3.1.1-2 Lime CO2'!A1", "5.3.1.1-2 Lime CO2")</f>
        <v>5.3.1.1-2 Lime CO2</v>
      </c>
      <c r="D27" s="1" t="e">
        <f>TEXT(EDATE(X_Cell_Site_StartDate,4), "mmmm yyyy")</f>
        <v>#VALUE!</v>
      </c>
      <c r="E27" s="87" t="e">
        <f t="shared" si="0"/>
        <v>#VALUE!</v>
      </c>
      <c r="F27" s="87" t="e">
        <f t="shared" si="0"/>
        <v>#VALUE!</v>
      </c>
      <c r="G27" s="87" t="e">
        <f t="shared" si="0"/>
        <v>#VALUE!</v>
      </c>
      <c r="H27" s="87" t="e">
        <f t="shared" si="0"/>
        <v>#VALUE!</v>
      </c>
      <c r="I27" s="87" t="e">
        <f t="shared" si="0"/>
        <v>#VALUE!</v>
      </c>
      <c r="J27" s="87" t="e">
        <f t="shared" si="0"/>
        <v>#VALUE!</v>
      </c>
      <c r="K27" s="87" t="e">
        <f t="shared" si="0"/>
        <v>#VALUE!</v>
      </c>
      <c r="L27" s="87" t="e">
        <f t="shared" si="0"/>
        <v>#VALUE!</v>
      </c>
      <c r="M27" s="87" t="e">
        <f t="shared" si="0"/>
        <v>#VALUE!</v>
      </c>
      <c r="N27" s="87" t="e">
        <f t="shared" si="0"/>
        <v>#VALUE!</v>
      </c>
      <c r="O27" s="27" t="s">
        <v>124</v>
      </c>
      <c r="T27" s="33"/>
    </row>
    <row r="28" spans="1:20" ht="20.100000000000001" customHeight="1" x14ac:dyDescent="0.25">
      <c r="A28" s="5" t="str">
        <f>HYPERLINK("#'5.4.1.1-4 Atmos deposition'!A1", "5.4.1.1-4 Atmos. deposition")</f>
        <v>5.4.1.1-4 Atmos. deposition</v>
      </c>
      <c r="D28" s="1" t="e">
        <f>TEXT(EDATE(X_Cell_Site_StartDate,5), "mmmm yyyy")</f>
        <v>#VALUE!</v>
      </c>
      <c r="E28" s="87" t="e">
        <f t="shared" si="0"/>
        <v>#VALUE!</v>
      </c>
      <c r="F28" s="87" t="e">
        <f t="shared" si="0"/>
        <v>#VALUE!</v>
      </c>
      <c r="G28" s="87" t="e">
        <f t="shared" si="0"/>
        <v>#VALUE!</v>
      </c>
      <c r="H28" s="87" t="e">
        <f t="shared" si="0"/>
        <v>#VALUE!</v>
      </c>
      <c r="I28" s="87" t="e">
        <f t="shared" si="0"/>
        <v>#VALUE!</v>
      </c>
      <c r="J28" s="87" t="e">
        <f t="shared" si="0"/>
        <v>#VALUE!</v>
      </c>
      <c r="K28" s="87" t="e">
        <f t="shared" si="0"/>
        <v>#VALUE!</v>
      </c>
      <c r="L28" s="87" t="e">
        <f t="shared" si="0"/>
        <v>#VALUE!</v>
      </c>
      <c r="M28" s="87" t="e">
        <f t="shared" si="0"/>
        <v>#VALUE!</v>
      </c>
      <c r="N28" s="87" t="e">
        <f t="shared" si="0"/>
        <v>#VALUE!</v>
      </c>
      <c r="O28" s="27" t="s">
        <v>124</v>
      </c>
      <c r="T28" s="33"/>
    </row>
    <row r="29" spans="1:20" ht="20.100000000000001" customHeight="1" x14ac:dyDescent="0.25">
      <c r="A29" s="5" t="str">
        <f>HYPERLINK("#'5.5.1.1-2 Leaching and runoff'!A1", "5.5.1.1-2 Leaching &amp; runoff")</f>
        <v>5.5.1.1-2 Leaching &amp; runoff</v>
      </c>
      <c r="D29" s="1" t="e">
        <f>TEXT(EDATE(X_Cell_Site_StartDate,6), "mmmm yyyy")</f>
        <v>#VALUE!</v>
      </c>
      <c r="E29" s="87" t="e">
        <f t="shared" si="0"/>
        <v>#VALUE!</v>
      </c>
      <c r="F29" s="87" t="e">
        <f t="shared" si="0"/>
        <v>#VALUE!</v>
      </c>
      <c r="G29" s="87" t="e">
        <f t="shared" si="0"/>
        <v>#VALUE!</v>
      </c>
      <c r="H29" s="87" t="e">
        <f t="shared" si="0"/>
        <v>#VALUE!</v>
      </c>
      <c r="I29" s="87" t="e">
        <f t="shared" si="0"/>
        <v>#VALUE!</v>
      </c>
      <c r="J29" s="87" t="e">
        <f t="shared" si="0"/>
        <v>#VALUE!</v>
      </c>
      <c r="K29" s="87" t="e">
        <f t="shared" si="0"/>
        <v>#VALUE!</v>
      </c>
      <c r="L29" s="87" t="e">
        <f t="shared" si="0"/>
        <v>#VALUE!</v>
      </c>
      <c r="M29" s="87" t="e">
        <f t="shared" si="0"/>
        <v>#VALUE!</v>
      </c>
      <c r="N29" s="87" t="e">
        <f t="shared" si="0"/>
        <v>#VALUE!</v>
      </c>
      <c r="O29" s="27" t="s">
        <v>124</v>
      </c>
      <c r="T29" s="33"/>
    </row>
    <row r="30" spans="1:20" ht="20.100000000000001" customHeight="1" x14ac:dyDescent="0.25">
      <c r="A30" s="5" t="str">
        <f>HYPERLINK("#'6.2.1.1-2 Pasture residue N2O'!A1", "6.2.1.1-2 Pasture residue N2O")</f>
        <v>6.2.1.1-2 Pasture residue N2O</v>
      </c>
      <c r="D30" s="1" t="e">
        <f>TEXT(EDATE(X_Cell_Site_StartDate,7), "mmmm yyyy")</f>
        <v>#VALUE!</v>
      </c>
      <c r="E30" s="87" t="e">
        <f t="shared" si="0"/>
        <v>#VALUE!</v>
      </c>
      <c r="F30" s="87" t="e">
        <f t="shared" si="0"/>
        <v>#VALUE!</v>
      </c>
      <c r="G30" s="87" t="e">
        <f t="shared" si="0"/>
        <v>#VALUE!</v>
      </c>
      <c r="H30" s="87" t="e">
        <f t="shared" si="0"/>
        <v>#VALUE!</v>
      </c>
      <c r="I30" s="87" t="e">
        <f t="shared" si="0"/>
        <v>#VALUE!</v>
      </c>
      <c r="J30" s="87" t="e">
        <f t="shared" si="0"/>
        <v>#VALUE!</v>
      </c>
      <c r="K30" s="87" t="e">
        <f t="shared" si="0"/>
        <v>#VALUE!</v>
      </c>
      <c r="L30" s="87" t="e">
        <f t="shared" si="0"/>
        <v>#VALUE!</v>
      </c>
      <c r="M30" s="87" t="e">
        <f t="shared" si="0"/>
        <v>#VALUE!</v>
      </c>
      <c r="N30" s="87" t="e">
        <f t="shared" si="0"/>
        <v>#VALUE!</v>
      </c>
      <c r="O30" s="27" t="s">
        <v>124</v>
      </c>
      <c r="T30" s="33"/>
    </row>
    <row r="31" spans="1:20" ht="20.100000000000001" customHeight="1" x14ac:dyDescent="0.25">
      <c r="A31" s="5" t="str">
        <f>HYPERLINK("#'6.3.1.1-2 Leach runoff pasture'!A1", "6.3.1.1-2 Leach &amp; runoff (pasture)")</f>
        <v>6.3.1.1-2 Leach &amp; runoff (pasture)</v>
      </c>
      <c r="D31" s="1" t="e">
        <f>TEXT(EDATE(X_Cell_Site_StartDate,8), "mmmm yyyy")</f>
        <v>#VALUE!</v>
      </c>
      <c r="E31" s="87" t="e">
        <f t="shared" si="0"/>
        <v>#VALUE!</v>
      </c>
      <c r="F31" s="87" t="e">
        <f t="shared" si="0"/>
        <v>#VALUE!</v>
      </c>
      <c r="G31" s="87" t="e">
        <f t="shared" si="0"/>
        <v>#VALUE!</v>
      </c>
      <c r="H31" s="87" t="e">
        <f t="shared" si="0"/>
        <v>#VALUE!</v>
      </c>
      <c r="I31" s="87" t="e">
        <f t="shared" si="0"/>
        <v>#VALUE!</v>
      </c>
      <c r="J31" s="87" t="e">
        <f t="shared" si="0"/>
        <v>#VALUE!</v>
      </c>
      <c r="K31" s="87" t="e">
        <f t="shared" si="0"/>
        <v>#VALUE!</v>
      </c>
      <c r="L31" s="87" t="e">
        <f t="shared" si="0"/>
        <v>#VALUE!</v>
      </c>
      <c r="M31" s="87" t="e">
        <f t="shared" si="0"/>
        <v>#VALUE!</v>
      </c>
      <c r="N31" s="87" t="e">
        <f t="shared" si="0"/>
        <v>#VALUE!</v>
      </c>
      <c r="O31" s="27" t="s">
        <v>124</v>
      </c>
      <c r="T31" s="33"/>
    </row>
    <row r="32" spans="1:20" ht="20.100000000000001" customHeight="1" x14ac:dyDescent="0.25">
      <c r="A32" s="5" t="str">
        <f>HYPERLINK("#'8.1.1.1-2 Transport fuel'!A1", "8.1.1.1-2 Transport fuel")</f>
        <v>8.1.1.1-2 Transport fuel</v>
      </c>
      <c r="D32" s="1" t="e">
        <f>TEXT(EDATE(X_Cell_Site_StartDate,9), "mmmm yyyy")</f>
        <v>#VALUE!</v>
      </c>
      <c r="E32" s="87" t="e">
        <f t="shared" si="0"/>
        <v>#VALUE!</v>
      </c>
      <c r="F32" s="87" t="e">
        <f t="shared" si="0"/>
        <v>#VALUE!</v>
      </c>
      <c r="G32" s="87" t="e">
        <f t="shared" si="0"/>
        <v>#VALUE!</v>
      </c>
      <c r="H32" s="87" t="e">
        <f t="shared" si="0"/>
        <v>#VALUE!</v>
      </c>
      <c r="I32" s="87" t="e">
        <f t="shared" si="0"/>
        <v>#VALUE!</v>
      </c>
      <c r="J32" s="87" t="e">
        <f t="shared" si="0"/>
        <v>#VALUE!</v>
      </c>
      <c r="K32" s="87" t="e">
        <f t="shared" si="0"/>
        <v>#VALUE!</v>
      </c>
      <c r="L32" s="87" t="e">
        <f t="shared" si="0"/>
        <v>#VALUE!</v>
      </c>
      <c r="M32" s="87" t="e">
        <f t="shared" si="0"/>
        <v>#VALUE!</v>
      </c>
      <c r="N32" s="87" t="e">
        <f t="shared" si="0"/>
        <v>#VALUE!</v>
      </c>
      <c r="O32" s="27" t="s">
        <v>124</v>
      </c>
      <c r="T32" s="33"/>
    </row>
    <row r="33" spans="1:20" ht="20.100000000000001" customHeight="1" x14ac:dyDescent="0.25">
      <c r="A33" s="5" t="str">
        <f>HYPERLINK("#'8.2.1.1-2 Stationary fuel'!A1", "8.2.1.1-2 Stationary fuel")</f>
        <v>8.2.1.1-2 Stationary fuel</v>
      </c>
      <c r="D33" s="1" t="e">
        <f>TEXT(EDATE(X_Cell_Site_StartDate,10), "mmmm yyyy")</f>
        <v>#VALUE!</v>
      </c>
      <c r="E33" s="87" t="e">
        <f t="shared" si="0"/>
        <v>#VALUE!</v>
      </c>
      <c r="F33" s="87" t="e">
        <f t="shared" si="0"/>
        <v>#VALUE!</v>
      </c>
      <c r="G33" s="87" t="e">
        <f t="shared" si="0"/>
        <v>#VALUE!</v>
      </c>
      <c r="H33" s="87" t="e">
        <f t="shared" si="0"/>
        <v>#VALUE!</v>
      </c>
      <c r="I33" s="87" t="e">
        <f t="shared" si="0"/>
        <v>#VALUE!</v>
      </c>
      <c r="J33" s="87" t="e">
        <f t="shared" si="0"/>
        <v>#VALUE!</v>
      </c>
      <c r="K33" s="87" t="e">
        <f t="shared" si="0"/>
        <v>#VALUE!</v>
      </c>
      <c r="L33" s="87" t="e">
        <f t="shared" si="0"/>
        <v>#VALUE!</v>
      </c>
      <c r="M33" s="87" t="e">
        <f t="shared" si="0"/>
        <v>#VALUE!</v>
      </c>
      <c r="N33" s="87" t="e">
        <f t="shared" si="0"/>
        <v>#VALUE!</v>
      </c>
      <c r="O33" s="27" t="s">
        <v>124</v>
      </c>
      <c r="T33" s="33"/>
    </row>
    <row r="34" spans="1:20" ht="20.100000000000001" customHeight="1" x14ac:dyDescent="0.25">
      <c r="A34" s="5" t="str">
        <f>HYPERLINK("#'14.1.1-2 Purchased electricity'!A1", "14.1.1-2 Purchased electricity")</f>
        <v>14.1.1-2 Purchased electricity</v>
      </c>
      <c r="D34" s="1" t="e">
        <f>TEXT(EDATE(X_Cell_Site_StartDate,11), "mmmm yyyy")</f>
        <v>#VALUE!</v>
      </c>
      <c r="E34" s="87" t="e">
        <f t="shared" si="0"/>
        <v>#VALUE!</v>
      </c>
      <c r="F34" s="87" t="e">
        <f t="shared" si="0"/>
        <v>#VALUE!</v>
      </c>
      <c r="G34" s="87" t="e">
        <f t="shared" si="0"/>
        <v>#VALUE!</v>
      </c>
      <c r="H34" s="87" t="e">
        <f t="shared" si="0"/>
        <v>#VALUE!</v>
      </c>
      <c r="I34" s="87" t="e">
        <f t="shared" si="0"/>
        <v>#VALUE!</v>
      </c>
      <c r="J34" s="87" t="e">
        <f t="shared" si="0"/>
        <v>#VALUE!</v>
      </c>
      <c r="K34" s="87" t="e">
        <f t="shared" si="0"/>
        <v>#VALUE!</v>
      </c>
      <c r="L34" s="87" t="e">
        <f t="shared" si="0"/>
        <v>#VALUE!</v>
      </c>
      <c r="M34" s="87" t="e">
        <f t="shared" si="0"/>
        <v>#VALUE!</v>
      </c>
      <c r="N34" s="87" t="e">
        <f t="shared" si="0"/>
        <v>#VALUE!</v>
      </c>
      <c r="O34" s="27" t="s">
        <v>124</v>
      </c>
      <c r="T34" s="33"/>
    </row>
    <row r="35" spans="1:20" ht="20.100000000000001" customHeight="1" x14ac:dyDescent="0.25">
      <c r="T35" s="33"/>
    </row>
    <row r="36" spans="1:20" ht="20.100000000000001" customHeight="1" x14ac:dyDescent="0.25">
      <c r="T36" s="33"/>
    </row>
    <row r="37" spans="1:20" ht="20.100000000000001" customHeight="1" x14ac:dyDescent="0.25">
      <c r="A37" s="250" t="s">
        <v>1</v>
      </c>
      <c r="D37" s="92" t="s">
        <v>204</v>
      </c>
      <c r="T37" s="33"/>
    </row>
    <row r="38" spans="1:20" ht="20.100000000000001" customHeight="1" x14ac:dyDescent="0.25">
      <c r="A38" s="5" t="str">
        <f>HYPERLINK("#'Constants - Pasture Beef'!A1", "Constants - Pasture Beef")</f>
        <v>Constants - Pasture Beef</v>
      </c>
      <c r="D38" s="93" t="s">
        <v>205</v>
      </c>
      <c r="E38" s="93" t="s">
        <v>189</v>
      </c>
      <c r="F38" s="93" t="s">
        <v>190</v>
      </c>
      <c r="G38" s="93" t="s">
        <v>191</v>
      </c>
      <c r="H38" s="93" t="s">
        <v>192</v>
      </c>
      <c r="I38" s="93" t="s">
        <v>193</v>
      </c>
      <c r="J38" s="93" t="s">
        <v>194</v>
      </c>
      <c r="K38" s="93" t="s">
        <v>195</v>
      </c>
      <c r="L38" s="93" t="s">
        <v>196</v>
      </c>
      <c r="M38" s="93" t="s">
        <v>197</v>
      </c>
      <c r="N38" s="93" t="s">
        <v>198</v>
      </c>
      <c r="T38" s="33"/>
    </row>
    <row r="39" spans="1:20" ht="20.100000000000001" customHeight="1" x14ac:dyDescent="0.25">
      <c r="A39" s="5" t="str">
        <f>HYPERLINK("#'Constants - Ag Residue'!A1", "Constants - Ag residue")</f>
        <v>Constants - Ag residue</v>
      </c>
      <c r="D39" s="1" t="s">
        <v>199</v>
      </c>
      <c r="E39" s="87">
        <v>100</v>
      </c>
      <c r="F39" s="87">
        <v>100</v>
      </c>
      <c r="G39" s="87">
        <v>100</v>
      </c>
      <c r="H39" s="87">
        <v>100</v>
      </c>
      <c r="I39" s="87">
        <v>100</v>
      </c>
      <c r="J39" s="87">
        <v>100</v>
      </c>
      <c r="K39" s="87">
        <v>100</v>
      </c>
      <c r="L39" s="87">
        <v>100</v>
      </c>
      <c r="M39" s="87">
        <v>100</v>
      </c>
      <c r="N39" s="87">
        <v>100</v>
      </c>
      <c r="O39" s="27" t="s">
        <v>204</v>
      </c>
      <c r="T39" s="33"/>
    </row>
    <row r="40" spans="1:20" ht="20.100000000000001" customHeight="1" x14ac:dyDescent="0.25">
      <c r="A40" s="5" t="str">
        <f>HYPERLINK("#'Constants - Common Livestock'!A1", "Constants - Common Livestock")</f>
        <v>Constants - Common Livestock</v>
      </c>
      <c r="D40" s="1" t="s">
        <v>200</v>
      </c>
      <c r="E40" s="87">
        <v>100</v>
      </c>
      <c r="F40" s="87">
        <v>100</v>
      </c>
      <c r="G40" s="87">
        <v>100</v>
      </c>
      <c r="H40" s="87">
        <v>100</v>
      </c>
      <c r="I40" s="87">
        <v>100</v>
      </c>
      <c r="J40" s="87">
        <v>100</v>
      </c>
      <c r="K40" s="87">
        <v>100</v>
      </c>
      <c r="L40" s="87">
        <v>100</v>
      </c>
      <c r="M40" s="87">
        <v>100</v>
      </c>
      <c r="N40" s="87">
        <v>100</v>
      </c>
      <c r="O40" s="27" t="s">
        <v>204</v>
      </c>
      <c r="T40" s="33"/>
    </row>
    <row r="41" spans="1:20" ht="20.100000000000001" customHeight="1" x14ac:dyDescent="0.25">
      <c r="A41" s="5" t="str">
        <f>HYPERLINK("#'Constants - Electricity'!A1", "Constants - Electricity")</f>
        <v>Constants - Electricity</v>
      </c>
      <c r="D41" s="1" t="s">
        <v>201</v>
      </c>
      <c r="E41" s="87">
        <v>100</v>
      </c>
      <c r="F41" s="87">
        <v>100</v>
      </c>
      <c r="G41" s="87">
        <v>100</v>
      </c>
      <c r="H41" s="87">
        <v>100</v>
      </c>
      <c r="I41" s="87">
        <v>100</v>
      </c>
      <c r="J41" s="87">
        <v>100</v>
      </c>
      <c r="K41" s="87">
        <v>100</v>
      </c>
      <c r="L41" s="87">
        <v>100</v>
      </c>
      <c r="M41" s="87">
        <v>100</v>
      </c>
      <c r="N41" s="87">
        <v>100</v>
      </c>
      <c r="O41" s="27" t="s">
        <v>204</v>
      </c>
      <c r="T41" s="33"/>
    </row>
    <row r="42" spans="1:20" ht="20.100000000000001" customHeight="1" x14ac:dyDescent="0.25">
      <c r="A42" s="5" t="str">
        <f>HYPERLINK("#'Constants - Fertiliser'!A1", "Constants - Fertiliser")</f>
        <v>Constants - Fertiliser</v>
      </c>
      <c r="D42" s="1" t="s">
        <v>202</v>
      </c>
      <c r="E42" s="87">
        <v>100</v>
      </c>
      <c r="F42" s="87">
        <v>100</v>
      </c>
      <c r="G42" s="87">
        <v>100</v>
      </c>
      <c r="H42" s="87">
        <v>100</v>
      </c>
      <c r="I42" s="87">
        <v>100</v>
      </c>
      <c r="J42" s="87">
        <v>100</v>
      </c>
      <c r="K42" s="87">
        <v>100</v>
      </c>
      <c r="L42" s="87">
        <v>100</v>
      </c>
      <c r="M42" s="87">
        <v>100</v>
      </c>
      <c r="N42" s="87">
        <v>100</v>
      </c>
      <c r="O42" s="27" t="s">
        <v>204</v>
      </c>
      <c r="T42" s="33"/>
    </row>
    <row r="43" spans="1:20" ht="20.100000000000001" customHeight="1" x14ac:dyDescent="0.25">
      <c r="A43" s="5" t="str">
        <f>HYPERLINK("#'Constants - Fuel'!A1", "Constants - Fuel")</f>
        <v>Constants - Fuel</v>
      </c>
      <c r="O43" s="27"/>
      <c r="T43" s="33"/>
    </row>
    <row r="44" spans="1:20" ht="20.100000000000001" customHeight="1" x14ac:dyDescent="0.25">
      <c r="A44" s="5" t="str">
        <f>HYPERLINK("#'Constants - Common'!A1", "Constants - Common")</f>
        <v>Constants - Common</v>
      </c>
      <c r="D44" s="93" t="s">
        <v>206</v>
      </c>
      <c r="E44" s="93" t="s">
        <v>189</v>
      </c>
      <c r="F44" s="93" t="s">
        <v>190</v>
      </c>
      <c r="G44" s="93" t="s">
        <v>191</v>
      </c>
      <c r="H44" s="93" t="s">
        <v>192</v>
      </c>
      <c r="I44" s="93" t="s">
        <v>193</v>
      </c>
      <c r="J44" s="93" t="s">
        <v>194</v>
      </c>
      <c r="K44" s="93" t="s">
        <v>195</v>
      </c>
      <c r="L44" s="93" t="s">
        <v>196</v>
      </c>
      <c r="M44" s="93" t="s">
        <v>197</v>
      </c>
      <c r="N44" s="93" t="s">
        <v>198</v>
      </c>
      <c r="O44" s="27"/>
      <c r="T44" s="33"/>
    </row>
    <row r="45" spans="1:20" ht="20.100000000000001" customHeight="1" x14ac:dyDescent="0.25">
      <c r="A45" s="5" t="str">
        <f>HYPERLINK("#'Acknowledgements'!A1", "Acknowledgements")</f>
        <v>Acknowledgements</v>
      </c>
      <c r="D45" s="1" t="str">
        <f>TEXT(X_Cell_Site_StartDate, "mmmm yyyy")</f>
        <v>NO - Not in leaching zone</v>
      </c>
      <c r="E45" s="87">
        <v>100</v>
      </c>
      <c r="F45" s="87">
        <v>100</v>
      </c>
      <c r="G45" s="87">
        <v>100</v>
      </c>
      <c r="H45" s="87">
        <v>100</v>
      </c>
      <c r="I45" s="87">
        <v>100</v>
      </c>
      <c r="J45" s="87">
        <v>100</v>
      </c>
      <c r="K45" s="87">
        <v>100</v>
      </c>
      <c r="L45" s="87">
        <v>100</v>
      </c>
      <c r="M45" s="87">
        <v>100</v>
      </c>
      <c r="N45" s="87">
        <v>100</v>
      </c>
      <c r="O45" s="27" t="s">
        <v>204</v>
      </c>
      <c r="T45" s="33"/>
    </row>
    <row r="46" spans="1:20" ht="20.100000000000001" customHeight="1" x14ac:dyDescent="0.25">
      <c r="A46" s="5" t="str">
        <f>HYPERLINK("#'Overview'!A1", "Overview")</f>
        <v>Overview</v>
      </c>
      <c r="D46" s="1" t="e">
        <f>TEXT(EDATE(X_Cell_Site_StartDate,1), "mmmm yyyy")</f>
        <v>#VALUE!</v>
      </c>
      <c r="E46" s="87">
        <v>100</v>
      </c>
      <c r="F46" s="87">
        <v>100</v>
      </c>
      <c r="G46" s="87">
        <v>100</v>
      </c>
      <c r="H46" s="87">
        <v>100</v>
      </c>
      <c r="I46" s="87">
        <v>100</v>
      </c>
      <c r="J46" s="87">
        <v>100</v>
      </c>
      <c r="K46" s="87">
        <v>100</v>
      </c>
      <c r="L46" s="87">
        <v>100</v>
      </c>
      <c r="M46" s="87">
        <v>100</v>
      </c>
      <c r="N46" s="87">
        <v>100</v>
      </c>
      <c r="O46" s="27" t="s">
        <v>204</v>
      </c>
      <c r="T46" s="33"/>
    </row>
    <row r="47" spans="1:20" ht="20.100000000000001" customHeight="1" x14ac:dyDescent="0.25">
      <c r="D47" s="1" t="e">
        <f>TEXT(EDATE(X_Cell_Site_StartDate,2), "mmmm yyyy")</f>
        <v>#VALUE!</v>
      </c>
      <c r="E47" s="87">
        <v>100</v>
      </c>
      <c r="F47" s="87">
        <v>100</v>
      </c>
      <c r="G47" s="87">
        <v>100</v>
      </c>
      <c r="H47" s="87">
        <v>100</v>
      </c>
      <c r="I47" s="87">
        <v>100</v>
      </c>
      <c r="J47" s="87">
        <v>100</v>
      </c>
      <c r="K47" s="87">
        <v>100</v>
      </c>
      <c r="L47" s="87">
        <v>100</v>
      </c>
      <c r="M47" s="87">
        <v>100</v>
      </c>
      <c r="N47" s="87">
        <v>100</v>
      </c>
      <c r="O47" s="27" t="s">
        <v>204</v>
      </c>
      <c r="T47" s="33"/>
    </row>
    <row r="48" spans="1:20" ht="20.100000000000001" customHeight="1" x14ac:dyDescent="0.25">
      <c r="D48" s="1" t="e">
        <f>TEXT(EDATE(X_Cell_Site_StartDate,3), "mmmm yyyy")</f>
        <v>#VALUE!</v>
      </c>
      <c r="E48" s="87">
        <v>100</v>
      </c>
      <c r="F48" s="87">
        <v>100</v>
      </c>
      <c r="G48" s="87">
        <v>100</v>
      </c>
      <c r="H48" s="87">
        <v>100</v>
      </c>
      <c r="I48" s="87">
        <v>100</v>
      </c>
      <c r="J48" s="87">
        <v>100</v>
      </c>
      <c r="K48" s="87">
        <v>100</v>
      </c>
      <c r="L48" s="87">
        <v>100</v>
      </c>
      <c r="M48" s="87">
        <v>100</v>
      </c>
      <c r="N48" s="87">
        <v>100</v>
      </c>
      <c r="O48" s="27" t="s">
        <v>204</v>
      </c>
      <c r="T48" s="33"/>
    </row>
    <row r="49" spans="4:20" ht="20.100000000000001" customHeight="1" x14ac:dyDescent="0.25">
      <c r="D49" s="1" t="e">
        <f>TEXT(EDATE(X_Cell_Site_StartDate,4), "mmmm yyyy")</f>
        <v>#VALUE!</v>
      </c>
      <c r="E49" s="87">
        <v>100</v>
      </c>
      <c r="F49" s="87">
        <v>100</v>
      </c>
      <c r="G49" s="87">
        <v>100</v>
      </c>
      <c r="H49" s="87">
        <v>100</v>
      </c>
      <c r="I49" s="87">
        <v>100</v>
      </c>
      <c r="J49" s="87">
        <v>100</v>
      </c>
      <c r="K49" s="87">
        <v>100</v>
      </c>
      <c r="L49" s="87">
        <v>100</v>
      </c>
      <c r="M49" s="87">
        <v>100</v>
      </c>
      <c r="N49" s="87">
        <v>100</v>
      </c>
      <c r="O49" s="27" t="s">
        <v>204</v>
      </c>
      <c r="T49" s="33"/>
    </row>
    <row r="50" spans="4:20" ht="20.100000000000001" customHeight="1" x14ac:dyDescent="0.25">
      <c r="D50" s="1" t="e">
        <f>TEXT(EDATE(X_Cell_Site_StartDate,5), "mmmm yyyy")</f>
        <v>#VALUE!</v>
      </c>
      <c r="E50" s="87">
        <v>100</v>
      </c>
      <c r="F50" s="87">
        <v>100</v>
      </c>
      <c r="G50" s="87">
        <v>100</v>
      </c>
      <c r="H50" s="87">
        <v>100</v>
      </c>
      <c r="I50" s="87">
        <v>100</v>
      </c>
      <c r="J50" s="87">
        <v>100</v>
      </c>
      <c r="K50" s="87">
        <v>100</v>
      </c>
      <c r="L50" s="87">
        <v>100</v>
      </c>
      <c r="M50" s="87">
        <v>100</v>
      </c>
      <c r="N50" s="87">
        <v>100</v>
      </c>
      <c r="O50" s="27" t="s">
        <v>204</v>
      </c>
      <c r="P50" s="36"/>
      <c r="T50" s="33"/>
    </row>
    <row r="51" spans="4:20" ht="20.100000000000001" customHeight="1" x14ac:dyDescent="0.25">
      <c r="D51" s="1" t="e">
        <f>TEXT(EDATE(X_Cell_Site_StartDate,6), "mmmm yyyy")</f>
        <v>#VALUE!</v>
      </c>
      <c r="E51" s="87">
        <v>100</v>
      </c>
      <c r="F51" s="87">
        <v>100</v>
      </c>
      <c r="G51" s="87">
        <v>100</v>
      </c>
      <c r="H51" s="87">
        <v>100</v>
      </c>
      <c r="I51" s="87">
        <v>100</v>
      </c>
      <c r="J51" s="87">
        <v>100</v>
      </c>
      <c r="K51" s="87">
        <v>100</v>
      </c>
      <c r="L51" s="87">
        <v>100</v>
      </c>
      <c r="M51" s="87">
        <v>100</v>
      </c>
      <c r="N51" s="87">
        <v>100</v>
      </c>
      <c r="O51" s="27" t="s">
        <v>204</v>
      </c>
      <c r="P51" s="36"/>
      <c r="T51" s="33"/>
    </row>
    <row r="52" spans="4:20" ht="20.100000000000001" customHeight="1" x14ac:dyDescent="0.25">
      <c r="D52" s="1" t="e">
        <f>TEXT(EDATE(X_Cell_Site_StartDate,7), "mmmm yyyy")</f>
        <v>#VALUE!</v>
      </c>
      <c r="E52" s="87">
        <v>100</v>
      </c>
      <c r="F52" s="87">
        <v>100</v>
      </c>
      <c r="G52" s="87">
        <v>100</v>
      </c>
      <c r="H52" s="87">
        <v>100</v>
      </c>
      <c r="I52" s="87">
        <v>100</v>
      </c>
      <c r="J52" s="87">
        <v>100</v>
      </c>
      <c r="K52" s="87">
        <v>100</v>
      </c>
      <c r="L52" s="87">
        <v>100</v>
      </c>
      <c r="M52" s="87">
        <v>100</v>
      </c>
      <c r="N52" s="87">
        <v>100</v>
      </c>
      <c r="O52" s="27" t="s">
        <v>204</v>
      </c>
      <c r="P52" s="36"/>
      <c r="T52" s="33"/>
    </row>
    <row r="53" spans="4:20" ht="20.100000000000001" customHeight="1" x14ac:dyDescent="0.25">
      <c r="D53" s="1" t="e">
        <f>TEXT(EDATE(X_Cell_Site_StartDate,8), "mmmm yyyy")</f>
        <v>#VALUE!</v>
      </c>
      <c r="E53" s="87">
        <v>100</v>
      </c>
      <c r="F53" s="87">
        <v>100</v>
      </c>
      <c r="G53" s="87">
        <v>100</v>
      </c>
      <c r="H53" s="87">
        <v>100</v>
      </c>
      <c r="I53" s="87">
        <v>100</v>
      </c>
      <c r="J53" s="87">
        <v>100</v>
      </c>
      <c r="K53" s="87">
        <v>100</v>
      </c>
      <c r="L53" s="87">
        <v>100</v>
      </c>
      <c r="M53" s="87">
        <v>100</v>
      </c>
      <c r="N53" s="87">
        <v>100</v>
      </c>
      <c r="O53" s="27" t="s">
        <v>204</v>
      </c>
      <c r="P53" s="36"/>
      <c r="T53" s="33"/>
    </row>
    <row r="54" spans="4:20" ht="20.100000000000001" customHeight="1" x14ac:dyDescent="0.25">
      <c r="D54" s="1" t="e">
        <f>TEXT(EDATE(X_Cell_Site_StartDate,9), "mmmm yyyy")</f>
        <v>#VALUE!</v>
      </c>
      <c r="E54" s="87">
        <v>100</v>
      </c>
      <c r="F54" s="87">
        <v>100</v>
      </c>
      <c r="G54" s="87">
        <v>100</v>
      </c>
      <c r="H54" s="87">
        <v>100</v>
      </c>
      <c r="I54" s="87">
        <v>100</v>
      </c>
      <c r="J54" s="87">
        <v>100</v>
      </c>
      <c r="K54" s="87">
        <v>100</v>
      </c>
      <c r="L54" s="87">
        <v>100</v>
      </c>
      <c r="M54" s="87">
        <v>100</v>
      </c>
      <c r="N54" s="87">
        <v>100</v>
      </c>
      <c r="O54" s="27" t="s">
        <v>204</v>
      </c>
      <c r="P54" s="36"/>
      <c r="T54" s="33"/>
    </row>
    <row r="55" spans="4:20" ht="20.100000000000001" customHeight="1" x14ac:dyDescent="0.25">
      <c r="D55" s="1" t="e">
        <f>TEXT(EDATE(X_Cell_Site_StartDate,10), "mmmm yyyy")</f>
        <v>#VALUE!</v>
      </c>
      <c r="E55" s="87">
        <v>100</v>
      </c>
      <c r="F55" s="87">
        <v>100</v>
      </c>
      <c r="G55" s="87">
        <v>100</v>
      </c>
      <c r="H55" s="87">
        <v>100</v>
      </c>
      <c r="I55" s="87">
        <v>100</v>
      </c>
      <c r="J55" s="87">
        <v>100</v>
      </c>
      <c r="K55" s="87">
        <v>100</v>
      </c>
      <c r="L55" s="87">
        <v>100</v>
      </c>
      <c r="M55" s="87">
        <v>100</v>
      </c>
      <c r="N55" s="87">
        <v>100</v>
      </c>
      <c r="O55" s="27" t="s">
        <v>204</v>
      </c>
      <c r="P55" s="36"/>
      <c r="T55" s="33"/>
    </row>
    <row r="56" spans="4:20" ht="20.100000000000001" customHeight="1" x14ac:dyDescent="0.25">
      <c r="D56" s="1" t="e">
        <f>TEXT(EDATE(X_Cell_Site_StartDate,11), "mmmm yyyy")</f>
        <v>#VALUE!</v>
      </c>
      <c r="E56" s="87">
        <v>100</v>
      </c>
      <c r="F56" s="87">
        <v>100</v>
      </c>
      <c r="G56" s="87">
        <v>100</v>
      </c>
      <c r="H56" s="87">
        <v>100</v>
      </c>
      <c r="I56" s="87">
        <v>100</v>
      </c>
      <c r="J56" s="87">
        <v>100</v>
      </c>
      <c r="K56" s="87">
        <v>100</v>
      </c>
      <c r="L56" s="87">
        <v>100</v>
      </c>
      <c r="M56" s="87">
        <v>100</v>
      </c>
      <c r="N56" s="87">
        <v>100</v>
      </c>
      <c r="O56" s="27" t="s">
        <v>204</v>
      </c>
      <c r="P56" s="36"/>
      <c r="T56" s="33"/>
    </row>
    <row r="57" spans="4:20" ht="20.100000000000001" customHeight="1" x14ac:dyDescent="0.25">
      <c r="P57" s="36"/>
      <c r="T57" s="33"/>
    </row>
    <row r="58" spans="4:20" ht="20.100000000000001" customHeight="1" x14ac:dyDescent="0.25">
      <c r="P58" s="36"/>
      <c r="T58" s="33"/>
    </row>
    <row r="59" spans="4:20" ht="20.100000000000001" customHeight="1" x14ac:dyDescent="0.25">
      <c r="D59" s="92" t="s">
        <v>207</v>
      </c>
      <c r="P59" s="36"/>
      <c r="T59" s="33"/>
    </row>
    <row r="60" spans="4:20" ht="20.100000000000001" customHeight="1" x14ac:dyDescent="0.25">
      <c r="D60" s="93" t="s">
        <v>188</v>
      </c>
      <c r="E60" s="93" t="s">
        <v>189</v>
      </c>
      <c r="F60" s="93" t="s">
        <v>190</v>
      </c>
      <c r="G60" s="93" t="s">
        <v>191</v>
      </c>
      <c r="H60" s="93" t="s">
        <v>192</v>
      </c>
      <c r="I60" s="93" t="s">
        <v>193</v>
      </c>
      <c r="J60" s="93" t="s">
        <v>194</v>
      </c>
      <c r="K60" s="93" t="s">
        <v>195</v>
      </c>
      <c r="L60" s="93" t="s">
        <v>196</v>
      </c>
      <c r="M60" s="93" t="s">
        <v>197</v>
      </c>
      <c r="N60" s="93" t="s">
        <v>198</v>
      </c>
      <c r="P60" s="36"/>
      <c r="T60" s="33"/>
    </row>
    <row r="61" spans="4:20" ht="20.100000000000001" customHeight="1" x14ac:dyDescent="0.25">
      <c r="D61" s="1" t="s">
        <v>199</v>
      </c>
      <c r="E61" s="26"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6"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6"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6"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6"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6"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6"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6"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6"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6"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7" t="s">
        <v>208</v>
      </c>
      <c r="P61" s="36"/>
      <c r="T61" s="33"/>
    </row>
    <row r="62" spans="4:20" ht="20.100000000000001" customHeight="1" x14ac:dyDescent="0.25">
      <c r="D62" s="1" t="s">
        <v>200</v>
      </c>
      <c r="E62" s="26"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6"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6"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6"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6"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6"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6"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6"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6"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6"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7" t="s">
        <v>208</v>
      </c>
      <c r="P62" s="36"/>
      <c r="T62" s="33"/>
    </row>
    <row r="63" spans="4:20" ht="20.100000000000001" customHeight="1" x14ac:dyDescent="0.25">
      <c r="D63" s="1" t="s">
        <v>201</v>
      </c>
      <c r="E63" s="26"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6"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6"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6"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6"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6"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6"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6"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6"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6"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7" t="s">
        <v>208</v>
      </c>
      <c r="P63" s="36"/>
      <c r="T63" s="33"/>
    </row>
    <row r="64" spans="4:20" ht="20.100000000000001" customHeight="1" x14ac:dyDescent="0.25">
      <c r="D64" s="1" t="s">
        <v>202</v>
      </c>
      <c r="E64" s="26"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6"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6"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6"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6"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6"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6"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6"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6"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6"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7" t="s">
        <v>208</v>
      </c>
      <c r="P64" s="36"/>
      <c r="T64" s="33"/>
    </row>
    <row r="65" spans="4:20" ht="20.100000000000001" customHeight="1" x14ac:dyDescent="0.25">
      <c r="O65" s="27"/>
      <c r="P65" s="36"/>
      <c r="T65" s="33"/>
    </row>
    <row r="66" spans="4:20" ht="20.100000000000001" customHeight="1" x14ac:dyDescent="0.25">
      <c r="D66" s="93" t="s">
        <v>203</v>
      </c>
      <c r="E66" s="93" t="s">
        <v>189</v>
      </c>
      <c r="F66" s="93" t="s">
        <v>190</v>
      </c>
      <c r="G66" s="93" t="s">
        <v>191</v>
      </c>
      <c r="H66" s="93" t="s">
        <v>192</v>
      </c>
      <c r="I66" s="93" t="s">
        <v>193</v>
      </c>
      <c r="J66" s="93" t="s">
        <v>194</v>
      </c>
      <c r="K66" s="93" t="s">
        <v>195</v>
      </c>
      <c r="L66" s="93" t="s">
        <v>196</v>
      </c>
      <c r="M66" s="93" t="s">
        <v>197</v>
      </c>
      <c r="N66" s="93" t="s">
        <v>198</v>
      </c>
      <c r="O66" s="27"/>
      <c r="P66" s="36"/>
      <c r="T66" s="33"/>
    </row>
    <row r="67" spans="4:20" ht="20.100000000000001" customHeight="1" x14ac:dyDescent="0.25">
      <c r="D67" s="1" t="str">
        <f>TEXT(X_Cell_Site_StartDate, "mmmm yyyy")</f>
        <v>NO - Not in leaching zone</v>
      </c>
      <c r="E67" s="87"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7"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7"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7"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7"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7"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7"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7"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7"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7"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7" t="s">
        <v>208</v>
      </c>
      <c r="P67" s="36"/>
      <c r="T67" s="33"/>
    </row>
    <row r="68" spans="4:20" ht="20.100000000000001" customHeight="1" x14ac:dyDescent="0.25">
      <c r="D68" s="1" t="e">
        <f>TEXT(EDATE(X_Cell_Site_StartDate,1), "mmmm yyyy")</f>
        <v>#VALUE!</v>
      </c>
      <c r="E68" s="87"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7"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7"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7"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7"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7"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7"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7"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7"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7"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7" t="s">
        <v>208</v>
      </c>
      <c r="P68" s="36"/>
      <c r="T68" s="33"/>
    </row>
    <row r="69" spans="4:20" ht="20.100000000000001" customHeight="1" x14ac:dyDescent="0.25">
      <c r="D69" s="1" t="e">
        <f>TEXT(EDATE(X_Cell_Site_StartDate,2), "mmmm yyyy")</f>
        <v>#VALUE!</v>
      </c>
      <c r="E69" s="87"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7"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7"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7"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7"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7"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7"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7"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7"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7"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7" t="s">
        <v>208</v>
      </c>
      <c r="P69" s="36"/>
      <c r="T69" s="33"/>
    </row>
    <row r="70" spans="4:20" ht="20.100000000000001" customHeight="1" x14ac:dyDescent="0.25">
      <c r="D70" s="1" t="e">
        <f>TEXT(EDATE(X_Cell_Site_StartDate,3), "mmmm yyyy")</f>
        <v>#VALUE!</v>
      </c>
      <c r="E70" s="87"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7"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7"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7"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7"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7"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7"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7"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7"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7"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7" t="s">
        <v>208</v>
      </c>
      <c r="P70" s="36"/>
      <c r="T70" s="33"/>
    </row>
    <row r="71" spans="4:20" ht="20.100000000000001" customHeight="1" x14ac:dyDescent="0.25">
      <c r="D71" s="1" t="e">
        <f>TEXT(EDATE(X_Cell_Site_StartDate,4), "mmmm yyyy")</f>
        <v>#VALUE!</v>
      </c>
      <c r="E71" s="87"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7"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7"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7"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7"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7"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7"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7"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7"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7"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7" t="s">
        <v>208</v>
      </c>
      <c r="P71" s="36"/>
      <c r="T71" s="33"/>
    </row>
    <row r="72" spans="4:20" ht="20.100000000000001" customHeight="1" x14ac:dyDescent="0.25">
      <c r="D72" s="1" t="e">
        <f>TEXT(EDATE(X_Cell_Site_StartDate,5), "mmmm yyyy")</f>
        <v>#VALUE!</v>
      </c>
      <c r="E72" s="87"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7"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7"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7"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7"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7"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7"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7"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7"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7"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7" t="s">
        <v>208</v>
      </c>
      <c r="T72" s="33"/>
    </row>
    <row r="73" spans="4:20" ht="20.100000000000001" customHeight="1" x14ac:dyDescent="0.25">
      <c r="D73" s="1" t="e">
        <f>TEXT(EDATE(X_Cell_Site_StartDate,6), "mmmm yyyy")</f>
        <v>#VALUE!</v>
      </c>
      <c r="E73" s="87"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7"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7"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7"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7"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7"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7"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7"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7"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7"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7" t="s">
        <v>208</v>
      </c>
      <c r="T73" s="33"/>
    </row>
    <row r="74" spans="4:20" ht="20.100000000000001" customHeight="1" x14ac:dyDescent="0.25">
      <c r="D74" s="1" t="e">
        <f>TEXT(EDATE(X_Cell_Site_StartDate,7), "mmmm yyyy")</f>
        <v>#VALUE!</v>
      </c>
      <c r="E74" s="87"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7"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7"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7"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7"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7"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7"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7"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7"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7"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7" t="s">
        <v>208</v>
      </c>
      <c r="T74" s="33"/>
    </row>
    <row r="75" spans="4:20" ht="20.100000000000001" customHeight="1" x14ac:dyDescent="0.25">
      <c r="D75" s="1" t="e">
        <f>TEXT(EDATE(X_Cell_Site_StartDate,8), "mmmm yyyy")</f>
        <v>#VALUE!</v>
      </c>
      <c r="E75" s="87"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7"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7"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7"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7"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7"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7"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7"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7"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7"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7" t="s">
        <v>208</v>
      </c>
      <c r="T75" s="33"/>
    </row>
    <row r="76" spans="4:20" ht="20.100000000000001" customHeight="1" x14ac:dyDescent="0.25">
      <c r="D76" s="1" t="e">
        <f>TEXT(EDATE(X_Cell_Site_StartDate,9), "mmmm yyyy")</f>
        <v>#VALUE!</v>
      </c>
      <c r="E76" s="87"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7"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7"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7"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7"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7"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7"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7"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7"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7"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7" t="s">
        <v>208</v>
      </c>
      <c r="T76" s="33"/>
    </row>
    <row r="77" spans="4:20" ht="20.100000000000001" customHeight="1" x14ac:dyDescent="0.25">
      <c r="D77" s="1" t="e">
        <f>TEXT(EDATE(X_Cell_Site_StartDate,10), "mmmm yyyy")</f>
        <v>#VALUE!</v>
      </c>
      <c r="E77" s="87"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7"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7"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7"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7"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7"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7"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7"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7"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7"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7" t="s">
        <v>208</v>
      </c>
      <c r="T77" s="33"/>
    </row>
    <row r="78" spans="4:20" ht="20.100000000000001" customHeight="1" x14ac:dyDescent="0.25">
      <c r="D78" s="1" t="e">
        <f>TEXT(EDATE(X_Cell_Site_StartDate,11), "mmmm yyyy")</f>
        <v>#VALUE!</v>
      </c>
      <c r="E78" s="87"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7"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7"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7"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7"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7"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7"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7"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7"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7"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7" t="s">
        <v>208</v>
      </c>
      <c r="T78" s="33"/>
    </row>
    <row r="79" spans="4:20" ht="20.100000000000001" customHeight="1" x14ac:dyDescent="0.25">
      <c r="T79" s="33"/>
    </row>
    <row r="80" spans="4:20" ht="20.100000000000001" customHeight="1" x14ac:dyDescent="0.25">
      <c r="T80" s="33"/>
    </row>
    <row r="81" spans="4:20" ht="20.100000000000001" customHeight="1" x14ac:dyDescent="0.25">
      <c r="D81" s="92" t="s">
        <v>209</v>
      </c>
      <c r="T81" s="33"/>
    </row>
    <row r="82" spans="4:20" ht="20.100000000000001" customHeight="1" x14ac:dyDescent="0.25">
      <c r="D82" s="93" t="s">
        <v>188</v>
      </c>
      <c r="E82" s="93" t="s">
        <v>189</v>
      </c>
      <c r="F82" s="93" t="s">
        <v>190</v>
      </c>
      <c r="G82" s="93" t="s">
        <v>191</v>
      </c>
      <c r="H82" s="93" t="s">
        <v>192</v>
      </c>
      <c r="I82" s="93" t="s">
        <v>193</v>
      </c>
      <c r="J82" s="93" t="s">
        <v>194</v>
      </c>
      <c r="K82" s="93" t="s">
        <v>195</v>
      </c>
      <c r="L82" s="93" t="s">
        <v>196</v>
      </c>
      <c r="M82" s="93" t="s">
        <v>197</v>
      </c>
      <c r="N82" s="93" t="s">
        <v>198</v>
      </c>
      <c r="T82" s="33"/>
    </row>
    <row r="83" spans="4:20" ht="20.100000000000001" customHeight="1" x14ac:dyDescent="0.25">
      <c r="D83" s="1" t="s">
        <v>199</v>
      </c>
      <c r="E83" s="26"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6"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6"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6"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6"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6"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6"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6"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6"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6"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7" t="s">
        <v>210</v>
      </c>
      <c r="T83" s="33"/>
    </row>
    <row r="84" spans="4:20" ht="20.100000000000001" customHeight="1" x14ac:dyDescent="0.25">
      <c r="D84" s="1" t="s">
        <v>200</v>
      </c>
      <c r="E84" s="26"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6"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6"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6"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6"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6"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6"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6"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6"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6"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7" t="s">
        <v>210</v>
      </c>
      <c r="T84" s="33"/>
    </row>
    <row r="85" spans="4:20" ht="20.100000000000001" customHeight="1" x14ac:dyDescent="0.25">
      <c r="D85" s="1" t="s">
        <v>201</v>
      </c>
      <c r="E85" s="26"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6"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6"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6"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6"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6"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6"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6"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6"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6"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7" t="s">
        <v>210</v>
      </c>
      <c r="T85" s="33"/>
    </row>
    <row r="86" spans="4:20" ht="20.100000000000001" customHeight="1" x14ac:dyDescent="0.25">
      <c r="D86" s="1" t="s">
        <v>202</v>
      </c>
      <c r="E86" s="26"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6"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6"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6"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6"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6"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6"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6"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6"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6"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7" t="s">
        <v>210</v>
      </c>
      <c r="T86" s="33"/>
    </row>
    <row r="87" spans="4:20" ht="20.100000000000001" customHeight="1" x14ac:dyDescent="0.25">
      <c r="O87" s="27"/>
      <c r="T87" s="33"/>
    </row>
    <row r="88" spans="4:20" ht="20.100000000000001" customHeight="1" x14ac:dyDescent="0.25">
      <c r="D88" s="93" t="s">
        <v>203</v>
      </c>
      <c r="E88" s="93" t="s">
        <v>189</v>
      </c>
      <c r="F88" s="93" t="s">
        <v>190</v>
      </c>
      <c r="G88" s="93" t="s">
        <v>191</v>
      </c>
      <c r="H88" s="93" t="s">
        <v>192</v>
      </c>
      <c r="I88" s="93" t="s">
        <v>193</v>
      </c>
      <c r="J88" s="93" t="s">
        <v>194</v>
      </c>
      <c r="K88" s="93" t="s">
        <v>195</v>
      </c>
      <c r="L88" s="93" t="s">
        <v>196</v>
      </c>
      <c r="M88" s="93" t="s">
        <v>197</v>
      </c>
      <c r="N88" s="93" t="s">
        <v>198</v>
      </c>
      <c r="O88" s="27"/>
      <c r="T88" s="33"/>
    </row>
    <row r="89" spans="4:20" ht="20.100000000000001" customHeight="1" x14ac:dyDescent="0.25">
      <c r="D89" s="1" t="str">
        <f>TEXT(X_Cell_Site_StartDate, "mmmm yyyy")</f>
        <v>NO - Not in leaching zone</v>
      </c>
      <c r="E89" s="87"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7"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7"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7"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7"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7"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7"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7"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7"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7"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7" t="s">
        <v>210</v>
      </c>
      <c r="T89" s="33"/>
    </row>
    <row r="90" spans="4:20" ht="20.100000000000001" customHeight="1" x14ac:dyDescent="0.25">
      <c r="D90" s="1" t="e">
        <f>TEXT(EDATE(X_Cell_Site_StartDate,1), "mmmm yyyy")</f>
        <v>#VALUE!</v>
      </c>
      <c r="E90" s="87"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7"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7"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7"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7"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7"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7"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7"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7"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7"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7" t="s">
        <v>210</v>
      </c>
      <c r="T90" s="33"/>
    </row>
    <row r="91" spans="4:20" ht="20.100000000000001" customHeight="1" x14ac:dyDescent="0.25">
      <c r="D91" s="1" t="e">
        <f>TEXT(EDATE(X_Cell_Site_StartDate,2), "mmmm yyyy")</f>
        <v>#VALUE!</v>
      </c>
      <c r="E91" s="87"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7"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7"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7"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7"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7"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7"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7"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7"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7"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7" t="s">
        <v>210</v>
      </c>
      <c r="T91" s="33"/>
    </row>
    <row r="92" spans="4:20" ht="20.100000000000001" customHeight="1" x14ac:dyDescent="0.25">
      <c r="D92" s="1" t="e">
        <f>TEXT(EDATE(X_Cell_Site_StartDate,3), "mmmm yyyy")</f>
        <v>#VALUE!</v>
      </c>
      <c r="E92" s="87"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7"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7"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7"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7"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7"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7"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7"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7"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7"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7" t="s">
        <v>210</v>
      </c>
      <c r="T92" s="33"/>
    </row>
    <row r="93" spans="4:20" ht="20.100000000000001" customHeight="1" x14ac:dyDescent="0.25">
      <c r="D93" s="1" t="e">
        <f>TEXT(EDATE(X_Cell_Site_StartDate,4), "mmmm yyyy")</f>
        <v>#VALUE!</v>
      </c>
      <c r="E93" s="87"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7"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7"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7"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7"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7"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7"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7"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7"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7"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7" t="s">
        <v>210</v>
      </c>
      <c r="T93" s="33"/>
    </row>
    <row r="94" spans="4:20" ht="20.100000000000001" customHeight="1" x14ac:dyDescent="0.25">
      <c r="D94" s="1" t="e">
        <f>TEXT(EDATE(X_Cell_Site_StartDate,5), "mmmm yyyy")</f>
        <v>#VALUE!</v>
      </c>
      <c r="E94" s="87"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7"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7"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7"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7"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7"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7"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7"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7"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7"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7" t="s">
        <v>210</v>
      </c>
      <c r="T94" s="33"/>
    </row>
    <row r="95" spans="4:20" ht="20.100000000000001" customHeight="1" x14ac:dyDescent="0.25">
      <c r="D95" s="1" t="e">
        <f>TEXT(EDATE(X_Cell_Site_StartDate,6), "mmmm yyyy")</f>
        <v>#VALUE!</v>
      </c>
      <c r="E95" s="87"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7"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7"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7"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7"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7"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7"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7"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7"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7"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7" t="s">
        <v>210</v>
      </c>
      <c r="T95" s="33"/>
    </row>
    <row r="96" spans="4:20" ht="20.100000000000001" customHeight="1" x14ac:dyDescent="0.25">
      <c r="D96" s="1" t="e">
        <f>TEXT(EDATE(X_Cell_Site_StartDate,7), "mmmm yyyy")</f>
        <v>#VALUE!</v>
      </c>
      <c r="E96" s="87"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7"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7"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7"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7"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7"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7"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7"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7"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7"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7" t="s">
        <v>210</v>
      </c>
      <c r="T96" s="33"/>
    </row>
    <row r="97" spans="4:20" ht="20.100000000000001" customHeight="1" x14ac:dyDescent="0.25">
      <c r="D97" s="1" t="e">
        <f>TEXT(EDATE(X_Cell_Site_StartDate,8), "mmmm yyyy")</f>
        <v>#VALUE!</v>
      </c>
      <c r="E97" s="87"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7"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7"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7"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7"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7"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7"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7"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7"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7"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7" t="s">
        <v>210</v>
      </c>
      <c r="T97" s="33"/>
    </row>
    <row r="98" spans="4:20" ht="20.100000000000001" customHeight="1" x14ac:dyDescent="0.25">
      <c r="D98" s="1" t="e">
        <f>TEXT(EDATE(X_Cell_Site_StartDate,9), "mmmm yyyy")</f>
        <v>#VALUE!</v>
      </c>
      <c r="E98" s="87"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7"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7"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7"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7"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7"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7"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7"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7"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7"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7" t="s">
        <v>210</v>
      </c>
      <c r="T98" s="33"/>
    </row>
    <row r="99" spans="4:20" ht="20.100000000000001" customHeight="1" x14ac:dyDescent="0.25">
      <c r="D99" s="1" t="e">
        <f>TEXT(EDATE(X_Cell_Site_StartDate,10), "mmmm yyyy")</f>
        <v>#VALUE!</v>
      </c>
      <c r="E99" s="87"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7"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7"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7"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7"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7"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7"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7"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7"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7"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7" t="s">
        <v>210</v>
      </c>
      <c r="T99" s="33"/>
    </row>
    <row r="100" spans="4:20" ht="20.100000000000001" customHeight="1" x14ac:dyDescent="0.25">
      <c r="D100" s="1" t="e">
        <f>TEXT(EDATE(X_Cell_Site_StartDate,11), "mmmm yyyy")</f>
        <v>#VALUE!</v>
      </c>
      <c r="E100" s="87"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7"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7"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7"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7"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7"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7"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7"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7"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7"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7" t="s">
        <v>210</v>
      </c>
      <c r="T100" s="33"/>
    </row>
    <row r="101" spans="4:20" ht="20.100000000000001" customHeight="1" x14ac:dyDescent="0.25">
      <c r="T101" s="33"/>
    </row>
    <row r="102" spans="4:20" ht="20.100000000000001" customHeight="1" x14ac:dyDescent="0.25">
      <c r="T102" s="33"/>
    </row>
    <row r="103" spans="4:20" ht="20.100000000000001" customHeight="1" x14ac:dyDescent="0.25">
      <c r="D103" s="92" t="s">
        <v>211</v>
      </c>
      <c r="K103" s="27"/>
      <c r="L103" s="27"/>
      <c r="M103" s="27"/>
      <c r="N103" s="27"/>
      <c r="O103" s="27"/>
      <c r="T103" s="33"/>
    </row>
    <row r="104" spans="4:20" ht="20.100000000000001" customHeight="1" x14ac:dyDescent="0.25">
      <c r="D104" s="93" t="s">
        <v>205</v>
      </c>
      <c r="E104" s="93"/>
      <c r="F104" s="93"/>
      <c r="G104" s="93"/>
      <c r="T104" s="33"/>
    </row>
    <row r="105" spans="4:20" ht="20.100000000000001" customHeight="1" x14ac:dyDescent="0.25">
      <c r="D105" s="1" t="s">
        <v>212</v>
      </c>
      <c r="E105" s="23" t="s">
        <v>202</v>
      </c>
      <c r="F105" s="27" t="s">
        <v>112</v>
      </c>
      <c r="T105" s="33"/>
    </row>
    <row r="106" spans="4:20" ht="20.100000000000001" customHeight="1" x14ac:dyDescent="0.25">
      <c r="T106" s="33"/>
    </row>
    <row r="107" spans="4:20" ht="20.100000000000001" customHeight="1" x14ac:dyDescent="0.25"/>
    <row r="108" spans="4:20" ht="20.100000000000001" customHeight="1" x14ac:dyDescent="0.25">
      <c r="K108" s="1" t="s">
        <v>213</v>
      </c>
    </row>
    <row r="109" spans="4:20" ht="20.100000000000001" customHeight="1" x14ac:dyDescent="0.25"/>
    <row r="110" spans="4:20" ht="20.100000000000001" customHeight="1" x14ac:dyDescent="0.25">
      <c r="E110" s="93" t="s">
        <v>214</v>
      </c>
      <c r="F110" s="93" t="s">
        <v>192</v>
      </c>
      <c r="G110" s="93" t="s">
        <v>193</v>
      </c>
      <c r="H110" s="93" t="s">
        <v>194</v>
      </c>
      <c r="L110" s="1" t="s">
        <v>191</v>
      </c>
      <c r="M110" s="1" t="s">
        <v>195</v>
      </c>
      <c r="N110" s="27"/>
      <c r="O110" s="27"/>
    </row>
    <row r="111" spans="4:20" ht="20.100000000000001" customHeight="1" x14ac:dyDescent="0.25">
      <c r="D111" s="1" t="str">
        <f>"Proportion of cows &gt; 1 years in calf in " &amp; E105</f>
        <v>Proportion of cows &gt; 1 years in calf in Winter</v>
      </c>
      <c r="E111" s="23" t="s">
        <v>215</v>
      </c>
      <c r="F111" s="29">
        <v>0.7</v>
      </c>
      <c r="G111" s="29">
        <v>0.5</v>
      </c>
      <c r="H111" s="29">
        <v>0.5</v>
      </c>
      <c r="I111" s="27" t="s">
        <v>216</v>
      </c>
      <c r="L111" s="26">
        <f>MAX(0, G42-G41)</f>
        <v>0</v>
      </c>
      <c r="M111" s="26">
        <f>MAX(0,K42-K41)</f>
        <v>0</v>
      </c>
      <c r="N111" s="27"/>
      <c r="O111" s="27"/>
    </row>
    <row r="112" spans="4:20" ht="20.100000000000001" customHeight="1" x14ac:dyDescent="0.25">
      <c r="D112" s="1" t="s">
        <v>199</v>
      </c>
      <c r="E112" s="23" t="s">
        <v>215</v>
      </c>
      <c r="F112" s="29">
        <v>0.1</v>
      </c>
      <c r="G112" s="29">
        <v>0.4</v>
      </c>
      <c r="H112" s="29">
        <v>0.4</v>
      </c>
      <c r="I112" s="27" t="s">
        <v>216</v>
      </c>
      <c r="L112" s="26">
        <f>MAX(0, G39-G42)</f>
        <v>0</v>
      </c>
      <c r="M112" s="26">
        <f>MAX(0,K39-K42)</f>
        <v>0</v>
      </c>
    </row>
    <row r="113" spans="4:15" ht="20.100000000000001" customHeight="1" x14ac:dyDescent="0.25">
      <c r="D113" s="1" t="s">
        <v>200</v>
      </c>
      <c r="E113" s="23" t="s">
        <v>215</v>
      </c>
      <c r="F113" s="29">
        <v>0.1</v>
      </c>
      <c r="G113" s="29">
        <v>0</v>
      </c>
      <c r="H113" s="29">
        <v>0</v>
      </c>
      <c r="I113" s="27" t="s">
        <v>216</v>
      </c>
      <c r="L113" s="26">
        <f>MAX(0, G40-G39)</f>
        <v>0</v>
      </c>
      <c r="M113" s="26">
        <f>MAX(0,K40-K39)</f>
        <v>0</v>
      </c>
    </row>
    <row r="114" spans="4:15" ht="20.100000000000001" customHeight="1" x14ac:dyDescent="0.25">
      <c r="D114" s="1" t="s">
        <v>201</v>
      </c>
      <c r="E114" s="23" t="s">
        <v>217</v>
      </c>
      <c r="F114" s="29">
        <v>0</v>
      </c>
      <c r="G114" s="29">
        <v>0</v>
      </c>
      <c r="H114" s="29">
        <v>0</v>
      </c>
      <c r="I114" s="27" t="s">
        <v>216</v>
      </c>
      <c r="L114" s="26">
        <f>MAX(0,G41-G40)</f>
        <v>0</v>
      </c>
      <c r="M114" s="26">
        <f>MAX(0,K41-K40)</f>
        <v>0</v>
      </c>
    </row>
    <row r="115" spans="4:15" ht="20.100000000000001" customHeight="1" x14ac:dyDescent="0.25">
      <c r="J115" s="1" t="s">
        <v>218</v>
      </c>
    </row>
    <row r="116" spans="4:15" ht="20.100000000000001" customHeight="1" x14ac:dyDescent="0.25"/>
    <row r="117" spans="4:15" ht="20.100000000000001" customHeight="1" x14ac:dyDescent="0.25"/>
    <row r="118" spans="4:15" ht="20.100000000000001" customHeight="1" x14ac:dyDescent="0.25">
      <c r="D118" s="93" t="s">
        <v>206</v>
      </c>
      <c r="E118" s="93"/>
      <c r="F118" s="93"/>
      <c r="G118" s="93"/>
      <c r="L118" s="94" t="s">
        <v>219</v>
      </c>
    </row>
    <row r="119" spans="4:15" ht="20.100000000000001" customHeight="1" x14ac:dyDescent="0.25">
      <c r="D119" s="1" t="s">
        <v>220</v>
      </c>
      <c r="E119" s="23" t="s">
        <v>221</v>
      </c>
      <c r="F119" s="27" t="s">
        <v>112</v>
      </c>
      <c r="J119" s="89" t="s">
        <v>189</v>
      </c>
    </row>
    <row r="120" spans="4:15" ht="20.100000000000001" customHeight="1" x14ac:dyDescent="0.25">
      <c r="D120" s="1" t="s">
        <v>222</v>
      </c>
      <c r="E120" s="26" t="str">
        <f>TEXT(EDATE(E119,1), "mmmm yyyy")</f>
        <v>September 2024</v>
      </c>
      <c r="J120" s="1" t="s">
        <v>204</v>
      </c>
      <c r="K120" s="1" t="s">
        <v>223</v>
      </c>
      <c r="L120" s="1" t="s">
        <v>218</v>
      </c>
      <c r="M120" s="1" t="s">
        <v>224</v>
      </c>
      <c r="N120" s="1" t="s">
        <v>225</v>
      </c>
      <c r="O120" s="1" t="s">
        <v>226</v>
      </c>
    </row>
    <row r="121" spans="4:15" ht="20.100000000000001" customHeight="1" x14ac:dyDescent="0.25">
      <c r="D121" s="1" t="s">
        <v>227</v>
      </c>
      <c r="E121" s="26" t="str">
        <f>TEXT(EDATE(E119,2), "mmmm yyyy")</f>
        <v>October 2024</v>
      </c>
      <c r="J121" s="26">
        <f>E39</f>
        <v>100</v>
      </c>
      <c r="K121" s="26">
        <f>MAX(0, E39-E42)</f>
        <v>0</v>
      </c>
      <c r="L121" s="1">
        <f>K121/J121</f>
        <v>0</v>
      </c>
      <c r="M121" s="1">
        <f>K124/J121</f>
        <v>0</v>
      </c>
      <c r="N121" s="27">
        <f>1-(L121+M121)</f>
        <v>1</v>
      </c>
      <c r="O121" s="89">
        <f>(L121*6)+(M121*4)+(N121*0)</f>
        <v>0</v>
      </c>
    </row>
    <row r="122" spans="4:15" ht="20.100000000000001" customHeight="1" x14ac:dyDescent="0.25">
      <c r="J122" s="26">
        <f>E40</f>
        <v>100</v>
      </c>
      <c r="K122" s="26">
        <f>MAX(0, E40-E39)</f>
        <v>0</v>
      </c>
      <c r="L122" s="1">
        <f>K122/J122</f>
        <v>0</v>
      </c>
      <c r="M122" s="1">
        <f>K121/J122</f>
        <v>0</v>
      </c>
      <c r="N122" s="27">
        <f>1-(L122+M122)</f>
        <v>1</v>
      </c>
      <c r="O122" s="89">
        <f t="shared" ref="O122:O124" si="1">(L122*6)+(M122*4)+(N122*0)</f>
        <v>0</v>
      </c>
    </row>
    <row r="123" spans="4:15" ht="20.100000000000001" customHeight="1" x14ac:dyDescent="0.25">
      <c r="J123" s="26">
        <f>E41</f>
        <v>100</v>
      </c>
      <c r="K123" s="26">
        <f>MAX(0,E41-E40)</f>
        <v>0</v>
      </c>
      <c r="L123" s="1">
        <f>K123/J123</f>
        <v>0</v>
      </c>
      <c r="M123" s="1">
        <f>K122/J123</f>
        <v>0</v>
      </c>
      <c r="N123" s="27">
        <f>1-(L123+M123)</f>
        <v>1</v>
      </c>
      <c r="O123" s="89">
        <f t="shared" si="1"/>
        <v>0</v>
      </c>
    </row>
    <row r="124" spans="4:15" ht="20.100000000000001" customHeight="1" x14ac:dyDescent="0.25">
      <c r="E124" s="93" t="s">
        <v>192</v>
      </c>
      <c r="F124" s="93" t="s">
        <v>193</v>
      </c>
      <c r="G124" s="93" t="s">
        <v>194</v>
      </c>
      <c r="J124" s="26">
        <f>E42</f>
        <v>100</v>
      </c>
      <c r="K124" s="26">
        <f>MAX(0, E42-E41)</f>
        <v>0</v>
      </c>
      <c r="L124" s="1">
        <f>K124/J124</f>
        <v>0</v>
      </c>
      <c r="M124" s="27">
        <f>K123/J124</f>
        <v>0</v>
      </c>
      <c r="N124" s="27">
        <f>1-(L124+M124)</f>
        <v>1</v>
      </c>
      <c r="O124" s="89">
        <f t="shared" si="1"/>
        <v>0</v>
      </c>
    </row>
    <row r="125" spans="4:15" ht="20.100000000000001" customHeight="1" x14ac:dyDescent="0.25">
      <c r="D125" s="1" t="str">
        <f>E119</f>
        <v>August 2024</v>
      </c>
      <c r="E125" s="29">
        <v>0.25</v>
      </c>
      <c r="F125" s="29">
        <v>0.25</v>
      </c>
      <c r="G125" s="29">
        <v>0.25</v>
      </c>
      <c r="H125" s="27" t="s">
        <v>216</v>
      </c>
      <c r="L125" s="27"/>
      <c r="M125" s="27"/>
      <c r="N125" s="27"/>
      <c r="O125" s="27"/>
    </row>
    <row r="126" spans="4:15" ht="20.100000000000001" customHeight="1" x14ac:dyDescent="0.25">
      <c r="D126" s="1" t="str">
        <f>E120</f>
        <v>September 2024</v>
      </c>
      <c r="E126" s="29">
        <v>0.25</v>
      </c>
      <c r="F126" s="29">
        <v>0.25</v>
      </c>
      <c r="G126" s="29">
        <v>0.25</v>
      </c>
      <c r="H126" s="27" t="s">
        <v>216</v>
      </c>
    </row>
    <row r="127" spans="4:15" ht="20.100000000000001" customHeight="1" x14ac:dyDescent="0.25">
      <c r="D127" s="1" t="str">
        <f>E121</f>
        <v>October 2024</v>
      </c>
      <c r="E127" s="29">
        <v>0.25</v>
      </c>
      <c r="F127" s="29">
        <v>0.25</v>
      </c>
      <c r="G127" s="29">
        <v>0.25</v>
      </c>
      <c r="H127" s="27" t="s">
        <v>216</v>
      </c>
    </row>
    <row r="128" spans="4:15" ht="20.100000000000001" customHeight="1" x14ac:dyDescent="0.25">
      <c r="D128" s="1" t="str">
        <f>"Proportion of cows &gt; 1 years in calf in " &amp; D125 &amp; " to " &amp; D127</f>
        <v>Proportion of cows &gt; 1 years in calf in August 2024 to October 2024</v>
      </c>
      <c r="E128" s="30">
        <f>SUM(E125:E127)</f>
        <v>0.75</v>
      </c>
      <c r="F128" s="30">
        <f>SUM(F125:F127)</f>
        <v>0.75</v>
      </c>
      <c r="G128" s="30">
        <f>SUM(G125:G127)</f>
        <v>0.75</v>
      </c>
      <c r="H128" s="27" t="s">
        <v>216</v>
      </c>
    </row>
    <row r="129" spans="4:15" ht="20.100000000000001" customHeight="1" x14ac:dyDescent="0.25"/>
    <row r="130" spans="4:15" ht="20.100000000000001" customHeight="1" x14ac:dyDescent="0.25">
      <c r="K130" s="27"/>
      <c r="L130" s="27"/>
      <c r="M130" s="27"/>
      <c r="N130" s="27"/>
      <c r="O130" s="27"/>
    </row>
    <row r="131" spans="4:15" ht="20.100000000000001" customHeight="1" x14ac:dyDescent="0.25">
      <c r="D131" s="92" t="s">
        <v>228</v>
      </c>
      <c r="K131" s="27"/>
      <c r="L131" s="27"/>
      <c r="M131" s="27"/>
      <c r="N131" s="27"/>
      <c r="O131" s="27"/>
    </row>
    <row r="132" spans="4:15" ht="20.100000000000001" customHeight="1" x14ac:dyDescent="0.25">
      <c r="D132" s="93" t="s">
        <v>188</v>
      </c>
      <c r="E132" s="93" t="s">
        <v>189</v>
      </c>
      <c r="F132" s="93" t="s">
        <v>190</v>
      </c>
      <c r="G132" s="93" t="s">
        <v>191</v>
      </c>
      <c r="H132" s="93" t="s">
        <v>192</v>
      </c>
      <c r="I132" s="93" t="s">
        <v>193</v>
      </c>
      <c r="J132" s="93" t="s">
        <v>194</v>
      </c>
      <c r="K132" s="93" t="s">
        <v>195</v>
      </c>
      <c r="L132" s="93" t="s">
        <v>196</v>
      </c>
      <c r="M132" s="93" t="s">
        <v>197</v>
      </c>
      <c r="N132" s="93" t="s">
        <v>198</v>
      </c>
    </row>
    <row r="133" spans="4:15" ht="20.100000000000001" customHeight="1" x14ac:dyDescent="0.25">
      <c r="D133" s="1" t="s">
        <v>199</v>
      </c>
      <c r="E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6"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7" t="s">
        <v>229</v>
      </c>
    </row>
    <row r="134" spans="4:15" ht="20.100000000000001" customHeight="1" x14ac:dyDescent="0.25">
      <c r="D134" s="1" t="s">
        <v>200</v>
      </c>
      <c r="E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6"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7" t="s">
        <v>229</v>
      </c>
    </row>
    <row r="135" spans="4:15" ht="20.100000000000001" customHeight="1" x14ac:dyDescent="0.25">
      <c r="D135" s="1" t="s">
        <v>201</v>
      </c>
      <c r="E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6"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7" t="s">
        <v>229</v>
      </c>
    </row>
    <row r="136" spans="4:15" ht="20.100000000000001" customHeight="1" x14ac:dyDescent="0.25">
      <c r="D136" s="1" t="s">
        <v>202</v>
      </c>
      <c r="E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6"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7" t="s">
        <v>229</v>
      </c>
    </row>
    <row r="137" spans="4:15" ht="20.100000000000001" customHeight="1" x14ac:dyDescent="0.25"/>
    <row r="138" spans="4:15" ht="20.100000000000001" customHeight="1" x14ac:dyDescent="0.25">
      <c r="D138" s="93" t="s">
        <v>203</v>
      </c>
      <c r="E138" s="93" t="s">
        <v>189</v>
      </c>
      <c r="F138" s="93" t="s">
        <v>190</v>
      </c>
      <c r="G138" s="93" t="s">
        <v>191</v>
      </c>
      <c r="H138" s="93" t="s">
        <v>192</v>
      </c>
      <c r="I138" s="93" t="s">
        <v>193</v>
      </c>
      <c r="J138" s="93" t="s">
        <v>194</v>
      </c>
      <c r="K138" s="93" t="s">
        <v>195</v>
      </c>
      <c r="L138" s="93" t="s">
        <v>196</v>
      </c>
      <c r="M138" s="93" t="s">
        <v>197</v>
      </c>
      <c r="N138" s="93" t="s">
        <v>198</v>
      </c>
    </row>
    <row r="139" spans="4:15" ht="20.100000000000001" customHeight="1" x14ac:dyDescent="0.25">
      <c r="D139" s="1" t="str">
        <f>TEXT(X_Cell_Site_StartDate, "mmmm yyyy")</f>
        <v>NO - Not in leaching zone</v>
      </c>
      <c r="E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7"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7" t="s">
        <v>229</v>
      </c>
    </row>
    <row r="140" spans="4:15" ht="20.100000000000001" customHeight="1" x14ac:dyDescent="0.25">
      <c r="D140" s="1" t="e">
        <f>TEXT(EDATE(X_Cell_Site_StartDate,1), "mmmm yyyy")</f>
        <v>#VALUE!</v>
      </c>
      <c r="E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7"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7" t="s">
        <v>229</v>
      </c>
    </row>
    <row r="141" spans="4:15" ht="20.100000000000001" customHeight="1" x14ac:dyDescent="0.25">
      <c r="D141" s="1" t="e">
        <f>TEXT(EDATE(X_Cell_Site_StartDate,2), "mmmm yyyy")</f>
        <v>#VALUE!</v>
      </c>
      <c r="E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7"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7" t="s">
        <v>229</v>
      </c>
    </row>
    <row r="142" spans="4:15" ht="20.100000000000001" customHeight="1" x14ac:dyDescent="0.25">
      <c r="D142" s="1" t="e">
        <f>TEXT(EDATE(X_Cell_Site_StartDate,3), "mmmm yyyy")</f>
        <v>#VALUE!</v>
      </c>
      <c r="E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7"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7" t="s">
        <v>229</v>
      </c>
    </row>
    <row r="143" spans="4:15" ht="20.100000000000001" customHeight="1" x14ac:dyDescent="0.25">
      <c r="D143" s="1" t="e">
        <f>TEXT(EDATE(X_Cell_Site_StartDate,4), "mmmm yyyy")</f>
        <v>#VALUE!</v>
      </c>
      <c r="E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7"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7" t="s">
        <v>229</v>
      </c>
    </row>
    <row r="144" spans="4:15" ht="20.100000000000001" customHeight="1" x14ac:dyDescent="0.25">
      <c r="D144" s="1" t="e">
        <f>TEXT(EDATE(X_Cell_Site_StartDate,5), "mmmm yyyy")</f>
        <v>#VALUE!</v>
      </c>
      <c r="E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7"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7" t="s">
        <v>229</v>
      </c>
    </row>
    <row r="145" spans="4:15" ht="20.100000000000001" customHeight="1" x14ac:dyDescent="0.25">
      <c r="D145" s="1" t="e">
        <f>TEXT(EDATE(X_Cell_Site_StartDate,6), "mmmm yyyy")</f>
        <v>#VALUE!</v>
      </c>
      <c r="E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7"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7" t="s">
        <v>229</v>
      </c>
    </row>
    <row r="146" spans="4:15" ht="20.100000000000001" customHeight="1" x14ac:dyDescent="0.25">
      <c r="D146" s="1" t="e">
        <f>TEXT(EDATE(X_Cell_Site_StartDate,7), "mmmm yyyy")</f>
        <v>#VALUE!</v>
      </c>
      <c r="E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7"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7" t="s">
        <v>229</v>
      </c>
    </row>
    <row r="147" spans="4:15" ht="20.100000000000001" customHeight="1" x14ac:dyDescent="0.25">
      <c r="D147" s="1" t="e">
        <f>TEXT(EDATE(X_Cell_Site_StartDate,8), "mmmm yyyy")</f>
        <v>#VALUE!</v>
      </c>
      <c r="E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7"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7" t="s">
        <v>229</v>
      </c>
    </row>
    <row r="148" spans="4:15" ht="20.100000000000001" customHeight="1" x14ac:dyDescent="0.25">
      <c r="D148" s="1" t="e">
        <f>TEXT(EDATE(X_Cell_Site_StartDate,9), "mmmm yyyy")</f>
        <v>#VALUE!</v>
      </c>
      <c r="E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7"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7" t="s">
        <v>229</v>
      </c>
    </row>
    <row r="149" spans="4:15" ht="20.100000000000001" customHeight="1" x14ac:dyDescent="0.25">
      <c r="D149" s="1" t="e">
        <f>TEXT(EDATE(X_Cell_Site_StartDate,10), "mmmm yyyy")</f>
        <v>#VALUE!</v>
      </c>
      <c r="E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7"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7" t="s">
        <v>229</v>
      </c>
    </row>
    <row r="150" spans="4:15" ht="20.100000000000001" customHeight="1" x14ac:dyDescent="0.25">
      <c r="D150" s="1" t="e">
        <f>TEXT(EDATE(X_Cell_Site_StartDate,11), "mmmm yyyy")</f>
        <v>#VALUE!</v>
      </c>
      <c r="E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7"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7" t="s">
        <v>229</v>
      </c>
    </row>
    <row r="151" spans="4:15" ht="20.100000000000001" customHeight="1" x14ac:dyDescent="0.25"/>
    <row r="152" spans="4:15" ht="20.100000000000001" customHeight="1" x14ac:dyDescent="0.25"/>
    <row r="153" spans="4:15" ht="20.100000000000001" customHeight="1" x14ac:dyDescent="0.25">
      <c r="D153" s="92" t="s">
        <v>230</v>
      </c>
      <c r="K153" s="27"/>
      <c r="L153" s="27"/>
      <c r="M153" s="27"/>
      <c r="N153" s="27"/>
      <c r="O153" s="27"/>
    </row>
    <row r="154" spans="4:15" ht="20.100000000000001" customHeight="1" x14ac:dyDescent="0.25">
      <c r="D154" s="93" t="s">
        <v>188</v>
      </c>
      <c r="E154" s="93" t="s">
        <v>189</v>
      </c>
      <c r="F154" s="93" t="s">
        <v>190</v>
      </c>
      <c r="G154" s="93" t="s">
        <v>191</v>
      </c>
      <c r="H154" s="93" t="s">
        <v>192</v>
      </c>
      <c r="I154" s="93" t="s">
        <v>193</v>
      </c>
      <c r="J154" s="93" t="s">
        <v>194</v>
      </c>
      <c r="K154" s="93" t="s">
        <v>195</v>
      </c>
      <c r="L154" s="93" t="s">
        <v>196</v>
      </c>
      <c r="M154" s="93" t="s">
        <v>197</v>
      </c>
      <c r="N154" s="93" t="s">
        <v>198</v>
      </c>
    </row>
    <row r="155" spans="4:15" ht="20.100000000000001" customHeight="1" x14ac:dyDescent="0.25">
      <c r="D155" s="1" t="s">
        <v>199</v>
      </c>
      <c r="E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6"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7" t="s">
        <v>229</v>
      </c>
    </row>
    <row r="156" spans="4:15" ht="20.100000000000001" customHeight="1" x14ac:dyDescent="0.25">
      <c r="D156" s="1" t="s">
        <v>200</v>
      </c>
      <c r="E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6"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7" t="s">
        <v>229</v>
      </c>
    </row>
    <row r="157" spans="4:15" ht="20.100000000000001" customHeight="1" x14ac:dyDescent="0.25">
      <c r="D157" s="1" t="s">
        <v>201</v>
      </c>
      <c r="E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6"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7" t="s">
        <v>229</v>
      </c>
    </row>
    <row r="158" spans="4:15" ht="20.100000000000001" customHeight="1" x14ac:dyDescent="0.25">
      <c r="D158" s="1" t="s">
        <v>202</v>
      </c>
      <c r="E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6"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7" t="s">
        <v>229</v>
      </c>
    </row>
    <row r="159" spans="4:15" ht="20.100000000000001" customHeight="1" x14ac:dyDescent="0.25"/>
    <row r="160" spans="4:15" ht="20.100000000000001" customHeight="1" x14ac:dyDescent="0.25">
      <c r="D160" s="93" t="s">
        <v>203</v>
      </c>
      <c r="E160" s="93" t="s">
        <v>189</v>
      </c>
      <c r="F160" s="93" t="s">
        <v>190</v>
      </c>
      <c r="G160" s="93" t="s">
        <v>191</v>
      </c>
      <c r="H160" s="93" t="s">
        <v>192</v>
      </c>
      <c r="I160" s="93" t="s">
        <v>193</v>
      </c>
      <c r="J160" s="93" t="s">
        <v>194</v>
      </c>
      <c r="K160" s="93" t="s">
        <v>195</v>
      </c>
      <c r="L160" s="93" t="s">
        <v>196</v>
      </c>
      <c r="M160" s="93" t="s">
        <v>197</v>
      </c>
      <c r="N160" s="93" t="s">
        <v>198</v>
      </c>
    </row>
    <row r="161" spans="4:15" ht="20.100000000000001" customHeight="1" x14ac:dyDescent="0.25">
      <c r="D161" s="1" t="str">
        <f>TEXT(X_Cell_Site_StartDate, "mmmm yyyy")</f>
        <v>NO - Not in leaching zone</v>
      </c>
      <c r="E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7"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7" t="s">
        <v>229</v>
      </c>
    </row>
    <row r="162" spans="4:15" ht="20.100000000000001" customHeight="1" x14ac:dyDescent="0.25">
      <c r="D162" s="1" t="e">
        <f>TEXT(EDATE(X_Cell_Site_StartDate,1), "mmmm yyyy")</f>
        <v>#VALUE!</v>
      </c>
      <c r="E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7"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7" t="s">
        <v>229</v>
      </c>
    </row>
    <row r="163" spans="4:15" ht="20.100000000000001" customHeight="1" x14ac:dyDescent="0.25">
      <c r="D163" s="1" t="e">
        <f>TEXT(EDATE(X_Cell_Site_StartDate,2), "mmmm yyyy")</f>
        <v>#VALUE!</v>
      </c>
      <c r="E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7"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7" t="s">
        <v>229</v>
      </c>
    </row>
    <row r="164" spans="4:15" ht="20.100000000000001" customHeight="1" x14ac:dyDescent="0.25">
      <c r="D164" s="1" t="e">
        <f>TEXT(EDATE(X_Cell_Site_StartDate,3), "mmmm yyyy")</f>
        <v>#VALUE!</v>
      </c>
      <c r="E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7"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7" t="s">
        <v>229</v>
      </c>
    </row>
    <row r="165" spans="4:15" ht="20.100000000000001" customHeight="1" x14ac:dyDescent="0.25">
      <c r="D165" s="1" t="e">
        <f>TEXT(EDATE(X_Cell_Site_StartDate,4), "mmmm yyyy")</f>
        <v>#VALUE!</v>
      </c>
      <c r="E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7"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7" t="s">
        <v>229</v>
      </c>
    </row>
    <row r="166" spans="4:15" ht="20.100000000000001" customHeight="1" x14ac:dyDescent="0.25">
      <c r="D166" s="1" t="e">
        <f>TEXT(EDATE(X_Cell_Site_StartDate,5), "mmmm yyyy")</f>
        <v>#VALUE!</v>
      </c>
      <c r="E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7"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7" t="s">
        <v>229</v>
      </c>
    </row>
    <row r="167" spans="4:15" ht="20.100000000000001" customHeight="1" x14ac:dyDescent="0.25">
      <c r="D167" s="1" t="e">
        <f>TEXT(EDATE(X_Cell_Site_StartDate,6), "mmmm yyyy")</f>
        <v>#VALUE!</v>
      </c>
      <c r="E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7"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7" t="s">
        <v>229</v>
      </c>
    </row>
    <row r="168" spans="4:15" ht="20.100000000000001" customHeight="1" x14ac:dyDescent="0.25">
      <c r="D168" s="1" t="e">
        <f>TEXT(EDATE(X_Cell_Site_StartDate,7), "mmmm yyyy")</f>
        <v>#VALUE!</v>
      </c>
      <c r="E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7"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7" t="s">
        <v>229</v>
      </c>
    </row>
    <row r="169" spans="4:15" ht="20.100000000000001" customHeight="1" x14ac:dyDescent="0.25">
      <c r="D169" s="1" t="e">
        <f>TEXT(EDATE(X_Cell_Site_StartDate,8), "mmmm yyyy")</f>
        <v>#VALUE!</v>
      </c>
      <c r="E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7"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7" t="s">
        <v>229</v>
      </c>
    </row>
    <row r="170" spans="4:15" ht="20.100000000000001" customHeight="1" x14ac:dyDescent="0.25">
      <c r="D170" s="1" t="e">
        <f>TEXT(EDATE(X_Cell_Site_StartDate,9), "mmmm yyyy")</f>
        <v>#VALUE!</v>
      </c>
      <c r="E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7"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7" t="s">
        <v>229</v>
      </c>
    </row>
    <row r="171" spans="4:15" ht="20.100000000000001" customHeight="1" x14ac:dyDescent="0.25">
      <c r="D171" s="1" t="e">
        <f>TEXT(EDATE(X_Cell_Site_StartDate,10), "mmmm yyyy")</f>
        <v>#VALUE!</v>
      </c>
      <c r="E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7"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7" t="s">
        <v>229</v>
      </c>
    </row>
    <row r="172" spans="4:15" ht="20.100000000000001" customHeight="1" x14ac:dyDescent="0.25">
      <c r="D172" s="1" t="e">
        <f>TEXT(EDATE(X_Cell_Site_StartDate,11), "mmmm yyyy")</f>
        <v>#VALUE!</v>
      </c>
      <c r="E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7"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7" t="s">
        <v>229</v>
      </c>
    </row>
    <row r="173" spans="4:15" ht="20.100000000000001" customHeight="1" x14ac:dyDescent="0.25">
      <c r="L173" s="27"/>
      <c r="M173" s="27"/>
      <c r="N173" s="27"/>
      <c r="O173" s="27"/>
    </row>
    <row r="174" spans="4:15" ht="20.100000000000001" customHeight="1" x14ac:dyDescent="0.25">
      <c r="L174" s="27"/>
      <c r="M174" s="27"/>
      <c r="N174" s="27"/>
      <c r="O174" s="27"/>
    </row>
    <row r="175" spans="4:15" ht="20.100000000000001" customHeight="1" x14ac:dyDescent="0.25">
      <c r="D175" s="92" t="s">
        <v>231</v>
      </c>
      <c r="L175" s="27"/>
      <c r="M175" s="27"/>
      <c r="N175" s="27"/>
      <c r="O175" s="27"/>
    </row>
    <row r="176" spans="4:15" ht="20.100000000000001" customHeight="1" x14ac:dyDescent="0.25"/>
    <row r="177" spans="4:15" ht="20.100000000000001" customHeight="1" x14ac:dyDescent="0.25">
      <c r="D177" s="1" t="s">
        <v>232</v>
      </c>
      <c r="E177" s="23" t="s">
        <v>217</v>
      </c>
      <c r="F177" s="27" t="s">
        <v>112</v>
      </c>
      <c r="L177" s="27"/>
      <c r="M177" s="27"/>
      <c r="N177" s="27"/>
      <c r="O177" s="27"/>
    </row>
    <row r="178" spans="4:15" ht="20.100000000000001" customHeight="1" x14ac:dyDescent="0.25"/>
    <row r="179" spans="4:15" ht="20.100000000000001" customHeight="1" x14ac:dyDescent="0.25">
      <c r="D179" s="93" t="s">
        <v>233</v>
      </c>
      <c r="E179" s="93" t="s">
        <v>234</v>
      </c>
      <c r="L179" s="27"/>
      <c r="M179" s="27"/>
      <c r="N179" s="27"/>
      <c r="O179" s="27"/>
    </row>
    <row r="180" spans="4:15" ht="20.100000000000001" customHeight="1" x14ac:dyDescent="0.25">
      <c r="D180" s="1" t="s">
        <v>94</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7" t="s">
        <v>216</v>
      </c>
      <c r="L180" s="27"/>
      <c r="M180" s="27"/>
      <c r="N180" s="27"/>
      <c r="O180" s="27"/>
    </row>
    <row r="181" spans="4:15" ht="20.100000000000001" customHeight="1" x14ac:dyDescent="0.25">
      <c r="D181" s="1" t="s">
        <v>82</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7" t="s">
        <v>216</v>
      </c>
      <c r="L181" s="27"/>
      <c r="M181" s="27"/>
      <c r="N181" s="27"/>
      <c r="O181" s="27"/>
    </row>
    <row r="182" spans="4:15" ht="20.100000000000001" customHeight="1" x14ac:dyDescent="0.25">
      <c r="L182" s="27"/>
      <c r="M182" s="27"/>
      <c r="N182" s="27"/>
      <c r="O182" s="27"/>
    </row>
    <row r="183" spans="4:15" ht="20.100000000000001" customHeight="1" x14ac:dyDescent="0.25"/>
    <row r="184" spans="4:15" ht="20.100000000000001" customHeight="1" x14ac:dyDescent="0.25">
      <c r="D184" s="1" t="s">
        <v>235</v>
      </c>
      <c r="E184" s="23" t="s">
        <v>236</v>
      </c>
      <c r="F184" s="27" t="s">
        <v>112</v>
      </c>
      <c r="L184" s="27"/>
      <c r="M184" s="27"/>
      <c r="N184" s="27"/>
      <c r="O184" s="27"/>
    </row>
    <row r="185" spans="4:15" ht="20.100000000000001" customHeight="1" x14ac:dyDescent="0.25">
      <c r="E185" s="23" t="s">
        <v>237</v>
      </c>
      <c r="F185" s="27" t="s">
        <v>112</v>
      </c>
    </row>
    <row r="186" spans="4:15" ht="20.100000000000001" customHeight="1" x14ac:dyDescent="0.25"/>
    <row r="187" spans="4:15" ht="20.100000000000001" customHeight="1" x14ac:dyDescent="0.25"/>
    <row r="188" spans="4:15" ht="20.100000000000001" customHeight="1" x14ac:dyDescent="0.25">
      <c r="D188" s="2" t="s">
        <v>238</v>
      </c>
    </row>
    <row r="189" spans="4:15" ht="20.100000000000001" customHeight="1" x14ac:dyDescent="0.25">
      <c r="D189" s="24" t="s">
        <v>239</v>
      </c>
    </row>
    <row r="190" spans="4:15" ht="20.100000000000001" customHeight="1" x14ac:dyDescent="0.25">
      <c r="D190" s="31" t="s">
        <v>240</v>
      </c>
      <c r="E190" s="31" t="s">
        <v>241</v>
      </c>
      <c r="F190" s="31" t="s">
        <v>242</v>
      </c>
      <c r="G190" s="31" t="s">
        <v>243</v>
      </c>
      <c r="H190" s="31" t="s">
        <v>244</v>
      </c>
      <c r="I190" s="31" t="s">
        <v>245</v>
      </c>
      <c r="J190" s="96" t="s">
        <v>246</v>
      </c>
      <c r="K190" s="96" t="s">
        <v>247</v>
      </c>
    </row>
    <row r="191" spans="4:15" ht="20.100000000000001" customHeight="1" x14ac:dyDescent="0.25">
      <c r="D191" s="45" t="s">
        <v>248</v>
      </c>
      <c r="E191" s="97">
        <v>45547</v>
      </c>
      <c r="F191" s="23" t="s">
        <v>195</v>
      </c>
      <c r="G191" s="98" t="s">
        <v>249</v>
      </c>
      <c r="H191" s="23" t="s">
        <v>250</v>
      </c>
      <c r="I191" s="87">
        <v>100</v>
      </c>
      <c r="J191" s="26"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7">
        <v>205</v>
      </c>
    </row>
    <row r="192" spans="4:15" ht="20.100000000000001" customHeight="1" x14ac:dyDescent="0.25">
      <c r="D192" s="45"/>
      <c r="E192" s="45"/>
      <c r="F192" s="99"/>
      <c r="G192" s="98"/>
      <c r="H192" s="23"/>
      <c r="I192" s="87"/>
      <c r="J192" s="26"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7"/>
    </row>
    <row r="193" spans="4:27" ht="20.100000000000001" customHeight="1" x14ac:dyDescent="0.25">
      <c r="D193" s="45"/>
      <c r="E193" s="45"/>
      <c r="F193" s="99"/>
      <c r="G193" s="98"/>
      <c r="H193" s="23"/>
      <c r="I193" s="87"/>
      <c r="J193" s="26"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7"/>
    </row>
    <row r="194" spans="4:27" ht="20.100000000000001" customHeight="1" x14ac:dyDescent="0.25">
      <c r="D194" s="45"/>
      <c r="E194" s="45"/>
      <c r="F194" s="99"/>
      <c r="G194" s="98"/>
      <c r="H194" s="23"/>
      <c r="I194" s="87"/>
      <c r="J194" s="26"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7"/>
    </row>
    <row r="195" spans="4:27" ht="20.100000000000001" customHeight="1" x14ac:dyDescent="0.25">
      <c r="D195" s="45"/>
      <c r="E195" s="45"/>
      <c r="F195" s="99"/>
      <c r="G195" s="98"/>
      <c r="H195" s="23"/>
      <c r="I195" s="87"/>
      <c r="J195" s="26"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7"/>
    </row>
    <row r="196" spans="4:27" ht="20.100000000000001" customHeight="1" x14ac:dyDescent="0.25">
      <c r="D196" s="45"/>
      <c r="E196" s="45"/>
      <c r="F196" s="99"/>
      <c r="G196" s="98"/>
      <c r="H196" s="23"/>
      <c r="I196" s="87"/>
      <c r="J196" s="26"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7"/>
    </row>
    <row r="197" spans="4:27" ht="20.100000000000001" customHeight="1" x14ac:dyDescent="0.25">
      <c r="D197" s="45"/>
      <c r="E197" s="45"/>
      <c r="F197" s="99"/>
      <c r="G197" s="98"/>
      <c r="H197" s="23"/>
      <c r="I197" s="87"/>
      <c r="J197" s="26"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7"/>
    </row>
    <row r="198" spans="4:27" ht="20.100000000000001" customHeight="1" x14ac:dyDescent="0.25">
      <c r="D198" s="45"/>
      <c r="E198" s="45"/>
      <c r="F198" s="99"/>
      <c r="G198" s="98"/>
      <c r="H198" s="23"/>
      <c r="I198" s="87"/>
      <c r="J198" s="26"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7"/>
    </row>
    <row r="199" spans="4:27" ht="20.100000000000001" customHeight="1" x14ac:dyDescent="0.25">
      <c r="D199" s="45"/>
      <c r="E199" s="45"/>
      <c r="F199" s="99"/>
      <c r="G199" s="98"/>
      <c r="H199" s="23"/>
      <c r="I199" s="87"/>
      <c r="J199" s="26"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7"/>
    </row>
    <row r="200" spans="4:27" ht="20.100000000000001" customHeight="1" x14ac:dyDescent="0.25">
      <c r="D200" s="100"/>
      <c r="E200" s="100"/>
      <c r="F200" s="99"/>
      <c r="G200" s="101"/>
      <c r="H200" s="99"/>
      <c r="I200" s="102"/>
      <c r="J200" s="26"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2"/>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251</v>
      </c>
    </row>
    <row r="205" spans="4:27" ht="20.100000000000001" customHeight="1" x14ac:dyDescent="0.25">
      <c r="D205" s="24" t="s">
        <v>239</v>
      </c>
      <c r="Q205" s="1"/>
      <c r="Z205" s="91"/>
    </row>
    <row r="206" spans="4:27" ht="20.100000000000001" customHeight="1" x14ac:dyDescent="0.25">
      <c r="D206" s="31" t="s">
        <v>240</v>
      </c>
      <c r="E206" s="31" t="s">
        <v>242</v>
      </c>
      <c r="F206" s="31" t="s">
        <v>252</v>
      </c>
      <c r="G206" s="31" t="s">
        <v>253</v>
      </c>
      <c r="H206" s="31" t="s">
        <v>254</v>
      </c>
      <c r="I206" s="31" t="s">
        <v>255</v>
      </c>
      <c r="Q206" s="1"/>
      <c r="R206" s="1"/>
      <c r="Z206" s="91"/>
      <c r="AA206" s="91"/>
    </row>
    <row r="207" spans="4:27" ht="20.100000000000001" customHeight="1" x14ac:dyDescent="0.25">
      <c r="D207" s="45"/>
      <c r="E207" s="23" t="s">
        <v>190</v>
      </c>
      <c r="F207" s="103">
        <v>45566</v>
      </c>
      <c r="G207" s="31">
        <v>10</v>
      </c>
      <c r="H207" s="31">
        <v>500</v>
      </c>
      <c r="I207" s="26">
        <f t="shared" ref="I207:I216" si="2">G207*H207</f>
        <v>5000</v>
      </c>
      <c r="Q207" s="1"/>
      <c r="R207" s="1"/>
      <c r="Z207" s="91"/>
      <c r="AA207" s="91"/>
    </row>
    <row r="208" spans="4:27" ht="20.100000000000001" customHeight="1" x14ac:dyDescent="0.25">
      <c r="D208" s="45"/>
      <c r="E208" s="23"/>
      <c r="F208" s="103"/>
      <c r="G208" s="31"/>
      <c r="H208" s="31"/>
      <c r="I208" s="26">
        <f t="shared" si="2"/>
        <v>0</v>
      </c>
      <c r="Q208" s="1"/>
      <c r="R208" s="1"/>
      <c r="Z208" s="91"/>
      <c r="AA208" s="91"/>
    </row>
    <row r="209" spans="4:27" ht="20.100000000000001" customHeight="1" x14ac:dyDescent="0.25">
      <c r="D209" s="45"/>
      <c r="E209" s="23"/>
      <c r="F209" s="103"/>
      <c r="G209" s="31"/>
      <c r="H209" s="31"/>
      <c r="I209" s="26">
        <f t="shared" si="2"/>
        <v>0</v>
      </c>
      <c r="Q209" s="1"/>
      <c r="R209" s="1"/>
      <c r="Z209" s="91"/>
      <c r="AA209" s="91"/>
    </row>
    <row r="210" spans="4:27" ht="20.100000000000001" customHeight="1" x14ac:dyDescent="0.25">
      <c r="D210" s="45"/>
      <c r="E210" s="23"/>
      <c r="F210" s="103"/>
      <c r="G210" s="31"/>
      <c r="H210" s="31"/>
      <c r="I210" s="26">
        <f t="shared" si="2"/>
        <v>0</v>
      </c>
      <c r="Q210" s="1"/>
      <c r="R210" s="1"/>
      <c r="Z210" s="91"/>
      <c r="AA210" s="91"/>
    </row>
    <row r="211" spans="4:27" ht="20.100000000000001" customHeight="1" x14ac:dyDescent="0.25">
      <c r="D211" s="45"/>
      <c r="E211" s="23"/>
      <c r="F211" s="103"/>
      <c r="G211" s="31"/>
      <c r="H211" s="31"/>
      <c r="I211" s="26">
        <f t="shared" si="2"/>
        <v>0</v>
      </c>
      <c r="Q211" s="1"/>
      <c r="R211" s="1"/>
      <c r="Z211" s="91"/>
      <c r="AA211" s="91"/>
    </row>
    <row r="212" spans="4:27" ht="20.100000000000001" customHeight="1" x14ac:dyDescent="0.25">
      <c r="D212" s="45"/>
      <c r="E212" s="23"/>
      <c r="F212" s="103"/>
      <c r="G212" s="31"/>
      <c r="H212" s="31"/>
      <c r="I212" s="26">
        <f t="shared" si="2"/>
        <v>0</v>
      </c>
      <c r="Q212" s="1"/>
      <c r="R212" s="1"/>
      <c r="Z212" s="91"/>
      <c r="AA212" s="91"/>
    </row>
    <row r="213" spans="4:27" ht="20.100000000000001" customHeight="1" x14ac:dyDescent="0.25">
      <c r="D213" s="45"/>
      <c r="E213" s="23"/>
      <c r="F213" s="103"/>
      <c r="G213" s="31"/>
      <c r="H213" s="31"/>
      <c r="I213" s="26">
        <f t="shared" si="2"/>
        <v>0</v>
      </c>
      <c r="Q213" s="1"/>
      <c r="R213" s="1"/>
      <c r="Z213" s="91"/>
      <c r="AA213" s="91"/>
    </row>
    <row r="214" spans="4:27" ht="20.100000000000001" customHeight="1" x14ac:dyDescent="0.25">
      <c r="D214" s="45"/>
      <c r="E214" s="23"/>
      <c r="F214" s="103"/>
      <c r="G214" s="31"/>
      <c r="H214" s="31"/>
      <c r="I214" s="26">
        <f t="shared" si="2"/>
        <v>0</v>
      </c>
      <c r="Q214" s="1"/>
      <c r="R214" s="1"/>
      <c r="Z214" s="91"/>
      <c r="AA214" s="91"/>
    </row>
    <row r="215" spans="4:27" ht="20.100000000000001" customHeight="1" x14ac:dyDescent="0.25">
      <c r="D215" s="45"/>
      <c r="E215" s="23"/>
      <c r="F215" s="103"/>
      <c r="G215" s="31"/>
      <c r="H215" s="31"/>
      <c r="I215" s="26">
        <f t="shared" si="2"/>
        <v>0</v>
      </c>
      <c r="Q215" s="1"/>
      <c r="R215" s="1"/>
      <c r="Z215" s="91"/>
      <c r="AA215" s="91"/>
    </row>
    <row r="216" spans="4:27" ht="20.100000000000001" customHeight="1" x14ac:dyDescent="0.25">
      <c r="D216" s="45"/>
      <c r="E216" s="23"/>
      <c r="F216" s="103"/>
      <c r="G216" s="31"/>
      <c r="H216" s="31"/>
      <c r="I216" s="26">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7"/>
      <c r="M227" s="27"/>
      <c r="N227" s="27"/>
      <c r="O227" s="27"/>
    </row>
    <row r="228" spans="11:15" x14ac:dyDescent="0.25">
      <c r="L228" s="27"/>
      <c r="M228" s="27"/>
      <c r="N228" s="27"/>
      <c r="O228" s="27"/>
    </row>
    <row r="229" spans="11:15" x14ac:dyDescent="0.25">
      <c r="L229" s="27"/>
      <c r="M229" s="27"/>
      <c r="N229" s="27"/>
      <c r="O229" s="27"/>
    </row>
    <row r="232" spans="11:15" x14ac:dyDescent="0.25">
      <c r="L232" s="27"/>
      <c r="M232" s="27"/>
      <c r="N232" s="27"/>
      <c r="O232" s="27"/>
    </row>
    <row r="233" spans="11:15" x14ac:dyDescent="0.25">
      <c r="L233" s="27"/>
      <c r="M233" s="27"/>
      <c r="N233" s="27"/>
      <c r="O233" s="27"/>
    </row>
    <row r="234" spans="11:15" x14ac:dyDescent="0.25">
      <c r="K234" s="27"/>
      <c r="L234" s="27"/>
      <c r="M234" s="27"/>
      <c r="N234" s="27"/>
      <c r="O234" s="27"/>
    </row>
    <row r="237" spans="11:15" x14ac:dyDescent="0.25">
      <c r="L237" s="27"/>
      <c r="M237" s="27"/>
      <c r="N237" s="27"/>
      <c r="O237" s="27"/>
    </row>
    <row r="238" spans="11:15" x14ac:dyDescent="0.25">
      <c r="L238" s="27"/>
      <c r="M238" s="27"/>
      <c r="N238" s="27"/>
      <c r="O238" s="27"/>
    </row>
    <row r="239" spans="11:15" x14ac:dyDescent="0.25">
      <c r="K239" s="27"/>
      <c r="L239" s="27"/>
      <c r="M239" s="27"/>
      <c r="N239" s="27"/>
      <c r="O239" s="27"/>
    </row>
    <row r="242" spans="11:15" x14ac:dyDescent="0.25">
      <c r="L242" s="27"/>
      <c r="M242" s="27"/>
      <c r="N242" s="27"/>
      <c r="O242" s="27"/>
    </row>
    <row r="243" spans="11:15" x14ac:dyDescent="0.25">
      <c r="L243" s="27"/>
      <c r="M243" s="27"/>
      <c r="N243" s="27"/>
      <c r="O243" s="27"/>
    </row>
    <row r="244" spans="11:15" x14ac:dyDescent="0.25">
      <c r="K244" s="27"/>
      <c r="L244" s="27"/>
      <c r="M244" s="27"/>
      <c r="N244" s="27"/>
      <c r="O244" s="27"/>
    </row>
    <row r="249" spans="11:15" x14ac:dyDescent="0.25">
      <c r="K249" s="27"/>
    </row>
    <row r="250" spans="11:15" x14ac:dyDescent="0.25">
      <c r="K250" s="27"/>
    </row>
    <row r="251" spans="11:15" x14ac:dyDescent="0.25">
      <c r="K251" s="27"/>
      <c r="L251" s="27"/>
      <c r="M251" s="27"/>
      <c r="N251" s="27"/>
      <c r="O251" s="27"/>
    </row>
    <row r="252" spans="11:15" x14ac:dyDescent="0.25">
      <c r="K252" s="27"/>
      <c r="L252" s="27"/>
      <c r="M252" s="27"/>
      <c r="N252" s="27"/>
      <c r="O252" s="27"/>
    </row>
    <row r="253" spans="11:15" x14ac:dyDescent="0.25">
      <c r="K253" s="27"/>
      <c r="L253" s="27"/>
      <c r="M253" s="27"/>
      <c r="N253" s="27"/>
      <c r="O253" s="27"/>
    </row>
    <row r="255" spans="11:15" x14ac:dyDescent="0.25">
      <c r="K255" s="27"/>
    </row>
    <row r="256" spans="11:15" x14ac:dyDescent="0.25">
      <c r="L256" s="27"/>
      <c r="M256" s="27"/>
      <c r="N256" s="27"/>
      <c r="O256" s="27"/>
    </row>
    <row r="257" spans="11:15" x14ac:dyDescent="0.25">
      <c r="K257" s="27"/>
      <c r="L257" s="27"/>
      <c r="M257" s="27"/>
      <c r="N257" s="27"/>
      <c r="O257" s="27"/>
    </row>
    <row r="258" spans="11:15" x14ac:dyDescent="0.25">
      <c r="K258" s="27"/>
      <c r="L258" s="27"/>
      <c r="M258" s="27"/>
      <c r="N258" s="27"/>
      <c r="O258" s="27"/>
    </row>
    <row r="259" spans="11:15" x14ac:dyDescent="0.25">
      <c r="K259" s="27"/>
    </row>
    <row r="260" spans="11:15" x14ac:dyDescent="0.25">
      <c r="K260" s="27"/>
    </row>
    <row r="261" spans="11:15" x14ac:dyDescent="0.25">
      <c r="L261" s="27"/>
      <c r="M261" s="27"/>
      <c r="N261" s="27"/>
      <c r="O261" s="27"/>
    </row>
    <row r="262" spans="11:15" x14ac:dyDescent="0.25">
      <c r="K262" s="27"/>
      <c r="L262" s="27"/>
      <c r="M262" s="27"/>
      <c r="N262" s="27"/>
      <c r="O262" s="27"/>
    </row>
    <row r="263" spans="11:15" x14ac:dyDescent="0.25">
      <c r="L263" s="27"/>
      <c r="M263" s="27"/>
      <c r="N263" s="27"/>
      <c r="O263" s="27"/>
    </row>
    <row r="266" spans="11:15" x14ac:dyDescent="0.25">
      <c r="L266" s="27"/>
      <c r="M266" s="27"/>
      <c r="N266" s="27"/>
      <c r="O266" s="27"/>
    </row>
    <row r="267" spans="11:15" x14ac:dyDescent="0.25">
      <c r="L267" s="27"/>
      <c r="M267" s="27"/>
      <c r="N267" s="27"/>
      <c r="O267" s="27"/>
    </row>
    <row r="268" spans="11:15" x14ac:dyDescent="0.25">
      <c r="K268" s="27"/>
      <c r="L268" s="27"/>
      <c r="M268" s="27"/>
      <c r="N268" s="27"/>
      <c r="O268" s="27"/>
    </row>
    <row r="273" spans="11:11" x14ac:dyDescent="0.25">
      <c r="K273" s="27"/>
    </row>
    <row r="278" spans="11:11" x14ac:dyDescent="0.25">
      <c r="K278" s="27"/>
    </row>
    <row r="283" spans="11:11" x14ac:dyDescent="0.25">
      <c r="K283" s="27"/>
    </row>
    <row r="284" spans="11:11" x14ac:dyDescent="0.25">
      <c r="K284" s="27"/>
    </row>
    <row r="285" spans="11:11" x14ac:dyDescent="0.25">
      <c r="K285" s="27"/>
    </row>
    <row r="286" spans="11:11" x14ac:dyDescent="0.25">
      <c r="K286" s="27"/>
    </row>
    <row r="287" spans="11:11" x14ac:dyDescent="0.25">
      <c r="K287" s="27"/>
    </row>
    <row r="289" spans="11:11" x14ac:dyDescent="0.25">
      <c r="K289" s="27"/>
    </row>
    <row r="291" spans="11:11" x14ac:dyDescent="0.25">
      <c r="K291" s="27"/>
    </row>
    <row r="292" spans="11:11" x14ac:dyDescent="0.25">
      <c r="K292" s="27"/>
    </row>
    <row r="293" spans="11:11" x14ac:dyDescent="0.25">
      <c r="K293" s="27"/>
    </row>
    <row r="294" spans="11:11" x14ac:dyDescent="0.25">
      <c r="K294" s="27"/>
    </row>
    <row r="296" spans="11:11" x14ac:dyDescent="0.25">
      <c r="K296" s="27"/>
    </row>
    <row r="304" spans="11:11" x14ac:dyDescent="0.25">
      <c r="K304" s="27"/>
    </row>
    <row r="305" spans="11:11" x14ac:dyDescent="0.25">
      <c r="K305" s="27"/>
    </row>
    <row r="306" spans="11:11" x14ac:dyDescent="0.25">
      <c r="K306" s="27"/>
    </row>
    <row r="309" spans="11:11" x14ac:dyDescent="0.25">
      <c r="K309" s="27"/>
    </row>
    <row r="310" spans="11:11" x14ac:dyDescent="0.25">
      <c r="K310" s="27"/>
    </row>
    <row r="311" spans="11:11" x14ac:dyDescent="0.25">
      <c r="K311" s="27"/>
    </row>
    <row r="314" spans="11:11" x14ac:dyDescent="0.25">
      <c r="K314" s="27"/>
    </row>
    <row r="315" spans="11:11" x14ac:dyDescent="0.25">
      <c r="K315" s="27"/>
    </row>
    <row r="316" spans="11:11" x14ac:dyDescent="0.25">
      <c r="K316" s="27"/>
    </row>
    <row r="319" spans="11:11" x14ac:dyDescent="0.25">
      <c r="K319" s="27"/>
    </row>
    <row r="320" spans="11:11" x14ac:dyDescent="0.25">
      <c r="K320" s="27"/>
    </row>
    <row r="321" spans="11:11" x14ac:dyDescent="0.25">
      <c r="K321" s="27"/>
    </row>
    <row r="328" spans="11:11" x14ac:dyDescent="0.25">
      <c r="K328" s="27"/>
    </row>
    <row r="329" spans="11:11" x14ac:dyDescent="0.25">
      <c r="K329" s="27"/>
    </row>
    <row r="330" spans="11:11" x14ac:dyDescent="0.25">
      <c r="K330" s="27"/>
    </row>
    <row r="333" spans="11:11" x14ac:dyDescent="0.25">
      <c r="K333" s="27"/>
    </row>
    <row r="334" spans="11:11" x14ac:dyDescent="0.25">
      <c r="K334" s="27"/>
    </row>
    <row r="335" spans="11:11" x14ac:dyDescent="0.25">
      <c r="K335" s="27"/>
    </row>
    <row r="338" spans="4:11" x14ac:dyDescent="0.25">
      <c r="K338" s="27"/>
    </row>
    <row r="339" spans="4:11" x14ac:dyDescent="0.25">
      <c r="K339" s="27"/>
    </row>
    <row r="340" spans="4:11" x14ac:dyDescent="0.25">
      <c r="K340" s="27"/>
    </row>
    <row r="343" spans="4:11" x14ac:dyDescent="0.25">
      <c r="K343" s="27"/>
    </row>
    <row r="344" spans="4:11" x14ac:dyDescent="0.25">
      <c r="K344" s="27"/>
    </row>
    <row r="345" spans="4:11" x14ac:dyDescent="0.25">
      <c r="K345" s="27"/>
    </row>
    <row r="350" spans="4:11" x14ac:dyDescent="0.25">
      <c r="D350" s="24"/>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0D57C83A-304E-4B08-B65C-B8C4B23DC2F0}">
      <formula1>$D$23:$D$34</formula1>
    </dataValidation>
    <dataValidation type="list" allowBlank="1" showInputMessage="1" showErrorMessage="1" sqref="F191:F200 D207:E216" xr:uid="{F14A5FAC-F0D7-4616-9201-FAAE15DC8E00}">
      <formula1>INDIRECT("Table_LivestockClasses_Beefcattle[Livestock class]")</formula1>
    </dataValidation>
    <dataValidation type="list" allowBlank="1" showInputMessage="1" showErrorMessage="1" sqref="G191:G200" xr:uid="{1E63E17C-0CE6-4380-9821-4B782404EB53}">
      <formula1>INDIRECT(TRIM("Table_SourceData_LivestockProduct_Beefcattle[Product]"))</formula1>
    </dataValidation>
    <dataValidation type="list" allowBlank="1" showInputMessage="1" showErrorMessage="1" sqref="H191:H200" xr:uid="{1C097E7A-02E8-4357-A4E4-6D0C5CC69856}">
      <formula1>INDIRECT("Table_ProductRegions_Beefcattle[Region]")</formula1>
    </dataValidation>
    <dataValidation type="list" allowBlank="1" showInputMessage="1" showErrorMessage="1" sqref="E105" xr:uid="{EB420598-FC26-48A6-A0EE-924C09C523B0}">
      <formula1>"Spring, Summer, Autumn, Winter"</formula1>
    </dataValidation>
    <dataValidation type="list" allowBlank="1" showInputMessage="1" showErrorMessage="1" sqref="E184" xr:uid="{4364F42C-C7E1-438D-A0F2-F23FCEFA7FA8}">
      <formula1>INDIRECT("Table_SourceData_PastureBeef_CropProdSystems[Production system]")</formula1>
    </dataValidation>
    <dataValidation type="list" allowBlank="1" showInputMessage="1" showErrorMessage="1" sqref="E185" xr:uid="{88AE7210-5703-4C98-9844-DA7549277ED4}">
      <formula1>INDIRECT("Table_SourceData_PastureBeef_IrrigationMethods[Irrigation method]")</formula1>
    </dataValidation>
    <dataValidation type="list" allowBlank="1" showInputMessage="1" showErrorMessage="1" sqref="E9" xr:uid="{D7482D34-954F-4E20-BACB-AFC1F0FA5521}">
      <formula1>INDIRECT("Table_SourceData_PastureBeef_FeedIntakeAdjustment[Breed]")</formula1>
    </dataValidation>
    <dataValidation type="list" allowBlank="1" showInputMessage="1" showErrorMessage="1" sqref="E8" xr:uid="{E37DBC32-653B-4E07-9C2E-C6B6D2598F88}">
      <formula1>INDIRECT("Table_SourceData_PastureBeef_Region_" &amp; SUBSTITUTE($E$7, " ", "") &amp; "[Region]")</formula1>
    </dataValidation>
    <dataValidation type="list" allowBlank="1" showInputMessage="1" showErrorMessage="1" sqref="E15 E37 E59 E81" xr:uid="{F3A18FCB-E08E-415B-8B39-1DEC724EE5C0}">
      <formula1>INDIRECT("Table_SourceData_Dairy_WjCowsHeifers[Breed]")</formula1>
    </dataValidation>
    <dataValidation type="list" allowBlank="1" showInputMessage="1" showErrorMessage="1" sqref="E238 E243 E248 E282 E277 E272 E177" xr:uid="{C37E34DE-3EBB-439D-B574-D97407EED09E}">
      <formula1>"Yes, No"</formula1>
    </dataValidation>
    <dataValidation type="list" allowBlank="1" showInputMessage="1" showErrorMessage="1" sqref="D266" xr:uid="{F7A155F2-656E-43FC-904F-E6385465EB5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35AF7-919C-4C36-B641-EA5584CB2759}">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794</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40"/>
      <c r="D3" s="40"/>
      <c r="E3" s="40"/>
      <c r="F3" s="40"/>
      <c r="G3" s="40"/>
    </row>
    <row r="4" spans="1:7" ht="20.100000000000001" customHeight="1" x14ac:dyDescent="0.25">
      <c r="A4" s="5" t="str">
        <f>HYPERLINK("#'Results'!A1", "Results")</f>
        <v>Results</v>
      </c>
    </row>
    <row r="5" spans="1:7" ht="20.100000000000001" customHeight="1" x14ac:dyDescent="0.25">
      <c r="D5" s="2" t="s">
        <v>795</v>
      </c>
    </row>
    <row r="6" spans="1:7" ht="20.100000000000001" customHeight="1" x14ac:dyDescent="0.25"/>
    <row r="7" spans="1:7" ht="20.100000000000001" customHeight="1" x14ac:dyDescent="0.25">
      <c r="A7" s="7" t="s">
        <v>0</v>
      </c>
      <c r="D7" s="81" t="s">
        <v>796</v>
      </c>
      <c r="E7" s="81"/>
      <c r="F7" s="81"/>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797</v>
      </c>
      <c r="E9" s="23" t="s">
        <v>798</v>
      </c>
      <c r="F9" s="27" t="s">
        <v>799</v>
      </c>
    </row>
    <row r="10" spans="1:7" ht="20.100000000000001" customHeight="1" x14ac:dyDescent="0.25">
      <c r="A10" s="5" t="str">
        <f>HYPERLINK("#'Input - Pasture Beef'!A1", "Pasture Beef")</f>
        <v>Pasture Beef</v>
      </c>
      <c r="D10" s="1" t="s">
        <v>75</v>
      </c>
      <c r="E10" s="23" t="s">
        <v>321</v>
      </c>
      <c r="F10" s="27" t="s">
        <v>799</v>
      </c>
    </row>
    <row r="11" spans="1:7" ht="20.100000000000001" customHeight="1" x14ac:dyDescent="0.25">
      <c r="A11" s="5" t="str">
        <f>HYPERLINK("#'Input - Pasture Beef (Enteric)'!A1", "Pasture Beef (Enteric)")</f>
        <v>Pasture Beef (Enteric)</v>
      </c>
    </row>
    <row r="12" spans="1:7" ht="20.100000000000001" customHeight="1" x14ac:dyDescent="0.25">
      <c r="A12" s="134" t="str">
        <f>HYPERLINK("#'Input - Pasture'!A1", "Pasture")</f>
        <v>Pasture</v>
      </c>
      <c r="D12" s="1" t="s">
        <v>800</v>
      </c>
      <c r="E12" s="87">
        <v>1000</v>
      </c>
      <c r="F12" s="27" t="s">
        <v>801</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802</v>
      </c>
    </row>
    <row r="15" spans="1:7" ht="20.100000000000001" customHeight="1" x14ac:dyDescent="0.25">
      <c r="A15" s="5" t="str">
        <f>HYPERLINK("#'Input - Electricity'!A1", "Electricity")</f>
        <v>Electricity</v>
      </c>
    </row>
    <row r="16" spans="1:7" ht="20.100000000000001" customHeight="1" x14ac:dyDescent="0.25">
      <c r="D16" s="238" t="s">
        <v>803</v>
      </c>
      <c r="E16" s="55"/>
      <c r="F16" s="56"/>
    </row>
    <row r="17" spans="1:6" ht="20.100000000000001" customHeight="1" x14ac:dyDescent="0.25">
      <c r="D17" s="57" t="s">
        <v>804</v>
      </c>
      <c r="E17" s="58"/>
      <c r="F17" s="59"/>
    </row>
    <row r="18" spans="1:6" ht="20.100000000000001" customHeight="1" x14ac:dyDescent="0.25">
      <c r="A18" s="6" t="s">
        <v>2</v>
      </c>
    </row>
    <row r="19" spans="1:6" ht="20.100000000000001" customHeight="1" x14ac:dyDescent="0.25">
      <c r="A19" s="5" t="str">
        <f>HYPERLINK("#'3.2.1.1-2 Enteric Methane'!A1", "3.2.1.1-2 Enteric methane")</f>
        <v>3.2.1.1-2 Enteric methane</v>
      </c>
      <c r="D19" s="1" t="s">
        <v>805</v>
      </c>
      <c r="E19" s="87">
        <f>_xlfn.XLOOKUP(E9, Table_SourceData_PastureAttributes[Pasture type],Table_SourceData_PastureAttributes[Average Yield (t DM ha) Yp])</f>
        <v>8.34</v>
      </c>
      <c r="F19" s="27" t="s">
        <v>806</v>
      </c>
    </row>
    <row r="20" spans="1:6" ht="20.100000000000001" customHeight="1" x14ac:dyDescent="0.25">
      <c r="A20" s="5" t="str">
        <f>HYPERLINK("#'4.2.1.1-2 Methane'!A1", "4.2.1.1-2 Manure methane")</f>
        <v>4.2.1.1-2 Manure methane</v>
      </c>
      <c r="D20" s="1" t="s">
        <v>807</v>
      </c>
      <c r="E20" s="26">
        <f>E12*E19</f>
        <v>8340</v>
      </c>
      <c r="F20" s="27" t="s">
        <v>808</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809</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810</v>
      </c>
      <c r="E25" s="87">
        <v>500</v>
      </c>
      <c r="F25" s="27" t="s">
        <v>801</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0"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187F1EC5-4D57-4A66-9CE6-091443A6B625}">
      <formula1>INDIRECT("Table_SourceData_Fertiliser_IrrigationMethods[Irrigation method]")</formula1>
    </dataValidation>
    <dataValidation type="list" allowBlank="1" showInputMessage="1" showErrorMessage="1" sqref="E9" xr:uid="{A4F41979-71E9-4DA5-B0FE-0597CB89CB06}">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D4AEC-26A5-41F7-B322-36F35F67BDB2}">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464</v>
      </c>
    </row>
    <row r="2" spans="1:25" s="3" customFormat="1" ht="20.100000000000001" customHeight="1" x14ac:dyDescent="0.25">
      <c r="A2"/>
    </row>
    <row r="3" spans="1:25" ht="20.100000000000001" customHeight="1" x14ac:dyDescent="0.25">
      <c r="A3" s="5" t="str">
        <f>HYPERLINK("#'Home'!A1", "Home")</f>
        <v>Home</v>
      </c>
      <c r="C3" s="40"/>
      <c r="D3" s="40"/>
      <c r="E3" s="40"/>
      <c r="F3" s="40"/>
      <c r="G3" s="40"/>
      <c r="H3" s="40"/>
      <c r="I3" s="40"/>
      <c r="J3" s="40"/>
      <c r="K3" s="40"/>
      <c r="L3" s="40"/>
      <c r="M3" s="40"/>
      <c r="N3" s="40"/>
      <c r="O3" s="40"/>
      <c r="P3" s="40"/>
      <c r="Q3" s="40"/>
      <c r="R3" s="40"/>
      <c r="S3" s="40"/>
      <c r="T3" s="40"/>
      <c r="U3" s="40"/>
      <c r="V3" s="40"/>
      <c r="W3" s="40"/>
      <c r="X3" s="40"/>
      <c r="Y3" s="40"/>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307</v>
      </c>
      <c r="E6" s="23" t="s">
        <v>465</v>
      </c>
      <c r="F6" s="27" t="s">
        <v>112</v>
      </c>
    </row>
    <row r="7" spans="1:25" ht="20.100000000000001" customHeight="1" x14ac:dyDescent="0.25">
      <c r="A7" s="7" t="s">
        <v>0</v>
      </c>
      <c r="D7" s="1" t="s">
        <v>466</v>
      </c>
      <c r="E7" s="23" t="s">
        <v>467</v>
      </c>
      <c r="F7" s="27" t="s">
        <v>112</v>
      </c>
    </row>
    <row r="8" spans="1:25" ht="20.100000000000001" customHeight="1" x14ac:dyDescent="0.25">
      <c r="A8" s="5" t="str">
        <f>HYPERLINK("#'Input - Enterprise'!A1", "Enterprise")</f>
        <v>Enterprise</v>
      </c>
      <c r="D8" s="1" t="s">
        <v>75</v>
      </c>
      <c r="E8" s="23" t="s">
        <v>237</v>
      </c>
      <c r="F8" s="27" t="s">
        <v>112</v>
      </c>
    </row>
    <row r="9" spans="1:25" ht="20.100000000000001" customHeight="1" x14ac:dyDescent="0.25">
      <c r="A9" s="5" t="str">
        <f>HYPERLINK("#'Input - Site'!A1", "Site")</f>
        <v>Site</v>
      </c>
      <c r="D9" s="1" t="s">
        <v>468</v>
      </c>
      <c r="E9" s="87">
        <v>100</v>
      </c>
      <c r="F9" s="27" t="s">
        <v>469</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470</v>
      </c>
      <c r="E11" s="36"/>
      <c r="F11" s="36"/>
      <c r="G11" s="36"/>
      <c r="H11" s="36"/>
      <c r="I11" s="36"/>
      <c r="J11" s="36"/>
      <c r="K11" s="36"/>
      <c r="L11" s="36"/>
      <c r="M11" s="36"/>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4" t="str">
        <f>HYPERLINK("#'Input - Fertiliser'!A1", "Fertiliser")</f>
        <v>Fertiliser</v>
      </c>
      <c r="D13" s="135" t="s">
        <v>471</v>
      </c>
      <c r="E13" s="55"/>
      <c r="F13" s="55"/>
      <c r="G13" s="55"/>
      <c r="H13" s="56"/>
      <c r="I13" s="136"/>
      <c r="J13" s="137"/>
      <c r="K13" s="138"/>
      <c r="L13" s="138"/>
      <c r="M13" s="138"/>
    </row>
    <row r="14" spans="1:25" ht="20.100000000000001" customHeight="1" x14ac:dyDescent="0.25">
      <c r="A14" s="5" t="str">
        <f>HYPERLINK("#'Input - Fuel'!A1", "Fuel")</f>
        <v>Fuel</v>
      </c>
      <c r="D14" s="57" t="s">
        <v>472</v>
      </c>
      <c r="E14" s="58"/>
      <c r="F14" s="58"/>
      <c r="G14" s="59"/>
      <c r="H14" s="139"/>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473</v>
      </c>
      <c r="E16" s="8"/>
      <c r="F16" s="8"/>
      <c r="G16" s="8"/>
      <c r="H16" s="8"/>
      <c r="I16" s="8"/>
      <c r="J16" s="8"/>
      <c r="K16" s="8"/>
      <c r="L16" s="8"/>
      <c r="M16" s="8"/>
    </row>
    <row r="17" spans="1:24" ht="36" customHeight="1" x14ac:dyDescent="0.25">
      <c r="D17" s="140" t="s">
        <v>474</v>
      </c>
      <c r="E17" s="141" t="s">
        <v>475</v>
      </c>
      <c r="F17" s="142" t="s">
        <v>476</v>
      </c>
      <c r="G17" s="142" t="s">
        <v>477</v>
      </c>
      <c r="H17" s="141" t="s">
        <v>478</v>
      </c>
      <c r="I17" s="141" t="s">
        <v>479</v>
      </c>
      <c r="J17" s="140" t="s">
        <v>480</v>
      </c>
      <c r="K17" s="140" t="s">
        <v>481</v>
      </c>
      <c r="L17" s="140" t="s">
        <v>482</v>
      </c>
      <c r="M17" s="140" t="s">
        <v>483</v>
      </c>
      <c r="N17" s="140" t="s">
        <v>484</v>
      </c>
      <c r="O17" s="140" t="s">
        <v>485</v>
      </c>
      <c r="P17" s="140" t="s">
        <v>486</v>
      </c>
      <c r="Q17" s="140" t="s">
        <v>487</v>
      </c>
      <c r="R17" s="140" t="s">
        <v>488</v>
      </c>
      <c r="S17" s="140" t="s">
        <v>489</v>
      </c>
      <c r="T17" s="140" t="s">
        <v>490</v>
      </c>
      <c r="U17" s="140" t="s">
        <v>491</v>
      </c>
      <c r="V17" s="140" t="s">
        <v>492</v>
      </c>
      <c r="W17" s="143" t="s">
        <v>493</v>
      </c>
      <c r="X17" s="143" t="s">
        <v>494</v>
      </c>
    </row>
    <row r="18" spans="1:24" ht="36" customHeight="1" x14ac:dyDescent="0.25">
      <c r="A18" s="6" t="s">
        <v>2</v>
      </c>
      <c r="D18" s="98" t="s">
        <v>495</v>
      </c>
      <c r="E18" s="144">
        <v>100</v>
      </c>
      <c r="F18" s="26" t="str">
        <f>_xlfn.XLOOKUP(Table_Input_InorganicFertiliser_Brands[[#This Row],[Product (select)]],FertiliserProducts[Product name],FertiliserProducts[Unit])</f>
        <v>L</v>
      </c>
      <c r="G18" s="26">
        <f>_xlfn.XLOOKUP(Table_Input_InorganicFertiliser_Brands[[#This Row],[Product (select)]],FertiliserProducts[Product name],FertiliserProducts[Density / gravity])</f>
        <v>1.26</v>
      </c>
      <c r="H18" s="144">
        <f>$E$9</f>
        <v>100</v>
      </c>
      <c r="I18" s="145">
        <f>(Table_Input_InorganicFertiliser_Brands[[#This Row],[Amount applied per hectare]]*Table_Input_InorganicFertiliser_Brands[[#This Row],[Density]])*Table_Input_InorganicFertiliser_Brands[[#This Row],[Application area (ha)]]</f>
        <v>12600</v>
      </c>
      <c r="J18" s="145"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5"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5"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5"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5"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5"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5"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5"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5"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5"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5"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5"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5">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6" t="str">
        <f>_xlfn.XLOOKUP(Table_Input_InorganicFertiliser_Brands[[#This Row],[Product (select)]],FertiliserProducts[Product name],FertiliserProducts[Urea source])</f>
        <v/>
      </c>
      <c r="X18" s="26"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8" t="s">
        <v>496</v>
      </c>
      <c r="E19" s="144">
        <v>100</v>
      </c>
      <c r="F19" s="26" t="str">
        <f>_xlfn.XLOOKUP(Table_Input_InorganicFertiliser_Brands[[#This Row],[Product (select)]],FertiliserProducts[Product name],FertiliserProducts[Unit])</f>
        <v>L</v>
      </c>
      <c r="G19" s="26">
        <f>_xlfn.XLOOKUP(Table_Input_InorganicFertiliser_Brands[[#This Row],[Product (select)]],FertiliserProducts[Product name],FertiliserProducts[Density / gravity])</f>
        <v>1.2849999999999999</v>
      </c>
      <c r="H19" s="144">
        <f>$E$9</f>
        <v>100</v>
      </c>
      <c r="I19" s="145">
        <f>(Table_Input_InorganicFertiliser_Brands[[#This Row],[Amount applied per hectare]]*Table_Input_InorganicFertiliser_Brands[[#This Row],[Density]])*Table_Input_InorganicFertiliser_Brands[[#This Row],[Application area (ha)]]</f>
        <v>12850</v>
      </c>
      <c r="J19" s="145"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5"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5"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5"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5"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5"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5"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5"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5"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5"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5"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5"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5">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5" t="str">
        <f>_xlfn.XLOOKUP(Table_Input_InorganicFertiliser_Brands[[#This Row],[Product (select)]],FertiliserProducts[Product name],FertiliserProducts[Urea source])</f>
        <v/>
      </c>
      <c r="X19" s="145"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8" t="s">
        <v>496</v>
      </c>
      <c r="E20" s="144">
        <v>100</v>
      </c>
      <c r="F20" s="26" t="str">
        <f>_xlfn.XLOOKUP(Table_Input_InorganicFertiliser_Brands[[#This Row],[Product (select)]],FertiliserProducts[Product name],FertiliserProducts[Unit])</f>
        <v>L</v>
      </c>
      <c r="G20" s="26">
        <f>_xlfn.XLOOKUP(Table_Input_InorganicFertiliser_Brands[[#This Row],[Product (select)]],FertiliserProducts[Product name],FertiliserProducts[Density / gravity])</f>
        <v>1.2849999999999999</v>
      </c>
      <c r="H20" s="144">
        <f>$E$9</f>
        <v>100</v>
      </c>
      <c r="I20" s="145">
        <f>(Table_Input_InorganicFertiliser_Brands[[#This Row],[Amount applied per hectare]]*Table_Input_InorganicFertiliser_Brands[[#This Row],[Density]])*Table_Input_InorganicFertiliser_Brands[[#This Row],[Application area (ha)]]</f>
        <v>12850</v>
      </c>
      <c r="J20" s="145"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5"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5"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5"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5"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5"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5"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5"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5"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5"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5"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5"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5">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5" t="str">
        <f>_xlfn.XLOOKUP(Table_Input_InorganicFertiliser_Brands[[#This Row],[Product (select)]],FertiliserProducts[Product name],FertiliserProducts[Urea source])</f>
        <v/>
      </c>
      <c r="X20" s="145"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8" t="s">
        <v>497</v>
      </c>
      <c r="E21" s="144">
        <v>100</v>
      </c>
      <c r="F21" s="26" t="str">
        <f>_xlfn.XLOOKUP(Table_Input_InorganicFertiliser_Brands[[#This Row],[Product (select)]],FertiliserProducts[Product name],FertiliserProducts[Unit])</f>
        <v>L</v>
      </c>
      <c r="G21" s="26">
        <f>_xlfn.XLOOKUP(Table_Input_InorganicFertiliser_Brands[[#This Row],[Product (select)]],FertiliserProducts[Product name],FertiliserProducts[Density / gravity])</f>
        <v>1.26</v>
      </c>
      <c r="H21" s="144">
        <f>$E$9</f>
        <v>100</v>
      </c>
      <c r="I21" s="145">
        <f>(Table_Input_InorganicFertiliser_Brands[[#This Row],[Amount applied per hectare]]*Table_Input_InorganicFertiliser_Brands[[#This Row],[Density]])*Table_Input_InorganicFertiliser_Brands[[#This Row],[Application area (ha)]]</f>
        <v>12600</v>
      </c>
      <c r="J21" s="145"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5"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5"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5"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5"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5"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5"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5"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5"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5"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5"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5"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5">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5" t="str">
        <f>_xlfn.XLOOKUP(Table_Input_InorganicFertiliser_Brands[[#This Row],[Product (select)]],FertiliserProducts[Product name],FertiliserProducts[Urea source])</f>
        <v/>
      </c>
      <c r="X21" s="145"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8" t="s">
        <v>498</v>
      </c>
      <c r="E22" s="144">
        <v>100</v>
      </c>
      <c r="F22" s="26" t="str">
        <f>_xlfn.XLOOKUP(Table_Input_InorganicFertiliser_Brands[[#This Row],[Product (select)]],FertiliserProducts[Product name],FertiliserProducts[Unit])</f>
        <v>L</v>
      </c>
      <c r="G22" s="26">
        <f>_xlfn.XLOOKUP(Table_Input_InorganicFertiliser_Brands[[#This Row],[Product (select)]],FertiliserProducts[Product name],FertiliserProducts[Density / gravity])</f>
        <v>1.5</v>
      </c>
      <c r="H22" s="144">
        <f>$E$9</f>
        <v>100</v>
      </c>
      <c r="I22" s="145">
        <f>(Table_Input_InorganicFertiliser_Brands[[#This Row],[Amount applied per hectare]]*Table_Input_InorganicFertiliser_Brands[[#This Row],[Density]])*Table_Input_InorganicFertiliser_Brands[[#This Row],[Application area (ha)]]</f>
        <v>15000</v>
      </c>
      <c r="J22" s="145"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5"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5"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5"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5"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5"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5"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5"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5"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5"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5"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5"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5">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5" t="str">
        <f>_xlfn.XLOOKUP(Table_Input_InorganicFertiliser_Brands[[#This Row],[Product (select)]],FertiliserProducts[Product name],FertiliserProducts[Urea source])</f>
        <v/>
      </c>
      <c r="X22" s="145"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6"/>
      <c r="E23" s="147"/>
      <c r="F23" s="148"/>
      <c r="G23" s="148"/>
      <c r="H23" s="148"/>
      <c r="I23" s="148"/>
      <c r="J23" s="149"/>
      <c r="K23" s="149"/>
      <c r="L23" s="150"/>
      <c r="M23" s="150"/>
      <c r="N23" s="151"/>
      <c r="O23" s="151"/>
      <c r="P23" s="151"/>
      <c r="Q23" s="151"/>
      <c r="R23" s="151"/>
      <c r="S23" s="151"/>
      <c r="T23" s="151"/>
      <c r="U23" s="151"/>
      <c r="V23" s="151"/>
      <c r="W23" s="151"/>
      <c r="X23" s="151"/>
    </row>
    <row r="24" spans="1:24" ht="36" customHeight="1" x14ac:dyDescent="0.25">
      <c r="A24" s="5" t="str">
        <f>HYPERLINK("#'5.1.1.1-2 Inorganic fert N2O'!A1", "5.1.1.1-2 Inorganic fert N2O")</f>
        <v>5.1.1.1-2 Inorganic fert N2O</v>
      </c>
      <c r="D24" s="152" t="s">
        <v>499</v>
      </c>
      <c r="E24" s="153"/>
      <c r="F24" s="153"/>
      <c r="G24" s="153"/>
      <c r="H24" s="153"/>
      <c r="I24" s="153"/>
      <c r="J24" s="153"/>
      <c r="K24" s="153"/>
      <c r="L24" s="153"/>
      <c r="M24" s="153"/>
      <c r="N24" s="151"/>
      <c r="O24" s="151"/>
      <c r="P24" s="151"/>
      <c r="Q24" s="151"/>
      <c r="R24" s="151"/>
      <c r="S24" s="151"/>
      <c r="T24" s="151"/>
      <c r="V24" s="151"/>
      <c r="W24" s="151"/>
      <c r="X24" s="151"/>
    </row>
    <row r="25" spans="1:24" ht="36" customHeight="1" x14ac:dyDescent="0.25">
      <c r="A25" s="5" t="str">
        <f>HYPERLINK("#'5.1.1.3-4 Inorganic fert CO2'!A1", "5.1.1.3-4 Inorganic fert CO2")</f>
        <v>5.1.1.3-4 Inorganic fert CO2</v>
      </c>
      <c r="D25" s="141" t="s">
        <v>500</v>
      </c>
      <c r="E25" s="141" t="s">
        <v>501</v>
      </c>
      <c r="F25" s="141" t="s">
        <v>478</v>
      </c>
      <c r="G25" s="141" t="s">
        <v>479</v>
      </c>
      <c r="H25" s="141" t="s">
        <v>502</v>
      </c>
      <c r="I25" s="141" t="s">
        <v>481</v>
      </c>
      <c r="J25" s="141" t="s">
        <v>482</v>
      </c>
      <c r="K25" s="141" t="s">
        <v>483</v>
      </c>
      <c r="L25" s="141" t="s">
        <v>484</v>
      </c>
      <c r="M25" s="141" t="s">
        <v>485</v>
      </c>
      <c r="N25" s="141" t="s">
        <v>486</v>
      </c>
      <c r="O25" s="141" t="s">
        <v>487</v>
      </c>
      <c r="P25" s="141" t="s">
        <v>492</v>
      </c>
      <c r="Q25" s="143" t="s">
        <v>503</v>
      </c>
      <c r="R25" s="143" t="s">
        <v>504</v>
      </c>
      <c r="S25" s="151"/>
      <c r="T25" s="151"/>
      <c r="V25" s="151"/>
      <c r="W25" s="151"/>
      <c r="X25" s="151"/>
    </row>
    <row r="26" spans="1:24" ht="36" customHeight="1" x14ac:dyDescent="0.25">
      <c r="A26" s="5" t="str">
        <f>HYPERLINK("#'5.2.1.1-2 Organic Fert N2O'!A1", "5.2.1.1-2 Organic fert N2O")</f>
        <v>5.2.1.1-2 Organic fert N2O</v>
      </c>
      <c r="D26" s="45" t="s">
        <v>505</v>
      </c>
      <c r="E26" s="141">
        <v>100</v>
      </c>
      <c r="F26" s="144">
        <f>$E$9</f>
        <v>100</v>
      </c>
      <c r="G26" s="145">
        <f>Table_Input_InorganicFertiliser_Custom[[#This Row],[Amount applied (kg / ha)]]*Table_Input_InorganicFertiliser_Custom[[#This Row],[Application area (ha)]]</f>
        <v>10000</v>
      </c>
      <c r="H26" s="154" t="s">
        <v>506</v>
      </c>
      <c r="I26" s="155">
        <v>0.5</v>
      </c>
      <c r="J26" s="154" t="s">
        <v>507</v>
      </c>
      <c r="K26" s="155">
        <v>0.2</v>
      </c>
      <c r="L26" s="154" t="s">
        <v>508</v>
      </c>
      <c r="M26" s="155">
        <v>0.2</v>
      </c>
      <c r="N26" s="156" t="s">
        <v>509</v>
      </c>
      <c r="O26" s="29">
        <v>0.1</v>
      </c>
      <c r="P26" s="14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9"/>
    </row>
    <row r="27" spans="1:24" ht="20.100000000000001" customHeight="1" x14ac:dyDescent="0.25">
      <c r="A27" s="5" t="str">
        <f>HYPERLINK("#'5.3.1.1-2 Lime CO2'!A1", "5.3.1.1-2 Lime CO2")</f>
        <v>5.3.1.1-2 Lime CO2</v>
      </c>
      <c r="D27" s="45" t="s">
        <v>510</v>
      </c>
      <c r="E27" s="141">
        <v>100</v>
      </c>
      <c r="F27" s="157">
        <f>$E$9</f>
        <v>100</v>
      </c>
      <c r="G27" s="145">
        <f>Table_Input_InorganicFertiliser_Custom[[#This Row],[Amount applied (kg / ha)]]*Table_Input_InorganicFertiliser_Custom[[#This Row],[Application area (ha)]]</f>
        <v>10000</v>
      </c>
      <c r="H27" s="154" t="s">
        <v>511</v>
      </c>
      <c r="I27" s="158">
        <v>1</v>
      </c>
      <c r="J27" s="154"/>
      <c r="K27" s="158"/>
      <c r="L27" s="154"/>
      <c r="M27" s="158"/>
      <c r="N27" s="156"/>
      <c r="O27" s="29"/>
      <c r="P27" s="14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9"/>
    </row>
    <row r="28" spans="1:24" ht="20.100000000000001" customHeight="1" x14ac:dyDescent="0.25">
      <c r="A28" s="5" t="str">
        <f>HYPERLINK("#'5.4.1.1-4 Atmos deposition'!A1", "5.4.1.1-4 Atmos. deposition")</f>
        <v>5.4.1.1-4 Atmos. deposition</v>
      </c>
      <c r="D28" s="45" t="s">
        <v>512</v>
      </c>
      <c r="E28" s="141">
        <v>100</v>
      </c>
      <c r="F28" s="157">
        <f>$E$9</f>
        <v>100</v>
      </c>
      <c r="G28" s="145">
        <f>Table_Input_InorganicFertiliser_Custom[[#This Row],[Amount applied (kg / ha)]]*Table_Input_InorganicFertiliser_Custom[[#This Row],[Application area (ha)]]</f>
        <v>10000</v>
      </c>
      <c r="H28" s="154" t="s">
        <v>513</v>
      </c>
      <c r="I28" s="158">
        <v>0.5</v>
      </c>
      <c r="J28" s="154"/>
      <c r="K28" s="158"/>
      <c r="L28" s="154"/>
      <c r="M28" s="158"/>
      <c r="N28" s="156"/>
      <c r="O28" s="29"/>
      <c r="P28" s="145">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9"/>
    </row>
    <row r="30" spans="1:24" ht="20.100000000000001" customHeight="1" x14ac:dyDescent="0.25">
      <c r="A30" s="5" t="str">
        <f>HYPERLINK("#'6.2.1.1-2 Pasture residue N2O'!A1", "6.2.1.1-2 Pasture residue N2O")</f>
        <v>6.2.1.1-2 Pasture residue N2O</v>
      </c>
      <c r="D30" s="2" t="s">
        <v>514</v>
      </c>
      <c r="E30" s="36"/>
      <c r="F30" s="36"/>
      <c r="G30" s="36"/>
      <c r="H30" s="36"/>
      <c r="I30" s="36"/>
      <c r="J30" s="36"/>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6"/>
    </row>
    <row r="32" spans="1:24" ht="30" customHeight="1" x14ac:dyDescent="0.25">
      <c r="A32" s="5" t="str">
        <f>HYPERLINK("#'8.1.1.1-2 Transport fuel'!A1", "8.1.1.1-2 Transport fuel")</f>
        <v>8.1.1.1-2 Transport fuel</v>
      </c>
      <c r="D32" s="135" t="s">
        <v>515</v>
      </c>
      <c r="E32" s="55"/>
      <c r="F32" s="56"/>
      <c r="G32" s="135"/>
      <c r="H32" s="56"/>
      <c r="I32" s="36"/>
      <c r="J32" s="36"/>
      <c r="K32" s="8"/>
      <c r="L32" s="8"/>
      <c r="M32" s="8"/>
    </row>
    <row r="33" spans="1:25" ht="36" customHeight="1" x14ac:dyDescent="0.25">
      <c r="A33" s="5" t="str">
        <f>HYPERLINK("#'8.2.1.1-2 Stationary fuel'!A1", "8.2.1.1-2 Stationary fuel")</f>
        <v>8.2.1.1-2 Stationary fuel</v>
      </c>
      <c r="D33" s="159" t="s">
        <v>516</v>
      </c>
      <c r="E33" s="160"/>
      <c r="F33" s="161"/>
      <c r="G33" s="159"/>
      <c r="H33" s="161"/>
      <c r="I33" s="8"/>
      <c r="J33" s="8"/>
      <c r="K33" s="8"/>
      <c r="L33" s="8"/>
      <c r="M33" s="36"/>
    </row>
    <row r="34" spans="1:25" ht="36" customHeight="1" x14ac:dyDescent="0.25">
      <c r="A34" s="5" t="str">
        <f>HYPERLINK("#'14.1.1-2 Purchased electricity'!A1", "14.1.1-2 Purchased electricity")</f>
        <v>14.1.1-2 Purchased electricity</v>
      </c>
      <c r="D34" s="57" t="s">
        <v>472</v>
      </c>
      <c r="E34" s="58"/>
      <c r="F34" s="58"/>
      <c r="G34" s="58"/>
      <c r="H34" s="59"/>
      <c r="I34" s="8"/>
      <c r="J34" s="8"/>
      <c r="K34" s="8"/>
      <c r="L34" s="8"/>
      <c r="M34" s="36"/>
    </row>
    <row r="35" spans="1:25" ht="36" customHeight="1" x14ac:dyDescent="0.25">
      <c r="D35" s="24" t="str">
        <f>IF(MAX(Table_Input_Lime[Total]) &gt; 1, "There can not be more than 100% ingredients in a product. Check the table below.", "")</f>
        <v/>
      </c>
    </row>
    <row r="36" spans="1:25" ht="36" customHeight="1" x14ac:dyDescent="0.25">
      <c r="D36" s="162" t="s">
        <v>156</v>
      </c>
      <c r="E36" s="162" t="s">
        <v>517</v>
      </c>
      <c r="F36" s="162" t="s">
        <v>478</v>
      </c>
      <c r="G36" s="162" t="s">
        <v>518</v>
      </c>
      <c r="H36" s="162" t="s">
        <v>519</v>
      </c>
      <c r="I36" s="162" t="s">
        <v>520</v>
      </c>
      <c r="J36" s="162" t="s">
        <v>521</v>
      </c>
      <c r="K36" s="162" t="s">
        <v>4</v>
      </c>
    </row>
    <row r="37" spans="1:25" ht="20.100000000000001" customHeight="1" x14ac:dyDescent="0.25">
      <c r="A37" s="250" t="s">
        <v>1</v>
      </c>
      <c r="D37" s="163" t="s">
        <v>522</v>
      </c>
      <c r="E37" s="144">
        <v>1</v>
      </c>
      <c r="F37" s="144">
        <f>$E$9</f>
        <v>100</v>
      </c>
      <c r="G37" s="145">
        <f>IFERROR(Table_Input_Lime[[#This Row],[Amount applied (t/hectare)]]*Table_Input_Lime[[#This Row],[Application area (ha)]], 0)</f>
        <v>100</v>
      </c>
      <c r="H37" s="164">
        <v>0.8</v>
      </c>
      <c r="I37" s="164">
        <v>0.1</v>
      </c>
      <c r="J37" s="164">
        <v>0.1</v>
      </c>
      <c r="K37" s="165">
        <f>SUM(Table_Input_Lime[[#This Row],[Percent Lime CaCO3]:[Percent Gypsum]])</f>
        <v>1</v>
      </c>
    </row>
    <row r="38" spans="1:25" ht="20.100000000000001" customHeight="1" x14ac:dyDescent="0.25">
      <c r="A38" s="5" t="str">
        <f>HYPERLINK("#'Constants - Pasture Beef'!A1", "Constants - Pasture Beef")</f>
        <v>Constants - Pasture Beef</v>
      </c>
      <c r="C38" s="151"/>
      <c r="D38" s="163" t="s">
        <v>523</v>
      </c>
      <c r="E38" s="144">
        <v>1</v>
      </c>
      <c r="F38" s="144">
        <f>$E$9</f>
        <v>100</v>
      </c>
      <c r="G38" s="145">
        <f>IFERROR(Table_Input_Lime[[#This Row],[Amount applied (t/hectare)]]*Table_Input_Lime[[#This Row],[Application area (ha)]], 0)</f>
        <v>100</v>
      </c>
      <c r="H38" s="164">
        <v>1</v>
      </c>
      <c r="I38" s="164"/>
      <c r="J38" s="164"/>
      <c r="K38" s="165">
        <f>SUM(Table_Input_Lime[[#This Row],[Percent Lime CaCO3]:[Percent Gypsum]])</f>
        <v>1</v>
      </c>
      <c r="L38" s="36"/>
    </row>
    <row r="39" spans="1:25" ht="20.100000000000001" customHeight="1" x14ac:dyDescent="0.25">
      <c r="A39" s="5" t="str">
        <f>HYPERLINK("#'Constants - Ag Residue'!A1", "Constants - Ag residue")</f>
        <v>Constants - Ag residue</v>
      </c>
      <c r="C39" s="151"/>
      <c r="D39" s="163" t="s">
        <v>524</v>
      </c>
      <c r="E39" s="144">
        <v>1</v>
      </c>
      <c r="F39" s="144">
        <f>$E$9</f>
        <v>100</v>
      </c>
      <c r="G39" s="145">
        <f>IFERROR(Table_Input_Lime[[#This Row],[Amount applied (t/hectare)]]*Table_Input_Lime[[#This Row],[Application area (ha)]], 0)</f>
        <v>100</v>
      </c>
      <c r="H39" s="164">
        <v>0</v>
      </c>
      <c r="I39" s="164"/>
      <c r="J39" s="164">
        <v>1</v>
      </c>
      <c r="K39" s="165">
        <f>SUM(Table_Input_Lime[[#This Row],[Percent Lime CaCO3]:[Percent Gypsum]])</f>
        <v>1</v>
      </c>
      <c r="L39" s="36"/>
      <c r="M39" s="36"/>
    </row>
    <row r="40" spans="1:25" s="166"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6"/>
      <c r="N40" s="1"/>
      <c r="O40" s="1"/>
      <c r="P40" s="1"/>
      <c r="Q40" s="1"/>
      <c r="R40" s="1"/>
      <c r="S40" s="1"/>
      <c r="T40" s="1"/>
      <c r="U40" s="1"/>
      <c r="V40" s="1"/>
      <c r="W40" s="1"/>
      <c r="X40" s="1"/>
      <c r="Y40" s="1"/>
    </row>
    <row r="41" spans="1:25" s="166" customFormat="1" ht="20.100000000000001" customHeight="1" x14ac:dyDescent="0.25">
      <c r="A41" s="5" t="str">
        <f>HYPERLINK("#'Constants - Electricity'!A1", "Constants - Electricity")</f>
        <v>Constants - Electricity</v>
      </c>
      <c r="C41" s="1"/>
      <c r="D41" s="8"/>
      <c r="E41" s="8"/>
      <c r="F41" s="8"/>
      <c r="G41" s="8"/>
      <c r="H41" s="8"/>
      <c r="I41" s="8"/>
      <c r="J41" s="167"/>
      <c r="K41" s="36"/>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525</v>
      </c>
      <c r="E42" s="36"/>
      <c r="F42" s="36"/>
      <c r="G42" s="36"/>
      <c r="H42" s="8"/>
      <c r="I42" s="8"/>
      <c r="J42" s="8"/>
      <c r="K42" s="8"/>
      <c r="L42" s="8"/>
      <c r="M42" s="8"/>
      <c r="S42" s="151"/>
    </row>
    <row r="43" spans="1:25" ht="36" customHeight="1" x14ac:dyDescent="0.25">
      <c r="A43" s="5" t="str">
        <f>HYPERLINK("#'Constants - Fuel'!A1", "Constants - Fuel")</f>
        <v>Constants - Fuel</v>
      </c>
      <c r="D43" s="8"/>
      <c r="E43" s="8"/>
      <c r="F43" s="8"/>
      <c r="G43" s="8"/>
      <c r="H43" s="8"/>
      <c r="I43" s="8"/>
      <c r="J43" s="8"/>
      <c r="K43" s="8"/>
      <c r="L43" s="8"/>
      <c r="M43" s="8"/>
      <c r="Q43" s="151"/>
      <c r="R43" s="151"/>
      <c r="S43" s="151"/>
    </row>
    <row r="44" spans="1:25" ht="36" customHeight="1" x14ac:dyDescent="0.25">
      <c r="A44" s="5" t="str">
        <f>HYPERLINK("#'Constants - Common'!A1", "Constants - Common")</f>
        <v>Constants - Common</v>
      </c>
      <c r="D44" s="135" t="s">
        <v>515</v>
      </c>
      <c r="E44" s="55"/>
      <c r="F44" s="55"/>
      <c r="G44" s="55"/>
      <c r="H44" s="56"/>
      <c r="I44" s="8"/>
      <c r="J44" s="8"/>
      <c r="K44" s="8"/>
      <c r="L44" s="8"/>
      <c r="M44" s="8"/>
      <c r="O44" s="151"/>
      <c r="P44" s="151"/>
      <c r="Q44" s="151"/>
      <c r="R44" s="151"/>
    </row>
    <row r="45" spans="1:25" ht="36" customHeight="1" x14ac:dyDescent="0.25">
      <c r="A45" s="5" t="str">
        <f>HYPERLINK("#'Acknowledgements'!A1", "Acknowledgements")</f>
        <v>Acknowledgements</v>
      </c>
      <c r="D45" s="57" t="s">
        <v>472</v>
      </c>
      <c r="E45" s="58"/>
      <c r="F45" s="58"/>
      <c r="G45" s="58"/>
      <c r="H45" s="59"/>
      <c r="I45" s="8"/>
      <c r="J45" s="8"/>
      <c r="K45" s="8"/>
      <c r="L45" s="153"/>
      <c r="M45" s="151"/>
      <c r="N45" s="151"/>
      <c r="O45" s="151"/>
      <c r="P45" s="151"/>
    </row>
    <row r="46" spans="1:25" ht="36" customHeight="1" x14ac:dyDescent="0.25">
      <c r="A46" s="5" t="str">
        <f>HYPERLINK("#'Overview'!A1", "Overview")</f>
        <v>Overview</v>
      </c>
      <c r="D46" s="8"/>
      <c r="E46" s="8"/>
      <c r="F46" s="8"/>
      <c r="G46" s="8"/>
      <c r="H46" s="8"/>
      <c r="I46" s="8"/>
      <c r="J46" s="8"/>
      <c r="K46" s="8"/>
      <c r="L46" s="153"/>
      <c r="M46" s="151"/>
      <c r="N46" s="151"/>
    </row>
    <row r="47" spans="1:25" ht="20.100000000000001" customHeight="1" x14ac:dyDescent="0.25">
      <c r="D47" s="162" t="s">
        <v>526</v>
      </c>
      <c r="E47" s="162" t="s">
        <v>527</v>
      </c>
      <c r="F47" s="162" t="s">
        <v>528</v>
      </c>
      <c r="G47" s="162" t="s">
        <v>529</v>
      </c>
      <c r="H47" s="162" t="s">
        <v>478</v>
      </c>
      <c r="I47" s="162" t="s">
        <v>530</v>
      </c>
      <c r="J47" s="162" t="s">
        <v>531</v>
      </c>
      <c r="K47" s="153"/>
    </row>
    <row r="48" spans="1:25" ht="20.100000000000001" customHeight="1" x14ac:dyDescent="0.25">
      <c r="D48" s="98" t="s">
        <v>532</v>
      </c>
      <c r="E48" s="164">
        <v>0.3</v>
      </c>
      <c r="F48" s="144">
        <v>10</v>
      </c>
      <c r="G48" s="145">
        <f>Table_Input_OrganicFertiliser[[#This Row],[Amount applied (kg/hectare)]]*Table_Input_OrganicFertiliser[[#This Row],[Percentage of N in fertiliser]]</f>
        <v>3</v>
      </c>
      <c r="H48" s="144">
        <f>$E$9</f>
        <v>100</v>
      </c>
      <c r="I48" s="145">
        <f>Table_Input_OrganicFertiliser[[#This Row],[Amount applied (kg/hectare)]]*Table_Input_OrganicFertiliser[[#This Row],[Application area (ha)]]</f>
        <v>1000</v>
      </c>
      <c r="J48" s="145">
        <f>IFERROR(Table_Input_OrganicFertiliser[[#This Row],[Amount N applied (kg/hectare)]]*Table_Input_OrganicFertiliser[[#This Row],[Application area (ha)]], 0)</f>
        <v>300</v>
      </c>
      <c r="K48" s="153"/>
    </row>
    <row r="49" spans="4:10" ht="20.100000000000001" customHeight="1" x14ac:dyDescent="0.25">
      <c r="D49" s="98" t="s">
        <v>533</v>
      </c>
      <c r="E49" s="164">
        <v>0.25</v>
      </c>
      <c r="F49" s="144">
        <v>10</v>
      </c>
      <c r="G49" s="145">
        <f>Table_Input_OrganicFertiliser[[#This Row],[Amount applied (kg/hectare)]]*Table_Input_OrganicFertiliser[[#This Row],[Percentage of N in fertiliser]]</f>
        <v>2.5</v>
      </c>
      <c r="H49" s="144">
        <f>$E$9</f>
        <v>100</v>
      </c>
      <c r="I49" s="145">
        <f>Table_Input_OrganicFertiliser[[#This Row],[Amount applied (kg/hectare)]]*Table_Input_OrganicFertiliser[[#This Row],[Application area (ha)]]</f>
        <v>1000</v>
      </c>
      <c r="J49" s="145">
        <f>IFERROR(Table_Input_OrganicFertiliser[[#This Row],[Amount N applied (kg/hectare)]]*Table_Input_OrganicFertiliser[[#This Row],[Application area (ha)]], 0)</f>
        <v>250</v>
      </c>
    </row>
    <row r="50" spans="4:10" ht="20.100000000000001" customHeight="1" x14ac:dyDescent="0.25">
      <c r="D50" s="98" t="s">
        <v>534</v>
      </c>
      <c r="E50" s="164">
        <v>0.16</v>
      </c>
      <c r="F50" s="144">
        <v>10</v>
      </c>
      <c r="G50" s="145">
        <f>Table_Input_OrganicFertiliser[[#This Row],[Amount applied (kg/hectare)]]*Table_Input_OrganicFertiliser[[#This Row],[Percentage of N in fertiliser]]</f>
        <v>1.6</v>
      </c>
      <c r="H50" s="144">
        <f>$E$9</f>
        <v>100</v>
      </c>
      <c r="I50" s="145">
        <f>Table_Input_OrganicFertiliser[[#This Row],[Amount applied (kg/hectare)]]*Table_Input_OrganicFertiliser[[#This Row],[Application area (ha)]]</f>
        <v>1000</v>
      </c>
      <c r="J50" s="145">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6"/>
    </row>
    <row r="115" spans="13:13" ht="20.100000000000001" customHeight="1" x14ac:dyDescent="0.25">
      <c r="M115" s="36"/>
    </row>
    <row r="116" spans="13:13" ht="20.100000000000001" customHeight="1" x14ac:dyDescent="0.25">
      <c r="M116" s="36"/>
    </row>
    <row r="117" spans="13:13" ht="20.100000000000001" customHeight="1" x14ac:dyDescent="0.25">
      <c r="M117" s="36"/>
    </row>
    <row r="118" spans="13:13" ht="20.100000000000001" customHeight="1" x14ac:dyDescent="0.25">
      <c r="M118" s="36"/>
    </row>
    <row r="119" spans="13:13" ht="20.100000000000001" customHeight="1" x14ac:dyDescent="0.25">
      <c r="M119" s="36"/>
    </row>
    <row r="120" spans="13:13" ht="20.100000000000001" customHeight="1" x14ac:dyDescent="0.25">
      <c r="M120" s="36"/>
    </row>
    <row r="121" spans="13:13" ht="20.100000000000001" customHeight="1" x14ac:dyDescent="0.25">
      <c r="M121" s="36"/>
    </row>
    <row r="122" spans="13:13" ht="20.100000000000001" customHeight="1" x14ac:dyDescent="0.25">
      <c r="M122" s="36"/>
    </row>
    <row r="123" spans="13:13" ht="20.100000000000001" customHeight="1" x14ac:dyDescent="0.25">
      <c r="M123" s="36"/>
    </row>
    <row r="124" spans="13:13" ht="20.100000000000001" customHeight="1" x14ac:dyDescent="0.25">
      <c r="M124" s="36"/>
    </row>
    <row r="125" spans="13:13" ht="20.100000000000001" customHeight="1" x14ac:dyDescent="0.25">
      <c r="M125" s="36"/>
    </row>
    <row r="126" spans="13:13" ht="20.100000000000001" customHeight="1" x14ac:dyDescent="0.25">
      <c r="M126" s="36"/>
    </row>
    <row r="127" spans="13:13" ht="20.100000000000001" customHeight="1" x14ac:dyDescent="0.25">
      <c r="M127" s="36"/>
    </row>
    <row r="128" spans="13:13" ht="20.100000000000001" customHeight="1" x14ac:dyDescent="0.25">
      <c r="M128" s="36"/>
    </row>
    <row r="129" spans="13:13" ht="20.100000000000001" customHeight="1" x14ac:dyDescent="0.25">
      <c r="M129" s="36"/>
    </row>
    <row r="130" spans="13:13" ht="20.100000000000001" customHeight="1" x14ac:dyDescent="0.25">
      <c r="M130" s="36"/>
    </row>
    <row r="131" spans="13:13" ht="20.100000000000001" customHeight="1" x14ac:dyDescent="0.25">
      <c r="M131" s="36"/>
    </row>
    <row r="132" spans="13:13" ht="20.100000000000001" customHeight="1" x14ac:dyDescent="0.25">
      <c r="M132" s="36"/>
    </row>
    <row r="133" spans="13:13" ht="20.100000000000001" customHeight="1" x14ac:dyDescent="0.25">
      <c r="M133" s="36"/>
    </row>
    <row r="134" spans="13:13" ht="20.100000000000001" customHeight="1" x14ac:dyDescent="0.25">
      <c r="M134" s="36"/>
    </row>
    <row r="135" spans="13:13" ht="20.100000000000001" customHeight="1" x14ac:dyDescent="0.25">
      <c r="M135" s="36"/>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7"/>
    </row>
    <row r="213" spans="12:12" x14ac:dyDescent="0.25">
      <c r="L213" s="27"/>
    </row>
    <row r="214" spans="12:12" x14ac:dyDescent="0.25">
      <c r="L214" s="27"/>
    </row>
    <row r="215" spans="12:12" x14ac:dyDescent="0.25">
      <c r="L215" s="27"/>
    </row>
    <row r="216" spans="12:12" x14ac:dyDescent="0.25">
      <c r="L216" s="27"/>
    </row>
    <row r="218" spans="12:12" x14ac:dyDescent="0.25">
      <c r="L218" s="27"/>
    </row>
    <row r="220" spans="12:12" x14ac:dyDescent="0.25">
      <c r="L220" s="27"/>
    </row>
    <row r="221" spans="12:12" x14ac:dyDescent="0.25">
      <c r="L221" s="27"/>
    </row>
    <row r="222" spans="12:12" x14ac:dyDescent="0.25">
      <c r="L222" s="27"/>
    </row>
    <row r="223" spans="12:12" x14ac:dyDescent="0.25">
      <c r="L223" s="27"/>
    </row>
    <row r="225" spans="12:12" x14ac:dyDescent="0.25">
      <c r="L225" s="27"/>
    </row>
    <row r="233" spans="12:12" x14ac:dyDescent="0.25">
      <c r="L233" s="27"/>
    </row>
    <row r="234" spans="12:12" x14ac:dyDescent="0.25">
      <c r="L234" s="27"/>
    </row>
    <row r="235" spans="12:12" x14ac:dyDescent="0.25">
      <c r="L235" s="27"/>
    </row>
    <row r="238" spans="12:12" x14ac:dyDescent="0.25">
      <c r="L238" s="27"/>
    </row>
    <row r="239" spans="12:12" x14ac:dyDescent="0.25">
      <c r="L239" s="27"/>
    </row>
    <row r="240" spans="12:12" x14ac:dyDescent="0.25">
      <c r="L240" s="27"/>
    </row>
    <row r="243" spans="11:12" x14ac:dyDescent="0.25">
      <c r="L243" s="27"/>
    </row>
    <row r="244" spans="11:12" x14ac:dyDescent="0.25">
      <c r="L244" s="27"/>
    </row>
    <row r="245" spans="11:12" x14ac:dyDescent="0.25">
      <c r="L245" s="27"/>
    </row>
    <row r="248" spans="11:12" x14ac:dyDescent="0.25">
      <c r="L248" s="27"/>
    </row>
    <row r="249" spans="11:12" x14ac:dyDescent="0.25">
      <c r="L249" s="27"/>
    </row>
    <row r="250" spans="11:12" x14ac:dyDescent="0.25">
      <c r="L250" s="27"/>
    </row>
    <row r="251" spans="11:12" x14ac:dyDescent="0.25">
      <c r="K251" s="27"/>
    </row>
    <row r="256" spans="11:12" x14ac:dyDescent="0.25">
      <c r="K256" s="27"/>
    </row>
    <row r="257" spans="11:12" x14ac:dyDescent="0.25">
      <c r="L257" s="27"/>
    </row>
    <row r="258" spans="11:12" x14ac:dyDescent="0.25">
      <c r="L258" s="27"/>
    </row>
    <row r="259" spans="11:12" x14ac:dyDescent="0.25">
      <c r="L259" s="27"/>
    </row>
    <row r="261" spans="11:12" x14ac:dyDescent="0.25">
      <c r="K261" s="27"/>
    </row>
    <row r="262" spans="11:12" x14ac:dyDescent="0.25">
      <c r="L262" s="27"/>
    </row>
    <row r="263" spans="11:12" x14ac:dyDescent="0.25">
      <c r="L263" s="27"/>
    </row>
    <row r="264" spans="11:12" x14ac:dyDescent="0.25">
      <c r="L264" s="27"/>
    </row>
    <row r="266" spans="11:12" x14ac:dyDescent="0.25">
      <c r="K266" s="27"/>
    </row>
    <row r="267" spans="11:12" x14ac:dyDescent="0.25">
      <c r="K267" s="27"/>
      <c r="L267" s="27"/>
    </row>
    <row r="268" spans="11:12" x14ac:dyDescent="0.25">
      <c r="K268" s="27"/>
      <c r="L268" s="27"/>
    </row>
    <row r="269" spans="11:12" x14ac:dyDescent="0.25">
      <c r="K269" s="27"/>
      <c r="L269" s="27"/>
    </row>
    <row r="270" spans="11:12" x14ac:dyDescent="0.25">
      <c r="K270" s="27"/>
    </row>
    <row r="272" spans="11:12" x14ac:dyDescent="0.25">
      <c r="K272" s="27"/>
      <c r="L272" s="27"/>
    </row>
    <row r="273" spans="11:12" x14ac:dyDescent="0.25">
      <c r="L273" s="27"/>
    </row>
    <row r="274" spans="11:12" x14ac:dyDescent="0.25">
      <c r="K274" s="27"/>
      <c r="L274" s="27"/>
    </row>
    <row r="275" spans="11:12" x14ac:dyDescent="0.25">
      <c r="K275" s="27"/>
    </row>
    <row r="276" spans="11:12" x14ac:dyDescent="0.25">
      <c r="K276" s="27"/>
    </row>
    <row r="277" spans="11:12" x14ac:dyDescent="0.25">
      <c r="K277" s="27"/>
    </row>
    <row r="279" spans="11:12" x14ac:dyDescent="0.25">
      <c r="K279" s="27"/>
    </row>
    <row r="285" spans="11:12" x14ac:dyDescent="0.25">
      <c r="K285" s="27"/>
    </row>
    <row r="290" spans="11:11" x14ac:dyDescent="0.25">
      <c r="K290" s="27"/>
    </row>
    <row r="295" spans="11:11" x14ac:dyDescent="0.25">
      <c r="K295" s="27"/>
    </row>
    <row r="300" spans="11:11" x14ac:dyDescent="0.25">
      <c r="K300" s="27"/>
    </row>
    <row r="301" spans="11:11" x14ac:dyDescent="0.25">
      <c r="K301" s="27"/>
    </row>
    <row r="302" spans="11:11" x14ac:dyDescent="0.25">
      <c r="K302" s="27"/>
    </row>
    <row r="303" spans="11:11" x14ac:dyDescent="0.25">
      <c r="K303" s="27"/>
    </row>
    <row r="304" spans="11:11" x14ac:dyDescent="0.25">
      <c r="K304" s="27"/>
    </row>
    <row r="306" spans="11:11" x14ac:dyDescent="0.25">
      <c r="K306" s="27"/>
    </row>
    <row r="308" spans="11:11" x14ac:dyDescent="0.25">
      <c r="K308" s="27"/>
    </row>
    <row r="309" spans="11:11" x14ac:dyDescent="0.25">
      <c r="K309" s="27"/>
    </row>
    <row r="310" spans="11:11" x14ac:dyDescent="0.25">
      <c r="K310" s="27"/>
    </row>
    <row r="311" spans="11:11" x14ac:dyDescent="0.25">
      <c r="K311" s="27"/>
    </row>
    <row r="313" spans="11:11" x14ac:dyDescent="0.25">
      <c r="K313" s="27"/>
    </row>
    <row r="321" spans="11:11" x14ac:dyDescent="0.25">
      <c r="K321" s="27"/>
    </row>
    <row r="322" spans="11:11" x14ac:dyDescent="0.25">
      <c r="K322" s="27"/>
    </row>
    <row r="323" spans="11:11" x14ac:dyDescent="0.25">
      <c r="K323" s="27"/>
    </row>
    <row r="326" spans="11:11" x14ac:dyDescent="0.25">
      <c r="K326" s="27"/>
    </row>
    <row r="327" spans="11:11" x14ac:dyDescent="0.25">
      <c r="K327" s="27"/>
    </row>
    <row r="328" spans="11:11" x14ac:dyDescent="0.25">
      <c r="K328" s="27"/>
    </row>
    <row r="331" spans="11:11" x14ac:dyDescent="0.25">
      <c r="K331" s="27"/>
    </row>
    <row r="332" spans="11:11" x14ac:dyDescent="0.25">
      <c r="K332" s="27"/>
    </row>
    <row r="333" spans="11:11" x14ac:dyDescent="0.25">
      <c r="K333" s="27"/>
    </row>
    <row r="336" spans="11:11" x14ac:dyDescent="0.25">
      <c r="K336" s="27"/>
    </row>
    <row r="337" spans="11:11" x14ac:dyDescent="0.25">
      <c r="K337" s="27"/>
    </row>
    <row r="338" spans="11:11" x14ac:dyDescent="0.25">
      <c r="K338" s="27"/>
    </row>
    <row r="345" spans="11:11" x14ac:dyDescent="0.25">
      <c r="K345" s="27"/>
    </row>
    <row r="346" spans="11:11" x14ac:dyDescent="0.25">
      <c r="K346" s="27"/>
    </row>
    <row r="347" spans="11:11" x14ac:dyDescent="0.25">
      <c r="K347" s="27"/>
    </row>
    <row r="350" spans="11:11" x14ac:dyDescent="0.25">
      <c r="K350" s="27"/>
    </row>
    <row r="351" spans="11:11" x14ac:dyDescent="0.25">
      <c r="K351" s="27"/>
    </row>
    <row r="352" spans="11:11" x14ac:dyDescent="0.25">
      <c r="K352" s="27"/>
    </row>
    <row r="355" spans="4:11" x14ac:dyDescent="0.25">
      <c r="K355" s="27"/>
    </row>
    <row r="356" spans="4:11" x14ac:dyDescent="0.25">
      <c r="K356" s="27"/>
    </row>
    <row r="357" spans="4:11" x14ac:dyDescent="0.25">
      <c r="K357" s="27"/>
    </row>
    <row r="360" spans="4:11" x14ac:dyDescent="0.25">
      <c r="K360" s="27"/>
    </row>
    <row r="361" spans="4:11" x14ac:dyDescent="0.25">
      <c r="K361" s="27"/>
    </row>
    <row r="362" spans="4:11" x14ac:dyDescent="0.25">
      <c r="K362" s="27"/>
    </row>
    <row r="366" spans="4:11" x14ac:dyDescent="0.25">
      <c r="D366" s="24"/>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20F7BFF2-FFEC-4EF8-A086-97A196CDF9F1}">
      <formula1>INDIRECT("Table_SourceData_Fertiliser_UreaAmmoniaSources[Source]")</formula1>
    </dataValidation>
    <dataValidation type="list" allowBlank="1" showInputMessage="1" showErrorMessage="1" sqref="D18:D22" xr:uid="{2BB078A6-2936-4CE9-BCDD-DF2267309D37}">
      <formula1>INDIRECT("FertiliserProducts[Product Name]")</formula1>
    </dataValidation>
    <dataValidation type="list" allowBlank="1" showInputMessage="1" showErrorMessage="1" sqref="D48:D50" xr:uid="{775AFB94-0930-4DF3-989D-CB7A5CF328D7}">
      <formula1>INDIRECT("Table_SourceData_OrganicFertiliserTypes[Organic fertiliser type]")</formula1>
    </dataValidation>
    <dataValidation type="list" allowBlank="1" showInputMessage="1" showErrorMessage="1" sqref="H26:H28 J26:J28 L26:L28 N26:N28" xr:uid="{B8FD41FE-2A74-4E29-8FEA-12D18367805D}">
      <formula1>INDIRECT("Table_Fertiliser_ChemicalCompounds[Fertiliser type f]")</formula1>
    </dataValidation>
    <dataValidation type="list" allowBlank="1" showInputMessage="1" showErrorMessage="1" sqref="E7" xr:uid="{C9FAA7F9-CA4D-4C86-8A8F-4E56D6C7D76D}">
      <formula1>INDIRECT("Table_SourceData_Fertiliser_CropTypes[Production system]")</formula1>
    </dataValidation>
    <dataValidation type="list" allowBlank="1" showInputMessage="1" showErrorMessage="1" sqref="E8" xr:uid="{57FDD99A-C0F1-49C1-9A18-A33DC8515F73}">
      <formula1>INDIRECT("Table_SourceData_Fertiliser_IrrigationMethods[Irrigation method]")</formula1>
    </dataValidation>
    <dataValidation type="list" allowBlank="1" showInputMessage="1" showErrorMessage="1" sqref="E6" xr:uid="{A4A5FA9A-3297-4355-A764-4D4E8E4806A1}">
      <formula1>INDIRECT("Table_SourceData_Fertiliser_CropProdSystems[Production system]")</formula1>
    </dataValidation>
    <dataValidation type="list" allowBlank="1" showInputMessage="1" showErrorMessage="1" sqref="E69" xr:uid="{912D9F30-71D0-4BDA-ACA9-7E9A2E8D3D3A}">
      <formula1>INDIRECT("Table_SourceData_Swine_CropProdSystems[Production system]")</formula1>
    </dataValidation>
    <dataValidation type="list" allowBlank="1" showInputMessage="1" showErrorMessage="1" sqref="E70" xr:uid="{1329E3E5-3546-49DF-B01F-7F7783B325EC}">
      <formula1>INDIRECT("Table_SourceData_Swine_IrrigationMethods[Irrigation method]")</formula1>
    </dataValidation>
    <dataValidation type="list" allowBlank="1" showInputMessage="1" showErrorMessage="1" sqref="E254 E259 E264 E298 E293 E288 E166 E154 E130 E142" xr:uid="{4815F2D1-EA51-44C0-880E-D5475D86D195}">
      <formula1>"Yes, No"</formula1>
    </dataValidation>
    <dataValidation type="list" allowBlank="1" showInputMessage="1" showErrorMessage="1" sqref="E230" xr:uid="{744F3EAF-686B-48ED-A258-B2EC9E58E330}">
      <formula1>INDIRECT("Table_SourceData_Dairy_ProductionSystemTemplates[Area]")</formula1>
    </dataValidation>
    <dataValidation type="list" allowBlank="1" showInputMessage="1" showErrorMessage="1" sqref="D282" xr:uid="{F0484F32-FD29-46F5-AE3F-CE700D92E2B9}">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DB388-057D-41E7-8BB5-BF95A651FB1A}">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696</v>
      </c>
    </row>
    <row r="2" spans="1:11" s="3" customFormat="1" ht="20.100000000000001" customHeight="1" x14ac:dyDescent="0.25">
      <c r="A2"/>
    </row>
    <row r="3" spans="1:11" ht="20.100000000000001" customHeight="1" x14ac:dyDescent="0.25">
      <c r="A3" s="5" t="str">
        <f>HYPERLINK("#'Home'!A1", "Home")</f>
        <v>Home</v>
      </c>
      <c r="C3" s="40"/>
      <c r="D3" s="40"/>
      <c r="E3" s="40"/>
      <c r="F3" s="40"/>
      <c r="G3" s="40"/>
      <c r="H3" s="40"/>
      <c r="I3" s="40"/>
      <c r="J3" s="40"/>
      <c r="K3" s="40"/>
    </row>
    <row r="4" spans="1:11" ht="20.100000000000001" customHeight="1" x14ac:dyDescent="0.25">
      <c r="A4" s="5" t="str">
        <f>HYPERLINK("#'Results'!A1", "Results")</f>
        <v>Results</v>
      </c>
    </row>
    <row r="5" spans="1:11" ht="20.100000000000001" customHeight="1" x14ac:dyDescent="0.25">
      <c r="D5" s="2" t="s">
        <v>697</v>
      </c>
      <c r="E5" s="36"/>
      <c r="F5" s="36"/>
      <c r="G5" s="36"/>
      <c r="H5" s="36"/>
    </row>
    <row r="6" spans="1:11" ht="20.100000000000001" customHeight="1" x14ac:dyDescent="0.25">
      <c r="D6" s="8"/>
      <c r="E6" s="8"/>
      <c r="F6" s="8"/>
      <c r="G6" s="8"/>
      <c r="H6" s="8"/>
      <c r="I6" s="8"/>
      <c r="J6" s="8"/>
    </row>
    <row r="7" spans="1:11" ht="20.100000000000001" customHeight="1" x14ac:dyDescent="0.25">
      <c r="A7" s="7" t="s">
        <v>0</v>
      </c>
      <c r="D7" s="1" t="s">
        <v>698</v>
      </c>
    </row>
    <row r="8" spans="1:11" ht="20.100000000000001" customHeight="1" x14ac:dyDescent="0.25">
      <c r="A8" s="5" t="str">
        <f>HYPERLINK("#'Input - Enterprise'!A1", "Enterprise")</f>
        <v>Enterprise</v>
      </c>
      <c r="D8" s="1" t="s">
        <v>699</v>
      </c>
    </row>
    <row r="9" spans="1:11" ht="20.100000000000001" customHeight="1" x14ac:dyDescent="0.25">
      <c r="A9" s="5" t="str">
        <f>HYPERLINK("#'Input - Site'!A1", "Site")</f>
        <v>Site</v>
      </c>
      <c r="D9" s="1" t="s">
        <v>700</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701</v>
      </c>
      <c r="E11" s="23" t="s">
        <v>702</v>
      </c>
      <c r="F11" s="27" t="s">
        <v>112</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5" t="s">
        <v>668</v>
      </c>
      <c r="E13" s="55"/>
      <c r="F13" s="55"/>
      <c r="G13" s="55"/>
      <c r="H13" s="56"/>
    </row>
    <row r="14" spans="1:11" ht="20.100000000000001" customHeight="1" x14ac:dyDescent="0.25">
      <c r="A14" s="134" t="str">
        <f>HYPERLINK("#'Input - Fuel'!A1", "Fuel")</f>
        <v>Fuel</v>
      </c>
      <c r="D14" s="57" t="s">
        <v>703</v>
      </c>
      <c r="E14" s="58"/>
      <c r="F14" s="58"/>
      <c r="G14" s="58"/>
      <c r="H14" s="59"/>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6" t="s">
        <v>704</v>
      </c>
      <c r="E16" s="116" t="s">
        <v>705</v>
      </c>
      <c r="F16" s="116" t="s">
        <v>706</v>
      </c>
      <c r="G16" s="116" t="s">
        <v>707</v>
      </c>
      <c r="H16" s="116" t="s">
        <v>708</v>
      </c>
      <c r="I16" s="116" t="s">
        <v>709</v>
      </c>
      <c r="J16" s="116" t="s">
        <v>710</v>
      </c>
    </row>
    <row r="17" spans="1:10" ht="20.100000000000001" customHeight="1" x14ac:dyDescent="0.25">
      <c r="D17" s="23" t="s">
        <v>711</v>
      </c>
      <c r="E17" s="23" t="s">
        <v>712</v>
      </c>
      <c r="F17" s="195">
        <v>100</v>
      </c>
      <c r="G17" s="26" t="str" cm="1">
        <f t="array" ref="G17">Common_InputFunctions.Utility_LookupValueInTable(Table_Input_Fuel[[#This Row],[Fuel type (select)]],Table_FuelTypes_Units[Fuel type], Table_FuelTypes_Units[Input Unit])</f>
        <v>GJ</v>
      </c>
      <c r="H17" s="196">
        <f>1</f>
        <v>1</v>
      </c>
      <c r="I17" s="26">
        <f>Table_Input_Fuel[[#This Row],[Amount purchased]]*Table_Input_Fuel[[#This Row],[Percent consumed]]*IF(Table_Input_Fuel[[#This Row],[Amount unit]]="L", 10^-3, 1)</f>
        <v>100</v>
      </c>
      <c r="J17" s="26"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711</v>
      </c>
      <c r="E18" s="23" t="s">
        <v>713</v>
      </c>
      <c r="F18" s="195">
        <v>10000</v>
      </c>
      <c r="G18" s="26" t="str" cm="1">
        <f t="array" ref="G18">Common_InputFunctions.Utility_LookupValueInTable(Table_Input_Fuel[[#This Row],[Fuel type (select)]],Table_FuelTypes_Units[Fuel type], Table_FuelTypes_Units[Input Unit])</f>
        <v>L</v>
      </c>
      <c r="H18" s="197">
        <f>1</f>
        <v>1</v>
      </c>
      <c r="I18" s="26">
        <f>Table_Input_Fuel[[#This Row],[Amount purchased]]*Table_Input_Fuel[[#This Row],[Percent consumed]]*IF(Table_Input_Fuel[[#This Row],[Amount unit]]="L", 10^-3, 1)</f>
        <v>10</v>
      </c>
      <c r="J18" s="26"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714</v>
      </c>
      <c r="E19" s="23" t="s">
        <v>715</v>
      </c>
      <c r="F19" s="195">
        <v>10000</v>
      </c>
      <c r="G19" s="26" t="str" cm="1">
        <f t="array" ref="G19">Common_InputFunctions.Utility_LookupValueInTable(Table_Input_Fuel[[#This Row],[Fuel type (select)]],Table_FuelTypes_Units[Fuel type], Table_FuelTypes_Units[Input Unit])</f>
        <v>L</v>
      </c>
      <c r="H19" s="197">
        <f>1</f>
        <v>1</v>
      </c>
      <c r="I19" s="26">
        <f>Table_Input_Fuel[[#This Row],[Amount purchased]]*Table_Input_Fuel[[#This Row],[Percent consumed]]*IF(Table_Input_Fuel[[#This Row],[Amount unit]]="L", 10^-3, 1)</f>
        <v>10</v>
      </c>
      <c r="J19" s="26"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716</v>
      </c>
      <c r="E20" s="23" t="s">
        <v>715</v>
      </c>
      <c r="F20" s="195">
        <v>10000</v>
      </c>
      <c r="G20" s="26" t="str" cm="1">
        <f t="array" ref="G20">Common_InputFunctions.Utility_LookupValueInTable(Table_Input_Fuel[[#This Row],[Fuel type (select)]],Table_FuelTypes_Units[Fuel type], Table_FuelTypes_Units[Input Unit])</f>
        <v>L</v>
      </c>
      <c r="H20" s="197">
        <f>1</f>
        <v>1</v>
      </c>
      <c r="I20" s="26">
        <f>Table_Input_Fuel[[#This Row],[Amount purchased]]*Table_Input_Fuel[[#This Row],[Percent consumed]]*IF(Table_Input_Fuel[[#This Row],[Amount unit]]="L", 10^-3, 1)</f>
        <v>10</v>
      </c>
      <c r="J20" s="26"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99" t="s">
        <v>717</v>
      </c>
      <c r="E21" s="99" t="s">
        <v>718</v>
      </c>
      <c r="F21" s="195">
        <v>10000</v>
      </c>
      <c r="G21" s="198" t="str" cm="1">
        <f t="array" ref="G21">Common_InputFunctions.Utility_LookupValueInTable(Table_Input_Fuel[[#This Row],[Fuel type (select)]],Table_FuelTypes_Units[Fuel type], Table_FuelTypes_Units[Input Unit])</f>
        <v>L</v>
      </c>
      <c r="H21" s="199">
        <f>1</f>
        <v>1</v>
      </c>
      <c r="I21" s="198">
        <f>Table_Input_Fuel[[#This Row],[Amount purchased]]*Table_Input_Fuel[[#This Row],[Percent consumed]]*IF(Table_Input_Fuel[[#This Row],[Amount unit]]="L", 10^-3, 1)</f>
        <v>10</v>
      </c>
      <c r="J21" s="26"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0" t="s">
        <v>1</v>
      </c>
    </row>
    <row r="38" spans="1:11" ht="20.100000000000001" customHeight="1" x14ac:dyDescent="0.25">
      <c r="A38" s="5" t="str">
        <f>HYPERLINK("#'Constants - Pasture Beef'!A1", "Constants - Pasture Beef")</f>
        <v>Constants - Pasture Beef</v>
      </c>
      <c r="C38" s="151"/>
      <c r="K38" s="151"/>
    </row>
    <row r="39" spans="1:11" ht="20.100000000000001" customHeight="1" x14ac:dyDescent="0.25">
      <c r="A39" s="5" t="str">
        <f>HYPERLINK("#'Constants - Ag Residue'!A1", "Constants - Ag residue")</f>
        <v>Constants - Ag residue</v>
      </c>
      <c r="C39" s="151"/>
      <c r="K39" s="151"/>
    </row>
    <row r="40" spans="1:11" s="166"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6"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24"/>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FE828943-9025-4186-BE10-2C22E9AFD5E1}">
      <formula1>_xlfn.TRIMRANGE(INDIRECT("Table_FuelTypesPerUse["&amp;D17&amp;"]"))</formula1>
    </dataValidation>
    <dataValidation type="list" allowBlank="1" showInputMessage="1" showErrorMessage="1" sqref="D17:D21" xr:uid="{B9A80FD5-58D9-4182-8B20-39BA3ADC78F4}">
      <formula1>INDIRECT("Table_FuelTypesPerUse[#Headers]")</formula1>
    </dataValidation>
    <dataValidation type="list" allowBlank="1" showInputMessage="1" showErrorMessage="1" sqref="E11" xr:uid="{52877AB8-0BD7-44EA-8E51-ECA9121C674B}">
      <formula1>"Metro, Non-metro"</formula1>
    </dataValidation>
    <dataValidation type="list" allowBlank="1" showInputMessage="1" showErrorMessage="1" sqref="D29:D30" xr:uid="{1DA3DB15-5715-4F0E-9FA4-0B3A7C67D2F9}">
      <formula1>INDIRECT("Table_SourceData_OrganicFertiliserTypes[Organic fertiliser type]")</formula1>
    </dataValidation>
    <dataValidation type="list" allowBlank="1" showInputMessage="1" showErrorMessage="1" sqref="E49" xr:uid="{DAFDCC32-59FC-47EA-A452-9B6162982EEB}">
      <formula1>INDIRECT("Table_SourceData_Swine_CropProdSystems[Production system]")</formula1>
    </dataValidation>
    <dataValidation type="list" allowBlank="1" showInputMessage="1" showErrorMessage="1" sqref="E50" xr:uid="{34BFC4C7-D527-4B14-AB6D-A0F9AA028DCC}">
      <formula1>INDIRECT("Table_SourceData_Swine_IrrigationMethods[Irrigation method]")</formula1>
    </dataValidation>
    <dataValidation type="list" allowBlank="1" showInputMessage="1" showErrorMessage="1" sqref="E234 E239 E244 E278 E273 E268 E146 E134 E110 E122" xr:uid="{DB9CB536-8CC3-43F1-9D2C-98379FBC31CE}">
      <formula1>"Yes, No"</formula1>
    </dataValidation>
    <dataValidation type="list" allowBlank="1" showInputMessage="1" showErrorMessage="1" sqref="E210" xr:uid="{54D8CC56-ECE8-4F0B-B6C3-EED7EAF0CD37}">
      <formula1>INDIRECT("Table_SourceData_Dairy_ProductionSystemTemplates[Area]")</formula1>
    </dataValidation>
    <dataValidation type="list" allowBlank="1" showInputMessage="1" showErrorMessage="1" sqref="D262" xr:uid="{8B16F11A-A8D8-4B44-B560-72F9E68B7B9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27B1C-C2DE-489B-9EC4-3CA8EC05CE2B}">
  <dimension ref="A1:L365"/>
  <sheetViews>
    <sheetView showGridLines="0" topLeftCell="A19"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651</v>
      </c>
    </row>
    <row r="2" spans="1:10" s="3" customFormat="1" ht="20.100000000000001" customHeight="1" x14ac:dyDescent="0.25">
      <c r="A2"/>
    </row>
    <row r="3" spans="1:10" ht="20.100000000000001" customHeight="1" x14ac:dyDescent="0.25">
      <c r="A3" s="5" t="str">
        <f>HYPERLINK("#'Home'!A1", "Home")</f>
        <v>Home</v>
      </c>
      <c r="C3" s="40"/>
      <c r="D3" s="40"/>
      <c r="E3" s="40"/>
      <c r="F3" s="40"/>
      <c r="G3" s="40"/>
      <c r="H3" s="40"/>
      <c r="I3" s="40"/>
      <c r="J3" s="40"/>
    </row>
    <row r="4" spans="1:10" ht="20.100000000000001" customHeight="1" x14ac:dyDescent="0.25">
      <c r="A4" s="5" t="str">
        <f>HYPERLINK("#'Results'!A1", "Results")</f>
        <v>Results</v>
      </c>
    </row>
    <row r="5" spans="1:10" ht="20.100000000000001" customHeight="1" x14ac:dyDescent="0.25">
      <c r="D5" s="2" t="s">
        <v>652</v>
      </c>
    </row>
    <row r="6" spans="1:10" ht="20.100000000000001" customHeight="1" x14ac:dyDescent="0.25"/>
    <row r="7" spans="1:10" ht="20.100000000000001" customHeight="1" x14ac:dyDescent="0.25">
      <c r="A7" s="7" t="s">
        <v>0</v>
      </c>
      <c r="D7" s="92" t="s">
        <v>653</v>
      </c>
    </row>
    <row r="8" spans="1:10" ht="20.100000000000001" customHeight="1" x14ac:dyDescent="0.25">
      <c r="A8" s="5" t="str">
        <f>HYPERLINK("#'Input - Enterprise'!A1", "Enterprise")</f>
        <v>Enterprise</v>
      </c>
    </row>
    <row r="9" spans="1:10" ht="20.100000000000001" customHeight="1" x14ac:dyDescent="0.25">
      <c r="A9" s="5" t="str">
        <f>HYPERLINK("#'Input - Site'!A1", "Site")</f>
        <v>Site</v>
      </c>
      <c r="D9" s="47" t="s">
        <v>654</v>
      </c>
      <c r="E9" s="50"/>
      <c r="F9" s="8"/>
    </row>
    <row r="10" spans="1:10" ht="20.100000000000001" customHeight="1" x14ac:dyDescent="0.25">
      <c r="A10" s="5" t="str">
        <f>HYPERLINK("#'Input - Pasture Beef'!A1", "Pasture Beef")</f>
        <v>Pasture Beef</v>
      </c>
      <c r="D10" s="8"/>
      <c r="E10" s="8"/>
      <c r="F10" s="8"/>
    </row>
    <row r="11" spans="1:10" ht="20.100000000000001" customHeight="1" x14ac:dyDescent="0.25">
      <c r="A11" s="5" t="str">
        <f>HYPERLINK("#'Input - Pasture Beef (Enteric)'!A1", "Pasture Beef (Enteric)")</f>
        <v>Pasture Beef (Enteric)</v>
      </c>
      <c r="D11" s="1" t="s">
        <v>655</v>
      </c>
      <c r="E11" s="187">
        <v>30000</v>
      </c>
      <c r="F11" s="27" t="s">
        <v>656</v>
      </c>
    </row>
    <row r="12" spans="1:10" ht="20.100000000000001" customHeight="1" x14ac:dyDescent="0.25">
      <c r="A12" s="5" t="str">
        <f>HYPERLINK("#'Input - Pasture'!A1", "Pasture")</f>
        <v>Pasture</v>
      </c>
      <c r="D12" s="1" t="s">
        <v>657</v>
      </c>
      <c r="E12" s="26" t="str">
        <f>IF('Input - Site'!E21="Western Australia", 'Input - Site'!E22, 'Input - Site'!E21)</f>
        <v>Dry climate zone</v>
      </c>
      <c r="F12" s="8"/>
    </row>
    <row r="13" spans="1:10" ht="20.100000000000001" customHeight="1" x14ac:dyDescent="0.25">
      <c r="A13" s="5" t="str">
        <f>HYPERLINK("#'Input - Fertiliser'!A1", "Fertiliser")</f>
        <v>Fertiliser</v>
      </c>
      <c r="D13" s="1" t="s">
        <v>658</v>
      </c>
      <c r="E13" s="23" t="s">
        <v>659</v>
      </c>
      <c r="F13" s="27" t="s">
        <v>112</v>
      </c>
    </row>
    <row r="14" spans="1:10" ht="20.100000000000001" customHeight="1" x14ac:dyDescent="0.25">
      <c r="A14" s="5" t="str">
        <f>HYPERLINK("#'Input - Fuel'!A1", "Fuel")</f>
        <v>Fuel</v>
      </c>
    </row>
    <row r="15" spans="1:10" ht="20.100000000000001" customHeight="1" x14ac:dyDescent="0.25">
      <c r="A15" s="134" t="str">
        <f>HYPERLINK("#'Input - Electricity'!A1", "Electricity")</f>
        <v>Electricity</v>
      </c>
    </row>
    <row r="16" spans="1:10" ht="20.100000000000001" customHeight="1" x14ac:dyDescent="0.25">
      <c r="C16" s="117"/>
      <c r="D16" s="117"/>
      <c r="E16" s="117"/>
      <c r="F16" s="117"/>
      <c r="G16" s="117"/>
      <c r="H16" s="117"/>
      <c r="I16" s="117"/>
      <c r="J16" s="117"/>
    </row>
    <row r="17" spans="1:11" ht="20.100000000000001" customHeight="1" x14ac:dyDescent="0.25">
      <c r="D17" s="2" t="s">
        <v>660</v>
      </c>
    </row>
    <row r="18" spans="1:11" ht="20.100000000000001" customHeight="1" x14ac:dyDescent="0.25">
      <c r="A18" s="6" t="s">
        <v>2</v>
      </c>
      <c r="E18" s="24" t="str">
        <f>IF(E12="ACT", "", "ALERT: Your farm is not in the ACT, so the JRPP is not applicable")</f>
        <v>ALERT: Your farm is not in the ACT, so the JRPP is not applicable</v>
      </c>
    </row>
    <row r="19" spans="1:11" ht="20.100000000000001" customHeight="1" x14ac:dyDescent="0.25">
      <c r="A19" s="5" t="str">
        <f>HYPERLINK("#'3.2.1.1-2 Enteric Methane'!A1", "3.2.1.1-2 Enteric methane")</f>
        <v>3.2.1.1-2 Enteric methane</v>
      </c>
      <c r="D19" s="1" t="s">
        <v>661</v>
      </c>
      <c r="E19" s="187">
        <v>30000</v>
      </c>
      <c r="F19" s="27" t="s">
        <v>656</v>
      </c>
    </row>
    <row r="20" spans="1:11" ht="20.100000000000001" customHeight="1" x14ac:dyDescent="0.25">
      <c r="A20" s="5" t="str">
        <f>HYPERLINK("#'4.2.1.1-2 Methane'!A1", "4.2.1.1-2 Manure methane")</f>
        <v>4.2.1.1-2 Manure methane</v>
      </c>
      <c r="D20" s="1" t="s">
        <v>662</v>
      </c>
      <c r="E20" s="29">
        <v>0.1</v>
      </c>
      <c r="F20" s="27" t="s">
        <v>179</v>
      </c>
    </row>
    <row r="21" spans="1:11" ht="20.100000000000001" customHeight="1" x14ac:dyDescent="0.25">
      <c r="A21" s="5" t="str">
        <f>HYPERLINK("#'4.2.1.3-4 Soil direct N20'!A1", "4.2.1.3-4 Soil direct N2O")</f>
        <v>4.2.1.3-4 Soil direct N2O</v>
      </c>
      <c r="D21" s="1" t="s">
        <v>663</v>
      </c>
      <c r="E21" s="29">
        <v>0.1</v>
      </c>
      <c r="F21" s="27" t="s">
        <v>179</v>
      </c>
    </row>
    <row r="22" spans="1:11" ht="20.100000000000001" customHeight="1" x14ac:dyDescent="0.25">
      <c r="A22" s="5" t="str">
        <f>HYPERLINK("#'4.2.1.5-6 Soil Atmos Dep'!A1", "4.2.1.5-6 Soil atm. deposition")</f>
        <v>4.2.1.5-6 Soil atm. deposition</v>
      </c>
    </row>
    <row r="23" spans="1:11" ht="20.100000000000001" customHeight="1" x14ac:dyDescent="0.25">
      <c r="A23" s="5" t="str">
        <f>HYPERLINK("#'4.2.1.7-8 Soil leach runoff'!A1", "4.2.1.7-8 Soil leach &amp; runoff")</f>
        <v>4.2.1.7-8 Soil leach &amp; runoff</v>
      </c>
      <c r="D23" s="1" t="s">
        <v>664</v>
      </c>
      <c r="E23" s="187">
        <v>10000</v>
      </c>
      <c r="F23" s="27" t="s">
        <v>656</v>
      </c>
    </row>
    <row r="24" spans="1:11" ht="20.100000000000001" customHeight="1" x14ac:dyDescent="0.25">
      <c r="A24" s="5" t="str">
        <f>HYPERLINK("#'5.1.1.1-2 Inorganic fert N2O'!A1", "5.1.1.1-2 Inorganic fert N2O")</f>
        <v>5.1.1.1-2 Inorganic fert N2O</v>
      </c>
    </row>
    <row r="25" spans="1:11" ht="20.100000000000001" customHeight="1" x14ac:dyDescent="0.25">
      <c r="A25" s="5" t="str">
        <f>HYPERLINK("#'5.1.1.3-4 Inorganic fert CO2'!A1", "5.1.1.3-4 Inorganic fert CO2")</f>
        <v>5.1.1.3-4 Inorganic fert CO2</v>
      </c>
      <c r="D25" s="1" t="s">
        <v>665</v>
      </c>
      <c r="E25" s="188" t="str">
        <f>TEXT('Input - Site'!$E$12, "dd mmm yyyy")</f>
        <v>NO - Not in leaching zone</v>
      </c>
    </row>
    <row r="26" spans="1:11" ht="20.100000000000001" customHeight="1" x14ac:dyDescent="0.25">
      <c r="A26" s="5" t="str">
        <f>HYPERLINK("#'5.2.1.1-2 Organic Fert N2O'!A1", "5.2.1.1-2 Organic fert N2O")</f>
        <v>5.2.1.1-2 Organic fert N2O</v>
      </c>
      <c r="D26" s="1" t="s">
        <v>666</v>
      </c>
      <c r="E26" s="188" t="str">
        <f>TEXT('Input - Site'!$E$13, "dd mmm yyyy")</f>
        <v>02 Nov 1900</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92" t="s">
        <v>667</v>
      </c>
    </row>
    <row r="29" spans="1:11" ht="20.100000000000001" customHeight="1" x14ac:dyDescent="0.25">
      <c r="A29" s="5" t="str">
        <f>HYPERLINK("#'5.5.1.1-2 Leaching and runoff'!A1", "5.5.1.1-2 Leaching &amp; runoff")</f>
        <v>5.5.1.1-2 Leaching &amp; runoff</v>
      </c>
      <c r="K29" s="166"/>
    </row>
    <row r="30" spans="1:11" ht="20.100000000000001" customHeight="1" x14ac:dyDescent="0.25">
      <c r="A30" s="5" t="str">
        <f>HYPERLINK("#'6.2.1.1-2 Pasture residue N2O'!A1", "6.2.1.1-2 Pasture residue N2O")</f>
        <v>6.2.1.1-2 Pasture residue N2O</v>
      </c>
      <c r="D30" s="47" t="s">
        <v>668</v>
      </c>
      <c r="E30" s="50"/>
      <c r="K30" s="166"/>
    </row>
    <row r="31" spans="1:11" ht="20.100000000000001" customHeight="1" x14ac:dyDescent="0.25">
      <c r="A31" s="5" t="str">
        <f>HYPERLINK("#'6.3.1.1-2 Leach runoff pasture'!A1", "6.3.1.1-2 Leach &amp; runoff (pasture)")</f>
        <v>6.3.1.1-2 Leach &amp; runoff (pasture)</v>
      </c>
      <c r="K31" s="166"/>
    </row>
    <row r="32" spans="1:11" ht="20.100000000000001" customHeight="1" x14ac:dyDescent="0.25">
      <c r="A32" s="5" t="str">
        <f>HYPERLINK("#'8.1.1.1-2 Transport fuel'!A1", "8.1.1.1-2 Transport fuel")</f>
        <v>8.1.1.1-2 Transport fuel</v>
      </c>
      <c r="D32" s="116" t="s">
        <v>669</v>
      </c>
      <c r="E32" s="116" t="s">
        <v>670</v>
      </c>
      <c r="F32" s="116" t="s">
        <v>671</v>
      </c>
      <c r="G32" s="116" t="s">
        <v>672</v>
      </c>
      <c r="H32" s="116" t="s">
        <v>673</v>
      </c>
      <c r="I32" s="116" t="s">
        <v>674</v>
      </c>
      <c r="K32" s="166"/>
    </row>
    <row r="33" spans="1:12" ht="20.100000000000001" customHeight="1" x14ac:dyDescent="0.25">
      <c r="A33" s="5" t="str">
        <f>HYPERLINK("#'8.2.1.1-2 Stationary fuel'!A1", "8.2.1.1-2 Stationary fuel")</f>
        <v>8.2.1.1-2 Stationary fuel</v>
      </c>
      <c r="D33" s="31" t="s">
        <v>675</v>
      </c>
      <c r="E33" s="23" t="s">
        <v>676</v>
      </c>
      <c r="F33" s="189">
        <v>44185</v>
      </c>
      <c r="G33" s="31">
        <v>12</v>
      </c>
      <c r="H33" s="26">
        <f>Table_Input_RECSurrendered[[#This Row],[Number of certificates]]</f>
        <v>12</v>
      </c>
      <c r="I33" s="26" t="e">
        <f>IF(DATEDIF(Table_Input_RECSurrendered[[#This Row],[Generation date]],DATEVALUE($E$26),"M")&gt;36,"Ineligible - older than 36 months","Elegible")</f>
        <v>#NUM!</v>
      </c>
      <c r="K33" s="166"/>
    </row>
    <row r="34" spans="1:12" ht="20.100000000000001" customHeight="1" x14ac:dyDescent="0.25">
      <c r="A34" s="5" t="str">
        <f>HYPERLINK("#'14.1.1-2 Purchased electricity'!A1", "14.1.1-2 Purchased electricity")</f>
        <v>14.1.1-2 Purchased electricity</v>
      </c>
      <c r="D34" s="31" t="s">
        <v>677</v>
      </c>
      <c r="E34" s="23" t="s">
        <v>678</v>
      </c>
      <c r="F34" s="189">
        <v>44575</v>
      </c>
      <c r="G34" s="31">
        <v>5</v>
      </c>
      <c r="H34" s="26">
        <f>Table_Input_RECSurrendered[[#This Row],[Number of certificates]]</f>
        <v>5</v>
      </c>
      <c r="I34" s="26" t="e">
        <f>IF(DATEDIF(Table_Input_RECSurrendered[[#This Row],[Generation date]],DATEVALUE($E$26),"M")&gt;36,"Ineligible - older than 36 months","Elegible")</f>
        <v>#NUM!</v>
      </c>
      <c r="K34" s="166"/>
    </row>
    <row r="35" spans="1:12" ht="20.100000000000001" customHeight="1" x14ac:dyDescent="0.25">
      <c r="D35" s="31" t="s">
        <v>679</v>
      </c>
      <c r="E35" s="23" t="s">
        <v>676</v>
      </c>
      <c r="F35" s="189">
        <v>45438</v>
      </c>
      <c r="G35" s="31">
        <v>5</v>
      </c>
      <c r="H35" s="26">
        <f>Table_Input_RECSurrendered[[#This Row],[Number of certificates]]</f>
        <v>5</v>
      </c>
      <c r="I35" s="26" t="e">
        <f>IF(DATEDIF(Table_Input_RECSurrendered[[#This Row],[Generation date]],DATEVALUE($E$26),"M")&gt;36,"Ineligible - older than 36 months","Elegible")</f>
        <v>#NUM!</v>
      </c>
    </row>
    <row r="36" spans="1:12" ht="20.100000000000001" customHeight="1" x14ac:dyDescent="0.25">
      <c r="L36" s="166"/>
    </row>
    <row r="37" spans="1:12" ht="20.100000000000001" customHeight="1" x14ac:dyDescent="0.25">
      <c r="A37" s="250" t="s">
        <v>1</v>
      </c>
      <c r="D37" s="1" t="s">
        <v>680</v>
      </c>
      <c r="E37" s="26">
        <f>SUMIF(Table_Input_RECSurrendered[Elegibility], "Elegible", Table_Input_RECSurrendered[MWh])</f>
        <v>0</v>
      </c>
      <c r="F37" s="27" t="s">
        <v>673</v>
      </c>
      <c r="L37" s="166"/>
    </row>
    <row r="38" spans="1:12" ht="20.100000000000001" customHeight="1" x14ac:dyDescent="0.25">
      <c r="A38" s="5" t="str">
        <f>HYPERLINK("#'Constants - Pasture Beef'!A1", "Constants - Pasture Beef")</f>
        <v>Constants - Pasture Beef</v>
      </c>
      <c r="C38" s="151"/>
    </row>
    <row r="39" spans="1:12" ht="20.100000000000001" customHeight="1" x14ac:dyDescent="0.25">
      <c r="A39" s="5" t="str">
        <f>HYPERLINK("#'Constants - Ag Residue'!A1", "Constants - Ag residue")</f>
        <v>Constants - Ag residue</v>
      </c>
      <c r="C39" s="151"/>
      <c r="D39" s="92" t="s">
        <v>681</v>
      </c>
      <c r="J39" s="151"/>
    </row>
    <row r="40" spans="1:12" s="166"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6" customFormat="1" ht="20.100000000000001" customHeight="1" x14ac:dyDescent="0.25">
      <c r="A41" s="5" t="str">
        <f>HYPERLINK("#'Constants - Electricity'!A1", "Constants - Electricity")</f>
        <v>Constants - Electricity</v>
      </c>
      <c r="C41" s="1"/>
      <c r="D41" s="116" t="s">
        <v>669</v>
      </c>
      <c r="E41" s="116" t="s">
        <v>624</v>
      </c>
      <c r="F41" s="116" t="s">
        <v>671</v>
      </c>
      <c r="G41" s="116" t="s">
        <v>672</v>
      </c>
      <c r="H41" s="116" t="s">
        <v>673</v>
      </c>
      <c r="I41" s="116" t="s">
        <v>674</v>
      </c>
      <c r="J41" s="1"/>
      <c r="L41" s="166" t="s">
        <v>682</v>
      </c>
    </row>
    <row r="42" spans="1:12" ht="20.100000000000001" customHeight="1" x14ac:dyDescent="0.25">
      <c r="A42" s="5" t="str">
        <f>HYPERLINK("#'Constants - Fertiliser'!A1", "Constants - Fertiliser")</f>
        <v>Constants - Fertiliser</v>
      </c>
      <c r="D42" s="31" t="s">
        <v>683</v>
      </c>
      <c r="E42" s="190" t="str">
        <f>"Issued for generated electricity"</f>
        <v>Issued for generated electricity</v>
      </c>
      <c r="F42" s="189">
        <v>44697</v>
      </c>
      <c r="G42" s="31">
        <v>10</v>
      </c>
      <c r="H42" s="26">
        <f>Table_Input_RECConsumedByEntity[[#This Row],[Number of certificates]]</f>
        <v>10</v>
      </c>
      <c r="I42" s="26" t="e">
        <f>IF(AND(Table_Input_RECConsumedByEntity[[#This Row],[Generation date]]&gt;=DATEVALUE($E$25), Table_Input_RECConsumedByEntity[[#This Row],[Generation date]]&lt;= DATEVALUE($E$26)), "Elegible", "Ineligible - outside reporting year")</f>
        <v>#VALUE!</v>
      </c>
    </row>
    <row r="43" spans="1:12" ht="20.100000000000001" customHeight="1" x14ac:dyDescent="0.25">
      <c r="A43" s="5" t="str">
        <f>HYPERLINK("#'Constants - Fuel'!A1", "Constants - Fuel")</f>
        <v>Constants - Fuel</v>
      </c>
      <c r="D43" s="31" t="s">
        <v>684</v>
      </c>
      <c r="E43" s="190" t="str">
        <f>"Issued for generated electricity"</f>
        <v>Issued for generated electricity</v>
      </c>
      <c r="F43" s="189">
        <v>45483</v>
      </c>
      <c r="G43" s="31">
        <v>4</v>
      </c>
      <c r="H43" s="26">
        <f>Table_Input_RECConsumedByEntity[[#This Row],[Number of certificates]]</f>
        <v>4</v>
      </c>
      <c r="I43" s="26" t="e">
        <f>IF(AND(Table_Input_RECConsumedByEntity[[#This Row],[Generation date]]&gt;=DATEVALUE($E$25), Table_Input_RECConsumedByEntity[[#This Row],[Generation date]]&lt;= DATEVALUE($E$26)), "Elegible", "Ineligible - outside reporting year")</f>
        <v>#VALUE!</v>
      </c>
    </row>
    <row r="44" spans="1:12" ht="20.100000000000001" customHeight="1" x14ac:dyDescent="0.25">
      <c r="A44" s="5" t="str">
        <f>HYPERLINK("#'Constants - Common'!A1", "Constants - Common")</f>
        <v>Constants - Common</v>
      </c>
      <c r="D44" s="191">
        <v>45597</v>
      </c>
      <c r="E44" s="190" t="str">
        <f>"Issued for generated electricity"</f>
        <v>Issued for generated electricity</v>
      </c>
      <c r="F44" s="189">
        <v>45607</v>
      </c>
      <c r="G44" s="31">
        <v>7</v>
      </c>
      <c r="H44" s="26">
        <f>Table_Input_RECConsumedByEntity[[#This Row],[Number of certificates]]</f>
        <v>7</v>
      </c>
      <c r="I44" s="26" t="e">
        <f>IF(AND(Table_Input_RECConsumedByEntity[[#This Row],[Generation date]]&gt;=DATEVALUE($E$25), Table_Input_RECConsumedByEntity[[#This Row],[Generation date]]&lt;= DATEVALUE($E$26)), "Elegible", "Ineligible - outside reporting year")</f>
        <v>#VALUE!</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1" t="s">
        <v>685</v>
      </c>
      <c r="E46" s="26">
        <f>SUMIF(Table_Input_RECConsumedByEntity[Elegibility], "Elegible", Table_Input_RECConsumedByEntity[Number of certificates])</f>
        <v>0</v>
      </c>
      <c r="F46" s="27" t="s">
        <v>673</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92"/>
    </row>
    <row r="54" spans="4:4" ht="20.100000000000001" customHeight="1" x14ac:dyDescent="0.25"/>
    <row r="55" spans="4:4" ht="20.100000000000001" customHeight="1" x14ac:dyDescent="0.25">
      <c r="D55" s="192"/>
    </row>
    <row r="56" spans="4:4" ht="20.100000000000001" customHeight="1" x14ac:dyDescent="0.25">
      <c r="D56" s="192"/>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24"/>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1 I45:I46 H47:H49 I48 I50:I52 I54:I55 I206 I212 E214:G214">
    <cfRule type="cellIs" dxfId="110" priority="11" operator="lessThan">
      <formula>0</formula>
    </cfRule>
  </conditionalFormatting>
  <conditionalFormatting sqref="J35 I36 J37 I39 F51">
    <cfRule type="cellIs" dxfId="109" priority="9" operator="lessThan">
      <formula>0</formula>
    </cfRule>
  </conditionalFormatting>
  <dataValidations count="6">
    <dataValidation type="list" allowBlank="1" showInputMessage="1" showErrorMessage="1" sqref="E33:E35" xr:uid="{EECB0ADF-1E5A-459A-82AF-938381768F5C}">
      <formula1>"Purchased certificate, Issued for generated electricity"</formula1>
    </dataValidation>
    <dataValidation type="list" allowBlank="1" showInputMessage="1" showErrorMessage="1" sqref="E13" xr:uid="{4E1FE749-543F-4065-8C6A-82CD091F89F2}">
      <formula1>INDIRECT("Table_SourceData_ElectricityEFs[State, Territory or grid description]")</formula1>
    </dataValidation>
    <dataValidation type="list" allowBlank="1" showInputMessage="1" showErrorMessage="1" sqref="E69" xr:uid="{2E74F9FC-BB21-4A70-8CAA-D85FB2F93E37}">
      <formula1>INDIRECT("Table_SourceData_Swine_IrrigationMethods[Irrigation method]")</formula1>
    </dataValidation>
    <dataValidation type="list" allowBlank="1" showInputMessage="1" showErrorMessage="1" sqref="E253 E258 E263 E297 E292 E287 E165 E153 E129 E141" xr:uid="{84F9D7BF-1A7B-4786-AA50-DF79E4827610}">
      <formula1>"Yes, No"</formula1>
    </dataValidation>
    <dataValidation type="list" allowBlank="1" showInputMessage="1" showErrorMessage="1" sqref="E229" xr:uid="{F9C60343-9C00-4033-B5C6-77B5DA23BD02}">
      <formula1>INDIRECT("Table_SourceData_Dairy_ProductionSystemTemplates[Area]")</formula1>
    </dataValidation>
    <dataValidation type="list" allowBlank="1" showInputMessage="1" showErrorMessage="1" sqref="D281" xr:uid="{66FDF914-7A0D-40FD-9F95-CD0F6B7BAC8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6556C-644E-46B3-8CAD-F70AFDD87DF8}">
  <dimension ref="A1:AI274"/>
  <sheetViews>
    <sheetView showGridLines="0" topLeftCell="A8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2" customFormat="1" ht="30" customHeight="1" x14ac:dyDescent="0.35">
      <c r="A1" s="16" t="e" vm="1">
        <v>#VALUE!</v>
      </c>
      <c r="C1" s="32" t="s">
        <v>256</v>
      </c>
    </row>
    <row r="2" spans="1:35" s="3" customFormat="1" ht="20.100000000000001" customHeight="1" x14ac:dyDescent="0.25">
      <c r="A2"/>
    </row>
    <row r="3" spans="1:35" ht="20.100000000000001" customHeight="1" x14ac:dyDescent="0.25">
      <c r="A3" s="5" t="str">
        <f>HYPERLINK("#'Home'!A1", "Home")</f>
        <v>Home</v>
      </c>
      <c r="C3" s="34"/>
      <c r="D3" s="34" t="s">
        <v>152</v>
      </c>
      <c r="E3" s="34"/>
      <c r="F3" s="34"/>
      <c r="G3" s="34"/>
      <c r="H3" s="34"/>
      <c r="I3" s="34"/>
      <c r="J3" s="34"/>
      <c r="K3" s="34"/>
      <c r="L3" s="34"/>
      <c r="M3" s="34"/>
      <c r="N3" s="34"/>
      <c r="O3" s="34"/>
      <c r="P3" s="34"/>
      <c r="Q3" s="34"/>
      <c r="R3" s="34"/>
      <c r="T3" s="34"/>
      <c r="U3" s="34" t="s">
        <v>153</v>
      </c>
      <c r="V3" s="34"/>
      <c r="W3" s="34"/>
      <c r="X3" s="34"/>
      <c r="Y3" s="34"/>
      <c r="Z3" s="34"/>
      <c r="AA3" s="34"/>
      <c r="AB3" s="34"/>
      <c r="AC3" s="34"/>
      <c r="AD3" s="34"/>
      <c r="AE3" s="34"/>
      <c r="AF3" s="34"/>
      <c r="AG3" s="34"/>
      <c r="AH3" s="34"/>
      <c r="AI3" s="34"/>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8" t="str" cm="1">
        <f t="array" ref="D6">EntericMethane_PastureBeef_Equations.VEERG_3_2_1_1__4_AdditionalIntakeForMilkProduction_Source()</f>
        <v>VEERG 2026: 3.2.1.1, Equation (4)</v>
      </c>
    </row>
    <row r="7" spans="1:35" ht="20.100000000000001" customHeight="1" x14ac:dyDescent="0.25">
      <c r="A7" s="7" t="s">
        <v>0</v>
      </c>
      <c r="D7" s="104" t="s">
        <v>257</v>
      </c>
      <c r="E7" s="104" t="s">
        <v>258</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9" t="s">
        <v>259</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9" t="s">
        <v>133</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6" t="str" cm="1">
        <f t="array" ref="D13:E16">_xlfn.CHOOSECOLS(EntericMethane_PastureBeef_Equations.VEERG_3_2_1_1__4_AdditionalIntakeForMilkProduction_ArgumentsVariation(), 1, 2)</f>
        <v>LC_jk45</v>
      </c>
      <c r="E13" s="107" t="str">
        <v>proportion of cows greater than 1 year in calf in the season of calving expressed as a fraction</v>
      </c>
      <c r="F13" s="108"/>
      <c r="G13" s="109"/>
      <c r="H13" s="106" t="str" cm="1">
        <f t="array" ref="H13:I16">_xlfn.CHOOSECOLS(EntericMethane_PastureBeef_Equations.VEERG_3_2_1_1__4_AdditionalIntakeForMilkProduction_ArgumentsVariation(), 3,4)</f>
        <v>fraction</v>
      </c>
      <c r="I13" s="110" t="str">
        <v>Input</v>
      </c>
      <c r="J13" s="112" t="str" cm="1">
        <f t="array" aca="1" ref="J13" ca="1">HYPERLINK(Common_InputFunctions.Utility_SourceHyperlink($D$18), $D$18)</f>
        <v>M1_Table_LC_j_k-4-5</v>
      </c>
    </row>
    <row r="14" spans="1:35" ht="20.100000000000001" customHeight="1" x14ac:dyDescent="0.25">
      <c r="A14" s="5" t="str">
        <f>HYPERLINK("#'Input - Fuel'!A1", "Fuel")</f>
        <v>Fuel</v>
      </c>
      <c r="D14" s="106" t="str">
        <v>FA_jk45calv</v>
      </c>
      <c r="E14" s="107" t="str">
        <v>feed adjustment value for lactating cows in the season of calving expressed as a fraction</v>
      </c>
      <c r="F14" s="108"/>
      <c r="G14" s="109"/>
      <c r="H14" s="106" t="str">
        <v>fraction</v>
      </c>
      <c r="I14" s="111" t="str">
        <v>Constant</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6" t="str">
        <v>FA_jk45after</v>
      </c>
      <c r="E15" s="107" t="str">
        <v>feed adjustment value for lactating cows in the season immediately after calving expressed as a fraction</v>
      </c>
      <c r="F15" s="108"/>
      <c r="G15" s="109"/>
      <c r="H15" s="106" t="str">
        <v>fraction</v>
      </c>
      <c r="I15" s="111" t="str">
        <v>Constant</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6" t="str">
        <v>b</v>
      </c>
      <c r="E16" s="107" t="str">
        <v>breed of cattle</v>
      </c>
      <c r="F16" s="108"/>
      <c r="G16" s="109"/>
      <c r="H16" s="106" t="str">
        <v/>
      </c>
      <c r="I16" s="110" t="str">
        <v>Input</v>
      </c>
      <c r="J16" s="106" t="str">
        <f>X_Cell_PastureBeef_Breed</f>
        <v>Hereford or Shorthorn breeds</v>
      </c>
    </row>
    <row r="17" spans="1:34" ht="20.100000000000001" customHeight="1" x14ac:dyDescent="0.25"/>
    <row r="18" spans="1:34" ht="20.100000000000001" customHeight="1" x14ac:dyDescent="0.25">
      <c r="A18" s="6" t="s">
        <v>2</v>
      </c>
      <c r="D18" s="113" t="s">
        <v>260</v>
      </c>
    </row>
    <row r="19" spans="1:34" ht="20.100000000000001" customHeight="1" x14ac:dyDescent="0.25">
      <c r="A19" s="105" t="str">
        <f>HYPERLINK("#'3.2.1.1-2 Enteric Methane'!A1", "3.2.1.1-2 Enteric methane")</f>
        <v>3.2.1.1-2 Enteric methane</v>
      </c>
      <c r="D19" s="114" t="s">
        <v>261</v>
      </c>
      <c r="U19" s="113" t="s">
        <v>262</v>
      </c>
    </row>
    <row r="20" spans="1:34" ht="20.100000000000001" customHeight="1" x14ac:dyDescent="0.25">
      <c r="A20" s="5" t="str">
        <f>HYPERLINK("#'4.2.1.1-2 Methane'!A1", "4.2.1.1-2 Manure methane")</f>
        <v>4.2.1.1-2 Manure methane</v>
      </c>
      <c r="D20" s="115" t="s">
        <v>79</v>
      </c>
      <c r="E20" s="116" t="s">
        <v>192</v>
      </c>
      <c r="F20" s="116" t="s">
        <v>193</v>
      </c>
      <c r="G20" s="116" t="s">
        <v>194</v>
      </c>
      <c r="U20" s="114" t="s">
        <v>263</v>
      </c>
    </row>
    <row r="21" spans="1:34" ht="20.100000000000001" customHeight="1" x14ac:dyDescent="0.25">
      <c r="A21" s="5" t="str">
        <f>HYPERLINK("#'4.2.1.3-4 Soil direct N20'!A1", "4.2.1.3-4 Soil direct N2O")</f>
        <v>4.2.1.3-4 Soil direct N2O</v>
      </c>
      <c r="D21" s="26">
        <f>'Input - Pasture Beef (Enteric)'!$E$104</f>
        <v>0</v>
      </c>
      <c r="E21" s="26">
        <f>'Input - Pasture Beef (Enteric)'!$E$107</f>
        <v>0</v>
      </c>
      <c r="F21" s="26">
        <f>'Input - Pasture Beef (Enteric)'!$F$107</f>
        <v>0</v>
      </c>
      <c r="G21" s="26">
        <f>'Input - Pasture Beef (Enteric)'!$G$107</f>
        <v>0</v>
      </c>
      <c r="H21" s="27" t="s">
        <v>264</v>
      </c>
      <c r="U21" s="115" t="s">
        <v>78</v>
      </c>
      <c r="V21" s="116" t="s">
        <v>192</v>
      </c>
      <c r="W21" s="116" t="s">
        <v>193</v>
      </c>
      <c r="X21" s="116" t="s">
        <v>194</v>
      </c>
    </row>
    <row r="22" spans="1:34" ht="20.100000000000001" customHeight="1" x14ac:dyDescent="0.25">
      <c r="A22" s="5" t="str">
        <f>HYPERLINK("#'4.2.1.5-6 Soil Atmos Dep'!A1", "4.2.1.5-6 Soil atm. deposition")</f>
        <v>4.2.1.5-6 Soil atm. deposition</v>
      </c>
      <c r="U22" s="26" t="e">
        <f>TEXT(EDATE('Input - Pasture Beef (Enteric)'!$D$117,0), "mmmm") &amp; ", " &amp; TEXT(EDATE('Input - Pasture Beef (Enteric)'!$D$118,0), "mmmm") &amp; ", " &amp; TEXT(EDATE('Input - Pasture Beef (Enteric)'!$D$119,0), "mmmm")</f>
        <v>#VALUE!</v>
      </c>
      <c r="V22" s="26" t="str">
        <f>'Input - Pasture Beef (Enteric)'!$E$120</f>
        <v>September 2024</v>
      </c>
      <c r="W22" s="26">
        <f>'Input - Pasture Beef (Enteric)'!$F$120</f>
        <v>0</v>
      </c>
      <c r="X22" s="26">
        <f>'Input - Pasture Beef (Enteric)'!$G$120</f>
        <v>0</v>
      </c>
      <c r="Y22" s="27" t="s">
        <v>264</v>
      </c>
    </row>
    <row r="23" spans="1:34" ht="20.100000000000001" customHeight="1" x14ac:dyDescent="0.25">
      <c r="A23" s="5" t="str">
        <f>HYPERLINK("#'4.2.1.7-8 Soil leach runoff'!A1", "4.2.1.7-8 Soil leach &amp; runoff")</f>
        <v>4.2.1.7-8 Soil leach &amp; runoff</v>
      </c>
      <c r="D23" s="113" t="s">
        <v>265</v>
      </c>
      <c r="U23" s="26" t="e">
        <f>TEXT(EDATE('Input - Pasture Beef (Enteric)'!$D$119,1), "mmmm") &amp; ", " &amp; TEXT(EDATE('Input - Pasture Beef (Enteric)'!$D$119,2), "mmmm") &amp; ", " &amp; TEXT(EDATE('Input - Pasture Beef (Enteric)'!$D$119,3), "mmmm")</f>
        <v>#VALUE!</v>
      </c>
      <c r="Y23" s="27"/>
    </row>
    <row r="24" spans="1:34" ht="20.100000000000001" customHeight="1" x14ac:dyDescent="0.25">
      <c r="A24" s="5" t="str">
        <f>HYPERLINK("#'5.1.1.1-2 Inorganic fert N2O'!A1", "5.1.1.1-2 Inorganic fert N2O")</f>
        <v>5.1.1.1-2 Inorganic fert N2O</v>
      </c>
      <c r="D24" s="114" t="s">
        <v>266</v>
      </c>
      <c r="Y24" s="27"/>
    </row>
    <row r="25" spans="1:34" ht="20.100000000000001" customHeight="1" x14ac:dyDescent="0.25">
      <c r="A25" s="5" t="str">
        <f>HYPERLINK("#'5.1.1.3-4 Inorganic fert CO2'!A1", "5.1.1.3-4 Inorganic fert CO2")</f>
        <v>5.1.1.3-4 Inorganic fert CO2</v>
      </c>
      <c r="D25" s="115" t="s">
        <v>79</v>
      </c>
      <c r="E25" s="115" t="s">
        <v>212</v>
      </c>
      <c r="F25" s="115" t="s">
        <v>267</v>
      </c>
      <c r="G25" s="115" t="s">
        <v>189</v>
      </c>
      <c r="H25" s="115" t="s">
        <v>190</v>
      </c>
      <c r="I25" s="115" t="s">
        <v>191</v>
      </c>
      <c r="J25" s="115" t="s">
        <v>192</v>
      </c>
      <c r="K25" s="115" t="s">
        <v>193</v>
      </c>
      <c r="L25" s="115" t="s">
        <v>194</v>
      </c>
      <c r="M25" s="115" t="s">
        <v>195</v>
      </c>
      <c r="N25" s="115" t="s">
        <v>196</v>
      </c>
      <c r="O25" s="115" t="s">
        <v>197</v>
      </c>
      <c r="P25" s="115" t="s">
        <v>198</v>
      </c>
      <c r="U25" s="113" t="s">
        <v>268</v>
      </c>
    </row>
    <row r="26" spans="1:34" ht="20.100000000000001" customHeight="1" x14ac:dyDescent="0.25">
      <c r="A26" s="5" t="str">
        <f>HYPERLINK("#'5.2.1.1-2 Organic Fert N2O'!A1", "5.2.1.1-2 Organic fert N2O")</f>
        <v>5.2.1.1-2 Organic fert N2O</v>
      </c>
      <c r="D26" s="26" t="s">
        <v>199</v>
      </c>
      <c r="E26" s="26" t="e" cm="1">
        <f t="array" ref="E26">_xlfn.IFS(D21=D26, "Calving season", D21=D29, "Season after calving", D21=D27, "", D21=D28, "")</f>
        <v>#N/A</v>
      </c>
      <c r="F26" s="26" t="e" cm="1">
        <f t="array" ref="F26">_xlfn.IFS(E26="Calving season", $J$14, E26="Season after calving", $J$15, E26="", "")</f>
        <v>#N/A</v>
      </c>
      <c r="G26" s="26">
        <v>1</v>
      </c>
      <c r="H26" s="26">
        <v>1</v>
      </c>
      <c r="I26" s="26">
        <v>1</v>
      </c>
      <c r="J26" s="26" cm="1">
        <f t="array" ref="J26">IFERROR(EntericMethane_PastureBeef_Equations.VEERG_3_2_1_1__4_AdditionalIntakeForMilkProduction(E$21,$F26), 1)</f>
        <v>1</v>
      </c>
      <c r="K26" s="26" cm="1">
        <f t="array" ref="K26">IFERROR(EntericMethane_PastureBeef_Equations.VEERG_3_2_1_1__4_AdditionalIntakeForMilkProduction(F$21,$F26), 1)</f>
        <v>1</v>
      </c>
      <c r="L26" s="26" cm="1">
        <f t="array" ref="L26">IFERROR(EntericMethane_PastureBeef_Equations.VEERG_3_2_1_1__4_AdditionalIntakeForMilkProduction(G$21,$F26), 1)</f>
        <v>1</v>
      </c>
      <c r="M26" s="26">
        <v>1</v>
      </c>
      <c r="N26" s="26">
        <v>1</v>
      </c>
      <c r="O26" s="26">
        <v>1</v>
      </c>
      <c r="P26" s="26">
        <v>1</v>
      </c>
      <c r="Q26" s="27" t="str">
        <f>$E$11</f>
        <v>fraction</v>
      </c>
      <c r="U26" s="114" t="s">
        <v>269</v>
      </c>
    </row>
    <row r="27" spans="1:34" ht="20.100000000000001" customHeight="1" x14ac:dyDescent="0.25">
      <c r="A27" s="5" t="str">
        <f>HYPERLINK("#'5.3.1.1-2 Lime CO2'!A1", "5.3.1.1-2 Lime CO2")</f>
        <v>5.3.1.1-2 Lime CO2</v>
      </c>
      <c r="D27" s="26" t="s">
        <v>200</v>
      </c>
      <c r="E27" s="26" t="e" cm="1">
        <f t="array" ref="E27">_xlfn.IFS(D21=D27, "Calving season", D21=D26, "Season after calving", D21=D28, "", D21=D29, "")</f>
        <v>#N/A</v>
      </c>
      <c r="F27" s="26" t="e" cm="1">
        <f t="array" ref="F27">_xlfn.IFS(E27="Calving season", $J$14, E27="Season after calving", $J$15, E27="", "")</f>
        <v>#N/A</v>
      </c>
      <c r="G27" s="26">
        <v>1</v>
      </c>
      <c r="H27" s="26">
        <v>1</v>
      </c>
      <c r="I27" s="26">
        <v>1</v>
      </c>
      <c r="J27" s="26" cm="1">
        <f t="array" ref="J27">IFERROR(EntericMethane_PastureBeef_Equations.VEERG_3_2_1_1__4_AdditionalIntakeForMilkProduction(E$21,$F27), 1)</f>
        <v>1</v>
      </c>
      <c r="K27" s="26" cm="1">
        <f t="array" ref="K27">IFERROR(EntericMethane_PastureBeef_Equations.VEERG_3_2_1_1__4_AdditionalIntakeForMilkProduction(F$21,$F27), 1)</f>
        <v>1</v>
      </c>
      <c r="L27" s="26" cm="1">
        <f t="array" ref="L27">IFERROR(EntericMethane_PastureBeef_Equations.VEERG_3_2_1_1__4_AdditionalIntakeForMilkProduction(G$21,$F27), 1)</f>
        <v>1</v>
      </c>
      <c r="M27" s="26">
        <v>1</v>
      </c>
      <c r="N27" s="26">
        <v>1</v>
      </c>
      <c r="O27" s="26">
        <v>1</v>
      </c>
      <c r="P27" s="26">
        <v>1</v>
      </c>
      <c r="Q27" s="27" t="str">
        <f t="shared" ref="Q27:Q29" si="0">$E$11</f>
        <v>fraction</v>
      </c>
      <c r="U27" s="115" t="s">
        <v>78</v>
      </c>
      <c r="V27" s="115" t="s">
        <v>212</v>
      </c>
      <c r="W27" s="115" t="s">
        <v>267</v>
      </c>
      <c r="X27" s="115" t="s">
        <v>189</v>
      </c>
      <c r="Y27" s="115" t="s">
        <v>190</v>
      </c>
      <c r="Z27" s="115" t="s">
        <v>191</v>
      </c>
      <c r="AA27" s="115" t="s">
        <v>192</v>
      </c>
      <c r="AB27" s="115" t="s">
        <v>193</v>
      </c>
      <c r="AC27" s="115" t="s">
        <v>194</v>
      </c>
      <c r="AD27" s="115" t="s">
        <v>195</v>
      </c>
      <c r="AE27" s="115" t="s">
        <v>196</v>
      </c>
      <c r="AF27" s="115" t="s">
        <v>197</v>
      </c>
      <c r="AG27" s="115" t="s">
        <v>198</v>
      </c>
    </row>
    <row r="28" spans="1:34" ht="20.100000000000001" customHeight="1" x14ac:dyDescent="0.25">
      <c r="A28" s="5" t="str">
        <f>HYPERLINK("#'5.4.1.1-4 Atmos deposition'!A1", "5.4.1.1-4 Atmos. deposition")</f>
        <v>5.4.1.1-4 Atmos. deposition</v>
      </c>
      <c r="D28" s="26" t="s">
        <v>201</v>
      </c>
      <c r="E28" s="26" t="e" cm="1">
        <f t="array" ref="E28">_xlfn.IFS(D21=D28, "Calving season", D21=D27, "Season after calving", D21=D29, "", D21=D26, "")</f>
        <v>#N/A</v>
      </c>
      <c r="F28" s="26" t="e" cm="1">
        <f t="array" ref="F28">_xlfn.IFS(E28="Calving season", $J$14, E28="Season after calving", $J$15, E28="", "")</f>
        <v>#N/A</v>
      </c>
      <c r="G28" s="26">
        <v>1</v>
      </c>
      <c r="H28" s="26">
        <v>1</v>
      </c>
      <c r="I28" s="26">
        <v>1</v>
      </c>
      <c r="J28" s="26" cm="1">
        <f t="array" ref="J28">IFERROR(EntericMethane_PastureBeef_Equations.VEERG_3_2_1_1__4_AdditionalIntakeForMilkProduction(E$21,$F28), 1)</f>
        <v>1</v>
      </c>
      <c r="K28" s="26" cm="1">
        <f t="array" ref="K28">IFERROR(EntericMethane_PastureBeef_Equations.VEERG_3_2_1_1__4_AdditionalIntakeForMilkProduction(F$21,$F28), 1)</f>
        <v>1</v>
      </c>
      <c r="L28" s="26" cm="1">
        <f t="array" ref="L28">IFERROR(EntericMethane_PastureBeef_Equations.VEERG_3_2_1_1__4_AdditionalIntakeForMilkProduction(G$21,$F28), 1)</f>
        <v>1</v>
      </c>
      <c r="M28" s="26">
        <v>1</v>
      </c>
      <c r="N28" s="26">
        <v>1</v>
      </c>
      <c r="O28" s="26">
        <v>1</v>
      </c>
      <c r="P28" s="26">
        <v>1</v>
      </c>
      <c r="Q28" s="27" t="str">
        <f t="shared" si="0"/>
        <v>fraction</v>
      </c>
      <c r="U28" s="26" t="str">
        <f>TEXT('Input - Site'!$E$12,"mmmm")</f>
        <v>NO - Not in leaching zone</v>
      </c>
      <c r="V28" s="26" t="str" cm="1">
        <f t="array" ref="V28">IFERROR(_xlfn.IFS(SUMPRODUCT(ISNUMBER(SEARCH(TRIM(_xlfn.TEXTSPLIT($U$22,",")),U28))*1)&gt;0,"Calving season",SUMPRODUCT(ISNUMBER(SEARCH(TRIM(_xlfn.TEXTSPLIT($U$23,",")),U28))*1)&gt;0,"Season after calving"), "")</f>
        <v/>
      </c>
      <c r="W28" s="26" t="str" cm="1">
        <f t="array" ref="W28">_xlfn.IFS(V28="Calving season", $J$14, V28="Season after calving", $J$15, V28="", "")</f>
        <v/>
      </c>
      <c r="X28" s="26">
        <v>1</v>
      </c>
      <c r="Y28" s="26">
        <v>1</v>
      </c>
      <c r="Z28" s="26">
        <v>1</v>
      </c>
      <c r="AA28" s="26" cm="1">
        <f t="array" ref="AA28">IFERROR(EntericMethane_PastureBeef_Equations.VEERG_3_2_1_1__4_AdditionalIntakeForMilkProduction(V$22,$W28), 1)</f>
        <v>1</v>
      </c>
      <c r="AB28" s="26" cm="1">
        <f t="array" ref="AB28">IFERROR(EntericMethane_PastureBeef_Equations.VEERG_3_2_1_1__4_AdditionalIntakeForMilkProduction(W$22,$W28), 1)</f>
        <v>1</v>
      </c>
      <c r="AC28" s="26" cm="1">
        <f t="array" ref="AC28">IFERROR(EntericMethane_PastureBeef_Equations.VEERG_3_2_1_1__4_AdditionalIntakeForMilkProduction(X$22,$W28), 1)</f>
        <v>1</v>
      </c>
      <c r="AD28" s="26">
        <v>1</v>
      </c>
      <c r="AE28" s="26">
        <v>1</v>
      </c>
      <c r="AF28" s="26">
        <v>1</v>
      </c>
      <c r="AG28" s="26">
        <v>1</v>
      </c>
      <c r="AH28" s="27" t="str">
        <f>$E$11</f>
        <v>fraction</v>
      </c>
    </row>
    <row r="29" spans="1:34" ht="20.100000000000001" customHeight="1" x14ac:dyDescent="0.25">
      <c r="A29" s="5" t="str">
        <f>HYPERLINK("#'5.5.1.1-2 Leaching and runoff'!A1", "5.5.1.1-2 Leaching &amp; runoff")</f>
        <v>5.5.1.1-2 Leaching &amp; runoff</v>
      </c>
      <c r="D29" s="26" t="s">
        <v>202</v>
      </c>
      <c r="E29" s="26" t="e" cm="1">
        <f t="array" ref="E29">_xlfn.IFS(D21=D29, "Calving season", D21=D28, "Season after calving", D21=D26, "", D21=D27, "")</f>
        <v>#N/A</v>
      </c>
      <c r="F29" s="26" t="e" cm="1">
        <f t="array" ref="F29">_xlfn.IFS(E29="Calving season", $J$14, E29="Season after calving", $J$15, E29="", "")</f>
        <v>#N/A</v>
      </c>
      <c r="G29" s="26">
        <v>1</v>
      </c>
      <c r="H29" s="26">
        <v>1</v>
      </c>
      <c r="I29" s="26">
        <v>1</v>
      </c>
      <c r="J29" s="26" cm="1">
        <f t="array" ref="J29">IFERROR(EntericMethane_PastureBeef_Equations.VEERG_3_2_1_1__4_AdditionalIntakeForMilkProduction(E$21,$F29), 1)</f>
        <v>1</v>
      </c>
      <c r="K29" s="26" cm="1">
        <f t="array" ref="K29">IFERROR(EntericMethane_PastureBeef_Equations.VEERG_3_2_1_1__4_AdditionalIntakeForMilkProduction(F$21,$F29), 1)</f>
        <v>1</v>
      </c>
      <c r="L29" s="26" cm="1">
        <f t="array" ref="L29">IFERROR(EntericMethane_PastureBeef_Equations.VEERG_3_2_1_1__4_AdditionalIntakeForMilkProduction(G$21,$F29), 1)</f>
        <v>1</v>
      </c>
      <c r="M29" s="26">
        <v>1</v>
      </c>
      <c r="N29" s="26">
        <v>1</v>
      </c>
      <c r="O29" s="26">
        <v>1</v>
      </c>
      <c r="P29" s="26">
        <v>1</v>
      </c>
      <c r="Q29" s="27" t="str">
        <f t="shared" si="0"/>
        <v>fraction</v>
      </c>
      <c r="U29" s="26" t="e">
        <f>TEXT(EDATE('Input - Site'!$E$12,1), "mmmm")</f>
        <v>#VALUE!</v>
      </c>
      <c r="V29" s="26" t="str" cm="1">
        <f t="array" ref="V29">IFERROR(_xlfn.IFS(SUMPRODUCT(ISNUMBER(SEARCH(TRIM(_xlfn.TEXTSPLIT($U$22,",")),U29))*1)&gt;0,"Calving season",SUMPRODUCT(ISNUMBER(SEARCH(TRIM(_xlfn.TEXTSPLIT($U$23,",")),U29))*1)&gt;0,"Season after calving"), "")</f>
        <v/>
      </c>
      <c r="W29" s="26" t="str" cm="1">
        <f t="array" ref="W29">_xlfn.IFS(V29="Calving season", $J$14, V29="Season after calving", $J$15, V29="", "")</f>
        <v/>
      </c>
      <c r="X29" s="26">
        <v>1</v>
      </c>
      <c r="Y29" s="26">
        <v>1</v>
      </c>
      <c r="Z29" s="26">
        <v>1</v>
      </c>
      <c r="AA29" s="26" cm="1">
        <f t="array" ref="AA29">IFERROR(EntericMethane_PastureBeef_Equations.VEERG_3_2_1_1__4_AdditionalIntakeForMilkProduction(V$22,$W29), 1)</f>
        <v>1</v>
      </c>
      <c r="AB29" s="26" cm="1">
        <f t="array" ref="AB29">IFERROR(EntericMethane_PastureBeef_Equations.VEERG_3_2_1_1__4_AdditionalIntakeForMilkProduction(W$22,$W29), 1)</f>
        <v>1</v>
      </c>
      <c r="AC29" s="26" cm="1">
        <f t="array" ref="AC29">IFERROR(EntericMethane_PastureBeef_Equations.VEERG_3_2_1_1__4_AdditionalIntakeForMilkProduction(X$22,$W29), 1)</f>
        <v>1</v>
      </c>
      <c r="AD29" s="26">
        <v>1</v>
      </c>
      <c r="AE29" s="26">
        <v>1</v>
      </c>
      <c r="AF29" s="26">
        <v>1</v>
      </c>
      <c r="AG29" s="26">
        <v>1</v>
      </c>
      <c r="AH29" s="27" t="str">
        <f t="shared" ref="AH29:AH39" si="1">$E$11</f>
        <v>fraction</v>
      </c>
    </row>
    <row r="30" spans="1:34" ht="20.100000000000001" customHeight="1" x14ac:dyDescent="0.25">
      <c r="A30" s="5" t="str">
        <f>HYPERLINK("#'6.2.1.1-2 Pasture residue N2O'!A1", "6.2.1.1-2 Pasture residue N2O")</f>
        <v>6.2.1.1-2 Pasture residue N2O</v>
      </c>
      <c r="U30" s="26" t="e">
        <f>TEXT(EDATE('Input - Site'!$E$12,2), "mmmm")</f>
        <v>#VALUE!</v>
      </c>
      <c r="V30" s="26" t="str" cm="1">
        <f t="array" ref="V30">IFERROR(_xlfn.IFS(SUMPRODUCT(ISNUMBER(SEARCH(TRIM(_xlfn.TEXTSPLIT($U$22,",")),U30))*1)&gt;0,"Calving season",SUMPRODUCT(ISNUMBER(SEARCH(TRIM(_xlfn.TEXTSPLIT($U$23,",")),U30))*1)&gt;0,"Season after calving"), "")</f>
        <v/>
      </c>
      <c r="W30" s="26" t="str" cm="1">
        <f t="array" ref="W30">_xlfn.IFS(V30="Calving season", $J$14, V30="Season after calving", $J$15, V30="", "")</f>
        <v/>
      </c>
      <c r="X30" s="26">
        <v>1</v>
      </c>
      <c r="Y30" s="26">
        <v>1</v>
      </c>
      <c r="Z30" s="26">
        <v>1</v>
      </c>
      <c r="AA30" s="26" cm="1">
        <f t="array" ref="AA30">IFERROR(EntericMethane_PastureBeef_Equations.VEERG_3_2_1_1__4_AdditionalIntakeForMilkProduction(V$22,$W30), 1)</f>
        <v>1</v>
      </c>
      <c r="AB30" s="26" cm="1">
        <f t="array" ref="AB30">IFERROR(EntericMethane_PastureBeef_Equations.VEERG_3_2_1_1__4_AdditionalIntakeForMilkProduction(W$22,$W30), 1)</f>
        <v>1</v>
      </c>
      <c r="AC30" s="26" cm="1">
        <f t="array" ref="AC30">IFERROR(EntericMethane_PastureBeef_Equations.VEERG_3_2_1_1__4_AdditionalIntakeForMilkProduction(X$22,$W30), 1)</f>
        <v>1</v>
      </c>
      <c r="AD30" s="26">
        <v>1</v>
      </c>
      <c r="AE30" s="26">
        <v>1</v>
      </c>
      <c r="AF30" s="26">
        <v>1</v>
      </c>
      <c r="AG30" s="26">
        <v>1</v>
      </c>
      <c r="AH30" s="27" t="str">
        <f t="shared" si="1"/>
        <v>fraction</v>
      </c>
    </row>
    <row r="31" spans="1:34" ht="20.100000000000001" customHeight="1" x14ac:dyDescent="0.25">
      <c r="A31" s="5" t="str">
        <f>HYPERLINK("#'6.3.1.1-2 Leach runoff pasture'!A1", "6.3.1.1-2 Leach &amp; runoff (pasture)")</f>
        <v>6.3.1.1-2 Leach &amp; runoff (pasture)</v>
      </c>
      <c r="U31" s="26" t="e">
        <f>TEXT(EDATE('Input - Site'!$E$12,3), "mmmm")</f>
        <v>#VALUE!</v>
      </c>
      <c r="V31" s="26" t="str" cm="1">
        <f t="array" ref="V31">IFERROR(_xlfn.IFS(SUMPRODUCT(ISNUMBER(SEARCH(TRIM(_xlfn.TEXTSPLIT($U$22,",")),U31))*1)&gt;0,"Calving season",SUMPRODUCT(ISNUMBER(SEARCH(TRIM(_xlfn.TEXTSPLIT($U$23,",")),U31))*1)&gt;0,"Season after calving"), "")</f>
        <v/>
      </c>
      <c r="W31" s="26" t="str" cm="1">
        <f t="array" ref="W31">_xlfn.IFS(V31="Calving season", $J$14, V31="Season after calving", $J$15, V31="", "")</f>
        <v/>
      </c>
      <c r="X31" s="26">
        <v>1</v>
      </c>
      <c r="Y31" s="26">
        <v>1</v>
      </c>
      <c r="Z31" s="26">
        <v>1</v>
      </c>
      <c r="AA31" s="26" cm="1">
        <f t="array" ref="AA31">IFERROR(EntericMethane_PastureBeef_Equations.VEERG_3_2_1_1__4_AdditionalIntakeForMilkProduction(V$22,$W31), 1)</f>
        <v>1</v>
      </c>
      <c r="AB31" s="26" cm="1">
        <f t="array" ref="AB31">IFERROR(EntericMethane_PastureBeef_Equations.VEERG_3_2_1_1__4_AdditionalIntakeForMilkProduction(W$22,$W31), 1)</f>
        <v>1</v>
      </c>
      <c r="AC31" s="26" cm="1">
        <f t="array" ref="AC31">IFERROR(EntericMethane_PastureBeef_Equations.VEERG_3_2_1_1__4_AdditionalIntakeForMilkProduction(X$22,$W31), 1)</f>
        <v>1</v>
      </c>
      <c r="AD31" s="26">
        <v>1</v>
      </c>
      <c r="AE31" s="26">
        <v>1</v>
      </c>
      <c r="AF31" s="26">
        <v>1</v>
      </c>
      <c r="AG31" s="26">
        <v>1</v>
      </c>
      <c r="AH31" s="27" t="str">
        <f t="shared" si="1"/>
        <v>fraction</v>
      </c>
    </row>
    <row r="32" spans="1:34" ht="20.100000000000001" customHeight="1" x14ac:dyDescent="0.25">
      <c r="A32" s="5" t="str">
        <f>HYPERLINK("#'8.1.1.1-2 Transport fuel'!A1", "8.1.1.1-2 Transport fuel")</f>
        <v>8.1.1.1-2 Transport fuel</v>
      </c>
      <c r="C32" s="117"/>
      <c r="D32" s="117"/>
      <c r="E32" s="117"/>
      <c r="F32" s="117"/>
      <c r="G32" s="117"/>
      <c r="H32" s="117"/>
      <c r="I32" s="117"/>
      <c r="J32" s="117"/>
      <c r="K32" s="117"/>
      <c r="L32" s="117"/>
      <c r="M32" s="117"/>
      <c r="N32" s="117"/>
      <c r="O32" s="117"/>
      <c r="P32" s="117"/>
      <c r="Q32" s="117"/>
      <c r="R32" s="117"/>
      <c r="U32" s="26" t="e">
        <f>TEXT(EDATE('Input - Site'!$E$12,4), "mmmm")</f>
        <v>#VALUE!</v>
      </c>
      <c r="V32" s="26" t="str" cm="1">
        <f t="array" ref="V32">IFERROR(_xlfn.IFS(SUMPRODUCT(ISNUMBER(SEARCH(TRIM(_xlfn.TEXTSPLIT($U$22,",")),U32))*1)&gt;0,"Calving season",SUMPRODUCT(ISNUMBER(SEARCH(TRIM(_xlfn.TEXTSPLIT($U$23,",")),U32))*1)&gt;0,"Season after calving"), "")</f>
        <v/>
      </c>
      <c r="W32" s="26" t="str" cm="1">
        <f t="array" ref="W32">_xlfn.IFS(V32="Calving season", $J$14, V32="Season after calving", $J$15, V32="", "")</f>
        <v/>
      </c>
      <c r="X32" s="26">
        <v>1</v>
      </c>
      <c r="Y32" s="26">
        <v>1</v>
      </c>
      <c r="Z32" s="26">
        <v>1</v>
      </c>
      <c r="AA32" s="26" cm="1">
        <f t="array" ref="AA32">IFERROR(EntericMethane_PastureBeef_Equations.VEERG_3_2_1_1__4_AdditionalIntakeForMilkProduction(V$22,$W32), 1)</f>
        <v>1</v>
      </c>
      <c r="AB32" s="26" cm="1">
        <f t="array" ref="AB32">IFERROR(EntericMethane_PastureBeef_Equations.VEERG_3_2_1_1__4_AdditionalIntakeForMilkProduction(W$22,$W32), 1)</f>
        <v>1</v>
      </c>
      <c r="AC32" s="26" cm="1">
        <f t="array" ref="AC32">IFERROR(EntericMethane_PastureBeef_Equations.VEERG_3_2_1_1__4_AdditionalIntakeForMilkProduction(X$22,$W32), 1)</f>
        <v>1</v>
      </c>
      <c r="AD32" s="26">
        <v>1</v>
      </c>
      <c r="AE32" s="26">
        <v>1</v>
      </c>
      <c r="AF32" s="26">
        <v>1</v>
      </c>
      <c r="AG32" s="26">
        <v>1</v>
      </c>
      <c r="AH32" s="27"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6" t="e">
        <f>TEXT(EDATE('Input - Site'!$E$12,5), "mmmm")</f>
        <v>#VALUE!</v>
      </c>
      <c r="V33" s="26" t="str" cm="1">
        <f t="array" ref="V33">IFERROR(_xlfn.IFS(SUMPRODUCT(ISNUMBER(SEARCH(TRIM(_xlfn.TEXTSPLIT($U$22,",")),U33))*1)&gt;0,"Calving season",SUMPRODUCT(ISNUMBER(SEARCH(TRIM(_xlfn.TEXTSPLIT($U$23,",")),U33))*1)&gt;0,"Season after calving"), "")</f>
        <v/>
      </c>
      <c r="W33" s="26" t="str" cm="1">
        <f t="array" ref="W33">_xlfn.IFS(V33="Calving season", $J$14, V33="Season after calving", $J$15, V33="", "")</f>
        <v/>
      </c>
      <c r="X33" s="26">
        <v>1</v>
      </c>
      <c r="Y33" s="26">
        <v>1</v>
      </c>
      <c r="Z33" s="26">
        <v>1</v>
      </c>
      <c r="AA33" s="26" cm="1">
        <f t="array" ref="AA33">IFERROR(EntericMethane_PastureBeef_Equations.VEERG_3_2_1_1__4_AdditionalIntakeForMilkProduction(V$22,$W33), 1)</f>
        <v>1</v>
      </c>
      <c r="AB33" s="26" cm="1">
        <f t="array" ref="AB33">IFERROR(EntericMethane_PastureBeef_Equations.VEERG_3_2_1_1__4_AdditionalIntakeForMilkProduction(W$22,$W33), 1)</f>
        <v>1</v>
      </c>
      <c r="AC33" s="26" cm="1">
        <f t="array" ref="AC33">IFERROR(EntericMethane_PastureBeef_Equations.VEERG_3_2_1_1__4_AdditionalIntakeForMilkProduction(X$22,$W33), 1)</f>
        <v>1</v>
      </c>
      <c r="AD33" s="26">
        <v>1</v>
      </c>
      <c r="AE33" s="26">
        <v>1</v>
      </c>
      <c r="AF33" s="26">
        <v>1</v>
      </c>
      <c r="AG33" s="26">
        <v>1</v>
      </c>
      <c r="AH33" s="27" t="str">
        <f t="shared" si="1"/>
        <v>fraction</v>
      </c>
    </row>
    <row r="34" spans="1:34" ht="20.100000000000001" customHeight="1" x14ac:dyDescent="0.25">
      <c r="A34" s="5" t="str">
        <f>HYPERLINK("#'14.1.1-2 Purchased electricity'!A1", "14.1.1-2 Purchased electricity")</f>
        <v>14.1.1-2 Purchased electricity</v>
      </c>
      <c r="D34" s="28" t="str" cm="1">
        <f t="array" ref="D34">EntericMethane_PastureBeef_Equations.VEERG_3_2_1_1__3_FeedIntakeForGrazingBeef_Source()</f>
        <v>VEERG 2026: 3.2.1.1, Equation (3)</v>
      </c>
      <c r="U34" s="26" t="e">
        <f>TEXT(EDATE('Input - Site'!$E$12,6), "mmmm")</f>
        <v>#VALUE!</v>
      </c>
      <c r="V34" s="26" t="str" cm="1">
        <f t="array" ref="V34">IFERROR(_xlfn.IFS(SUMPRODUCT(ISNUMBER(SEARCH(TRIM(_xlfn.TEXTSPLIT($U$22,",")),U34))*1)&gt;0,"Calving season",SUMPRODUCT(ISNUMBER(SEARCH(TRIM(_xlfn.TEXTSPLIT($U$23,",")),U34))*1)&gt;0,"Season after calving"), "")</f>
        <v/>
      </c>
      <c r="W34" s="26" t="str" cm="1">
        <f t="array" ref="W34">_xlfn.IFS(V34="Calving season", $J$14, V34="Season after calving", $J$15, V34="", "")</f>
        <v/>
      </c>
      <c r="X34" s="26">
        <v>1</v>
      </c>
      <c r="Y34" s="26">
        <v>1</v>
      </c>
      <c r="Z34" s="26">
        <v>1</v>
      </c>
      <c r="AA34" s="26" cm="1">
        <f t="array" ref="AA34">IFERROR(EntericMethane_PastureBeef_Equations.VEERG_3_2_1_1__4_AdditionalIntakeForMilkProduction(V$22,$W34), 1)</f>
        <v>1</v>
      </c>
      <c r="AB34" s="26" cm="1">
        <f t="array" ref="AB34">IFERROR(EntericMethane_PastureBeef_Equations.VEERG_3_2_1_1__4_AdditionalIntakeForMilkProduction(W$22,$W34), 1)</f>
        <v>1</v>
      </c>
      <c r="AC34" s="26" cm="1">
        <f t="array" ref="AC34">IFERROR(EntericMethane_PastureBeef_Equations.VEERG_3_2_1_1__4_AdditionalIntakeForMilkProduction(X$22,$W34), 1)</f>
        <v>1</v>
      </c>
      <c r="AD34" s="26">
        <v>1</v>
      </c>
      <c r="AE34" s="26">
        <v>1</v>
      </c>
      <c r="AF34" s="26">
        <v>1</v>
      </c>
      <c r="AG34" s="26">
        <v>1</v>
      </c>
      <c r="AH34" s="27" t="str">
        <f t="shared" si="1"/>
        <v>fraction</v>
      </c>
    </row>
    <row r="35" spans="1:34" ht="20.100000000000001" customHeight="1" x14ac:dyDescent="0.25">
      <c r="D35" s="104" t="s">
        <v>257</v>
      </c>
      <c r="E35" s="104" t="str" cm="1">
        <f t="array" aca="1" ref="E35" ca="1">Common_InputFunctions.Utility_DisplayFunctionName($E$64)</f>
        <v>=EntericMethane_PastureBeef_Equations.VEERG_3_2_1_1__3_FeedIntakeForGrazingBeef</v>
      </c>
      <c r="U35" s="26" t="e">
        <f>TEXT(EDATE('Input - Site'!$E$12,7), "mmmm")</f>
        <v>#VALUE!</v>
      </c>
      <c r="V35" s="26" t="str" cm="1">
        <f t="array" ref="V35">IFERROR(_xlfn.IFS(SUMPRODUCT(ISNUMBER(SEARCH(TRIM(_xlfn.TEXTSPLIT($U$22,",")),U35))*1)&gt;0,"Calving season",SUMPRODUCT(ISNUMBER(SEARCH(TRIM(_xlfn.TEXTSPLIT($U$23,",")),U35))*1)&gt;0,"Season after calving"), "")</f>
        <v/>
      </c>
      <c r="W35" s="26" t="str" cm="1">
        <f t="array" ref="W35">_xlfn.IFS(V35="Calving season", $J$14, V35="Season after calving", $J$15, V35="", "")</f>
        <v/>
      </c>
      <c r="X35" s="26">
        <v>1</v>
      </c>
      <c r="Y35" s="26">
        <v>1</v>
      </c>
      <c r="Z35" s="26">
        <v>1</v>
      </c>
      <c r="AA35" s="26" cm="1">
        <f t="array" ref="AA35">IFERROR(EntericMethane_PastureBeef_Equations.VEERG_3_2_1_1__4_AdditionalIntakeForMilkProduction(V$22,$W35), 1)</f>
        <v>1</v>
      </c>
      <c r="AB35" s="26" cm="1">
        <f t="array" ref="AB35">IFERROR(EntericMethane_PastureBeef_Equations.VEERG_3_2_1_1__4_AdditionalIntakeForMilkProduction(W$22,$W35), 1)</f>
        <v>1</v>
      </c>
      <c r="AC35" s="26" cm="1">
        <f t="array" ref="AC35">IFERROR(EntericMethane_PastureBeef_Equations.VEERG_3_2_1_1__4_AdditionalIntakeForMilkProduction(X$22,$W35), 1)</f>
        <v>1</v>
      </c>
      <c r="AD35" s="26">
        <v>1</v>
      </c>
      <c r="AE35" s="26">
        <v>1</v>
      </c>
      <c r="AF35" s="26">
        <v>1</v>
      </c>
      <c r="AG35" s="26">
        <v>1</v>
      </c>
      <c r="AH35" s="27" t="str">
        <f t="shared" si="1"/>
        <v>fraction</v>
      </c>
    </row>
    <row r="36" spans="1:34" ht="20.100000000000001" customHeight="1" x14ac:dyDescent="0.25">
      <c r="U36" s="26" t="e">
        <f>TEXT(EDATE('Input - Site'!$E$12,8), "mmmm")</f>
        <v>#VALUE!</v>
      </c>
      <c r="V36" s="26" t="str" cm="1">
        <f t="array" ref="V36">IFERROR(_xlfn.IFS(SUMPRODUCT(ISNUMBER(SEARCH(TRIM(_xlfn.TEXTSPLIT($U$22,",")),U36))*1)&gt;0,"Calving season",SUMPRODUCT(ISNUMBER(SEARCH(TRIM(_xlfn.TEXTSPLIT($U$23,",")),U36))*1)&gt;0,"Season after calving"), "")</f>
        <v/>
      </c>
      <c r="W36" s="26" t="str" cm="1">
        <f t="array" ref="W36">_xlfn.IFS(V36="Calving season", $J$14, V36="Season after calving", $J$15, V36="", "")</f>
        <v/>
      </c>
      <c r="X36" s="26">
        <v>1</v>
      </c>
      <c r="Y36" s="26">
        <v>1</v>
      </c>
      <c r="Z36" s="26">
        <v>1</v>
      </c>
      <c r="AA36" s="26" cm="1">
        <f t="array" ref="AA36">IFERROR(EntericMethane_PastureBeef_Equations.VEERG_3_2_1_1__4_AdditionalIntakeForMilkProduction(V$22,$W36), 1)</f>
        <v>1</v>
      </c>
      <c r="AB36" s="26" cm="1">
        <f t="array" ref="AB36">IFERROR(EntericMethane_PastureBeef_Equations.VEERG_3_2_1_1__4_AdditionalIntakeForMilkProduction(W$22,$W36), 1)</f>
        <v>1</v>
      </c>
      <c r="AC36" s="26" cm="1">
        <f t="array" ref="AC36">IFERROR(EntericMethane_PastureBeef_Equations.VEERG_3_2_1_1__4_AdditionalIntakeForMilkProduction(X$22,$W36), 1)</f>
        <v>1</v>
      </c>
      <c r="AD36" s="26">
        <v>1</v>
      </c>
      <c r="AE36" s="26">
        <v>1</v>
      </c>
      <c r="AF36" s="26">
        <v>1</v>
      </c>
      <c r="AG36" s="26">
        <v>1</v>
      </c>
      <c r="AH36" s="27" t="str">
        <f t="shared" si="1"/>
        <v>fraction</v>
      </c>
    </row>
    <row r="37" spans="1:34" ht="20.100000000000001" customHeight="1" x14ac:dyDescent="0.25">
      <c r="A37" s="250" t="s">
        <v>1</v>
      </c>
      <c r="G37" s="2" t="str" cm="1">
        <f t="array" ref="G37">EntericMethane_PastureBeef_Equations.VEERG_3_2_1_1__3_FeedIntakeForGrazingBeef_LatexEquation()</f>
        <v>I_{jkl}=(1.185+0.00454\times W_{jkl}-0.0000026\times W_{jkl}^{2}+0.315\times LWG_{jkl})^2\times MA_{jk=4,5}</v>
      </c>
      <c r="U37" s="26" t="e">
        <f>TEXT(EDATE('Input - Site'!$E$12,9), "mmmm")</f>
        <v>#VALUE!</v>
      </c>
      <c r="V37" s="26" t="str" cm="1">
        <f t="array" ref="V37">IFERROR(_xlfn.IFS(SUMPRODUCT(ISNUMBER(SEARCH(TRIM(_xlfn.TEXTSPLIT($U$22,",")),U37))*1)&gt;0,"Calving season",SUMPRODUCT(ISNUMBER(SEARCH(TRIM(_xlfn.TEXTSPLIT($U$23,",")),U37))*1)&gt;0,"Season after calving"), "")</f>
        <v/>
      </c>
      <c r="W37" s="26" t="str" cm="1">
        <f t="array" ref="W37">_xlfn.IFS(V37="Calving season", $J$14, V37="Season after calving", $J$15, V37="", "")</f>
        <v/>
      </c>
      <c r="X37" s="26">
        <v>1</v>
      </c>
      <c r="Y37" s="26">
        <v>1</v>
      </c>
      <c r="Z37" s="26">
        <v>1</v>
      </c>
      <c r="AA37" s="26" cm="1">
        <f t="array" ref="AA37">IFERROR(EntericMethane_PastureBeef_Equations.VEERG_3_2_1_1__4_AdditionalIntakeForMilkProduction(V$22,$W37), 1)</f>
        <v>1</v>
      </c>
      <c r="AB37" s="26" cm="1">
        <f t="array" ref="AB37">IFERROR(EntericMethane_PastureBeef_Equations.VEERG_3_2_1_1__4_AdditionalIntakeForMilkProduction(W$22,$W37), 1)</f>
        <v>1</v>
      </c>
      <c r="AC37" s="26" cm="1">
        <f t="array" ref="AC37">IFERROR(EntericMethane_PastureBeef_Equations.VEERG_3_2_1_1__4_AdditionalIntakeForMilkProduction(X$22,$W37), 1)</f>
        <v>1</v>
      </c>
      <c r="AD37" s="26">
        <v>1</v>
      </c>
      <c r="AE37" s="26">
        <v>1</v>
      </c>
      <c r="AF37" s="26">
        <v>1</v>
      </c>
      <c r="AG37" s="26">
        <v>1</v>
      </c>
      <c r="AH37" s="27" t="str">
        <f t="shared" si="1"/>
        <v>fraction</v>
      </c>
    </row>
    <row r="38" spans="1:34" ht="20.100000000000001" customHeight="1" x14ac:dyDescent="0.25">
      <c r="A38" s="5" t="str">
        <f>HYPERLINK("#'Constants - Pasture Beef'!A1", "Constants - Pasture Beef")</f>
        <v>Constants - Pasture Beef</v>
      </c>
      <c r="D38" s="89" t="s">
        <v>259</v>
      </c>
      <c r="E38" s="1" t="str" cm="1">
        <f t="array" ref="E38">EntericMethane_PastureBeef_Equations.VEERG_3_2_1_1__3_FeedIntakeForGrazingBeef_Variable()</f>
        <v>I_jkl</v>
      </c>
      <c r="U38" s="26" t="e">
        <f>TEXT(EDATE('Input - Site'!$E$12,10), "mmmm")</f>
        <v>#VALUE!</v>
      </c>
      <c r="V38" s="26" t="str" cm="1">
        <f t="array" ref="V38">IFERROR(_xlfn.IFS(SUMPRODUCT(ISNUMBER(SEARCH(TRIM(_xlfn.TEXTSPLIT($U$22,",")),U38))*1)&gt;0,"Calving season",SUMPRODUCT(ISNUMBER(SEARCH(TRIM(_xlfn.TEXTSPLIT($U$23,",")),U38))*1)&gt;0,"Season after calving"), "")</f>
        <v/>
      </c>
      <c r="W38" s="26" t="str" cm="1">
        <f t="array" ref="W38">_xlfn.IFS(V38="Calving season", $J$14, V38="Season after calving", $J$15, V38="", "")</f>
        <v/>
      </c>
      <c r="X38" s="26">
        <v>1</v>
      </c>
      <c r="Y38" s="26">
        <v>1</v>
      </c>
      <c r="Z38" s="26">
        <v>1</v>
      </c>
      <c r="AA38" s="26" cm="1">
        <f t="array" ref="AA38">IFERROR(EntericMethane_PastureBeef_Equations.VEERG_3_2_1_1__4_AdditionalIntakeForMilkProduction(V$22,$W38), 1)</f>
        <v>1</v>
      </c>
      <c r="AB38" s="26" cm="1">
        <f t="array" ref="AB38">IFERROR(EntericMethane_PastureBeef_Equations.VEERG_3_2_1_1__4_AdditionalIntakeForMilkProduction(W$22,$W38), 1)</f>
        <v>1</v>
      </c>
      <c r="AC38" s="26" cm="1">
        <f t="array" ref="AC38">IFERROR(EntericMethane_PastureBeef_Equations.VEERG_3_2_1_1__4_AdditionalIntakeForMilkProduction(X$22,$W38), 1)</f>
        <v>1</v>
      </c>
      <c r="AD38" s="26">
        <v>1</v>
      </c>
      <c r="AE38" s="26">
        <v>1</v>
      </c>
      <c r="AF38" s="26">
        <v>1</v>
      </c>
      <c r="AG38" s="26">
        <v>1</v>
      </c>
      <c r="AH38" s="27" t="str">
        <f t="shared" si="1"/>
        <v>fraction</v>
      </c>
    </row>
    <row r="39" spans="1:34" ht="20.100000000000001" customHeight="1" x14ac:dyDescent="0.25">
      <c r="A39" s="5" t="str">
        <f>HYPERLINK("#'Constants - Ag Residue'!A1", "Constants - Ag residue")</f>
        <v>Constants - Ag residue</v>
      </c>
      <c r="D39" s="89" t="s">
        <v>133</v>
      </c>
      <c r="E39" s="15" t="str" cm="1">
        <f t="array" ref="E39">EntericMethane_PastureBeef_Equations.VEERG_3_2_1_1__3_FeedIntakeForGrazingBeef_Unit()</f>
        <v>kg DM/head/day</v>
      </c>
      <c r="U39" s="26" t="e">
        <f>TEXT(EDATE('Input - Site'!$E$12,11), "mmmm")</f>
        <v>#VALUE!</v>
      </c>
      <c r="V39" s="26" t="str" cm="1">
        <f t="array" ref="V39">IFERROR(_xlfn.IFS(SUMPRODUCT(ISNUMBER(SEARCH(TRIM(_xlfn.TEXTSPLIT($U$22,",")),U39))*1)&gt;0,"Calving season",SUMPRODUCT(ISNUMBER(SEARCH(TRIM(_xlfn.TEXTSPLIT($U$23,",")),U39))*1)&gt;0,"Season after calving"), "")</f>
        <v/>
      </c>
      <c r="W39" s="26" t="str" cm="1">
        <f t="array" ref="W39">_xlfn.IFS(V39="Calving season", $J$14, V39="Season after calving", $J$15, V39="", "")</f>
        <v/>
      </c>
      <c r="X39" s="26">
        <v>1</v>
      </c>
      <c r="Y39" s="26">
        <v>1</v>
      </c>
      <c r="Z39" s="26">
        <v>1</v>
      </c>
      <c r="AA39" s="26" cm="1">
        <f t="array" ref="AA39">IFERROR(EntericMethane_PastureBeef_Equations.VEERG_3_2_1_1__4_AdditionalIntakeForMilkProduction(V$22,$W39), 1)</f>
        <v>1</v>
      </c>
      <c r="AB39" s="26" cm="1">
        <f t="array" ref="AB39">IFERROR(EntericMethane_PastureBeef_Equations.VEERG_3_2_1_1__4_AdditionalIntakeForMilkProduction(W$22,$W39), 1)</f>
        <v>1</v>
      </c>
      <c r="AC39" s="26" cm="1">
        <f t="array" ref="AC39">IFERROR(EntericMethane_PastureBeef_Equations.VEERG_3_2_1_1__4_AdditionalIntakeForMilkProduction(X$22,$W39), 1)</f>
        <v>1</v>
      </c>
      <c r="AD39" s="26">
        <v>1</v>
      </c>
      <c r="AE39" s="26">
        <v>1</v>
      </c>
      <c r="AF39" s="26">
        <v>1</v>
      </c>
      <c r="AG39" s="26">
        <v>1</v>
      </c>
      <c r="AH39" s="27"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6" t="str" cm="1">
        <f t="array" ref="D41:E43">_xlfn.CHOOSECOLS(EntericMethane_PastureBeef_Equations.VEERG_3_2_1_1__3_FeedIntakeForGrazingBeef_Arguments(), 1, 2)</f>
        <v>W_jkl</v>
      </c>
      <c r="E41" s="107" t="str">
        <v>liveweight (kg)</v>
      </c>
      <c r="F41" s="109"/>
      <c r="G41" s="106" t="str" cm="1">
        <f t="array" ref="G41:H43">_xlfn.CHOOSECOLS(EntericMethane_PastureBeef_Equations.VEERG_3_2_1_1__3_FeedIntakeForGrazingBeef_Arguments(), 3,4)</f>
        <v>kg</v>
      </c>
      <c r="H41" s="110" t="str">
        <v>Input</v>
      </c>
      <c r="I41" s="112" t="str" cm="1">
        <f t="array" aca="1" ref="I41" ca="1">HYPERLINK(Common_InputFunctions.Utility_SourceHyperlink($D$45), $D$45)</f>
        <v>M1_Table_W_j_k_l</v>
      </c>
      <c r="U41" s="113" t="s">
        <v>270</v>
      </c>
    </row>
    <row r="42" spans="1:34" ht="20.100000000000001" customHeight="1" x14ac:dyDescent="0.25">
      <c r="A42" s="5" t="str">
        <f>HYPERLINK("#'Constants - Fertiliser'!A1", "Constants - Fertiliser")</f>
        <v>Constants - Fertiliser</v>
      </c>
      <c r="D42" s="106" t="str">
        <v>LWG_jkl</v>
      </c>
      <c r="E42" s="107" t="str">
        <v>live weight gain (kg/head/day)</v>
      </c>
      <c r="F42" s="109"/>
      <c r="G42" s="106" t="str">
        <v>kg/head/day</v>
      </c>
      <c r="H42" s="110" t="str">
        <v>Input</v>
      </c>
      <c r="I42" s="112" t="str" cm="1">
        <f t="array" aca="1" ref="I42" ca="1">HYPERLINK(Common_InputFunctions.Utility_SourceHyperlink($D$53), $D$53)</f>
        <v>M1_Table_LWG_j_k_l</v>
      </c>
      <c r="U42" s="114" t="s">
        <v>271</v>
      </c>
    </row>
    <row r="43" spans="1:34" ht="20.100000000000001" customHeight="1" x14ac:dyDescent="0.25">
      <c r="A43" s="5" t="str">
        <f>HYPERLINK("#'Constants - Fuel'!A1", "Constants - Fuel")</f>
        <v>Constants - Fuel</v>
      </c>
      <c r="D43" s="106" t="str">
        <v>MA_jk45</v>
      </c>
      <c r="E43" s="107" t="str">
        <v>additional intake for milk production in cows greater than 2 years</v>
      </c>
      <c r="F43" s="109"/>
      <c r="G43" s="106" t="str">
        <v>kg/head/day</v>
      </c>
      <c r="H43" s="111" t="str">
        <v>Calculated from 3.2.1.1, (4)</v>
      </c>
      <c r="I43" s="112" t="str" cm="1">
        <f t="array" aca="1" ref="I43" ca="1">HYPERLINK(Common_InputFunctions.Utility_SourceHyperlink($D$23), $D$23)</f>
        <v>M1_Table_MA_j_k-4-5</v>
      </c>
      <c r="U43" s="115" t="s">
        <v>78</v>
      </c>
      <c r="V43" s="116" t="s">
        <v>189</v>
      </c>
      <c r="W43" s="116" t="s">
        <v>190</v>
      </c>
      <c r="X43" s="116" t="s">
        <v>191</v>
      </c>
      <c r="Y43" s="116" t="s">
        <v>192</v>
      </c>
      <c r="Z43" s="116" t="s">
        <v>193</v>
      </c>
      <c r="AA43" s="116" t="s">
        <v>194</v>
      </c>
      <c r="AB43" s="116" t="s">
        <v>195</v>
      </c>
      <c r="AC43" s="116" t="s">
        <v>196</v>
      </c>
      <c r="AD43" s="116" t="s">
        <v>197</v>
      </c>
      <c r="AE43" s="116" t="s">
        <v>198</v>
      </c>
      <c r="AF43" s="27"/>
    </row>
    <row r="44" spans="1:34" ht="20.100000000000001" customHeight="1" x14ac:dyDescent="0.25">
      <c r="A44" s="5" t="str">
        <f>HYPERLINK("#'Constants - Common'!A1", "Constants - Common")</f>
        <v>Constants - Common</v>
      </c>
      <c r="U44" s="26" t="str">
        <f>TEXT('Input - Site'!$E$12,"mmmm")</f>
        <v>NO - Not in leaching zone</v>
      </c>
      <c r="V44" s="26" t="e" cm="1">
        <f t="array" aca="1" ref="V44:AE55" ca="1">OFFSET(X_Table_PastureBeef_Liveweight_Method2,1,1,12,10)</f>
        <v>#N/A</v>
      </c>
      <c r="W44" s="26" t="e">
        <f ca="1"/>
        <v>#N/A</v>
      </c>
      <c r="X44" s="26" t="e">
        <f ca="1"/>
        <v>#N/A</v>
      </c>
      <c r="Y44" s="26" t="e">
        <f ca="1"/>
        <v>#N/A</v>
      </c>
      <c r="Z44" s="26" t="e">
        <f ca="1"/>
        <v>#N/A</v>
      </c>
      <c r="AA44" s="26" t="e">
        <f ca="1"/>
        <v>#N/A</v>
      </c>
      <c r="AB44" s="26" t="e">
        <f ca="1"/>
        <v>#N/A</v>
      </c>
      <c r="AC44" s="26" t="e">
        <f ca="1"/>
        <v>#N/A</v>
      </c>
      <c r="AD44" s="26" t="e">
        <f ca="1"/>
        <v>#N/A</v>
      </c>
      <c r="AE44" s="26" t="e">
        <f ca="1"/>
        <v>#N/A</v>
      </c>
      <c r="AF44" s="27" t="s">
        <v>208</v>
      </c>
    </row>
    <row r="45" spans="1:34" ht="20.100000000000001" customHeight="1" x14ac:dyDescent="0.25">
      <c r="A45" s="5" t="str">
        <f>HYPERLINK("#'Acknowledgements'!A1", "Acknowledgements")</f>
        <v>Acknowledgements</v>
      </c>
      <c r="D45" s="113" t="s">
        <v>272</v>
      </c>
      <c r="U45" s="26" t="e">
        <f>TEXT(EDATE('Input - Site'!$E$12,1), "mmmm")</f>
        <v>#VALUE!</v>
      </c>
      <c r="V45" s="26" t="e">
        <f ca="1"/>
        <v>#N/A</v>
      </c>
      <c r="W45" s="26" t="e">
        <f ca="1"/>
        <v>#N/A</v>
      </c>
      <c r="X45" s="26" t="e">
        <f ca="1"/>
        <v>#N/A</v>
      </c>
      <c r="Y45" s="26" t="e">
        <f ca="1"/>
        <v>#N/A</v>
      </c>
      <c r="Z45" s="26" t="e">
        <f ca="1"/>
        <v>#N/A</v>
      </c>
      <c r="AA45" s="26" t="e">
        <f ca="1"/>
        <v>#N/A</v>
      </c>
      <c r="AB45" s="26" t="e">
        <f ca="1"/>
        <v>#N/A</v>
      </c>
      <c r="AC45" s="26" t="e">
        <f ca="1"/>
        <v>#N/A</v>
      </c>
      <c r="AD45" s="26" t="e">
        <f ca="1"/>
        <v>#N/A</v>
      </c>
      <c r="AE45" s="26" t="e">
        <f ca="1"/>
        <v>#N/A</v>
      </c>
      <c r="AF45" s="27" t="s">
        <v>208</v>
      </c>
    </row>
    <row r="46" spans="1:34" ht="20.100000000000001" customHeight="1" x14ac:dyDescent="0.25">
      <c r="A46" s="5" t="str">
        <f>HYPERLINK("#'Overview'!A1", "Overview")</f>
        <v>Overview</v>
      </c>
      <c r="D46" s="114" t="s">
        <v>273</v>
      </c>
      <c r="U46" s="26" t="e">
        <f>TEXT(EDATE('Input - Site'!$E$12,2), "mmmm")</f>
        <v>#VALUE!</v>
      </c>
      <c r="V46" s="26" t="e">
        <f ca="1"/>
        <v>#N/A</v>
      </c>
      <c r="W46" s="26" t="e">
        <f ca="1"/>
        <v>#N/A</v>
      </c>
      <c r="X46" s="26" t="e">
        <f ca="1"/>
        <v>#N/A</v>
      </c>
      <c r="Y46" s="26" t="e">
        <f ca="1"/>
        <v>#N/A</v>
      </c>
      <c r="Z46" s="26" t="e">
        <f ca="1"/>
        <v>#N/A</v>
      </c>
      <c r="AA46" s="26" t="e">
        <f ca="1"/>
        <v>#N/A</v>
      </c>
      <c r="AB46" s="26" t="e">
        <f ca="1"/>
        <v>#N/A</v>
      </c>
      <c r="AC46" s="26" t="e">
        <f ca="1"/>
        <v>#N/A</v>
      </c>
      <c r="AD46" s="26" t="e">
        <f ca="1"/>
        <v>#N/A</v>
      </c>
      <c r="AE46" s="26" t="e">
        <f ca="1"/>
        <v>#N/A</v>
      </c>
      <c r="AF46" s="27" t="s">
        <v>208</v>
      </c>
    </row>
    <row r="47" spans="1:34" ht="20.100000000000001" customHeight="1" x14ac:dyDescent="0.25">
      <c r="D47" s="115" t="s">
        <v>79</v>
      </c>
      <c r="E47" s="116" t="s">
        <v>189</v>
      </c>
      <c r="F47" s="116" t="s">
        <v>190</v>
      </c>
      <c r="G47" s="116" t="s">
        <v>191</v>
      </c>
      <c r="H47" s="116" t="s">
        <v>192</v>
      </c>
      <c r="I47" s="116" t="s">
        <v>193</v>
      </c>
      <c r="J47" s="116" t="s">
        <v>194</v>
      </c>
      <c r="K47" s="116" t="s">
        <v>195</v>
      </c>
      <c r="L47" s="116" t="s">
        <v>196</v>
      </c>
      <c r="M47" s="116" t="s">
        <v>197</v>
      </c>
      <c r="N47" s="116" t="s">
        <v>198</v>
      </c>
      <c r="U47" s="26" t="e">
        <f>TEXT(EDATE('Input - Site'!$E$12,3), "mmmm")</f>
        <v>#VALUE!</v>
      </c>
      <c r="V47" s="26" t="e">
        <f ca="1"/>
        <v>#N/A</v>
      </c>
      <c r="W47" s="26" t="e">
        <f ca="1"/>
        <v>#N/A</v>
      </c>
      <c r="X47" s="26" t="e">
        <f ca="1"/>
        <v>#N/A</v>
      </c>
      <c r="Y47" s="26" t="e">
        <f ca="1"/>
        <v>#N/A</v>
      </c>
      <c r="Z47" s="26" t="e">
        <f ca="1"/>
        <v>#N/A</v>
      </c>
      <c r="AA47" s="26" t="e">
        <f ca="1"/>
        <v>#N/A</v>
      </c>
      <c r="AB47" s="26" t="e">
        <f ca="1"/>
        <v>#N/A</v>
      </c>
      <c r="AC47" s="26" t="e">
        <f ca="1"/>
        <v>#N/A</v>
      </c>
      <c r="AD47" s="26" t="e">
        <f ca="1"/>
        <v>#N/A</v>
      </c>
      <c r="AE47" s="26" t="e">
        <f ca="1"/>
        <v>#N/A</v>
      </c>
      <c r="AF47" s="27" t="s">
        <v>208</v>
      </c>
    </row>
    <row r="48" spans="1:34" ht="20.100000000000001" customHeight="1" x14ac:dyDescent="0.25">
      <c r="D48" s="26" t="str">
        <f>INDEX(X_Table_PastureBeef_Liveweight_Method1,3,1)</f>
        <v>Summer</v>
      </c>
      <c r="E48" s="26" t="e" cm="1">
        <f t="array" aca="1" ref="E48:N51" ca="1">OFFSET(X_Table_PastureBeef_Liveweight_Method1, 1,1, 4,10)</f>
        <v>#N/A</v>
      </c>
      <c r="F48" s="26" t="e">
        <f ca="1"/>
        <v>#N/A</v>
      </c>
      <c r="G48" s="26" t="e">
        <f ca="1"/>
        <v>#N/A</v>
      </c>
      <c r="H48" s="26" t="e">
        <f ca="1"/>
        <v>#N/A</v>
      </c>
      <c r="I48" s="26" t="e">
        <f ca="1"/>
        <v>#N/A</v>
      </c>
      <c r="J48" s="26" t="e">
        <f ca="1"/>
        <v>#N/A</v>
      </c>
      <c r="K48" s="26" t="e">
        <f ca="1"/>
        <v>#N/A</v>
      </c>
      <c r="L48" s="26" t="e">
        <f ca="1"/>
        <v>#N/A</v>
      </c>
      <c r="M48" s="26" t="e">
        <f ca="1"/>
        <v>#N/A</v>
      </c>
      <c r="N48" s="26" t="e">
        <f ca="1"/>
        <v>#N/A</v>
      </c>
      <c r="O48" s="27" t="s">
        <v>208</v>
      </c>
      <c r="P48" s="27"/>
      <c r="Q48" s="27"/>
      <c r="U48" s="26" t="e">
        <f>TEXT(EDATE('Input - Site'!$E$12,4), "mmmm")</f>
        <v>#VALUE!</v>
      </c>
      <c r="V48" s="26" t="e">
        <f ca="1"/>
        <v>#N/A</v>
      </c>
      <c r="W48" s="26" t="e">
        <f ca="1"/>
        <v>#N/A</v>
      </c>
      <c r="X48" s="26" t="e">
        <f ca="1"/>
        <v>#N/A</v>
      </c>
      <c r="Y48" s="26" t="e">
        <f ca="1"/>
        <v>#N/A</v>
      </c>
      <c r="Z48" s="26" t="e">
        <f ca="1"/>
        <v>#N/A</v>
      </c>
      <c r="AA48" s="26" t="e">
        <f ca="1"/>
        <v>#N/A</v>
      </c>
      <c r="AB48" s="26" t="e">
        <f ca="1"/>
        <v>#N/A</v>
      </c>
      <c r="AC48" s="26" t="e">
        <f ca="1"/>
        <v>#N/A</v>
      </c>
      <c r="AD48" s="26" t="e">
        <f ca="1"/>
        <v>#N/A</v>
      </c>
      <c r="AE48" s="26" t="e">
        <f ca="1"/>
        <v>#N/A</v>
      </c>
      <c r="AF48" s="27" t="s">
        <v>208</v>
      </c>
    </row>
    <row r="49" spans="4:34" ht="20.100000000000001" customHeight="1" x14ac:dyDescent="0.25">
      <c r="D49" s="26" t="str">
        <f>INDEX(X_Table_PastureBeef_Liveweight_Method1,4,1)</f>
        <v>Autumn</v>
      </c>
      <c r="E49" s="26" t="e">
        <f ca="1"/>
        <v>#N/A</v>
      </c>
      <c r="F49" s="26" t="e">
        <f ca="1"/>
        <v>#N/A</v>
      </c>
      <c r="G49" s="26" t="e">
        <f ca="1"/>
        <v>#N/A</v>
      </c>
      <c r="H49" s="26" t="e">
        <f ca="1"/>
        <v>#N/A</v>
      </c>
      <c r="I49" s="26" t="e">
        <f ca="1"/>
        <v>#N/A</v>
      </c>
      <c r="J49" s="26" t="e">
        <f ca="1"/>
        <v>#N/A</v>
      </c>
      <c r="K49" s="26" t="e">
        <f ca="1"/>
        <v>#N/A</v>
      </c>
      <c r="L49" s="26" t="e">
        <f ca="1"/>
        <v>#N/A</v>
      </c>
      <c r="M49" s="26" t="e">
        <f ca="1"/>
        <v>#N/A</v>
      </c>
      <c r="N49" s="26" t="e">
        <f ca="1"/>
        <v>#N/A</v>
      </c>
      <c r="O49" s="27" t="s">
        <v>208</v>
      </c>
      <c r="P49" s="27"/>
      <c r="Q49" s="27"/>
      <c r="U49" s="26" t="e">
        <f>TEXT(EDATE('Input - Site'!$E$12,5), "mmmm")</f>
        <v>#VALUE!</v>
      </c>
      <c r="V49" s="26" t="e">
        <f ca="1"/>
        <v>#N/A</v>
      </c>
      <c r="W49" s="26" t="e">
        <f ca="1"/>
        <v>#N/A</v>
      </c>
      <c r="X49" s="26" t="e">
        <f ca="1"/>
        <v>#N/A</v>
      </c>
      <c r="Y49" s="26" t="e">
        <f ca="1"/>
        <v>#N/A</v>
      </c>
      <c r="Z49" s="26" t="e">
        <f ca="1"/>
        <v>#N/A</v>
      </c>
      <c r="AA49" s="26" t="e">
        <f ca="1"/>
        <v>#N/A</v>
      </c>
      <c r="AB49" s="26" t="e">
        <f ca="1"/>
        <v>#N/A</v>
      </c>
      <c r="AC49" s="26" t="e">
        <f ca="1"/>
        <v>#N/A</v>
      </c>
      <c r="AD49" s="26" t="e">
        <f ca="1"/>
        <v>#N/A</v>
      </c>
      <c r="AE49" s="26" t="e">
        <f ca="1"/>
        <v>#N/A</v>
      </c>
      <c r="AF49" s="27" t="s">
        <v>208</v>
      </c>
    </row>
    <row r="50" spans="4:34" ht="20.100000000000001" customHeight="1" x14ac:dyDescent="0.25">
      <c r="D50" s="26" t="str">
        <f>INDEX(X_Table_PastureBeef_Liveweight_Method1,5,1)</f>
        <v>Winter</v>
      </c>
      <c r="E50" s="26" t="e">
        <f ca="1"/>
        <v>#N/A</v>
      </c>
      <c r="F50" s="26" t="e">
        <f ca="1"/>
        <v>#N/A</v>
      </c>
      <c r="G50" s="26" t="e">
        <f ca="1"/>
        <v>#N/A</v>
      </c>
      <c r="H50" s="26" t="e">
        <f ca="1"/>
        <v>#N/A</v>
      </c>
      <c r="I50" s="26" t="e">
        <f ca="1"/>
        <v>#N/A</v>
      </c>
      <c r="J50" s="26" t="e">
        <f ca="1"/>
        <v>#N/A</v>
      </c>
      <c r="K50" s="26" t="e">
        <f ca="1"/>
        <v>#N/A</v>
      </c>
      <c r="L50" s="26" t="e">
        <f ca="1"/>
        <v>#N/A</v>
      </c>
      <c r="M50" s="26" t="e">
        <f ca="1"/>
        <v>#N/A</v>
      </c>
      <c r="N50" s="26" t="e">
        <f ca="1"/>
        <v>#N/A</v>
      </c>
      <c r="O50" s="27" t="s">
        <v>208</v>
      </c>
      <c r="P50" s="27"/>
      <c r="Q50" s="27"/>
      <c r="U50" s="26" t="e">
        <f>TEXT(EDATE('Input - Site'!$E$12,6), "mmmm")</f>
        <v>#VALUE!</v>
      </c>
      <c r="V50" s="26" t="e">
        <f ca="1"/>
        <v>#N/A</v>
      </c>
      <c r="W50" s="26" t="e">
        <f ca="1"/>
        <v>#N/A</v>
      </c>
      <c r="X50" s="26" t="e">
        <f ca="1"/>
        <v>#N/A</v>
      </c>
      <c r="Y50" s="26" t="e">
        <f ca="1"/>
        <v>#N/A</v>
      </c>
      <c r="Z50" s="26" t="e">
        <f ca="1"/>
        <v>#N/A</v>
      </c>
      <c r="AA50" s="26" t="e">
        <f ca="1"/>
        <v>#N/A</v>
      </c>
      <c r="AB50" s="26" t="e">
        <f ca="1"/>
        <v>#N/A</v>
      </c>
      <c r="AC50" s="26" t="e">
        <f ca="1"/>
        <v>#N/A</v>
      </c>
      <c r="AD50" s="26" t="e">
        <f ca="1"/>
        <v>#N/A</v>
      </c>
      <c r="AE50" s="26" t="e">
        <f ca="1"/>
        <v>#N/A</v>
      </c>
      <c r="AF50" s="27" t="s">
        <v>208</v>
      </c>
    </row>
    <row r="51" spans="4:34" ht="20.100000000000001" customHeight="1" x14ac:dyDescent="0.25">
      <c r="D51" s="26" t="e">
        <f>INDEX(X_Table_PastureBeef_Liveweight_Method1,6,1)</f>
        <v>#REF!</v>
      </c>
      <c r="E51" s="26" t="e">
        <f ca="1"/>
        <v>#N/A</v>
      </c>
      <c r="F51" s="26" t="e">
        <f ca="1"/>
        <v>#N/A</v>
      </c>
      <c r="G51" s="26" t="e">
        <f ca="1"/>
        <v>#N/A</v>
      </c>
      <c r="H51" s="26" t="e">
        <f ca="1"/>
        <v>#N/A</v>
      </c>
      <c r="I51" s="26" t="e">
        <f ca="1"/>
        <v>#N/A</v>
      </c>
      <c r="J51" s="26" t="e">
        <f ca="1"/>
        <v>#N/A</v>
      </c>
      <c r="K51" s="26" t="e">
        <f ca="1"/>
        <v>#N/A</v>
      </c>
      <c r="L51" s="26" t="e">
        <f ca="1"/>
        <v>#N/A</v>
      </c>
      <c r="M51" s="26" t="e">
        <f ca="1"/>
        <v>#N/A</v>
      </c>
      <c r="N51" s="26" t="e">
        <f ca="1"/>
        <v>#N/A</v>
      </c>
      <c r="O51" s="27" t="s">
        <v>208</v>
      </c>
      <c r="P51" s="27"/>
      <c r="Q51" s="27"/>
      <c r="U51" s="26" t="e">
        <f>TEXT(EDATE('Input - Site'!$E$12,7), "mmmm")</f>
        <v>#VALUE!</v>
      </c>
      <c r="V51" s="26" t="e">
        <f ca="1"/>
        <v>#N/A</v>
      </c>
      <c r="W51" s="26" t="e">
        <f ca="1"/>
        <v>#N/A</v>
      </c>
      <c r="X51" s="26" t="e">
        <f ca="1"/>
        <v>#N/A</v>
      </c>
      <c r="Y51" s="26" t="e">
        <f ca="1"/>
        <v>#N/A</v>
      </c>
      <c r="Z51" s="26" t="e">
        <f ca="1"/>
        <v>#N/A</v>
      </c>
      <c r="AA51" s="26" t="e">
        <f ca="1"/>
        <v>#N/A</v>
      </c>
      <c r="AB51" s="26" t="e">
        <f ca="1"/>
        <v>#N/A</v>
      </c>
      <c r="AC51" s="26" t="e">
        <f ca="1"/>
        <v>#N/A</v>
      </c>
      <c r="AD51" s="26" t="e">
        <f ca="1"/>
        <v>#N/A</v>
      </c>
      <c r="AE51" s="26" t="e">
        <f ca="1"/>
        <v>#N/A</v>
      </c>
      <c r="AF51" s="27" t="s">
        <v>208</v>
      </c>
      <c r="AG51" s="27"/>
      <c r="AH51" s="27"/>
    </row>
    <row r="52" spans="4:34" ht="20.100000000000001" customHeight="1" x14ac:dyDescent="0.25">
      <c r="U52" s="26" t="e">
        <f>TEXT(EDATE('Input - Site'!$E$12,8), "mmmm")</f>
        <v>#VALUE!</v>
      </c>
      <c r="V52" s="26" t="e">
        <f ca="1"/>
        <v>#N/A</v>
      </c>
      <c r="W52" s="26" t="e">
        <f ca="1"/>
        <v>#N/A</v>
      </c>
      <c r="X52" s="26" t="e">
        <f ca="1"/>
        <v>#N/A</v>
      </c>
      <c r="Y52" s="26" t="e">
        <f ca="1"/>
        <v>#N/A</v>
      </c>
      <c r="Z52" s="26" t="e">
        <f ca="1"/>
        <v>#N/A</v>
      </c>
      <c r="AA52" s="26" t="e">
        <f ca="1"/>
        <v>#N/A</v>
      </c>
      <c r="AB52" s="26" t="e">
        <f ca="1"/>
        <v>#N/A</v>
      </c>
      <c r="AC52" s="26" t="e">
        <f ca="1"/>
        <v>#N/A</v>
      </c>
      <c r="AD52" s="26" t="e">
        <f ca="1"/>
        <v>#N/A</v>
      </c>
      <c r="AE52" s="26" t="e">
        <f ca="1"/>
        <v>#N/A</v>
      </c>
      <c r="AF52" s="27" t="s">
        <v>208</v>
      </c>
      <c r="AG52" s="27"/>
      <c r="AH52" s="27"/>
    </row>
    <row r="53" spans="4:34" ht="20.100000000000001" customHeight="1" x14ac:dyDescent="0.25">
      <c r="D53" s="113" t="s">
        <v>274</v>
      </c>
      <c r="U53" s="26" t="e">
        <f>TEXT(EDATE('Input - Site'!$E$12,9), "mmmm")</f>
        <v>#VALUE!</v>
      </c>
      <c r="V53" s="26" t="e">
        <f ca="1"/>
        <v>#N/A</v>
      </c>
      <c r="W53" s="26" t="e">
        <f ca="1"/>
        <v>#N/A</v>
      </c>
      <c r="X53" s="26" t="e">
        <f ca="1"/>
        <v>#N/A</v>
      </c>
      <c r="Y53" s="26" t="e">
        <f ca="1"/>
        <v>#N/A</v>
      </c>
      <c r="Z53" s="26" t="e">
        <f ca="1"/>
        <v>#N/A</v>
      </c>
      <c r="AA53" s="26" t="e">
        <f ca="1"/>
        <v>#N/A</v>
      </c>
      <c r="AB53" s="26" t="e">
        <f ca="1"/>
        <v>#N/A</v>
      </c>
      <c r="AC53" s="26" t="e">
        <f ca="1"/>
        <v>#N/A</v>
      </c>
      <c r="AD53" s="26" t="e">
        <f ca="1"/>
        <v>#N/A</v>
      </c>
      <c r="AE53" s="26" t="e">
        <f ca="1"/>
        <v>#N/A</v>
      </c>
      <c r="AF53" s="27" t="s">
        <v>208</v>
      </c>
      <c r="AG53" s="27"/>
      <c r="AH53" s="27"/>
    </row>
    <row r="54" spans="4:34" ht="20.100000000000001" customHeight="1" x14ac:dyDescent="0.25">
      <c r="D54" s="114" t="s">
        <v>275</v>
      </c>
      <c r="U54" s="26" t="e">
        <f>TEXT(EDATE('Input - Site'!$E$12,10), "mmmm")</f>
        <v>#VALUE!</v>
      </c>
      <c r="V54" s="26" t="e">
        <f ca="1"/>
        <v>#N/A</v>
      </c>
      <c r="W54" s="26" t="e">
        <f ca="1"/>
        <v>#N/A</v>
      </c>
      <c r="X54" s="26" t="e">
        <f ca="1"/>
        <v>#N/A</v>
      </c>
      <c r="Y54" s="26" t="e">
        <f ca="1"/>
        <v>#N/A</v>
      </c>
      <c r="Z54" s="26" t="e">
        <f ca="1"/>
        <v>#N/A</v>
      </c>
      <c r="AA54" s="26" t="e">
        <f ca="1"/>
        <v>#N/A</v>
      </c>
      <c r="AB54" s="26" t="e">
        <f ca="1"/>
        <v>#N/A</v>
      </c>
      <c r="AC54" s="26" t="e">
        <f ca="1"/>
        <v>#N/A</v>
      </c>
      <c r="AD54" s="26" t="e">
        <f ca="1"/>
        <v>#N/A</v>
      </c>
      <c r="AE54" s="26" t="e">
        <f ca="1"/>
        <v>#N/A</v>
      </c>
      <c r="AF54" s="27" t="s">
        <v>208</v>
      </c>
      <c r="AG54" s="27"/>
      <c r="AH54" s="27"/>
    </row>
    <row r="55" spans="4:34" ht="20.100000000000001" customHeight="1" x14ac:dyDescent="0.25">
      <c r="D55" s="115" t="s">
        <v>79</v>
      </c>
      <c r="E55" s="116" t="s">
        <v>189</v>
      </c>
      <c r="F55" s="116" t="s">
        <v>190</v>
      </c>
      <c r="G55" s="116" t="s">
        <v>191</v>
      </c>
      <c r="H55" s="116" t="s">
        <v>192</v>
      </c>
      <c r="I55" s="116" t="s">
        <v>193</v>
      </c>
      <c r="J55" s="116" t="s">
        <v>194</v>
      </c>
      <c r="K55" s="116" t="s">
        <v>195</v>
      </c>
      <c r="L55" s="116" t="s">
        <v>196</v>
      </c>
      <c r="M55" s="116" t="s">
        <v>197</v>
      </c>
      <c r="N55" s="116" t="s">
        <v>198</v>
      </c>
      <c r="U55" s="26" t="e">
        <f>TEXT(EDATE('Input - Site'!$E$12,11), "mmmm")</f>
        <v>#VALUE!</v>
      </c>
      <c r="V55" s="26" t="e">
        <f ca="1"/>
        <v>#N/A</v>
      </c>
      <c r="W55" s="26" t="e">
        <f ca="1"/>
        <v>#N/A</v>
      </c>
      <c r="X55" s="26" t="e">
        <f ca="1"/>
        <v>#N/A</v>
      </c>
      <c r="Y55" s="26" t="e">
        <f ca="1"/>
        <v>#N/A</v>
      </c>
      <c r="Z55" s="26" t="e">
        <f ca="1"/>
        <v>#N/A</v>
      </c>
      <c r="AA55" s="26" t="e">
        <f ca="1"/>
        <v>#N/A</v>
      </c>
      <c r="AB55" s="26" t="e">
        <f ca="1"/>
        <v>#N/A</v>
      </c>
      <c r="AC55" s="26" t="e">
        <f ca="1"/>
        <v>#N/A</v>
      </c>
      <c r="AD55" s="26" t="e">
        <f ca="1"/>
        <v>#N/A</v>
      </c>
      <c r="AE55" s="26" t="e">
        <f ca="1"/>
        <v>#N/A</v>
      </c>
      <c r="AF55" s="27" t="s">
        <v>208</v>
      </c>
      <c r="AG55" s="27"/>
      <c r="AH55" s="27"/>
    </row>
    <row r="56" spans="4:34" ht="20.100000000000001" customHeight="1" x14ac:dyDescent="0.25">
      <c r="D56" s="26" t="str">
        <f>INDEX(X_Table_PastureBeef_LiveweightGain_Method1,2,1)</f>
        <v>Spring</v>
      </c>
      <c r="E56" s="26" t="e" cm="1">
        <f t="array" aca="1" ref="E56:N59" ca="1">OFFSET(X_Table_PastureBeef_LiveweightGain_Method1, 1,1, 4,10)</f>
        <v>#N/A</v>
      </c>
      <c r="F56" s="26" t="e">
        <f ca="1"/>
        <v>#N/A</v>
      </c>
      <c r="G56" s="26" t="e">
        <f ca="1"/>
        <v>#N/A</v>
      </c>
      <c r="H56" s="26" t="e">
        <f ca="1"/>
        <v>#N/A</v>
      </c>
      <c r="I56" s="26" t="e">
        <f ca="1"/>
        <v>#N/A</v>
      </c>
      <c r="J56" s="26" t="e">
        <f ca="1"/>
        <v>#N/A</v>
      </c>
      <c r="K56" s="26" t="e">
        <f ca="1"/>
        <v>#N/A</v>
      </c>
      <c r="L56" s="26" t="e">
        <f ca="1"/>
        <v>#N/A</v>
      </c>
      <c r="M56" s="26" t="e">
        <f ca="1"/>
        <v>#N/A</v>
      </c>
      <c r="N56" s="26" t="e">
        <f ca="1"/>
        <v>#N/A</v>
      </c>
      <c r="O56" s="27" t="s">
        <v>208</v>
      </c>
      <c r="P56" s="27"/>
      <c r="Q56" s="27"/>
      <c r="AG56" s="27"/>
      <c r="AH56" s="27"/>
    </row>
    <row r="57" spans="4:34" ht="20.100000000000001" customHeight="1" x14ac:dyDescent="0.25">
      <c r="D57" s="26" t="str">
        <f>INDEX(X_Table_PastureBeef_LiveweightGain_Method1,3,1)</f>
        <v>Summer</v>
      </c>
      <c r="E57" s="26" t="e">
        <f ca="1"/>
        <v>#N/A</v>
      </c>
      <c r="F57" s="26" t="e">
        <f ca="1"/>
        <v>#N/A</v>
      </c>
      <c r="G57" s="26" t="e">
        <f ca="1"/>
        <v>#N/A</v>
      </c>
      <c r="H57" s="26" t="e">
        <f ca="1"/>
        <v>#N/A</v>
      </c>
      <c r="I57" s="26" t="e">
        <f ca="1"/>
        <v>#N/A</v>
      </c>
      <c r="J57" s="26" t="e">
        <f ca="1"/>
        <v>#N/A</v>
      </c>
      <c r="K57" s="26" t="e">
        <f ca="1"/>
        <v>#N/A</v>
      </c>
      <c r="L57" s="26" t="e">
        <f ca="1"/>
        <v>#N/A</v>
      </c>
      <c r="M57" s="26" t="e">
        <f ca="1"/>
        <v>#N/A</v>
      </c>
      <c r="N57" s="26" t="e">
        <f ca="1"/>
        <v>#N/A</v>
      </c>
      <c r="O57" s="27" t="s">
        <v>208</v>
      </c>
      <c r="P57" s="27"/>
      <c r="Q57" s="27"/>
      <c r="U57" s="113" t="s">
        <v>276</v>
      </c>
      <c r="AG57" s="27"/>
      <c r="AH57" s="27"/>
    </row>
    <row r="58" spans="4:34" ht="20.100000000000001" customHeight="1" x14ac:dyDescent="0.25">
      <c r="D58" s="26" t="str">
        <f>INDEX(X_Table_PastureBeef_LiveweightGain_Method1,4,1)</f>
        <v>Autumn</v>
      </c>
      <c r="E58" s="26" t="e">
        <f ca="1"/>
        <v>#N/A</v>
      </c>
      <c r="F58" s="26" t="e">
        <f ca="1"/>
        <v>#N/A</v>
      </c>
      <c r="G58" s="26" t="e">
        <f ca="1"/>
        <v>#N/A</v>
      </c>
      <c r="H58" s="26" t="e">
        <f ca="1"/>
        <v>#N/A</v>
      </c>
      <c r="I58" s="26" t="e">
        <f ca="1"/>
        <v>#N/A</v>
      </c>
      <c r="J58" s="26" t="e">
        <f ca="1"/>
        <v>#N/A</v>
      </c>
      <c r="K58" s="26" t="e">
        <f ca="1"/>
        <v>#N/A</v>
      </c>
      <c r="L58" s="26" t="e">
        <f ca="1"/>
        <v>#N/A</v>
      </c>
      <c r="M58" s="26" t="e">
        <f ca="1"/>
        <v>#N/A</v>
      </c>
      <c r="N58" s="26" t="e">
        <f ca="1"/>
        <v>#N/A</v>
      </c>
      <c r="O58" s="27" t="s">
        <v>208</v>
      </c>
      <c r="P58" s="27"/>
      <c r="Q58" s="27"/>
      <c r="U58" s="114" t="s">
        <v>277</v>
      </c>
      <c r="AG58" s="27"/>
      <c r="AH58" s="27"/>
    </row>
    <row r="59" spans="4:34" ht="20.100000000000001" customHeight="1" x14ac:dyDescent="0.25">
      <c r="D59" s="26" t="str">
        <f>INDEX(X_Table_PastureBeef_LiveweightGain_Method1,5,1)</f>
        <v>Winter</v>
      </c>
      <c r="E59" s="26" t="e">
        <f ca="1"/>
        <v>#N/A</v>
      </c>
      <c r="F59" s="26" t="e">
        <f ca="1"/>
        <v>#N/A</v>
      </c>
      <c r="G59" s="26" t="e">
        <f ca="1"/>
        <v>#N/A</v>
      </c>
      <c r="H59" s="26" t="e">
        <f ca="1"/>
        <v>#N/A</v>
      </c>
      <c r="I59" s="26" t="e">
        <f ca="1"/>
        <v>#N/A</v>
      </c>
      <c r="J59" s="26" t="e">
        <f ca="1"/>
        <v>#N/A</v>
      </c>
      <c r="K59" s="26" t="e">
        <f ca="1"/>
        <v>#N/A</v>
      </c>
      <c r="L59" s="26" t="e">
        <f ca="1"/>
        <v>#N/A</v>
      </c>
      <c r="M59" s="26" t="e">
        <f ca="1"/>
        <v>#N/A</v>
      </c>
      <c r="N59" s="26" t="e">
        <f ca="1"/>
        <v>#N/A</v>
      </c>
      <c r="O59" s="27" t="s">
        <v>208</v>
      </c>
      <c r="P59" s="27"/>
      <c r="Q59" s="27"/>
      <c r="U59" s="115" t="s">
        <v>78</v>
      </c>
      <c r="V59" s="116" t="s">
        <v>189</v>
      </c>
      <c r="W59" s="116" t="s">
        <v>190</v>
      </c>
      <c r="X59" s="116" t="s">
        <v>191</v>
      </c>
      <c r="Y59" s="116" t="s">
        <v>192</v>
      </c>
      <c r="Z59" s="116" t="s">
        <v>193</v>
      </c>
      <c r="AA59" s="116" t="s">
        <v>194</v>
      </c>
      <c r="AB59" s="116" t="s">
        <v>195</v>
      </c>
      <c r="AC59" s="116" t="s">
        <v>196</v>
      </c>
      <c r="AD59" s="116" t="s">
        <v>197</v>
      </c>
      <c r="AE59" s="116" t="s">
        <v>198</v>
      </c>
      <c r="AG59" s="27"/>
      <c r="AH59" s="27"/>
    </row>
    <row r="60" spans="4:34" ht="20.100000000000001" customHeight="1" x14ac:dyDescent="0.25">
      <c r="U60" s="26" t="str">
        <f>TEXT('Input - Site'!$E$12,"mmmm")</f>
        <v>NO - Not in leaching zone</v>
      </c>
      <c r="V60" s="26" t="e" cm="1">
        <f t="array" aca="1" ref="V60:AE71" ca="1">OFFSET(X_Table_PastureBeef_LiveweightGain_Method2,1,1,12,10)</f>
        <v>#N/A</v>
      </c>
      <c r="W60" s="26" t="e">
        <f ca="1"/>
        <v>#N/A</v>
      </c>
      <c r="X60" s="26" t="e">
        <f ca="1"/>
        <v>#N/A</v>
      </c>
      <c r="Y60" s="26" t="e">
        <f ca="1"/>
        <v>#N/A</v>
      </c>
      <c r="Z60" s="26" t="e">
        <f ca="1"/>
        <v>#N/A</v>
      </c>
      <c r="AA60" s="26" t="e">
        <f ca="1"/>
        <v>#N/A</v>
      </c>
      <c r="AB60" s="26" t="e">
        <f ca="1"/>
        <v>#N/A</v>
      </c>
      <c r="AC60" s="26" t="e">
        <f ca="1"/>
        <v>#N/A</v>
      </c>
      <c r="AD60" s="26" t="e">
        <f ca="1"/>
        <v>#N/A</v>
      </c>
      <c r="AE60" s="26" t="e">
        <f ca="1"/>
        <v>#N/A</v>
      </c>
      <c r="AF60" s="27" t="s">
        <v>210</v>
      </c>
      <c r="AG60" s="27"/>
      <c r="AH60" s="27"/>
    </row>
    <row r="61" spans="4:34" ht="20.100000000000001" customHeight="1" x14ac:dyDescent="0.25">
      <c r="D61" s="113" t="s">
        <v>278</v>
      </c>
      <c r="U61" s="26" t="e">
        <f>TEXT(EDATE('Input - Site'!$E$12,1), "mmmm")</f>
        <v>#VALUE!</v>
      </c>
      <c r="V61" s="26" t="e">
        <f ca="1"/>
        <v>#N/A</v>
      </c>
      <c r="W61" s="26" t="e">
        <f ca="1"/>
        <v>#N/A</v>
      </c>
      <c r="X61" s="26" t="e">
        <f ca="1"/>
        <v>#N/A</v>
      </c>
      <c r="Y61" s="26" t="e">
        <f ca="1"/>
        <v>#N/A</v>
      </c>
      <c r="Z61" s="26" t="e">
        <f ca="1"/>
        <v>#N/A</v>
      </c>
      <c r="AA61" s="26" t="e">
        <f ca="1"/>
        <v>#N/A</v>
      </c>
      <c r="AB61" s="26" t="e">
        <f ca="1"/>
        <v>#N/A</v>
      </c>
      <c r="AC61" s="26" t="e">
        <f ca="1"/>
        <v>#N/A</v>
      </c>
      <c r="AD61" s="26" t="e">
        <f ca="1"/>
        <v>#N/A</v>
      </c>
      <c r="AE61" s="26" t="e">
        <f ca="1"/>
        <v>#N/A</v>
      </c>
      <c r="AF61" s="27" t="s">
        <v>210</v>
      </c>
      <c r="AG61" s="27"/>
      <c r="AH61" s="27"/>
    </row>
    <row r="62" spans="4:34" ht="20.100000000000001" customHeight="1" x14ac:dyDescent="0.25">
      <c r="D62" s="114" t="s">
        <v>279</v>
      </c>
      <c r="U62" s="26" t="e">
        <f>TEXT(EDATE('Input - Site'!$E$12,2), "mmmm")</f>
        <v>#VALUE!</v>
      </c>
      <c r="V62" s="26" t="e">
        <f ca="1"/>
        <v>#N/A</v>
      </c>
      <c r="W62" s="26" t="e">
        <f ca="1"/>
        <v>#N/A</v>
      </c>
      <c r="X62" s="26" t="e">
        <f ca="1"/>
        <v>#N/A</v>
      </c>
      <c r="Y62" s="26" t="e">
        <f ca="1"/>
        <v>#N/A</v>
      </c>
      <c r="Z62" s="26" t="e">
        <f ca="1"/>
        <v>#N/A</v>
      </c>
      <c r="AA62" s="26" t="e">
        <f ca="1"/>
        <v>#N/A</v>
      </c>
      <c r="AB62" s="26" t="e">
        <f ca="1"/>
        <v>#N/A</v>
      </c>
      <c r="AC62" s="26" t="e">
        <f ca="1"/>
        <v>#N/A</v>
      </c>
      <c r="AD62" s="26" t="e">
        <f ca="1"/>
        <v>#N/A</v>
      </c>
      <c r="AE62" s="26" t="e">
        <f ca="1"/>
        <v>#N/A</v>
      </c>
      <c r="AF62" s="27" t="s">
        <v>210</v>
      </c>
      <c r="AG62" s="27"/>
      <c r="AH62" s="27"/>
    </row>
    <row r="63" spans="4:34" ht="20.100000000000001" customHeight="1" x14ac:dyDescent="0.25">
      <c r="D63" s="115" t="s">
        <v>79</v>
      </c>
      <c r="E63" s="115" t="s">
        <v>189</v>
      </c>
      <c r="F63" s="115" t="s">
        <v>190</v>
      </c>
      <c r="G63" s="115" t="s">
        <v>191</v>
      </c>
      <c r="H63" s="115" t="s">
        <v>192</v>
      </c>
      <c r="I63" s="115" t="s">
        <v>193</v>
      </c>
      <c r="J63" s="115" t="s">
        <v>194</v>
      </c>
      <c r="K63" s="115" t="s">
        <v>195</v>
      </c>
      <c r="L63" s="115" t="s">
        <v>196</v>
      </c>
      <c r="M63" s="115" t="s">
        <v>197</v>
      </c>
      <c r="N63" s="115" t="s">
        <v>198</v>
      </c>
      <c r="U63" s="26" t="e">
        <f>TEXT(EDATE('Input - Site'!$E$12,3), "mmmm")</f>
        <v>#VALUE!</v>
      </c>
      <c r="V63" s="26" t="e">
        <f ca="1"/>
        <v>#N/A</v>
      </c>
      <c r="W63" s="26" t="e">
        <f ca="1"/>
        <v>#N/A</v>
      </c>
      <c r="X63" s="26" t="e">
        <f ca="1"/>
        <v>#N/A</v>
      </c>
      <c r="Y63" s="26" t="e">
        <f ca="1"/>
        <v>#N/A</v>
      </c>
      <c r="Z63" s="26" t="e">
        <f ca="1"/>
        <v>#N/A</v>
      </c>
      <c r="AA63" s="26" t="e">
        <f ca="1"/>
        <v>#N/A</v>
      </c>
      <c r="AB63" s="26" t="e">
        <f ca="1"/>
        <v>#N/A</v>
      </c>
      <c r="AC63" s="26" t="e">
        <f ca="1"/>
        <v>#N/A</v>
      </c>
      <c r="AD63" s="26" t="e">
        <f ca="1"/>
        <v>#N/A</v>
      </c>
      <c r="AE63" s="26" t="e">
        <f ca="1"/>
        <v>#N/A</v>
      </c>
      <c r="AF63" s="27" t="s">
        <v>210</v>
      </c>
      <c r="AG63" s="27"/>
      <c r="AH63" s="27"/>
    </row>
    <row r="64" spans="4:34" ht="20.100000000000001" customHeight="1" x14ac:dyDescent="0.25">
      <c r="D64" s="26" t="s">
        <v>199</v>
      </c>
      <c r="E64" s="26" t="e" cm="1">
        <f t="array" aca="1" ref="E64" ca="1">EntericMethane_PastureBeef_Equations.VEERG_3_2_1_1__3_FeedIntakeForGrazingBeef(E48,E56,G26)</f>
        <v>#N/A</v>
      </c>
      <c r="F64" s="26" t="e" cm="1">
        <f t="array" aca="1" ref="F64" ca="1">EntericMethane_PastureBeef_Equations.VEERG_3_2_1_1__3_FeedIntakeForGrazingBeef(F48,F56,H26)</f>
        <v>#N/A</v>
      </c>
      <c r="G64" s="26" t="e" cm="1">
        <f t="array" aca="1" ref="G64" ca="1">EntericMethane_PastureBeef_Equations.VEERG_3_2_1_1__3_FeedIntakeForGrazingBeef(G48,G56,I26)</f>
        <v>#N/A</v>
      </c>
      <c r="H64" s="26" t="e" cm="1">
        <f t="array" aca="1" ref="H64" ca="1">EntericMethane_PastureBeef_Equations.VEERG_3_2_1_1__3_FeedIntakeForGrazingBeef(H48,H56,J26)</f>
        <v>#N/A</v>
      </c>
      <c r="I64" s="26" t="e" cm="1">
        <f t="array" aca="1" ref="I64" ca="1">EntericMethane_PastureBeef_Equations.VEERG_3_2_1_1__3_FeedIntakeForGrazingBeef(I48,I56,K26)</f>
        <v>#N/A</v>
      </c>
      <c r="J64" s="26" t="e" cm="1">
        <f t="array" aca="1" ref="J64" ca="1">EntericMethane_PastureBeef_Equations.VEERG_3_2_1_1__3_FeedIntakeForGrazingBeef(J48,J56,L26)</f>
        <v>#N/A</v>
      </c>
      <c r="K64" s="26" t="e" cm="1">
        <f t="array" aca="1" ref="K64" ca="1">EntericMethane_PastureBeef_Equations.VEERG_3_2_1_1__3_FeedIntakeForGrazingBeef(K48,K56,M26)</f>
        <v>#N/A</v>
      </c>
      <c r="L64" s="26" t="e" cm="1">
        <f t="array" aca="1" ref="L64" ca="1">EntericMethane_PastureBeef_Equations.VEERG_3_2_1_1__3_FeedIntakeForGrazingBeef(L48,L56,N26)</f>
        <v>#N/A</v>
      </c>
      <c r="M64" s="26" t="e" cm="1">
        <f t="array" aca="1" ref="M64" ca="1">EntericMethane_PastureBeef_Equations.VEERG_3_2_1_1__3_FeedIntakeForGrazingBeef(M48,M56,O26)</f>
        <v>#N/A</v>
      </c>
      <c r="N64" s="26" t="e" cm="1">
        <f t="array" aca="1" ref="N64" ca="1">EntericMethane_PastureBeef_Equations.VEERG_3_2_1_1__3_FeedIntakeForGrazingBeef(N48,N56,P26)</f>
        <v>#N/A</v>
      </c>
      <c r="O64" s="27" t="str">
        <f>$E$39</f>
        <v>kg DM/head/day</v>
      </c>
      <c r="P64" s="27"/>
      <c r="Q64" s="27"/>
      <c r="U64" s="26" t="e">
        <f>TEXT(EDATE('Input - Site'!$E$12,4), "mmmm")</f>
        <v>#VALUE!</v>
      </c>
      <c r="V64" s="26" t="e">
        <f ca="1"/>
        <v>#N/A</v>
      </c>
      <c r="W64" s="26" t="e">
        <f ca="1"/>
        <v>#N/A</v>
      </c>
      <c r="X64" s="26" t="e">
        <f ca="1"/>
        <v>#N/A</v>
      </c>
      <c r="Y64" s="26" t="e">
        <f ca="1"/>
        <v>#N/A</v>
      </c>
      <c r="Z64" s="26" t="e">
        <f ca="1"/>
        <v>#N/A</v>
      </c>
      <c r="AA64" s="26" t="e">
        <f ca="1"/>
        <v>#N/A</v>
      </c>
      <c r="AB64" s="26" t="e">
        <f ca="1"/>
        <v>#N/A</v>
      </c>
      <c r="AC64" s="26" t="e">
        <f ca="1"/>
        <v>#N/A</v>
      </c>
      <c r="AD64" s="26" t="e">
        <f ca="1"/>
        <v>#N/A</v>
      </c>
      <c r="AE64" s="26" t="e">
        <f ca="1"/>
        <v>#N/A</v>
      </c>
      <c r="AF64" s="27" t="s">
        <v>210</v>
      </c>
    </row>
    <row r="65" spans="3:34" ht="20.100000000000001" customHeight="1" x14ac:dyDescent="0.25">
      <c r="D65" s="26" t="s">
        <v>200</v>
      </c>
      <c r="E65" s="26" t="e" cm="1">
        <f t="array" aca="1" ref="E65" ca="1">EntericMethane_PastureBeef_Equations.VEERG_3_2_1_1__3_FeedIntakeForGrazingBeef(E49,E57,G27)</f>
        <v>#N/A</v>
      </c>
      <c r="F65" s="26" t="e" cm="1">
        <f t="array" aca="1" ref="F65" ca="1">EntericMethane_PastureBeef_Equations.VEERG_3_2_1_1__3_FeedIntakeForGrazingBeef(F49,F57,H27)</f>
        <v>#N/A</v>
      </c>
      <c r="G65" s="26" t="e" cm="1">
        <f t="array" aca="1" ref="G65" ca="1">EntericMethane_PastureBeef_Equations.VEERG_3_2_1_1__3_FeedIntakeForGrazingBeef(G49,G57,I27)</f>
        <v>#N/A</v>
      </c>
      <c r="H65" s="26" t="e" cm="1">
        <f t="array" aca="1" ref="H65" ca="1">EntericMethane_PastureBeef_Equations.VEERG_3_2_1_1__3_FeedIntakeForGrazingBeef(H49,H57,J27)</f>
        <v>#N/A</v>
      </c>
      <c r="I65" s="26" t="e" cm="1">
        <f t="array" aca="1" ref="I65" ca="1">EntericMethane_PastureBeef_Equations.VEERG_3_2_1_1__3_FeedIntakeForGrazingBeef(I49,I57,K27)</f>
        <v>#N/A</v>
      </c>
      <c r="J65" s="26" t="e" cm="1">
        <f t="array" aca="1" ref="J65" ca="1">EntericMethane_PastureBeef_Equations.VEERG_3_2_1_1__3_FeedIntakeForGrazingBeef(J49,J57,L27)</f>
        <v>#N/A</v>
      </c>
      <c r="K65" s="26" t="e" cm="1">
        <f t="array" aca="1" ref="K65" ca="1">EntericMethane_PastureBeef_Equations.VEERG_3_2_1_1__3_FeedIntakeForGrazingBeef(K49,K57,M27)</f>
        <v>#N/A</v>
      </c>
      <c r="L65" s="26" t="e" cm="1">
        <f t="array" aca="1" ref="L65" ca="1">EntericMethane_PastureBeef_Equations.VEERG_3_2_1_1__3_FeedIntakeForGrazingBeef(L49,L57,N27)</f>
        <v>#N/A</v>
      </c>
      <c r="M65" s="26" t="e" cm="1">
        <f t="array" aca="1" ref="M65" ca="1">EntericMethane_PastureBeef_Equations.VEERG_3_2_1_1__3_FeedIntakeForGrazingBeef(M49,M57,O27)</f>
        <v>#N/A</v>
      </c>
      <c r="N65" s="26" t="e" cm="1">
        <f t="array" aca="1" ref="N65" ca="1">EntericMethane_PastureBeef_Equations.VEERG_3_2_1_1__3_FeedIntakeForGrazingBeef(N49,N57,P27)</f>
        <v>#N/A</v>
      </c>
      <c r="O65" s="27" t="str">
        <f>$E$39</f>
        <v>kg DM/head/day</v>
      </c>
      <c r="P65" s="27"/>
      <c r="Q65" s="27"/>
      <c r="U65" s="26" t="e">
        <f>TEXT(EDATE('Input - Site'!$E$12,5), "mmmm")</f>
        <v>#VALUE!</v>
      </c>
      <c r="V65" s="26" t="e">
        <f ca="1"/>
        <v>#N/A</v>
      </c>
      <c r="W65" s="26" t="e">
        <f ca="1"/>
        <v>#N/A</v>
      </c>
      <c r="X65" s="26" t="e">
        <f ca="1"/>
        <v>#N/A</v>
      </c>
      <c r="Y65" s="26" t="e">
        <f ca="1"/>
        <v>#N/A</v>
      </c>
      <c r="Z65" s="26" t="e">
        <f ca="1"/>
        <v>#N/A</v>
      </c>
      <c r="AA65" s="26" t="e">
        <f ca="1"/>
        <v>#N/A</v>
      </c>
      <c r="AB65" s="26" t="e">
        <f ca="1"/>
        <v>#N/A</v>
      </c>
      <c r="AC65" s="26" t="e">
        <f ca="1"/>
        <v>#N/A</v>
      </c>
      <c r="AD65" s="26" t="e">
        <f ca="1"/>
        <v>#N/A</v>
      </c>
      <c r="AE65" s="26" t="e">
        <f ca="1"/>
        <v>#N/A</v>
      </c>
      <c r="AF65" s="27" t="s">
        <v>210</v>
      </c>
    </row>
    <row r="66" spans="3:34" ht="20.100000000000001" customHeight="1" x14ac:dyDescent="0.25">
      <c r="D66" s="26" t="s">
        <v>201</v>
      </c>
      <c r="E66" s="26" t="e" cm="1">
        <f t="array" aca="1" ref="E66" ca="1">EntericMethane_PastureBeef_Equations.VEERG_3_2_1_1__3_FeedIntakeForGrazingBeef(E50,E58,G28)</f>
        <v>#N/A</v>
      </c>
      <c r="F66" s="26" t="e" cm="1">
        <f t="array" aca="1" ref="F66" ca="1">EntericMethane_PastureBeef_Equations.VEERG_3_2_1_1__3_FeedIntakeForGrazingBeef(F50,F58,H28)</f>
        <v>#N/A</v>
      </c>
      <c r="G66" s="26" t="e" cm="1">
        <f t="array" aca="1" ref="G66" ca="1">EntericMethane_PastureBeef_Equations.VEERG_3_2_1_1__3_FeedIntakeForGrazingBeef(G50,G58,I28)</f>
        <v>#N/A</v>
      </c>
      <c r="H66" s="26" t="e" cm="1">
        <f t="array" aca="1" ref="H66" ca="1">EntericMethane_PastureBeef_Equations.VEERG_3_2_1_1__3_FeedIntakeForGrazingBeef(H50,H58,J28)</f>
        <v>#N/A</v>
      </c>
      <c r="I66" s="26" t="e" cm="1">
        <f t="array" aca="1" ref="I66" ca="1">EntericMethane_PastureBeef_Equations.VEERG_3_2_1_1__3_FeedIntakeForGrazingBeef(I50,I58,K28)</f>
        <v>#N/A</v>
      </c>
      <c r="J66" s="26" t="e" cm="1">
        <f t="array" aca="1" ref="J66" ca="1">EntericMethane_PastureBeef_Equations.VEERG_3_2_1_1__3_FeedIntakeForGrazingBeef(J50,J58,L28)</f>
        <v>#N/A</v>
      </c>
      <c r="K66" s="26" t="e" cm="1">
        <f t="array" aca="1" ref="K66" ca="1">EntericMethane_PastureBeef_Equations.VEERG_3_2_1_1__3_FeedIntakeForGrazingBeef(K50,K58,M28)</f>
        <v>#N/A</v>
      </c>
      <c r="L66" s="26" t="e" cm="1">
        <f t="array" aca="1" ref="L66" ca="1">EntericMethane_PastureBeef_Equations.VEERG_3_2_1_1__3_FeedIntakeForGrazingBeef(L50,L58,N28)</f>
        <v>#N/A</v>
      </c>
      <c r="M66" s="26" t="e" cm="1">
        <f t="array" aca="1" ref="M66" ca="1">EntericMethane_PastureBeef_Equations.VEERG_3_2_1_1__3_FeedIntakeForGrazingBeef(M50,M58,O28)</f>
        <v>#N/A</v>
      </c>
      <c r="N66" s="26" t="e" cm="1">
        <f t="array" aca="1" ref="N66" ca="1">EntericMethane_PastureBeef_Equations.VEERG_3_2_1_1__3_FeedIntakeForGrazingBeef(N50,N58,P28)</f>
        <v>#N/A</v>
      </c>
      <c r="O66" s="27" t="str">
        <f>$E$39</f>
        <v>kg DM/head/day</v>
      </c>
      <c r="P66" s="27"/>
      <c r="Q66" s="27"/>
      <c r="U66" s="26" t="e">
        <f>TEXT(EDATE('Input - Site'!$E$12,6), "mmmm")</f>
        <v>#VALUE!</v>
      </c>
      <c r="V66" s="26" t="e">
        <f ca="1"/>
        <v>#N/A</v>
      </c>
      <c r="W66" s="26" t="e">
        <f ca="1"/>
        <v>#N/A</v>
      </c>
      <c r="X66" s="26" t="e">
        <f ca="1"/>
        <v>#N/A</v>
      </c>
      <c r="Y66" s="26" t="e">
        <f ca="1"/>
        <v>#N/A</v>
      </c>
      <c r="Z66" s="26" t="e">
        <f ca="1"/>
        <v>#N/A</v>
      </c>
      <c r="AA66" s="26" t="e">
        <f ca="1"/>
        <v>#N/A</v>
      </c>
      <c r="AB66" s="26" t="e">
        <f ca="1"/>
        <v>#N/A</v>
      </c>
      <c r="AC66" s="26" t="e">
        <f ca="1"/>
        <v>#N/A</v>
      </c>
      <c r="AD66" s="26" t="e">
        <f ca="1"/>
        <v>#N/A</v>
      </c>
      <c r="AE66" s="26" t="e">
        <f ca="1"/>
        <v>#N/A</v>
      </c>
      <c r="AF66" s="27" t="s">
        <v>210</v>
      </c>
    </row>
    <row r="67" spans="3:34" ht="20.100000000000001" customHeight="1" x14ac:dyDescent="0.25">
      <c r="D67" s="26" t="s">
        <v>202</v>
      </c>
      <c r="E67" s="26" t="e" cm="1">
        <f t="array" aca="1" ref="E67" ca="1">EntericMethane_PastureBeef_Equations.VEERG_3_2_1_1__3_FeedIntakeForGrazingBeef(E51,E59,G29)</f>
        <v>#N/A</v>
      </c>
      <c r="F67" s="26" t="e" cm="1">
        <f t="array" aca="1" ref="F67" ca="1">EntericMethane_PastureBeef_Equations.VEERG_3_2_1_1__3_FeedIntakeForGrazingBeef(F51,F59,H29)</f>
        <v>#N/A</v>
      </c>
      <c r="G67" s="26" t="e" cm="1">
        <f t="array" aca="1" ref="G67" ca="1">EntericMethane_PastureBeef_Equations.VEERG_3_2_1_1__3_FeedIntakeForGrazingBeef(G51,G59,I29)</f>
        <v>#N/A</v>
      </c>
      <c r="H67" s="26" t="e" cm="1">
        <f t="array" aca="1" ref="H67" ca="1">EntericMethane_PastureBeef_Equations.VEERG_3_2_1_1__3_FeedIntakeForGrazingBeef(H51,H59,J29)</f>
        <v>#N/A</v>
      </c>
      <c r="I67" s="26" t="e" cm="1">
        <f t="array" aca="1" ref="I67" ca="1">EntericMethane_PastureBeef_Equations.VEERG_3_2_1_1__3_FeedIntakeForGrazingBeef(I51,I59,K29)</f>
        <v>#N/A</v>
      </c>
      <c r="J67" s="26" t="e" cm="1">
        <f t="array" aca="1" ref="J67" ca="1">EntericMethane_PastureBeef_Equations.VEERG_3_2_1_1__3_FeedIntakeForGrazingBeef(J51,J59,L29)</f>
        <v>#N/A</v>
      </c>
      <c r="K67" s="26" t="e" cm="1">
        <f t="array" aca="1" ref="K67" ca="1">EntericMethane_PastureBeef_Equations.VEERG_3_2_1_1__3_FeedIntakeForGrazingBeef(K51,K59,M29)</f>
        <v>#N/A</v>
      </c>
      <c r="L67" s="26" t="e" cm="1">
        <f t="array" aca="1" ref="L67" ca="1">EntericMethane_PastureBeef_Equations.VEERG_3_2_1_1__3_FeedIntakeForGrazingBeef(L51,L59,N29)</f>
        <v>#N/A</v>
      </c>
      <c r="M67" s="26" t="e" cm="1">
        <f t="array" aca="1" ref="M67" ca="1">EntericMethane_PastureBeef_Equations.VEERG_3_2_1_1__3_FeedIntakeForGrazingBeef(M51,M59,O29)</f>
        <v>#N/A</v>
      </c>
      <c r="N67" s="26" t="e" cm="1">
        <f t="array" aca="1" ref="N67" ca="1">EntericMethane_PastureBeef_Equations.VEERG_3_2_1_1__3_FeedIntakeForGrazingBeef(N51,N59,P29)</f>
        <v>#N/A</v>
      </c>
      <c r="O67" s="27" t="str">
        <f>$E$39</f>
        <v>kg DM/head/day</v>
      </c>
      <c r="P67" s="27"/>
      <c r="Q67" s="27"/>
      <c r="U67" s="26" t="e">
        <f>TEXT(EDATE('Input - Site'!$E$12,7), "mmmm")</f>
        <v>#VALUE!</v>
      </c>
      <c r="V67" s="26" t="e">
        <f ca="1"/>
        <v>#N/A</v>
      </c>
      <c r="W67" s="26" t="e">
        <f ca="1"/>
        <v>#N/A</v>
      </c>
      <c r="X67" s="26" t="e">
        <f ca="1"/>
        <v>#N/A</v>
      </c>
      <c r="Y67" s="26" t="e">
        <f ca="1"/>
        <v>#N/A</v>
      </c>
      <c r="Z67" s="26" t="e">
        <f ca="1"/>
        <v>#N/A</v>
      </c>
      <c r="AA67" s="26" t="e">
        <f ca="1"/>
        <v>#N/A</v>
      </c>
      <c r="AB67" s="26" t="e">
        <f ca="1"/>
        <v>#N/A</v>
      </c>
      <c r="AC67" s="26" t="e">
        <f ca="1"/>
        <v>#N/A</v>
      </c>
      <c r="AD67" s="26" t="e">
        <f ca="1"/>
        <v>#N/A</v>
      </c>
      <c r="AE67" s="26" t="e">
        <f ca="1"/>
        <v>#N/A</v>
      </c>
      <c r="AF67" s="27" t="s">
        <v>210</v>
      </c>
    </row>
    <row r="68" spans="3:34" ht="20.100000000000001" customHeight="1" x14ac:dyDescent="0.25">
      <c r="U68" s="26" t="e">
        <f>TEXT(EDATE('Input - Site'!$E$12,8), "mmmm")</f>
        <v>#VALUE!</v>
      </c>
      <c r="V68" s="26" t="e">
        <f ca="1"/>
        <v>#N/A</v>
      </c>
      <c r="W68" s="26" t="e">
        <f ca="1"/>
        <v>#N/A</v>
      </c>
      <c r="X68" s="26" t="e">
        <f ca="1"/>
        <v>#N/A</v>
      </c>
      <c r="Y68" s="26" t="e">
        <f ca="1"/>
        <v>#N/A</v>
      </c>
      <c r="Z68" s="26" t="e">
        <f ca="1"/>
        <v>#N/A</v>
      </c>
      <c r="AA68" s="26" t="e">
        <f ca="1"/>
        <v>#N/A</v>
      </c>
      <c r="AB68" s="26" t="e">
        <f ca="1"/>
        <v>#N/A</v>
      </c>
      <c r="AC68" s="26" t="e">
        <f ca="1"/>
        <v>#N/A</v>
      </c>
      <c r="AD68" s="26" t="e">
        <f ca="1"/>
        <v>#N/A</v>
      </c>
      <c r="AE68" s="26" t="e">
        <f ca="1"/>
        <v>#N/A</v>
      </c>
      <c r="AF68" s="27" t="s">
        <v>210</v>
      </c>
      <c r="AG68" s="27"/>
      <c r="AH68" s="27"/>
    </row>
    <row r="69" spans="3:34" ht="20.100000000000001" customHeight="1" x14ac:dyDescent="0.25">
      <c r="U69" s="26" t="e">
        <f>TEXT(EDATE('Input - Site'!$E$12,9), "mmmm")</f>
        <v>#VALUE!</v>
      </c>
      <c r="V69" s="26" t="e">
        <f ca="1"/>
        <v>#N/A</v>
      </c>
      <c r="W69" s="26" t="e">
        <f ca="1"/>
        <v>#N/A</v>
      </c>
      <c r="X69" s="26" t="e">
        <f ca="1"/>
        <v>#N/A</v>
      </c>
      <c r="Y69" s="26" t="e">
        <f ca="1"/>
        <v>#N/A</v>
      </c>
      <c r="Z69" s="26" t="e">
        <f ca="1"/>
        <v>#N/A</v>
      </c>
      <c r="AA69" s="26" t="e">
        <f ca="1"/>
        <v>#N/A</v>
      </c>
      <c r="AB69" s="26" t="e">
        <f ca="1"/>
        <v>#N/A</v>
      </c>
      <c r="AC69" s="26" t="e">
        <f ca="1"/>
        <v>#N/A</v>
      </c>
      <c r="AD69" s="26" t="e">
        <f ca="1"/>
        <v>#N/A</v>
      </c>
      <c r="AE69" s="26" t="e">
        <f ca="1"/>
        <v>#N/A</v>
      </c>
      <c r="AF69" s="27" t="s">
        <v>210</v>
      </c>
      <c r="AG69" s="27"/>
      <c r="AH69" s="27"/>
    </row>
    <row r="70" spans="3:34" ht="20.100000000000001" customHeight="1" x14ac:dyDescent="0.25">
      <c r="C70" s="117"/>
      <c r="D70" s="117"/>
      <c r="E70" s="117"/>
      <c r="F70" s="117"/>
      <c r="G70" s="117"/>
      <c r="H70" s="117"/>
      <c r="I70" s="117"/>
      <c r="J70" s="117"/>
      <c r="K70" s="117"/>
      <c r="L70" s="117"/>
      <c r="M70" s="117"/>
      <c r="N70" s="117"/>
      <c r="O70" s="117"/>
      <c r="P70" s="117"/>
      <c r="Q70" s="117"/>
      <c r="R70" s="117"/>
      <c r="U70" s="26" t="e">
        <f>TEXT(EDATE('Input - Site'!$E$12,10), "mmmm")</f>
        <v>#VALUE!</v>
      </c>
      <c r="V70" s="26" t="e">
        <f ca="1"/>
        <v>#N/A</v>
      </c>
      <c r="W70" s="26" t="e">
        <f ca="1"/>
        <v>#N/A</v>
      </c>
      <c r="X70" s="26" t="e">
        <f ca="1"/>
        <v>#N/A</v>
      </c>
      <c r="Y70" s="26" t="e">
        <f ca="1"/>
        <v>#N/A</v>
      </c>
      <c r="Z70" s="26" t="e">
        <f ca="1"/>
        <v>#N/A</v>
      </c>
      <c r="AA70" s="26" t="e">
        <f ca="1"/>
        <v>#N/A</v>
      </c>
      <c r="AB70" s="26" t="e">
        <f ca="1"/>
        <v>#N/A</v>
      </c>
      <c r="AC70" s="26" t="e">
        <f ca="1"/>
        <v>#N/A</v>
      </c>
      <c r="AD70" s="26" t="e">
        <f ca="1"/>
        <v>#N/A</v>
      </c>
      <c r="AE70" s="26" t="e">
        <f ca="1"/>
        <v>#N/A</v>
      </c>
      <c r="AF70" s="27" t="s">
        <v>210</v>
      </c>
      <c r="AG70" s="27"/>
      <c r="AH70" s="27"/>
    </row>
    <row r="71" spans="3:34" ht="20.100000000000001" customHeight="1" x14ac:dyDescent="0.25">
      <c r="D71" s="2" t="str" cm="1">
        <f t="array" ref="D71">EntericMethane_PastureBeef_Equations.VEERG_3_2_1_1__2_DailyEntericMethaneProduction_Title()</f>
        <v>Daily production of enteric methane</v>
      </c>
      <c r="U71" s="26" t="e">
        <f>TEXT(EDATE('Input - Site'!$E$12,11), "mmmm")</f>
        <v>#VALUE!</v>
      </c>
      <c r="V71" s="26" t="e">
        <f ca="1"/>
        <v>#N/A</v>
      </c>
      <c r="W71" s="26" t="e">
        <f ca="1"/>
        <v>#N/A</v>
      </c>
      <c r="X71" s="26" t="e">
        <f ca="1"/>
        <v>#N/A</v>
      </c>
      <c r="Y71" s="26" t="e">
        <f ca="1"/>
        <v>#N/A</v>
      </c>
      <c r="Z71" s="26" t="e">
        <f ca="1"/>
        <v>#N/A</v>
      </c>
      <c r="AA71" s="26" t="e">
        <f ca="1"/>
        <v>#N/A</v>
      </c>
      <c r="AB71" s="26" t="e">
        <f ca="1"/>
        <v>#N/A</v>
      </c>
      <c r="AC71" s="26" t="e">
        <f ca="1"/>
        <v>#N/A</v>
      </c>
      <c r="AD71" s="26" t="e">
        <f ca="1"/>
        <v>#N/A</v>
      </c>
      <c r="AE71" s="26" t="e">
        <f ca="1"/>
        <v>#N/A</v>
      </c>
      <c r="AF71" s="27" t="s">
        <v>210</v>
      </c>
      <c r="AG71" s="27"/>
      <c r="AH71" s="27"/>
    </row>
    <row r="72" spans="3:34" ht="20.100000000000001" customHeight="1" x14ac:dyDescent="0.25">
      <c r="D72" s="28" t="str" cm="1">
        <f t="array" ref="D72">EntericMethane_PastureBeef_Equations.VEERG_3_2_1_1__2_DailyEntericMethaneProduction_Source()</f>
        <v>VEERG 2026: 3.2.1.1, Equation (2)</v>
      </c>
      <c r="AG72" s="27"/>
      <c r="AH72" s="27"/>
    </row>
    <row r="73" spans="3:34" ht="20.100000000000001" customHeight="1" x14ac:dyDescent="0.25">
      <c r="D73" s="104" t="s">
        <v>257</v>
      </c>
      <c r="E73" s="104" t="str" cm="1">
        <f t="array" aca="1" ref="E73" ca="1">Common_InputFunctions.Utility_DisplayFunctionName(E85)</f>
        <v>=EntericMethane_PastureBeef_Equations.VEERG_3_2_1_1__2_DailyEntericMethaneProduction</v>
      </c>
      <c r="U73" s="113" t="s">
        <v>280</v>
      </c>
      <c r="AG73" s="27"/>
      <c r="AH73" s="27"/>
    </row>
    <row r="74" spans="3:34" ht="20.100000000000001" customHeight="1" x14ac:dyDescent="0.25">
      <c r="U74" s="114" t="s">
        <v>281</v>
      </c>
      <c r="AG74" s="27"/>
      <c r="AH74" s="27"/>
    </row>
    <row r="75" spans="3:34" ht="20.100000000000001" customHeight="1" x14ac:dyDescent="0.25">
      <c r="U75" s="115" t="s">
        <v>78</v>
      </c>
      <c r="V75" s="115" t="s">
        <v>189</v>
      </c>
      <c r="W75" s="115" t="s">
        <v>190</v>
      </c>
      <c r="X75" s="115" t="s">
        <v>191</v>
      </c>
      <c r="Y75" s="115" t="s">
        <v>192</v>
      </c>
      <c r="Z75" s="115" t="s">
        <v>193</v>
      </c>
      <c r="AA75" s="115" t="s">
        <v>194</v>
      </c>
      <c r="AB75" s="115" t="s">
        <v>195</v>
      </c>
      <c r="AC75" s="115" t="s">
        <v>196</v>
      </c>
      <c r="AD75" s="115" t="s">
        <v>197</v>
      </c>
      <c r="AE75" s="115" t="s">
        <v>198</v>
      </c>
      <c r="AG75" s="27"/>
      <c r="AH75" s="27"/>
    </row>
    <row r="76" spans="3:34" ht="20.100000000000001" customHeight="1" x14ac:dyDescent="0.25">
      <c r="U76" s="26" t="str">
        <f>TEXT('Input - Site'!$E$12, "mmmm yyyy")</f>
        <v>NO - Not in leaching zone</v>
      </c>
      <c r="V76" s="26" t="e" cm="1">
        <f t="array" aca="1" ref="V76" ca="1">EntericMethane_PastureBeef_Equations.VEERG_3_2_1_1__3_FeedIntakeForGrazingBeef(V44,V60,X28)</f>
        <v>#N/A</v>
      </c>
      <c r="W76" s="26" t="e" cm="1">
        <f t="array" aca="1" ref="W76" ca="1">EntericMethane_PastureBeef_Equations.VEERG_3_2_1_1__3_FeedIntakeForGrazingBeef(W44,W60,Y28)</f>
        <v>#N/A</v>
      </c>
      <c r="X76" s="26" t="e" cm="1">
        <f t="array" aca="1" ref="X76" ca="1">EntericMethane_PastureBeef_Equations.VEERG_3_2_1_1__3_FeedIntakeForGrazingBeef(X44,X60,Z28)</f>
        <v>#N/A</v>
      </c>
      <c r="Y76" s="26" t="e" cm="1">
        <f t="array" aca="1" ref="Y76" ca="1">EntericMethane_PastureBeef_Equations.VEERG_3_2_1_1__3_FeedIntakeForGrazingBeef(Y44,Y60,AA28)</f>
        <v>#N/A</v>
      </c>
      <c r="Z76" s="26" t="e" cm="1">
        <f t="array" aca="1" ref="Z76" ca="1">EntericMethane_PastureBeef_Equations.VEERG_3_2_1_1__3_FeedIntakeForGrazingBeef(Z44,Z60,AB28)</f>
        <v>#N/A</v>
      </c>
      <c r="AA76" s="26" t="e" cm="1">
        <f t="array" aca="1" ref="AA76" ca="1">EntericMethane_PastureBeef_Equations.VEERG_3_2_1_1__3_FeedIntakeForGrazingBeef(AA44,AA60,AC28)</f>
        <v>#N/A</v>
      </c>
      <c r="AB76" s="26" t="e" cm="1">
        <f t="array" aca="1" ref="AB76" ca="1">EntericMethane_PastureBeef_Equations.VEERG_3_2_1_1__3_FeedIntakeForGrazingBeef(AB44,AB60,AD28)</f>
        <v>#N/A</v>
      </c>
      <c r="AC76" s="26" t="e" cm="1">
        <f t="array" aca="1" ref="AC76" ca="1">EntericMethane_PastureBeef_Equations.VEERG_3_2_1_1__3_FeedIntakeForGrazingBeef(AC44,AC60,AE28)</f>
        <v>#N/A</v>
      </c>
      <c r="AD76" s="26" t="e" cm="1">
        <f t="array" aca="1" ref="AD76" ca="1">EntericMethane_PastureBeef_Equations.VEERG_3_2_1_1__3_FeedIntakeForGrazingBeef(AD44,AD60,AF28)</f>
        <v>#N/A</v>
      </c>
      <c r="AE76" s="26" t="e" cm="1">
        <f t="array" aca="1" ref="AE76" ca="1">EntericMethane_PastureBeef_Equations.VEERG_3_2_1_1__3_FeedIntakeForGrazingBeef(AE44,AE60,AG28)</f>
        <v>#N/A</v>
      </c>
      <c r="AF76" s="27" t="str">
        <f t="shared" ref="AF76:AF87" si="2">$E$39</f>
        <v>kg DM/head/day</v>
      </c>
      <c r="AG76" s="27"/>
      <c r="AH76" s="27"/>
    </row>
    <row r="77" spans="3:34" ht="20.100000000000001" customHeight="1" x14ac:dyDescent="0.25">
      <c r="D77" s="89" t="s">
        <v>259</v>
      </c>
      <c r="E77" s="1" t="str" cm="1">
        <f t="array" ref="E77">EntericMethane_PastureBeef_Equations.VEERG_3_2_1_1__2_DailyEntericMethaneProduction_Variable()</f>
        <v>M_jkl</v>
      </c>
      <c r="U77" s="26" t="e">
        <f>TEXT(EDATE('Input - Site'!$E$12,1), "mmmm yyyy")</f>
        <v>#VALUE!</v>
      </c>
      <c r="V77" s="26" t="e" cm="1">
        <f t="array" aca="1" ref="V77" ca="1">EntericMethane_PastureBeef_Equations.VEERG_3_2_1_1__3_FeedIntakeForGrazingBeef(V45,V61,X29)</f>
        <v>#N/A</v>
      </c>
      <c r="W77" s="26" t="e" cm="1">
        <f t="array" aca="1" ref="W77" ca="1">EntericMethane_PastureBeef_Equations.VEERG_3_2_1_1__3_FeedIntakeForGrazingBeef(W45,W61,Y29)</f>
        <v>#N/A</v>
      </c>
      <c r="X77" s="26" t="e" cm="1">
        <f t="array" aca="1" ref="X77" ca="1">EntericMethane_PastureBeef_Equations.VEERG_3_2_1_1__3_FeedIntakeForGrazingBeef(X45,X61,Z29)</f>
        <v>#N/A</v>
      </c>
      <c r="Y77" s="26" t="e" cm="1">
        <f t="array" aca="1" ref="Y77" ca="1">EntericMethane_PastureBeef_Equations.VEERG_3_2_1_1__3_FeedIntakeForGrazingBeef(Y45,Y61,AA29)</f>
        <v>#N/A</v>
      </c>
      <c r="Z77" s="26" t="e" cm="1">
        <f t="array" aca="1" ref="Z77" ca="1">EntericMethane_PastureBeef_Equations.VEERG_3_2_1_1__3_FeedIntakeForGrazingBeef(Z45,Z61,AB29)</f>
        <v>#N/A</v>
      </c>
      <c r="AA77" s="26" t="e" cm="1">
        <f t="array" aca="1" ref="AA77" ca="1">EntericMethane_PastureBeef_Equations.VEERG_3_2_1_1__3_FeedIntakeForGrazingBeef(AA45,AA61,AC29)</f>
        <v>#N/A</v>
      </c>
      <c r="AB77" s="26" t="e" cm="1">
        <f t="array" aca="1" ref="AB77" ca="1">EntericMethane_PastureBeef_Equations.VEERG_3_2_1_1__3_FeedIntakeForGrazingBeef(AB45,AB61,AD29)</f>
        <v>#N/A</v>
      </c>
      <c r="AC77" s="26" t="e" cm="1">
        <f t="array" aca="1" ref="AC77" ca="1">EntericMethane_PastureBeef_Equations.VEERG_3_2_1_1__3_FeedIntakeForGrazingBeef(AC45,AC61,AE29)</f>
        <v>#N/A</v>
      </c>
      <c r="AD77" s="26" t="e" cm="1">
        <f t="array" aca="1" ref="AD77" ca="1">EntericMethane_PastureBeef_Equations.VEERG_3_2_1_1__3_FeedIntakeForGrazingBeef(AD45,AD61,AF29)</f>
        <v>#N/A</v>
      </c>
      <c r="AE77" s="26" t="e" cm="1">
        <f t="array" aca="1" ref="AE77" ca="1">EntericMethane_PastureBeef_Equations.VEERG_3_2_1_1__3_FeedIntakeForGrazingBeef(AE45,AE61,AG29)</f>
        <v>#N/A</v>
      </c>
      <c r="AF77" s="27" t="str">
        <f t="shared" si="2"/>
        <v>kg DM/head/day</v>
      </c>
      <c r="AG77" s="27"/>
      <c r="AH77" s="27"/>
    </row>
    <row r="78" spans="3:34" ht="20.100000000000001" customHeight="1" x14ac:dyDescent="0.25">
      <c r="D78" s="89" t="s">
        <v>133</v>
      </c>
      <c r="E78" s="15" t="str" cm="1">
        <f t="array" ref="E78">EntericMethane_PastureBeef_Equations.VEERG_3_2_1_1__2_DailyEntericMethaneProduction_Unit()</f>
        <v>kg CH4/head/day</v>
      </c>
      <c r="U78" s="26" t="e">
        <f>TEXT(EDATE('Input - Site'!$E$12,2), "mmmm yyyy")</f>
        <v>#VALUE!</v>
      </c>
      <c r="V78" s="26" t="e" cm="1">
        <f t="array" aca="1" ref="V78" ca="1">EntericMethane_PastureBeef_Equations.VEERG_3_2_1_1__3_FeedIntakeForGrazingBeef(V46,V62,X30)</f>
        <v>#N/A</v>
      </c>
      <c r="W78" s="26" t="e" cm="1">
        <f t="array" aca="1" ref="W78" ca="1">EntericMethane_PastureBeef_Equations.VEERG_3_2_1_1__3_FeedIntakeForGrazingBeef(W46,W62,Y30)</f>
        <v>#N/A</v>
      </c>
      <c r="X78" s="26" t="e" cm="1">
        <f t="array" aca="1" ref="X78" ca="1">EntericMethane_PastureBeef_Equations.VEERG_3_2_1_1__3_FeedIntakeForGrazingBeef(X46,X62,Z30)</f>
        <v>#N/A</v>
      </c>
      <c r="Y78" s="26" t="e" cm="1">
        <f t="array" aca="1" ref="Y78" ca="1">EntericMethane_PastureBeef_Equations.VEERG_3_2_1_1__3_FeedIntakeForGrazingBeef(Y46,Y62,AA30)</f>
        <v>#N/A</v>
      </c>
      <c r="Z78" s="26" t="e" cm="1">
        <f t="array" aca="1" ref="Z78" ca="1">EntericMethane_PastureBeef_Equations.VEERG_3_2_1_1__3_FeedIntakeForGrazingBeef(Z46,Z62,AB30)</f>
        <v>#N/A</v>
      </c>
      <c r="AA78" s="26" t="e" cm="1">
        <f t="array" aca="1" ref="AA78" ca="1">EntericMethane_PastureBeef_Equations.VEERG_3_2_1_1__3_FeedIntakeForGrazingBeef(AA46,AA62,AC30)</f>
        <v>#N/A</v>
      </c>
      <c r="AB78" s="26" t="e" cm="1">
        <f t="array" aca="1" ref="AB78" ca="1">EntericMethane_PastureBeef_Equations.VEERG_3_2_1_1__3_FeedIntakeForGrazingBeef(AB46,AB62,AD30)</f>
        <v>#N/A</v>
      </c>
      <c r="AC78" s="26" t="e" cm="1">
        <f t="array" aca="1" ref="AC78" ca="1">EntericMethane_PastureBeef_Equations.VEERG_3_2_1_1__3_FeedIntakeForGrazingBeef(AC46,AC62,AE30)</f>
        <v>#N/A</v>
      </c>
      <c r="AD78" s="26" t="e" cm="1">
        <f t="array" aca="1" ref="AD78" ca="1">EntericMethane_PastureBeef_Equations.VEERG_3_2_1_1__3_FeedIntakeForGrazingBeef(AD46,AD62,AF30)</f>
        <v>#N/A</v>
      </c>
      <c r="AE78" s="26" t="e" cm="1">
        <f t="array" aca="1" ref="AE78" ca="1">EntericMethane_PastureBeef_Equations.VEERG_3_2_1_1__3_FeedIntakeForGrazingBeef(AE46,AE62,AG30)</f>
        <v>#N/A</v>
      </c>
      <c r="AF78" s="27" t="str">
        <f t="shared" si="2"/>
        <v>kg DM/head/day</v>
      </c>
      <c r="AG78" s="27"/>
      <c r="AH78" s="27"/>
    </row>
    <row r="79" spans="3:34" ht="20.100000000000001" customHeight="1" x14ac:dyDescent="0.25">
      <c r="U79" s="26" t="e">
        <f>TEXT(EDATE('Input - Site'!$E$12,3), "mmmm yyyy")</f>
        <v>#VALUE!</v>
      </c>
      <c r="V79" s="26" t="e" cm="1">
        <f t="array" aca="1" ref="V79" ca="1">EntericMethane_PastureBeef_Equations.VEERG_3_2_1_1__3_FeedIntakeForGrazingBeef(V47,V63,X31)</f>
        <v>#N/A</v>
      </c>
      <c r="W79" s="26" t="e" cm="1">
        <f t="array" aca="1" ref="W79" ca="1">EntericMethane_PastureBeef_Equations.VEERG_3_2_1_1__3_FeedIntakeForGrazingBeef(W47,W63,Y31)</f>
        <v>#N/A</v>
      </c>
      <c r="X79" s="26" t="e" cm="1">
        <f t="array" aca="1" ref="X79" ca="1">EntericMethane_PastureBeef_Equations.VEERG_3_2_1_1__3_FeedIntakeForGrazingBeef(X47,X63,Z31)</f>
        <v>#N/A</v>
      </c>
      <c r="Y79" s="26" t="e" cm="1">
        <f t="array" aca="1" ref="Y79" ca="1">EntericMethane_PastureBeef_Equations.VEERG_3_2_1_1__3_FeedIntakeForGrazingBeef(Y47,Y63,AA31)</f>
        <v>#N/A</v>
      </c>
      <c r="Z79" s="26" t="e" cm="1">
        <f t="array" aca="1" ref="Z79" ca="1">EntericMethane_PastureBeef_Equations.VEERG_3_2_1_1__3_FeedIntakeForGrazingBeef(Z47,Z63,AB31)</f>
        <v>#N/A</v>
      </c>
      <c r="AA79" s="26" t="e" cm="1">
        <f t="array" aca="1" ref="AA79" ca="1">EntericMethane_PastureBeef_Equations.VEERG_3_2_1_1__3_FeedIntakeForGrazingBeef(AA47,AA63,AC31)</f>
        <v>#N/A</v>
      </c>
      <c r="AB79" s="26" t="e" cm="1">
        <f t="array" aca="1" ref="AB79" ca="1">EntericMethane_PastureBeef_Equations.VEERG_3_2_1_1__3_FeedIntakeForGrazingBeef(AB47,AB63,AD31)</f>
        <v>#N/A</v>
      </c>
      <c r="AC79" s="26" t="e" cm="1">
        <f t="array" aca="1" ref="AC79" ca="1">EntericMethane_PastureBeef_Equations.VEERG_3_2_1_1__3_FeedIntakeForGrazingBeef(AC47,AC63,AE31)</f>
        <v>#N/A</v>
      </c>
      <c r="AD79" s="26" t="e" cm="1">
        <f t="array" aca="1" ref="AD79" ca="1">EntericMethane_PastureBeef_Equations.VEERG_3_2_1_1__3_FeedIntakeForGrazingBeef(AD47,AD63,AF31)</f>
        <v>#N/A</v>
      </c>
      <c r="AE79" s="26" t="e" cm="1">
        <f t="array" aca="1" ref="AE79" ca="1">EntericMethane_PastureBeef_Equations.VEERG_3_2_1_1__3_FeedIntakeForGrazingBeef(AE47,AE63,AG31)</f>
        <v>#N/A</v>
      </c>
      <c r="AF79" s="27" t="str">
        <f t="shared" si="2"/>
        <v>kg DM/head/day</v>
      </c>
      <c r="AG79" s="27"/>
      <c r="AH79" s="27"/>
    </row>
    <row r="80" spans="3:34" ht="20.100000000000001" customHeight="1" x14ac:dyDescent="0.25">
      <c r="D80" s="106" t="str" cm="1">
        <f t="array" ref="D80:E80">_xlfn.CHOOSECOLS(EntericMethane_PastureBeef_Equations.VEERG_3_2_1_1__2_DailyEntericMethaneProduction_Arguments(), 1, 2)</f>
        <v>I_jkl</v>
      </c>
      <c r="E80" s="107" t="str">
        <v>dry matter intake</v>
      </c>
      <c r="F80" s="109"/>
      <c r="G80" s="106" t="str" cm="1">
        <f t="array" ref="G80:H80">_xlfn.CHOOSECOLS(EntericMethane_PastureBeef_Equations.VEERG_3_2_1_1__2_DailyEntericMethaneProduction_Arguments(), 3,4)</f>
        <v>kg DM/head/day</v>
      </c>
      <c r="H80" s="111" t="str">
        <v>Calculated from 3.2.1.1, (3)</v>
      </c>
      <c r="I80" s="112" t="str" cm="1">
        <f t="array" aca="1" ref="I80" ca="1">HYPERLINK(Common_InputFunctions.Utility_SourceHyperlink($D$61), $D$61)</f>
        <v>M1_Table_I_j_k_l</v>
      </c>
      <c r="U80" s="26" t="e">
        <f>TEXT(EDATE('Input - Site'!$E$12,4), "mmmm yyyy")</f>
        <v>#VALUE!</v>
      </c>
      <c r="V80" s="26" t="e" cm="1">
        <f t="array" aca="1" ref="V80" ca="1">EntericMethane_PastureBeef_Equations.VEERG_3_2_1_1__3_FeedIntakeForGrazingBeef(V48,V64,X32)</f>
        <v>#N/A</v>
      </c>
      <c r="W80" s="26" t="e" cm="1">
        <f t="array" aca="1" ref="W80" ca="1">EntericMethane_PastureBeef_Equations.VEERG_3_2_1_1__3_FeedIntakeForGrazingBeef(W48,W64,Y32)</f>
        <v>#N/A</v>
      </c>
      <c r="X80" s="26" t="e" cm="1">
        <f t="array" aca="1" ref="X80" ca="1">EntericMethane_PastureBeef_Equations.VEERG_3_2_1_1__3_FeedIntakeForGrazingBeef(X48,X64,Z32)</f>
        <v>#N/A</v>
      </c>
      <c r="Y80" s="26" t="e" cm="1">
        <f t="array" aca="1" ref="Y80" ca="1">EntericMethane_PastureBeef_Equations.VEERG_3_2_1_1__3_FeedIntakeForGrazingBeef(Y48,Y64,AA32)</f>
        <v>#N/A</v>
      </c>
      <c r="Z80" s="26" t="e" cm="1">
        <f t="array" aca="1" ref="Z80" ca="1">EntericMethane_PastureBeef_Equations.VEERG_3_2_1_1__3_FeedIntakeForGrazingBeef(Z48,Z64,AB32)</f>
        <v>#N/A</v>
      </c>
      <c r="AA80" s="26" t="e" cm="1">
        <f t="array" aca="1" ref="AA80" ca="1">EntericMethane_PastureBeef_Equations.VEERG_3_2_1_1__3_FeedIntakeForGrazingBeef(AA48,AA64,AC32)</f>
        <v>#N/A</v>
      </c>
      <c r="AB80" s="26" t="e" cm="1">
        <f t="array" aca="1" ref="AB80" ca="1">EntericMethane_PastureBeef_Equations.VEERG_3_2_1_1__3_FeedIntakeForGrazingBeef(AB48,AB64,AD32)</f>
        <v>#N/A</v>
      </c>
      <c r="AC80" s="26" t="e" cm="1">
        <f t="array" aca="1" ref="AC80" ca="1">EntericMethane_PastureBeef_Equations.VEERG_3_2_1_1__3_FeedIntakeForGrazingBeef(AC48,AC64,AE32)</f>
        <v>#N/A</v>
      </c>
      <c r="AD80" s="26" t="e" cm="1">
        <f t="array" aca="1" ref="AD80" ca="1">EntericMethane_PastureBeef_Equations.VEERG_3_2_1_1__3_FeedIntakeForGrazingBeef(AD48,AD64,AF32)</f>
        <v>#N/A</v>
      </c>
      <c r="AE80" s="26" t="e" cm="1">
        <f t="array" aca="1" ref="AE80" ca="1">EntericMethane_PastureBeef_Equations.VEERG_3_2_1_1__3_FeedIntakeForGrazingBeef(AE48,AE64,AG32)</f>
        <v>#N/A</v>
      </c>
      <c r="AF80" s="27" t="str">
        <f t="shared" si="2"/>
        <v>kg DM/head/day</v>
      </c>
    </row>
    <row r="81" spans="3:35" ht="20.100000000000001" customHeight="1" x14ac:dyDescent="0.25">
      <c r="U81" s="26" t="e">
        <f>TEXT(EDATE('Input - Site'!$E$12,5), "mmmm yyyy")</f>
        <v>#VALUE!</v>
      </c>
      <c r="V81" s="26" t="e" cm="1">
        <f t="array" aca="1" ref="V81" ca="1">EntericMethane_PastureBeef_Equations.VEERG_3_2_1_1__3_FeedIntakeForGrazingBeef(V49,V65,X33)</f>
        <v>#N/A</v>
      </c>
      <c r="W81" s="26" t="e" cm="1">
        <f t="array" aca="1" ref="W81" ca="1">EntericMethane_PastureBeef_Equations.VEERG_3_2_1_1__3_FeedIntakeForGrazingBeef(W49,W65,Y33)</f>
        <v>#N/A</v>
      </c>
      <c r="X81" s="26" t="e" cm="1">
        <f t="array" aca="1" ref="X81" ca="1">EntericMethane_PastureBeef_Equations.VEERG_3_2_1_1__3_FeedIntakeForGrazingBeef(X49,X65,Z33)</f>
        <v>#N/A</v>
      </c>
      <c r="Y81" s="26" t="e" cm="1">
        <f t="array" aca="1" ref="Y81" ca="1">EntericMethane_PastureBeef_Equations.VEERG_3_2_1_1__3_FeedIntakeForGrazingBeef(Y49,Y65,AA33)</f>
        <v>#N/A</v>
      </c>
      <c r="Z81" s="26" t="e" cm="1">
        <f t="array" aca="1" ref="Z81" ca="1">EntericMethane_PastureBeef_Equations.VEERG_3_2_1_1__3_FeedIntakeForGrazingBeef(Z49,Z65,AB33)</f>
        <v>#N/A</v>
      </c>
      <c r="AA81" s="26" t="e" cm="1">
        <f t="array" aca="1" ref="AA81" ca="1">EntericMethane_PastureBeef_Equations.VEERG_3_2_1_1__3_FeedIntakeForGrazingBeef(AA49,AA65,AC33)</f>
        <v>#N/A</v>
      </c>
      <c r="AB81" s="26" t="e" cm="1">
        <f t="array" aca="1" ref="AB81" ca="1">EntericMethane_PastureBeef_Equations.VEERG_3_2_1_1__3_FeedIntakeForGrazingBeef(AB49,AB65,AD33)</f>
        <v>#N/A</v>
      </c>
      <c r="AC81" s="26" t="e" cm="1">
        <f t="array" aca="1" ref="AC81" ca="1">EntericMethane_PastureBeef_Equations.VEERG_3_2_1_1__3_FeedIntakeForGrazingBeef(AC49,AC65,AE33)</f>
        <v>#N/A</v>
      </c>
      <c r="AD81" s="26" t="e" cm="1">
        <f t="array" aca="1" ref="AD81" ca="1">EntericMethane_PastureBeef_Equations.VEERG_3_2_1_1__3_FeedIntakeForGrazingBeef(AD49,AD65,AF33)</f>
        <v>#N/A</v>
      </c>
      <c r="AE81" s="26" t="e" cm="1">
        <f t="array" aca="1" ref="AE81" ca="1">EntericMethane_PastureBeef_Equations.VEERG_3_2_1_1__3_FeedIntakeForGrazingBeef(AE49,AE65,AG33)</f>
        <v>#N/A</v>
      </c>
      <c r="AF81" s="27" t="str">
        <f t="shared" si="2"/>
        <v>kg DM/head/day</v>
      </c>
    </row>
    <row r="82" spans="3:35" ht="20.100000000000001" customHeight="1" x14ac:dyDescent="0.25">
      <c r="D82" s="113" t="s">
        <v>282</v>
      </c>
      <c r="U82" s="26" t="e">
        <f>TEXT(EDATE('Input - Site'!$E$12,6), "mmmm yyyy")</f>
        <v>#VALUE!</v>
      </c>
      <c r="V82" s="26" t="e" cm="1">
        <f t="array" aca="1" ref="V82" ca="1">EntericMethane_PastureBeef_Equations.VEERG_3_2_1_1__3_FeedIntakeForGrazingBeef(V50,V66,X34)</f>
        <v>#N/A</v>
      </c>
      <c r="W82" s="26" t="e" cm="1">
        <f t="array" aca="1" ref="W82" ca="1">EntericMethane_PastureBeef_Equations.VEERG_3_2_1_1__3_FeedIntakeForGrazingBeef(W50,W66,Y34)</f>
        <v>#N/A</v>
      </c>
      <c r="X82" s="26" t="e" cm="1">
        <f t="array" aca="1" ref="X82" ca="1">EntericMethane_PastureBeef_Equations.VEERG_3_2_1_1__3_FeedIntakeForGrazingBeef(X50,X66,Z34)</f>
        <v>#N/A</v>
      </c>
      <c r="Y82" s="26" t="e" cm="1">
        <f t="array" aca="1" ref="Y82" ca="1">EntericMethane_PastureBeef_Equations.VEERG_3_2_1_1__3_FeedIntakeForGrazingBeef(Y50,Y66,AA34)</f>
        <v>#N/A</v>
      </c>
      <c r="Z82" s="26" t="e" cm="1">
        <f t="array" aca="1" ref="Z82" ca="1">EntericMethane_PastureBeef_Equations.VEERG_3_2_1_1__3_FeedIntakeForGrazingBeef(Z50,Z66,AB34)</f>
        <v>#N/A</v>
      </c>
      <c r="AA82" s="26" t="e" cm="1">
        <f t="array" aca="1" ref="AA82" ca="1">EntericMethane_PastureBeef_Equations.VEERG_3_2_1_1__3_FeedIntakeForGrazingBeef(AA50,AA66,AC34)</f>
        <v>#N/A</v>
      </c>
      <c r="AB82" s="26" t="e" cm="1">
        <f t="array" aca="1" ref="AB82" ca="1">EntericMethane_PastureBeef_Equations.VEERG_3_2_1_1__3_FeedIntakeForGrazingBeef(AB50,AB66,AD34)</f>
        <v>#N/A</v>
      </c>
      <c r="AC82" s="26" t="e" cm="1">
        <f t="array" aca="1" ref="AC82" ca="1">EntericMethane_PastureBeef_Equations.VEERG_3_2_1_1__3_FeedIntakeForGrazingBeef(AC50,AC66,AE34)</f>
        <v>#N/A</v>
      </c>
      <c r="AD82" s="26" t="e" cm="1">
        <f t="array" aca="1" ref="AD82" ca="1">EntericMethane_PastureBeef_Equations.VEERG_3_2_1_1__3_FeedIntakeForGrazingBeef(AD50,AD66,AF34)</f>
        <v>#N/A</v>
      </c>
      <c r="AE82" s="26" t="e" cm="1">
        <f t="array" aca="1" ref="AE82" ca="1">EntericMethane_PastureBeef_Equations.VEERG_3_2_1_1__3_FeedIntakeForGrazingBeef(AE50,AE66,AG34)</f>
        <v>#N/A</v>
      </c>
      <c r="AF82" s="27" t="str">
        <f t="shared" si="2"/>
        <v>kg DM/head/day</v>
      </c>
    </row>
    <row r="83" spans="3:35" ht="20.100000000000001" customHeight="1" x14ac:dyDescent="0.25">
      <c r="D83" s="114" t="s">
        <v>283</v>
      </c>
      <c r="U83" s="26" t="e">
        <f>TEXT(EDATE('Input - Site'!$E$12,7), "mmmm yyyy")</f>
        <v>#VALUE!</v>
      </c>
      <c r="V83" s="26" t="e" cm="1">
        <f t="array" aca="1" ref="V83" ca="1">EntericMethane_PastureBeef_Equations.VEERG_3_2_1_1__3_FeedIntakeForGrazingBeef(V51,V67,X35)</f>
        <v>#N/A</v>
      </c>
      <c r="W83" s="26" t="e" cm="1">
        <f t="array" aca="1" ref="W83" ca="1">EntericMethane_PastureBeef_Equations.VEERG_3_2_1_1__3_FeedIntakeForGrazingBeef(W51,W67,Y35)</f>
        <v>#N/A</v>
      </c>
      <c r="X83" s="26" t="e" cm="1">
        <f t="array" aca="1" ref="X83" ca="1">EntericMethane_PastureBeef_Equations.VEERG_3_2_1_1__3_FeedIntakeForGrazingBeef(X51,X67,Z35)</f>
        <v>#N/A</v>
      </c>
      <c r="Y83" s="26" t="e" cm="1">
        <f t="array" aca="1" ref="Y83" ca="1">EntericMethane_PastureBeef_Equations.VEERG_3_2_1_1__3_FeedIntakeForGrazingBeef(Y51,Y67,AA35)</f>
        <v>#N/A</v>
      </c>
      <c r="Z83" s="26" t="e" cm="1">
        <f t="array" aca="1" ref="Z83" ca="1">EntericMethane_PastureBeef_Equations.VEERG_3_2_1_1__3_FeedIntakeForGrazingBeef(Z51,Z67,AB35)</f>
        <v>#N/A</v>
      </c>
      <c r="AA83" s="26" t="e" cm="1">
        <f t="array" aca="1" ref="AA83" ca="1">EntericMethane_PastureBeef_Equations.VEERG_3_2_1_1__3_FeedIntakeForGrazingBeef(AA51,AA67,AC35)</f>
        <v>#N/A</v>
      </c>
      <c r="AB83" s="26" t="e" cm="1">
        <f t="array" aca="1" ref="AB83" ca="1">EntericMethane_PastureBeef_Equations.VEERG_3_2_1_1__3_FeedIntakeForGrazingBeef(AB51,AB67,AD35)</f>
        <v>#N/A</v>
      </c>
      <c r="AC83" s="26" t="e" cm="1">
        <f t="array" aca="1" ref="AC83" ca="1">EntericMethane_PastureBeef_Equations.VEERG_3_2_1_1__3_FeedIntakeForGrazingBeef(AC51,AC67,AE35)</f>
        <v>#N/A</v>
      </c>
      <c r="AD83" s="26" t="e" cm="1">
        <f t="array" aca="1" ref="AD83" ca="1">EntericMethane_PastureBeef_Equations.VEERG_3_2_1_1__3_FeedIntakeForGrazingBeef(AD51,AD67,AF35)</f>
        <v>#N/A</v>
      </c>
      <c r="AE83" s="26" t="e" cm="1">
        <f t="array" aca="1" ref="AE83" ca="1">EntericMethane_PastureBeef_Equations.VEERG_3_2_1_1__3_FeedIntakeForGrazingBeef(AE51,AE67,AG35)</f>
        <v>#N/A</v>
      </c>
      <c r="AF83" s="27" t="str">
        <f t="shared" si="2"/>
        <v>kg DM/head/day</v>
      </c>
    </row>
    <row r="84" spans="3:35" ht="20.100000000000001" customHeight="1" x14ac:dyDescent="0.25">
      <c r="D84" s="115" t="s">
        <v>79</v>
      </c>
      <c r="E84" s="115" t="s">
        <v>189</v>
      </c>
      <c r="F84" s="115" t="s">
        <v>190</v>
      </c>
      <c r="G84" s="115" t="s">
        <v>191</v>
      </c>
      <c r="H84" s="115" t="s">
        <v>192</v>
      </c>
      <c r="I84" s="115" t="s">
        <v>193</v>
      </c>
      <c r="J84" s="115" t="s">
        <v>194</v>
      </c>
      <c r="K84" s="115" t="s">
        <v>195</v>
      </c>
      <c r="L84" s="115" t="s">
        <v>196</v>
      </c>
      <c r="M84" s="115" t="s">
        <v>197</v>
      </c>
      <c r="N84" s="115" t="s">
        <v>198</v>
      </c>
      <c r="U84" s="26" t="e">
        <f>TEXT(EDATE('Input - Site'!$E$12,8), "mmmm yyyy")</f>
        <v>#VALUE!</v>
      </c>
      <c r="V84" s="26" t="e" cm="1">
        <f t="array" aca="1" ref="V84" ca="1">EntericMethane_PastureBeef_Equations.VEERG_3_2_1_1__3_FeedIntakeForGrazingBeef(V52,V68,X36)</f>
        <v>#N/A</v>
      </c>
      <c r="W84" s="26" t="e" cm="1">
        <f t="array" aca="1" ref="W84" ca="1">EntericMethane_PastureBeef_Equations.VEERG_3_2_1_1__3_FeedIntakeForGrazingBeef(W52,W68,Y36)</f>
        <v>#N/A</v>
      </c>
      <c r="X84" s="26" t="e" cm="1">
        <f t="array" aca="1" ref="X84" ca="1">EntericMethane_PastureBeef_Equations.VEERG_3_2_1_1__3_FeedIntakeForGrazingBeef(X52,X68,Z36)</f>
        <v>#N/A</v>
      </c>
      <c r="Y84" s="26" t="e" cm="1">
        <f t="array" aca="1" ref="Y84" ca="1">EntericMethane_PastureBeef_Equations.VEERG_3_2_1_1__3_FeedIntakeForGrazingBeef(Y52,Y68,AA36)</f>
        <v>#N/A</v>
      </c>
      <c r="Z84" s="26" t="e" cm="1">
        <f t="array" aca="1" ref="Z84" ca="1">EntericMethane_PastureBeef_Equations.VEERG_3_2_1_1__3_FeedIntakeForGrazingBeef(Z52,Z68,AB36)</f>
        <v>#N/A</v>
      </c>
      <c r="AA84" s="26" t="e" cm="1">
        <f t="array" aca="1" ref="AA84" ca="1">EntericMethane_PastureBeef_Equations.VEERG_3_2_1_1__3_FeedIntakeForGrazingBeef(AA52,AA68,AC36)</f>
        <v>#N/A</v>
      </c>
      <c r="AB84" s="26" t="e" cm="1">
        <f t="array" aca="1" ref="AB84" ca="1">EntericMethane_PastureBeef_Equations.VEERG_3_2_1_1__3_FeedIntakeForGrazingBeef(AB52,AB68,AD36)</f>
        <v>#N/A</v>
      </c>
      <c r="AC84" s="26" t="e" cm="1">
        <f t="array" aca="1" ref="AC84" ca="1">EntericMethane_PastureBeef_Equations.VEERG_3_2_1_1__3_FeedIntakeForGrazingBeef(AC52,AC68,AE36)</f>
        <v>#N/A</v>
      </c>
      <c r="AD84" s="26" t="e" cm="1">
        <f t="array" aca="1" ref="AD84" ca="1">EntericMethane_PastureBeef_Equations.VEERG_3_2_1_1__3_FeedIntakeForGrazingBeef(AD52,AD68,AF36)</f>
        <v>#N/A</v>
      </c>
      <c r="AE84" s="26" t="e" cm="1">
        <f t="array" aca="1" ref="AE84" ca="1">EntericMethane_PastureBeef_Equations.VEERG_3_2_1_1__3_FeedIntakeForGrazingBeef(AE52,AE68,AG36)</f>
        <v>#N/A</v>
      </c>
      <c r="AF84" s="27" t="str">
        <f t="shared" si="2"/>
        <v>kg DM/head/day</v>
      </c>
      <c r="AG84" s="27"/>
      <c r="AH84" s="27"/>
    </row>
    <row r="85" spans="3:35" ht="20.100000000000001" customHeight="1" x14ac:dyDescent="0.25">
      <c r="D85" s="26" t="s">
        <v>199</v>
      </c>
      <c r="E85" s="26" t="e" cm="1">
        <f t="array" aca="1" ref="E85" ca="1">EntericMethane_PastureBeef_Equations.VEERG_3_2_1_1__2_DailyEntericMethaneProduction(E64)</f>
        <v>#N/A</v>
      </c>
      <c r="F85" s="26" t="e" cm="1">
        <f t="array" aca="1" ref="F85" ca="1">EntericMethane_PastureBeef_Equations.VEERG_3_2_1_1__2_DailyEntericMethaneProduction(F64)</f>
        <v>#N/A</v>
      </c>
      <c r="G85" s="26" t="e" cm="1">
        <f t="array" aca="1" ref="G85" ca="1">EntericMethane_PastureBeef_Equations.VEERG_3_2_1_1__2_DailyEntericMethaneProduction(G64)</f>
        <v>#N/A</v>
      </c>
      <c r="H85" s="26" t="e" cm="1">
        <f t="array" aca="1" ref="H85" ca="1">EntericMethane_PastureBeef_Equations.VEERG_3_2_1_1__2_DailyEntericMethaneProduction(H64)</f>
        <v>#N/A</v>
      </c>
      <c r="I85" s="26" t="e" cm="1">
        <f t="array" aca="1" ref="I85" ca="1">EntericMethane_PastureBeef_Equations.VEERG_3_2_1_1__2_DailyEntericMethaneProduction(I64)</f>
        <v>#N/A</v>
      </c>
      <c r="J85" s="26" t="e" cm="1">
        <f t="array" aca="1" ref="J85" ca="1">EntericMethane_PastureBeef_Equations.VEERG_3_2_1_1__2_DailyEntericMethaneProduction(J64)</f>
        <v>#N/A</v>
      </c>
      <c r="K85" s="26" t="e" cm="1">
        <f t="array" aca="1" ref="K85" ca="1">EntericMethane_PastureBeef_Equations.VEERG_3_2_1_1__2_DailyEntericMethaneProduction(K64)</f>
        <v>#N/A</v>
      </c>
      <c r="L85" s="26" t="e" cm="1">
        <f t="array" aca="1" ref="L85" ca="1">EntericMethane_PastureBeef_Equations.VEERG_3_2_1_1__2_DailyEntericMethaneProduction(L64)</f>
        <v>#N/A</v>
      </c>
      <c r="M85" s="26" t="e" cm="1">
        <f t="array" aca="1" ref="M85" ca="1">EntericMethane_PastureBeef_Equations.VEERG_3_2_1_1__2_DailyEntericMethaneProduction(M64)</f>
        <v>#N/A</v>
      </c>
      <c r="N85" s="26" t="e" cm="1">
        <f t="array" aca="1" ref="N85" ca="1">EntericMethane_PastureBeef_Equations.VEERG_3_2_1_1__2_DailyEntericMethaneProduction(N64)</f>
        <v>#N/A</v>
      </c>
      <c r="O85" s="27" t="str">
        <f>G80</f>
        <v>kg DM/head/day</v>
      </c>
      <c r="P85" s="27"/>
      <c r="Q85" s="27"/>
      <c r="U85" s="26" t="e">
        <f>TEXT(EDATE('Input - Site'!$E$12,9), "mmmm yyyy")</f>
        <v>#VALUE!</v>
      </c>
      <c r="V85" s="26" t="e" cm="1">
        <f t="array" aca="1" ref="V85" ca="1">EntericMethane_PastureBeef_Equations.VEERG_3_2_1_1__3_FeedIntakeForGrazingBeef(V53,V69,X37)</f>
        <v>#N/A</v>
      </c>
      <c r="W85" s="26" t="e" cm="1">
        <f t="array" aca="1" ref="W85" ca="1">EntericMethane_PastureBeef_Equations.VEERG_3_2_1_1__3_FeedIntakeForGrazingBeef(W53,W69,Y37)</f>
        <v>#N/A</v>
      </c>
      <c r="X85" s="26" t="e" cm="1">
        <f t="array" aca="1" ref="X85" ca="1">EntericMethane_PastureBeef_Equations.VEERG_3_2_1_1__3_FeedIntakeForGrazingBeef(X53,X69,Z37)</f>
        <v>#N/A</v>
      </c>
      <c r="Y85" s="26" t="e" cm="1">
        <f t="array" aca="1" ref="Y85" ca="1">EntericMethane_PastureBeef_Equations.VEERG_3_2_1_1__3_FeedIntakeForGrazingBeef(Y53,Y69,AA37)</f>
        <v>#N/A</v>
      </c>
      <c r="Z85" s="26" t="e" cm="1">
        <f t="array" aca="1" ref="Z85" ca="1">EntericMethane_PastureBeef_Equations.VEERG_3_2_1_1__3_FeedIntakeForGrazingBeef(Z53,Z69,AB37)</f>
        <v>#N/A</v>
      </c>
      <c r="AA85" s="26" t="e" cm="1">
        <f t="array" aca="1" ref="AA85" ca="1">EntericMethane_PastureBeef_Equations.VEERG_3_2_1_1__3_FeedIntakeForGrazingBeef(AA53,AA69,AC37)</f>
        <v>#N/A</v>
      </c>
      <c r="AB85" s="26" t="e" cm="1">
        <f t="array" aca="1" ref="AB85" ca="1">EntericMethane_PastureBeef_Equations.VEERG_3_2_1_1__3_FeedIntakeForGrazingBeef(AB53,AB69,AD37)</f>
        <v>#N/A</v>
      </c>
      <c r="AC85" s="26" t="e" cm="1">
        <f t="array" aca="1" ref="AC85" ca="1">EntericMethane_PastureBeef_Equations.VEERG_3_2_1_1__3_FeedIntakeForGrazingBeef(AC53,AC69,AE37)</f>
        <v>#N/A</v>
      </c>
      <c r="AD85" s="26" t="e" cm="1">
        <f t="array" aca="1" ref="AD85" ca="1">EntericMethane_PastureBeef_Equations.VEERG_3_2_1_1__3_FeedIntakeForGrazingBeef(AD53,AD69,AF37)</f>
        <v>#N/A</v>
      </c>
      <c r="AE85" s="26" t="e" cm="1">
        <f t="array" aca="1" ref="AE85" ca="1">EntericMethane_PastureBeef_Equations.VEERG_3_2_1_1__3_FeedIntakeForGrazingBeef(AE53,AE69,AG37)</f>
        <v>#N/A</v>
      </c>
      <c r="AF85" s="27" t="str">
        <f t="shared" si="2"/>
        <v>kg DM/head/day</v>
      </c>
      <c r="AG85" s="27"/>
      <c r="AH85" s="27"/>
    </row>
    <row r="86" spans="3:35" ht="20.100000000000001" customHeight="1" x14ac:dyDescent="0.25">
      <c r="D86" s="26" t="s">
        <v>200</v>
      </c>
      <c r="E86" s="26" t="e" cm="1">
        <f t="array" aca="1" ref="E86" ca="1">EntericMethane_PastureBeef_Equations.VEERG_3_2_1_1__2_DailyEntericMethaneProduction(E65)</f>
        <v>#N/A</v>
      </c>
      <c r="F86" s="26" t="e" cm="1">
        <f t="array" aca="1" ref="F86" ca="1">EntericMethane_PastureBeef_Equations.VEERG_3_2_1_1__2_DailyEntericMethaneProduction(F65)</f>
        <v>#N/A</v>
      </c>
      <c r="G86" s="26" t="e" cm="1">
        <f t="array" aca="1" ref="G86" ca="1">EntericMethane_PastureBeef_Equations.VEERG_3_2_1_1__2_DailyEntericMethaneProduction(G65)</f>
        <v>#N/A</v>
      </c>
      <c r="H86" s="26" t="e" cm="1">
        <f t="array" aca="1" ref="H86" ca="1">EntericMethane_PastureBeef_Equations.VEERG_3_2_1_1__2_DailyEntericMethaneProduction(H65)</f>
        <v>#N/A</v>
      </c>
      <c r="I86" s="26" t="e" cm="1">
        <f t="array" aca="1" ref="I86" ca="1">EntericMethane_PastureBeef_Equations.VEERG_3_2_1_1__2_DailyEntericMethaneProduction(I65)</f>
        <v>#N/A</v>
      </c>
      <c r="J86" s="26" t="e" cm="1">
        <f t="array" aca="1" ref="J86" ca="1">EntericMethane_PastureBeef_Equations.VEERG_3_2_1_1__2_DailyEntericMethaneProduction(J65)</f>
        <v>#N/A</v>
      </c>
      <c r="K86" s="26" t="e" cm="1">
        <f t="array" aca="1" ref="K86" ca="1">EntericMethane_PastureBeef_Equations.VEERG_3_2_1_1__2_DailyEntericMethaneProduction(K65)</f>
        <v>#N/A</v>
      </c>
      <c r="L86" s="26" t="e" cm="1">
        <f t="array" aca="1" ref="L86" ca="1">EntericMethane_PastureBeef_Equations.VEERG_3_2_1_1__2_DailyEntericMethaneProduction(L65)</f>
        <v>#N/A</v>
      </c>
      <c r="M86" s="26" t="e" cm="1">
        <f t="array" aca="1" ref="M86" ca="1">EntericMethane_PastureBeef_Equations.VEERG_3_2_1_1__2_DailyEntericMethaneProduction(M65)</f>
        <v>#N/A</v>
      </c>
      <c r="N86" s="26" t="e" cm="1">
        <f t="array" aca="1" ref="N86" ca="1">EntericMethane_PastureBeef_Equations.VEERG_3_2_1_1__2_DailyEntericMethaneProduction(N65)</f>
        <v>#N/A</v>
      </c>
      <c r="O86" s="27"/>
      <c r="P86" s="27"/>
      <c r="Q86" s="27"/>
      <c r="U86" s="26" t="e">
        <f>TEXT(EDATE('Input - Site'!$E$12,10), "mmmm yyyy")</f>
        <v>#VALUE!</v>
      </c>
      <c r="V86" s="26" t="e" cm="1">
        <f t="array" aca="1" ref="V86" ca="1">EntericMethane_PastureBeef_Equations.VEERG_3_2_1_1__3_FeedIntakeForGrazingBeef(V54,V70,X38)</f>
        <v>#N/A</v>
      </c>
      <c r="W86" s="26" t="e" cm="1">
        <f t="array" aca="1" ref="W86" ca="1">EntericMethane_PastureBeef_Equations.VEERG_3_2_1_1__3_FeedIntakeForGrazingBeef(W54,W70,Y38)</f>
        <v>#N/A</v>
      </c>
      <c r="X86" s="26" t="e" cm="1">
        <f t="array" aca="1" ref="X86" ca="1">EntericMethane_PastureBeef_Equations.VEERG_3_2_1_1__3_FeedIntakeForGrazingBeef(X54,X70,Z38)</f>
        <v>#N/A</v>
      </c>
      <c r="Y86" s="26" t="e" cm="1">
        <f t="array" aca="1" ref="Y86" ca="1">EntericMethane_PastureBeef_Equations.VEERG_3_2_1_1__3_FeedIntakeForGrazingBeef(Y54,Y70,AA38)</f>
        <v>#N/A</v>
      </c>
      <c r="Z86" s="26" t="e" cm="1">
        <f t="array" aca="1" ref="Z86" ca="1">EntericMethane_PastureBeef_Equations.VEERG_3_2_1_1__3_FeedIntakeForGrazingBeef(Z54,Z70,AB38)</f>
        <v>#N/A</v>
      </c>
      <c r="AA86" s="26" t="e" cm="1">
        <f t="array" aca="1" ref="AA86" ca="1">EntericMethane_PastureBeef_Equations.VEERG_3_2_1_1__3_FeedIntakeForGrazingBeef(AA54,AA70,AC38)</f>
        <v>#N/A</v>
      </c>
      <c r="AB86" s="26" t="e" cm="1">
        <f t="array" aca="1" ref="AB86" ca="1">EntericMethane_PastureBeef_Equations.VEERG_3_2_1_1__3_FeedIntakeForGrazingBeef(AB54,AB70,AD38)</f>
        <v>#N/A</v>
      </c>
      <c r="AC86" s="26" t="e" cm="1">
        <f t="array" aca="1" ref="AC86" ca="1">EntericMethane_PastureBeef_Equations.VEERG_3_2_1_1__3_FeedIntakeForGrazingBeef(AC54,AC70,AE38)</f>
        <v>#N/A</v>
      </c>
      <c r="AD86" s="26" t="e" cm="1">
        <f t="array" aca="1" ref="AD86" ca="1">EntericMethane_PastureBeef_Equations.VEERG_3_2_1_1__3_FeedIntakeForGrazingBeef(AD54,AD70,AF38)</f>
        <v>#N/A</v>
      </c>
      <c r="AE86" s="26" t="e" cm="1">
        <f t="array" aca="1" ref="AE86" ca="1">EntericMethane_PastureBeef_Equations.VEERG_3_2_1_1__3_FeedIntakeForGrazingBeef(AE54,AE70,AG38)</f>
        <v>#N/A</v>
      </c>
      <c r="AF86" s="27" t="str">
        <f t="shared" si="2"/>
        <v>kg DM/head/day</v>
      </c>
      <c r="AG86" s="27"/>
      <c r="AH86" s="27"/>
    </row>
    <row r="87" spans="3:35" ht="20.100000000000001" customHeight="1" x14ac:dyDescent="0.25">
      <c r="D87" s="26" t="s">
        <v>201</v>
      </c>
      <c r="E87" s="26" t="e" cm="1">
        <f t="array" aca="1" ref="E87" ca="1">EntericMethane_PastureBeef_Equations.VEERG_3_2_1_1__2_DailyEntericMethaneProduction(E66)</f>
        <v>#N/A</v>
      </c>
      <c r="F87" s="26" t="e" cm="1">
        <f t="array" aca="1" ref="F87" ca="1">EntericMethane_PastureBeef_Equations.VEERG_3_2_1_1__2_DailyEntericMethaneProduction(F66)</f>
        <v>#N/A</v>
      </c>
      <c r="G87" s="26" t="e" cm="1">
        <f t="array" aca="1" ref="G87" ca="1">EntericMethane_PastureBeef_Equations.VEERG_3_2_1_1__2_DailyEntericMethaneProduction(G66)</f>
        <v>#N/A</v>
      </c>
      <c r="H87" s="26" t="e" cm="1">
        <f t="array" aca="1" ref="H87" ca="1">EntericMethane_PastureBeef_Equations.VEERG_3_2_1_1__2_DailyEntericMethaneProduction(H66)</f>
        <v>#N/A</v>
      </c>
      <c r="I87" s="26" t="e" cm="1">
        <f t="array" aca="1" ref="I87" ca="1">EntericMethane_PastureBeef_Equations.VEERG_3_2_1_1__2_DailyEntericMethaneProduction(I66)</f>
        <v>#N/A</v>
      </c>
      <c r="J87" s="26" t="e" cm="1">
        <f t="array" aca="1" ref="J87" ca="1">EntericMethane_PastureBeef_Equations.VEERG_3_2_1_1__2_DailyEntericMethaneProduction(J66)</f>
        <v>#N/A</v>
      </c>
      <c r="K87" s="26" t="e" cm="1">
        <f t="array" aca="1" ref="K87" ca="1">EntericMethane_PastureBeef_Equations.VEERG_3_2_1_1__2_DailyEntericMethaneProduction(K66)</f>
        <v>#N/A</v>
      </c>
      <c r="L87" s="26" t="e" cm="1">
        <f t="array" aca="1" ref="L87" ca="1">EntericMethane_PastureBeef_Equations.VEERG_3_2_1_1__2_DailyEntericMethaneProduction(L66)</f>
        <v>#N/A</v>
      </c>
      <c r="M87" s="26" t="e" cm="1">
        <f t="array" aca="1" ref="M87" ca="1">EntericMethane_PastureBeef_Equations.VEERG_3_2_1_1__2_DailyEntericMethaneProduction(M66)</f>
        <v>#N/A</v>
      </c>
      <c r="N87" s="26" t="e" cm="1">
        <f t="array" aca="1" ref="N87" ca="1">EntericMethane_PastureBeef_Equations.VEERG_3_2_1_1__2_DailyEntericMethaneProduction(N66)</f>
        <v>#N/A</v>
      </c>
      <c r="O87" s="27"/>
      <c r="P87" s="27"/>
      <c r="Q87" s="27"/>
      <c r="U87" s="26" t="e">
        <f>TEXT(EDATE('Input - Site'!$E$12,11), "mmmm yyyy")</f>
        <v>#VALUE!</v>
      </c>
      <c r="V87" s="26" t="e" cm="1">
        <f t="array" aca="1" ref="V87" ca="1">EntericMethane_PastureBeef_Equations.VEERG_3_2_1_1__3_FeedIntakeForGrazingBeef(V55,V71,X39)</f>
        <v>#N/A</v>
      </c>
      <c r="W87" s="26" t="e" cm="1">
        <f t="array" aca="1" ref="W87" ca="1">EntericMethane_PastureBeef_Equations.VEERG_3_2_1_1__3_FeedIntakeForGrazingBeef(W55,W71,Y39)</f>
        <v>#N/A</v>
      </c>
      <c r="X87" s="26" t="e" cm="1">
        <f t="array" aca="1" ref="X87" ca="1">EntericMethane_PastureBeef_Equations.VEERG_3_2_1_1__3_FeedIntakeForGrazingBeef(X55,X71,Z39)</f>
        <v>#N/A</v>
      </c>
      <c r="Y87" s="26" t="e" cm="1">
        <f t="array" aca="1" ref="Y87" ca="1">EntericMethane_PastureBeef_Equations.VEERG_3_2_1_1__3_FeedIntakeForGrazingBeef(Y55,Y71,AA39)</f>
        <v>#N/A</v>
      </c>
      <c r="Z87" s="26" t="e" cm="1">
        <f t="array" aca="1" ref="Z87" ca="1">EntericMethane_PastureBeef_Equations.VEERG_3_2_1_1__3_FeedIntakeForGrazingBeef(Z55,Z71,AB39)</f>
        <v>#N/A</v>
      </c>
      <c r="AA87" s="26" t="e" cm="1">
        <f t="array" aca="1" ref="AA87" ca="1">EntericMethane_PastureBeef_Equations.VEERG_3_2_1_1__3_FeedIntakeForGrazingBeef(AA55,AA71,AC39)</f>
        <v>#N/A</v>
      </c>
      <c r="AB87" s="26" t="e" cm="1">
        <f t="array" aca="1" ref="AB87" ca="1">EntericMethane_PastureBeef_Equations.VEERG_3_2_1_1__3_FeedIntakeForGrazingBeef(AB55,AB71,AD39)</f>
        <v>#N/A</v>
      </c>
      <c r="AC87" s="26" t="e" cm="1">
        <f t="array" aca="1" ref="AC87" ca="1">EntericMethane_PastureBeef_Equations.VEERG_3_2_1_1__3_FeedIntakeForGrazingBeef(AC55,AC71,AE39)</f>
        <v>#N/A</v>
      </c>
      <c r="AD87" s="26" t="e" cm="1">
        <f t="array" aca="1" ref="AD87" ca="1">EntericMethane_PastureBeef_Equations.VEERG_3_2_1_1__3_FeedIntakeForGrazingBeef(AD55,AD71,AF39)</f>
        <v>#N/A</v>
      </c>
      <c r="AE87" s="26" t="e" cm="1">
        <f t="array" aca="1" ref="AE87" ca="1">EntericMethane_PastureBeef_Equations.VEERG_3_2_1_1__3_FeedIntakeForGrazingBeef(AE55,AE71,AG39)</f>
        <v>#N/A</v>
      </c>
      <c r="AF87" s="27" t="str">
        <f t="shared" si="2"/>
        <v>kg DM/head/day</v>
      </c>
      <c r="AG87" s="27"/>
      <c r="AH87" s="27"/>
    </row>
    <row r="88" spans="3:35" ht="20.100000000000001" customHeight="1" x14ac:dyDescent="0.25">
      <c r="D88" s="26" t="s">
        <v>202</v>
      </c>
      <c r="E88" s="26" t="e" cm="1">
        <f t="array" aca="1" ref="E88" ca="1">EntericMethane_PastureBeef_Equations.VEERG_3_2_1_1__2_DailyEntericMethaneProduction(E67)</f>
        <v>#N/A</v>
      </c>
      <c r="F88" s="26" t="e" cm="1">
        <f t="array" aca="1" ref="F88" ca="1">EntericMethane_PastureBeef_Equations.VEERG_3_2_1_1__2_DailyEntericMethaneProduction(F67)</f>
        <v>#N/A</v>
      </c>
      <c r="G88" s="26" t="e" cm="1">
        <f t="array" aca="1" ref="G88" ca="1">EntericMethane_PastureBeef_Equations.VEERG_3_2_1_1__2_DailyEntericMethaneProduction(G67)</f>
        <v>#N/A</v>
      </c>
      <c r="H88" s="26" t="e" cm="1">
        <f t="array" aca="1" ref="H88" ca="1">EntericMethane_PastureBeef_Equations.VEERG_3_2_1_1__2_DailyEntericMethaneProduction(H67)</f>
        <v>#N/A</v>
      </c>
      <c r="I88" s="26" t="e" cm="1">
        <f t="array" aca="1" ref="I88" ca="1">EntericMethane_PastureBeef_Equations.VEERG_3_2_1_1__2_DailyEntericMethaneProduction(I67)</f>
        <v>#N/A</v>
      </c>
      <c r="J88" s="26" t="e" cm="1">
        <f t="array" aca="1" ref="J88" ca="1">EntericMethane_PastureBeef_Equations.VEERG_3_2_1_1__2_DailyEntericMethaneProduction(J67)</f>
        <v>#N/A</v>
      </c>
      <c r="K88" s="26" t="e" cm="1">
        <f t="array" aca="1" ref="K88" ca="1">EntericMethane_PastureBeef_Equations.VEERG_3_2_1_1__2_DailyEntericMethaneProduction(K67)</f>
        <v>#N/A</v>
      </c>
      <c r="L88" s="26" t="e" cm="1">
        <f t="array" aca="1" ref="L88" ca="1">EntericMethane_PastureBeef_Equations.VEERG_3_2_1_1__2_DailyEntericMethaneProduction(L67)</f>
        <v>#N/A</v>
      </c>
      <c r="M88" s="26" t="e" cm="1">
        <f t="array" aca="1" ref="M88" ca="1">EntericMethane_PastureBeef_Equations.VEERG_3_2_1_1__2_DailyEntericMethaneProduction(M67)</f>
        <v>#N/A</v>
      </c>
      <c r="N88" s="26" t="e" cm="1">
        <f t="array" aca="1" ref="N88" ca="1">EntericMethane_PastureBeef_Equations.VEERG_3_2_1_1__2_DailyEntericMethaneProduction(N67)</f>
        <v>#N/A</v>
      </c>
      <c r="O88" s="27"/>
      <c r="P88" s="27"/>
      <c r="Q88" s="27"/>
      <c r="AG88" s="27"/>
      <c r="AH88" s="27"/>
    </row>
    <row r="89" spans="3:35" ht="20.100000000000001" customHeight="1" x14ac:dyDescent="0.25">
      <c r="AG89" s="27"/>
      <c r="AH89" s="27"/>
    </row>
    <row r="90" spans="3:35" ht="20.100000000000001" customHeight="1" x14ac:dyDescent="0.25">
      <c r="AG90" s="27"/>
      <c r="AH90" s="27"/>
    </row>
    <row r="91" spans="3:35" ht="20.100000000000001" customHeight="1" x14ac:dyDescent="0.25">
      <c r="C91" s="117"/>
      <c r="D91" s="117"/>
      <c r="E91" s="117"/>
      <c r="F91" s="117"/>
      <c r="G91" s="117"/>
      <c r="H91" s="117"/>
      <c r="I91" s="117"/>
      <c r="J91" s="117"/>
      <c r="K91" s="117"/>
      <c r="L91" s="117"/>
      <c r="M91" s="117"/>
      <c r="N91" s="117"/>
      <c r="O91" s="117"/>
      <c r="P91" s="117"/>
      <c r="Q91" s="117"/>
      <c r="R91" s="117"/>
      <c r="T91" s="117"/>
      <c r="U91" s="117"/>
      <c r="V91" s="117"/>
      <c r="W91" s="117"/>
      <c r="X91" s="117"/>
      <c r="Y91" s="117"/>
      <c r="Z91" s="117"/>
      <c r="AA91" s="117"/>
      <c r="AB91" s="117"/>
      <c r="AC91" s="117"/>
      <c r="AD91" s="117"/>
      <c r="AE91" s="117"/>
      <c r="AF91" s="117"/>
      <c r="AG91" s="117"/>
      <c r="AH91" s="117"/>
      <c r="AI91" s="117"/>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8" t="str" cm="1">
        <f t="array" ref="D93">EntericMethane_PastureBeef_Equations.VEERG_3_2_1_1__1_TotalAnnualMethaneFromEntericFermentation_Source()</f>
        <v>VEERG 2026: 3.2.1.1, Equation (1)</v>
      </c>
    </row>
    <row r="94" spans="3:35" ht="20.100000000000001" customHeight="1" x14ac:dyDescent="0.25">
      <c r="D94" s="104" t="s">
        <v>257</v>
      </c>
      <c r="E94" s="104" t="str" cm="1">
        <f t="array" aca="1" ref="E94" ca="1">Common_InputFunctions.Utility_DisplayFunctionName(E123)</f>
        <v>=EntericMethane_PastureBeef_Equations.VEERG_3_2_1_1__1_TotalAnnualMethaneFromEntericFermentation</v>
      </c>
      <c r="U94" s="113" t="s">
        <v>284</v>
      </c>
    </row>
    <row r="95" spans="3:35" ht="20.100000000000001" customHeight="1" x14ac:dyDescent="0.25">
      <c r="U95" s="114" t="s">
        <v>285</v>
      </c>
    </row>
    <row r="96" spans="3:35" ht="20.100000000000001" customHeight="1" x14ac:dyDescent="0.25">
      <c r="U96" s="115" t="s">
        <v>78</v>
      </c>
      <c r="V96" s="115" t="s">
        <v>189</v>
      </c>
      <c r="W96" s="115" t="s">
        <v>190</v>
      </c>
      <c r="X96" s="115" t="s">
        <v>191</v>
      </c>
      <c r="Y96" s="115" t="s">
        <v>192</v>
      </c>
      <c r="Z96" s="115" t="s">
        <v>193</v>
      </c>
      <c r="AA96" s="115" t="s">
        <v>194</v>
      </c>
      <c r="AB96" s="115" t="s">
        <v>195</v>
      </c>
      <c r="AC96" s="115" t="s">
        <v>196</v>
      </c>
      <c r="AD96" s="115" t="s">
        <v>197</v>
      </c>
      <c r="AE96" s="115" t="s">
        <v>198</v>
      </c>
    </row>
    <row r="97" spans="4:35" ht="20.100000000000001" customHeight="1" x14ac:dyDescent="0.25">
      <c r="D97" s="89" t="s">
        <v>259</v>
      </c>
      <c r="E97" s="1" t="str" cm="1">
        <f t="array" ref="E97">EntericMethane_PastureBeef_Equations.VEERG_3_2_1_1__1_TotalAnnualMethaneFromEntericFermentation_Variable()</f>
        <v>E_enteric</v>
      </c>
      <c r="U97" s="26" t="str">
        <f>TEXT('Input - Site'!$E$12, "mmmm yyyy")</f>
        <v>NO - Not in leaching zone</v>
      </c>
      <c r="V97" s="26" t="e" cm="1">
        <f t="array" aca="1" ref="V97" ca="1">EntericMethane_PastureBeef_Equations.VEERG_3_2_1_1__2_DailyEntericMethaneProduction(V76)</f>
        <v>#N/A</v>
      </c>
      <c r="W97" s="26" t="e" cm="1">
        <f t="array" aca="1" ref="W97" ca="1">EntericMethane_PastureBeef_Equations.VEERG_3_2_1_1__2_DailyEntericMethaneProduction(W76)</f>
        <v>#N/A</v>
      </c>
      <c r="X97" s="26" t="e" cm="1">
        <f t="array" aca="1" ref="X97" ca="1">EntericMethane_PastureBeef_Equations.VEERG_3_2_1_1__2_DailyEntericMethaneProduction(X76)</f>
        <v>#N/A</v>
      </c>
      <c r="Y97" s="26" t="e" cm="1">
        <f t="array" aca="1" ref="Y97" ca="1">EntericMethane_PastureBeef_Equations.VEERG_3_2_1_1__2_DailyEntericMethaneProduction(Y76)</f>
        <v>#N/A</v>
      </c>
      <c r="Z97" s="26" t="e" cm="1">
        <f t="array" aca="1" ref="Z97" ca="1">EntericMethane_PastureBeef_Equations.VEERG_3_2_1_1__2_DailyEntericMethaneProduction(Z76)</f>
        <v>#N/A</v>
      </c>
      <c r="AA97" s="26" t="e" cm="1">
        <f t="array" aca="1" ref="AA97" ca="1">EntericMethane_PastureBeef_Equations.VEERG_3_2_1_1__2_DailyEntericMethaneProduction(AA76)</f>
        <v>#N/A</v>
      </c>
      <c r="AB97" s="26" t="e" cm="1">
        <f t="array" aca="1" ref="AB97" ca="1">EntericMethane_PastureBeef_Equations.VEERG_3_2_1_1__2_DailyEntericMethaneProduction(AB76)</f>
        <v>#N/A</v>
      </c>
      <c r="AC97" s="26" t="e" cm="1">
        <f t="array" aca="1" ref="AC97" ca="1">EntericMethane_PastureBeef_Equations.VEERG_3_2_1_1__2_DailyEntericMethaneProduction(AC76)</f>
        <v>#N/A</v>
      </c>
      <c r="AD97" s="26" t="e" cm="1">
        <f t="array" aca="1" ref="AD97" ca="1">EntericMethane_PastureBeef_Equations.VEERG_3_2_1_1__2_DailyEntericMethaneProduction(AD76)</f>
        <v>#N/A</v>
      </c>
      <c r="AE97" s="26" t="e" cm="1">
        <f t="array" aca="1" ref="AE97" ca="1">EntericMethane_PastureBeef_Equations.VEERG_3_2_1_1__2_DailyEntericMethaneProduction(AE76)</f>
        <v>#N/A</v>
      </c>
      <c r="AF97" s="27" t="str">
        <f>$G$80</f>
        <v>kg DM/head/day</v>
      </c>
    </row>
    <row r="98" spans="4:35" ht="20.100000000000001" customHeight="1" x14ac:dyDescent="0.25">
      <c r="D98" s="89" t="s">
        <v>133</v>
      </c>
      <c r="E98" s="15" t="str" cm="1">
        <f t="array" ref="E98">EntericMethane_PastureBeef_Equations.VEERG_3_2_1_1__1_TotalAnnualMethaneFromEntericFermentation_Unit()</f>
        <v>t CH4</v>
      </c>
      <c r="U98" s="26" t="e">
        <f>TEXT(EDATE('Input - Site'!$E$12,1), "mmmm yyyy")</f>
        <v>#VALUE!</v>
      </c>
      <c r="V98" s="26" t="e" cm="1">
        <f t="array" aca="1" ref="V98" ca="1">EntericMethane_PastureBeef_Equations.VEERG_3_2_1_1__2_DailyEntericMethaneProduction(V77)</f>
        <v>#N/A</v>
      </c>
      <c r="W98" s="26" t="e" cm="1">
        <f t="array" aca="1" ref="W98" ca="1">EntericMethane_PastureBeef_Equations.VEERG_3_2_1_1__2_DailyEntericMethaneProduction(W77)</f>
        <v>#N/A</v>
      </c>
      <c r="X98" s="26" t="e" cm="1">
        <f t="array" aca="1" ref="X98" ca="1">EntericMethane_PastureBeef_Equations.VEERG_3_2_1_1__2_DailyEntericMethaneProduction(X77)</f>
        <v>#N/A</v>
      </c>
      <c r="Y98" s="26" t="e" cm="1">
        <f t="array" aca="1" ref="Y98" ca="1">EntericMethane_PastureBeef_Equations.VEERG_3_2_1_1__2_DailyEntericMethaneProduction(Y77)</f>
        <v>#N/A</v>
      </c>
      <c r="Z98" s="26" t="e" cm="1">
        <f t="array" aca="1" ref="Z98" ca="1">EntericMethane_PastureBeef_Equations.VEERG_3_2_1_1__2_DailyEntericMethaneProduction(Z77)</f>
        <v>#N/A</v>
      </c>
      <c r="AA98" s="26" t="e" cm="1">
        <f t="array" aca="1" ref="AA98" ca="1">EntericMethane_PastureBeef_Equations.VEERG_3_2_1_1__2_DailyEntericMethaneProduction(AA77)</f>
        <v>#N/A</v>
      </c>
      <c r="AB98" s="26" t="e" cm="1">
        <f t="array" aca="1" ref="AB98" ca="1">EntericMethane_PastureBeef_Equations.VEERG_3_2_1_1__2_DailyEntericMethaneProduction(AB77)</f>
        <v>#N/A</v>
      </c>
      <c r="AC98" s="26" t="e" cm="1">
        <f t="array" aca="1" ref="AC98" ca="1">EntericMethane_PastureBeef_Equations.VEERG_3_2_1_1__2_DailyEntericMethaneProduction(AC77)</f>
        <v>#N/A</v>
      </c>
      <c r="AD98" s="26" t="e" cm="1">
        <f t="array" aca="1" ref="AD98" ca="1">EntericMethane_PastureBeef_Equations.VEERG_3_2_1_1__2_DailyEntericMethaneProduction(AD77)</f>
        <v>#N/A</v>
      </c>
      <c r="AE98" s="26" t="e" cm="1">
        <f t="array" aca="1" ref="AE98" ca="1">EntericMethane_PastureBeef_Equations.VEERG_3_2_1_1__2_DailyEntericMethaneProduction(AE77)</f>
        <v>#N/A</v>
      </c>
      <c r="AF98" s="27"/>
    </row>
    <row r="99" spans="4:35" ht="20.100000000000001" customHeight="1" x14ac:dyDescent="0.25">
      <c r="U99" s="26" t="e">
        <f>TEXT(EDATE('Input - Site'!$E$12,2), "mmmm yyyy")</f>
        <v>#VALUE!</v>
      </c>
      <c r="V99" s="26" t="e" cm="1">
        <f t="array" aca="1" ref="V99" ca="1">EntericMethane_PastureBeef_Equations.VEERG_3_2_1_1__2_DailyEntericMethaneProduction(V78)</f>
        <v>#N/A</v>
      </c>
      <c r="W99" s="26" t="e" cm="1">
        <f t="array" aca="1" ref="W99" ca="1">EntericMethane_PastureBeef_Equations.VEERG_3_2_1_1__2_DailyEntericMethaneProduction(W78)</f>
        <v>#N/A</v>
      </c>
      <c r="X99" s="26" t="e" cm="1">
        <f t="array" aca="1" ref="X99" ca="1">EntericMethane_PastureBeef_Equations.VEERG_3_2_1_1__2_DailyEntericMethaneProduction(X78)</f>
        <v>#N/A</v>
      </c>
      <c r="Y99" s="26" t="e" cm="1">
        <f t="array" aca="1" ref="Y99" ca="1">EntericMethane_PastureBeef_Equations.VEERG_3_2_1_1__2_DailyEntericMethaneProduction(Y78)</f>
        <v>#N/A</v>
      </c>
      <c r="Z99" s="26" t="e" cm="1">
        <f t="array" aca="1" ref="Z99" ca="1">EntericMethane_PastureBeef_Equations.VEERG_3_2_1_1__2_DailyEntericMethaneProduction(Z78)</f>
        <v>#N/A</v>
      </c>
      <c r="AA99" s="26" t="e" cm="1">
        <f t="array" aca="1" ref="AA99" ca="1">EntericMethane_PastureBeef_Equations.VEERG_3_2_1_1__2_DailyEntericMethaneProduction(AA78)</f>
        <v>#N/A</v>
      </c>
      <c r="AB99" s="26" t="e" cm="1">
        <f t="array" aca="1" ref="AB99" ca="1">EntericMethane_PastureBeef_Equations.VEERG_3_2_1_1__2_DailyEntericMethaneProduction(AB78)</f>
        <v>#N/A</v>
      </c>
      <c r="AC99" s="26" t="e" cm="1">
        <f t="array" aca="1" ref="AC99" ca="1">EntericMethane_PastureBeef_Equations.VEERG_3_2_1_1__2_DailyEntericMethaneProduction(AC78)</f>
        <v>#N/A</v>
      </c>
      <c r="AD99" s="26" t="e" cm="1">
        <f t="array" aca="1" ref="AD99" ca="1">EntericMethane_PastureBeef_Equations.VEERG_3_2_1_1__2_DailyEntericMethaneProduction(AD78)</f>
        <v>#N/A</v>
      </c>
      <c r="AE99" s="26" t="e" cm="1">
        <f t="array" aca="1" ref="AE99" ca="1">EntericMethane_PastureBeef_Equations.VEERG_3_2_1_1__2_DailyEntericMethaneProduction(AE78)</f>
        <v>#N/A</v>
      </c>
      <c r="AF99" s="27"/>
    </row>
    <row r="100" spans="4:35" ht="20.100000000000001" customHeight="1" x14ac:dyDescent="0.25">
      <c r="D100" s="106" t="str" cm="1">
        <f t="array" ref="D100:E102">_xlfn.CHOOSECOLS(EntericMethane_PastureBeef_Equations.VEERG_3_2_1_1__1_TotalAnnualMethaneFromEntericFermentation_Arguments(), 1, 2)</f>
        <v>D_j</v>
      </c>
      <c r="E100" s="107" t="str">
        <v>number of days the animal is on the farm in each time-period</v>
      </c>
      <c r="F100" s="109"/>
      <c r="G100" s="106" t="str" cm="1">
        <f t="array" ref="G100:H102">_xlfn.CHOOSECOLS(EntericMethane_PastureBeef_Equations.VEERG_3_2_1_1__1_TotalAnnualMethaneFromEntericFermentation_Arguments(), 3,4)</f>
        <v>days</v>
      </c>
      <c r="H100" s="110" t="str">
        <v>Input</v>
      </c>
      <c r="I100" s="112" t="str" cm="1">
        <f t="array" aca="1" ref="I100" ca="1">HYPERLINK(Common_InputFunctions.Utility_SourceHyperlink($D$112), $D$112)</f>
        <v>M1_Table_D_j</v>
      </c>
      <c r="U100" s="26" t="e">
        <f>TEXT(EDATE('Input - Site'!$E$12,3), "mmmm yyyy")</f>
        <v>#VALUE!</v>
      </c>
      <c r="V100" s="26" t="e" cm="1">
        <f t="array" aca="1" ref="V100" ca="1">EntericMethane_PastureBeef_Equations.VEERG_3_2_1_1__2_DailyEntericMethaneProduction(V79)</f>
        <v>#N/A</v>
      </c>
      <c r="W100" s="26" t="e" cm="1">
        <f t="array" aca="1" ref="W100" ca="1">EntericMethane_PastureBeef_Equations.VEERG_3_2_1_1__2_DailyEntericMethaneProduction(W79)</f>
        <v>#N/A</v>
      </c>
      <c r="X100" s="26" t="e" cm="1">
        <f t="array" aca="1" ref="X100" ca="1">EntericMethane_PastureBeef_Equations.VEERG_3_2_1_1__2_DailyEntericMethaneProduction(X79)</f>
        <v>#N/A</v>
      </c>
      <c r="Y100" s="26" t="e" cm="1">
        <f t="array" aca="1" ref="Y100" ca="1">EntericMethane_PastureBeef_Equations.VEERG_3_2_1_1__2_DailyEntericMethaneProduction(Y79)</f>
        <v>#N/A</v>
      </c>
      <c r="Z100" s="26" t="e" cm="1">
        <f t="array" aca="1" ref="Z100" ca="1">EntericMethane_PastureBeef_Equations.VEERG_3_2_1_1__2_DailyEntericMethaneProduction(Z79)</f>
        <v>#N/A</v>
      </c>
      <c r="AA100" s="26" t="e" cm="1">
        <f t="array" aca="1" ref="AA100" ca="1">EntericMethane_PastureBeef_Equations.VEERG_3_2_1_1__2_DailyEntericMethaneProduction(AA79)</f>
        <v>#N/A</v>
      </c>
      <c r="AB100" s="26" t="e" cm="1">
        <f t="array" aca="1" ref="AB100" ca="1">EntericMethane_PastureBeef_Equations.VEERG_3_2_1_1__2_DailyEntericMethaneProduction(AB79)</f>
        <v>#N/A</v>
      </c>
      <c r="AC100" s="26" t="e" cm="1">
        <f t="array" aca="1" ref="AC100" ca="1">EntericMethane_PastureBeef_Equations.VEERG_3_2_1_1__2_DailyEntericMethaneProduction(AC79)</f>
        <v>#N/A</v>
      </c>
      <c r="AD100" s="26" t="e" cm="1">
        <f t="array" aca="1" ref="AD100" ca="1">EntericMethane_PastureBeef_Equations.VEERG_3_2_1_1__2_DailyEntericMethaneProduction(AD79)</f>
        <v>#N/A</v>
      </c>
      <c r="AE100" s="26" t="e" cm="1">
        <f t="array" aca="1" ref="AE100" ca="1">EntericMethane_PastureBeef_Equations.VEERG_3_2_1_1__2_DailyEntericMethaneProduction(AE79)</f>
        <v>#N/A</v>
      </c>
      <c r="AF100" s="27"/>
    </row>
    <row r="101" spans="4:35" ht="20.100000000000001" customHeight="1" x14ac:dyDescent="0.25">
      <c r="D101" s="106" t="str">
        <v>M_jkl</v>
      </c>
      <c r="E101" s="107" t="str">
        <v>daily production of enteric methane in each time-period, class and subclass</v>
      </c>
      <c r="F101" s="109"/>
      <c r="G101" s="106" t="str">
        <v>kg CH4/head/day</v>
      </c>
      <c r="H101" s="111" t="str">
        <v>Calculated from 3.2.1.1, (2)</v>
      </c>
      <c r="I101" s="112" t="str" cm="1">
        <f t="array" aca="1" ref="I101" ca="1">HYPERLINK(Common_InputFunctions.Utility_SourceHyperlink($D$82), $D$82)</f>
        <v>M1_Table_M_j_k_l</v>
      </c>
      <c r="U101" s="26" t="e">
        <f>TEXT(EDATE('Input - Site'!$E$12,4), "mmmm yyyy")</f>
        <v>#VALUE!</v>
      </c>
      <c r="V101" s="26" t="e" cm="1">
        <f t="array" aca="1" ref="V101" ca="1">EntericMethane_PastureBeef_Equations.VEERG_3_2_1_1__2_DailyEntericMethaneProduction(V80)</f>
        <v>#N/A</v>
      </c>
      <c r="W101" s="26" t="e" cm="1">
        <f t="array" aca="1" ref="W101" ca="1">EntericMethane_PastureBeef_Equations.VEERG_3_2_1_1__2_DailyEntericMethaneProduction(W80)</f>
        <v>#N/A</v>
      </c>
      <c r="X101" s="26" t="e" cm="1">
        <f t="array" aca="1" ref="X101" ca="1">EntericMethane_PastureBeef_Equations.VEERG_3_2_1_1__2_DailyEntericMethaneProduction(X80)</f>
        <v>#N/A</v>
      </c>
      <c r="Y101" s="26" t="e" cm="1">
        <f t="array" aca="1" ref="Y101" ca="1">EntericMethane_PastureBeef_Equations.VEERG_3_2_1_1__2_DailyEntericMethaneProduction(Y80)</f>
        <v>#N/A</v>
      </c>
      <c r="Z101" s="26" t="e" cm="1">
        <f t="array" aca="1" ref="Z101" ca="1">EntericMethane_PastureBeef_Equations.VEERG_3_2_1_1__2_DailyEntericMethaneProduction(Z80)</f>
        <v>#N/A</v>
      </c>
      <c r="AA101" s="26" t="e" cm="1">
        <f t="array" aca="1" ref="AA101" ca="1">EntericMethane_PastureBeef_Equations.VEERG_3_2_1_1__2_DailyEntericMethaneProduction(AA80)</f>
        <v>#N/A</v>
      </c>
      <c r="AB101" s="26" t="e" cm="1">
        <f t="array" aca="1" ref="AB101" ca="1">EntericMethane_PastureBeef_Equations.VEERG_3_2_1_1__2_DailyEntericMethaneProduction(AB80)</f>
        <v>#N/A</v>
      </c>
      <c r="AC101" s="26" t="e" cm="1">
        <f t="array" aca="1" ref="AC101" ca="1">EntericMethane_PastureBeef_Equations.VEERG_3_2_1_1__2_DailyEntericMethaneProduction(AC80)</f>
        <v>#N/A</v>
      </c>
      <c r="AD101" s="26" t="e" cm="1">
        <f t="array" aca="1" ref="AD101" ca="1">EntericMethane_PastureBeef_Equations.VEERG_3_2_1_1__2_DailyEntericMethaneProduction(AD80)</f>
        <v>#N/A</v>
      </c>
      <c r="AE101" s="26" t="e" cm="1">
        <f t="array" aca="1" ref="AE101" ca="1">EntericMethane_PastureBeef_Equations.VEERG_3_2_1_1__2_DailyEntericMethaneProduction(AE80)</f>
        <v>#N/A</v>
      </c>
      <c r="AF101" s="27"/>
    </row>
    <row r="102" spans="4:35" ht="20.100000000000001" customHeight="1" x14ac:dyDescent="0.25">
      <c r="D102" s="106" t="str">
        <v>N_jkl</v>
      </c>
      <c r="E102" s="107" t="str">
        <v>number of beef cattle in each time-period, class and subclass</v>
      </c>
      <c r="F102" s="109"/>
      <c r="G102" s="106" t="str">
        <v>head</v>
      </c>
      <c r="H102" s="110" t="str">
        <v>Input</v>
      </c>
      <c r="I102" s="112" t="str" cm="1">
        <f t="array" aca="1" ref="I102" ca="1">HYPERLINK(Common_InputFunctions.Utility_SourceHyperlink($D$104), $D$104)</f>
        <v>M1_Table_N_j_k_l</v>
      </c>
      <c r="U102" s="26" t="e">
        <f>TEXT(EDATE('Input - Site'!$E$12,5), "mmmm yyyy")</f>
        <v>#VALUE!</v>
      </c>
      <c r="V102" s="26" t="e" cm="1">
        <f t="array" aca="1" ref="V102" ca="1">EntericMethane_PastureBeef_Equations.VEERG_3_2_1_1__2_DailyEntericMethaneProduction(V81)</f>
        <v>#N/A</v>
      </c>
      <c r="W102" s="26" t="e" cm="1">
        <f t="array" aca="1" ref="W102" ca="1">EntericMethane_PastureBeef_Equations.VEERG_3_2_1_1__2_DailyEntericMethaneProduction(W81)</f>
        <v>#N/A</v>
      </c>
      <c r="X102" s="26" t="e" cm="1">
        <f t="array" aca="1" ref="X102" ca="1">EntericMethane_PastureBeef_Equations.VEERG_3_2_1_1__2_DailyEntericMethaneProduction(X81)</f>
        <v>#N/A</v>
      </c>
      <c r="Y102" s="26" t="e" cm="1">
        <f t="array" aca="1" ref="Y102" ca="1">EntericMethane_PastureBeef_Equations.VEERG_3_2_1_1__2_DailyEntericMethaneProduction(Y81)</f>
        <v>#N/A</v>
      </c>
      <c r="Z102" s="26" t="e" cm="1">
        <f t="array" aca="1" ref="Z102" ca="1">EntericMethane_PastureBeef_Equations.VEERG_3_2_1_1__2_DailyEntericMethaneProduction(Z81)</f>
        <v>#N/A</v>
      </c>
      <c r="AA102" s="26" t="e" cm="1">
        <f t="array" aca="1" ref="AA102" ca="1">EntericMethane_PastureBeef_Equations.VEERG_3_2_1_1__2_DailyEntericMethaneProduction(AA81)</f>
        <v>#N/A</v>
      </c>
      <c r="AB102" s="26" t="e" cm="1">
        <f t="array" aca="1" ref="AB102" ca="1">EntericMethane_PastureBeef_Equations.VEERG_3_2_1_1__2_DailyEntericMethaneProduction(AB81)</f>
        <v>#N/A</v>
      </c>
      <c r="AC102" s="26" t="e" cm="1">
        <f t="array" aca="1" ref="AC102" ca="1">EntericMethane_PastureBeef_Equations.VEERG_3_2_1_1__2_DailyEntericMethaneProduction(AC81)</f>
        <v>#N/A</v>
      </c>
      <c r="AD102" s="26" t="e" cm="1">
        <f t="array" aca="1" ref="AD102" ca="1">EntericMethane_PastureBeef_Equations.VEERG_3_2_1_1__2_DailyEntericMethaneProduction(AD81)</f>
        <v>#N/A</v>
      </c>
      <c r="AE102" s="26" t="e" cm="1">
        <f t="array" aca="1" ref="AE102" ca="1">EntericMethane_PastureBeef_Equations.VEERG_3_2_1_1__2_DailyEntericMethaneProduction(AE81)</f>
        <v>#N/A</v>
      </c>
      <c r="AF102" s="27"/>
    </row>
    <row r="103" spans="4:35" ht="20.100000000000001" customHeight="1" x14ac:dyDescent="0.25">
      <c r="U103" s="26" t="e">
        <f>TEXT(EDATE('Input - Site'!$E$12,6), "mmmm yyyy")</f>
        <v>#VALUE!</v>
      </c>
      <c r="V103" s="26" t="e" cm="1">
        <f t="array" aca="1" ref="V103" ca="1">EntericMethane_PastureBeef_Equations.VEERG_3_2_1_1__2_DailyEntericMethaneProduction(V82)</f>
        <v>#N/A</v>
      </c>
      <c r="W103" s="26" t="e" cm="1">
        <f t="array" aca="1" ref="W103" ca="1">EntericMethane_PastureBeef_Equations.VEERG_3_2_1_1__2_DailyEntericMethaneProduction(W82)</f>
        <v>#N/A</v>
      </c>
      <c r="X103" s="26" t="e" cm="1">
        <f t="array" aca="1" ref="X103" ca="1">EntericMethane_PastureBeef_Equations.VEERG_3_2_1_1__2_DailyEntericMethaneProduction(X82)</f>
        <v>#N/A</v>
      </c>
      <c r="Y103" s="26" t="e" cm="1">
        <f t="array" aca="1" ref="Y103" ca="1">EntericMethane_PastureBeef_Equations.VEERG_3_2_1_1__2_DailyEntericMethaneProduction(Y82)</f>
        <v>#N/A</v>
      </c>
      <c r="Z103" s="26" t="e" cm="1">
        <f t="array" aca="1" ref="Z103" ca="1">EntericMethane_PastureBeef_Equations.VEERG_3_2_1_1__2_DailyEntericMethaneProduction(Z82)</f>
        <v>#N/A</v>
      </c>
      <c r="AA103" s="26" t="e" cm="1">
        <f t="array" aca="1" ref="AA103" ca="1">EntericMethane_PastureBeef_Equations.VEERG_3_2_1_1__2_DailyEntericMethaneProduction(AA82)</f>
        <v>#N/A</v>
      </c>
      <c r="AB103" s="26" t="e" cm="1">
        <f t="array" aca="1" ref="AB103" ca="1">EntericMethane_PastureBeef_Equations.VEERG_3_2_1_1__2_DailyEntericMethaneProduction(AB82)</f>
        <v>#N/A</v>
      </c>
      <c r="AC103" s="26" t="e" cm="1">
        <f t="array" aca="1" ref="AC103" ca="1">EntericMethane_PastureBeef_Equations.VEERG_3_2_1_1__2_DailyEntericMethaneProduction(AC82)</f>
        <v>#N/A</v>
      </c>
      <c r="AD103" s="26" t="e" cm="1">
        <f t="array" aca="1" ref="AD103" ca="1">EntericMethane_PastureBeef_Equations.VEERG_3_2_1_1__2_DailyEntericMethaneProduction(AD82)</f>
        <v>#N/A</v>
      </c>
      <c r="AE103" s="26" t="e" cm="1">
        <f t="array" aca="1" ref="AE103" ca="1">EntericMethane_PastureBeef_Equations.VEERG_3_2_1_1__2_DailyEntericMethaneProduction(AE82)</f>
        <v>#N/A</v>
      </c>
      <c r="AF103" s="27"/>
    </row>
    <row r="104" spans="4:35" ht="20.100000000000001" customHeight="1" x14ac:dyDescent="0.25">
      <c r="D104" s="113" t="s">
        <v>286</v>
      </c>
      <c r="U104" s="26" t="e">
        <f>TEXT(EDATE('Input - Site'!$E$12,7), "mmmm yyyy")</f>
        <v>#VALUE!</v>
      </c>
      <c r="V104" s="26" t="e" cm="1">
        <f t="array" aca="1" ref="V104" ca="1">EntericMethane_PastureBeef_Equations.VEERG_3_2_1_1__2_DailyEntericMethaneProduction(V83)</f>
        <v>#N/A</v>
      </c>
      <c r="W104" s="26" t="e" cm="1">
        <f t="array" aca="1" ref="W104" ca="1">EntericMethane_PastureBeef_Equations.VEERG_3_2_1_1__2_DailyEntericMethaneProduction(W83)</f>
        <v>#N/A</v>
      </c>
      <c r="X104" s="26" t="e" cm="1">
        <f t="array" aca="1" ref="X104" ca="1">EntericMethane_PastureBeef_Equations.VEERG_3_2_1_1__2_DailyEntericMethaneProduction(X83)</f>
        <v>#N/A</v>
      </c>
      <c r="Y104" s="26" t="e" cm="1">
        <f t="array" aca="1" ref="Y104" ca="1">EntericMethane_PastureBeef_Equations.VEERG_3_2_1_1__2_DailyEntericMethaneProduction(Y83)</f>
        <v>#N/A</v>
      </c>
      <c r="Z104" s="26" t="e" cm="1">
        <f t="array" aca="1" ref="Z104" ca="1">EntericMethane_PastureBeef_Equations.VEERG_3_2_1_1__2_DailyEntericMethaneProduction(Z83)</f>
        <v>#N/A</v>
      </c>
      <c r="AA104" s="26" t="e" cm="1">
        <f t="array" aca="1" ref="AA104" ca="1">EntericMethane_PastureBeef_Equations.VEERG_3_2_1_1__2_DailyEntericMethaneProduction(AA83)</f>
        <v>#N/A</v>
      </c>
      <c r="AB104" s="26" t="e" cm="1">
        <f t="array" aca="1" ref="AB104" ca="1">EntericMethane_PastureBeef_Equations.VEERG_3_2_1_1__2_DailyEntericMethaneProduction(AB83)</f>
        <v>#N/A</v>
      </c>
      <c r="AC104" s="26" t="e" cm="1">
        <f t="array" aca="1" ref="AC104" ca="1">EntericMethane_PastureBeef_Equations.VEERG_3_2_1_1__2_DailyEntericMethaneProduction(AC83)</f>
        <v>#N/A</v>
      </c>
      <c r="AD104" s="26" t="e" cm="1">
        <f t="array" aca="1" ref="AD104" ca="1">EntericMethane_PastureBeef_Equations.VEERG_3_2_1_1__2_DailyEntericMethaneProduction(AD83)</f>
        <v>#N/A</v>
      </c>
      <c r="AE104" s="26" t="e" cm="1">
        <f t="array" aca="1" ref="AE104" ca="1">EntericMethane_PastureBeef_Equations.VEERG_3_2_1_1__2_DailyEntericMethaneProduction(AE83)</f>
        <v>#N/A</v>
      </c>
      <c r="AF104" s="27"/>
    </row>
    <row r="105" spans="4:35" ht="20.100000000000001" customHeight="1" x14ac:dyDescent="0.25">
      <c r="D105" s="114" t="s">
        <v>287</v>
      </c>
      <c r="U105" s="26" t="e">
        <f>TEXT(EDATE('Input - Site'!$E$12,8), "mmmm yyyy")</f>
        <v>#VALUE!</v>
      </c>
      <c r="V105" s="26" t="e" cm="1">
        <f t="array" aca="1" ref="V105" ca="1">EntericMethane_PastureBeef_Equations.VEERG_3_2_1_1__2_DailyEntericMethaneProduction(V84)</f>
        <v>#N/A</v>
      </c>
      <c r="W105" s="26" t="e" cm="1">
        <f t="array" aca="1" ref="W105" ca="1">EntericMethane_PastureBeef_Equations.VEERG_3_2_1_1__2_DailyEntericMethaneProduction(W84)</f>
        <v>#N/A</v>
      </c>
      <c r="X105" s="26" t="e" cm="1">
        <f t="array" aca="1" ref="X105" ca="1">EntericMethane_PastureBeef_Equations.VEERG_3_2_1_1__2_DailyEntericMethaneProduction(X84)</f>
        <v>#N/A</v>
      </c>
      <c r="Y105" s="26" t="e" cm="1">
        <f t="array" aca="1" ref="Y105" ca="1">EntericMethane_PastureBeef_Equations.VEERG_3_2_1_1__2_DailyEntericMethaneProduction(Y84)</f>
        <v>#N/A</v>
      </c>
      <c r="Z105" s="26" t="e" cm="1">
        <f t="array" aca="1" ref="Z105" ca="1">EntericMethane_PastureBeef_Equations.VEERG_3_2_1_1__2_DailyEntericMethaneProduction(Z84)</f>
        <v>#N/A</v>
      </c>
      <c r="AA105" s="26" t="e" cm="1">
        <f t="array" aca="1" ref="AA105" ca="1">EntericMethane_PastureBeef_Equations.VEERG_3_2_1_1__2_DailyEntericMethaneProduction(AA84)</f>
        <v>#N/A</v>
      </c>
      <c r="AB105" s="26" t="e" cm="1">
        <f t="array" aca="1" ref="AB105" ca="1">EntericMethane_PastureBeef_Equations.VEERG_3_2_1_1__2_DailyEntericMethaneProduction(AB84)</f>
        <v>#N/A</v>
      </c>
      <c r="AC105" s="26" t="e" cm="1">
        <f t="array" aca="1" ref="AC105" ca="1">EntericMethane_PastureBeef_Equations.VEERG_3_2_1_1__2_DailyEntericMethaneProduction(AC84)</f>
        <v>#N/A</v>
      </c>
      <c r="AD105" s="26" t="e" cm="1">
        <f t="array" aca="1" ref="AD105" ca="1">EntericMethane_PastureBeef_Equations.VEERG_3_2_1_1__2_DailyEntericMethaneProduction(AD84)</f>
        <v>#N/A</v>
      </c>
      <c r="AE105" s="26" t="e" cm="1">
        <f t="array" aca="1" ref="AE105" ca="1">EntericMethane_PastureBeef_Equations.VEERG_3_2_1_1__2_DailyEntericMethaneProduction(AE84)</f>
        <v>#N/A</v>
      </c>
      <c r="AF105" s="27"/>
    </row>
    <row r="106" spans="4:35" ht="20.100000000000001" customHeight="1" x14ac:dyDescent="0.25">
      <c r="D106" s="115" t="s">
        <v>79</v>
      </c>
      <c r="E106" s="116" t="s">
        <v>189</v>
      </c>
      <c r="F106" s="116" t="s">
        <v>190</v>
      </c>
      <c r="G106" s="116" t="s">
        <v>191</v>
      </c>
      <c r="H106" s="116" t="s">
        <v>192</v>
      </c>
      <c r="I106" s="116" t="s">
        <v>193</v>
      </c>
      <c r="J106" s="116" t="s">
        <v>194</v>
      </c>
      <c r="K106" s="116" t="s">
        <v>195</v>
      </c>
      <c r="L106" s="116" t="s">
        <v>196</v>
      </c>
      <c r="M106" s="116" t="s">
        <v>197</v>
      </c>
      <c r="N106" s="116" t="s">
        <v>198</v>
      </c>
      <c r="U106" s="26" t="e">
        <f>TEXT(EDATE('Input - Site'!$E$12,9), "mmmm yyyy")</f>
        <v>#VALUE!</v>
      </c>
      <c r="V106" s="26" t="e" cm="1">
        <f t="array" aca="1" ref="V106" ca="1">EntericMethane_PastureBeef_Equations.VEERG_3_2_1_1__2_DailyEntericMethaneProduction(V85)</f>
        <v>#N/A</v>
      </c>
      <c r="W106" s="26" t="e" cm="1">
        <f t="array" aca="1" ref="W106" ca="1">EntericMethane_PastureBeef_Equations.VEERG_3_2_1_1__2_DailyEntericMethaneProduction(W85)</f>
        <v>#N/A</v>
      </c>
      <c r="X106" s="26" t="e" cm="1">
        <f t="array" aca="1" ref="X106" ca="1">EntericMethane_PastureBeef_Equations.VEERG_3_2_1_1__2_DailyEntericMethaneProduction(X85)</f>
        <v>#N/A</v>
      </c>
      <c r="Y106" s="26" t="e" cm="1">
        <f t="array" aca="1" ref="Y106" ca="1">EntericMethane_PastureBeef_Equations.VEERG_3_2_1_1__2_DailyEntericMethaneProduction(Y85)</f>
        <v>#N/A</v>
      </c>
      <c r="Z106" s="26" t="e" cm="1">
        <f t="array" aca="1" ref="Z106" ca="1">EntericMethane_PastureBeef_Equations.VEERG_3_2_1_1__2_DailyEntericMethaneProduction(Z85)</f>
        <v>#N/A</v>
      </c>
      <c r="AA106" s="26" t="e" cm="1">
        <f t="array" aca="1" ref="AA106" ca="1">EntericMethane_PastureBeef_Equations.VEERG_3_2_1_1__2_DailyEntericMethaneProduction(AA85)</f>
        <v>#N/A</v>
      </c>
      <c r="AB106" s="26" t="e" cm="1">
        <f t="array" aca="1" ref="AB106" ca="1">EntericMethane_PastureBeef_Equations.VEERG_3_2_1_1__2_DailyEntericMethaneProduction(AB85)</f>
        <v>#N/A</v>
      </c>
      <c r="AC106" s="26" t="e" cm="1">
        <f t="array" aca="1" ref="AC106" ca="1">EntericMethane_PastureBeef_Equations.VEERG_3_2_1_1__2_DailyEntericMethaneProduction(AC85)</f>
        <v>#N/A</v>
      </c>
      <c r="AD106" s="26" t="e" cm="1">
        <f t="array" aca="1" ref="AD106" ca="1">EntericMethane_PastureBeef_Equations.VEERG_3_2_1_1__2_DailyEntericMethaneProduction(AD85)</f>
        <v>#N/A</v>
      </c>
      <c r="AE106" s="26" t="e" cm="1">
        <f t="array" aca="1" ref="AE106" ca="1">EntericMethane_PastureBeef_Equations.VEERG_3_2_1_1__2_DailyEntericMethaneProduction(AE85)</f>
        <v>#N/A</v>
      </c>
      <c r="AF106" s="27"/>
    </row>
    <row r="107" spans="4:35" ht="20.100000000000001" customHeight="1" x14ac:dyDescent="0.25">
      <c r="D107" s="26" t="s">
        <v>199</v>
      </c>
      <c r="E107" s="26" cm="1">
        <f t="array" aca="1" ref="E107:N110" ca="1">OFFSET(X_Table_PastureBeef_Head_Method1,1,1,4,10)</f>
        <v>100</v>
      </c>
      <c r="F107" s="26">
        <f ca="1"/>
        <v>100</v>
      </c>
      <c r="G107" s="26">
        <f ca="1"/>
        <v>100</v>
      </c>
      <c r="H107" s="26">
        <f ca="1"/>
        <v>100</v>
      </c>
      <c r="I107" s="26">
        <f ca="1"/>
        <v>100</v>
      </c>
      <c r="J107" s="26">
        <f ca="1"/>
        <v>100</v>
      </c>
      <c r="K107" s="26">
        <f ca="1"/>
        <v>100</v>
      </c>
      <c r="L107" s="26">
        <f ca="1"/>
        <v>100</v>
      </c>
      <c r="M107" s="26">
        <f ca="1"/>
        <v>100</v>
      </c>
      <c r="N107" s="26">
        <f ca="1"/>
        <v>100</v>
      </c>
      <c r="O107" s="27" t="str">
        <f>G102</f>
        <v>head</v>
      </c>
      <c r="U107" s="26" t="e">
        <f>TEXT(EDATE('Input - Site'!$E$12,10), "mmmm yyyy")</f>
        <v>#VALUE!</v>
      </c>
      <c r="V107" s="26" t="e" cm="1">
        <f t="array" aca="1" ref="V107" ca="1">EntericMethane_PastureBeef_Equations.VEERG_3_2_1_1__2_DailyEntericMethaneProduction(V86)</f>
        <v>#N/A</v>
      </c>
      <c r="W107" s="26" t="e" cm="1">
        <f t="array" aca="1" ref="W107" ca="1">EntericMethane_PastureBeef_Equations.VEERG_3_2_1_1__2_DailyEntericMethaneProduction(W86)</f>
        <v>#N/A</v>
      </c>
      <c r="X107" s="26" t="e" cm="1">
        <f t="array" aca="1" ref="X107" ca="1">EntericMethane_PastureBeef_Equations.VEERG_3_2_1_1__2_DailyEntericMethaneProduction(X86)</f>
        <v>#N/A</v>
      </c>
      <c r="Y107" s="26" t="e" cm="1">
        <f t="array" aca="1" ref="Y107" ca="1">EntericMethane_PastureBeef_Equations.VEERG_3_2_1_1__2_DailyEntericMethaneProduction(Y86)</f>
        <v>#N/A</v>
      </c>
      <c r="Z107" s="26" t="e" cm="1">
        <f t="array" aca="1" ref="Z107" ca="1">EntericMethane_PastureBeef_Equations.VEERG_3_2_1_1__2_DailyEntericMethaneProduction(Z86)</f>
        <v>#N/A</v>
      </c>
      <c r="AA107" s="26" t="e" cm="1">
        <f t="array" aca="1" ref="AA107" ca="1">EntericMethane_PastureBeef_Equations.VEERG_3_2_1_1__2_DailyEntericMethaneProduction(AA86)</f>
        <v>#N/A</v>
      </c>
      <c r="AB107" s="26" t="e" cm="1">
        <f t="array" aca="1" ref="AB107" ca="1">EntericMethane_PastureBeef_Equations.VEERG_3_2_1_1__2_DailyEntericMethaneProduction(AB86)</f>
        <v>#N/A</v>
      </c>
      <c r="AC107" s="26" t="e" cm="1">
        <f t="array" aca="1" ref="AC107" ca="1">EntericMethane_PastureBeef_Equations.VEERG_3_2_1_1__2_DailyEntericMethaneProduction(AC86)</f>
        <v>#N/A</v>
      </c>
      <c r="AD107" s="26" t="e" cm="1">
        <f t="array" aca="1" ref="AD107" ca="1">EntericMethane_PastureBeef_Equations.VEERG_3_2_1_1__2_DailyEntericMethaneProduction(AD86)</f>
        <v>#N/A</v>
      </c>
      <c r="AE107" s="26" t="e" cm="1">
        <f t="array" aca="1" ref="AE107" ca="1">EntericMethane_PastureBeef_Equations.VEERG_3_2_1_1__2_DailyEntericMethaneProduction(AE86)</f>
        <v>#N/A</v>
      </c>
      <c r="AF107" s="27"/>
    </row>
    <row r="108" spans="4:35" ht="20.100000000000001" customHeight="1" x14ac:dyDescent="0.25">
      <c r="D108" s="26" t="s">
        <v>200</v>
      </c>
      <c r="E108" s="26">
        <f ca="1"/>
        <v>100</v>
      </c>
      <c r="F108" s="26">
        <f ca="1"/>
        <v>100</v>
      </c>
      <c r="G108" s="26">
        <f ca="1"/>
        <v>100</v>
      </c>
      <c r="H108" s="26">
        <f ca="1"/>
        <v>100</v>
      </c>
      <c r="I108" s="26">
        <f ca="1"/>
        <v>100</v>
      </c>
      <c r="J108" s="26">
        <f ca="1"/>
        <v>100</v>
      </c>
      <c r="K108" s="26">
        <f ca="1"/>
        <v>100</v>
      </c>
      <c r="L108" s="26">
        <f ca="1"/>
        <v>100</v>
      </c>
      <c r="M108" s="26">
        <f ca="1"/>
        <v>100</v>
      </c>
      <c r="N108" s="26">
        <f ca="1"/>
        <v>100</v>
      </c>
      <c r="O108" s="27"/>
      <c r="U108" s="26" t="e">
        <f>TEXT(EDATE('Input - Site'!$E$12,11), "mmmm yyyy")</f>
        <v>#VALUE!</v>
      </c>
      <c r="V108" s="26" t="e" cm="1">
        <f t="array" aca="1" ref="V108" ca="1">EntericMethane_PastureBeef_Equations.VEERG_3_2_1_1__2_DailyEntericMethaneProduction(V87)</f>
        <v>#N/A</v>
      </c>
      <c r="W108" s="26" t="e" cm="1">
        <f t="array" aca="1" ref="W108" ca="1">EntericMethane_PastureBeef_Equations.VEERG_3_2_1_1__2_DailyEntericMethaneProduction(W87)</f>
        <v>#N/A</v>
      </c>
      <c r="X108" s="26" t="e" cm="1">
        <f t="array" aca="1" ref="X108" ca="1">EntericMethane_PastureBeef_Equations.VEERG_3_2_1_1__2_DailyEntericMethaneProduction(X87)</f>
        <v>#N/A</v>
      </c>
      <c r="Y108" s="26" t="e" cm="1">
        <f t="array" aca="1" ref="Y108" ca="1">EntericMethane_PastureBeef_Equations.VEERG_3_2_1_1__2_DailyEntericMethaneProduction(Y87)</f>
        <v>#N/A</v>
      </c>
      <c r="Z108" s="26" t="e" cm="1">
        <f t="array" aca="1" ref="Z108" ca="1">EntericMethane_PastureBeef_Equations.VEERG_3_2_1_1__2_DailyEntericMethaneProduction(Z87)</f>
        <v>#N/A</v>
      </c>
      <c r="AA108" s="26" t="e" cm="1">
        <f t="array" aca="1" ref="AA108" ca="1">EntericMethane_PastureBeef_Equations.VEERG_3_2_1_1__2_DailyEntericMethaneProduction(AA87)</f>
        <v>#N/A</v>
      </c>
      <c r="AB108" s="26" t="e" cm="1">
        <f t="array" aca="1" ref="AB108" ca="1">EntericMethane_PastureBeef_Equations.VEERG_3_2_1_1__2_DailyEntericMethaneProduction(AB87)</f>
        <v>#N/A</v>
      </c>
      <c r="AC108" s="26" t="e" cm="1">
        <f t="array" aca="1" ref="AC108" ca="1">EntericMethane_PastureBeef_Equations.VEERG_3_2_1_1__2_DailyEntericMethaneProduction(AC87)</f>
        <v>#N/A</v>
      </c>
      <c r="AD108" s="26" t="e" cm="1">
        <f t="array" aca="1" ref="AD108" ca="1">EntericMethane_PastureBeef_Equations.VEERG_3_2_1_1__2_DailyEntericMethaneProduction(AD87)</f>
        <v>#N/A</v>
      </c>
      <c r="AE108" s="26" t="e" cm="1">
        <f t="array" aca="1" ref="AE108" ca="1">EntericMethane_PastureBeef_Equations.VEERG_3_2_1_1__2_DailyEntericMethaneProduction(AE87)</f>
        <v>#N/A</v>
      </c>
      <c r="AF108" s="27"/>
    </row>
    <row r="109" spans="4:35" ht="20.100000000000001" customHeight="1" x14ac:dyDescent="0.25">
      <c r="D109" s="26" t="s">
        <v>201</v>
      </c>
      <c r="E109" s="26">
        <f ca="1"/>
        <v>100</v>
      </c>
      <c r="F109" s="26">
        <f ca="1"/>
        <v>100</v>
      </c>
      <c r="G109" s="26">
        <f ca="1"/>
        <v>100</v>
      </c>
      <c r="H109" s="26">
        <f ca="1"/>
        <v>100</v>
      </c>
      <c r="I109" s="26">
        <f ca="1"/>
        <v>100</v>
      </c>
      <c r="J109" s="26">
        <f ca="1"/>
        <v>100</v>
      </c>
      <c r="K109" s="26">
        <f ca="1"/>
        <v>100</v>
      </c>
      <c r="L109" s="26">
        <f ca="1"/>
        <v>100</v>
      </c>
      <c r="M109" s="26">
        <f ca="1"/>
        <v>100</v>
      </c>
      <c r="N109" s="26">
        <f ca="1"/>
        <v>100</v>
      </c>
      <c r="O109" s="27"/>
    </row>
    <row r="110" spans="4:35" ht="20.100000000000001" customHeight="1" x14ac:dyDescent="0.25">
      <c r="D110" s="26" t="s">
        <v>202</v>
      </c>
      <c r="E110" s="26">
        <f ca="1"/>
        <v>100</v>
      </c>
      <c r="F110" s="26">
        <f ca="1"/>
        <v>100</v>
      </c>
      <c r="G110" s="26">
        <f ca="1"/>
        <v>100</v>
      </c>
      <c r="H110" s="26">
        <f ca="1"/>
        <v>100</v>
      </c>
      <c r="I110" s="26">
        <f ca="1"/>
        <v>100</v>
      </c>
      <c r="J110" s="26">
        <f ca="1"/>
        <v>100</v>
      </c>
      <c r="K110" s="26">
        <f ca="1"/>
        <v>100</v>
      </c>
      <c r="L110" s="26">
        <f ca="1"/>
        <v>100</v>
      </c>
      <c r="M110" s="26">
        <f ca="1"/>
        <v>100</v>
      </c>
      <c r="N110" s="26">
        <f ca="1"/>
        <v>100</v>
      </c>
      <c r="O110" s="27"/>
    </row>
    <row r="111" spans="4:35" ht="20.100000000000001" customHeight="1" x14ac:dyDescent="0.25">
      <c r="T111" s="117"/>
      <c r="U111" s="117"/>
      <c r="V111" s="117"/>
      <c r="W111" s="117"/>
      <c r="X111" s="117"/>
      <c r="Y111" s="117"/>
      <c r="Z111" s="117"/>
      <c r="AA111" s="117"/>
      <c r="AB111" s="117"/>
      <c r="AC111" s="117"/>
      <c r="AD111" s="117"/>
      <c r="AE111" s="117"/>
      <c r="AF111" s="117"/>
      <c r="AG111" s="117"/>
      <c r="AH111" s="117"/>
      <c r="AI111" s="117"/>
    </row>
    <row r="112" spans="4:35" ht="20.100000000000001" customHeight="1" x14ac:dyDescent="0.25">
      <c r="D112" s="113" t="s">
        <v>288</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4" t="s">
        <v>289</v>
      </c>
    </row>
    <row r="114" spans="4:34" ht="20.100000000000001" customHeight="1" x14ac:dyDescent="0.25">
      <c r="D114" s="115" t="s">
        <v>79</v>
      </c>
      <c r="E114" s="116" t="s">
        <v>189</v>
      </c>
      <c r="F114" s="116" t="s">
        <v>190</v>
      </c>
      <c r="G114" s="116" t="s">
        <v>191</v>
      </c>
      <c r="H114" s="116" t="s">
        <v>192</v>
      </c>
      <c r="I114" s="116" t="s">
        <v>193</v>
      </c>
      <c r="J114" s="116" t="s">
        <v>194</v>
      </c>
      <c r="K114" s="116" t="s">
        <v>195</v>
      </c>
      <c r="L114" s="116" t="s">
        <v>196</v>
      </c>
      <c r="M114" s="116" t="s">
        <v>197</v>
      </c>
      <c r="N114" s="116" t="s">
        <v>198</v>
      </c>
      <c r="U114" s="113" t="s">
        <v>290</v>
      </c>
    </row>
    <row r="115" spans="4:34" ht="20.100000000000001" customHeight="1" x14ac:dyDescent="0.25">
      <c r="D115" s="26" t="s">
        <v>199</v>
      </c>
      <c r="E115" s="26" cm="1">
        <f t="array" aca="1" ref="E115:N118" ca="1">OFFSET(X_Table_PastureBeef_Duration_Method1,1,1,4,10)</f>
        <v>91.25</v>
      </c>
      <c r="F115" s="26">
        <f ca="1"/>
        <v>91.25</v>
      </c>
      <c r="G115" s="26">
        <f ca="1"/>
        <v>91.25</v>
      </c>
      <c r="H115" s="26">
        <f ca="1"/>
        <v>91.25</v>
      </c>
      <c r="I115" s="26">
        <f ca="1"/>
        <v>91.25</v>
      </c>
      <c r="J115" s="26">
        <f ca="1"/>
        <v>91.25</v>
      </c>
      <c r="K115" s="26">
        <f ca="1"/>
        <v>91.25</v>
      </c>
      <c r="L115" s="26">
        <f ca="1"/>
        <v>91.25</v>
      </c>
      <c r="M115" s="26">
        <f ca="1"/>
        <v>91.25</v>
      </c>
      <c r="N115" s="26">
        <f ca="1"/>
        <v>91.25</v>
      </c>
      <c r="O115" s="27" t="str">
        <f>G100</f>
        <v>days</v>
      </c>
      <c r="U115" s="114" t="s">
        <v>291</v>
      </c>
      <c r="AH115" s="27"/>
    </row>
    <row r="116" spans="4:34" ht="20.100000000000001" customHeight="1" x14ac:dyDescent="0.25">
      <c r="D116" s="26" t="s">
        <v>200</v>
      </c>
      <c r="E116" s="26">
        <f ca="1"/>
        <v>91.25</v>
      </c>
      <c r="F116" s="26">
        <f ca="1"/>
        <v>91.25</v>
      </c>
      <c r="G116" s="26">
        <f ca="1"/>
        <v>91.25</v>
      </c>
      <c r="H116" s="26">
        <f ca="1"/>
        <v>91.25</v>
      </c>
      <c r="I116" s="26">
        <f ca="1"/>
        <v>91.25</v>
      </c>
      <c r="J116" s="26">
        <f ca="1"/>
        <v>91.25</v>
      </c>
      <c r="K116" s="26">
        <f ca="1"/>
        <v>91.25</v>
      </c>
      <c r="L116" s="26">
        <f ca="1"/>
        <v>91.25</v>
      </c>
      <c r="M116" s="26">
        <f ca="1"/>
        <v>91.25</v>
      </c>
      <c r="N116" s="26">
        <f ca="1"/>
        <v>91.25</v>
      </c>
      <c r="O116" s="27"/>
      <c r="U116" s="115" t="s">
        <v>78</v>
      </c>
      <c r="V116" s="116" t="s">
        <v>189</v>
      </c>
      <c r="W116" s="116" t="s">
        <v>190</v>
      </c>
      <c r="X116" s="116" t="s">
        <v>191</v>
      </c>
      <c r="Y116" s="116" t="s">
        <v>192</v>
      </c>
      <c r="Z116" s="116" t="s">
        <v>193</v>
      </c>
      <c r="AA116" s="116" t="s">
        <v>194</v>
      </c>
      <c r="AB116" s="116" t="s">
        <v>195</v>
      </c>
      <c r="AC116" s="116" t="s">
        <v>196</v>
      </c>
      <c r="AD116" s="116" t="s">
        <v>197</v>
      </c>
      <c r="AE116" s="116" t="s">
        <v>198</v>
      </c>
      <c r="AF116" s="27"/>
      <c r="AH116" s="27"/>
    </row>
    <row r="117" spans="4:34" ht="20.100000000000001" customHeight="1" x14ac:dyDescent="0.25">
      <c r="D117" s="26" t="s">
        <v>201</v>
      </c>
      <c r="E117" s="26">
        <f ca="1"/>
        <v>91.25</v>
      </c>
      <c r="F117" s="26">
        <f ca="1"/>
        <v>91.25</v>
      </c>
      <c r="G117" s="26">
        <f ca="1"/>
        <v>91.25</v>
      </c>
      <c r="H117" s="26">
        <f ca="1"/>
        <v>91.25</v>
      </c>
      <c r="I117" s="26">
        <f ca="1"/>
        <v>91.25</v>
      </c>
      <c r="J117" s="26">
        <f ca="1"/>
        <v>91.25</v>
      </c>
      <c r="K117" s="26">
        <f ca="1"/>
        <v>91.25</v>
      </c>
      <c r="L117" s="26">
        <f ca="1"/>
        <v>91.25</v>
      </c>
      <c r="M117" s="26">
        <f ca="1"/>
        <v>91.25</v>
      </c>
      <c r="N117" s="26">
        <f ca="1"/>
        <v>91.25</v>
      </c>
      <c r="O117" s="27"/>
      <c r="U117" s="26" t="str">
        <f>TEXT('Input - Site'!$E$12, "mmmm yyyy")</f>
        <v>NO - Not in leaching zone</v>
      </c>
      <c r="V117" s="26" cm="1">
        <f t="array" aca="1" ref="V117:AE128" ca="1">OFFSET(X_Table_PastureBeef_Head_Method2,1,1,12,10)</f>
        <v>100</v>
      </c>
      <c r="W117" s="26">
        <f ca="1"/>
        <v>100</v>
      </c>
      <c r="X117" s="26">
        <f ca="1"/>
        <v>100</v>
      </c>
      <c r="Y117" s="26">
        <f ca="1"/>
        <v>100</v>
      </c>
      <c r="Z117" s="26">
        <f ca="1"/>
        <v>100</v>
      </c>
      <c r="AA117" s="26">
        <f ca="1"/>
        <v>100</v>
      </c>
      <c r="AB117" s="26">
        <f ca="1"/>
        <v>100</v>
      </c>
      <c r="AC117" s="26">
        <f ca="1"/>
        <v>100</v>
      </c>
      <c r="AD117" s="26">
        <f ca="1"/>
        <v>100</v>
      </c>
      <c r="AE117" s="26">
        <f ca="1"/>
        <v>100</v>
      </c>
      <c r="AF117" s="27" t="str">
        <f>$G$102</f>
        <v>head</v>
      </c>
      <c r="AH117" s="27"/>
    </row>
    <row r="118" spans="4:34" ht="20.100000000000001" customHeight="1" x14ac:dyDescent="0.25">
      <c r="D118" s="26" t="s">
        <v>202</v>
      </c>
      <c r="E118" s="26">
        <f ca="1"/>
        <v>91.25</v>
      </c>
      <c r="F118" s="26">
        <f ca="1"/>
        <v>91.25</v>
      </c>
      <c r="G118" s="26">
        <f ca="1"/>
        <v>91.25</v>
      </c>
      <c r="H118" s="26">
        <f ca="1"/>
        <v>91.25</v>
      </c>
      <c r="I118" s="26">
        <f ca="1"/>
        <v>91.25</v>
      </c>
      <c r="J118" s="26">
        <f ca="1"/>
        <v>91.25</v>
      </c>
      <c r="K118" s="26">
        <f ca="1"/>
        <v>91.25</v>
      </c>
      <c r="L118" s="26">
        <f ca="1"/>
        <v>91.25</v>
      </c>
      <c r="M118" s="26">
        <f ca="1"/>
        <v>91.25</v>
      </c>
      <c r="N118" s="26">
        <f ca="1"/>
        <v>91.25</v>
      </c>
      <c r="O118" s="27"/>
      <c r="U118" s="26" t="e">
        <f>TEXT(EDATE('Input - Site'!$E$12,1), "mmmm yyyy")</f>
        <v>#VALUE!</v>
      </c>
      <c r="V118" s="26">
        <f ca="1"/>
        <v>100</v>
      </c>
      <c r="W118" s="26">
        <f ca="1"/>
        <v>100</v>
      </c>
      <c r="X118" s="26">
        <f ca="1"/>
        <v>100</v>
      </c>
      <c r="Y118" s="26">
        <f ca="1"/>
        <v>100</v>
      </c>
      <c r="Z118" s="26">
        <f ca="1"/>
        <v>100</v>
      </c>
      <c r="AA118" s="26">
        <f ca="1"/>
        <v>100</v>
      </c>
      <c r="AB118" s="26">
        <f ca="1"/>
        <v>100</v>
      </c>
      <c r="AC118" s="26">
        <f ca="1"/>
        <v>100</v>
      </c>
      <c r="AD118" s="26">
        <f ca="1"/>
        <v>100</v>
      </c>
      <c r="AE118" s="26">
        <f ca="1"/>
        <v>100</v>
      </c>
      <c r="AF118" s="27"/>
      <c r="AH118" s="27"/>
    </row>
    <row r="119" spans="4:34" ht="20.100000000000001" customHeight="1" x14ac:dyDescent="0.25">
      <c r="U119" s="26" t="e">
        <f>TEXT(EDATE('Input - Site'!$E$12,2), "mmmm yyyy")</f>
        <v>#VALUE!</v>
      </c>
      <c r="V119" s="26">
        <f ca="1"/>
        <v>100</v>
      </c>
      <c r="W119" s="26">
        <f ca="1"/>
        <v>100</v>
      </c>
      <c r="X119" s="26">
        <f ca="1"/>
        <v>100</v>
      </c>
      <c r="Y119" s="26">
        <f ca="1"/>
        <v>100</v>
      </c>
      <c r="Z119" s="26">
        <f ca="1"/>
        <v>100</v>
      </c>
      <c r="AA119" s="26">
        <f ca="1"/>
        <v>100</v>
      </c>
      <c r="AB119" s="26">
        <f ca="1"/>
        <v>100</v>
      </c>
      <c r="AC119" s="26">
        <f ca="1"/>
        <v>100</v>
      </c>
      <c r="AD119" s="26">
        <f ca="1"/>
        <v>100</v>
      </c>
      <c r="AE119" s="26">
        <f ca="1"/>
        <v>100</v>
      </c>
      <c r="AF119" s="27"/>
      <c r="AH119" s="27"/>
    </row>
    <row r="120" spans="4:34" ht="20.100000000000001" customHeight="1" x14ac:dyDescent="0.25">
      <c r="D120" s="113" t="s">
        <v>292</v>
      </c>
      <c r="U120" s="26" t="e">
        <f>TEXT(EDATE('Input - Site'!$E$12,3), "mmmm yyyy")</f>
        <v>#VALUE!</v>
      </c>
      <c r="V120" s="26">
        <f ca="1"/>
        <v>100</v>
      </c>
      <c r="W120" s="26">
        <f ca="1"/>
        <v>100</v>
      </c>
      <c r="X120" s="26">
        <f ca="1"/>
        <v>100</v>
      </c>
      <c r="Y120" s="26">
        <f ca="1"/>
        <v>100</v>
      </c>
      <c r="Z120" s="26">
        <f ca="1"/>
        <v>100</v>
      </c>
      <c r="AA120" s="26">
        <f ca="1"/>
        <v>100</v>
      </c>
      <c r="AB120" s="26">
        <f ca="1"/>
        <v>100</v>
      </c>
      <c r="AC120" s="26">
        <f ca="1"/>
        <v>100</v>
      </c>
      <c r="AD120" s="26">
        <f ca="1"/>
        <v>100</v>
      </c>
      <c r="AE120" s="26">
        <f ca="1"/>
        <v>100</v>
      </c>
      <c r="AF120" s="27"/>
      <c r="AH120" s="27"/>
    </row>
    <row r="121" spans="4:34" ht="20.100000000000001" customHeight="1" x14ac:dyDescent="0.25">
      <c r="D121" s="114" t="s">
        <v>293</v>
      </c>
      <c r="U121" s="26" t="e">
        <f>TEXT(EDATE('Input - Site'!$E$12,4), "mmmm yyyy")</f>
        <v>#VALUE!</v>
      </c>
      <c r="V121" s="26">
        <f ca="1"/>
        <v>100</v>
      </c>
      <c r="W121" s="26">
        <f ca="1"/>
        <v>100</v>
      </c>
      <c r="X121" s="26">
        <f ca="1"/>
        <v>100</v>
      </c>
      <c r="Y121" s="26">
        <f ca="1"/>
        <v>100</v>
      </c>
      <c r="Z121" s="26">
        <f ca="1"/>
        <v>100</v>
      </c>
      <c r="AA121" s="26">
        <f ca="1"/>
        <v>100</v>
      </c>
      <c r="AB121" s="26">
        <f ca="1"/>
        <v>100</v>
      </c>
      <c r="AC121" s="26">
        <f ca="1"/>
        <v>100</v>
      </c>
      <c r="AD121" s="26">
        <f ca="1"/>
        <v>100</v>
      </c>
      <c r="AE121" s="26">
        <f ca="1"/>
        <v>100</v>
      </c>
      <c r="AF121" s="27"/>
      <c r="AH121" s="27"/>
    </row>
    <row r="122" spans="4:34" ht="20.100000000000001" customHeight="1" x14ac:dyDescent="0.25">
      <c r="D122" s="115" t="s">
        <v>79</v>
      </c>
      <c r="E122" s="115" t="s">
        <v>189</v>
      </c>
      <c r="F122" s="115" t="s">
        <v>190</v>
      </c>
      <c r="G122" s="115" t="s">
        <v>191</v>
      </c>
      <c r="H122" s="115" t="s">
        <v>192</v>
      </c>
      <c r="I122" s="115" t="s">
        <v>193</v>
      </c>
      <c r="J122" s="115" t="s">
        <v>194</v>
      </c>
      <c r="K122" s="115" t="s">
        <v>195</v>
      </c>
      <c r="L122" s="115" t="s">
        <v>196</v>
      </c>
      <c r="M122" s="115" t="s">
        <v>197</v>
      </c>
      <c r="N122" s="115" t="s">
        <v>198</v>
      </c>
      <c r="U122" s="26" t="e">
        <f>TEXT(EDATE('Input - Site'!$E$12,5), "mmmm yyyy")</f>
        <v>#VALUE!</v>
      </c>
      <c r="V122" s="26">
        <f ca="1"/>
        <v>100</v>
      </c>
      <c r="W122" s="26">
        <f ca="1"/>
        <v>100</v>
      </c>
      <c r="X122" s="26">
        <f ca="1"/>
        <v>100</v>
      </c>
      <c r="Y122" s="26">
        <f ca="1"/>
        <v>100</v>
      </c>
      <c r="Z122" s="26">
        <f ca="1"/>
        <v>100</v>
      </c>
      <c r="AA122" s="26">
        <f ca="1"/>
        <v>100</v>
      </c>
      <c r="AB122" s="26">
        <f ca="1"/>
        <v>100</v>
      </c>
      <c r="AC122" s="26">
        <f ca="1"/>
        <v>100</v>
      </c>
      <c r="AD122" s="26">
        <f ca="1"/>
        <v>100</v>
      </c>
      <c r="AE122" s="26">
        <f ca="1"/>
        <v>100</v>
      </c>
      <c r="AF122" s="27"/>
      <c r="AH122" s="27"/>
    </row>
    <row r="123" spans="4:34" ht="20.100000000000001" customHeight="1" x14ac:dyDescent="0.25">
      <c r="D123" s="26" t="s">
        <v>199</v>
      </c>
      <c r="E123" s="26" t="e" cm="1">
        <f t="array" aca="1" ref="E123" ca="1">EntericMethane_PastureBeef_Equations.VEERG_3_2_1_1__1_TotalAnnualMethaneFromEntericFermentation(E115,E85,E107)</f>
        <v>#N/A</v>
      </c>
      <c r="F123" s="26" t="e" cm="1">
        <f t="array" aca="1" ref="F123" ca="1">EntericMethane_PastureBeef_Equations.VEERG_3_2_1_1__1_TotalAnnualMethaneFromEntericFermentation(F115,F85,F107)</f>
        <v>#N/A</v>
      </c>
      <c r="G123" s="26" t="e" cm="1">
        <f t="array" aca="1" ref="G123" ca="1">EntericMethane_PastureBeef_Equations.VEERG_3_2_1_1__1_TotalAnnualMethaneFromEntericFermentation(G115,G85,G107)</f>
        <v>#N/A</v>
      </c>
      <c r="H123" s="26" t="e" cm="1">
        <f t="array" aca="1" ref="H123" ca="1">EntericMethane_PastureBeef_Equations.VEERG_3_2_1_1__1_TotalAnnualMethaneFromEntericFermentation(H115,H85,H107)</f>
        <v>#N/A</v>
      </c>
      <c r="I123" s="26" t="e" cm="1">
        <f t="array" aca="1" ref="I123" ca="1">EntericMethane_PastureBeef_Equations.VEERG_3_2_1_1__1_TotalAnnualMethaneFromEntericFermentation(I115,I85,I107)</f>
        <v>#N/A</v>
      </c>
      <c r="J123" s="26" t="e" cm="1">
        <f t="array" aca="1" ref="J123" ca="1">EntericMethane_PastureBeef_Equations.VEERG_3_2_1_1__1_TotalAnnualMethaneFromEntericFermentation(J115,J85,J107)</f>
        <v>#N/A</v>
      </c>
      <c r="K123" s="26" t="e" cm="1">
        <f t="array" aca="1" ref="K123" ca="1">EntericMethane_PastureBeef_Equations.VEERG_3_2_1_1__1_TotalAnnualMethaneFromEntericFermentation(K115,K85,K107)</f>
        <v>#N/A</v>
      </c>
      <c r="L123" s="26" t="e" cm="1">
        <f t="array" aca="1" ref="L123" ca="1">EntericMethane_PastureBeef_Equations.VEERG_3_2_1_1__1_TotalAnnualMethaneFromEntericFermentation(L115,L85,L107)</f>
        <v>#N/A</v>
      </c>
      <c r="M123" s="26" t="e" cm="1">
        <f t="array" aca="1" ref="M123" ca="1">EntericMethane_PastureBeef_Equations.VEERG_3_2_1_1__1_TotalAnnualMethaneFromEntericFermentation(M115,M85,M107)</f>
        <v>#N/A</v>
      </c>
      <c r="N123" s="26" t="e" cm="1">
        <f t="array" aca="1" ref="N123" ca="1">EntericMethane_PastureBeef_Equations.VEERG_3_2_1_1__1_TotalAnnualMethaneFromEntericFermentation(N115,N85,N107)</f>
        <v>#N/A</v>
      </c>
      <c r="O123" s="27" t="str">
        <f>E98</f>
        <v>t CH4</v>
      </c>
      <c r="Q123" s="27"/>
      <c r="U123" s="26" t="e">
        <f>TEXT(EDATE('Input - Site'!$E$12,6), "mmmm yyyy")</f>
        <v>#VALUE!</v>
      </c>
      <c r="V123" s="26">
        <f ca="1"/>
        <v>100</v>
      </c>
      <c r="W123" s="26">
        <f ca="1"/>
        <v>100</v>
      </c>
      <c r="X123" s="26">
        <f ca="1"/>
        <v>100</v>
      </c>
      <c r="Y123" s="26">
        <f ca="1"/>
        <v>100</v>
      </c>
      <c r="Z123" s="26">
        <f ca="1"/>
        <v>100</v>
      </c>
      <c r="AA123" s="26">
        <f ca="1"/>
        <v>100</v>
      </c>
      <c r="AB123" s="26">
        <f ca="1"/>
        <v>100</v>
      </c>
      <c r="AC123" s="26">
        <f ca="1"/>
        <v>100</v>
      </c>
      <c r="AD123" s="26">
        <f ca="1"/>
        <v>100</v>
      </c>
      <c r="AE123" s="26">
        <f ca="1"/>
        <v>100</v>
      </c>
      <c r="AF123" s="27"/>
      <c r="AH123" s="27"/>
    </row>
    <row r="124" spans="4:34" ht="20.100000000000001" customHeight="1" x14ac:dyDescent="0.25">
      <c r="D124" s="26" t="s">
        <v>200</v>
      </c>
      <c r="E124" s="26" t="e" cm="1">
        <f t="array" aca="1" ref="E124" ca="1">EntericMethane_PastureBeef_Equations.VEERG_3_2_1_1__1_TotalAnnualMethaneFromEntericFermentation(E116,E86,E108)</f>
        <v>#N/A</v>
      </c>
      <c r="F124" s="26" t="e" cm="1">
        <f t="array" aca="1" ref="F124" ca="1">EntericMethane_PastureBeef_Equations.VEERG_3_2_1_1__1_TotalAnnualMethaneFromEntericFermentation(F116,F86,F108)</f>
        <v>#N/A</v>
      </c>
      <c r="G124" s="26" t="e" cm="1">
        <f t="array" aca="1" ref="G124" ca="1">EntericMethane_PastureBeef_Equations.VEERG_3_2_1_1__1_TotalAnnualMethaneFromEntericFermentation(G116,G86,G108)</f>
        <v>#N/A</v>
      </c>
      <c r="H124" s="26" t="e" cm="1">
        <f t="array" aca="1" ref="H124" ca="1">EntericMethane_PastureBeef_Equations.VEERG_3_2_1_1__1_TotalAnnualMethaneFromEntericFermentation(H116,H86,H108)</f>
        <v>#N/A</v>
      </c>
      <c r="I124" s="26" t="e" cm="1">
        <f t="array" aca="1" ref="I124" ca="1">EntericMethane_PastureBeef_Equations.VEERG_3_2_1_1__1_TotalAnnualMethaneFromEntericFermentation(I116,I86,I108)</f>
        <v>#N/A</v>
      </c>
      <c r="J124" s="26" t="e" cm="1">
        <f t="array" aca="1" ref="J124" ca="1">EntericMethane_PastureBeef_Equations.VEERG_3_2_1_1__1_TotalAnnualMethaneFromEntericFermentation(J116,J86,J108)</f>
        <v>#N/A</v>
      </c>
      <c r="K124" s="26" t="e" cm="1">
        <f t="array" aca="1" ref="K124" ca="1">EntericMethane_PastureBeef_Equations.VEERG_3_2_1_1__1_TotalAnnualMethaneFromEntericFermentation(K116,K86,K108)</f>
        <v>#N/A</v>
      </c>
      <c r="L124" s="26" t="e" cm="1">
        <f t="array" aca="1" ref="L124" ca="1">EntericMethane_PastureBeef_Equations.VEERG_3_2_1_1__1_TotalAnnualMethaneFromEntericFermentation(L116,L86,L108)</f>
        <v>#N/A</v>
      </c>
      <c r="M124" s="26" t="e" cm="1">
        <f t="array" aca="1" ref="M124" ca="1">EntericMethane_PastureBeef_Equations.VEERG_3_2_1_1__1_TotalAnnualMethaneFromEntericFermentation(M116,M86,M108)</f>
        <v>#N/A</v>
      </c>
      <c r="N124" s="26" t="e" cm="1">
        <f t="array" aca="1" ref="N124" ca="1">EntericMethane_PastureBeef_Equations.VEERG_3_2_1_1__1_TotalAnnualMethaneFromEntericFermentation(N116,N86,N108)</f>
        <v>#N/A</v>
      </c>
      <c r="O124" s="27"/>
      <c r="Q124" s="27"/>
      <c r="U124" s="26" t="e">
        <f>TEXT(EDATE('Input - Site'!$E$12,7), "mmmm yyyy")</f>
        <v>#VALUE!</v>
      </c>
      <c r="V124" s="26">
        <f ca="1"/>
        <v>100</v>
      </c>
      <c r="W124" s="26">
        <f ca="1"/>
        <v>100</v>
      </c>
      <c r="X124" s="26">
        <f ca="1"/>
        <v>100</v>
      </c>
      <c r="Y124" s="26">
        <f ca="1"/>
        <v>100</v>
      </c>
      <c r="Z124" s="26">
        <f ca="1"/>
        <v>100</v>
      </c>
      <c r="AA124" s="26">
        <f ca="1"/>
        <v>100</v>
      </c>
      <c r="AB124" s="26">
        <f ca="1"/>
        <v>100</v>
      </c>
      <c r="AC124" s="26">
        <f ca="1"/>
        <v>100</v>
      </c>
      <c r="AD124" s="26">
        <f ca="1"/>
        <v>100</v>
      </c>
      <c r="AE124" s="26">
        <f ca="1"/>
        <v>100</v>
      </c>
      <c r="AF124" s="27"/>
      <c r="AH124" s="27"/>
    </row>
    <row r="125" spans="4:34" ht="20.100000000000001" customHeight="1" x14ac:dyDescent="0.25">
      <c r="D125" s="26" t="s">
        <v>201</v>
      </c>
      <c r="E125" s="26" t="e" cm="1">
        <f t="array" aca="1" ref="E125" ca="1">EntericMethane_PastureBeef_Equations.VEERG_3_2_1_1__1_TotalAnnualMethaneFromEntericFermentation(E117,E87,E109)</f>
        <v>#N/A</v>
      </c>
      <c r="F125" s="26" t="e" cm="1">
        <f t="array" aca="1" ref="F125" ca="1">EntericMethane_PastureBeef_Equations.VEERG_3_2_1_1__1_TotalAnnualMethaneFromEntericFermentation(F117,F87,F109)</f>
        <v>#N/A</v>
      </c>
      <c r="G125" s="26" t="e" cm="1">
        <f t="array" aca="1" ref="G125" ca="1">EntericMethane_PastureBeef_Equations.VEERG_3_2_1_1__1_TotalAnnualMethaneFromEntericFermentation(G117,G87,G109)</f>
        <v>#N/A</v>
      </c>
      <c r="H125" s="26" t="e" cm="1">
        <f t="array" aca="1" ref="H125" ca="1">EntericMethane_PastureBeef_Equations.VEERG_3_2_1_1__1_TotalAnnualMethaneFromEntericFermentation(H117,H87,H109)</f>
        <v>#N/A</v>
      </c>
      <c r="I125" s="26" t="e" cm="1">
        <f t="array" aca="1" ref="I125" ca="1">EntericMethane_PastureBeef_Equations.VEERG_3_2_1_1__1_TotalAnnualMethaneFromEntericFermentation(I117,I87,I109)</f>
        <v>#N/A</v>
      </c>
      <c r="J125" s="26" t="e" cm="1">
        <f t="array" aca="1" ref="J125" ca="1">EntericMethane_PastureBeef_Equations.VEERG_3_2_1_1__1_TotalAnnualMethaneFromEntericFermentation(J117,J87,J109)</f>
        <v>#N/A</v>
      </c>
      <c r="K125" s="26" t="e" cm="1">
        <f t="array" aca="1" ref="K125" ca="1">EntericMethane_PastureBeef_Equations.VEERG_3_2_1_1__1_TotalAnnualMethaneFromEntericFermentation(K117,K87,K109)</f>
        <v>#N/A</v>
      </c>
      <c r="L125" s="26" t="e" cm="1">
        <f t="array" aca="1" ref="L125" ca="1">EntericMethane_PastureBeef_Equations.VEERG_3_2_1_1__1_TotalAnnualMethaneFromEntericFermentation(L117,L87,L109)</f>
        <v>#N/A</v>
      </c>
      <c r="M125" s="26" t="e" cm="1">
        <f t="array" aca="1" ref="M125" ca="1">EntericMethane_PastureBeef_Equations.VEERG_3_2_1_1__1_TotalAnnualMethaneFromEntericFermentation(M117,M87,M109)</f>
        <v>#N/A</v>
      </c>
      <c r="N125" s="26" t="e" cm="1">
        <f t="array" aca="1" ref="N125" ca="1">EntericMethane_PastureBeef_Equations.VEERG_3_2_1_1__1_TotalAnnualMethaneFromEntericFermentation(N117,N87,N109)</f>
        <v>#N/A</v>
      </c>
      <c r="O125" s="27"/>
      <c r="Q125" s="27"/>
      <c r="U125" s="26" t="e">
        <f>TEXT(EDATE('Input - Site'!$E$12,8), "mmmm yyyy")</f>
        <v>#VALUE!</v>
      </c>
      <c r="V125" s="26">
        <f ca="1"/>
        <v>100</v>
      </c>
      <c r="W125" s="26">
        <f ca="1"/>
        <v>100</v>
      </c>
      <c r="X125" s="26">
        <f ca="1"/>
        <v>100</v>
      </c>
      <c r="Y125" s="26">
        <f ca="1"/>
        <v>100</v>
      </c>
      <c r="Z125" s="26">
        <f ca="1"/>
        <v>100</v>
      </c>
      <c r="AA125" s="26">
        <f ca="1"/>
        <v>100</v>
      </c>
      <c r="AB125" s="26">
        <f ca="1"/>
        <v>100</v>
      </c>
      <c r="AC125" s="26">
        <f ca="1"/>
        <v>100</v>
      </c>
      <c r="AD125" s="26">
        <f ca="1"/>
        <v>100</v>
      </c>
      <c r="AE125" s="26">
        <f ca="1"/>
        <v>100</v>
      </c>
      <c r="AF125" s="27"/>
      <c r="AH125" s="27"/>
    </row>
    <row r="126" spans="4:34" ht="20.100000000000001" customHeight="1" x14ac:dyDescent="0.25">
      <c r="D126" s="26" t="s">
        <v>202</v>
      </c>
      <c r="E126" s="26" t="e" cm="1">
        <f t="array" aca="1" ref="E126" ca="1">EntericMethane_PastureBeef_Equations.VEERG_3_2_1_1__1_TotalAnnualMethaneFromEntericFermentation(E118,E88,E110)</f>
        <v>#N/A</v>
      </c>
      <c r="F126" s="26" t="e" cm="1">
        <f t="array" aca="1" ref="F126" ca="1">EntericMethane_PastureBeef_Equations.VEERG_3_2_1_1__1_TotalAnnualMethaneFromEntericFermentation(F118,F88,F110)</f>
        <v>#N/A</v>
      </c>
      <c r="G126" s="26" t="e" cm="1">
        <f t="array" aca="1" ref="G126" ca="1">EntericMethane_PastureBeef_Equations.VEERG_3_2_1_1__1_TotalAnnualMethaneFromEntericFermentation(G118,G88,G110)</f>
        <v>#N/A</v>
      </c>
      <c r="H126" s="26" t="e" cm="1">
        <f t="array" aca="1" ref="H126" ca="1">EntericMethane_PastureBeef_Equations.VEERG_3_2_1_1__1_TotalAnnualMethaneFromEntericFermentation(H118,H88,H110)</f>
        <v>#N/A</v>
      </c>
      <c r="I126" s="26" t="e" cm="1">
        <f t="array" aca="1" ref="I126" ca="1">EntericMethane_PastureBeef_Equations.VEERG_3_2_1_1__1_TotalAnnualMethaneFromEntericFermentation(I118,I88,I110)</f>
        <v>#N/A</v>
      </c>
      <c r="J126" s="26" t="e" cm="1">
        <f t="array" aca="1" ref="J126" ca="1">EntericMethane_PastureBeef_Equations.VEERG_3_2_1_1__1_TotalAnnualMethaneFromEntericFermentation(J118,J88,J110)</f>
        <v>#N/A</v>
      </c>
      <c r="K126" s="26" t="e" cm="1">
        <f t="array" aca="1" ref="K126" ca="1">EntericMethane_PastureBeef_Equations.VEERG_3_2_1_1__1_TotalAnnualMethaneFromEntericFermentation(K118,K88,K110)</f>
        <v>#N/A</v>
      </c>
      <c r="L126" s="26" t="e" cm="1">
        <f t="array" aca="1" ref="L126" ca="1">EntericMethane_PastureBeef_Equations.VEERG_3_2_1_1__1_TotalAnnualMethaneFromEntericFermentation(L118,L88,L110)</f>
        <v>#N/A</v>
      </c>
      <c r="M126" s="26" t="e" cm="1">
        <f t="array" aca="1" ref="M126" ca="1">EntericMethane_PastureBeef_Equations.VEERG_3_2_1_1__1_TotalAnnualMethaneFromEntericFermentation(M118,M88,M110)</f>
        <v>#N/A</v>
      </c>
      <c r="N126" s="26" t="e" cm="1">
        <f t="array" aca="1" ref="N126" ca="1">EntericMethane_PastureBeef_Equations.VEERG_3_2_1_1__1_TotalAnnualMethaneFromEntericFermentation(N118,N88,N110)</f>
        <v>#N/A</v>
      </c>
      <c r="O126" s="27"/>
      <c r="Q126" s="27"/>
      <c r="U126" s="26" t="e">
        <f>TEXT(EDATE('Input - Site'!$E$12,9), "mmmm yyyy")</f>
        <v>#VALUE!</v>
      </c>
      <c r="V126" s="26">
        <f ca="1"/>
        <v>100</v>
      </c>
      <c r="W126" s="26">
        <f ca="1"/>
        <v>100</v>
      </c>
      <c r="X126" s="26">
        <f ca="1"/>
        <v>100</v>
      </c>
      <c r="Y126" s="26">
        <f ca="1"/>
        <v>100</v>
      </c>
      <c r="Z126" s="26">
        <f ca="1"/>
        <v>100</v>
      </c>
      <c r="AA126" s="26">
        <f ca="1"/>
        <v>100</v>
      </c>
      <c r="AB126" s="26">
        <f ca="1"/>
        <v>100</v>
      </c>
      <c r="AC126" s="26">
        <f ca="1"/>
        <v>100</v>
      </c>
      <c r="AD126" s="26">
        <f ca="1"/>
        <v>100</v>
      </c>
      <c r="AE126" s="26">
        <f ca="1"/>
        <v>100</v>
      </c>
      <c r="AF126" s="27"/>
      <c r="AH126" s="27"/>
    </row>
    <row r="127" spans="4:34" ht="20.100000000000001" customHeight="1" x14ac:dyDescent="0.25">
      <c r="Q127" s="27"/>
      <c r="U127" s="26" t="e">
        <f>TEXT(EDATE('Input - Site'!$E$12,10), "mmmm yyyy")</f>
        <v>#VALUE!</v>
      </c>
      <c r="V127" s="26">
        <f ca="1"/>
        <v>100</v>
      </c>
      <c r="W127" s="26">
        <f ca="1"/>
        <v>100</v>
      </c>
      <c r="X127" s="26">
        <f ca="1"/>
        <v>100</v>
      </c>
      <c r="Y127" s="26">
        <f ca="1"/>
        <v>100</v>
      </c>
      <c r="Z127" s="26">
        <f ca="1"/>
        <v>100</v>
      </c>
      <c r="AA127" s="26">
        <f ca="1"/>
        <v>100</v>
      </c>
      <c r="AB127" s="26">
        <f ca="1"/>
        <v>100</v>
      </c>
      <c r="AC127" s="26">
        <f ca="1"/>
        <v>100</v>
      </c>
      <c r="AD127" s="26">
        <f ca="1"/>
        <v>100</v>
      </c>
      <c r="AE127" s="26">
        <f ca="1"/>
        <v>100</v>
      </c>
      <c r="AF127" s="27"/>
    </row>
    <row r="128" spans="4:34" ht="20.100000000000001" customHeight="1" x14ac:dyDescent="0.25">
      <c r="D128" s="118" t="s">
        <v>294</v>
      </c>
      <c r="E128" s="119" t="e">
        <f ca="1">SUM(E123:N126)</f>
        <v>#N/A</v>
      </c>
      <c r="F128" s="120" t="str">
        <f>$E$98</f>
        <v>t CH4</v>
      </c>
      <c r="Q128" s="27"/>
      <c r="U128" s="26" t="e">
        <f>TEXT(EDATE('Input - Site'!$E$12,11), "mmmm yyyy")</f>
        <v>#VALUE!</v>
      </c>
      <c r="V128" s="26">
        <f ca="1"/>
        <v>100</v>
      </c>
      <c r="W128" s="26">
        <f ca="1"/>
        <v>100</v>
      </c>
      <c r="X128" s="26">
        <f ca="1"/>
        <v>100</v>
      </c>
      <c r="Y128" s="26">
        <f ca="1"/>
        <v>100</v>
      </c>
      <c r="Z128" s="26">
        <f ca="1"/>
        <v>100</v>
      </c>
      <c r="AA128" s="26">
        <f ca="1"/>
        <v>100</v>
      </c>
      <c r="AB128" s="26">
        <f ca="1"/>
        <v>100</v>
      </c>
      <c r="AC128" s="26">
        <f ca="1"/>
        <v>100</v>
      </c>
      <c r="AD128" s="26">
        <f ca="1"/>
        <v>100</v>
      </c>
      <c r="AE128" s="26">
        <f ca="1"/>
        <v>100</v>
      </c>
      <c r="AF128" s="27"/>
    </row>
    <row r="129" spans="4:34" ht="20.100000000000001" customHeight="1" x14ac:dyDescent="0.25">
      <c r="Q129" s="27"/>
    </row>
    <row r="130" spans="4:34" ht="20.100000000000001" customHeight="1" x14ac:dyDescent="0.25">
      <c r="D130" s="121" t="str" cm="1">
        <f t="array" ref="D130:E131">Common_Equations.Common_ConvertCH4ToCO2e_Arguments()</f>
        <v>ECH4</v>
      </c>
      <c r="E130" s="122" t="str">
        <v>Methane emissions (t CH4)</v>
      </c>
      <c r="F130" s="123"/>
      <c r="G130" s="26" t="e">
        <f ca="1">E128</f>
        <v>#N/A</v>
      </c>
      <c r="Q130" s="27"/>
      <c r="U130" s="113" t="s">
        <v>295</v>
      </c>
    </row>
    <row r="131" spans="4:34" ht="20.100000000000001" customHeight="1" x14ac:dyDescent="0.25">
      <c r="D131" s="121" t="str">
        <v>GWPCH4</v>
      </c>
      <c r="E131" s="122" t="str">
        <v>Global warming potential for methane (t CO2-e / t CH4)</v>
      </c>
      <c r="F131" s="123"/>
      <c r="G131" s="26">
        <f>Common_InputFunctions.Utility_LookupValueInTableNumber("CH4",Table_GWPData[Gas],Table_GWPData[CO2-e factor])</f>
        <v>28</v>
      </c>
      <c r="U131" s="114" t="s">
        <v>296</v>
      </c>
      <c r="AH131" s="27"/>
    </row>
    <row r="132" spans="4:34" ht="20.100000000000001" customHeight="1" x14ac:dyDescent="0.25">
      <c r="U132" s="115" t="s">
        <v>78</v>
      </c>
      <c r="V132" s="116" t="s">
        <v>189</v>
      </c>
      <c r="W132" s="116" t="s">
        <v>190</v>
      </c>
      <c r="X132" s="116" t="s">
        <v>191</v>
      </c>
      <c r="Y132" s="116" t="s">
        <v>192</v>
      </c>
      <c r="Z132" s="116" t="s">
        <v>193</v>
      </c>
      <c r="AA132" s="116" t="s">
        <v>194</v>
      </c>
      <c r="AB132" s="116" t="s">
        <v>195</v>
      </c>
      <c r="AC132" s="116" t="s">
        <v>196</v>
      </c>
      <c r="AD132" s="116" t="s">
        <v>197</v>
      </c>
      <c r="AE132" s="116" t="s">
        <v>198</v>
      </c>
      <c r="AF132" s="27"/>
      <c r="AH132" s="27"/>
    </row>
    <row r="133" spans="4:34" ht="20.100000000000001" customHeight="1" x14ac:dyDescent="0.25">
      <c r="D133" s="117" t="s">
        <v>297</v>
      </c>
      <c r="E133" s="117" t="e" cm="1">
        <f t="array" aca="1" ref="E133" ca="1">Common_Equations.Common_ConvertN2OToCO2e(G130,G131)</f>
        <v>#N/A</v>
      </c>
      <c r="F133" s="124" t="str" cm="1">
        <f t="array" ref="F133">Common_Equations.Common_ConvertN2OToCO2e_Unit()</f>
        <v>t CO2e</v>
      </c>
      <c r="U133" s="26" t="str">
        <f>TEXT('Input - Site'!$E$12, "mmmm yyyy")</f>
        <v>NO - Not in leaching zone</v>
      </c>
      <c r="V133" s="26" t="e" cm="1">
        <f t="array" aca="1" ref="V133:AE144" ca="1">OFFSET(X_Table_PastureBeef_Duration_Method2,1,1,12,10)</f>
        <v>#VALUE!</v>
      </c>
      <c r="W133" s="26" t="e">
        <f ca="1"/>
        <v>#VALUE!</v>
      </c>
      <c r="X133" s="26" t="e">
        <f ca="1"/>
        <v>#VALUE!</v>
      </c>
      <c r="Y133" s="26" t="e">
        <f ca="1"/>
        <v>#VALUE!</v>
      </c>
      <c r="Z133" s="26" t="e">
        <f ca="1"/>
        <v>#VALUE!</v>
      </c>
      <c r="AA133" s="26" t="e">
        <f ca="1"/>
        <v>#VALUE!</v>
      </c>
      <c r="AB133" s="26" t="e">
        <f ca="1"/>
        <v>#VALUE!</v>
      </c>
      <c r="AC133" s="26" t="e">
        <f ca="1"/>
        <v>#VALUE!</v>
      </c>
      <c r="AD133" s="26" t="e">
        <f ca="1"/>
        <v>#VALUE!</v>
      </c>
      <c r="AE133" s="26" t="e">
        <f ca="1"/>
        <v>#VALUE!</v>
      </c>
      <c r="AF133" s="27" t="str">
        <f>$G$100</f>
        <v>days</v>
      </c>
      <c r="AH133" s="27"/>
    </row>
    <row r="134" spans="4:34" ht="20.100000000000001" customHeight="1" x14ac:dyDescent="0.25">
      <c r="U134" s="26" t="e">
        <f>TEXT(EDATE('Input - Site'!$E$12,1), "mmmm yyyy")</f>
        <v>#VALUE!</v>
      </c>
      <c r="V134" s="26" t="e">
        <f ca="1"/>
        <v>#VALUE!</v>
      </c>
      <c r="W134" s="26" t="e">
        <f ca="1"/>
        <v>#VALUE!</v>
      </c>
      <c r="X134" s="26" t="e">
        <f ca="1"/>
        <v>#VALUE!</v>
      </c>
      <c r="Y134" s="26" t="e">
        <f ca="1"/>
        <v>#VALUE!</v>
      </c>
      <c r="Z134" s="26" t="e">
        <f ca="1"/>
        <v>#VALUE!</v>
      </c>
      <c r="AA134" s="26" t="e">
        <f ca="1"/>
        <v>#VALUE!</v>
      </c>
      <c r="AB134" s="26" t="e">
        <f ca="1"/>
        <v>#VALUE!</v>
      </c>
      <c r="AC134" s="26" t="e">
        <f ca="1"/>
        <v>#VALUE!</v>
      </c>
      <c r="AD134" s="26" t="e">
        <f ca="1"/>
        <v>#VALUE!</v>
      </c>
      <c r="AE134" s="26" t="e">
        <f ca="1"/>
        <v>#VALUE!</v>
      </c>
      <c r="AF134" s="27"/>
      <c r="AH134" s="27"/>
    </row>
    <row r="135" spans="4:34" ht="20.100000000000001" customHeight="1" x14ac:dyDescent="0.25">
      <c r="U135" s="26" t="e">
        <f>TEXT(EDATE('Input - Site'!$E$12,2), "mmmm yyyy")</f>
        <v>#VALUE!</v>
      </c>
      <c r="V135" s="26" t="e">
        <f ca="1"/>
        <v>#VALUE!</v>
      </c>
      <c r="W135" s="26" t="e">
        <f ca="1"/>
        <v>#VALUE!</v>
      </c>
      <c r="X135" s="26" t="e">
        <f ca="1"/>
        <v>#VALUE!</v>
      </c>
      <c r="Y135" s="26" t="e">
        <f ca="1"/>
        <v>#VALUE!</v>
      </c>
      <c r="Z135" s="26" t="e">
        <f ca="1"/>
        <v>#VALUE!</v>
      </c>
      <c r="AA135" s="26" t="e">
        <f ca="1"/>
        <v>#VALUE!</v>
      </c>
      <c r="AB135" s="26" t="e">
        <f ca="1"/>
        <v>#VALUE!</v>
      </c>
      <c r="AC135" s="26" t="e">
        <f ca="1"/>
        <v>#VALUE!</v>
      </c>
      <c r="AD135" s="26" t="e">
        <f ca="1"/>
        <v>#VALUE!</v>
      </c>
      <c r="AE135" s="26" t="e">
        <f ca="1"/>
        <v>#VALUE!</v>
      </c>
      <c r="AF135" s="27"/>
      <c r="AH135" s="27"/>
    </row>
    <row r="136" spans="4:34" ht="20.100000000000001" customHeight="1" x14ac:dyDescent="0.25">
      <c r="U136" s="26" t="e">
        <f>TEXT(EDATE('Input - Site'!$E$12,3), "mmmm yyyy")</f>
        <v>#VALUE!</v>
      </c>
      <c r="V136" s="26" t="e">
        <f ca="1"/>
        <v>#VALUE!</v>
      </c>
      <c r="W136" s="26" t="e">
        <f ca="1"/>
        <v>#VALUE!</v>
      </c>
      <c r="X136" s="26" t="e">
        <f ca="1"/>
        <v>#VALUE!</v>
      </c>
      <c r="Y136" s="26" t="e">
        <f ca="1"/>
        <v>#VALUE!</v>
      </c>
      <c r="Z136" s="26" t="e">
        <f ca="1"/>
        <v>#VALUE!</v>
      </c>
      <c r="AA136" s="26" t="e">
        <f ca="1"/>
        <v>#VALUE!</v>
      </c>
      <c r="AB136" s="26" t="e">
        <f ca="1"/>
        <v>#VALUE!</v>
      </c>
      <c r="AC136" s="26" t="e">
        <f ca="1"/>
        <v>#VALUE!</v>
      </c>
      <c r="AD136" s="26" t="e">
        <f ca="1"/>
        <v>#VALUE!</v>
      </c>
      <c r="AE136" s="26" t="e">
        <f ca="1"/>
        <v>#VALUE!</v>
      </c>
      <c r="AF136" s="27"/>
      <c r="AH136" s="27"/>
    </row>
    <row r="137" spans="4:34" ht="20.100000000000001" customHeight="1" x14ac:dyDescent="0.25">
      <c r="U137" s="26" t="e">
        <f>TEXT(EDATE('Input - Site'!$E$12,4), "mmmm yyyy")</f>
        <v>#VALUE!</v>
      </c>
      <c r="V137" s="26" t="e">
        <f ca="1"/>
        <v>#VALUE!</v>
      </c>
      <c r="W137" s="26" t="e">
        <f ca="1"/>
        <v>#VALUE!</v>
      </c>
      <c r="X137" s="26" t="e">
        <f ca="1"/>
        <v>#VALUE!</v>
      </c>
      <c r="Y137" s="26" t="e">
        <f ca="1"/>
        <v>#VALUE!</v>
      </c>
      <c r="Z137" s="26" t="e">
        <f ca="1"/>
        <v>#VALUE!</v>
      </c>
      <c r="AA137" s="26" t="e">
        <f ca="1"/>
        <v>#VALUE!</v>
      </c>
      <c r="AB137" s="26" t="e">
        <f ca="1"/>
        <v>#VALUE!</v>
      </c>
      <c r="AC137" s="26" t="e">
        <f ca="1"/>
        <v>#VALUE!</v>
      </c>
      <c r="AD137" s="26" t="e">
        <f ca="1"/>
        <v>#VALUE!</v>
      </c>
      <c r="AE137" s="26" t="e">
        <f ca="1"/>
        <v>#VALUE!</v>
      </c>
      <c r="AF137" s="27"/>
      <c r="AH137" s="27"/>
    </row>
    <row r="138" spans="4:34" ht="20.100000000000001" customHeight="1" x14ac:dyDescent="0.25">
      <c r="U138" s="26" t="e">
        <f>TEXT(EDATE('Input - Site'!$E$12,5), "mmmm yyyy")</f>
        <v>#VALUE!</v>
      </c>
      <c r="V138" s="26" t="e">
        <f ca="1"/>
        <v>#VALUE!</v>
      </c>
      <c r="W138" s="26" t="e">
        <f ca="1"/>
        <v>#VALUE!</v>
      </c>
      <c r="X138" s="26" t="e">
        <f ca="1"/>
        <v>#VALUE!</v>
      </c>
      <c r="Y138" s="26" t="e">
        <f ca="1"/>
        <v>#VALUE!</v>
      </c>
      <c r="Z138" s="26" t="e">
        <f ca="1"/>
        <v>#VALUE!</v>
      </c>
      <c r="AA138" s="26" t="e">
        <f ca="1"/>
        <v>#VALUE!</v>
      </c>
      <c r="AB138" s="26" t="e">
        <f ca="1"/>
        <v>#VALUE!</v>
      </c>
      <c r="AC138" s="26" t="e">
        <f ca="1"/>
        <v>#VALUE!</v>
      </c>
      <c r="AD138" s="26" t="e">
        <f ca="1"/>
        <v>#VALUE!</v>
      </c>
      <c r="AE138" s="26" t="e">
        <f ca="1"/>
        <v>#VALUE!</v>
      </c>
      <c r="AF138" s="27"/>
      <c r="AH138" s="27"/>
    </row>
    <row r="139" spans="4:34" ht="20.100000000000001" customHeight="1" x14ac:dyDescent="0.25">
      <c r="U139" s="26" t="e">
        <f>TEXT(EDATE('Input - Site'!$E$12,6), "mmmm yyyy")</f>
        <v>#VALUE!</v>
      </c>
      <c r="V139" s="26" t="e">
        <f ca="1"/>
        <v>#VALUE!</v>
      </c>
      <c r="W139" s="26" t="e">
        <f ca="1"/>
        <v>#VALUE!</v>
      </c>
      <c r="X139" s="26" t="e">
        <f ca="1"/>
        <v>#VALUE!</v>
      </c>
      <c r="Y139" s="26" t="e">
        <f ca="1"/>
        <v>#VALUE!</v>
      </c>
      <c r="Z139" s="26" t="e">
        <f ca="1"/>
        <v>#VALUE!</v>
      </c>
      <c r="AA139" s="26" t="e">
        <f ca="1"/>
        <v>#VALUE!</v>
      </c>
      <c r="AB139" s="26" t="e">
        <f ca="1"/>
        <v>#VALUE!</v>
      </c>
      <c r="AC139" s="26" t="e">
        <f ca="1"/>
        <v>#VALUE!</v>
      </c>
      <c r="AD139" s="26" t="e">
        <f ca="1"/>
        <v>#VALUE!</v>
      </c>
      <c r="AE139" s="26" t="e">
        <f ca="1"/>
        <v>#VALUE!</v>
      </c>
      <c r="AF139" s="27"/>
      <c r="AH139" s="27"/>
    </row>
    <row r="140" spans="4:34" ht="20.100000000000001" customHeight="1" x14ac:dyDescent="0.25">
      <c r="U140" s="26" t="e">
        <f>TEXT(EDATE('Input - Site'!$E$12,7), "mmmm yyyy")</f>
        <v>#VALUE!</v>
      </c>
      <c r="V140" s="26" t="e">
        <f ca="1"/>
        <v>#VALUE!</v>
      </c>
      <c r="W140" s="26" t="e">
        <f ca="1"/>
        <v>#VALUE!</v>
      </c>
      <c r="X140" s="26" t="e">
        <f ca="1"/>
        <v>#VALUE!</v>
      </c>
      <c r="Y140" s="26" t="e">
        <f ca="1"/>
        <v>#VALUE!</v>
      </c>
      <c r="Z140" s="26" t="e">
        <f ca="1"/>
        <v>#VALUE!</v>
      </c>
      <c r="AA140" s="26" t="e">
        <f ca="1"/>
        <v>#VALUE!</v>
      </c>
      <c r="AB140" s="26" t="e">
        <f ca="1"/>
        <v>#VALUE!</v>
      </c>
      <c r="AC140" s="26" t="e">
        <f ca="1"/>
        <v>#VALUE!</v>
      </c>
      <c r="AD140" s="26" t="e">
        <f ca="1"/>
        <v>#VALUE!</v>
      </c>
      <c r="AE140" s="26" t="e">
        <f ca="1"/>
        <v>#VALUE!</v>
      </c>
      <c r="AF140" s="27"/>
      <c r="AH140" s="27"/>
    </row>
    <row r="141" spans="4:34" ht="20.100000000000001" customHeight="1" x14ac:dyDescent="0.25">
      <c r="U141" s="26" t="e">
        <f>TEXT(EDATE('Input - Site'!$E$12,8), "mmmm yyyy")</f>
        <v>#VALUE!</v>
      </c>
      <c r="V141" s="26" t="e">
        <f ca="1"/>
        <v>#VALUE!</v>
      </c>
      <c r="W141" s="26" t="e">
        <f ca="1"/>
        <v>#VALUE!</v>
      </c>
      <c r="X141" s="26" t="e">
        <f ca="1"/>
        <v>#VALUE!</v>
      </c>
      <c r="Y141" s="26" t="e">
        <f ca="1"/>
        <v>#VALUE!</v>
      </c>
      <c r="Z141" s="26" t="e">
        <f ca="1"/>
        <v>#VALUE!</v>
      </c>
      <c r="AA141" s="26" t="e">
        <f ca="1"/>
        <v>#VALUE!</v>
      </c>
      <c r="AB141" s="26" t="e">
        <f ca="1"/>
        <v>#VALUE!</v>
      </c>
      <c r="AC141" s="26" t="e">
        <f ca="1"/>
        <v>#VALUE!</v>
      </c>
      <c r="AD141" s="26" t="e">
        <f ca="1"/>
        <v>#VALUE!</v>
      </c>
      <c r="AE141" s="26" t="e">
        <f ca="1"/>
        <v>#VALUE!</v>
      </c>
      <c r="AF141" s="27"/>
      <c r="AH141" s="27"/>
    </row>
    <row r="142" spans="4:34" ht="20.100000000000001" customHeight="1" x14ac:dyDescent="0.25">
      <c r="U142" s="26" t="e">
        <f>TEXT(EDATE('Input - Site'!$E$12,9), "mmmm yyyy")</f>
        <v>#VALUE!</v>
      </c>
      <c r="V142" s="26" t="e">
        <f ca="1"/>
        <v>#VALUE!</v>
      </c>
      <c r="W142" s="26" t="e">
        <f ca="1"/>
        <v>#VALUE!</v>
      </c>
      <c r="X142" s="26" t="e">
        <f ca="1"/>
        <v>#VALUE!</v>
      </c>
      <c r="Y142" s="26" t="e">
        <f ca="1"/>
        <v>#VALUE!</v>
      </c>
      <c r="Z142" s="26" t="e">
        <f ca="1"/>
        <v>#VALUE!</v>
      </c>
      <c r="AA142" s="26" t="e">
        <f ca="1"/>
        <v>#VALUE!</v>
      </c>
      <c r="AB142" s="26" t="e">
        <f ca="1"/>
        <v>#VALUE!</v>
      </c>
      <c r="AC142" s="26" t="e">
        <f ca="1"/>
        <v>#VALUE!</v>
      </c>
      <c r="AD142" s="26" t="e">
        <f ca="1"/>
        <v>#VALUE!</v>
      </c>
      <c r="AE142" s="26" t="e">
        <f ca="1"/>
        <v>#VALUE!</v>
      </c>
      <c r="AF142" s="27"/>
      <c r="AH142" s="27"/>
    </row>
    <row r="143" spans="4:34" ht="20.100000000000001" customHeight="1" x14ac:dyDescent="0.25">
      <c r="U143" s="26" t="e">
        <f>TEXT(EDATE('Input - Site'!$E$12,10), "mmmm yyyy")</f>
        <v>#VALUE!</v>
      </c>
      <c r="V143" s="26" t="e">
        <f ca="1"/>
        <v>#VALUE!</v>
      </c>
      <c r="W143" s="26" t="e">
        <f ca="1"/>
        <v>#VALUE!</v>
      </c>
      <c r="X143" s="26" t="e">
        <f ca="1"/>
        <v>#VALUE!</v>
      </c>
      <c r="Y143" s="26" t="e">
        <f ca="1"/>
        <v>#VALUE!</v>
      </c>
      <c r="Z143" s="26" t="e">
        <f ca="1"/>
        <v>#VALUE!</v>
      </c>
      <c r="AA143" s="26" t="e">
        <f ca="1"/>
        <v>#VALUE!</v>
      </c>
      <c r="AB143" s="26" t="e">
        <f ca="1"/>
        <v>#VALUE!</v>
      </c>
      <c r="AC143" s="26" t="e">
        <f ca="1"/>
        <v>#VALUE!</v>
      </c>
      <c r="AD143" s="26" t="e">
        <f ca="1"/>
        <v>#VALUE!</v>
      </c>
      <c r="AE143" s="26" t="e">
        <f ca="1"/>
        <v>#VALUE!</v>
      </c>
      <c r="AF143" s="27"/>
    </row>
    <row r="144" spans="4:34" ht="20.100000000000001" customHeight="1" x14ac:dyDescent="0.25">
      <c r="U144" s="26" t="e">
        <f>TEXT(EDATE('Input - Site'!$E$12,11), "mmmm yyyy")</f>
        <v>#VALUE!</v>
      </c>
      <c r="V144" s="26" t="e">
        <f ca="1"/>
        <v>#VALUE!</v>
      </c>
      <c r="W144" s="26" t="e">
        <f ca="1"/>
        <v>#VALUE!</v>
      </c>
      <c r="X144" s="26" t="e">
        <f ca="1"/>
        <v>#VALUE!</v>
      </c>
      <c r="Y144" s="26" t="e">
        <f ca="1"/>
        <v>#VALUE!</v>
      </c>
      <c r="Z144" s="26" t="e">
        <f ca="1"/>
        <v>#VALUE!</v>
      </c>
      <c r="AA144" s="26" t="e">
        <f ca="1"/>
        <v>#VALUE!</v>
      </c>
      <c r="AB144" s="26" t="e">
        <f ca="1"/>
        <v>#VALUE!</v>
      </c>
      <c r="AC144" s="26" t="e">
        <f ca="1"/>
        <v>#VALUE!</v>
      </c>
      <c r="AD144" s="26" t="e">
        <f ca="1"/>
        <v>#VALUE!</v>
      </c>
      <c r="AE144" s="26" t="e">
        <f ca="1"/>
        <v>#VALUE!</v>
      </c>
      <c r="AF144" s="27"/>
    </row>
    <row r="145" spans="21:32" ht="20.100000000000001" customHeight="1" x14ac:dyDescent="0.25"/>
    <row r="146" spans="21:32" ht="20.100000000000001" customHeight="1" x14ac:dyDescent="0.25">
      <c r="U146" s="113" t="s">
        <v>298</v>
      </c>
    </row>
    <row r="147" spans="21:32" ht="20.100000000000001" customHeight="1" x14ac:dyDescent="0.25">
      <c r="U147" s="114" t="s">
        <v>299</v>
      </c>
    </row>
    <row r="148" spans="21:32" ht="20.100000000000001" customHeight="1" x14ac:dyDescent="0.25">
      <c r="U148" s="115" t="s">
        <v>78</v>
      </c>
      <c r="V148" s="115" t="s">
        <v>189</v>
      </c>
      <c r="W148" s="115" t="s">
        <v>190</v>
      </c>
      <c r="X148" s="115" t="s">
        <v>191</v>
      </c>
      <c r="Y148" s="115" t="s">
        <v>192</v>
      </c>
      <c r="Z148" s="115" t="s">
        <v>193</v>
      </c>
      <c r="AA148" s="115" t="s">
        <v>194</v>
      </c>
      <c r="AB148" s="115" t="s">
        <v>195</v>
      </c>
      <c r="AC148" s="115" t="s">
        <v>196</v>
      </c>
      <c r="AD148" s="115" t="s">
        <v>197</v>
      </c>
      <c r="AE148" s="115" t="s">
        <v>198</v>
      </c>
    </row>
    <row r="149" spans="21:32" ht="20.100000000000001" customHeight="1" x14ac:dyDescent="0.25">
      <c r="U149" s="26" t="str">
        <f t="shared" ref="U149:U160" si="3">U133</f>
        <v>NO - Not in leaching zone</v>
      </c>
      <c r="V149" s="26" t="e" cm="1">
        <f t="array" aca="1" ref="V149" ca="1">EntericMethane_PastureBeef_Equations.VEERG_3_2_1_1__1_TotalAnnualMethaneFromEntericFermentation(V133,V97,V117)</f>
        <v>#VALUE!</v>
      </c>
      <c r="W149" s="26" t="e" cm="1">
        <f t="array" aca="1" ref="W149" ca="1">EntericMethane_PastureBeef_Equations.VEERG_3_2_1_1__1_TotalAnnualMethaneFromEntericFermentation(W133,W97,W117)</f>
        <v>#VALUE!</v>
      </c>
      <c r="X149" s="26" t="e" cm="1">
        <f t="array" aca="1" ref="X149" ca="1">EntericMethane_PastureBeef_Equations.VEERG_3_2_1_1__1_TotalAnnualMethaneFromEntericFermentation(X133,X97,X117)</f>
        <v>#VALUE!</v>
      </c>
      <c r="Y149" s="26" t="e" cm="1">
        <f t="array" aca="1" ref="Y149" ca="1">EntericMethane_PastureBeef_Equations.VEERG_3_2_1_1__1_TotalAnnualMethaneFromEntericFermentation(Y133,Y97,Y117)</f>
        <v>#VALUE!</v>
      </c>
      <c r="Z149" s="26" t="e" cm="1">
        <f t="array" aca="1" ref="Z149" ca="1">EntericMethane_PastureBeef_Equations.VEERG_3_2_1_1__1_TotalAnnualMethaneFromEntericFermentation(Z133,Z97,Z117)</f>
        <v>#VALUE!</v>
      </c>
      <c r="AA149" s="26" t="e" cm="1">
        <f t="array" aca="1" ref="AA149" ca="1">EntericMethane_PastureBeef_Equations.VEERG_3_2_1_1__1_TotalAnnualMethaneFromEntericFermentation(AA133,AA97,AA117)</f>
        <v>#VALUE!</v>
      </c>
      <c r="AB149" s="26" t="e" cm="1">
        <f t="array" aca="1" ref="AB149" ca="1">EntericMethane_PastureBeef_Equations.VEERG_3_2_1_1__1_TotalAnnualMethaneFromEntericFermentation(AB133,AB97,AB117)</f>
        <v>#VALUE!</v>
      </c>
      <c r="AC149" s="26" t="e" cm="1">
        <f t="array" aca="1" ref="AC149" ca="1">EntericMethane_PastureBeef_Equations.VEERG_3_2_1_1__1_TotalAnnualMethaneFromEntericFermentation(AC133,AC97,AC117)</f>
        <v>#VALUE!</v>
      </c>
      <c r="AD149" s="26" t="e" cm="1">
        <f t="array" aca="1" ref="AD149" ca="1">EntericMethane_PastureBeef_Equations.VEERG_3_2_1_1__1_TotalAnnualMethaneFromEntericFermentation(AD133,AD97,AD117)</f>
        <v>#VALUE!</v>
      </c>
      <c r="AE149" s="26" t="e" cm="1">
        <f t="array" aca="1" ref="AE149" ca="1">EntericMethane_PastureBeef_Equations.VEERG_3_2_1_1__1_TotalAnnualMethaneFromEntericFermentation(AE133,AE97,AE117)</f>
        <v>#VALUE!</v>
      </c>
      <c r="AF149" s="27" t="str">
        <f>$E$98</f>
        <v>t CH4</v>
      </c>
    </row>
    <row r="150" spans="21:32" ht="20.100000000000001" customHeight="1" x14ac:dyDescent="0.25">
      <c r="U150" s="26" t="e">
        <f t="shared" si="3"/>
        <v>#VALUE!</v>
      </c>
      <c r="V150" s="26" t="e" cm="1">
        <f t="array" aca="1" ref="V150" ca="1">EntericMethane_PastureBeef_Equations.VEERG_3_2_1_1__1_TotalAnnualMethaneFromEntericFermentation(V134,V98,V118)</f>
        <v>#VALUE!</v>
      </c>
      <c r="W150" s="26" t="e" cm="1">
        <f t="array" aca="1" ref="W150" ca="1">EntericMethane_PastureBeef_Equations.VEERG_3_2_1_1__1_TotalAnnualMethaneFromEntericFermentation(W134,W98,W118)</f>
        <v>#VALUE!</v>
      </c>
      <c r="X150" s="26" t="e" cm="1">
        <f t="array" aca="1" ref="X150" ca="1">EntericMethane_PastureBeef_Equations.VEERG_3_2_1_1__1_TotalAnnualMethaneFromEntericFermentation(X134,X98,X118)</f>
        <v>#VALUE!</v>
      </c>
      <c r="Y150" s="26" t="e" cm="1">
        <f t="array" aca="1" ref="Y150" ca="1">EntericMethane_PastureBeef_Equations.VEERG_3_2_1_1__1_TotalAnnualMethaneFromEntericFermentation(Y134,Y98,Y118)</f>
        <v>#VALUE!</v>
      </c>
      <c r="Z150" s="26" t="e" cm="1">
        <f t="array" aca="1" ref="Z150" ca="1">EntericMethane_PastureBeef_Equations.VEERG_3_2_1_1__1_TotalAnnualMethaneFromEntericFermentation(Z134,Z98,Z118)</f>
        <v>#VALUE!</v>
      </c>
      <c r="AA150" s="26" t="e" cm="1">
        <f t="array" aca="1" ref="AA150" ca="1">EntericMethane_PastureBeef_Equations.VEERG_3_2_1_1__1_TotalAnnualMethaneFromEntericFermentation(AA134,AA98,AA118)</f>
        <v>#VALUE!</v>
      </c>
      <c r="AB150" s="26" t="e" cm="1">
        <f t="array" aca="1" ref="AB150" ca="1">EntericMethane_PastureBeef_Equations.VEERG_3_2_1_1__1_TotalAnnualMethaneFromEntericFermentation(AB134,AB98,AB118)</f>
        <v>#VALUE!</v>
      </c>
      <c r="AC150" s="26" t="e" cm="1">
        <f t="array" aca="1" ref="AC150" ca="1">EntericMethane_PastureBeef_Equations.VEERG_3_2_1_1__1_TotalAnnualMethaneFromEntericFermentation(AC134,AC98,AC118)</f>
        <v>#VALUE!</v>
      </c>
      <c r="AD150" s="26" t="e" cm="1">
        <f t="array" aca="1" ref="AD150" ca="1">EntericMethane_PastureBeef_Equations.VEERG_3_2_1_1__1_TotalAnnualMethaneFromEntericFermentation(AD134,AD98,AD118)</f>
        <v>#VALUE!</v>
      </c>
      <c r="AE150" s="26" t="e" cm="1">
        <f t="array" aca="1" ref="AE150" ca="1">EntericMethane_PastureBeef_Equations.VEERG_3_2_1_1__1_TotalAnnualMethaneFromEntericFermentation(AE134,AE98,AE118)</f>
        <v>#VALUE!</v>
      </c>
      <c r="AF150" s="27"/>
    </row>
    <row r="151" spans="21:32" ht="20.100000000000001" customHeight="1" x14ac:dyDescent="0.25">
      <c r="U151" s="26" t="e">
        <f t="shared" si="3"/>
        <v>#VALUE!</v>
      </c>
      <c r="V151" s="26" t="e" cm="1">
        <f t="array" aca="1" ref="V151" ca="1">EntericMethane_PastureBeef_Equations.VEERG_3_2_1_1__1_TotalAnnualMethaneFromEntericFermentation(V135,V99,V119)</f>
        <v>#VALUE!</v>
      </c>
      <c r="W151" s="26" t="e" cm="1">
        <f t="array" aca="1" ref="W151" ca="1">EntericMethane_PastureBeef_Equations.VEERG_3_2_1_1__1_TotalAnnualMethaneFromEntericFermentation(W135,W99,W119)</f>
        <v>#VALUE!</v>
      </c>
      <c r="X151" s="26" t="e" cm="1">
        <f t="array" aca="1" ref="X151" ca="1">EntericMethane_PastureBeef_Equations.VEERG_3_2_1_1__1_TotalAnnualMethaneFromEntericFermentation(X135,X99,X119)</f>
        <v>#VALUE!</v>
      </c>
      <c r="Y151" s="26" t="e" cm="1">
        <f t="array" aca="1" ref="Y151" ca="1">EntericMethane_PastureBeef_Equations.VEERG_3_2_1_1__1_TotalAnnualMethaneFromEntericFermentation(Y135,Y99,Y119)</f>
        <v>#VALUE!</v>
      </c>
      <c r="Z151" s="26" t="e" cm="1">
        <f t="array" aca="1" ref="Z151" ca="1">EntericMethane_PastureBeef_Equations.VEERG_3_2_1_1__1_TotalAnnualMethaneFromEntericFermentation(Z135,Z99,Z119)</f>
        <v>#VALUE!</v>
      </c>
      <c r="AA151" s="26" t="e" cm="1">
        <f t="array" aca="1" ref="AA151" ca="1">EntericMethane_PastureBeef_Equations.VEERG_3_2_1_1__1_TotalAnnualMethaneFromEntericFermentation(AA135,AA99,AA119)</f>
        <v>#VALUE!</v>
      </c>
      <c r="AB151" s="26" t="e" cm="1">
        <f t="array" aca="1" ref="AB151" ca="1">EntericMethane_PastureBeef_Equations.VEERG_3_2_1_1__1_TotalAnnualMethaneFromEntericFermentation(AB135,AB99,AB119)</f>
        <v>#VALUE!</v>
      </c>
      <c r="AC151" s="26" t="e" cm="1">
        <f t="array" aca="1" ref="AC151" ca="1">EntericMethane_PastureBeef_Equations.VEERG_3_2_1_1__1_TotalAnnualMethaneFromEntericFermentation(AC135,AC99,AC119)</f>
        <v>#VALUE!</v>
      </c>
      <c r="AD151" s="26" t="e" cm="1">
        <f t="array" aca="1" ref="AD151" ca="1">EntericMethane_PastureBeef_Equations.VEERG_3_2_1_1__1_TotalAnnualMethaneFromEntericFermentation(AD135,AD99,AD119)</f>
        <v>#VALUE!</v>
      </c>
      <c r="AE151" s="26" t="e" cm="1">
        <f t="array" aca="1" ref="AE151" ca="1">EntericMethane_PastureBeef_Equations.VEERG_3_2_1_1__1_TotalAnnualMethaneFromEntericFermentation(AE135,AE99,AE119)</f>
        <v>#VALUE!</v>
      </c>
      <c r="AF151" s="27"/>
    </row>
    <row r="152" spans="21:32" ht="20.100000000000001" customHeight="1" x14ac:dyDescent="0.25">
      <c r="U152" s="26" t="e">
        <f t="shared" si="3"/>
        <v>#VALUE!</v>
      </c>
      <c r="V152" s="26" t="e" cm="1">
        <f t="array" aca="1" ref="V152" ca="1">EntericMethane_PastureBeef_Equations.VEERG_3_2_1_1__1_TotalAnnualMethaneFromEntericFermentation(V136,V100,V120)</f>
        <v>#VALUE!</v>
      </c>
      <c r="W152" s="26" t="e" cm="1">
        <f t="array" aca="1" ref="W152" ca="1">EntericMethane_PastureBeef_Equations.VEERG_3_2_1_1__1_TotalAnnualMethaneFromEntericFermentation(W136,W100,W120)</f>
        <v>#VALUE!</v>
      </c>
      <c r="X152" s="26" t="e" cm="1">
        <f t="array" aca="1" ref="X152" ca="1">EntericMethane_PastureBeef_Equations.VEERG_3_2_1_1__1_TotalAnnualMethaneFromEntericFermentation(X136,X100,X120)</f>
        <v>#VALUE!</v>
      </c>
      <c r="Y152" s="26" t="e" cm="1">
        <f t="array" aca="1" ref="Y152" ca="1">EntericMethane_PastureBeef_Equations.VEERG_3_2_1_1__1_TotalAnnualMethaneFromEntericFermentation(Y136,Y100,Y120)</f>
        <v>#VALUE!</v>
      </c>
      <c r="Z152" s="26" t="e" cm="1">
        <f t="array" aca="1" ref="Z152" ca="1">EntericMethane_PastureBeef_Equations.VEERG_3_2_1_1__1_TotalAnnualMethaneFromEntericFermentation(Z136,Z100,Z120)</f>
        <v>#VALUE!</v>
      </c>
      <c r="AA152" s="26" t="e" cm="1">
        <f t="array" aca="1" ref="AA152" ca="1">EntericMethane_PastureBeef_Equations.VEERG_3_2_1_1__1_TotalAnnualMethaneFromEntericFermentation(AA136,AA100,AA120)</f>
        <v>#VALUE!</v>
      </c>
      <c r="AB152" s="26" t="e" cm="1">
        <f t="array" aca="1" ref="AB152" ca="1">EntericMethane_PastureBeef_Equations.VEERG_3_2_1_1__1_TotalAnnualMethaneFromEntericFermentation(AB136,AB100,AB120)</f>
        <v>#VALUE!</v>
      </c>
      <c r="AC152" s="26" t="e" cm="1">
        <f t="array" aca="1" ref="AC152" ca="1">EntericMethane_PastureBeef_Equations.VEERG_3_2_1_1__1_TotalAnnualMethaneFromEntericFermentation(AC136,AC100,AC120)</f>
        <v>#VALUE!</v>
      </c>
      <c r="AD152" s="26" t="e" cm="1">
        <f t="array" aca="1" ref="AD152" ca="1">EntericMethane_PastureBeef_Equations.VEERG_3_2_1_1__1_TotalAnnualMethaneFromEntericFermentation(AD136,AD100,AD120)</f>
        <v>#VALUE!</v>
      </c>
      <c r="AE152" s="26" t="e" cm="1">
        <f t="array" aca="1" ref="AE152" ca="1">EntericMethane_PastureBeef_Equations.VEERG_3_2_1_1__1_TotalAnnualMethaneFromEntericFermentation(AE136,AE100,AE120)</f>
        <v>#VALUE!</v>
      </c>
      <c r="AF152" s="27"/>
    </row>
    <row r="153" spans="21:32" ht="20.100000000000001" customHeight="1" x14ac:dyDescent="0.25">
      <c r="U153" s="26" t="e">
        <f t="shared" si="3"/>
        <v>#VALUE!</v>
      </c>
      <c r="V153" s="26" t="e" cm="1">
        <f t="array" aca="1" ref="V153" ca="1">EntericMethane_PastureBeef_Equations.VEERG_3_2_1_1__1_TotalAnnualMethaneFromEntericFermentation(V137,V101,V121)</f>
        <v>#VALUE!</v>
      </c>
      <c r="W153" s="26" t="e" cm="1">
        <f t="array" aca="1" ref="W153" ca="1">EntericMethane_PastureBeef_Equations.VEERG_3_2_1_1__1_TotalAnnualMethaneFromEntericFermentation(W137,W101,W121)</f>
        <v>#VALUE!</v>
      </c>
      <c r="X153" s="26" t="e" cm="1">
        <f t="array" aca="1" ref="X153" ca="1">EntericMethane_PastureBeef_Equations.VEERG_3_2_1_1__1_TotalAnnualMethaneFromEntericFermentation(X137,X101,X121)</f>
        <v>#VALUE!</v>
      </c>
      <c r="Y153" s="26" t="e" cm="1">
        <f t="array" aca="1" ref="Y153" ca="1">EntericMethane_PastureBeef_Equations.VEERG_3_2_1_1__1_TotalAnnualMethaneFromEntericFermentation(Y137,Y101,Y121)</f>
        <v>#VALUE!</v>
      </c>
      <c r="Z153" s="26" t="e" cm="1">
        <f t="array" aca="1" ref="Z153" ca="1">EntericMethane_PastureBeef_Equations.VEERG_3_2_1_1__1_TotalAnnualMethaneFromEntericFermentation(Z137,Z101,Z121)</f>
        <v>#VALUE!</v>
      </c>
      <c r="AA153" s="26" t="e" cm="1">
        <f t="array" aca="1" ref="AA153" ca="1">EntericMethane_PastureBeef_Equations.VEERG_3_2_1_1__1_TotalAnnualMethaneFromEntericFermentation(AA137,AA101,AA121)</f>
        <v>#VALUE!</v>
      </c>
      <c r="AB153" s="26" t="e" cm="1">
        <f t="array" aca="1" ref="AB153" ca="1">EntericMethane_PastureBeef_Equations.VEERG_3_2_1_1__1_TotalAnnualMethaneFromEntericFermentation(AB137,AB101,AB121)</f>
        <v>#VALUE!</v>
      </c>
      <c r="AC153" s="26" t="e" cm="1">
        <f t="array" aca="1" ref="AC153" ca="1">EntericMethane_PastureBeef_Equations.VEERG_3_2_1_1__1_TotalAnnualMethaneFromEntericFermentation(AC137,AC101,AC121)</f>
        <v>#VALUE!</v>
      </c>
      <c r="AD153" s="26" t="e" cm="1">
        <f t="array" aca="1" ref="AD153" ca="1">EntericMethane_PastureBeef_Equations.VEERG_3_2_1_1__1_TotalAnnualMethaneFromEntericFermentation(AD137,AD101,AD121)</f>
        <v>#VALUE!</v>
      </c>
      <c r="AE153" s="26" t="e" cm="1">
        <f t="array" aca="1" ref="AE153" ca="1">EntericMethane_PastureBeef_Equations.VEERG_3_2_1_1__1_TotalAnnualMethaneFromEntericFermentation(AE137,AE101,AE121)</f>
        <v>#VALUE!</v>
      </c>
      <c r="AF153" s="27"/>
    </row>
    <row r="154" spans="21:32" ht="20.100000000000001" customHeight="1" x14ac:dyDescent="0.25">
      <c r="U154" s="26" t="e">
        <f t="shared" si="3"/>
        <v>#VALUE!</v>
      </c>
      <c r="V154" s="26" t="e" cm="1">
        <f t="array" aca="1" ref="V154" ca="1">EntericMethane_PastureBeef_Equations.VEERG_3_2_1_1__1_TotalAnnualMethaneFromEntericFermentation(V138,V102,V122)</f>
        <v>#VALUE!</v>
      </c>
      <c r="W154" s="26" t="e" cm="1">
        <f t="array" aca="1" ref="W154" ca="1">EntericMethane_PastureBeef_Equations.VEERG_3_2_1_1__1_TotalAnnualMethaneFromEntericFermentation(W138,W102,W122)</f>
        <v>#VALUE!</v>
      </c>
      <c r="X154" s="26" t="e" cm="1">
        <f t="array" aca="1" ref="X154" ca="1">EntericMethane_PastureBeef_Equations.VEERG_3_2_1_1__1_TotalAnnualMethaneFromEntericFermentation(X138,X102,X122)</f>
        <v>#VALUE!</v>
      </c>
      <c r="Y154" s="26" t="e" cm="1">
        <f t="array" aca="1" ref="Y154" ca="1">EntericMethane_PastureBeef_Equations.VEERG_3_2_1_1__1_TotalAnnualMethaneFromEntericFermentation(Y138,Y102,Y122)</f>
        <v>#VALUE!</v>
      </c>
      <c r="Z154" s="26" t="e" cm="1">
        <f t="array" aca="1" ref="Z154" ca="1">EntericMethane_PastureBeef_Equations.VEERG_3_2_1_1__1_TotalAnnualMethaneFromEntericFermentation(Z138,Z102,Z122)</f>
        <v>#VALUE!</v>
      </c>
      <c r="AA154" s="26" t="e" cm="1">
        <f t="array" aca="1" ref="AA154" ca="1">EntericMethane_PastureBeef_Equations.VEERG_3_2_1_1__1_TotalAnnualMethaneFromEntericFermentation(AA138,AA102,AA122)</f>
        <v>#VALUE!</v>
      </c>
      <c r="AB154" s="26" t="e" cm="1">
        <f t="array" aca="1" ref="AB154" ca="1">EntericMethane_PastureBeef_Equations.VEERG_3_2_1_1__1_TotalAnnualMethaneFromEntericFermentation(AB138,AB102,AB122)</f>
        <v>#VALUE!</v>
      </c>
      <c r="AC154" s="26" t="e" cm="1">
        <f t="array" aca="1" ref="AC154" ca="1">EntericMethane_PastureBeef_Equations.VEERG_3_2_1_1__1_TotalAnnualMethaneFromEntericFermentation(AC138,AC102,AC122)</f>
        <v>#VALUE!</v>
      </c>
      <c r="AD154" s="26" t="e" cm="1">
        <f t="array" aca="1" ref="AD154" ca="1">EntericMethane_PastureBeef_Equations.VEERG_3_2_1_1__1_TotalAnnualMethaneFromEntericFermentation(AD138,AD102,AD122)</f>
        <v>#VALUE!</v>
      </c>
      <c r="AE154" s="26" t="e" cm="1">
        <f t="array" aca="1" ref="AE154" ca="1">EntericMethane_PastureBeef_Equations.VEERG_3_2_1_1__1_TotalAnnualMethaneFromEntericFermentation(AE138,AE102,AE122)</f>
        <v>#VALUE!</v>
      </c>
      <c r="AF154" s="27"/>
    </row>
    <row r="155" spans="21:32" ht="20.100000000000001" customHeight="1" x14ac:dyDescent="0.25">
      <c r="U155" s="26" t="e">
        <f t="shared" si="3"/>
        <v>#VALUE!</v>
      </c>
      <c r="V155" s="26" t="e" cm="1">
        <f t="array" aca="1" ref="V155" ca="1">EntericMethane_PastureBeef_Equations.VEERG_3_2_1_1__1_TotalAnnualMethaneFromEntericFermentation(V139,V103,V123)</f>
        <v>#VALUE!</v>
      </c>
      <c r="W155" s="26" t="e" cm="1">
        <f t="array" aca="1" ref="W155" ca="1">EntericMethane_PastureBeef_Equations.VEERG_3_2_1_1__1_TotalAnnualMethaneFromEntericFermentation(W139,W103,W123)</f>
        <v>#VALUE!</v>
      </c>
      <c r="X155" s="26" t="e" cm="1">
        <f t="array" aca="1" ref="X155" ca="1">EntericMethane_PastureBeef_Equations.VEERG_3_2_1_1__1_TotalAnnualMethaneFromEntericFermentation(X139,X103,X123)</f>
        <v>#VALUE!</v>
      </c>
      <c r="Y155" s="26" t="e" cm="1">
        <f t="array" aca="1" ref="Y155" ca="1">EntericMethane_PastureBeef_Equations.VEERG_3_2_1_1__1_TotalAnnualMethaneFromEntericFermentation(Y139,Y103,Y123)</f>
        <v>#VALUE!</v>
      </c>
      <c r="Z155" s="26" t="e" cm="1">
        <f t="array" aca="1" ref="Z155" ca="1">EntericMethane_PastureBeef_Equations.VEERG_3_2_1_1__1_TotalAnnualMethaneFromEntericFermentation(Z139,Z103,Z123)</f>
        <v>#VALUE!</v>
      </c>
      <c r="AA155" s="26" t="e" cm="1">
        <f t="array" aca="1" ref="AA155" ca="1">EntericMethane_PastureBeef_Equations.VEERG_3_2_1_1__1_TotalAnnualMethaneFromEntericFermentation(AA139,AA103,AA123)</f>
        <v>#VALUE!</v>
      </c>
      <c r="AB155" s="26" t="e" cm="1">
        <f t="array" aca="1" ref="AB155" ca="1">EntericMethane_PastureBeef_Equations.VEERG_3_2_1_1__1_TotalAnnualMethaneFromEntericFermentation(AB139,AB103,AB123)</f>
        <v>#VALUE!</v>
      </c>
      <c r="AC155" s="26" t="e" cm="1">
        <f t="array" aca="1" ref="AC155" ca="1">EntericMethane_PastureBeef_Equations.VEERG_3_2_1_1__1_TotalAnnualMethaneFromEntericFermentation(AC139,AC103,AC123)</f>
        <v>#VALUE!</v>
      </c>
      <c r="AD155" s="26" t="e" cm="1">
        <f t="array" aca="1" ref="AD155" ca="1">EntericMethane_PastureBeef_Equations.VEERG_3_2_1_1__1_TotalAnnualMethaneFromEntericFermentation(AD139,AD103,AD123)</f>
        <v>#VALUE!</v>
      </c>
      <c r="AE155" s="26" t="e" cm="1">
        <f t="array" aca="1" ref="AE155" ca="1">EntericMethane_PastureBeef_Equations.VEERG_3_2_1_1__1_TotalAnnualMethaneFromEntericFermentation(AE139,AE103,AE123)</f>
        <v>#VALUE!</v>
      </c>
      <c r="AF155" s="27"/>
    </row>
    <row r="156" spans="21:32" ht="20.100000000000001" customHeight="1" x14ac:dyDescent="0.25">
      <c r="U156" s="26" t="e">
        <f t="shared" si="3"/>
        <v>#VALUE!</v>
      </c>
      <c r="V156" s="26" t="e" cm="1">
        <f t="array" aca="1" ref="V156" ca="1">EntericMethane_PastureBeef_Equations.VEERG_3_2_1_1__1_TotalAnnualMethaneFromEntericFermentation(V140,V104,V124)</f>
        <v>#VALUE!</v>
      </c>
      <c r="W156" s="26" t="e" cm="1">
        <f t="array" aca="1" ref="W156" ca="1">EntericMethane_PastureBeef_Equations.VEERG_3_2_1_1__1_TotalAnnualMethaneFromEntericFermentation(W140,W104,W124)</f>
        <v>#VALUE!</v>
      </c>
      <c r="X156" s="26" t="e" cm="1">
        <f t="array" aca="1" ref="X156" ca="1">EntericMethane_PastureBeef_Equations.VEERG_3_2_1_1__1_TotalAnnualMethaneFromEntericFermentation(X140,X104,X124)</f>
        <v>#VALUE!</v>
      </c>
      <c r="Y156" s="26" t="e" cm="1">
        <f t="array" aca="1" ref="Y156" ca="1">EntericMethane_PastureBeef_Equations.VEERG_3_2_1_1__1_TotalAnnualMethaneFromEntericFermentation(Y140,Y104,Y124)</f>
        <v>#VALUE!</v>
      </c>
      <c r="Z156" s="26" t="e" cm="1">
        <f t="array" aca="1" ref="Z156" ca="1">EntericMethane_PastureBeef_Equations.VEERG_3_2_1_1__1_TotalAnnualMethaneFromEntericFermentation(Z140,Z104,Z124)</f>
        <v>#VALUE!</v>
      </c>
      <c r="AA156" s="26" t="e" cm="1">
        <f t="array" aca="1" ref="AA156" ca="1">EntericMethane_PastureBeef_Equations.VEERG_3_2_1_1__1_TotalAnnualMethaneFromEntericFermentation(AA140,AA104,AA124)</f>
        <v>#VALUE!</v>
      </c>
      <c r="AB156" s="26" t="e" cm="1">
        <f t="array" aca="1" ref="AB156" ca="1">EntericMethane_PastureBeef_Equations.VEERG_3_2_1_1__1_TotalAnnualMethaneFromEntericFermentation(AB140,AB104,AB124)</f>
        <v>#VALUE!</v>
      </c>
      <c r="AC156" s="26" t="e" cm="1">
        <f t="array" aca="1" ref="AC156" ca="1">EntericMethane_PastureBeef_Equations.VEERG_3_2_1_1__1_TotalAnnualMethaneFromEntericFermentation(AC140,AC104,AC124)</f>
        <v>#VALUE!</v>
      </c>
      <c r="AD156" s="26" t="e" cm="1">
        <f t="array" aca="1" ref="AD156" ca="1">EntericMethane_PastureBeef_Equations.VEERG_3_2_1_1__1_TotalAnnualMethaneFromEntericFermentation(AD140,AD104,AD124)</f>
        <v>#VALUE!</v>
      </c>
      <c r="AE156" s="26" t="e" cm="1">
        <f t="array" aca="1" ref="AE156" ca="1">EntericMethane_PastureBeef_Equations.VEERG_3_2_1_1__1_TotalAnnualMethaneFromEntericFermentation(AE140,AE104,AE124)</f>
        <v>#VALUE!</v>
      </c>
      <c r="AF156" s="27"/>
    </row>
    <row r="157" spans="21:32" ht="20.100000000000001" customHeight="1" x14ac:dyDescent="0.25">
      <c r="U157" s="26" t="e">
        <f t="shared" si="3"/>
        <v>#VALUE!</v>
      </c>
      <c r="V157" s="26" t="e" cm="1">
        <f t="array" aca="1" ref="V157" ca="1">EntericMethane_PastureBeef_Equations.VEERG_3_2_1_1__1_TotalAnnualMethaneFromEntericFermentation(V141,V105,V125)</f>
        <v>#VALUE!</v>
      </c>
      <c r="W157" s="26" t="e" cm="1">
        <f t="array" aca="1" ref="W157" ca="1">EntericMethane_PastureBeef_Equations.VEERG_3_2_1_1__1_TotalAnnualMethaneFromEntericFermentation(W141,W105,W125)</f>
        <v>#VALUE!</v>
      </c>
      <c r="X157" s="26" t="e" cm="1">
        <f t="array" aca="1" ref="X157" ca="1">EntericMethane_PastureBeef_Equations.VEERG_3_2_1_1__1_TotalAnnualMethaneFromEntericFermentation(X141,X105,X125)</f>
        <v>#VALUE!</v>
      </c>
      <c r="Y157" s="26" t="e" cm="1">
        <f t="array" aca="1" ref="Y157" ca="1">EntericMethane_PastureBeef_Equations.VEERG_3_2_1_1__1_TotalAnnualMethaneFromEntericFermentation(Y141,Y105,Y125)</f>
        <v>#VALUE!</v>
      </c>
      <c r="Z157" s="26" t="e" cm="1">
        <f t="array" aca="1" ref="Z157" ca="1">EntericMethane_PastureBeef_Equations.VEERG_3_2_1_1__1_TotalAnnualMethaneFromEntericFermentation(Z141,Z105,Z125)</f>
        <v>#VALUE!</v>
      </c>
      <c r="AA157" s="26" t="e" cm="1">
        <f t="array" aca="1" ref="AA157" ca="1">EntericMethane_PastureBeef_Equations.VEERG_3_2_1_1__1_TotalAnnualMethaneFromEntericFermentation(AA141,AA105,AA125)</f>
        <v>#VALUE!</v>
      </c>
      <c r="AB157" s="26" t="e" cm="1">
        <f t="array" aca="1" ref="AB157" ca="1">EntericMethane_PastureBeef_Equations.VEERG_3_2_1_1__1_TotalAnnualMethaneFromEntericFermentation(AB141,AB105,AB125)</f>
        <v>#VALUE!</v>
      </c>
      <c r="AC157" s="26" t="e" cm="1">
        <f t="array" aca="1" ref="AC157" ca="1">EntericMethane_PastureBeef_Equations.VEERG_3_2_1_1__1_TotalAnnualMethaneFromEntericFermentation(AC141,AC105,AC125)</f>
        <v>#VALUE!</v>
      </c>
      <c r="AD157" s="26" t="e" cm="1">
        <f t="array" aca="1" ref="AD157" ca="1">EntericMethane_PastureBeef_Equations.VEERG_3_2_1_1__1_TotalAnnualMethaneFromEntericFermentation(AD141,AD105,AD125)</f>
        <v>#VALUE!</v>
      </c>
      <c r="AE157" s="26" t="e" cm="1">
        <f t="array" aca="1" ref="AE157" ca="1">EntericMethane_PastureBeef_Equations.VEERG_3_2_1_1__1_TotalAnnualMethaneFromEntericFermentation(AE141,AE105,AE125)</f>
        <v>#VALUE!</v>
      </c>
      <c r="AF157" s="27"/>
    </row>
    <row r="158" spans="21:32" ht="20.100000000000001" customHeight="1" x14ac:dyDescent="0.25">
      <c r="U158" s="26" t="e">
        <f t="shared" si="3"/>
        <v>#VALUE!</v>
      </c>
      <c r="V158" s="26" t="e" cm="1">
        <f t="array" aca="1" ref="V158" ca="1">EntericMethane_PastureBeef_Equations.VEERG_3_2_1_1__1_TotalAnnualMethaneFromEntericFermentation(V142,V106,V126)</f>
        <v>#VALUE!</v>
      </c>
      <c r="W158" s="26" t="e" cm="1">
        <f t="array" aca="1" ref="W158" ca="1">EntericMethane_PastureBeef_Equations.VEERG_3_2_1_1__1_TotalAnnualMethaneFromEntericFermentation(W142,W106,W126)</f>
        <v>#VALUE!</v>
      </c>
      <c r="X158" s="26" t="e" cm="1">
        <f t="array" aca="1" ref="X158" ca="1">EntericMethane_PastureBeef_Equations.VEERG_3_2_1_1__1_TotalAnnualMethaneFromEntericFermentation(X142,X106,X126)</f>
        <v>#VALUE!</v>
      </c>
      <c r="Y158" s="26" t="e" cm="1">
        <f t="array" aca="1" ref="Y158" ca="1">EntericMethane_PastureBeef_Equations.VEERG_3_2_1_1__1_TotalAnnualMethaneFromEntericFermentation(Y142,Y106,Y126)</f>
        <v>#VALUE!</v>
      </c>
      <c r="Z158" s="26" t="e" cm="1">
        <f t="array" aca="1" ref="Z158" ca="1">EntericMethane_PastureBeef_Equations.VEERG_3_2_1_1__1_TotalAnnualMethaneFromEntericFermentation(Z142,Z106,Z126)</f>
        <v>#VALUE!</v>
      </c>
      <c r="AA158" s="26" t="e" cm="1">
        <f t="array" aca="1" ref="AA158" ca="1">EntericMethane_PastureBeef_Equations.VEERG_3_2_1_1__1_TotalAnnualMethaneFromEntericFermentation(AA142,AA106,AA126)</f>
        <v>#VALUE!</v>
      </c>
      <c r="AB158" s="26" t="e" cm="1">
        <f t="array" aca="1" ref="AB158" ca="1">EntericMethane_PastureBeef_Equations.VEERG_3_2_1_1__1_TotalAnnualMethaneFromEntericFermentation(AB142,AB106,AB126)</f>
        <v>#VALUE!</v>
      </c>
      <c r="AC158" s="26" t="e" cm="1">
        <f t="array" aca="1" ref="AC158" ca="1">EntericMethane_PastureBeef_Equations.VEERG_3_2_1_1__1_TotalAnnualMethaneFromEntericFermentation(AC142,AC106,AC126)</f>
        <v>#VALUE!</v>
      </c>
      <c r="AD158" s="26" t="e" cm="1">
        <f t="array" aca="1" ref="AD158" ca="1">EntericMethane_PastureBeef_Equations.VEERG_3_2_1_1__1_TotalAnnualMethaneFromEntericFermentation(AD142,AD106,AD126)</f>
        <v>#VALUE!</v>
      </c>
      <c r="AE158" s="26" t="e" cm="1">
        <f t="array" aca="1" ref="AE158" ca="1">EntericMethane_PastureBeef_Equations.VEERG_3_2_1_1__1_TotalAnnualMethaneFromEntericFermentation(AE142,AE106,AE126)</f>
        <v>#VALUE!</v>
      </c>
      <c r="AF158" s="27"/>
    </row>
    <row r="159" spans="21:32" ht="20.100000000000001" customHeight="1" x14ac:dyDescent="0.25">
      <c r="U159" s="26" t="e">
        <f t="shared" si="3"/>
        <v>#VALUE!</v>
      </c>
      <c r="V159" s="26" t="e" cm="1">
        <f t="array" aca="1" ref="V159" ca="1">EntericMethane_PastureBeef_Equations.VEERG_3_2_1_1__1_TotalAnnualMethaneFromEntericFermentation(V143,V107,V127)</f>
        <v>#VALUE!</v>
      </c>
      <c r="W159" s="26" t="e" cm="1">
        <f t="array" aca="1" ref="W159" ca="1">EntericMethane_PastureBeef_Equations.VEERG_3_2_1_1__1_TotalAnnualMethaneFromEntericFermentation(W143,W107,W127)</f>
        <v>#VALUE!</v>
      </c>
      <c r="X159" s="26" t="e" cm="1">
        <f t="array" aca="1" ref="X159" ca="1">EntericMethane_PastureBeef_Equations.VEERG_3_2_1_1__1_TotalAnnualMethaneFromEntericFermentation(X143,X107,X127)</f>
        <v>#VALUE!</v>
      </c>
      <c r="Y159" s="26" t="e" cm="1">
        <f t="array" aca="1" ref="Y159" ca="1">EntericMethane_PastureBeef_Equations.VEERG_3_2_1_1__1_TotalAnnualMethaneFromEntericFermentation(Y143,Y107,Y127)</f>
        <v>#VALUE!</v>
      </c>
      <c r="Z159" s="26" t="e" cm="1">
        <f t="array" aca="1" ref="Z159" ca="1">EntericMethane_PastureBeef_Equations.VEERG_3_2_1_1__1_TotalAnnualMethaneFromEntericFermentation(Z143,Z107,Z127)</f>
        <v>#VALUE!</v>
      </c>
      <c r="AA159" s="26" t="e" cm="1">
        <f t="array" aca="1" ref="AA159" ca="1">EntericMethane_PastureBeef_Equations.VEERG_3_2_1_1__1_TotalAnnualMethaneFromEntericFermentation(AA143,AA107,AA127)</f>
        <v>#VALUE!</v>
      </c>
      <c r="AB159" s="26" t="e" cm="1">
        <f t="array" aca="1" ref="AB159" ca="1">EntericMethane_PastureBeef_Equations.VEERG_3_2_1_1__1_TotalAnnualMethaneFromEntericFermentation(AB143,AB107,AB127)</f>
        <v>#VALUE!</v>
      </c>
      <c r="AC159" s="26" t="e" cm="1">
        <f t="array" aca="1" ref="AC159" ca="1">EntericMethane_PastureBeef_Equations.VEERG_3_2_1_1__1_TotalAnnualMethaneFromEntericFermentation(AC143,AC107,AC127)</f>
        <v>#VALUE!</v>
      </c>
      <c r="AD159" s="26" t="e" cm="1">
        <f t="array" aca="1" ref="AD159" ca="1">EntericMethane_PastureBeef_Equations.VEERG_3_2_1_1__1_TotalAnnualMethaneFromEntericFermentation(AD143,AD107,AD127)</f>
        <v>#VALUE!</v>
      </c>
      <c r="AE159" s="26" t="e" cm="1">
        <f t="array" aca="1" ref="AE159" ca="1">EntericMethane_PastureBeef_Equations.VEERG_3_2_1_1__1_TotalAnnualMethaneFromEntericFermentation(AE143,AE107,AE127)</f>
        <v>#VALUE!</v>
      </c>
      <c r="AF159" s="27"/>
    </row>
    <row r="160" spans="21:32" ht="20.100000000000001" customHeight="1" x14ac:dyDescent="0.25">
      <c r="U160" s="26" t="e">
        <f t="shared" si="3"/>
        <v>#VALUE!</v>
      </c>
      <c r="V160" s="26" t="e" cm="1">
        <f t="array" aca="1" ref="V160" ca="1">EntericMethane_PastureBeef_Equations.VEERG_3_2_1_1__1_TotalAnnualMethaneFromEntericFermentation(V144,V108,V128)</f>
        <v>#VALUE!</v>
      </c>
      <c r="W160" s="26" t="e" cm="1">
        <f t="array" aca="1" ref="W160" ca="1">EntericMethane_PastureBeef_Equations.VEERG_3_2_1_1__1_TotalAnnualMethaneFromEntericFermentation(W144,W108,W128)</f>
        <v>#VALUE!</v>
      </c>
      <c r="X160" s="26" t="e" cm="1">
        <f t="array" aca="1" ref="X160" ca="1">EntericMethane_PastureBeef_Equations.VEERG_3_2_1_1__1_TotalAnnualMethaneFromEntericFermentation(X144,X108,X128)</f>
        <v>#VALUE!</v>
      </c>
      <c r="Y160" s="26" t="e" cm="1">
        <f t="array" aca="1" ref="Y160" ca="1">EntericMethane_PastureBeef_Equations.VEERG_3_2_1_1__1_TotalAnnualMethaneFromEntericFermentation(Y144,Y108,Y128)</f>
        <v>#VALUE!</v>
      </c>
      <c r="Z160" s="26" t="e" cm="1">
        <f t="array" aca="1" ref="Z160" ca="1">EntericMethane_PastureBeef_Equations.VEERG_3_2_1_1__1_TotalAnnualMethaneFromEntericFermentation(Z144,Z108,Z128)</f>
        <v>#VALUE!</v>
      </c>
      <c r="AA160" s="26" t="e" cm="1">
        <f t="array" aca="1" ref="AA160" ca="1">EntericMethane_PastureBeef_Equations.VEERG_3_2_1_1__1_TotalAnnualMethaneFromEntericFermentation(AA144,AA108,AA128)</f>
        <v>#VALUE!</v>
      </c>
      <c r="AB160" s="26" t="e" cm="1">
        <f t="array" aca="1" ref="AB160" ca="1">EntericMethane_PastureBeef_Equations.VEERG_3_2_1_1__1_TotalAnnualMethaneFromEntericFermentation(AB144,AB108,AB128)</f>
        <v>#VALUE!</v>
      </c>
      <c r="AC160" s="26" t="e" cm="1">
        <f t="array" aca="1" ref="AC160" ca="1">EntericMethane_PastureBeef_Equations.VEERG_3_2_1_1__1_TotalAnnualMethaneFromEntericFermentation(AC144,AC108,AC128)</f>
        <v>#VALUE!</v>
      </c>
      <c r="AD160" s="26" t="e" cm="1">
        <f t="array" aca="1" ref="AD160" ca="1">EntericMethane_PastureBeef_Equations.VEERG_3_2_1_1__1_TotalAnnualMethaneFromEntericFermentation(AD144,AD108,AD128)</f>
        <v>#VALUE!</v>
      </c>
      <c r="AE160" s="26" t="e" cm="1">
        <f t="array" aca="1" ref="AE160" ca="1">EntericMethane_PastureBeef_Equations.VEERG_3_2_1_1__1_TotalAnnualMethaneFromEntericFermentation(AE144,AE108,AE128)</f>
        <v>#VALUE!</v>
      </c>
      <c r="AF160" s="27"/>
    </row>
    <row r="161" spans="21:24" ht="20.100000000000001" customHeight="1" x14ac:dyDescent="0.25">
      <c r="U161" s="118" t="s">
        <v>294</v>
      </c>
      <c r="V161" s="119" t="e">
        <f ca="1">SUM(V149:AE160)</f>
        <v>#VALUE!</v>
      </c>
      <c r="W161" s="120" t="e">
        <f ca="1">V140</f>
        <v>#VALUE!</v>
      </c>
    </row>
    <row r="162" spans="21:24" ht="20.100000000000001" customHeight="1" x14ac:dyDescent="0.25"/>
    <row r="163" spans="21:24" ht="20.100000000000001" customHeight="1" x14ac:dyDescent="0.25">
      <c r="U163" s="121" t="str" cm="1">
        <f t="array" ref="U163:V164">Common_Equations.Common_ConvertCH4ToCO2e_Arguments()</f>
        <v>ECH4</v>
      </c>
      <c r="V163" s="122" t="str">
        <v>Methane emissions (t CH4)</v>
      </c>
      <c r="W163" s="123"/>
      <c r="X163" s="26" t="e">
        <f ca="1">V161</f>
        <v>#VALUE!</v>
      </c>
    </row>
    <row r="164" spans="21:24" ht="20.100000000000001" customHeight="1" x14ac:dyDescent="0.25">
      <c r="U164" s="121" t="str">
        <v>GWPCH4</v>
      </c>
      <c r="V164" s="122" t="str">
        <v>Global warming potential for methane (t CO2-e / t CH4)</v>
      </c>
      <c r="W164" s="123"/>
      <c r="X164" s="26">
        <f>Common_InputFunctions.Utility_LookupValueInTableNumber("CH4",Table_GWPData[Gas],Table_GWPData[CO2-e factor])</f>
        <v>28</v>
      </c>
    </row>
    <row r="165" spans="21:24" ht="20.100000000000001" customHeight="1" x14ac:dyDescent="0.25"/>
    <row r="166" spans="21:24" ht="20.100000000000001" customHeight="1" x14ac:dyDescent="0.25">
      <c r="U166" s="117" t="s">
        <v>297</v>
      </c>
      <c r="V166" s="117" t="e" cm="1">
        <f t="array" aca="1" ref="V166" ca="1">Common_Equations.Common_ConvertN2OToCO2e(X163,X164)</f>
        <v>#VALUE!</v>
      </c>
      <c r="W166" s="124"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7"/>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7"/>
    </row>
    <row r="236" spans="17:17" ht="20.100000000000001" customHeight="1" x14ac:dyDescent="0.25">
      <c r="Q236" s="27"/>
    </row>
    <row r="237" spans="17:17" ht="20.100000000000001" customHeight="1" x14ac:dyDescent="0.25">
      <c r="Q237" s="27"/>
    </row>
    <row r="238" spans="17:17" ht="20.100000000000001" customHeight="1" x14ac:dyDescent="0.25">
      <c r="Q238" s="27"/>
    </row>
    <row r="239" spans="17:17" ht="20.100000000000001" customHeight="1" x14ac:dyDescent="0.25">
      <c r="Q239" s="27"/>
    </row>
    <row r="240" spans="17:17" ht="20.100000000000001" customHeight="1" x14ac:dyDescent="0.25">
      <c r="Q240" s="27"/>
    </row>
    <row r="241" spans="17:34" ht="20.100000000000001" customHeight="1" x14ac:dyDescent="0.25">
      <c r="Q241" s="27"/>
    </row>
    <row r="242" spans="17:34" ht="20.100000000000001" customHeight="1" x14ac:dyDescent="0.25">
      <c r="Q242" s="27"/>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7"/>
    </row>
    <row r="252" spans="17:34" ht="20.100000000000001" customHeight="1" x14ac:dyDescent="0.25">
      <c r="AH252" s="27"/>
    </row>
    <row r="253" spans="17:34" ht="20.100000000000001" customHeight="1" x14ac:dyDescent="0.25">
      <c r="AH253" s="27"/>
    </row>
    <row r="254" spans="17:34" ht="20.100000000000001" customHeight="1" x14ac:dyDescent="0.25">
      <c r="AH254" s="27"/>
    </row>
    <row r="255" spans="17:34" ht="20.100000000000001" customHeight="1" x14ac:dyDescent="0.25">
      <c r="AH255" s="27"/>
    </row>
    <row r="256" spans="17:34" ht="20.100000000000001" customHeight="1" x14ac:dyDescent="0.25">
      <c r="AH256" s="27"/>
    </row>
    <row r="257" spans="34:34" ht="20.100000000000001" customHeight="1" x14ac:dyDescent="0.25">
      <c r="AH257" s="27"/>
    </row>
    <row r="258" spans="34:34" ht="20.100000000000001" customHeight="1" x14ac:dyDescent="0.25">
      <c r="AH258" s="27"/>
    </row>
    <row r="259" spans="34:34" ht="20.100000000000001" customHeight="1" x14ac:dyDescent="0.25">
      <c r="AH259" s="27"/>
    </row>
    <row r="260" spans="34:34" ht="20.100000000000001" customHeight="1" x14ac:dyDescent="0.25">
      <c r="AH260" s="27"/>
    </row>
    <row r="261" spans="34:34" ht="20.100000000000001" customHeight="1" x14ac:dyDescent="0.25">
      <c r="AH261" s="27"/>
    </row>
    <row r="262" spans="34:34" ht="20.100000000000001" customHeight="1" x14ac:dyDescent="0.25">
      <c r="AH262" s="27"/>
    </row>
    <row r="263" spans="34:34" ht="20.100000000000001" customHeight="1" x14ac:dyDescent="0.25">
      <c r="AH263" s="27"/>
    </row>
    <row r="264" spans="34:34" ht="20.100000000000001" customHeight="1" x14ac:dyDescent="0.25">
      <c r="AH264" s="27"/>
    </row>
    <row r="265" spans="34:34" ht="20.100000000000001" customHeight="1" x14ac:dyDescent="0.25">
      <c r="AH265" s="27"/>
    </row>
    <row r="266" spans="34:34" ht="20.100000000000001" customHeight="1" x14ac:dyDescent="0.25">
      <c r="AH266" s="27"/>
    </row>
    <row r="267" spans="34:34" ht="20.100000000000001" customHeight="1" x14ac:dyDescent="0.25">
      <c r="AH267" s="27"/>
    </row>
    <row r="268" spans="34:34" ht="20.100000000000001" customHeight="1" x14ac:dyDescent="0.25">
      <c r="AH268" s="27"/>
    </row>
    <row r="269" spans="34:34" ht="20.100000000000001" customHeight="1" x14ac:dyDescent="0.25">
      <c r="AH269" s="27"/>
    </row>
    <row r="270" spans="34:34" ht="20.100000000000001" customHeight="1" x14ac:dyDescent="0.25">
      <c r="AH270" s="27"/>
    </row>
    <row r="271" spans="34:34" ht="20.100000000000001" customHeight="1" x14ac:dyDescent="0.25">
      <c r="AH271" s="27"/>
    </row>
    <row r="272" spans="34:34" x14ac:dyDescent="0.25">
      <c r="AH272" s="27"/>
    </row>
    <row r="273" spans="34:34" x14ac:dyDescent="0.25">
      <c r="AH273" s="27"/>
    </row>
    <row r="274" spans="34:34" x14ac:dyDescent="0.25">
      <c r="AH274" s="27"/>
    </row>
  </sheetData>
  <dataValidations count="1">
    <dataValidation operator="equal" allowBlank="1" showInputMessage="1" showErrorMessage="1" sqref="E255 D100:G100 E258 V111 D103:I103 F119:J119" xr:uid="{E05BFD27-3C4A-40D2-A208-49BC05E0E25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A9053-EB24-433B-9C67-8E22C1A833DB}">
  <dimension ref="A1:AK281"/>
  <sheetViews>
    <sheetView showGridLines="0" topLeftCell="A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2" customFormat="1" ht="30" customHeight="1" x14ac:dyDescent="0.35">
      <c r="A1" s="16" t="e" vm="1">
        <v>#VALUE!</v>
      </c>
      <c r="C1" s="32" t="s">
        <v>388</v>
      </c>
    </row>
    <row r="2" spans="1:37" s="3" customFormat="1" ht="20.100000000000001" customHeight="1" x14ac:dyDescent="0.25">
      <c r="A2"/>
    </row>
    <row r="3" spans="1:37" ht="20.100000000000001" customHeight="1" x14ac:dyDescent="0.25">
      <c r="A3" s="5" t="str">
        <f>HYPERLINK("#'Home'!A1", "Home")</f>
        <v>Home</v>
      </c>
      <c r="C3" s="34"/>
      <c r="D3" s="34" t="s">
        <v>152</v>
      </c>
      <c r="E3" s="34"/>
      <c r="F3" s="34"/>
      <c r="G3" s="34"/>
      <c r="H3" s="34"/>
      <c r="I3" s="34"/>
      <c r="J3" s="34"/>
      <c r="K3" s="34"/>
      <c r="L3" s="34"/>
      <c r="M3" s="34"/>
      <c r="N3" s="34"/>
      <c r="O3" s="34"/>
      <c r="P3" s="34"/>
      <c r="Q3" s="34"/>
      <c r="R3" s="34"/>
      <c r="S3" s="34"/>
      <c r="T3" s="34"/>
      <c r="V3" s="34"/>
      <c r="W3" s="34" t="s">
        <v>153</v>
      </c>
      <c r="X3" s="34"/>
      <c r="Y3" s="34"/>
      <c r="Z3" s="34"/>
      <c r="AA3" s="34"/>
      <c r="AB3" s="34"/>
      <c r="AC3" s="34"/>
      <c r="AD3" s="34"/>
      <c r="AE3" s="34"/>
      <c r="AF3" s="34"/>
      <c r="AG3" s="34"/>
      <c r="AH3" s="34"/>
      <c r="AI3" s="34"/>
      <c r="AJ3" s="34"/>
      <c r="AK3" s="34"/>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8" t="str" cm="1">
        <f t="array" ref="D6">EntericMethane_PastureBeef_Equations.VEERG_3_2_1_1__4_AdditionalIntakeForMilkProduction_Source()</f>
        <v>VEERG 2026: 3.2.1.1, Equation (4)</v>
      </c>
    </row>
    <row r="7" spans="1:37" ht="20.100000000000001" customHeight="1" x14ac:dyDescent="0.25">
      <c r="A7" s="7" t="s">
        <v>0</v>
      </c>
      <c r="D7" s="104" t="s">
        <v>257</v>
      </c>
      <c r="E7" s="104" t="s">
        <v>258</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9" t="s">
        <v>259</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9" t="s">
        <v>133</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6" t="str" cm="1">
        <f t="array" ref="D13:E16">_xlfn.CHOOSECOLS(EntericMethane_PastureBeef_Equations.VEERG_3_2_1_1__4_AdditionalIntakeForMilkProduction_ArgumentsVariation(), 1, 2)</f>
        <v>LC_jk45</v>
      </c>
      <c r="E13" s="107" t="str">
        <v>proportion of cows greater than 1 year in calf in the season of calving expressed as a fraction</v>
      </c>
      <c r="F13" s="108"/>
      <c r="G13" s="109"/>
      <c r="H13" s="106" t="str" cm="1">
        <f t="array" ref="H13:I16">_xlfn.CHOOSECOLS(EntericMethane_PastureBeef_Equations.VEERG_3_2_1_1__4_AdditionalIntakeForMilkProduction_ArgumentsVariation(), 3,4)</f>
        <v>fraction</v>
      </c>
      <c r="I13" s="110" t="str">
        <v>Input</v>
      </c>
      <c r="J13" s="112" t="str" cm="1">
        <f t="array" aca="1" ref="J13" ca="1">HYPERLINK(Common_InputFunctions.Utility_SourceHyperlink($D$19), $D$19)</f>
        <v>M1_Table_LC_j_k-4-5</v>
      </c>
    </row>
    <row r="14" spans="1:37" ht="20.100000000000001" customHeight="1" x14ac:dyDescent="0.25">
      <c r="A14" s="5" t="str">
        <f>HYPERLINK("#'Input - Fuel'!A1", "Fuel")</f>
        <v>Fuel</v>
      </c>
      <c r="D14" s="106" t="str">
        <v>FA_jk45calv</v>
      </c>
      <c r="E14" s="107" t="str">
        <v>feed adjustment value for lactating cows in the season of calving expressed as a fraction</v>
      </c>
      <c r="F14" s="108"/>
      <c r="G14" s="109"/>
      <c r="H14" s="106" t="str">
        <v>fraction</v>
      </c>
      <c r="I14" s="111" t="str">
        <v>Constant</v>
      </c>
      <c r="J14" s="106"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6" t="str">
        <v>FA_jk45after</v>
      </c>
      <c r="E15" s="107" t="str">
        <v>feed adjustment value for lactating cows in the season immediately after calving expressed as a fraction</v>
      </c>
      <c r="F15" s="108"/>
      <c r="G15" s="109"/>
      <c r="H15" s="106" t="str">
        <v>fraction</v>
      </c>
      <c r="I15" s="111" t="str">
        <v>Constant</v>
      </c>
      <c r="J15" s="106"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6" t="str">
        <v>b</v>
      </c>
      <c r="E16" s="107" t="str">
        <v>breed of cattle</v>
      </c>
      <c r="F16" s="108"/>
      <c r="G16" s="109"/>
      <c r="H16" s="106" t="str">
        <v/>
      </c>
      <c r="I16" s="110" t="str">
        <v>Input</v>
      </c>
      <c r="J16" s="106"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3" t="s">
        <v>260</v>
      </c>
      <c r="W19" s="113" t="s">
        <v>262</v>
      </c>
    </row>
    <row r="20" spans="1:36" ht="20.100000000000001" customHeight="1" x14ac:dyDescent="0.25">
      <c r="A20" s="105" t="str">
        <f>HYPERLINK("#'4.2.1.1-2 Methane'!A1", "4.2.1.1-2 Manure methane")</f>
        <v>4.2.1.1-2 Manure methane</v>
      </c>
      <c r="D20" s="114" t="s">
        <v>261</v>
      </c>
      <c r="W20" s="114" t="s">
        <v>263</v>
      </c>
    </row>
    <row r="21" spans="1:36" ht="20.100000000000001" customHeight="1" x14ac:dyDescent="0.25">
      <c r="A21" s="5" t="str">
        <f>HYPERLINK("#'4.2.1.3-4 Soil direct N20'!A1", "4.2.1.3-4 Soil direct N2O")</f>
        <v>4.2.1.3-4 Soil direct N2O</v>
      </c>
      <c r="D21" s="115" t="s">
        <v>79</v>
      </c>
      <c r="E21" s="116" t="s">
        <v>212</v>
      </c>
      <c r="F21" s="116" t="s">
        <v>192</v>
      </c>
      <c r="G21" s="116" t="s">
        <v>193</v>
      </c>
      <c r="H21" s="116" t="s">
        <v>194</v>
      </c>
      <c r="W21" s="115" t="s">
        <v>78</v>
      </c>
      <c r="X21" s="116" t="s">
        <v>192</v>
      </c>
      <c r="Y21" s="116" t="s">
        <v>193</v>
      </c>
      <c r="Z21" s="116" t="s">
        <v>194</v>
      </c>
    </row>
    <row r="22" spans="1:36" ht="20.100000000000001" customHeight="1" x14ac:dyDescent="0.25">
      <c r="A22" s="5" t="str">
        <f>HYPERLINK("#'4.2.1.5-6 Soil Atmos Dep'!A1", "4.2.1.5-6 Soil atm. deposition")</f>
        <v>4.2.1.5-6 Soil atm. deposition</v>
      </c>
      <c r="D22" s="26" t="s">
        <v>199</v>
      </c>
      <c r="E22" s="26" t="str">
        <f>'Input - Pasture Beef'!$E112</f>
        <v>Yes</v>
      </c>
      <c r="F22" s="175">
        <f>'Input - Pasture Beef'!$F112</f>
        <v>0.1</v>
      </c>
      <c r="G22" s="175">
        <f>'Input - Pasture Beef'!$G112</f>
        <v>0.4</v>
      </c>
      <c r="H22" s="175">
        <f>'Input - Pasture Beef'!$H112</f>
        <v>0.4</v>
      </c>
      <c r="I22" s="27" t="s">
        <v>264</v>
      </c>
      <c r="W22" s="26" t="str">
        <f>TEXT(EDATE('Input - Pasture Beef'!$D$125,0), "mmmm") &amp; ", " &amp; TEXT(EDATE('Input - Pasture Beef'!$D$126,0), "mmmm") &amp; ", " &amp; TEXT(EDATE('Input - Pasture Beef'!$D$127,0), "mmmm")</f>
        <v>August, September, October</v>
      </c>
      <c r="X22" s="175">
        <f>'Input - Pasture Beef'!$E$128</f>
        <v>0.75</v>
      </c>
      <c r="Y22" s="175">
        <f>'Input - Pasture Beef'!$F$128</f>
        <v>0.75</v>
      </c>
      <c r="Z22" s="175">
        <f>'Input - Pasture Beef'!$G$128</f>
        <v>0.75</v>
      </c>
      <c r="AA22" s="27" t="s">
        <v>264</v>
      </c>
    </row>
    <row r="23" spans="1:36" ht="20.100000000000001" customHeight="1" x14ac:dyDescent="0.25">
      <c r="A23" s="5" t="str">
        <f>HYPERLINK("#'4.2.1.7-8 Soil leach runoff'!A1", "4.2.1.7-8 Soil leach &amp; runoff")</f>
        <v>4.2.1.7-8 Soil leach &amp; runoff</v>
      </c>
      <c r="D23" s="26" t="s">
        <v>200</v>
      </c>
      <c r="E23" s="26" t="str">
        <f>'Input - Pasture Beef'!$E113</f>
        <v>Yes</v>
      </c>
      <c r="F23" s="175">
        <f>'Input - Pasture Beef'!$F113</f>
        <v>0.1</v>
      </c>
      <c r="G23" s="175">
        <f>'Input - Pasture Beef'!$G113</f>
        <v>0</v>
      </c>
      <c r="H23" s="175">
        <f>'Input - Pasture Beef'!$H113</f>
        <v>0</v>
      </c>
      <c r="W23" s="26" t="str">
        <f>TEXT(EDATE('Input - Pasture Beef'!$D$127,1), "mmmm") &amp; ", " &amp; TEXT(EDATE('Input - Pasture Beef'!$D$127,2), "mmmm") &amp; ", " &amp; TEXT(EDATE('Input - Pasture Beef'!$D$127,3), "mmmm")</f>
        <v>November, December, January</v>
      </c>
      <c r="AA23" s="27"/>
    </row>
    <row r="24" spans="1:36" ht="20.100000000000001" customHeight="1" x14ac:dyDescent="0.25">
      <c r="A24" s="5" t="str">
        <f>HYPERLINK("#'5.1.1.1-2 Inorganic fert N2O'!A1", "5.1.1.1-2 Inorganic fert N2O")</f>
        <v>5.1.1.1-2 Inorganic fert N2O</v>
      </c>
      <c r="D24" s="26" t="s">
        <v>201</v>
      </c>
      <c r="E24" s="26" t="str">
        <f>'Input - Pasture Beef'!$E114</f>
        <v>No</v>
      </c>
      <c r="F24" s="175">
        <f>'Input - Pasture Beef'!$F114</f>
        <v>0</v>
      </c>
      <c r="G24" s="175">
        <f>'Input - Pasture Beef'!$G114</f>
        <v>0</v>
      </c>
      <c r="H24" s="175">
        <f>'Input - Pasture Beef'!$H114</f>
        <v>0</v>
      </c>
      <c r="AA24" s="27"/>
    </row>
    <row r="25" spans="1:36" ht="20.100000000000001" customHeight="1" x14ac:dyDescent="0.25">
      <c r="A25" s="5" t="str">
        <f>HYPERLINK("#'5.1.1.3-4 Inorganic fert CO2'!A1", "5.1.1.3-4 Inorganic fert CO2")</f>
        <v>5.1.1.3-4 Inorganic fert CO2</v>
      </c>
      <c r="D25" s="26" t="s">
        <v>202</v>
      </c>
      <c r="E25" s="26" t="str">
        <f>'Input - Pasture Beef'!$E112</f>
        <v>Yes</v>
      </c>
      <c r="F25" s="175">
        <f>'Input - Pasture Beef'!$F$111</f>
        <v>0.7</v>
      </c>
      <c r="G25" s="175">
        <f>'Input - Pasture Beef'!$G$111</f>
        <v>0.5</v>
      </c>
      <c r="H25" s="175">
        <f>'Input - Pasture Beef'!$H$111</f>
        <v>0.5</v>
      </c>
      <c r="W25" s="113" t="s">
        <v>268</v>
      </c>
    </row>
    <row r="26" spans="1:36" ht="20.100000000000001" customHeight="1" x14ac:dyDescent="0.25">
      <c r="A26" s="5" t="str">
        <f>HYPERLINK("#'5.2.1.1-2 Organic Fert N2O'!A1", "5.2.1.1-2 Organic fert N2O")</f>
        <v>5.2.1.1-2 Organic fert N2O</v>
      </c>
      <c r="W26" s="114" t="s">
        <v>269</v>
      </c>
    </row>
    <row r="27" spans="1:36" ht="20.100000000000001" customHeight="1" x14ac:dyDescent="0.25">
      <c r="A27" s="5" t="str">
        <f>HYPERLINK("#'5.3.1.1-2 Lime CO2'!A1", "5.3.1.1-2 Lime CO2")</f>
        <v>5.3.1.1-2 Lime CO2</v>
      </c>
      <c r="D27" s="113" t="s">
        <v>265</v>
      </c>
      <c r="W27" s="115" t="s">
        <v>78</v>
      </c>
      <c r="X27" s="115" t="s">
        <v>212</v>
      </c>
      <c r="Y27" s="115" t="s">
        <v>267</v>
      </c>
      <c r="Z27" s="115" t="s">
        <v>189</v>
      </c>
      <c r="AA27" s="115" t="s">
        <v>190</v>
      </c>
      <c r="AB27" s="115" t="s">
        <v>191</v>
      </c>
      <c r="AC27" s="115" t="s">
        <v>192</v>
      </c>
      <c r="AD27" s="115" t="s">
        <v>193</v>
      </c>
      <c r="AE27" s="115" t="s">
        <v>194</v>
      </c>
      <c r="AF27" s="115" t="s">
        <v>195</v>
      </c>
      <c r="AG27" s="115" t="s">
        <v>196</v>
      </c>
      <c r="AH27" s="115" t="s">
        <v>197</v>
      </c>
      <c r="AI27" s="115" t="s">
        <v>198</v>
      </c>
    </row>
    <row r="28" spans="1:36" ht="20.100000000000001" customHeight="1" x14ac:dyDescent="0.25">
      <c r="A28" s="5" t="str">
        <f>HYPERLINK("#'5.4.1.1-4 Atmos deposition'!A1", "5.4.1.1-4 Atmos. deposition")</f>
        <v>5.4.1.1-4 Atmos. deposition</v>
      </c>
      <c r="D28" s="114" t="s">
        <v>266</v>
      </c>
      <c r="W28" s="26" t="str">
        <f>TEXT('Input - Site'!$E$12,"mmmm")</f>
        <v>NO - Not in leaching zone</v>
      </c>
      <c r="X28" s="26" t="str" cm="1">
        <f t="array" ref="X28">IFERROR(_xlfn.IFS(SUMPRODUCT(ISNUMBER(SEARCH(TRIM(_xlfn.TEXTSPLIT($W$22,",")),W28))*1)&gt;0,"Calving season",SUMPRODUCT(ISNUMBER(SEARCH(TRIM(_xlfn.TEXTSPLIT($W$23,",")),W28))*1)&gt;0,"Season after calving"), "")</f>
        <v/>
      </c>
      <c r="Y28" s="26" t="str" cm="1">
        <f t="array" ref="Y28">_xlfn.IFS(X28="Calving season", $J$14, X28="Season after calving", $J$15, X28="", "")</f>
        <v/>
      </c>
      <c r="Z28" s="26">
        <v>1</v>
      </c>
      <c r="AA28" s="26">
        <v>1</v>
      </c>
      <c r="AB28" s="26">
        <v>1</v>
      </c>
      <c r="AC28" s="26" cm="1">
        <f t="array" ref="AC28">IFERROR(EntericMethane_PastureBeef_Equations.VEERG_3_2_1_1__4_AdditionalIntakeForMilkProduction(X$22,$Y28), 1)</f>
        <v>1</v>
      </c>
      <c r="AD28" s="26" cm="1">
        <f t="array" ref="AD28">IFERROR(EntericMethane_PastureBeef_Equations.VEERG_3_2_1_1__4_AdditionalIntakeForMilkProduction(Y$22,$Y28), 1)</f>
        <v>1</v>
      </c>
      <c r="AE28" s="26" cm="1">
        <f t="array" ref="AE28">IFERROR(EntericMethane_PastureBeef_Equations.VEERG_3_2_1_1__4_AdditionalIntakeForMilkProduction(Z$22,$Y28), 1)</f>
        <v>1</v>
      </c>
      <c r="AF28" s="26">
        <v>1</v>
      </c>
      <c r="AG28" s="26">
        <v>1</v>
      </c>
      <c r="AH28" s="26">
        <v>1</v>
      </c>
      <c r="AI28" s="26">
        <v>1</v>
      </c>
      <c r="AJ28" s="27" t="str">
        <f>$E$11</f>
        <v>fraction</v>
      </c>
    </row>
    <row r="29" spans="1:36" ht="20.100000000000001" customHeight="1" x14ac:dyDescent="0.25">
      <c r="A29" s="5" t="str">
        <f>HYPERLINK("#'5.5.1.1-2 Leaching and runoff'!A1", "5.5.1.1-2 Leaching &amp; runoff")</f>
        <v>5.5.1.1-2 Leaching &amp; runoff</v>
      </c>
      <c r="D29" s="115" t="s">
        <v>79</v>
      </c>
      <c r="E29" s="115" t="s">
        <v>212</v>
      </c>
      <c r="F29" s="115" t="s">
        <v>376</v>
      </c>
      <c r="G29" s="115" t="s">
        <v>267</v>
      </c>
      <c r="H29" s="115" t="s">
        <v>267</v>
      </c>
      <c r="I29" s="115" t="s">
        <v>189</v>
      </c>
      <c r="J29" s="115" t="s">
        <v>190</v>
      </c>
      <c r="K29" s="115" t="s">
        <v>191</v>
      </c>
      <c r="L29" s="115" t="s">
        <v>192</v>
      </c>
      <c r="M29" s="115" t="s">
        <v>193</v>
      </c>
      <c r="N29" s="115" t="s">
        <v>194</v>
      </c>
      <c r="O29" s="115" t="s">
        <v>195</v>
      </c>
      <c r="P29" s="115" t="s">
        <v>196</v>
      </c>
      <c r="Q29" s="115" t="s">
        <v>197</v>
      </c>
      <c r="R29" s="115" t="s">
        <v>198</v>
      </c>
      <c r="W29" s="26" t="e">
        <f>TEXT(EDATE('Input - Site'!$E$12,1), "mmmm")</f>
        <v>#VALUE!</v>
      </c>
      <c r="X29" s="26" t="str" cm="1">
        <f t="array" ref="X29">IFERROR(_xlfn.IFS(SUMPRODUCT(ISNUMBER(SEARCH(TRIM(_xlfn.TEXTSPLIT($W$22,",")),W29))*1)&gt;0,"Calving season",SUMPRODUCT(ISNUMBER(SEARCH(TRIM(_xlfn.TEXTSPLIT($W$23,",")),W29))*1)&gt;0,"Season after calving"), "")</f>
        <v/>
      </c>
      <c r="Y29" s="26" t="str" cm="1">
        <f t="array" ref="Y29">_xlfn.IFS(X29="Calving season", $J$14, X29="Season after calving", $J$15, X29="", "")</f>
        <v/>
      </c>
      <c r="Z29" s="26">
        <v>1</v>
      </c>
      <c r="AA29" s="26">
        <v>1</v>
      </c>
      <c r="AB29" s="26">
        <v>1</v>
      </c>
      <c r="AC29" s="26" cm="1">
        <f t="array" ref="AC29">IFERROR(EntericMethane_PastureBeef_Equations.VEERG_3_2_1_1__4_AdditionalIntakeForMilkProduction(X$22,$Y29), 1)</f>
        <v>1</v>
      </c>
      <c r="AD29" s="26" cm="1">
        <f t="array" ref="AD29">IFERROR(EntericMethane_PastureBeef_Equations.VEERG_3_2_1_1__4_AdditionalIntakeForMilkProduction(Y$22,$Y29), 1)</f>
        <v>1</v>
      </c>
      <c r="AE29" s="26" cm="1">
        <f t="array" ref="AE29">IFERROR(EntericMethane_PastureBeef_Equations.VEERG_3_2_1_1__4_AdditionalIntakeForMilkProduction(Z$22,$Y29), 1)</f>
        <v>1</v>
      </c>
      <c r="AF29" s="26">
        <v>1</v>
      </c>
      <c r="AG29" s="26">
        <v>1</v>
      </c>
      <c r="AH29" s="26">
        <v>1</v>
      </c>
      <c r="AI29" s="26">
        <v>1</v>
      </c>
      <c r="AJ29" s="27" t="str">
        <f t="shared" ref="AJ29:AJ39" si="0">$E$11</f>
        <v>fraction</v>
      </c>
    </row>
    <row r="30" spans="1:36" ht="20.100000000000001" customHeight="1" x14ac:dyDescent="0.25">
      <c r="A30" s="5" t="str">
        <f>HYPERLINK("#'6.2.1.1-2 Pasture residue N2O'!A1", "6.2.1.1-2 Pasture residue N2O")</f>
        <v>6.2.1.1-2 Pasture residue N2O</v>
      </c>
      <c r="D30" s="26" t="s">
        <v>199</v>
      </c>
      <c r="E30" s="26" t="str">
        <f>IF('Input - Pasture Beef'!E112="Yes", "Calving season", "")</f>
        <v>Calving season</v>
      </c>
      <c r="F30" s="26" t="str">
        <f>IF('Input - Pasture Beef'!E111="Yes", "Season after calving","")</f>
        <v>Season after calving</v>
      </c>
      <c r="G30" s="26">
        <f>IF(E30="Calving season", $J$14, 1)</f>
        <v>1.3</v>
      </c>
      <c r="H30" s="26">
        <f>IF(F30="Season after calving", $J$15, 1)</f>
        <v>1.1000000000000001</v>
      </c>
      <c r="I30" s="26">
        <v>1</v>
      </c>
      <c r="J30" s="26">
        <v>1</v>
      </c>
      <c r="K30" s="26">
        <v>1</v>
      </c>
      <c r="L30" s="128" cm="1">
        <f t="array" ref="L30">EntericMethane_PastureBeef_Equations.VEERG_3_2_1_1__4_AdditionalIntakeForMilkProductionVariation(F22,F25,$G30,$H30)</f>
        <v>1.1000000000000001</v>
      </c>
      <c r="M30" s="128" cm="1">
        <f t="array" ref="M30">EntericMethane_PastureBeef_Equations.VEERG_3_2_1_1__4_AdditionalIntakeForMilkProductionVariation(G22,G25,$G30,$H30)</f>
        <v>1.17</v>
      </c>
      <c r="N30" s="128" cm="1">
        <f t="array" ref="N30">EntericMethane_PastureBeef_Equations.VEERG_3_2_1_1__4_AdditionalIntakeForMilkProductionVariation(H22,H25,$G30,$H30)</f>
        <v>1.17</v>
      </c>
      <c r="O30" s="26">
        <v>1</v>
      </c>
      <c r="P30" s="26">
        <v>1</v>
      </c>
      <c r="Q30" s="26">
        <v>1</v>
      </c>
      <c r="R30" s="26">
        <v>1</v>
      </c>
      <c r="S30" s="27" t="str">
        <f>$E$11</f>
        <v>fraction</v>
      </c>
      <c r="W30" s="26" t="e">
        <f>TEXT(EDATE('Input - Site'!$E$12,2), "mmmm")</f>
        <v>#VALUE!</v>
      </c>
      <c r="X30" s="26" t="str" cm="1">
        <f t="array" ref="X30">IFERROR(_xlfn.IFS(SUMPRODUCT(ISNUMBER(SEARCH(TRIM(_xlfn.TEXTSPLIT($W$22,",")),W30))*1)&gt;0,"Calving season",SUMPRODUCT(ISNUMBER(SEARCH(TRIM(_xlfn.TEXTSPLIT($W$23,",")),W30))*1)&gt;0,"Season after calving"), "")</f>
        <v/>
      </c>
      <c r="Y30" s="26" t="str" cm="1">
        <f t="array" ref="Y30">_xlfn.IFS(X30="Calving season", $J$14, X30="Season after calving", $J$15, X30="", "")</f>
        <v/>
      </c>
      <c r="Z30" s="26">
        <v>1</v>
      </c>
      <c r="AA30" s="26">
        <v>1</v>
      </c>
      <c r="AB30" s="26">
        <v>1</v>
      </c>
      <c r="AC30" s="26" cm="1">
        <f t="array" ref="AC30">IFERROR(EntericMethane_PastureBeef_Equations.VEERG_3_2_1_1__4_AdditionalIntakeForMilkProduction(X$22,$Y30), 1)</f>
        <v>1</v>
      </c>
      <c r="AD30" s="26" cm="1">
        <f t="array" ref="AD30">IFERROR(EntericMethane_PastureBeef_Equations.VEERG_3_2_1_1__4_AdditionalIntakeForMilkProduction(Y$22,$Y30), 1)</f>
        <v>1</v>
      </c>
      <c r="AE30" s="26" cm="1">
        <f t="array" ref="AE30">IFERROR(EntericMethane_PastureBeef_Equations.VEERG_3_2_1_1__4_AdditionalIntakeForMilkProduction(Z$22,$Y30), 1)</f>
        <v>1</v>
      </c>
      <c r="AF30" s="26">
        <v>1</v>
      </c>
      <c r="AG30" s="26">
        <v>1</v>
      </c>
      <c r="AH30" s="26">
        <v>1</v>
      </c>
      <c r="AI30" s="26">
        <v>1</v>
      </c>
      <c r="AJ30" s="27" t="str">
        <f t="shared" si="0"/>
        <v>fraction</v>
      </c>
    </row>
    <row r="31" spans="1:36" ht="20.100000000000001" customHeight="1" x14ac:dyDescent="0.25">
      <c r="A31" s="5" t="str">
        <f>HYPERLINK("#'6.3.1.1-2 Leach runoff pasture'!A1", "6.3.1.1-2 Leach &amp; runoff (pasture)")</f>
        <v>6.3.1.1-2 Leach &amp; runoff (pasture)</v>
      </c>
      <c r="D31" s="26" t="s">
        <v>200</v>
      </c>
      <c r="E31" s="26" t="str">
        <f>IF('Input - Pasture Beef'!E113="Yes", "Calving season", "")</f>
        <v>Calving season</v>
      </c>
      <c r="F31" s="26" t="str">
        <f>IF('Input - Pasture Beef'!E112="Yes", "Season after calving","")</f>
        <v>Season after calving</v>
      </c>
      <c r="G31" s="26">
        <f>IF(E31="Calving season", $J$14, 1)</f>
        <v>1.3</v>
      </c>
      <c r="H31" s="26">
        <f>IF(F31="Season after calving", $J$15, 1)</f>
        <v>1.1000000000000001</v>
      </c>
      <c r="I31" s="26">
        <v>1</v>
      </c>
      <c r="J31" s="26">
        <v>1</v>
      </c>
      <c r="K31" s="26">
        <v>1</v>
      </c>
      <c r="L31" s="128" cm="1">
        <f t="array" ref="L31">EntericMethane_PastureBeef_Equations.VEERG_3_2_1_1__4_AdditionalIntakeForMilkProductionVariation(F23,F22,$G31,$H31)</f>
        <v>1.04</v>
      </c>
      <c r="M31" s="128" cm="1">
        <f t="array" ref="M31">EntericMethane_PastureBeef_Equations.VEERG_3_2_1_1__4_AdditionalIntakeForMilkProductionVariation(G23,G22,$G31,$H31)</f>
        <v>1.04</v>
      </c>
      <c r="N31" s="128" cm="1">
        <f t="array" ref="N31">EntericMethane_PastureBeef_Equations.VEERG_3_2_1_1__4_AdditionalIntakeForMilkProductionVariation(H23,H22,$G31,$H31)</f>
        <v>1.04</v>
      </c>
      <c r="O31" s="26">
        <v>1</v>
      </c>
      <c r="P31" s="26">
        <v>1</v>
      </c>
      <c r="Q31" s="26">
        <v>1</v>
      </c>
      <c r="R31" s="26">
        <v>1</v>
      </c>
      <c r="S31" s="27" t="str">
        <f t="shared" ref="S31:S33" si="1">$E$11</f>
        <v>fraction</v>
      </c>
      <c r="W31" s="26" t="e">
        <f>TEXT(EDATE('Input - Site'!$E$12,3), "mmmm")</f>
        <v>#VALUE!</v>
      </c>
      <c r="X31" s="26" t="str" cm="1">
        <f t="array" ref="X31">IFERROR(_xlfn.IFS(SUMPRODUCT(ISNUMBER(SEARCH(TRIM(_xlfn.TEXTSPLIT($W$22,",")),W31))*1)&gt;0,"Calving season",SUMPRODUCT(ISNUMBER(SEARCH(TRIM(_xlfn.TEXTSPLIT($W$23,",")),W31))*1)&gt;0,"Season after calving"), "")</f>
        <v/>
      </c>
      <c r="Y31" s="26" t="str" cm="1">
        <f t="array" ref="Y31">_xlfn.IFS(X31="Calving season", $J$14, X31="Season after calving", $J$15, X31="", "")</f>
        <v/>
      </c>
      <c r="Z31" s="26">
        <v>1</v>
      </c>
      <c r="AA31" s="26">
        <v>1</v>
      </c>
      <c r="AB31" s="26">
        <v>1</v>
      </c>
      <c r="AC31" s="26" cm="1">
        <f t="array" ref="AC31">IFERROR(EntericMethane_PastureBeef_Equations.VEERG_3_2_1_1__4_AdditionalIntakeForMilkProduction(X$22,$Y31), 1)</f>
        <v>1</v>
      </c>
      <c r="AD31" s="26" cm="1">
        <f t="array" ref="AD31">IFERROR(EntericMethane_PastureBeef_Equations.VEERG_3_2_1_1__4_AdditionalIntakeForMilkProduction(Y$22,$Y31), 1)</f>
        <v>1</v>
      </c>
      <c r="AE31" s="26" cm="1">
        <f t="array" ref="AE31">IFERROR(EntericMethane_PastureBeef_Equations.VEERG_3_2_1_1__4_AdditionalIntakeForMilkProduction(Z$22,$Y31), 1)</f>
        <v>1</v>
      </c>
      <c r="AF31" s="26">
        <v>1</v>
      </c>
      <c r="AG31" s="26">
        <v>1</v>
      </c>
      <c r="AH31" s="26">
        <v>1</v>
      </c>
      <c r="AI31" s="26">
        <v>1</v>
      </c>
      <c r="AJ31" s="27" t="str">
        <f t="shared" si="0"/>
        <v>fraction</v>
      </c>
    </row>
    <row r="32" spans="1:36" ht="20.100000000000001" customHeight="1" x14ac:dyDescent="0.25">
      <c r="A32" s="5" t="str">
        <f>HYPERLINK("#'8.1.1.1-2 Transport fuel'!A1", "8.1.1.1-2 Transport fuel")</f>
        <v>8.1.1.1-2 Transport fuel</v>
      </c>
      <c r="D32" s="26" t="s">
        <v>201</v>
      </c>
      <c r="E32" s="26" t="str">
        <f>IF('Input - Pasture Beef'!E114="Yes", "Calving season", "")</f>
        <v/>
      </c>
      <c r="F32" s="26" t="str">
        <f>IF('Input - Pasture Beef'!E113="Yes", "Season after calving","")</f>
        <v>Season after calving</v>
      </c>
      <c r="G32" s="26">
        <f>IF(E32="Calving season", $J$14, 1)</f>
        <v>1</v>
      </c>
      <c r="H32" s="26">
        <f>IF(F32="Season after calving", $J$15, 1)</f>
        <v>1.1000000000000001</v>
      </c>
      <c r="I32" s="26">
        <v>1</v>
      </c>
      <c r="J32" s="26">
        <v>1</v>
      </c>
      <c r="K32" s="26">
        <v>1</v>
      </c>
      <c r="L32" s="128" cm="1">
        <f t="array" ref="L32">EntericMethane_PastureBeef_Equations.VEERG_3_2_1_1__4_AdditionalIntakeForMilkProductionVariation(F24,F23,$G32,$H32)</f>
        <v>1.01</v>
      </c>
      <c r="M32" s="128" cm="1">
        <f t="array" ref="M32">EntericMethane_PastureBeef_Equations.VEERG_3_2_1_1__4_AdditionalIntakeForMilkProductionVariation(G24,G23,$G32,$H32)</f>
        <v>1</v>
      </c>
      <c r="N32" s="128" cm="1">
        <f t="array" ref="N32">EntericMethane_PastureBeef_Equations.VEERG_3_2_1_1__4_AdditionalIntakeForMilkProductionVariation(H24,H23,$G32,$H32)</f>
        <v>1</v>
      </c>
      <c r="O32" s="26">
        <v>1</v>
      </c>
      <c r="P32" s="26">
        <v>1</v>
      </c>
      <c r="Q32" s="26">
        <v>1</v>
      </c>
      <c r="R32" s="26">
        <v>1</v>
      </c>
      <c r="S32" s="27" t="str">
        <f t="shared" si="1"/>
        <v>fraction</v>
      </c>
      <c r="W32" s="26" t="e">
        <f>TEXT(EDATE('Input - Site'!$E$12,4), "mmmm")</f>
        <v>#VALUE!</v>
      </c>
      <c r="X32" s="26" t="str" cm="1">
        <f t="array" ref="X32">IFERROR(_xlfn.IFS(SUMPRODUCT(ISNUMBER(SEARCH(TRIM(_xlfn.TEXTSPLIT($W$22,",")),W32))*1)&gt;0,"Calving season",SUMPRODUCT(ISNUMBER(SEARCH(TRIM(_xlfn.TEXTSPLIT($W$23,",")),W32))*1)&gt;0,"Season after calving"), "")</f>
        <v/>
      </c>
      <c r="Y32" s="26" t="str" cm="1">
        <f t="array" ref="Y32">_xlfn.IFS(X32="Calving season", $J$14, X32="Season after calving", $J$15, X32="", "")</f>
        <v/>
      </c>
      <c r="Z32" s="26">
        <v>1</v>
      </c>
      <c r="AA32" s="26">
        <v>1</v>
      </c>
      <c r="AB32" s="26">
        <v>1</v>
      </c>
      <c r="AC32" s="26" cm="1">
        <f t="array" ref="AC32">IFERROR(EntericMethane_PastureBeef_Equations.VEERG_3_2_1_1__4_AdditionalIntakeForMilkProduction(X$22,$Y32), 1)</f>
        <v>1</v>
      </c>
      <c r="AD32" s="26" cm="1">
        <f t="array" ref="AD32">IFERROR(EntericMethane_PastureBeef_Equations.VEERG_3_2_1_1__4_AdditionalIntakeForMilkProduction(Y$22,$Y32), 1)</f>
        <v>1</v>
      </c>
      <c r="AE32" s="26" cm="1">
        <f t="array" ref="AE32">IFERROR(EntericMethane_PastureBeef_Equations.VEERG_3_2_1_1__4_AdditionalIntakeForMilkProduction(Z$22,$Y32), 1)</f>
        <v>1</v>
      </c>
      <c r="AF32" s="26">
        <v>1</v>
      </c>
      <c r="AG32" s="26">
        <v>1</v>
      </c>
      <c r="AH32" s="26">
        <v>1</v>
      </c>
      <c r="AI32" s="26">
        <v>1</v>
      </c>
      <c r="AJ32" s="27" t="str">
        <f t="shared" si="0"/>
        <v>fraction</v>
      </c>
    </row>
    <row r="33" spans="1:36" ht="20.100000000000001" customHeight="1" x14ac:dyDescent="0.25">
      <c r="A33" s="5" t="str">
        <f>HYPERLINK("#'8.2.1.1-2 Stationary fuel'!A1", "8.2.1.1-2 Stationary fuel")</f>
        <v>8.2.1.1-2 Stationary fuel</v>
      </c>
      <c r="D33" s="26" t="s">
        <v>202</v>
      </c>
      <c r="E33" s="26" t="str">
        <f>IF('Input - Pasture Beef'!E111="Yes", "Calving season", "")</f>
        <v>Calving season</v>
      </c>
      <c r="F33" s="26" t="str">
        <f>IF('Input - Pasture Beef'!E114="Yes", "Season after calving","")</f>
        <v/>
      </c>
      <c r="G33" s="26">
        <f>IF(E33="Calving season", $J$14, 1)</f>
        <v>1.3</v>
      </c>
      <c r="H33" s="26">
        <f>IF(F33="Season after calving", $J$15, 1)</f>
        <v>1</v>
      </c>
      <c r="I33" s="26">
        <v>1</v>
      </c>
      <c r="J33" s="26">
        <v>1</v>
      </c>
      <c r="K33" s="26">
        <v>1</v>
      </c>
      <c r="L33" s="128" cm="1">
        <f t="array" ref="L33">EntericMethane_PastureBeef_Equations.VEERG_3_2_1_1__4_AdditionalIntakeForMilkProductionVariation(F25,F24,$G33,$H33)</f>
        <v>1.21</v>
      </c>
      <c r="M33" s="128" cm="1">
        <f t="array" ref="M33">EntericMethane_PastureBeef_Equations.VEERG_3_2_1_1__4_AdditionalIntakeForMilkProductionVariation(G25,G24,$G33,$H33)</f>
        <v>1.1499999999999999</v>
      </c>
      <c r="N33" s="128" cm="1">
        <f t="array" ref="N33">EntericMethane_PastureBeef_Equations.VEERG_3_2_1_1__4_AdditionalIntakeForMilkProductionVariation(H25,H24,$G33,$H33)</f>
        <v>1.1499999999999999</v>
      </c>
      <c r="O33" s="26">
        <v>1</v>
      </c>
      <c r="P33" s="26">
        <v>1</v>
      </c>
      <c r="Q33" s="26">
        <v>1</v>
      </c>
      <c r="R33" s="26">
        <v>1</v>
      </c>
      <c r="S33" s="27" t="str">
        <f t="shared" si="1"/>
        <v>fraction</v>
      </c>
      <c r="W33" s="26" t="e">
        <f>TEXT(EDATE('Input - Site'!$E$12,5), "mmmm")</f>
        <v>#VALUE!</v>
      </c>
      <c r="X33" s="26" t="str" cm="1">
        <f t="array" ref="X33">IFERROR(_xlfn.IFS(SUMPRODUCT(ISNUMBER(SEARCH(TRIM(_xlfn.TEXTSPLIT($W$22,",")),W33))*1)&gt;0,"Calving season",SUMPRODUCT(ISNUMBER(SEARCH(TRIM(_xlfn.TEXTSPLIT($W$23,",")),W33))*1)&gt;0,"Season after calving"), "")</f>
        <v/>
      </c>
      <c r="Y33" s="26" t="str" cm="1">
        <f t="array" ref="Y33">_xlfn.IFS(X33="Calving season", $J$14, X33="Season after calving", $J$15, X33="", "")</f>
        <v/>
      </c>
      <c r="Z33" s="26">
        <v>1</v>
      </c>
      <c r="AA33" s="26">
        <v>1</v>
      </c>
      <c r="AB33" s="26">
        <v>1</v>
      </c>
      <c r="AC33" s="26" cm="1">
        <f t="array" ref="AC33">IFERROR(EntericMethane_PastureBeef_Equations.VEERG_3_2_1_1__4_AdditionalIntakeForMilkProduction(X$22,$Y33), 1)</f>
        <v>1</v>
      </c>
      <c r="AD33" s="26" cm="1">
        <f t="array" ref="AD33">IFERROR(EntericMethane_PastureBeef_Equations.VEERG_3_2_1_1__4_AdditionalIntakeForMilkProduction(Y$22,$Y33), 1)</f>
        <v>1</v>
      </c>
      <c r="AE33" s="26" cm="1">
        <f t="array" ref="AE33">IFERROR(EntericMethane_PastureBeef_Equations.VEERG_3_2_1_1__4_AdditionalIntakeForMilkProduction(Z$22,$Y33), 1)</f>
        <v>1</v>
      </c>
      <c r="AF33" s="26">
        <v>1</v>
      </c>
      <c r="AG33" s="26">
        <v>1</v>
      </c>
      <c r="AH33" s="26">
        <v>1</v>
      </c>
      <c r="AI33" s="26">
        <v>1</v>
      </c>
      <c r="AJ33" s="27" t="str">
        <f t="shared" si="0"/>
        <v>fraction</v>
      </c>
    </row>
    <row r="34" spans="1:36" ht="20.100000000000001" customHeight="1" x14ac:dyDescent="0.25">
      <c r="A34" s="5" t="str">
        <f>HYPERLINK("#'14.1.1-2 Purchased electricity'!A1", "14.1.1-2 Purchased electricity")</f>
        <v>14.1.1-2 Purchased electricity</v>
      </c>
      <c r="W34" s="26" t="e">
        <f>TEXT(EDATE('Input - Site'!$E$12,6), "mmmm")</f>
        <v>#VALUE!</v>
      </c>
      <c r="X34" s="26" t="str" cm="1">
        <f t="array" ref="X34">IFERROR(_xlfn.IFS(SUMPRODUCT(ISNUMBER(SEARCH(TRIM(_xlfn.TEXTSPLIT($W$22,",")),W34))*1)&gt;0,"Calving season",SUMPRODUCT(ISNUMBER(SEARCH(TRIM(_xlfn.TEXTSPLIT($W$23,",")),W34))*1)&gt;0,"Season after calving"), "")</f>
        <v/>
      </c>
      <c r="Y34" s="26" t="str" cm="1">
        <f t="array" ref="Y34">_xlfn.IFS(X34="Calving season", $J$14, X34="Season after calving", $J$15, X34="", "")</f>
        <v/>
      </c>
      <c r="Z34" s="26">
        <v>1</v>
      </c>
      <c r="AA34" s="26">
        <v>1</v>
      </c>
      <c r="AB34" s="26">
        <v>1</v>
      </c>
      <c r="AC34" s="26" cm="1">
        <f t="array" ref="AC34">IFERROR(EntericMethane_PastureBeef_Equations.VEERG_3_2_1_1__4_AdditionalIntakeForMilkProduction(X$22,$Y34), 1)</f>
        <v>1</v>
      </c>
      <c r="AD34" s="26" cm="1">
        <f t="array" ref="AD34">IFERROR(EntericMethane_PastureBeef_Equations.VEERG_3_2_1_1__4_AdditionalIntakeForMilkProduction(Y$22,$Y34), 1)</f>
        <v>1</v>
      </c>
      <c r="AE34" s="26" cm="1">
        <f t="array" ref="AE34">IFERROR(EntericMethane_PastureBeef_Equations.VEERG_3_2_1_1__4_AdditionalIntakeForMilkProduction(Z$22,$Y34), 1)</f>
        <v>1</v>
      </c>
      <c r="AF34" s="26">
        <v>1</v>
      </c>
      <c r="AG34" s="26">
        <v>1</v>
      </c>
      <c r="AH34" s="26">
        <v>1</v>
      </c>
      <c r="AI34" s="26">
        <v>1</v>
      </c>
      <c r="AJ34" s="27" t="str">
        <f t="shared" si="0"/>
        <v>fraction</v>
      </c>
    </row>
    <row r="35" spans="1:36" ht="20.100000000000001" customHeight="1" x14ac:dyDescent="0.25">
      <c r="W35" s="26" t="e">
        <f>TEXT(EDATE('Input - Site'!$E$12,7), "mmmm")</f>
        <v>#VALUE!</v>
      </c>
      <c r="X35" s="26" t="str" cm="1">
        <f t="array" ref="X35">IFERROR(_xlfn.IFS(SUMPRODUCT(ISNUMBER(SEARCH(TRIM(_xlfn.TEXTSPLIT($W$22,",")),W35))*1)&gt;0,"Calving season",SUMPRODUCT(ISNUMBER(SEARCH(TRIM(_xlfn.TEXTSPLIT($W$23,",")),W35))*1)&gt;0,"Season after calving"), "")</f>
        <v/>
      </c>
      <c r="Y35" s="26" t="str" cm="1">
        <f t="array" ref="Y35">_xlfn.IFS(X35="Calving season", $J$14, X35="Season after calving", $J$15, X35="", "")</f>
        <v/>
      </c>
      <c r="Z35" s="26">
        <v>1</v>
      </c>
      <c r="AA35" s="26">
        <v>1</v>
      </c>
      <c r="AB35" s="26">
        <v>1</v>
      </c>
      <c r="AC35" s="26" cm="1">
        <f t="array" ref="AC35">IFERROR(EntericMethane_PastureBeef_Equations.VEERG_3_2_1_1__4_AdditionalIntakeForMilkProduction(X$22,$Y35), 1)</f>
        <v>1</v>
      </c>
      <c r="AD35" s="26" cm="1">
        <f t="array" ref="AD35">IFERROR(EntericMethane_PastureBeef_Equations.VEERG_3_2_1_1__4_AdditionalIntakeForMilkProduction(Y$22,$Y35), 1)</f>
        <v>1</v>
      </c>
      <c r="AE35" s="26" cm="1">
        <f t="array" ref="AE35">IFERROR(EntericMethane_PastureBeef_Equations.VEERG_3_2_1_1__4_AdditionalIntakeForMilkProduction(Z$22,$Y35), 1)</f>
        <v>1</v>
      </c>
      <c r="AF35" s="26">
        <v>1</v>
      </c>
      <c r="AG35" s="26">
        <v>1</v>
      </c>
      <c r="AH35" s="26">
        <v>1</v>
      </c>
      <c r="AI35" s="26">
        <v>1</v>
      </c>
      <c r="AJ35" s="27" t="str">
        <f t="shared" si="0"/>
        <v>fraction</v>
      </c>
    </row>
    <row r="36" spans="1:36" ht="20.100000000000001" customHeight="1" x14ac:dyDescent="0.25">
      <c r="C36" s="117"/>
      <c r="D36" s="117"/>
      <c r="E36" s="117"/>
      <c r="F36" s="117"/>
      <c r="G36" s="117"/>
      <c r="H36" s="117"/>
      <c r="I36" s="117"/>
      <c r="J36" s="117"/>
      <c r="K36" s="117"/>
      <c r="L36" s="117"/>
      <c r="M36" s="117"/>
      <c r="N36" s="117"/>
      <c r="O36" s="117"/>
      <c r="P36" s="117"/>
      <c r="Q36" s="117"/>
      <c r="R36" s="117"/>
      <c r="S36" s="117"/>
      <c r="T36" s="117"/>
      <c r="W36" s="26" t="e">
        <f>TEXT(EDATE('Input - Site'!$E$12,8), "mmmm")</f>
        <v>#VALUE!</v>
      </c>
      <c r="X36" s="26" t="str" cm="1">
        <f t="array" ref="X36">IFERROR(_xlfn.IFS(SUMPRODUCT(ISNUMBER(SEARCH(TRIM(_xlfn.TEXTSPLIT($W$22,",")),W36))*1)&gt;0,"Calving season",SUMPRODUCT(ISNUMBER(SEARCH(TRIM(_xlfn.TEXTSPLIT($W$23,",")),W36))*1)&gt;0,"Season after calving"), "")</f>
        <v/>
      </c>
      <c r="Y36" s="26" t="str" cm="1">
        <f t="array" ref="Y36">_xlfn.IFS(X36="Calving season", $J$14, X36="Season after calving", $J$15, X36="", "")</f>
        <v/>
      </c>
      <c r="Z36" s="26">
        <v>1</v>
      </c>
      <c r="AA36" s="26">
        <v>1</v>
      </c>
      <c r="AB36" s="26">
        <v>1</v>
      </c>
      <c r="AC36" s="26" cm="1">
        <f t="array" ref="AC36">IFERROR(EntericMethane_PastureBeef_Equations.VEERG_3_2_1_1__4_AdditionalIntakeForMilkProduction(X$22,$Y36), 1)</f>
        <v>1</v>
      </c>
      <c r="AD36" s="26" cm="1">
        <f t="array" ref="AD36">IFERROR(EntericMethane_PastureBeef_Equations.VEERG_3_2_1_1__4_AdditionalIntakeForMilkProduction(Y$22,$Y36), 1)</f>
        <v>1</v>
      </c>
      <c r="AE36" s="26" cm="1">
        <f t="array" ref="AE36">IFERROR(EntericMethane_PastureBeef_Equations.VEERG_3_2_1_1__4_AdditionalIntakeForMilkProduction(Z$22,$Y36), 1)</f>
        <v>1</v>
      </c>
      <c r="AF36" s="26">
        <v>1</v>
      </c>
      <c r="AG36" s="26">
        <v>1</v>
      </c>
      <c r="AH36" s="26">
        <v>1</v>
      </c>
      <c r="AI36" s="26">
        <v>1</v>
      </c>
      <c r="AJ36" s="27" t="str">
        <f t="shared" si="0"/>
        <v>fraction</v>
      </c>
    </row>
    <row r="37" spans="1:36" ht="20.100000000000001" customHeight="1" x14ac:dyDescent="0.25">
      <c r="A37" s="250" t="s">
        <v>1</v>
      </c>
      <c r="D37" s="2" t="str" cm="1">
        <f t="array" ref="D37">EntericMethane_PastureBeef_Equations.VEERG_3_2_1_1__3_FeedIntakeForGrazingBeef_Title()</f>
        <v>Feed intake for grazing beef cattle</v>
      </c>
      <c r="W37" s="26" t="e">
        <f>TEXT(EDATE('Input - Site'!$E$12,9), "mmmm")</f>
        <v>#VALUE!</v>
      </c>
      <c r="X37" s="26" t="str" cm="1">
        <f t="array" ref="X37">IFERROR(_xlfn.IFS(SUMPRODUCT(ISNUMBER(SEARCH(TRIM(_xlfn.TEXTSPLIT($W$22,",")),W37))*1)&gt;0,"Calving season",SUMPRODUCT(ISNUMBER(SEARCH(TRIM(_xlfn.TEXTSPLIT($W$23,",")),W37))*1)&gt;0,"Season after calving"), "")</f>
        <v/>
      </c>
      <c r="Y37" s="26" t="str" cm="1">
        <f t="array" ref="Y37">_xlfn.IFS(X37="Calving season", $J$14, X37="Season after calving", $J$15, X37="", "")</f>
        <v/>
      </c>
      <c r="Z37" s="26">
        <v>1</v>
      </c>
      <c r="AA37" s="26">
        <v>1</v>
      </c>
      <c r="AB37" s="26">
        <v>1</v>
      </c>
      <c r="AC37" s="26" cm="1">
        <f t="array" ref="AC37">IFERROR(EntericMethane_PastureBeef_Equations.VEERG_3_2_1_1__4_AdditionalIntakeForMilkProduction(X$22,$Y37), 1)</f>
        <v>1</v>
      </c>
      <c r="AD37" s="26" cm="1">
        <f t="array" ref="AD37">IFERROR(EntericMethane_PastureBeef_Equations.VEERG_3_2_1_1__4_AdditionalIntakeForMilkProduction(Y$22,$Y37), 1)</f>
        <v>1</v>
      </c>
      <c r="AE37" s="26" cm="1">
        <f t="array" ref="AE37">IFERROR(EntericMethane_PastureBeef_Equations.VEERG_3_2_1_1__4_AdditionalIntakeForMilkProduction(Z$22,$Y37), 1)</f>
        <v>1</v>
      </c>
      <c r="AF37" s="26">
        <v>1</v>
      </c>
      <c r="AG37" s="26">
        <v>1</v>
      </c>
      <c r="AH37" s="26">
        <v>1</v>
      </c>
      <c r="AI37" s="26">
        <v>1</v>
      </c>
      <c r="AJ37" s="27" t="str">
        <f t="shared" si="0"/>
        <v>fraction</v>
      </c>
    </row>
    <row r="38" spans="1:36" ht="20.100000000000001" customHeight="1" x14ac:dyDescent="0.25">
      <c r="A38" s="5" t="str">
        <f>HYPERLINK("#'Constants - Pasture Beef'!A1", "Constants - Pasture Beef")</f>
        <v>Constants - Pasture Beef</v>
      </c>
      <c r="D38" s="28" t="str" cm="1">
        <f t="array" ref="D38">EntericMethane_PastureBeef_Equations.VEERG_3_2_1_1__3_FeedIntakeForGrazingBeef_Source()</f>
        <v>VEERG 2026: 3.2.1.1, Equation (3)</v>
      </c>
      <c r="K38" s="1" t="s">
        <v>389</v>
      </c>
      <c r="L38" s="1" t="s">
        <v>390</v>
      </c>
      <c r="M38" s="1" t="s">
        <v>391</v>
      </c>
      <c r="W38" s="26" t="e">
        <f>TEXT(EDATE('Input - Site'!$E$12,10), "mmmm")</f>
        <v>#VALUE!</v>
      </c>
      <c r="X38" s="26" t="str" cm="1">
        <f t="array" ref="X38">IFERROR(_xlfn.IFS(SUMPRODUCT(ISNUMBER(SEARCH(TRIM(_xlfn.TEXTSPLIT($W$22,",")),W38))*1)&gt;0,"Calving season",SUMPRODUCT(ISNUMBER(SEARCH(TRIM(_xlfn.TEXTSPLIT($W$23,",")),W38))*1)&gt;0,"Season after calving"), "")</f>
        <v/>
      </c>
      <c r="Y38" s="26" t="str" cm="1">
        <f t="array" ref="Y38">_xlfn.IFS(X38="Calving season", $J$14, X38="Season after calving", $J$15, X38="", "")</f>
        <v/>
      </c>
      <c r="Z38" s="26">
        <v>1</v>
      </c>
      <c r="AA38" s="26">
        <v>1</v>
      </c>
      <c r="AB38" s="26">
        <v>1</v>
      </c>
      <c r="AC38" s="26" cm="1">
        <f t="array" ref="AC38">IFERROR(EntericMethane_PastureBeef_Equations.VEERG_3_2_1_1__4_AdditionalIntakeForMilkProduction(X$22,$Y38), 1)</f>
        <v>1</v>
      </c>
      <c r="AD38" s="26" cm="1">
        <f t="array" ref="AD38">IFERROR(EntericMethane_PastureBeef_Equations.VEERG_3_2_1_1__4_AdditionalIntakeForMilkProduction(Y$22,$Y38), 1)</f>
        <v>1</v>
      </c>
      <c r="AE38" s="26" cm="1">
        <f t="array" ref="AE38">IFERROR(EntericMethane_PastureBeef_Equations.VEERG_3_2_1_1__4_AdditionalIntakeForMilkProduction(Z$22,$Y38), 1)</f>
        <v>1</v>
      </c>
      <c r="AF38" s="26">
        <v>1</v>
      </c>
      <c r="AG38" s="26">
        <v>1</v>
      </c>
      <c r="AH38" s="26">
        <v>1</v>
      </c>
      <c r="AI38" s="26">
        <v>1</v>
      </c>
      <c r="AJ38" s="27" t="str">
        <f t="shared" si="0"/>
        <v>fraction</v>
      </c>
    </row>
    <row r="39" spans="1:36" ht="20.100000000000001" customHeight="1" x14ac:dyDescent="0.25">
      <c r="A39" s="5" t="str">
        <f>HYPERLINK("#'Constants - Ag Residue'!A1", "Constants - Ag residue")</f>
        <v>Constants - Ag residue</v>
      </c>
      <c r="D39" s="104" t="s">
        <v>257</v>
      </c>
      <c r="E39" s="104" t="str" cm="1">
        <f t="array" aca="1" ref="E39" ca="1">Common_InputFunctions.Utility_DisplayFunctionName($E$84)</f>
        <v>=EntericMethane_PastureBeef_Equations.VEERG_3_2_1_1__3_FeedIntakeForGrazingBeef</v>
      </c>
      <c r="W39" s="26" t="e">
        <f>TEXT(EDATE('Input - Site'!$E$12,11), "mmmm")</f>
        <v>#VALUE!</v>
      </c>
      <c r="X39" s="26" t="str" cm="1">
        <f t="array" ref="X39">IFERROR(_xlfn.IFS(SUMPRODUCT(ISNUMBER(SEARCH(TRIM(_xlfn.TEXTSPLIT($W$22,",")),W39))*1)&gt;0,"Calving season",SUMPRODUCT(ISNUMBER(SEARCH(TRIM(_xlfn.TEXTSPLIT($W$23,",")),W39))*1)&gt;0,"Season after calving"), "")</f>
        <v/>
      </c>
      <c r="Y39" s="26" t="str" cm="1">
        <f t="array" ref="Y39">_xlfn.IFS(X39="Calving season", $J$14, X39="Season after calving", $J$15, X39="", "")</f>
        <v/>
      </c>
      <c r="Z39" s="26">
        <v>1</v>
      </c>
      <c r="AA39" s="26">
        <v>1</v>
      </c>
      <c r="AB39" s="26">
        <v>1</v>
      </c>
      <c r="AC39" s="26" cm="1">
        <f t="array" ref="AC39">IFERROR(EntericMethane_PastureBeef_Equations.VEERG_3_2_1_1__4_AdditionalIntakeForMilkProduction(X$22,$Y39), 1)</f>
        <v>1</v>
      </c>
      <c r="AD39" s="26" cm="1">
        <f t="array" ref="AD39">IFERROR(EntericMethane_PastureBeef_Equations.VEERG_3_2_1_1__4_AdditionalIntakeForMilkProduction(Y$22,$Y39), 1)</f>
        <v>1</v>
      </c>
      <c r="AE39" s="26" cm="1">
        <f t="array" ref="AE39">IFERROR(EntericMethane_PastureBeef_Equations.VEERG_3_2_1_1__4_AdditionalIntakeForMilkProduction(Z$22,$Y39), 1)</f>
        <v>1</v>
      </c>
      <c r="AF39" s="26">
        <v>1</v>
      </c>
      <c r="AG39" s="26">
        <v>1</v>
      </c>
      <c r="AH39" s="26">
        <v>1</v>
      </c>
      <c r="AI39" s="26">
        <v>1</v>
      </c>
      <c r="AJ39" s="27"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3" t="s">
        <v>270</v>
      </c>
    </row>
    <row r="42" spans="1:36" ht="20.100000000000001" customHeight="1" x14ac:dyDescent="0.25">
      <c r="A42" s="5" t="str">
        <f>HYPERLINK("#'Constants - Fertiliser'!A1", "Constants - Fertiliser")</f>
        <v>Constants - Fertiliser</v>
      </c>
      <c r="D42" s="89" t="s">
        <v>259</v>
      </c>
      <c r="E42" s="1" t="str" cm="1">
        <f t="array" ref="E42">EntericMethane_PastureBeef_Equations.VEERG_3_2_1_1__3_FeedIntakeForGrazingBeef_Variable()</f>
        <v>I_jkl</v>
      </c>
      <c r="W42" s="114" t="s">
        <v>271</v>
      </c>
    </row>
    <row r="43" spans="1:36" ht="20.100000000000001" customHeight="1" x14ac:dyDescent="0.25">
      <c r="A43" s="5" t="str">
        <f>HYPERLINK("#'Constants - Fuel'!A1", "Constants - Fuel")</f>
        <v>Constants - Fuel</v>
      </c>
      <c r="D43" s="89" t="s">
        <v>133</v>
      </c>
      <c r="E43" s="15" t="str" cm="1">
        <f t="array" ref="E43">EntericMethane_PastureBeef_Equations.VEERG_3_2_1_1__3_FeedIntakeForGrazingBeef_Unit()</f>
        <v>kg DM/head/day</v>
      </c>
      <c r="W43" s="115" t="s">
        <v>78</v>
      </c>
      <c r="X43" s="116" t="s">
        <v>189</v>
      </c>
      <c r="Y43" s="116" t="s">
        <v>190</v>
      </c>
      <c r="Z43" s="116" t="s">
        <v>191</v>
      </c>
      <c r="AA43" s="116" t="s">
        <v>192</v>
      </c>
      <c r="AB43" s="116" t="s">
        <v>193</v>
      </c>
      <c r="AC43" s="116" t="s">
        <v>194</v>
      </c>
      <c r="AD43" s="116" t="s">
        <v>195</v>
      </c>
      <c r="AE43" s="116" t="s">
        <v>196</v>
      </c>
      <c r="AF43" s="116" t="s">
        <v>197</v>
      </c>
      <c r="AG43" s="116" t="s">
        <v>198</v>
      </c>
      <c r="AH43" s="27"/>
    </row>
    <row r="44" spans="1:36" ht="20.100000000000001" customHeight="1" x14ac:dyDescent="0.25">
      <c r="A44" s="5" t="str">
        <f>HYPERLINK("#'Constants - Common'!A1", "Constants - Common")</f>
        <v>Constants - Common</v>
      </c>
      <c r="W44" s="26" t="str">
        <f>TEXT('Input - Site'!$E$12, "mmmm yyyy")</f>
        <v>NO - Not in leaching zone</v>
      </c>
      <c r="X44" s="26" t="e" cm="1">
        <f t="array" aca="1" ref="X44:AG55" ca="1">OFFSET(X_Table_PastureBeef_Liveweight_Method2, 1,1, 12,10)</f>
        <v>#N/A</v>
      </c>
      <c r="Y44" s="26" t="e">
        <f ca="1"/>
        <v>#N/A</v>
      </c>
      <c r="Z44" s="26" t="e">
        <f ca="1"/>
        <v>#N/A</v>
      </c>
      <c r="AA44" s="26" t="e">
        <f ca="1"/>
        <v>#N/A</v>
      </c>
      <c r="AB44" s="26" t="e">
        <f ca="1"/>
        <v>#N/A</v>
      </c>
      <c r="AC44" s="26" t="e">
        <f ca="1"/>
        <v>#N/A</v>
      </c>
      <c r="AD44" s="26" t="e">
        <f ca="1"/>
        <v>#N/A</v>
      </c>
      <c r="AE44" s="26" t="e">
        <f ca="1"/>
        <v>#N/A</v>
      </c>
      <c r="AF44" s="26" t="e">
        <f ca="1"/>
        <v>#N/A</v>
      </c>
      <c r="AG44" s="26" t="e">
        <f ca="1"/>
        <v>#N/A</v>
      </c>
      <c r="AH44" s="27" t="s">
        <v>208</v>
      </c>
    </row>
    <row r="45" spans="1:36" ht="20.100000000000001" customHeight="1" x14ac:dyDescent="0.25">
      <c r="A45" s="5" t="str">
        <f>HYPERLINK("#'Acknowledgements'!A1", "Acknowledgements")</f>
        <v>Acknowledgements</v>
      </c>
      <c r="D45" s="106" t="str" cm="1">
        <f t="array" ref="D45:E47">_xlfn.CHOOSECOLS(EntericMethane_PastureBeef_Equations.VEERG_3_2_1_1__3_FeedIntakeForGrazingBeef_Arguments(), 1, 2)</f>
        <v>W_jkl</v>
      </c>
      <c r="E45" s="107" t="str">
        <v>liveweight (kg)</v>
      </c>
      <c r="F45" s="109"/>
      <c r="G45" s="106" t="str" cm="1">
        <f t="array" ref="G45:H47">_xlfn.CHOOSECOLS(EntericMethane_PastureBeef_Equations.VEERG_3_2_1_1__3_FeedIntakeForGrazingBeef_Arguments(), 3,4)</f>
        <v>kg</v>
      </c>
      <c r="H45" s="110" t="str">
        <v>Input</v>
      </c>
      <c r="I45" s="112" t="str" cm="1">
        <f t="array" aca="1" ref="I45" ca="1">HYPERLINK(Common_InputFunctions.Utility_SourceHyperlink($D$49), $D$49)</f>
        <v>M1_Table_W_j_k_l</v>
      </c>
      <c r="W45" s="26" t="e">
        <f>TEXT(EDATE('Input - Site'!$E$12,1), "mmmm yyyy")</f>
        <v>#VALUE!</v>
      </c>
      <c r="X45" s="26" t="e">
        <f ca="1"/>
        <v>#N/A</v>
      </c>
      <c r="Y45" s="26" t="e">
        <f ca="1"/>
        <v>#N/A</v>
      </c>
      <c r="Z45" s="26" t="e">
        <f ca="1"/>
        <v>#N/A</v>
      </c>
      <c r="AA45" s="26" t="e">
        <f ca="1"/>
        <v>#N/A</v>
      </c>
      <c r="AB45" s="26" t="e">
        <f ca="1"/>
        <v>#N/A</v>
      </c>
      <c r="AC45" s="26" t="e">
        <f ca="1"/>
        <v>#N/A</v>
      </c>
      <c r="AD45" s="26" t="e">
        <f ca="1"/>
        <v>#N/A</v>
      </c>
      <c r="AE45" s="26" t="e">
        <f ca="1"/>
        <v>#N/A</v>
      </c>
      <c r="AF45" s="26" t="e">
        <f ca="1"/>
        <v>#N/A</v>
      </c>
      <c r="AG45" s="26" t="e">
        <f ca="1"/>
        <v>#N/A</v>
      </c>
      <c r="AH45" s="27" t="s">
        <v>208</v>
      </c>
    </row>
    <row r="46" spans="1:36" ht="20.100000000000001" customHeight="1" x14ac:dyDescent="0.25">
      <c r="A46" s="5" t="str">
        <f>HYPERLINK("#'Overview'!A1", "Overview")</f>
        <v>Overview</v>
      </c>
      <c r="D46" s="106" t="str">
        <v>LWG_jkl</v>
      </c>
      <c r="E46" s="107" t="str">
        <v>live weight gain (kg/head/day)</v>
      </c>
      <c r="F46" s="109"/>
      <c r="G46" s="106" t="str">
        <v>kg/head/day</v>
      </c>
      <c r="H46" s="110" t="str">
        <v>Input</v>
      </c>
      <c r="I46" s="112" t="str" cm="1">
        <f t="array" aca="1" ref="I46" ca="1">HYPERLINK(Common_InputFunctions.Utility_SourceHyperlink($D$65), $D$65)</f>
        <v>M1_Table_LWG_j_k_l</v>
      </c>
      <c r="W46" s="26" t="e">
        <f>TEXT(EDATE('Input - Site'!$E$12,2), "mmmm yyyy")</f>
        <v>#VALUE!</v>
      </c>
      <c r="X46" s="26" t="e">
        <f ca="1"/>
        <v>#N/A</v>
      </c>
      <c r="Y46" s="26" t="e">
        <f ca="1"/>
        <v>#N/A</v>
      </c>
      <c r="Z46" s="26" t="e">
        <f ca="1"/>
        <v>#N/A</v>
      </c>
      <c r="AA46" s="26" t="e">
        <f ca="1"/>
        <v>#N/A</v>
      </c>
      <c r="AB46" s="26" t="e">
        <f ca="1"/>
        <v>#N/A</v>
      </c>
      <c r="AC46" s="26" t="e">
        <f ca="1"/>
        <v>#N/A</v>
      </c>
      <c r="AD46" s="26" t="e">
        <f ca="1"/>
        <v>#N/A</v>
      </c>
      <c r="AE46" s="26" t="e">
        <f ca="1"/>
        <v>#N/A</v>
      </c>
      <c r="AF46" s="26" t="e">
        <f ca="1"/>
        <v>#N/A</v>
      </c>
      <c r="AG46" s="26" t="e">
        <f ca="1"/>
        <v>#N/A</v>
      </c>
      <c r="AH46" s="27" t="s">
        <v>208</v>
      </c>
    </row>
    <row r="47" spans="1:36" ht="20.100000000000001" customHeight="1" x14ac:dyDescent="0.25">
      <c r="D47" s="106" t="str">
        <v>MA_jk45</v>
      </c>
      <c r="E47" s="107" t="str">
        <v>additional intake for milk production in cows greater than 2 years</v>
      </c>
      <c r="F47" s="109"/>
      <c r="G47" s="106" t="str">
        <v>kg/head/day</v>
      </c>
      <c r="H47" s="111" t="str">
        <v>Calculated from 3.2.1.1, (4)</v>
      </c>
      <c r="I47" s="112" t="str" cm="1">
        <f t="array" aca="1" ref="I47" ca="1">HYPERLINK(Common_InputFunctions.Utility_SourceHyperlink($D$27), $D$27)</f>
        <v>M1_Table_MA_j_k-4-5</v>
      </c>
      <c r="W47" s="26" t="e">
        <f>TEXT(EDATE('Input - Site'!$E$12,3), "mmmm yyyy")</f>
        <v>#VALUE!</v>
      </c>
      <c r="X47" s="26" t="e">
        <f ca="1"/>
        <v>#N/A</v>
      </c>
      <c r="Y47" s="26" t="e">
        <f ca="1"/>
        <v>#N/A</v>
      </c>
      <c r="Z47" s="26" t="e">
        <f ca="1"/>
        <v>#N/A</v>
      </c>
      <c r="AA47" s="26" t="e">
        <f ca="1"/>
        <v>#N/A</v>
      </c>
      <c r="AB47" s="26" t="e">
        <f ca="1"/>
        <v>#N/A</v>
      </c>
      <c r="AC47" s="26" t="e">
        <f ca="1"/>
        <v>#N/A</v>
      </c>
      <c r="AD47" s="26" t="e">
        <f ca="1"/>
        <v>#N/A</v>
      </c>
      <c r="AE47" s="26" t="e">
        <f ca="1"/>
        <v>#N/A</v>
      </c>
      <c r="AF47" s="26" t="e">
        <f ca="1"/>
        <v>#N/A</v>
      </c>
      <c r="AG47" s="26" t="e">
        <f ca="1"/>
        <v>#N/A</v>
      </c>
      <c r="AH47" s="27" t="s">
        <v>208</v>
      </c>
    </row>
    <row r="48" spans="1:36" ht="20.100000000000001" customHeight="1" x14ac:dyDescent="0.25">
      <c r="W48" s="26" t="e">
        <f>TEXT(EDATE('Input - Site'!$E$12,4), "mmmm yyyy")</f>
        <v>#VALUE!</v>
      </c>
      <c r="X48" s="26" t="e">
        <f ca="1"/>
        <v>#N/A</v>
      </c>
      <c r="Y48" s="26" t="e">
        <f ca="1"/>
        <v>#N/A</v>
      </c>
      <c r="Z48" s="26" t="e">
        <f ca="1"/>
        <v>#N/A</v>
      </c>
      <c r="AA48" s="26" t="e">
        <f ca="1"/>
        <v>#N/A</v>
      </c>
      <c r="AB48" s="26" t="e">
        <f ca="1"/>
        <v>#N/A</v>
      </c>
      <c r="AC48" s="26" t="e">
        <f ca="1"/>
        <v>#N/A</v>
      </c>
      <c r="AD48" s="26" t="e">
        <f ca="1"/>
        <v>#N/A</v>
      </c>
      <c r="AE48" s="26" t="e">
        <f ca="1"/>
        <v>#N/A</v>
      </c>
      <c r="AF48" s="26" t="e">
        <f ca="1"/>
        <v>#N/A</v>
      </c>
      <c r="AG48" s="26" t="e">
        <f ca="1"/>
        <v>#N/A</v>
      </c>
      <c r="AH48" s="27" t="s">
        <v>208</v>
      </c>
    </row>
    <row r="49" spans="4:36" ht="20.100000000000001" customHeight="1" x14ac:dyDescent="0.25">
      <c r="D49" s="113" t="s">
        <v>272</v>
      </c>
      <c r="W49" s="26" t="e">
        <f>TEXT(EDATE('Input - Site'!$E$12,5), "mmmm yyyy")</f>
        <v>#VALUE!</v>
      </c>
      <c r="X49" s="26" t="e">
        <f ca="1"/>
        <v>#N/A</v>
      </c>
      <c r="Y49" s="26" t="e">
        <f ca="1"/>
        <v>#N/A</v>
      </c>
      <c r="Z49" s="26" t="e">
        <f ca="1"/>
        <v>#N/A</v>
      </c>
      <c r="AA49" s="26" t="e">
        <f ca="1"/>
        <v>#N/A</v>
      </c>
      <c r="AB49" s="26" t="e">
        <f ca="1"/>
        <v>#N/A</v>
      </c>
      <c r="AC49" s="26" t="e">
        <f ca="1"/>
        <v>#N/A</v>
      </c>
      <c r="AD49" s="26" t="e">
        <f ca="1"/>
        <v>#N/A</v>
      </c>
      <c r="AE49" s="26" t="e">
        <f ca="1"/>
        <v>#N/A</v>
      </c>
      <c r="AF49" s="26" t="e">
        <f ca="1"/>
        <v>#N/A</v>
      </c>
      <c r="AG49" s="26" t="e">
        <f ca="1"/>
        <v>#N/A</v>
      </c>
      <c r="AH49" s="27" t="s">
        <v>208</v>
      </c>
    </row>
    <row r="50" spans="4:36" ht="20.100000000000001" customHeight="1" x14ac:dyDescent="0.25">
      <c r="D50" s="114" t="s">
        <v>273</v>
      </c>
      <c r="W50" s="26" t="e">
        <f>TEXT(EDATE('Input - Site'!$E$12,6), "mmmm yyyy")</f>
        <v>#VALUE!</v>
      </c>
      <c r="X50" s="26" t="e">
        <f ca="1"/>
        <v>#N/A</v>
      </c>
      <c r="Y50" s="26" t="e">
        <f ca="1"/>
        <v>#N/A</v>
      </c>
      <c r="Z50" s="26" t="e">
        <f ca="1"/>
        <v>#N/A</v>
      </c>
      <c r="AA50" s="26" t="e">
        <f ca="1"/>
        <v>#N/A</v>
      </c>
      <c r="AB50" s="26" t="e">
        <f ca="1"/>
        <v>#N/A</v>
      </c>
      <c r="AC50" s="26" t="e">
        <f ca="1"/>
        <v>#N/A</v>
      </c>
      <c r="AD50" s="26" t="e">
        <f ca="1"/>
        <v>#N/A</v>
      </c>
      <c r="AE50" s="26" t="e">
        <f ca="1"/>
        <v>#N/A</v>
      </c>
      <c r="AF50" s="26" t="e">
        <f ca="1"/>
        <v>#N/A</v>
      </c>
      <c r="AG50" s="26" t="e">
        <f ca="1"/>
        <v>#N/A</v>
      </c>
      <c r="AH50" s="27" t="s">
        <v>208</v>
      </c>
    </row>
    <row r="51" spans="4:36" ht="20.100000000000001" customHeight="1" x14ac:dyDescent="0.25">
      <c r="D51" s="115" t="s">
        <v>79</v>
      </c>
      <c r="E51" s="116" t="s">
        <v>189</v>
      </c>
      <c r="F51" s="116" t="s">
        <v>190</v>
      </c>
      <c r="G51" s="116" t="s">
        <v>191</v>
      </c>
      <c r="H51" s="116" t="s">
        <v>192</v>
      </c>
      <c r="I51" s="116" t="s">
        <v>193</v>
      </c>
      <c r="J51" s="116" t="s">
        <v>194</v>
      </c>
      <c r="K51" s="116" t="s">
        <v>195</v>
      </c>
      <c r="L51" s="116" t="s">
        <v>196</v>
      </c>
      <c r="M51" s="116" t="s">
        <v>197</v>
      </c>
      <c r="N51" s="116" t="s">
        <v>198</v>
      </c>
      <c r="W51" s="26" t="e">
        <f>TEXT(EDATE('Input - Site'!$E$12,7), "mmmm yyyy")</f>
        <v>#VALUE!</v>
      </c>
      <c r="X51" s="26" t="e">
        <f ca="1"/>
        <v>#N/A</v>
      </c>
      <c r="Y51" s="26" t="e">
        <f ca="1"/>
        <v>#N/A</v>
      </c>
      <c r="Z51" s="26" t="e">
        <f ca="1"/>
        <v>#N/A</v>
      </c>
      <c r="AA51" s="26" t="e">
        <f ca="1"/>
        <v>#N/A</v>
      </c>
      <c r="AB51" s="26" t="e">
        <f ca="1"/>
        <v>#N/A</v>
      </c>
      <c r="AC51" s="26" t="e">
        <f ca="1"/>
        <v>#N/A</v>
      </c>
      <c r="AD51" s="26" t="e">
        <f ca="1"/>
        <v>#N/A</v>
      </c>
      <c r="AE51" s="26" t="e">
        <f ca="1"/>
        <v>#N/A</v>
      </c>
      <c r="AF51" s="26" t="e">
        <f ca="1"/>
        <v>#N/A</v>
      </c>
      <c r="AG51" s="26" t="e">
        <f ca="1"/>
        <v>#N/A</v>
      </c>
      <c r="AH51" s="27" t="s">
        <v>208</v>
      </c>
      <c r="AI51" s="27"/>
      <c r="AJ51" s="27"/>
    </row>
    <row r="52" spans="4:36" ht="20.100000000000001" customHeight="1" x14ac:dyDescent="0.25">
      <c r="D52" s="26" t="str">
        <f>INDEX(X_Table_PastureBeef_Liveweight_Method1,2,1)</f>
        <v>Spring</v>
      </c>
      <c r="E52" s="26" t="e" cm="1">
        <f t="array" aca="1" ref="E52:N55" ca="1">OFFSET(X_Table_PastureBeef_Liveweight_Method1, 1,1, 4,10)</f>
        <v>#N/A</v>
      </c>
      <c r="F52" s="26" t="e">
        <f ca="1"/>
        <v>#N/A</v>
      </c>
      <c r="G52" s="26" t="e">
        <f ca="1"/>
        <v>#N/A</v>
      </c>
      <c r="H52" s="26" t="e">
        <f ca="1"/>
        <v>#N/A</v>
      </c>
      <c r="I52" s="26" t="e">
        <f ca="1"/>
        <v>#N/A</v>
      </c>
      <c r="J52" s="26" t="e">
        <f ca="1"/>
        <v>#N/A</v>
      </c>
      <c r="K52" s="26" t="e">
        <f ca="1"/>
        <v>#N/A</v>
      </c>
      <c r="L52" s="26" t="e">
        <f ca="1"/>
        <v>#N/A</v>
      </c>
      <c r="M52" s="26" t="e">
        <f ca="1"/>
        <v>#N/A</v>
      </c>
      <c r="N52" s="26" t="e">
        <f ca="1"/>
        <v>#N/A</v>
      </c>
      <c r="O52" s="27" t="s">
        <v>208</v>
      </c>
      <c r="P52" s="27"/>
      <c r="Q52" s="27"/>
      <c r="R52" s="27"/>
      <c r="S52" s="27"/>
      <c r="W52" s="26" t="e">
        <f>TEXT(EDATE('Input - Site'!$E$12,8), "mmmm yyyy")</f>
        <v>#VALUE!</v>
      </c>
      <c r="X52" s="26" t="e">
        <f ca="1"/>
        <v>#N/A</v>
      </c>
      <c r="Y52" s="26" t="e">
        <f ca="1"/>
        <v>#N/A</v>
      </c>
      <c r="Z52" s="26" t="e">
        <f ca="1"/>
        <v>#N/A</v>
      </c>
      <c r="AA52" s="26" t="e">
        <f ca="1"/>
        <v>#N/A</v>
      </c>
      <c r="AB52" s="26" t="e">
        <f ca="1"/>
        <v>#N/A</v>
      </c>
      <c r="AC52" s="26" t="e">
        <f ca="1"/>
        <v>#N/A</v>
      </c>
      <c r="AD52" s="26" t="e">
        <f ca="1"/>
        <v>#N/A</v>
      </c>
      <c r="AE52" s="26" t="e">
        <f ca="1"/>
        <v>#N/A</v>
      </c>
      <c r="AF52" s="26" t="e">
        <f ca="1"/>
        <v>#N/A</v>
      </c>
      <c r="AG52" s="26" t="e">
        <f ca="1"/>
        <v>#N/A</v>
      </c>
      <c r="AH52" s="27" t="s">
        <v>208</v>
      </c>
      <c r="AI52" s="27"/>
      <c r="AJ52" s="27"/>
    </row>
    <row r="53" spans="4:36" ht="20.100000000000001" customHeight="1" x14ac:dyDescent="0.25">
      <c r="D53" s="26" t="str">
        <f>INDEX(X_Table_PastureBeef_Liveweight_Method1,3,1)</f>
        <v>Summer</v>
      </c>
      <c r="E53" s="26" t="e">
        <f ca="1"/>
        <v>#N/A</v>
      </c>
      <c r="F53" s="26" t="e">
        <f ca="1"/>
        <v>#N/A</v>
      </c>
      <c r="G53" s="26" t="e">
        <f ca="1"/>
        <v>#N/A</v>
      </c>
      <c r="H53" s="26" t="e">
        <f ca="1"/>
        <v>#N/A</v>
      </c>
      <c r="I53" s="26" t="e">
        <f ca="1"/>
        <v>#N/A</v>
      </c>
      <c r="J53" s="26" t="e">
        <f ca="1"/>
        <v>#N/A</v>
      </c>
      <c r="K53" s="26" t="e">
        <f ca="1"/>
        <v>#N/A</v>
      </c>
      <c r="L53" s="26" t="e">
        <f ca="1"/>
        <v>#N/A</v>
      </c>
      <c r="M53" s="26" t="e">
        <f ca="1"/>
        <v>#N/A</v>
      </c>
      <c r="N53" s="26" t="e">
        <f ca="1"/>
        <v>#N/A</v>
      </c>
      <c r="O53" s="27" t="s">
        <v>208</v>
      </c>
      <c r="P53" s="27"/>
      <c r="Q53" s="27"/>
      <c r="R53" s="27"/>
      <c r="S53" s="27"/>
      <c r="W53" s="26" t="e">
        <f>TEXT(EDATE('Input - Site'!$E$12,9), "mmmm yyyy")</f>
        <v>#VALUE!</v>
      </c>
      <c r="X53" s="26" t="e">
        <f ca="1"/>
        <v>#N/A</v>
      </c>
      <c r="Y53" s="26" t="e">
        <f ca="1"/>
        <v>#N/A</v>
      </c>
      <c r="Z53" s="26" t="e">
        <f ca="1"/>
        <v>#N/A</v>
      </c>
      <c r="AA53" s="26" t="e">
        <f ca="1"/>
        <v>#N/A</v>
      </c>
      <c r="AB53" s="26" t="e">
        <f ca="1"/>
        <v>#N/A</v>
      </c>
      <c r="AC53" s="26" t="e">
        <f ca="1"/>
        <v>#N/A</v>
      </c>
      <c r="AD53" s="26" t="e">
        <f ca="1"/>
        <v>#N/A</v>
      </c>
      <c r="AE53" s="26" t="e">
        <f ca="1"/>
        <v>#N/A</v>
      </c>
      <c r="AF53" s="26" t="e">
        <f ca="1"/>
        <v>#N/A</v>
      </c>
      <c r="AG53" s="26" t="e">
        <f ca="1"/>
        <v>#N/A</v>
      </c>
      <c r="AH53" s="27" t="s">
        <v>208</v>
      </c>
      <c r="AI53" s="27"/>
      <c r="AJ53" s="27"/>
    </row>
    <row r="54" spans="4:36" ht="20.100000000000001" customHeight="1" x14ac:dyDescent="0.25">
      <c r="D54" s="26" t="str">
        <f>INDEX(X_Table_PastureBeef_Liveweight_Method1,4,1)</f>
        <v>Autumn</v>
      </c>
      <c r="E54" s="26" t="e">
        <f ca="1"/>
        <v>#N/A</v>
      </c>
      <c r="F54" s="26" t="e">
        <f ca="1"/>
        <v>#N/A</v>
      </c>
      <c r="G54" s="26" t="e">
        <f ca="1"/>
        <v>#N/A</v>
      </c>
      <c r="H54" s="26" t="e">
        <f ca="1"/>
        <v>#N/A</v>
      </c>
      <c r="I54" s="26" t="e">
        <f ca="1"/>
        <v>#N/A</v>
      </c>
      <c r="J54" s="26" t="e">
        <f ca="1"/>
        <v>#N/A</v>
      </c>
      <c r="K54" s="26" t="e">
        <f ca="1"/>
        <v>#N/A</v>
      </c>
      <c r="L54" s="26" t="e">
        <f ca="1"/>
        <v>#N/A</v>
      </c>
      <c r="M54" s="26" t="e">
        <f ca="1"/>
        <v>#N/A</v>
      </c>
      <c r="N54" s="26" t="e">
        <f ca="1"/>
        <v>#N/A</v>
      </c>
      <c r="O54" s="27" t="s">
        <v>208</v>
      </c>
      <c r="P54" s="27"/>
      <c r="Q54" s="27"/>
      <c r="R54" s="27"/>
      <c r="S54" s="27"/>
      <c r="W54" s="26" t="e">
        <f>TEXT(EDATE('Input - Site'!$E$12,10), "mmmm yyyy")</f>
        <v>#VALUE!</v>
      </c>
      <c r="X54" s="26" t="e">
        <f ca="1"/>
        <v>#N/A</v>
      </c>
      <c r="Y54" s="26" t="e">
        <f ca="1"/>
        <v>#N/A</v>
      </c>
      <c r="Z54" s="26" t="e">
        <f ca="1"/>
        <v>#N/A</v>
      </c>
      <c r="AA54" s="26" t="e">
        <f ca="1"/>
        <v>#N/A</v>
      </c>
      <c r="AB54" s="26" t="e">
        <f ca="1"/>
        <v>#N/A</v>
      </c>
      <c r="AC54" s="26" t="e">
        <f ca="1"/>
        <v>#N/A</v>
      </c>
      <c r="AD54" s="26" t="e">
        <f ca="1"/>
        <v>#N/A</v>
      </c>
      <c r="AE54" s="26" t="e">
        <f ca="1"/>
        <v>#N/A</v>
      </c>
      <c r="AF54" s="26" t="e">
        <f ca="1"/>
        <v>#N/A</v>
      </c>
      <c r="AG54" s="26" t="e">
        <f ca="1"/>
        <v>#N/A</v>
      </c>
      <c r="AH54" s="27" t="s">
        <v>208</v>
      </c>
      <c r="AI54" s="27"/>
      <c r="AJ54" s="27"/>
    </row>
    <row r="55" spans="4:36" ht="20.100000000000001" customHeight="1" x14ac:dyDescent="0.25">
      <c r="D55" s="26" t="str">
        <f>INDEX(X_Table_PastureBeef_Liveweight_Method1,5,1)</f>
        <v>Winter</v>
      </c>
      <c r="E55" s="26" t="e">
        <f ca="1"/>
        <v>#N/A</v>
      </c>
      <c r="F55" s="26" t="e">
        <f ca="1"/>
        <v>#N/A</v>
      </c>
      <c r="G55" s="26" t="e">
        <f ca="1"/>
        <v>#N/A</v>
      </c>
      <c r="H55" s="26" t="e">
        <f ca="1"/>
        <v>#N/A</v>
      </c>
      <c r="I55" s="26" t="e">
        <f ca="1"/>
        <v>#N/A</v>
      </c>
      <c r="J55" s="26" t="e">
        <f ca="1"/>
        <v>#N/A</v>
      </c>
      <c r="K55" s="26" t="e">
        <f ca="1"/>
        <v>#N/A</v>
      </c>
      <c r="L55" s="26" t="e">
        <f ca="1"/>
        <v>#N/A</v>
      </c>
      <c r="M55" s="26" t="e">
        <f ca="1"/>
        <v>#N/A</v>
      </c>
      <c r="N55" s="26" t="e">
        <f ca="1"/>
        <v>#N/A</v>
      </c>
      <c r="O55" s="27" t="s">
        <v>208</v>
      </c>
      <c r="P55" s="27"/>
      <c r="Q55" s="27"/>
      <c r="R55" s="27"/>
      <c r="S55" s="27"/>
      <c r="W55" s="26" t="e">
        <f>TEXT(EDATE('Input - Site'!$E$12,11), "mmmm yyyy")</f>
        <v>#VALUE!</v>
      </c>
      <c r="X55" s="26" t="e">
        <f ca="1"/>
        <v>#N/A</v>
      </c>
      <c r="Y55" s="26" t="e">
        <f ca="1"/>
        <v>#N/A</v>
      </c>
      <c r="Z55" s="26" t="e">
        <f ca="1"/>
        <v>#N/A</v>
      </c>
      <c r="AA55" s="26" t="e">
        <f ca="1"/>
        <v>#N/A</v>
      </c>
      <c r="AB55" s="26" t="e">
        <f ca="1"/>
        <v>#N/A</v>
      </c>
      <c r="AC55" s="26" t="e">
        <f ca="1"/>
        <v>#N/A</v>
      </c>
      <c r="AD55" s="26" t="e">
        <f ca="1"/>
        <v>#N/A</v>
      </c>
      <c r="AE55" s="26" t="e">
        <f ca="1"/>
        <v>#N/A</v>
      </c>
      <c r="AF55" s="26" t="e">
        <f ca="1"/>
        <v>#N/A</v>
      </c>
      <c r="AG55" s="26" t="e">
        <f ca="1"/>
        <v>#N/A</v>
      </c>
      <c r="AH55" s="27" t="s">
        <v>208</v>
      </c>
      <c r="AI55" s="27"/>
      <c r="AJ55" s="27"/>
    </row>
    <row r="56" spans="4:36" ht="20.100000000000001" customHeight="1" x14ac:dyDescent="0.25">
      <c r="AI56" s="27"/>
      <c r="AJ56" s="27"/>
    </row>
    <row r="57" spans="4:36" ht="20.100000000000001" customHeight="1" x14ac:dyDescent="0.25">
      <c r="W57" s="113" t="s">
        <v>276</v>
      </c>
      <c r="AI57" s="27"/>
      <c r="AJ57" s="27"/>
    </row>
    <row r="58" spans="4:36" ht="20.100000000000001" customHeight="1" x14ac:dyDescent="0.25">
      <c r="W58" s="114" t="s">
        <v>277</v>
      </c>
      <c r="AI58" s="27"/>
      <c r="AJ58" s="27"/>
    </row>
    <row r="59" spans="4:36" ht="20.100000000000001" customHeight="1" x14ac:dyDescent="0.25">
      <c r="W59" s="115" t="s">
        <v>78</v>
      </c>
      <c r="X59" s="116" t="s">
        <v>189</v>
      </c>
      <c r="Y59" s="116" t="s">
        <v>190</v>
      </c>
      <c r="Z59" s="116" t="s">
        <v>191</v>
      </c>
      <c r="AA59" s="116" t="s">
        <v>192</v>
      </c>
      <c r="AB59" s="116" t="s">
        <v>193</v>
      </c>
      <c r="AC59" s="116" t="s">
        <v>194</v>
      </c>
      <c r="AD59" s="116" t="s">
        <v>195</v>
      </c>
      <c r="AE59" s="116" t="s">
        <v>196</v>
      </c>
      <c r="AF59" s="116" t="s">
        <v>197</v>
      </c>
      <c r="AG59" s="116" t="s">
        <v>198</v>
      </c>
      <c r="AI59" s="27"/>
      <c r="AJ59" s="27"/>
    </row>
    <row r="60" spans="4:36" ht="20.100000000000001" customHeight="1" x14ac:dyDescent="0.25">
      <c r="W60" s="26" t="str">
        <f>TEXT('Input - Site'!$E$12, "mmmm yyyy")</f>
        <v>NO - Not in leaching zone</v>
      </c>
      <c r="X60" s="26" t="e" cm="1">
        <f t="array" aca="1" ref="X60:AG71" ca="1">OFFSET(X_Table_PastureBeef_LiveweightGain_Method2, 1,1, 12,10)</f>
        <v>#N/A</v>
      </c>
      <c r="Y60" s="26" t="e">
        <f ca="1"/>
        <v>#N/A</v>
      </c>
      <c r="Z60" s="26" t="e">
        <f ca="1"/>
        <v>#N/A</v>
      </c>
      <c r="AA60" s="26" t="e">
        <f ca="1"/>
        <v>#N/A</v>
      </c>
      <c r="AB60" s="26" t="e">
        <f ca="1"/>
        <v>#N/A</v>
      </c>
      <c r="AC60" s="26" t="e">
        <f ca="1"/>
        <v>#N/A</v>
      </c>
      <c r="AD60" s="26" t="e">
        <f ca="1"/>
        <v>#N/A</v>
      </c>
      <c r="AE60" s="26" t="e">
        <f ca="1"/>
        <v>#N/A</v>
      </c>
      <c r="AF60" s="26" t="e">
        <f ca="1"/>
        <v>#N/A</v>
      </c>
      <c r="AG60" s="26" t="e">
        <f ca="1"/>
        <v>#N/A</v>
      </c>
      <c r="AH60" s="27" t="s">
        <v>210</v>
      </c>
      <c r="AI60" s="27"/>
      <c r="AJ60" s="27"/>
    </row>
    <row r="61" spans="4:36" ht="20.100000000000001" customHeight="1" x14ac:dyDescent="0.25">
      <c r="W61" s="26" t="e">
        <f>TEXT(EDATE('Input - Site'!$E$12,1), "mmmm yyyy")</f>
        <v>#VALUE!</v>
      </c>
      <c r="X61" s="26" t="e">
        <f ca="1"/>
        <v>#N/A</v>
      </c>
      <c r="Y61" s="26" t="e">
        <f ca="1"/>
        <v>#N/A</v>
      </c>
      <c r="Z61" s="26" t="e">
        <f ca="1"/>
        <v>#N/A</v>
      </c>
      <c r="AA61" s="26" t="e">
        <f ca="1"/>
        <v>#N/A</v>
      </c>
      <c r="AB61" s="26" t="e">
        <f ca="1"/>
        <v>#N/A</v>
      </c>
      <c r="AC61" s="26" t="e">
        <f ca="1"/>
        <v>#N/A</v>
      </c>
      <c r="AD61" s="26" t="e">
        <f ca="1"/>
        <v>#N/A</v>
      </c>
      <c r="AE61" s="26" t="e">
        <f ca="1"/>
        <v>#N/A</v>
      </c>
      <c r="AF61" s="26" t="e">
        <f ca="1"/>
        <v>#N/A</v>
      </c>
      <c r="AG61" s="26" t="e">
        <f ca="1"/>
        <v>#N/A</v>
      </c>
      <c r="AH61" s="27" t="s">
        <v>210</v>
      </c>
      <c r="AI61" s="27"/>
      <c r="AJ61" s="27"/>
    </row>
    <row r="62" spans="4:36" ht="20.100000000000001" customHeight="1" x14ac:dyDescent="0.25">
      <c r="W62" s="26" t="e">
        <f>TEXT(EDATE('Input - Site'!$E$12,2), "mmmm yyyy")</f>
        <v>#VALUE!</v>
      </c>
      <c r="X62" s="26" t="e">
        <f ca="1"/>
        <v>#N/A</v>
      </c>
      <c r="Y62" s="26" t="e">
        <f ca="1"/>
        <v>#N/A</v>
      </c>
      <c r="Z62" s="26" t="e">
        <f ca="1"/>
        <v>#N/A</v>
      </c>
      <c r="AA62" s="26" t="e">
        <f ca="1"/>
        <v>#N/A</v>
      </c>
      <c r="AB62" s="26" t="e">
        <f ca="1"/>
        <v>#N/A</v>
      </c>
      <c r="AC62" s="26" t="e">
        <f ca="1"/>
        <v>#N/A</v>
      </c>
      <c r="AD62" s="26" t="e">
        <f ca="1"/>
        <v>#N/A</v>
      </c>
      <c r="AE62" s="26" t="e">
        <f ca="1"/>
        <v>#N/A</v>
      </c>
      <c r="AF62" s="26" t="e">
        <f ca="1"/>
        <v>#N/A</v>
      </c>
      <c r="AG62" s="26" t="e">
        <f ca="1"/>
        <v>#N/A</v>
      </c>
      <c r="AH62" s="27" t="s">
        <v>210</v>
      </c>
      <c r="AI62" s="27"/>
      <c r="AJ62" s="27"/>
    </row>
    <row r="63" spans="4:36" ht="20.100000000000001" customHeight="1" x14ac:dyDescent="0.25">
      <c r="W63" s="26" t="e">
        <f>TEXT(EDATE('Input - Site'!$E$12,3), "mmmm yyyy")</f>
        <v>#VALUE!</v>
      </c>
      <c r="X63" s="26" t="e">
        <f ca="1"/>
        <v>#N/A</v>
      </c>
      <c r="Y63" s="26" t="e">
        <f ca="1"/>
        <v>#N/A</v>
      </c>
      <c r="Z63" s="26" t="e">
        <f ca="1"/>
        <v>#N/A</v>
      </c>
      <c r="AA63" s="26" t="e">
        <f ca="1"/>
        <v>#N/A</v>
      </c>
      <c r="AB63" s="26" t="e">
        <f ca="1"/>
        <v>#N/A</v>
      </c>
      <c r="AC63" s="26" t="e">
        <f ca="1"/>
        <v>#N/A</v>
      </c>
      <c r="AD63" s="26" t="e">
        <f ca="1"/>
        <v>#N/A</v>
      </c>
      <c r="AE63" s="26" t="e">
        <f ca="1"/>
        <v>#N/A</v>
      </c>
      <c r="AF63" s="26" t="e">
        <f ca="1"/>
        <v>#N/A</v>
      </c>
      <c r="AG63" s="26" t="e">
        <f ca="1"/>
        <v>#N/A</v>
      </c>
      <c r="AH63" s="27" t="s">
        <v>210</v>
      </c>
      <c r="AI63" s="27"/>
      <c r="AJ63" s="27"/>
    </row>
    <row r="64" spans="4:36" ht="20.100000000000001" customHeight="1" x14ac:dyDescent="0.25">
      <c r="W64" s="26" t="e">
        <f>TEXT(EDATE('Input - Site'!$E$12,4), "mmmm yyyy")</f>
        <v>#VALUE!</v>
      </c>
      <c r="X64" s="26" t="e">
        <f ca="1"/>
        <v>#N/A</v>
      </c>
      <c r="Y64" s="26" t="e">
        <f ca="1"/>
        <v>#N/A</v>
      </c>
      <c r="Z64" s="26" t="e">
        <f ca="1"/>
        <v>#N/A</v>
      </c>
      <c r="AA64" s="26" t="e">
        <f ca="1"/>
        <v>#N/A</v>
      </c>
      <c r="AB64" s="26" t="e">
        <f ca="1"/>
        <v>#N/A</v>
      </c>
      <c r="AC64" s="26" t="e">
        <f ca="1"/>
        <v>#N/A</v>
      </c>
      <c r="AD64" s="26" t="e">
        <f ca="1"/>
        <v>#N/A</v>
      </c>
      <c r="AE64" s="26" t="e">
        <f ca="1"/>
        <v>#N/A</v>
      </c>
      <c r="AF64" s="26" t="e">
        <f ca="1"/>
        <v>#N/A</v>
      </c>
      <c r="AG64" s="26" t="e">
        <f ca="1"/>
        <v>#N/A</v>
      </c>
      <c r="AH64" s="27" t="s">
        <v>210</v>
      </c>
    </row>
    <row r="65" spans="4:36" ht="20.100000000000001" customHeight="1" x14ac:dyDescent="0.25">
      <c r="D65" s="113" t="s">
        <v>274</v>
      </c>
      <c r="W65" s="26" t="e">
        <f>TEXT(EDATE('Input - Site'!$E$12,5), "mmmm yyyy")</f>
        <v>#VALUE!</v>
      </c>
      <c r="X65" s="26" t="e">
        <f ca="1"/>
        <v>#N/A</v>
      </c>
      <c r="Y65" s="26" t="e">
        <f ca="1"/>
        <v>#N/A</v>
      </c>
      <c r="Z65" s="26" t="e">
        <f ca="1"/>
        <v>#N/A</v>
      </c>
      <c r="AA65" s="26" t="e">
        <f ca="1"/>
        <v>#N/A</v>
      </c>
      <c r="AB65" s="26" t="e">
        <f ca="1"/>
        <v>#N/A</v>
      </c>
      <c r="AC65" s="26" t="e">
        <f ca="1"/>
        <v>#N/A</v>
      </c>
      <c r="AD65" s="26" t="e">
        <f ca="1"/>
        <v>#N/A</v>
      </c>
      <c r="AE65" s="26" t="e">
        <f ca="1"/>
        <v>#N/A</v>
      </c>
      <c r="AF65" s="26" t="e">
        <f ca="1"/>
        <v>#N/A</v>
      </c>
      <c r="AG65" s="26" t="e">
        <f ca="1"/>
        <v>#N/A</v>
      </c>
      <c r="AH65" s="27" t="s">
        <v>210</v>
      </c>
    </row>
    <row r="66" spans="4:36" ht="20.100000000000001" customHeight="1" x14ac:dyDescent="0.25">
      <c r="D66" s="114" t="s">
        <v>275</v>
      </c>
      <c r="W66" s="26" t="e">
        <f>TEXT(EDATE('Input - Site'!$E$12,6), "mmmm yyyy")</f>
        <v>#VALUE!</v>
      </c>
      <c r="X66" s="26" t="e">
        <f ca="1"/>
        <v>#N/A</v>
      </c>
      <c r="Y66" s="26" t="e">
        <f ca="1"/>
        <v>#N/A</v>
      </c>
      <c r="Z66" s="26" t="e">
        <f ca="1"/>
        <v>#N/A</v>
      </c>
      <c r="AA66" s="26" t="e">
        <f ca="1"/>
        <v>#N/A</v>
      </c>
      <c r="AB66" s="26" t="e">
        <f ca="1"/>
        <v>#N/A</v>
      </c>
      <c r="AC66" s="26" t="e">
        <f ca="1"/>
        <v>#N/A</v>
      </c>
      <c r="AD66" s="26" t="e">
        <f ca="1"/>
        <v>#N/A</v>
      </c>
      <c r="AE66" s="26" t="e">
        <f ca="1"/>
        <v>#N/A</v>
      </c>
      <c r="AF66" s="26" t="e">
        <f ca="1"/>
        <v>#N/A</v>
      </c>
      <c r="AG66" s="26" t="e">
        <f ca="1"/>
        <v>#N/A</v>
      </c>
      <c r="AH66" s="27" t="s">
        <v>210</v>
      </c>
    </row>
    <row r="67" spans="4:36" ht="20.100000000000001" customHeight="1" x14ac:dyDescent="0.25">
      <c r="D67" s="115" t="s">
        <v>79</v>
      </c>
      <c r="E67" s="116" t="s">
        <v>189</v>
      </c>
      <c r="F67" s="116" t="s">
        <v>190</v>
      </c>
      <c r="G67" s="116" t="s">
        <v>191</v>
      </c>
      <c r="H67" s="116" t="s">
        <v>192</v>
      </c>
      <c r="I67" s="116" t="s">
        <v>193</v>
      </c>
      <c r="J67" s="116" t="s">
        <v>194</v>
      </c>
      <c r="K67" s="116" t="s">
        <v>195</v>
      </c>
      <c r="L67" s="116" t="s">
        <v>196</v>
      </c>
      <c r="M67" s="116" t="s">
        <v>197</v>
      </c>
      <c r="N67" s="116" t="s">
        <v>198</v>
      </c>
      <c r="W67" s="26" t="e">
        <f>TEXT(EDATE('Input - Site'!$E$12,7), "mmmm yyyy")</f>
        <v>#VALUE!</v>
      </c>
      <c r="X67" s="26" t="e">
        <f ca="1"/>
        <v>#N/A</v>
      </c>
      <c r="Y67" s="26" t="e">
        <f ca="1"/>
        <v>#N/A</v>
      </c>
      <c r="Z67" s="26" t="e">
        <f ca="1"/>
        <v>#N/A</v>
      </c>
      <c r="AA67" s="26" t="e">
        <f ca="1"/>
        <v>#N/A</v>
      </c>
      <c r="AB67" s="26" t="e">
        <f ca="1"/>
        <v>#N/A</v>
      </c>
      <c r="AC67" s="26" t="e">
        <f ca="1"/>
        <v>#N/A</v>
      </c>
      <c r="AD67" s="26" t="e">
        <f ca="1"/>
        <v>#N/A</v>
      </c>
      <c r="AE67" s="26" t="e">
        <f ca="1"/>
        <v>#N/A</v>
      </c>
      <c r="AF67" s="26" t="e">
        <f ca="1"/>
        <v>#N/A</v>
      </c>
      <c r="AG67" s="26" t="e">
        <f ca="1"/>
        <v>#N/A</v>
      </c>
      <c r="AH67" s="27" t="s">
        <v>210</v>
      </c>
    </row>
    <row r="68" spans="4:36" ht="20.100000000000001" customHeight="1" x14ac:dyDescent="0.25">
      <c r="D68" s="26" t="str">
        <f>INDEX(X_Table_PastureBeef_LiveweightGain_Method1,2,1)</f>
        <v>Spring</v>
      </c>
      <c r="E68" s="26" t="e" cm="1">
        <f t="array" aca="1" ref="E68:N71" ca="1">OFFSET(X_Table_PastureBeef_LiveweightGain_Method1, 1,1, 4,10)</f>
        <v>#N/A</v>
      </c>
      <c r="F68" s="26" t="e">
        <f ca="1"/>
        <v>#N/A</v>
      </c>
      <c r="G68" s="26" t="e">
        <f ca="1"/>
        <v>#N/A</v>
      </c>
      <c r="H68" s="26" t="e">
        <f ca="1"/>
        <v>#N/A</v>
      </c>
      <c r="I68" s="26" t="e">
        <f ca="1"/>
        <v>#N/A</v>
      </c>
      <c r="J68" s="26" t="e">
        <f ca="1"/>
        <v>#N/A</v>
      </c>
      <c r="K68" s="26" t="e">
        <f ca="1"/>
        <v>#N/A</v>
      </c>
      <c r="L68" s="26" t="e">
        <f ca="1"/>
        <v>#N/A</v>
      </c>
      <c r="M68" s="26" t="e">
        <f ca="1"/>
        <v>#N/A</v>
      </c>
      <c r="N68" s="26" t="e">
        <f ca="1"/>
        <v>#N/A</v>
      </c>
      <c r="O68" s="27" t="s">
        <v>208</v>
      </c>
      <c r="P68" s="27"/>
      <c r="Q68" s="27"/>
      <c r="R68" s="27"/>
      <c r="S68" s="27"/>
      <c r="W68" s="26" t="e">
        <f>TEXT(EDATE('Input - Site'!$E$12,8), "mmmm yyyy")</f>
        <v>#VALUE!</v>
      </c>
      <c r="X68" s="26" t="e">
        <f ca="1"/>
        <v>#N/A</v>
      </c>
      <c r="Y68" s="26" t="e">
        <f ca="1"/>
        <v>#N/A</v>
      </c>
      <c r="Z68" s="26" t="e">
        <f ca="1"/>
        <v>#N/A</v>
      </c>
      <c r="AA68" s="26" t="e">
        <f ca="1"/>
        <v>#N/A</v>
      </c>
      <c r="AB68" s="26" t="e">
        <f ca="1"/>
        <v>#N/A</v>
      </c>
      <c r="AC68" s="26" t="e">
        <f ca="1"/>
        <v>#N/A</v>
      </c>
      <c r="AD68" s="26" t="e">
        <f ca="1"/>
        <v>#N/A</v>
      </c>
      <c r="AE68" s="26" t="e">
        <f ca="1"/>
        <v>#N/A</v>
      </c>
      <c r="AF68" s="26" t="e">
        <f ca="1"/>
        <v>#N/A</v>
      </c>
      <c r="AG68" s="26" t="e">
        <f ca="1"/>
        <v>#N/A</v>
      </c>
      <c r="AH68" s="27" t="s">
        <v>210</v>
      </c>
      <c r="AI68" s="27"/>
      <c r="AJ68" s="27"/>
    </row>
    <row r="69" spans="4:36" ht="20.100000000000001" customHeight="1" x14ac:dyDescent="0.25">
      <c r="D69" s="26" t="str">
        <f>INDEX(X_Table_PastureBeef_LiveweightGain_Method1,3,1)</f>
        <v>Summer</v>
      </c>
      <c r="E69" s="26" t="e">
        <f ca="1"/>
        <v>#N/A</v>
      </c>
      <c r="F69" s="26" t="e">
        <f ca="1"/>
        <v>#N/A</v>
      </c>
      <c r="G69" s="26" t="e">
        <f ca="1"/>
        <v>#N/A</v>
      </c>
      <c r="H69" s="26" t="e">
        <f ca="1"/>
        <v>#N/A</v>
      </c>
      <c r="I69" s="26" t="e">
        <f ca="1"/>
        <v>#N/A</v>
      </c>
      <c r="J69" s="26" t="e">
        <f ca="1"/>
        <v>#N/A</v>
      </c>
      <c r="K69" s="26" t="e">
        <f ca="1"/>
        <v>#N/A</v>
      </c>
      <c r="L69" s="26" t="e">
        <f ca="1"/>
        <v>#N/A</v>
      </c>
      <c r="M69" s="26" t="e">
        <f ca="1"/>
        <v>#N/A</v>
      </c>
      <c r="N69" s="26" t="e">
        <f ca="1"/>
        <v>#N/A</v>
      </c>
      <c r="O69" s="27" t="s">
        <v>208</v>
      </c>
      <c r="P69" s="27"/>
      <c r="Q69" s="27"/>
      <c r="R69" s="27"/>
      <c r="S69" s="27"/>
      <c r="W69" s="26" t="e">
        <f>TEXT(EDATE('Input - Site'!$E$12,9), "mmmm yyyy")</f>
        <v>#VALUE!</v>
      </c>
      <c r="X69" s="26" t="e">
        <f ca="1"/>
        <v>#N/A</v>
      </c>
      <c r="Y69" s="26" t="e">
        <f ca="1"/>
        <v>#N/A</v>
      </c>
      <c r="Z69" s="26" t="e">
        <f ca="1"/>
        <v>#N/A</v>
      </c>
      <c r="AA69" s="26" t="e">
        <f ca="1"/>
        <v>#N/A</v>
      </c>
      <c r="AB69" s="26" t="e">
        <f ca="1"/>
        <v>#N/A</v>
      </c>
      <c r="AC69" s="26" t="e">
        <f ca="1"/>
        <v>#N/A</v>
      </c>
      <c r="AD69" s="26" t="e">
        <f ca="1"/>
        <v>#N/A</v>
      </c>
      <c r="AE69" s="26" t="e">
        <f ca="1"/>
        <v>#N/A</v>
      </c>
      <c r="AF69" s="26" t="e">
        <f ca="1"/>
        <v>#N/A</v>
      </c>
      <c r="AG69" s="26" t="e">
        <f ca="1"/>
        <v>#N/A</v>
      </c>
      <c r="AH69" s="27" t="s">
        <v>210</v>
      </c>
      <c r="AI69" s="27"/>
      <c r="AJ69" s="27"/>
    </row>
    <row r="70" spans="4:36" ht="20.100000000000001" customHeight="1" x14ac:dyDescent="0.25">
      <c r="D70" s="26" t="str">
        <f>INDEX(X_Table_PastureBeef_LiveweightGain_Method1,4,1)</f>
        <v>Autumn</v>
      </c>
      <c r="E70" s="26" t="e">
        <f ca="1"/>
        <v>#N/A</v>
      </c>
      <c r="F70" s="26" t="e">
        <f ca="1"/>
        <v>#N/A</v>
      </c>
      <c r="G70" s="26" t="e">
        <f ca="1"/>
        <v>#N/A</v>
      </c>
      <c r="H70" s="26" t="e">
        <f ca="1"/>
        <v>#N/A</v>
      </c>
      <c r="I70" s="26" t="e">
        <f ca="1"/>
        <v>#N/A</v>
      </c>
      <c r="J70" s="26" t="e">
        <f ca="1"/>
        <v>#N/A</v>
      </c>
      <c r="K70" s="26" t="e">
        <f ca="1"/>
        <v>#N/A</v>
      </c>
      <c r="L70" s="26" t="e">
        <f ca="1"/>
        <v>#N/A</v>
      </c>
      <c r="M70" s="26" t="e">
        <f ca="1"/>
        <v>#N/A</v>
      </c>
      <c r="N70" s="26" t="e">
        <f ca="1"/>
        <v>#N/A</v>
      </c>
      <c r="O70" s="27" t="s">
        <v>208</v>
      </c>
      <c r="P70" s="27"/>
      <c r="Q70" s="27"/>
      <c r="R70" s="27"/>
      <c r="S70" s="27"/>
      <c r="W70" s="26" t="e">
        <f>TEXT(EDATE('Input - Site'!$E$12,10), "mmmm yyyy")</f>
        <v>#VALUE!</v>
      </c>
      <c r="X70" s="26" t="e">
        <f ca="1"/>
        <v>#N/A</v>
      </c>
      <c r="Y70" s="26" t="e">
        <f ca="1"/>
        <v>#N/A</v>
      </c>
      <c r="Z70" s="26" t="e">
        <f ca="1"/>
        <v>#N/A</v>
      </c>
      <c r="AA70" s="26" t="e">
        <f ca="1"/>
        <v>#N/A</v>
      </c>
      <c r="AB70" s="26" t="e">
        <f ca="1"/>
        <v>#N/A</v>
      </c>
      <c r="AC70" s="26" t="e">
        <f ca="1"/>
        <v>#N/A</v>
      </c>
      <c r="AD70" s="26" t="e">
        <f ca="1"/>
        <v>#N/A</v>
      </c>
      <c r="AE70" s="26" t="e">
        <f ca="1"/>
        <v>#N/A</v>
      </c>
      <c r="AF70" s="26" t="e">
        <f ca="1"/>
        <v>#N/A</v>
      </c>
      <c r="AG70" s="26" t="e">
        <f ca="1"/>
        <v>#N/A</v>
      </c>
      <c r="AH70" s="27" t="s">
        <v>210</v>
      </c>
      <c r="AI70" s="27"/>
      <c r="AJ70" s="27"/>
    </row>
    <row r="71" spans="4:36" ht="20.100000000000001" customHeight="1" x14ac:dyDescent="0.25">
      <c r="D71" s="26" t="str">
        <f>INDEX(X_Table_PastureBeef_LiveweightGain_Method1,5,1)</f>
        <v>Winter</v>
      </c>
      <c r="E71" s="26" t="e">
        <f ca="1"/>
        <v>#N/A</v>
      </c>
      <c r="F71" s="26" t="e">
        <f ca="1"/>
        <v>#N/A</v>
      </c>
      <c r="G71" s="26" t="e">
        <f ca="1"/>
        <v>#N/A</v>
      </c>
      <c r="H71" s="26" t="e">
        <f ca="1"/>
        <v>#N/A</v>
      </c>
      <c r="I71" s="26" t="e">
        <f ca="1"/>
        <v>#N/A</v>
      </c>
      <c r="J71" s="26" t="e">
        <f ca="1"/>
        <v>#N/A</v>
      </c>
      <c r="K71" s="26" t="e">
        <f ca="1"/>
        <v>#N/A</v>
      </c>
      <c r="L71" s="26" t="e">
        <f ca="1"/>
        <v>#N/A</v>
      </c>
      <c r="M71" s="26" t="e">
        <f ca="1"/>
        <v>#N/A</v>
      </c>
      <c r="N71" s="26" t="e">
        <f ca="1"/>
        <v>#N/A</v>
      </c>
      <c r="O71" s="27" t="s">
        <v>208</v>
      </c>
      <c r="P71" s="27"/>
      <c r="Q71" s="27"/>
      <c r="R71" s="27"/>
      <c r="S71" s="27"/>
      <c r="W71" s="26" t="e">
        <f>TEXT(EDATE('Input - Site'!$E$12,11), "mmmm yyyy")</f>
        <v>#VALUE!</v>
      </c>
      <c r="X71" s="26" t="e">
        <f ca="1"/>
        <v>#N/A</v>
      </c>
      <c r="Y71" s="26" t="e">
        <f ca="1"/>
        <v>#N/A</v>
      </c>
      <c r="Z71" s="26" t="e">
        <f ca="1"/>
        <v>#N/A</v>
      </c>
      <c r="AA71" s="26" t="e">
        <f ca="1"/>
        <v>#N/A</v>
      </c>
      <c r="AB71" s="26" t="e">
        <f ca="1"/>
        <v>#N/A</v>
      </c>
      <c r="AC71" s="26" t="e">
        <f ca="1"/>
        <v>#N/A</v>
      </c>
      <c r="AD71" s="26" t="e">
        <f ca="1"/>
        <v>#N/A</v>
      </c>
      <c r="AE71" s="26" t="e">
        <f ca="1"/>
        <v>#N/A</v>
      </c>
      <c r="AF71" s="26" t="e">
        <f ca="1"/>
        <v>#N/A</v>
      </c>
      <c r="AG71" s="26" t="e">
        <f ca="1"/>
        <v>#N/A</v>
      </c>
      <c r="AH71" s="27" t="s">
        <v>210</v>
      </c>
      <c r="AI71" s="27"/>
      <c r="AJ71" s="27"/>
    </row>
    <row r="72" spans="4:36" ht="20.100000000000001" customHeight="1" x14ac:dyDescent="0.25">
      <c r="AI72" s="27"/>
      <c r="AJ72" s="27"/>
    </row>
    <row r="73" spans="4:36" ht="20.100000000000001" customHeight="1" x14ac:dyDescent="0.25">
      <c r="W73" s="113" t="s">
        <v>280</v>
      </c>
      <c r="AI73" s="27"/>
      <c r="AJ73" s="27"/>
    </row>
    <row r="74" spans="4:36" ht="20.100000000000001" customHeight="1" x14ac:dyDescent="0.25">
      <c r="W74" s="114" t="s">
        <v>281</v>
      </c>
      <c r="AI74" s="27"/>
      <c r="AJ74" s="27"/>
    </row>
    <row r="75" spans="4:36" ht="20.100000000000001" customHeight="1" x14ac:dyDescent="0.25">
      <c r="W75" s="115" t="s">
        <v>78</v>
      </c>
      <c r="X75" s="115" t="s">
        <v>189</v>
      </c>
      <c r="Y75" s="115" t="s">
        <v>190</v>
      </c>
      <c r="Z75" s="115" t="s">
        <v>191</v>
      </c>
      <c r="AA75" s="115" t="s">
        <v>192</v>
      </c>
      <c r="AB75" s="115" t="s">
        <v>193</v>
      </c>
      <c r="AC75" s="115" t="s">
        <v>194</v>
      </c>
      <c r="AD75" s="115" t="s">
        <v>195</v>
      </c>
      <c r="AE75" s="115" t="s">
        <v>196</v>
      </c>
      <c r="AF75" s="115" t="s">
        <v>197</v>
      </c>
      <c r="AG75" s="115" t="s">
        <v>198</v>
      </c>
      <c r="AI75" s="27"/>
      <c r="AJ75" s="27"/>
    </row>
    <row r="76" spans="4:36" ht="20.100000000000001" customHeight="1" x14ac:dyDescent="0.25">
      <c r="W76" s="26" t="str">
        <f>TEXT('Input - Site'!$E$12, "mmmm yyyy")</f>
        <v>NO - Not in leaching zone</v>
      </c>
      <c r="X76" s="26" t="e" cm="1">
        <f t="array" aca="1" ref="X76" ca="1">EntericMethane_PastureBeef_Equations.VEERG_3_2_1_1__3_FeedIntakeForGrazingBeef(X44,X60,Z28)</f>
        <v>#N/A</v>
      </c>
      <c r="Y76" s="26" t="e" cm="1">
        <f t="array" aca="1" ref="Y76" ca="1">EntericMethane_PastureBeef_Equations.VEERG_3_2_1_1__3_FeedIntakeForGrazingBeef(Y44,Y60,AA28)</f>
        <v>#N/A</v>
      </c>
      <c r="Z76" s="26" t="e" cm="1">
        <f t="array" aca="1" ref="Z76" ca="1">EntericMethane_PastureBeef_Equations.VEERG_3_2_1_1__3_FeedIntakeForGrazingBeef(Z44,Z60,AB28)</f>
        <v>#N/A</v>
      </c>
      <c r="AA76" s="26" t="e" cm="1">
        <f t="array" aca="1" ref="AA76" ca="1">EntericMethane_PastureBeef_Equations.VEERG_3_2_1_1__3_FeedIntakeForGrazingBeef(AA44,AA60,AC28)</f>
        <v>#N/A</v>
      </c>
      <c r="AB76" s="26" t="e" cm="1">
        <f t="array" aca="1" ref="AB76" ca="1">EntericMethane_PastureBeef_Equations.VEERG_3_2_1_1__3_FeedIntakeForGrazingBeef(AB44,AB60,AD28)</f>
        <v>#N/A</v>
      </c>
      <c r="AC76" s="26" t="e" cm="1">
        <f t="array" aca="1" ref="AC76" ca="1">EntericMethane_PastureBeef_Equations.VEERG_3_2_1_1__3_FeedIntakeForGrazingBeef(AC44,AC60,AE28)</f>
        <v>#N/A</v>
      </c>
      <c r="AD76" s="26" t="e" cm="1">
        <f t="array" aca="1" ref="AD76" ca="1">EntericMethane_PastureBeef_Equations.VEERG_3_2_1_1__3_FeedIntakeForGrazingBeef(AD44,AD60,AF28)</f>
        <v>#N/A</v>
      </c>
      <c r="AE76" s="26" t="e" cm="1">
        <f t="array" aca="1" ref="AE76" ca="1">EntericMethane_PastureBeef_Equations.VEERG_3_2_1_1__3_FeedIntakeForGrazingBeef(AE44,AE60,AG28)</f>
        <v>#N/A</v>
      </c>
      <c r="AF76" s="26" t="e" cm="1">
        <f t="array" aca="1" ref="AF76" ca="1">EntericMethane_PastureBeef_Equations.VEERG_3_2_1_1__3_FeedIntakeForGrazingBeef(AF44,AF60,AH28)</f>
        <v>#N/A</v>
      </c>
      <c r="AG76" s="26" t="e" cm="1">
        <f t="array" aca="1" ref="AG76" ca="1">EntericMethane_PastureBeef_Equations.VEERG_3_2_1_1__3_FeedIntakeForGrazingBeef(AG44,AG60,AI28)</f>
        <v>#N/A</v>
      </c>
      <c r="AH76" s="27" t="str">
        <f t="shared" ref="AH76:AH87" si="2">$E$43</f>
        <v>kg DM/head/day</v>
      </c>
      <c r="AI76" s="27"/>
      <c r="AJ76" s="27"/>
    </row>
    <row r="77" spans="4:36" ht="20.100000000000001" customHeight="1" x14ac:dyDescent="0.25">
      <c r="W77" s="26" t="e">
        <f>TEXT(EDATE('Input - Site'!$E$12,1), "mmmm yyyy")</f>
        <v>#VALUE!</v>
      </c>
      <c r="X77" s="26" t="e" cm="1">
        <f t="array" aca="1" ref="X77" ca="1">EntericMethane_PastureBeef_Equations.VEERG_3_2_1_1__3_FeedIntakeForGrazingBeef(X45,X61,Z29)</f>
        <v>#N/A</v>
      </c>
      <c r="Y77" s="26" t="e" cm="1">
        <f t="array" aca="1" ref="Y77" ca="1">EntericMethane_PastureBeef_Equations.VEERG_3_2_1_1__3_FeedIntakeForGrazingBeef(Y45,Y61,AA29)</f>
        <v>#N/A</v>
      </c>
      <c r="Z77" s="26" t="e" cm="1">
        <f t="array" aca="1" ref="Z77" ca="1">EntericMethane_PastureBeef_Equations.VEERG_3_2_1_1__3_FeedIntakeForGrazingBeef(Z45,Z61,AB29)</f>
        <v>#N/A</v>
      </c>
      <c r="AA77" s="26" t="e" cm="1">
        <f t="array" aca="1" ref="AA77" ca="1">EntericMethane_PastureBeef_Equations.VEERG_3_2_1_1__3_FeedIntakeForGrazingBeef(AA45,AA61,AC29)</f>
        <v>#N/A</v>
      </c>
      <c r="AB77" s="26" t="e" cm="1">
        <f t="array" aca="1" ref="AB77" ca="1">EntericMethane_PastureBeef_Equations.VEERG_3_2_1_1__3_FeedIntakeForGrazingBeef(AB45,AB61,AD29)</f>
        <v>#N/A</v>
      </c>
      <c r="AC77" s="26" t="e" cm="1">
        <f t="array" aca="1" ref="AC77" ca="1">EntericMethane_PastureBeef_Equations.VEERG_3_2_1_1__3_FeedIntakeForGrazingBeef(AC45,AC61,AE29)</f>
        <v>#N/A</v>
      </c>
      <c r="AD77" s="26" t="e" cm="1">
        <f t="array" aca="1" ref="AD77" ca="1">EntericMethane_PastureBeef_Equations.VEERG_3_2_1_1__3_FeedIntakeForGrazingBeef(AD45,AD61,AF29)</f>
        <v>#N/A</v>
      </c>
      <c r="AE77" s="26" t="e" cm="1">
        <f t="array" aca="1" ref="AE77" ca="1">EntericMethane_PastureBeef_Equations.VEERG_3_2_1_1__3_FeedIntakeForGrazingBeef(AE45,AE61,AG29)</f>
        <v>#N/A</v>
      </c>
      <c r="AF77" s="26" t="e" cm="1">
        <f t="array" aca="1" ref="AF77" ca="1">EntericMethane_PastureBeef_Equations.VEERG_3_2_1_1__3_FeedIntakeForGrazingBeef(AF45,AF61,AH29)</f>
        <v>#N/A</v>
      </c>
      <c r="AG77" s="26" t="e" cm="1">
        <f t="array" aca="1" ref="AG77" ca="1">EntericMethane_PastureBeef_Equations.VEERG_3_2_1_1__3_FeedIntakeForGrazingBeef(AG45,AG61,AI29)</f>
        <v>#N/A</v>
      </c>
      <c r="AH77" s="27" t="str">
        <f t="shared" si="2"/>
        <v>kg DM/head/day</v>
      </c>
      <c r="AI77" s="27"/>
      <c r="AJ77" s="27"/>
    </row>
    <row r="78" spans="4:36" ht="20.100000000000001" customHeight="1" x14ac:dyDescent="0.25">
      <c r="W78" s="26" t="e">
        <f>TEXT(EDATE('Input - Site'!$E$12,2), "mmmm yyyy")</f>
        <v>#VALUE!</v>
      </c>
      <c r="X78" s="26" t="e" cm="1">
        <f t="array" aca="1" ref="X78" ca="1">EntericMethane_PastureBeef_Equations.VEERG_3_2_1_1__3_FeedIntakeForGrazingBeef(X46,X62,Z30)</f>
        <v>#N/A</v>
      </c>
      <c r="Y78" s="26" t="e" cm="1">
        <f t="array" aca="1" ref="Y78" ca="1">EntericMethane_PastureBeef_Equations.VEERG_3_2_1_1__3_FeedIntakeForGrazingBeef(Y46,Y62,AA30)</f>
        <v>#N/A</v>
      </c>
      <c r="Z78" s="26" t="e" cm="1">
        <f t="array" aca="1" ref="Z78" ca="1">EntericMethane_PastureBeef_Equations.VEERG_3_2_1_1__3_FeedIntakeForGrazingBeef(Z46,Z62,AB30)</f>
        <v>#N/A</v>
      </c>
      <c r="AA78" s="26" t="e" cm="1">
        <f t="array" aca="1" ref="AA78" ca="1">EntericMethane_PastureBeef_Equations.VEERG_3_2_1_1__3_FeedIntakeForGrazingBeef(AA46,AA62,AC30)</f>
        <v>#N/A</v>
      </c>
      <c r="AB78" s="26" t="e" cm="1">
        <f t="array" aca="1" ref="AB78" ca="1">EntericMethane_PastureBeef_Equations.VEERG_3_2_1_1__3_FeedIntakeForGrazingBeef(AB46,AB62,AD30)</f>
        <v>#N/A</v>
      </c>
      <c r="AC78" s="26" t="e" cm="1">
        <f t="array" aca="1" ref="AC78" ca="1">EntericMethane_PastureBeef_Equations.VEERG_3_2_1_1__3_FeedIntakeForGrazingBeef(AC46,AC62,AE30)</f>
        <v>#N/A</v>
      </c>
      <c r="AD78" s="26" t="e" cm="1">
        <f t="array" aca="1" ref="AD78" ca="1">EntericMethane_PastureBeef_Equations.VEERG_3_2_1_1__3_FeedIntakeForGrazingBeef(AD46,AD62,AF30)</f>
        <v>#N/A</v>
      </c>
      <c r="AE78" s="26" t="e" cm="1">
        <f t="array" aca="1" ref="AE78" ca="1">EntericMethane_PastureBeef_Equations.VEERG_3_2_1_1__3_FeedIntakeForGrazingBeef(AE46,AE62,AG30)</f>
        <v>#N/A</v>
      </c>
      <c r="AF78" s="26" t="e" cm="1">
        <f t="array" aca="1" ref="AF78" ca="1">EntericMethane_PastureBeef_Equations.VEERG_3_2_1_1__3_FeedIntakeForGrazingBeef(AF46,AF62,AH30)</f>
        <v>#N/A</v>
      </c>
      <c r="AG78" s="26" t="e" cm="1">
        <f t="array" aca="1" ref="AG78" ca="1">EntericMethane_PastureBeef_Equations.VEERG_3_2_1_1__3_FeedIntakeForGrazingBeef(AG46,AG62,AI30)</f>
        <v>#N/A</v>
      </c>
      <c r="AH78" s="27" t="str">
        <f t="shared" si="2"/>
        <v>kg DM/head/day</v>
      </c>
      <c r="AI78" s="27"/>
      <c r="AJ78" s="27"/>
    </row>
    <row r="79" spans="4:36" ht="20.100000000000001" customHeight="1" x14ac:dyDescent="0.25">
      <c r="W79" s="26" t="e">
        <f>TEXT(EDATE('Input - Site'!$E$12,3), "mmmm yyyy")</f>
        <v>#VALUE!</v>
      </c>
      <c r="X79" s="26" t="e" cm="1">
        <f t="array" aca="1" ref="X79" ca="1">EntericMethane_PastureBeef_Equations.VEERG_3_2_1_1__3_FeedIntakeForGrazingBeef(X47,X63,Z31)</f>
        <v>#N/A</v>
      </c>
      <c r="Y79" s="26" t="e" cm="1">
        <f t="array" aca="1" ref="Y79" ca="1">EntericMethane_PastureBeef_Equations.VEERG_3_2_1_1__3_FeedIntakeForGrazingBeef(Y47,Y63,AA31)</f>
        <v>#N/A</v>
      </c>
      <c r="Z79" s="26" t="e" cm="1">
        <f t="array" aca="1" ref="Z79" ca="1">EntericMethane_PastureBeef_Equations.VEERG_3_2_1_1__3_FeedIntakeForGrazingBeef(Z47,Z63,AB31)</f>
        <v>#N/A</v>
      </c>
      <c r="AA79" s="26" t="e" cm="1">
        <f t="array" aca="1" ref="AA79" ca="1">EntericMethane_PastureBeef_Equations.VEERG_3_2_1_1__3_FeedIntakeForGrazingBeef(AA47,AA63,AC31)</f>
        <v>#N/A</v>
      </c>
      <c r="AB79" s="26" t="e" cm="1">
        <f t="array" aca="1" ref="AB79" ca="1">EntericMethane_PastureBeef_Equations.VEERG_3_2_1_1__3_FeedIntakeForGrazingBeef(AB47,AB63,AD31)</f>
        <v>#N/A</v>
      </c>
      <c r="AC79" s="26" t="e" cm="1">
        <f t="array" aca="1" ref="AC79" ca="1">EntericMethane_PastureBeef_Equations.VEERG_3_2_1_1__3_FeedIntakeForGrazingBeef(AC47,AC63,AE31)</f>
        <v>#N/A</v>
      </c>
      <c r="AD79" s="26" t="e" cm="1">
        <f t="array" aca="1" ref="AD79" ca="1">EntericMethane_PastureBeef_Equations.VEERG_3_2_1_1__3_FeedIntakeForGrazingBeef(AD47,AD63,AF31)</f>
        <v>#N/A</v>
      </c>
      <c r="AE79" s="26" t="e" cm="1">
        <f t="array" aca="1" ref="AE79" ca="1">EntericMethane_PastureBeef_Equations.VEERG_3_2_1_1__3_FeedIntakeForGrazingBeef(AE47,AE63,AG31)</f>
        <v>#N/A</v>
      </c>
      <c r="AF79" s="26" t="e" cm="1">
        <f t="array" aca="1" ref="AF79" ca="1">EntericMethane_PastureBeef_Equations.VEERG_3_2_1_1__3_FeedIntakeForGrazingBeef(AF47,AF63,AH31)</f>
        <v>#N/A</v>
      </c>
      <c r="AG79" s="26" t="e" cm="1">
        <f t="array" aca="1" ref="AG79" ca="1">EntericMethane_PastureBeef_Equations.VEERG_3_2_1_1__3_FeedIntakeForGrazingBeef(AG47,AG63,AI31)</f>
        <v>#N/A</v>
      </c>
      <c r="AH79" s="27" t="str">
        <f t="shared" si="2"/>
        <v>kg DM/head/day</v>
      </c>
      <c r="AI79" s="27"/>
      <c r="AJ79" s="27"/>
    </row>
    <row r="80" spans="4:36" ht="20.100000000000001" customHeight="1" x14ac:dyDescent="0.25">
      <c r="W80" s="26" t="e">
        <f>TEXT(EDATE('Input - Site'!$E$12,4), "mmmm yyyy")</f>
        <v>#VALUE!</v>
      </c>
      <c r="X80" s="26" t="e" cm="1">
        <f t="array" aca="1" ref="X80" ca="1">EntericMethane_PastureBeef_Equations.VEERG_3_2_1_1__3_FeedIntakeForGrazingBeef(X48,X64,Z32)</f>
        <v>#N/A</v>
      </c>
      <c r="Y80" s="26" t="e" cm="1">
        <f t="array" aca="1" ref="Y80" ca="1">EntericMethane_PastureBeef_Equations.VEERG_3_2_1_1__3_FeedIntakeForGrazingBeef(Y48,Y64,AA32)</f>
        <v>#N/A</v>
      </c>
      <c r="Z80" s="26" t="e" cm="1">
        <f t="array" aca="1" ref="Z80" ca="1">EntericMethane_PastureBeef_Equations.VEERG_3_2_1_1__3_FeedIntakeForGrazingBeef(Z48,Z64,AB32)</f>
        <v>#N/A</v>
      </c>
      <c r="AA80" s="26" t="e" cm="1">
        <f t="array" aca="1" ref="AA80" ca="1">EntericMethane_PastureBeef_Equations.VEERG_3_2_1_1__3_FeedIntakeForGrazingBeef(AA48,AA64,AC32)</f>
        <v>#N/A</v>
      </c>
      <c r="AB80" s="26" t="e" cm="1">
        <f t="array" aca="1" ref="AB80" ca="1">EntericMethane_PastureBeef_Equations.VEERG_3_2_1_1__3_FeedIntakeForGrazingBeef(AB48,AB64,AD32)</f>
        <v>#N/A</v>
      </c>
      <c r="AC80" s="26" t="e" cm="1">
        <f t="array" aca="1" ref="AC80" ca="1">EntericMethane_PastureBeef_Equations.VEERG_3_2_1_1__3_FeedIntakeForGrazingBeef(AC48,AC64,AE32)</f>
        <v>#N/A</v>
      </c>
      <c r="AD80" s="26" t="e" cm="1">
        <f t="array" aca="1" ref="AD80" ca="1">EntericMethane_PastureBeef_Equations.VEERG_3_2_1_1__3_FeedIntakeForGrazingBeef(AD48,AD64,AF32)</f>
        <v>#N/A</v>
      </c>
      <c r="AE80" s="26" t="e" cm="1">
        <f t="array" aca="1" ref="AE80" ca="1">EntericMethane_PastureBeef_Equations.VEERG_3_2_1_1__3_FeedIntakeForGrazingBeef(AE48,AE64,AG32)</f>
        <v>#N/A</v>
      </c>
      <c r="AF80" s="26" t="e" cm="1">
        <f t="array" aca="1" ref="AF80" ca="1">EntericMethane_PastureBeef_Equations.VEERG_3_2_1_1__3_FeedIntakeForGrazingBeef(AF48,AF64,AH32)</f>
        <v>#N/A</v>
      </c>
      <c r="AG80" s="26" t="e" cm="1">
        <f t="array" aca="1" ref="AG80" ca="1">EntericMethane_PastureBeef_Equations.VEERG_3_2_1_1__3_FeedIntakeForGrazingBeef(AG48,AG64,AI32)</f>
        <v>#N/A</v>
      </c>
      <c r="AH80" s="27" t="str">
        <f t="shared" si="2"/>
        <v>kg DM/head/day</v>
      </c>
    </row>
    <row r="81" spans="4:36" ht="20.100000000000001" customHeight="1" x14ac:dyDescent="0.25">
      <c r="D81" s="113" t="s">
        <v>278</v>
      </c>
      <c r="W81" s="26" t="e">
        <f>TEXT(EDATE('Input - Site'!$E$12,5), "mmmm yyyy")</f>
        <v>#VALUE!</v>
      </c>
      <c r="X81" s="26" t="e" cm="1">
        <f t="array" aca="1" ref="X81" ca="1">EntericMethane_PastureBeef_Equations.VEERG_3_2_1_1__3_FeedIntakeForGrazingBeef(X49,X65,Z33)</f>
        <v>#N/A</v>
      </c>
      <c r="Y81" s="26" t="e" cm="1">
        <f t="array" aca="1" ref="Y81" ca="1">EntericMethane_PastureBeef_Equations.VEERG_3_2_1_1__3_FeedIntakeForGrazingBeef(Y49,Y65,AA33)</f>
        <v>#N/A</v>
      </c>
      <c r="Z81" s="26" t="e" cm="1">
        <f t="array" aca="1" ref="Z81" ca="1">EntericMethane_PastureBeef_Equations.VEERG_3_2_1_1__3_FeedIntakeForGrazingBeef(Z49,Z65,AB33)</f>
        <v>#N/A</v>
      </c>
      <c r="AA81" s="26" t="e" cm="1">
        <f t="array" aca="1" ref="AA81" ca="1">EntericMethane_PastureBeef_Equations.VEERG_3_2_1_1__3_FeedIntakeForGrazingBeef(AA49,AA65,AC33)</f>
        <v>#N/A</v>
      </c>
      <c r="AB81" s="26" t="e" cm="1">
        <f t="array" aca="1" ref="AB81" ca="1">EntericMethane_PastureBeef_Equations.VEERG_3_2_1_1__3_FeedIntakeForGrazingBeef(AB49,AB65,AD33)</f>
        <v>#N/A</v>
      </c>
      <c r="AC81" s="26" t="e" cm="1">
        <f t="array" aca="1" ref="AC81" ca="1">EntericMethane_PastureBeef_Equations.VEERG_3_2_1_1__3_FeedIntakeForGrazingBeef(AC49,AC65,AE33)</f>
        <v>#N/A</v>
      </c>
      <c r="AD81" s="26" t="e" cm="1">
        <f t="array" aca="1" ref="AD81" ca="1">EntericMethane_PastureBeef_Equations.VEERG_3_2_1_1__3_FeedIntakeForGrazingBeef(AD49,AD65,AF33)</f>
        <v>#N/A</v>
      </c>
      <c r="AE81" s="26" t="e" cm="1">
        <f t="array" aca="1" ref="AE81" ca="1">EntericMethane_PastureBeef_Equations.VEERG_3_2_1_1__3_FeedIntakeForGrazingBeef(AE49,AE65,AG33)</f>
        <v>#N/A</v>
      </c>
      <c r="AF81" s="26" t="e" cm="1">
        <f t="array" aca="1" ref="AF81" ca="1">EntericMethane_PastureBeef_Equations.VEERG_3_2_1_1__3_FeedIntakeForGrazingBeef(AF49,AF65,AH33)</f>
        <v>#N/A</v>
      </c>
      <c r="AG81" s="26" t="e" cm="1">
        <f t="array" aca="1" ref="AG81" ca="1">EntericMethane_PastureBeef_Equations.VEERG_3_2_1_1__3_FeedIntakeForGrazingBeef(AG49,AG65,AI33)</f>
        <v>#N/A</v>
      </c>
      <c r="AH81" s="27" t="str">
        <f t="shared" si="2"/>
        <v>kg DM/head/day</v>
      </c>
    </row>
    <row r="82" spans="4:36" ht="20.100000000000001" customHeight="1" x14ac:dyDescent="0.25">
      <c r="D82" s="114" t="s">
        <v>279</v>
      </c>
      <c r="W82" s="26" t="e">
        <f>TEXT(EDATE('Input - Site'!$E$12,6), "mmmm yyyy")</f>
        <v>#VALUE!</v>
      </c>
      <c r="X82" s="26" t="e" cm="1">
        <f t="array" aca="1" ref="X82" ca="1">EntericMethane_PastureBeef_Equations.VEERG_3_2_1_1__3_FeedIntakeForGrazingBeef(X50,X66,Z34)</f>
        <v>#N/A</v>
      </c>
      <c r="Y82" s="26" t="e" cm="1">
        <f t="array" aca="1" ref="Y82" ca="1">EntericMethane_PastureBeef_Equations.VEERG_3_2_1_1__3_FeedIntakeForGrazingBeef(Y50,Y66,AA34)</f>
        <v>#N/A</v>
      </c>
      <c r="Z82" s="26" t="e" cm="1">
        <f t="array" aca="1" ref="Z82" ca="1">EntericMethane_PastureBeef_Equations.VEERG_3_2_1_1__3_FeedIntakeForGrazingBeef(Z50,Z66,AB34)</f>
        <v>#N/A</v>
      </c>
      <c r="AA82" s="26" t="e" cm="1">
        <f t="array" aca="1" ref="AA82" ca="1">EntericMethane_PastureBeef_Equations.VEERG_3_2_1_1__3_FeedIntakeForGrazingBeef(AA50,AA66,AC34)</f>
        <v>#N/A</v>
      </c>
      <c r="AB82" s="26" t="e" cm="1">
        <f t="array" aca="1" ref="AB82" ca="1">EntericMethane_PastureBeef_Equations.VEERG_3_2_1_1__3_FeedIntakeForGrazingBeef(AB50,AB66,AD34)</f>
        <v>#N/A</v>
      </c>
      <c r="AC82" s="26" t="e" cm="1">
        <f t="array" aca="1" ref="AC82" ca="1">EntericMethane_PastureBeef_Equations.VEERG_3_2_1_1__3_FeedIntakeForGrazingBeef(AC50,AC66,AE34)</f>
        <v>#N/A</v>
      </c>
      <c r="AD82" s="26" t="e" cm="1">
        <f t="array" aca="1" ref="AD82" ca="1">EntericMethane_PastureBeef_Equations.VEERG_3_2_1_1__3_FeedIntakeForGrazingBeef(AD50,AD66,AF34)</f>
        <v>#N/A</v>
      </c>
      <c r="AE82" s="26" t="e" cm="1">
        <f t="array" aca="1" ref="AE82" ca="1">EntericMethane_PastureBeef_Equations.VEERG_3_2_1_1__3_FeedIntakeForGrazingBeef(AE50,AE66,AG34)</f>
        <v>#N/A</v>
      </c>
      <c r="AF82" s="26" t="e" cm="1">
        <f t="array" aca="1" ref="AF82" ca="1">EntericMethane_PastureBeef_Equations.VEERG_3_2_1_1__3_FeedIntakeForGrazingBeef(AF50,AF66,AH34)</f>
        <v>#N/A</v>
      </c>
      <c r="AG82" s="26" t="e" cm="1">
        <f t="array" aca="1" ref="AG82" ca="1">EntericMethane_PastureBeef_Equations.VEERG_3_2_1_1__3_FeedIntakeForGrazingBeef(AG50,AG66,AI34)</f>
        <v>#N/A</v>
      </c>
      <c r="AH82" s="27" t="str">
        <f t="shared" si="2"/>
        <v>kg DM/head/day</v>
      </c>
    </row>
    <row r="83" spans="4:36" ht="20.100000000000001" customHeight="1" x14ac:dyDescent="0.25">
      <c r="D83" s="115" t="s">
        <v>79</v>
      </c>
      <c r="E83" s="115" t="s">
        <v>189</v>
      </c>
      <c r="F83" s="115" t="s">
        <v>190</v>
      </c>
      <c r="G83" s="115" t="s">
        <v>191</v>
      </c>
      <c r="H83" s="115" t="s">
        <v>192</v>
      </c>
      <c r="I83" s="115" t="s">
        <v>193</v>
      </c>
      <c r="J83" s="115" t="s">
        <v>194</v>
      </c>
      <c r="K83" s="115" t="s">
        <v>195</v>
      </c>
      <c r="L83" s="115" t="s">
        <v>196</v>
      </c>
      <c r="M83" s="115" t="s">
        <v>197</v>
      </c>
      <c r="N83" s="115" t="s">
        <v>198</v>
      </c>
      <c r="W83" s="26" t="e">
        <f>TEXT(EDATE('Input - Site'!$E$12,7), "mmmm yyyy")</f>
        <v>#VALUE!</v>
      </c>
      <c r="X83" s="26" t="e" cm="1">
        <f t="array" aca="1" ref="X83" ca="1">EntericMethane_PastureBeef_Equations.VEERG_3_2_1_1__3_FeedIntakeForGrazingBeef(X51,X67,Z35)</f>
        <v>#N/A</v>
      </c>
      <c r="Y83" s="26" t="e" cm="1">
        <f t="array" aca="1" ref="Y83" ca="1">EntericMethane_PastureBeef_Equations.VEERG_3_2_1_1__3_FeedIntakeForGrazingBeef(Y51,Y67,AA35)</f>
        <v>#N/A</v>
      </c>
      <c r="Z83" s="26" t="e" cm="1">
        <f t="array" aca="1" ref="Z83" ca="1">EntericMethane_PastureBeef_Equations.VEERG_3_2_1_1__3_FeedIntakeForGrazingBeef(Z51,Z67,AB35)</f>
        <v>#N/A</v>
      </c>
      <c r="AA83" s="26" t="e" cm="1">
        <f t="array" aca="1" ref="AA83" ca="1">EntericMethane_PastureBeef_Equations.VEERG_3_2_1_1__3_FeedIntakeForGrazingBeef(AA51,AA67,AC35)</f>
        <v>#N/A</v>
      </c>
      <c r="AB83" s="26" t="e" cm="1">
        <f t="array" aca="1" ref="AB83" ca="1">EntericMethane_PastureBeef_Equations.VEERG_3_2_1_1__3_FeedIntakeForGrazingBeef(AB51,AB67,AD35)</f>
        <v>#N/A</v>
      </c>
      <c r="AC83" s="26" t="e" cm="1">
        <f t="array" aca="1" ref="AC83" ca="1">EntericMethane_PastureBeef_Equations.VEERG_3_2_1_1__3_FeedIntakeForGrazingBeef(AC51,AC67,AE35)</f>
        <v>#N/A</v>
      </c>
      <c r="AD83" s="26" t="e" cm="1">
        <f t="array" aca="1" ref="AD83" ca="1">EntericMethane_PastureBeef_Equations.VEERG_3_2_1_1__3_FeedIntakeForGrazingBeef(AD51,AD67,AF35)</f>
        <v>#N/A</v>
      </c>
      <c r="AE83" s="26" t="e" cm="1">
        <f t="array" aca="1" ref="AE83" ca="1">EntericMethane_PastureBeef_Equations.VEERG_3_2_1_1__3_FeedIntakeForGrazingBeef(AE51,AE67,AG35)</f>
        <v>#N/A</v>
      </c>
      <c r="AF83" s="26" t="e" cm="1">
        <f t="array" aca="1" ref="AF83" ca="1">EntericMethane_PastureBeef_Equations.VEERG_3_2_1_1__3_FeedIntakeForGrazingBeef(AF51,AF67,AH35)</f>
        <v>#N/A</v>
      </c>
      <c r="AG83" s="26" t="e" cm="1">
        <f t="array" aca="1" ref="AG83" ca="1">EntericMethane_PastureBeef_Equations.VEERG_3_2_1_1__3_FeedIntakeForGrazingBeef(AG51,AG67,AI35)</f>
        <v>#N/A</v>
      </c>
      <c r="AH83" s="27" t="str">
        <f t="shared" si="2"/>
        <v>kg DM/head/day</v>
      </c>
    </row>
    <row r="84" spans="4:36" ht="20.100000000000001" customHeight="1" x14ac:dyDescent="0.25">
      <c r="D84" s="26" t="s">
        <v>199</v>
      </c>
      <c r="E84" s="26" t="e" cm="1">
        <f t="array" aca="1" ref="E84" ca="1">EntericMethane_PastureBeef_Equations.VEERG_3_2_1_1__3_FeedIntakeForGrazingBeef(E52,E68,I30)</f>
        <v>#N/A</v>
      </c>
      <c r="F84" s="26" t="e" cm="1">
        <f t="array" aca="1" ref="F84" ca="1">EntericMethane_PastureBeef_Equations.VEERG_3_2_1_1__3_FeedIntakeForGrazingBeef(F52,F68,J30)</f>
        <v>#N/A</v>
      </c>
      <c r="G84" s="26" t="e" cm="1">
        <f t="array" aca="1" ref="G84" ca="1">EntericMethane_PastureBeef_Equations.VEERG_3_2_1_1__3_FeedIntakeForGrazingBeef(G52,G68,K30)</f>
        <v>#N/A</v>
      </c>
      <c r="H84" s="26" t="e" cm="1">
        <f t="array" aca="1" ref="H84" ca="1">EntericMethane_PastureBeef_Equations.VEERG_3_2_1_1__3_FeedIntakeForGrazingBeef(H52,H68,L30)</f>
        <v>#N/A</v>
      </c>
      <c r="I84" s="26" t="e" cm="1">
        <f t="array" aca="1" ref="I84" ca="1">EntericMethane_PastureBeef_Equations.VEERG_3_2_1_1__3_FeedIntakeForGrazingBeef(I52,I68,M30)</f>
        <v>#N/A</v>
      </c>
      <c r="J84" s="26" t="e" cm="1">
        <f t="array" aca="1" ref="J84" ca="1">EntericMethane_PastureBeef_Equations.VEERG_3_2_1_1__3_FeedIntakeForGrazingBeef(J52,J68,N30)</f>
        <v>#N/A</v>
      </c>
      <c r="K84" s="26" t="e" cm="1">
        <f t="array" aca="1" ref="K84" ca="1">EntericMethane_PastureBeef_Equations.VEERG_3_2_1_1__3_FeedIntakeForGrazingBeef(K52,K68,O30)</f>
        <v>#N/A</v>
      </c>
      <c r="L84" s="26" t="e" cm="1">
        <f t="array" aca="1" ref="L84" ca="1">EntericMethane_PastureBeef_Equations.VEERG_3_2_1_1__3_FeedIntakeForGrazingBeef(L52,L68,P30)</f>
        <v>#N/A</v>
      </c>
      <c r="M84" s="26" t="e" cm="1">
        <f t="array" aca="1" ref="M84" ca="1">EntericMethane_PastureBeef_Equations.VEERG_3_2_1_1__3_FeedIntakeForGrazingBeef(M52,M68,Q30)</f>
        <v>#N/A</v>
      </c>
      <c r="N84" s="26" t="e" cm="1">
        <f t="array" aca="1" ref="N84" ca="1">EntericMethane_PastureBeef_Equations.VEERG_3_2_1_1__3_FeedIntakeForGrazingBeef(N52,N68,R30)</f>
        <v>#N/A</v>
      </c>
      <c r="O84" s="27" t="str">
        <f>$E$43</f>
        <v>kg DM/head/day</v>
      </c>
      <c r="P84" s="27"/>
      <c r="Q84" s="27"/>
      <c r="R84" s="27"/>
      <c r="S84" s="27"/>
      <c r="W84" s="26" t="e">
        <f>TEXT(EDATE('Input - Site'!$E$12,8), "mmmm yyyy")</f>
        <v>#VALUE!</v>
      </c>
      <c r="X84" s="26" t="e" cm="1">
        <f t="array" aca="1" ref="X84" ca="1">EntericMethane_PastureBeef_Equations.VEERG_3_2_1_1__3_FeedIntakeForGrazingBeef(X52,X68,Z36)</f>
        <v>#N/A</v>
      </c>
      <c r="Y84" s="26" t="e" cm="1">
        <f t="array" aca="1" ref="Y84" ca="1">EntericMethane_PastureBeef_Equations.VEERG_3_2_1_1__3_FeedIntakeForGrazingBeef(Y52,Y68,AA36)</f>
        <v>#N/A</v>
      </c>
      <c r="Z84" s="26" t="e" cm="1">
        <f t="array" aca="1" ref="Z84" ca="1">EntericMethane_PastureBeef_Equations.VEERG_3_2_1_1__3_FeedIntakeForGrazingBeef(Z52,Z68,AB36)</f>
        <v>#N/A</v>
      </c>
      <c r="AA84" s="26" t="e" cm="1">
        <f t="array" aca="1" ref="AA84" ca="1">EntericMethane_PastureBeef_Equations.VEERG_3_2_1_1__3_FeedIntakeForGrazingBeef(AA52,AA68,AC36)</f>
        <v>#N/A</v>
      </c>
      <c r="AB84" s="26" t="e" cm="1">
        <f t="array" aca="1" ref="AB84" ca="1">EntericMethane_PastureBeef_Equations.VEERG_3_2_1_1__3_FeedIntakeForGrazingBeef(AB52,AB68,AD36)</f>
        <v>#N/A</v>
      </c>
      <c r="AC84" s="26" t="e" cm="1">
        <f t="array" aca="1" ref="AC84" ca="1">EntericMethane_PastureBeef_Equations.VEERG_3_2_1_1__3_FeedIntakeForGrazingBeef(AC52,AC68,AE36)</f>
        <v>#N/A</v>
      </c>
      <c r="AD84" s="26" t="e" cm="1">
        <f t="array" aca="1" ref="AD84" ca="1">EntericMethane_PastureBeef_Equations.VEERG_3_2_1_1__3_FeedIntakeForGrazingBeef(AD52,AD68,AF36)</f>
        <v>#N/A</v>
      </c>
      <c r="AE84" s="26" t="e" cm="1">
        <f t="array" aca="1" ref="AE84" ca="1">EntericMethane_PastureBeef_Equations.VEERG_3_2_1_1__3_FeedIntakeForGrazingBeef(AE52,AE68,AG36)</f>
        <v>#N/A</v>
      </c>
      <c r="AF84" s="26" t="e" cm="1">
        <f t="array" aca="1" ref="AF84" ca="1">EntericMethane_PastureBeef_Equations.VEERG_3_2_1_1__3_FeedIntakeForGrazingBeef(AF52,AF68,AH36)</f>
        <v>#N/A</v>
      </c>
      <c r="AG84" s="26" t="e" cm="1">
        <f t="array" aca="1" ref="AG84" ca="1">EntericMethane_PastureBeef_Equations.VEERG_3_2_1_1__3_FeedIntakeForGrazingBeef(AG52,AG68,AI36)</f>
        <v>#N/A</v>
      </c>
      <c r="AH84" s="27" t="str">
        <f t="shared" si="2"/>
        <v>kg DM/head/day</v>
      </c>
      <c r="AI84" s="27"/>
      <c r="AJ84" s="27"/>
    </row>
    <row r="85" spans="4:36" ht="20.100000000000001" customHeight="1" x14ac:dyDescent="0.25">
      <c r="D85" s="26" t="s">
        <v>200</v>
      </c>
      <c r="E85" s="26" t="e" cm="1">
        <f t="array" aca="1" ref="E85" ca="1">EntericMethane_PastureBeef_Equations.VEERG_3_2_1_1__3_FeedIntakeForGrazingBeef(E53,E69,I31)</f>
        <v>#N/A</v>
      </c>
      <c r="F85" s="26" t="e" cm="1">
        <f t="array" aca="1" ref="F85" ca="1">EntericMethane_PastureBeef_Equations.VEERG_3_2_1_1__3_FeedIntakeForGrazingBeef(F53,F69,J31)</f>
        <v>#N/A</v>
      </c>
      <c r="G85" s="26" t="e" cm="1">
        <f t="array" aca="1" ref="G85" ca="1">EntericMethane_PastureBeef_Equations.VEERG_3_2_1_1__3_FeedIntakeForGrazingBeef(G53,G69,K31)</f>
        <v>#N/A</v>
      </c>
      <c r="H85" s="26" t="e" cm="1">
        <f t="array" aca="1" ref="H85" ca="1">EntericMethane_PastureBeef_Equations.VEERG_3_2_1_1__3_FeedIntakeForGrazingBeef(H53,H69,L31)</f>
        <v>#N/A</v>
      </c>
      <c r="I85" s="26" t="e" cm="1">
        <f t="array" aca="1" ref="I85" ca="1">EntericMethane_PastureBeef_Equations.VEERG_3_2_1_1__3_FeedIntakeForGrazingBeef(I53,I69,M31)</f>
        <v>#N/A</v>
      </c>
      <c r="J85" s="26" t="e" cm="1">
        <f t="array" aca="1" ref="J85" ca="1">EntericMethane_PastureBeef_Equations.VEERG_3_2_1_1__3_FeedIntakeForGrazingBeef(J53,J69,N31)</f>
        <v>#N/A</v>
      </c>
      <c r="K85" s="26" t="e" cm="1">
        <f t="array" aca="1" ref="K85" ca="1">EntericMethane_PastureBeef_Equations.VEERG_3_2_1_1__3_FeedIntakeForGrazingBeef(K53,K69,O31)</f>
        <v>#N/A</v>
      </c>
      <c r="L85" s="26" t="e" cm="1">
        <f t="array" aca="1" ref="L85" ca="1">EntericMethane_PastureBeef_Equations.VEERG_3_2_1_1__3_FeedIntakeForGrazingBeef(L53,L69,P31)</f>
        <v>#N/A</v>
      </c>
      <c r="M85" s="26" t="e" cm="1">
        <f t="array" aca="1" ref="M85" ca="1">EntericMethane_PastureBeef_Equations.VEERG_3_2_1_1__3_FeedIntakeForGrazingBeef(M53,M69,Q31)</f>
        <v>#N/A</v>
      </c>
      <c r="N85" s="26" t="e" cm="1">
        <f t="array" aca="1" ref="N85" ca="1">EntericMethane_PastureBeef_Equations.VEERG_3_2_1_1__3_FeedIntakeForGrazingBeef(N53,N69,R31)</f>
        <v>#N/A</v>
      </c>
      <c r="O85" s="27" t="str">
        <f>$E$43</f>
        <v>kg DM/head/day</v>
      </c>
      <c r="P85" s="27"/>
      <c r="Q85" s="27"/>
      <c r="R85" s="27"/>
      <c r="S85" s="27"/>
      <c r="W85" s="26" t="e">
        <f>TEXT(EDATE('Input - Site'!$E$12,9), "mmmm yyyy")</f>
        <v>#VALUE!</v>
      </c>
      <c r="X85" s="26" t="e" cm="1">
        <f t="array" aca="1" ref="X85" ca="1">EntericMethane_PastureBeef_Equations.VEERG_3_2_1_1__3_FeedIntakeForGrazingBeef(X53,X69,Z37)</f>
        <v>#N/A</v>
      </c>
      <c r="Y85" s="26" t="e" cm="1">
        <f t="array" aca="1" ref="Y85" ca="1">EntericMethane_PastureBeef_Equations.VEERG_3_2_1_1__3_FeedIntakeForGrazingBeef(Y53,Y69,AA37)</f>
        <v>#N/A</v>
      </c>
      <c r="Z85" s="26" t="e" cm="1">
        <f t="array" aca="1" ref="Z85" ca="1">EntericMethane_PastureBeef_Equations.VEERG_3_2_1_1__3_FeedIntakeForGrazingBeef(Z53,Z69,AB37)</f>
        <v>#N/A</v>
      </c>
      <c r="AA85" s="26" t="e" cm="1">
        <f t="array" aca="1" ref="AA85" ca="1">EntericMethane_PastureBeef_Equations.VEERG_3_2_1_1__3_FeedIntakeForGrazingBeef(AA53,AA69,AC37)</f>
        <v>#N/A</v>
      </c>
      <c r="AB85" s="26" t="e" cm="1">
        <f t="array" aca="1" ref="AB85" ca="1">EntericMethane_PastureBeef_Equations.VEERG_3_2_1_1__3_FeedIntakeForGrazingBeef(AB53,AB69,AD37)</f>
        <v>#N/A</v>
      </c>
      <c r="AC85" s="26" t="e" cm="1">
        <f t="array" aca="1" ref="AC85" ca="1">EntericMethane_PastureBeef_Equations.VEERG_3_2_1_1__3_FeedIntakeForGrazingBeef(AC53,AC69,AE37)</f>
        <v>#N/A</v>
      </c>
      <c r="AD85" s="26" t="e" cm="1">
        <f t="array" aca="1" ref="AD85" ca="1">EntericMethane_PastureBeef_Equations.VEERG_3_2_1_1__3_FeedIntakeForGrazingBeef(AD53,AD69,AF37)</f>
        <v>#N/A</v>
      </c>
      <c r="AE85" s="26" t="e" cm="1">
        <f t="array" aca="1" ref="AE85" ca="1">EntericMethane_PastureBeef_Equations.VEERG_3_2_1_1__3_FeedIntakeForGrazingBeef(AE53,AE69,AG37)</f>
        <v>#N/A</v>
      </c>
      <c r="AF85" s="26" t="e" cm="1">
        <f t="array" aca="1" ref="AF85" ca="1">EntericMethane_PastureBeef_Equations.VEERG_3_2_1_1__3_FeedIntakeForGrazingBeef(AF53,AF69,AH37)</f>
        <v>#N/A</v>
      </c>
      <c r="AG85" s="26" t="e" cm="1">
        <f t="array" aca="1" ref="AG85" ca="1">EntericMethane_PastureBeef_Equations.VEERG_3_2_1_1__3_FeedIntakeForGrazingBeef(AG53,AG69,AI37)</f>
        <v>#N/A</v>
      </c>
      <c r="AH85" s="27" t="str">
        <f t="shared" si="2"/>
        <v>kg DM/head/day</v>
      </c>
      <c r="AI85" s="27"/>
      <c r="AJ85" s="27"/>
    </row>
    <row r="86" spans="4:36" ht="20.100000000000001" customHeight="1" x14ac:dyDescent="0.25">
      <c r="D86" s="26" t="s">
        <v>201</v>
      </c>
      <c r="E86" s="26" t="e" cm="1">
        <f t="array" aca="1" ref="E86" ca="1">EntericMethane_PastureBeef_Equations.VEERG_3_2_1_1__3_FeedIntakeForGrazingBeef(E54,E70,I32)</f>
        <v>#N/A</v>
      </c>
      <c r="F86" s="26" t="e" cm="1">
        <f t="array" aca="1" ref="F86" ca="1">EntericMethane_PastureBeef_Equations.VEERG_3_2_1_1__3_FeedIntakeForGrazingBeef(F54,F70,J32)</f>
        <v>#N/A</v>
      </c>
      <c r="G86" s="26" t="e" cm="1">
        <f t="array" aca="1" ref="G86" ca="1">EntericMethane_PastureBeef_Equations.VEERG_3_2_1_1__3_FeedIntakeForGrazingBeef(G54,G70,K32)</f>
        <v>#N/A</v>
      </c>
      <c r="H86" s="26" t="e" cm="1">
        <f t="array" aca="1" ref="H86" ca="1">EntericMethane_PastureBeef_Equations.VEERG_3_2_1_1__3_FeedIntakeForGrazingBeef(H54,H70,L32)</f>
        <v>#N/A</v>
      </c>
      <c r="I86" s="26" t="e" cm="1">
        <f t="array" aca="1" ref="I86" ca="1">EntericMethane_PastureBeef_Equations.VEERG_3_2_1_1__3_FeedIntakeForGrazingBeef(I54,I70,M32)</f>
        <v>#N/A</v>
      </c>
      <c r="J86" s="26" t="e" cm="1">
        <f t="array" aca="1" ref="J86" ca="1">EntericMethane_PastureBeef_Equations.VEERG_3_2_1_1__3_FeedIntakeForGrazingBeef(J54,J70,N32)</f>
        <v>#N/A</v>
      </c>
      <c r="K86" s="26" t="e" cm="1">
        <f t="array" aca="1" ref="K86" ca="1">EntericMethane_PastureBeef_Equations.VEERG_3_2_1_1__3_FeedIntakeForGrazingBeef(K54,K70,O32)</f>
        <v>#N/A</v>
      </c>
      <c r="L86" s="26" t="e" cm="1">
        <f t="array" aca="1" ref="L86" ca="1">EntericMethane_PastureBeef_Equations.VEERG_3_2_1_1__3_FeedIntakeForGrazingBeef(L54,L70,P32)</f>
        <v>#N/A</v>
      </c>
      <c r="M86" s="26" t="e" cm="1">
        <f t="array" aca="1" ref="M86" ca="1">EntericMethane_PastureBeef_Equations.VEERG_3_2_1_1__3_FeedIntakeForGrazingBeef(M54,M70,Q32)</f>
        <v>#N/A</v>
      </c>
      <c r="N86" s="26" t="e" cm="1">
        <f t="array" aca="1" ref="N86" ca="1">EntericMethane_PastureBeef_Equations.VEERG_3_2_1_1__3_FeedIntakeForGrazingBeef(N54,N70,R32)</f>
        <v>#N/A</v>
      </c>
      <c r="O86" s="27" t="str">
        <f>$E$43</f>
        <v>kg DM/head/day</v>
      </c>
      <c r="P86" s="27"/>
      <c r="Q86" s="27"/>
      <c r="R86" s="27"/>
      <c r="S86" s="27"/>
      <c r="W86" s="26" t="e">
        <f>TEXT(EDATE('Input - Site'!$E$12,10), "mmmm yyyy")</f>
        <v>#VALUE!</v>
      </c>
      <c r="X86" s="26" t="e" cm="1">
        <f t="array" aca="1" ref="X86" ca="1">EntericMethane_PastureBeef_Equations.VEERG_3_2_1_1__3_FeedIntakeForGrazingBeef(X54,X70,Z38)</f>
        <v>#N/A</v>
      </c>
      <c r="Y86" s="26" t="e" cm="1">
        <f t="array" aca="1" ref="Y86" ca="1">EntericMethane_PastureBeef_Equations.VEERG_3_2_1_1__3_FeedIntakeForGrazingBeef(Y54,Y70,AA38)</f>
        <v>#N/A</v>
      </c>
      <c r="Z86" s="26" t="e" cm="1">
        <f t="array" aca="1" ref="Z86" ca="1">EntericMethane_PastureBeef_Equations.VEERG_3_2_1_1__3_FeedIntakeForGrazingBeef(Z54,Z70,AB38)</f>
        <v>#N/A</v>
      </c>
      <c r="AA86" s="26" t="e" cm="1">
        <f t="array" aca="1" ref="AA86" ca="1">EntericMethane_PastureBeef_Equations.VEERG_3_2_1_1__3_FeedIntakeForGrazingBeef(AA54,AA70,AC38)</f>
        <v>#N/A</v>
      </c>
      <c r="AB86" s="26" t="e" cm="1">
        <f t="array" aca="1" ref="AB86" ca="1">EntericMethane_PastureBeef_Equations.VEERG_3_2_1_1__3_FeedIntakeForGrazingBeef(AB54,AB70,AD38)</f>
        <v>#N/A</v>
      </c>
      <c r="AC86" s="26" t="e" cm="1">
        <f t="array" aca="1" ref="AC86" ca="1">EntericMethane_PastureBeef_Equations.VEERG_3_2_1_1__3_FeedIntakeForGrazingBeef(AC54,AC70,AE38)</f>
        <v>#N/A</v>
      </c>
      <c r="AD86" s="26" t="e" cm="1">
        <f t="array" aca="1" ref="AD86" ca="1">EntericMethane_PastureBeef_Equations.VEERG_3_2_1_1__3_FeedIntakeForGrazingBeef(AD54,AD70,AF38)</f>
        <v>#N/A</v>
      </c>
      <c r="AE86" s="26" t="e" cm="1">
        <f t="array" aca="1" ref="AE86" ca="1">EntericMethane_PastureBeef_Equations.VEERG_3_2_1_1__3_FeedIntakeForGrazingBeef(AE54,AE70,AG38)</f>
        <v>#N/A</v>
      </c>
      <c r="AF86" s="26" t="e" cm="1">
        <f t="array" aca="1" ref="AF86" ca="1">EntericMethane_PastureBeef_Equations.VEERG_3_2_1_1__3_FeedIntakeForGrazingBeef(AF54,AF70,AH38)</f>
        <v>#N/A</v>
      </c>
      <c r="AG86" s="26" t="e" cm="1">
        <f t="array" aca="1" ref="AG86" ca="1">EntericMethane_PastureBeef_Equations.VEERG_3_2_1_1__3_FeedIntakeForGrazingBeef(AG54,AG70,AI38)</f>
        <v>#N/A</v>
      </c>
      <c r="AH86" s="27" t="str">
        <f t="shared" si="2"/>
        <v>kg DM/head/day</v>
      </c>
      <c r="AI86" s="27"/>
      <c r="AJ86" s="27"/>
    </row>
    <row r="87" spans="4:36" ht="20.100000000000001" customHeight="1" x14ac:dyDescent="0.25">
      <c r="D87" s="26" t="s">
        <v>202</v>
      </c>
      <c r="E87" s="26" t="e" cm="1">
        <f t="array" aca="1" ref="E87" ca="1">EntericMethane_PastureBeef_Equations.VEERG_3_2_1_1__3_FeedIntakeForGrazingBeef(E55,E71,I33)</f>
        <v>#N/A</v>
      </c>
      <c r="F87" s="26" t="e" cm="1">
        <f t="array" aca="1" ref="F87" ca="1">EntericMethane_PastureBeef_Equations.VEERG_3_2_1_1__3_FeedIntakeForGrazingBeef(F55,F71,J33)</f>
        <v>#N/A</v>
      </c>
      <c r="G87" s="26" t="e" cm="1">
        <f t="array" aca="1" ref="G87" ca="1">EntericMethane_PastureBeef_Equations.VEERG_3_2_1_1__3_FeedIntakeForGrazingBeef(G55,G71,K33)</f>
        <v>#N/A</v>
      </c>
      <c r="H87" s="26" t="e" cm="1">
        <f t="array" aca="1" ref="H87" ca="1">EntericMethane_PastureBeef_Equations.VEERG_3_2_1_1__3_FeedIntakeForGrazingBeef(H55,H71,L33)</f>
        <v>#N/A</v>
      </c>
      <c r="I87" s="26" t="e" cm="1">
        <f t="array" aca="1" ref="I87" ca="1">EntericMethane_PastureBeef_Equations.VEERG_3_2_1_1__3_FeedIntakeForGrazingBeef(I55,I71,M33)</f>
        <v>#N/A</v>
      </c>
      <c r="J87" s="26" t="e" cm="1">
        <f t="array" aca="1" ref="J87" ca="1">EntericMethane_PastureBeef_Equations.VEERG_3_2_1_1__3_FeedIntakeForGrazingBeef(J55,J71,N33)</f>
        <v>#N/A</v>
      </c>
      <c r="K87" s="26" t="e" cm="1">
        <f t="array" aca="1" ref="K87" ca="1">EntericMethane_PastureBeef_Equations.VEERG_3_2_1_1__3_FeedIntakeForGrazingBeef(K55,K71,O33)</f>
        <v>#N/A</v>
      </c>
      <c r="L87" s="26" t="e" cm="1">
        <f t="array" aca="1" ref="L87" ca="1">EntericMethane_PastureBeef_Equations.VEERG_3_2_1_1__3_FeedIntakeForGrazingBeef(L55,L71,P33)</f>
        <v>#N/A</v>
      </c>
      <c r="M87" s="26" t="e" cm="1">
        <f t="array" aca="1" ref="M87" ca="1">EntericMethane_PastureBeef_Equations.VEERG_3_2_1_1__3_FeedIntakeForGrazingBeef(M55,M71,Q33)</f>
        <v>#N/A</v>
      </c>
      <c r="N87" s="26" t="e" cm="1">
        <f t="array" aca="1" ref="N87" ca="1">EntericMethane_PastureBeef_Equations.VEERG_3_2_1_1__3_FeedIntakeForGrazingBeef(N55,N71,R33)</f>
        <v>#N/A</v>
      </c>
      <c r="O87" s="27" t="str">
        <f>$E$43</f>
        <v>kg DM/head/day</v>
      </c>
      <c r="P87" s="27"/>
      <c r="Q87" s="27"/>
      <c r="R87" s="27"/>
      <c r="S87" s="27"/>
      <c r="W87" s="26" t="e">
        <f>TEXT(EDATE('Input - Site'!$E$12,11), "mmmm yyyy")</f>
        <v>#VALUE!</v>
      </c>
      <c r="X87" s="26" t="e" cm="1">
        <f t="array" aca="1" ref="X87" ca="1">EntericMethane_PastureBeef_Equations.VEERG_3_2_1_1__3_FeedIntakeForGrazingBeef(X55,X71,Z39)</f>
        <v>#N/A</v>
      </c>
      <c r="Y87" s="26" t="e" cm="1">
        <f t="array" aca="1" ref="Y87" ca="1">EntericMethane_PastureBeef_Equations.VEERG_3_2_1_1__3_FeedIntakeForGrazingBeef(Y55,Y71,AA39)</f>
        <v>#N/A</v>
      </c>
      <c r="Z87" s="26" t="e" cm="1">
        <f t="array" aca="1" ref="Z87" ca="1">EntericMethane_PastureBeef_Equations.VEERG_3_2_1_1__3_FeedIntakeForGrazingBeef(Z55,Z71,AB39)</f>
        <v>#N/A</v>
      </c>
      <c r="AA87" s="26" t="e" cm="1">
        <f t="array" aca="1" ref="AA87" ca="1">EntericMethane_PastureBeef_Equations.VEERG_3_2_1_1__3_FeedIntakeForGrazingBeef(AA55,AA71,AC39)</f>
        <v>#N/A</v>
      </c>
      <c r="AB87" s="26" t="e" cm="1">
        <f t="array" aca="1" ref="AB87" ca="1">EntericMethane_PastureBeef_Equations.VEERG_3_2_1_1__3_FeedIntakeForGrazingBeef(AB55,AB71,AD39)</f>
        <v>#N/A</v>
      </c>
      <c r="AC87" s="26" t="e" cm="1">
        <f t="array" aca="1" ref="AC87" ca="1">EntericMethane_PastureBeef_Equations.VEERG_3_2_1_1__3_FeedIntakeForGrazingBeef(AC55,AC71,AE39)</f>
        <v>#N/A</v>
      </c>
      <c r="AD87" s="26" t="e" cm="1">
        <f t="array" aca="1" ref="AD87" ca="1">EntericMethane_PastureBeef_Equations.VEERG_3_2_1_1__3_FeedIntakeForGrazingBeef(AD55,AD71,AF39)</f>
        <v>#N/A</v>
      </c>
      <c r="AE87" s="26" t="e" cm="1">
        <f t="array" aca="1" ref="AE87" ca="1">EntericMethane_PastureBeef_Equations.VEERG_3_2_1_1__3_FeedIntakeForGrazingBeef(AE55,AE71,AG39)</f>
        <v>#N/A</v>
      </c>
      <c r="AF87" s="26" t="e" cm="1">
        <f t="array" aca="1" ref="AF87" ca="1">EntericMethane_PastureBeef_Equations.VEERG_3_2_1_1__3_FeedIntakeForGrazingBeef(AF55,AF71,AH39)</f>
        <v>#N/A</v>
      </c>
      <c r="AG87" s="26" t="e" cm="1">
        <f t="array" aca="1" ref="AG87" ca="1">EntericMethane_PastureBeef_Equations.VEERG_3_2_1_1__3_FeedIntakeForGrazingBeef(AG55,AG71,AI39)</f>
        <v>#N/A</v>
      </c>
      <c r="AH87" s="27" t="str">
        <f t="shared" si="2"/>
        <v>kg DM/head/day</v>
      </c>
      <c r="AI87" s="27"/>
      <c r="AJ87" s="27"/>
    </row>
    <row r="88" spans="4:36" ht="20.100000000000001" customHeight="1" x14ac:dyDescent="0.25">
      <c r="AI88" s="27"/>
      <c r="AJ88" s="27"/>
    </row>
    <row r="89" spans="4:36" ht="20.100000000000001" customHeight="1" x14ac:dyDescent="0.25">
      <c r="AI89" s="27"/>
      <c r="AJ89" s="27"/>
    </row>
    <row r="90" spans="4:36" ht="20.100000000000001" customHeight="1" x14ac:dyDescent="0.25">
      <c r="AI90" s="27"/>
      <c r="AJ90" s="27"/>
    </row>
    <row r="91" spans="4:36" ht="20.100000000000001" customHeight="1" x14ac:dyDescent="0.25">
      <c r="AI91" s="27"/>
      <c r="AJ91" s="27"/>
    </row>
    <row r="92" spans="4:36" ht="20.100000000000001" customHeight="1" x14ac:dyDescent="0.25">
      <c r="AI92" s="27"/>
      <c r="AJ92" s="27"/>
    </row>
    <row r="93" spans="4:36" ht="20.100000000000001" customHeight="1" x14ac:dyDescent="0.25">
      <c r="AI93" s="27"/>
      <c r="AJ93" s="27"/>
    </row>
    <row r="94" spans="4:36" ht="20.100000000000001" customHeight="1" x14ac:dyDescent="0.25">
      <c r="AI94" s="27"/>
      <c r="AJ94" s="27"/>
    </row>
    <row r="95" spans="4:36" ht="20.100000000000001" customHeight="1" x14ac:dyDescent="0.25">
      <c r="AI95" s="27"/>
      <c r="AJ95" s="27"/>
    </row>
    <row r="96" spans="4:36" ht="20.100000000000001" customHeight="1" x14ac:dyDescent="0.25"/>
    <row r="97" spans="3:37" ht="20.100000000000001" customHeight="1" x14ac:dyDescent="0.25"/>
    <row r="98" spans="3:37" ht="20.100000000000001" customHeight="1" x14ac:dyDescent="0.25">
      <c r="C98" s="117"/>
      <c r="D98" s="117"/>
      <c r="E98" s="117"/>
      <c r="F98" s="117"/>
      <c r="G98" s="117"/>
      <c r="H98" s="117"/>
      <c r="I98" s="117"/>
      <c r="J98" s="117"/>
      <c r="K98" s="117"/>
      <c r="L98" s="117"/>
      <c r="M98" s="117"/>
      <c r="N98" s="117"/>
      <c r="O98" s="117"/>
      <c r="P98" s="117"/>
      <c r="Q98" s="117"/>
      <c r="R98" s="117"/>
      <c r="S98" s="117"/>
      <c r="T98" s="117"/>
      <c r="V98" s="117"/>
      <c r="W98" s="117"/>
      <c r="X98" s="117"/>
      <c r="Y98" s="117"/>
      <c r="Z98" s="117"/>
      <c r="AA98" s="117"/>
      <c r="AB98" s="117"/>
      <c r="AC98" s="117"/>
      <c r="AD98" s="117"/>
      <c r="AE98" s="117"/>
      <c r="AF98" s="117"/>
      <c r="AG98" s="117"/>
      <c r="AH98" s="117"/>
      <c r="AI98" s="117"/>
      <c r="AJ98" s="117"/>
      <c r="AK98" s="117"/>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8" t="str" cm="1">
        <f t="array" ref="D100">MMS_PastureBeef_Methane_Equations.VEERG_4_2_1_1__3_VolatileSolidProductionFromGrazingBeef_Source()</f>
        <v>VEERG 2026: 4.2.1.1, Equation (3)</v>
      </c>
    </row>
    <row r="101" spans="3:37" ht="20.100000000000001" customHeight="1" x14ac:dyDescent="0.25">
      <c r="D101" s="104" t="s">
        <v>257</v>
      </c>
      <c r="E101" s="104"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9" t="s">
        <v>259</v>
      </c>
      <c r="E105" s="1" t="str" cm="1">
        <f t="array" ref="E105">MMS_PastureBeef_Methane_Equations.VEERG_4_2_1_1__3_VolatileSolidProductionFromGrazingBeef_Variable()</f>
        <v>VS_jkl</v>
      </c>
    </row>
    <row r="106" spans="3:37" ht="20.100000000000001" customHeight="1" x14ac:dyDescent="0.25">
      <c r="D106" s="89" t="s">
        <v>133</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6" t="str" cm="1">
        <f t="array" ref="D108:E110">_xlfn.CHOOSECOLS(MMS_PastureBeef_Methane_Equations.VEERG_4_2_1_1__3_VolatileSolidProductionFromGrazingBeef_Arguments(), 1, 2)</f>
        <v>I_jkl</v>
      </c>
      <c r="E108" s="107" t="str">
        <v>dry matter intake as calculated in Chapter 3 Section 3.2.1</v>
      </c>
      <c r="F108" s="109"/>
      <c r="G108" s="106" t="str" cm="1">
        <f t="array" ref="G108:H110">_xlfn.CHOOSECOLS(MMS_PastureBeef_Methane_Equations.VEERG_4_2_1_1__3_VolatileSolidProductionFromGrazingBeef_Arguments(), 3,4)</f>
        <v>kg/head/day</v>
      </c>
      <c r="H108" s="111" t="str">
        <v>Calculated from 3.2.1.1, (3)</v>
      </c>
      <c r="I108" s="112" t="str" cm="1">
        <f t="array" aca="1" ref="I108" ca="1">HYPERLINK(Common_InputFunctions.Utility_SourceHyperlink($D$81), $D$81)</f>
        <v>M1_Table_I_j_k_l</v>
      </c>
    </row>
    <row r="109" spans="3:37" ht="20.100000000000001" customHeight="1" x14ac:dyDescent="0.25">
      <c r="D109" s="106" t="str">
        <v>DMD_jkl</v>
      </c>
      <c r="E109" s="107" t="str">
        <v>dry matter digestibility expressed as a fraction</v>
      </c>
      <c r="F109" s="109"/>
      <c r="G109" s="106" t="str">
        <v>fraction</v>
      </c>
      <c r="H109" s="110" t="str">
        <v>Input</v>
      </c>
      <c r="I109" s="112" t="str" cm="1">
        <f t="array" aca="1" ref="I109" ca="1">HYPERLINK(Common_InputFunctions.Utility_SourceHyperlink($D$112), $D$112)</f>
        <v>M1_Table_DMD_j_k_l</v>
      </c>
    </row>
    <row r="110" spans="3:37" ht="20.100000000000001" customHeight="1" x14ac:dyDescent="0.25">
      <c r="D110" s="106" t="str">
        <v>A</v>
      </c>
      <c r="E110" s="107" t="str">
        <v>ash content of feed intake expressed as a fraction</v>
      </c>
      <c r="F110" s="109"/>
      <c r="G110" s="106" t="str">
        <v>fraction</v>
      </c>
      <c r="H110" s="111" t="str">
        <v>Constant</v>
      </c>
      <c r="I110" s="106">
        <f>'Constants - Pasture Beef'!$D$422</f>
        <v>0.08</v>
      </c>
    </row>
    <row r="111" spans="3:37" ht="20.100000000000001" customHeight="1" x14ac:dyDescent="0.25"/>
    <row r="112" spans="3:37" ht="20.100000000000001" customHeight="1" x14ac:dyDescent="0.25">
      <c r="D112" s="113" t="s">
        <v>392</v>
      </c>
      <c r="W112" s="113" t="s">
        <v>393</v>
      </c>
    </row>
    <row r="113" spans="4:36" ht="20.100000000000001" customHeight="1" x14ac:dyDescent="0.25">
      <c r="D113" s="114" t="s">
        <v>394</v>
      </c>
      <c r="W113" s="114" t="s">
        <v>395</v>
      </c>
    </row>
    <row r="114" spans="4:36" ht="20.100000000000001" customHeight="1" x14ac:dyDescent="0.25">
      <c r="D114" s="115" t="s">
        <v>79</v>
      </c>
      <c r="E114" s="116" t="s">
        <v>189</v>
      </c>
      <c r="F114" s="116" t="s">
        <v>190</v>
      </c>
      <c r="G114" s="116" t="s">
        <v>191</v>
      </c>
      <c r="H114" s="116" t="s">
        <v>192</v>
      </c>
      <c r="I114" s="116" t="s">
        <v>193</v>
      </c>
      <c r="J114" s="116" t="s">
        <v>194</v>
      </c>
      <c r="K114" s="116" t="s">
        <v>195</v>
      </c>
      <c r="L114" s="116" t="s">
        <v>196</v>
      </c>
      <c r="M114" s="116" t="s">
        <v>197</v>
      </c>
      <c r="N114" s="116" t="s">
        <v>198</v>
      </c>
      <c r="W114" s="115" t="s">
        <v>78</v>
      </c>
      <c r="X114" s="116" t="s">
        <v>189</v>
      </c>
      <c r="Y114" s="116" t="s">
        <v>190</v>
      </c>
      <c r="Z114" s="116" t="s">
        <v>191</v>
      </c>
      <c r="AA114" s="116" t="s">
        <v>192</v>
      </c>
      <c r="AB114" s="116" t="s">
        <v>193</v>
      </c>
      <c r="AC114" s="116" t="s">
        <v>194</v>
      </c>
      <c r="AD114" s="116" t="s">
        <v>195</v>
      </c>
      <c r="AE114" s="116" t="s">
        <v>196</v>
      </c>
      <c r="AF114" s="116" t="s">
        <v>197</v>
      </c>
      <c r="AG114" s="116" t="s">
        <v>198</v>
      </c>
    </row>
    <row r="115" spans="4:36" ht="20.100000000000001" customHeight="1" x14ac:dyDescent="0.25">
      <c r="D115" s="26" t="s">
        <v>199</v>
      </c>
      <c r="E115" s="26" t="e" cm="1">
        <f t="array" aca="1" ref="E115:N118" ca="1">OFFSET(X_Table_PastureBeef_DryMatterDigestibility_Method1, 1,1, 4,10)</f>
        <v>#N/A</v>
      </c>
      <c r="F115" s="26" t="e">
        <f ca="1"/>
        <v>#N/A</v>
      </c>
      <c r="G115" s="26" t="e">
        <f ca="1"/>
        <v>#N/A</v>
      </c>
      <c r="H115" s="26" t="e">
        <f ca="1"/>
        <v>#N/A</v>
      </c>
      <c r="I115" s="26" t="e">
        <f ca="1"/>
        <v>#N/A</v>
      </c>
      <c r="J115" s="26" t="e">
        <f ca="1"/>
        <v>#N/A</v>
      </c>
      <c r="K115" s="26" t="e">
        <f ca="1"/>
        <v>#N/A</v>
      </c>
      <c r="L115" s="26" t="e">
        <f ca="1"/>
        <v>#N/A</v>
      </c>
      <c r="M115" s="26" t="e">
        <f ca="1"/>
        <v>#N/A</v>
      </c>
      <c r="N115" s="26" t="e">
        <f ca="1"/>
        <v>#N/A</v>
      </c>
      <c r="O115" s="27" t="s">
        <v>229</v>
      </c>
      <c r="P115" s="27"/>
      <c r="Q115" s="27"/>
      <c r="R115" s="27"/>
      <c r="S115" s="27"/>
      <c r="W115" s="26" t="str">
        <f>INDEX(X_Table_PastureBeef_CrudeProtein_Method2,2,1)</f>
        <v>NO - Not in leaching zone</v>
      </c>
      <c r="X115" s="26" t="e" cm="1">
        <f t="array" aca="1" ref="X115:AG126" ca="1">OFFSET(X_Table_PastureBeef_DryMatterDigestibility_Method2, 1,1, 12,10)</f>
        <v>#N/A</v>
      </c>
      <c r="Y115" s="26" t="e">
        <f ca="1"/>
        <v>#N/A</v>
      </c>
      <c r="Z115" s="26" t="e">
        <f ca="1"/>
        <v>#N/A</v>
      </c>
      <c r="AA115" s="26" t="e">
        <f ca="1"/>
        <v>#N/A</v>
      </c>
      <c r="AB115" s="26" t="e">
        <f ca="1"/>
        <v>#N/A</v>
      </c>
      <c r="AC115" s="26" t="e">
        <f ca="1"/>
        <v>#N/A</v>
      </c>
      <c r="AD115" s="26" t="e">
        <f ca="1"/>
        <v>#N/A</v>
      </c>
      <c r="AE115" s="26" t="e">
        <f ca="1"/>
        <v>#N/A</v>
      </c>
      <c r="AF115" s="26" t="e">
        <f ca="1"/>
        <v>#N/A</v>
      </c>
      <c r="AG115" s="26" t="e">
        <f ca="1"/>
        <v>#N/A</v>
      </c>
      <c r="AH115" s="27" t="s">
        <v>229</v>
      </c>
      <c r="AI115" s="27"/>
      <c r="AJ115" s="27"/>
    </row>
    <row r="116" spans="4:36" ht="20.100000000000001" customHeight="1" x14ac:dyDescent="0.25">
      <c r="D116" s="26" t="s">
        <v>200</v>
      </c>
      <c r="E116" s="26" t="e">
        <f ca="1"/>
        <v>#N/A</v>
      </c>
      <c r="F116" s="26" t="e">
        <f ca="1"/>
        <v>#N/A</v>
      </c>
      <c r="G116" s="26" t="e">
        <f ca="1"/>
        <v>#N/A</v>
      </c>
      <c r="H116" s="26" t="e">
        <f ca="1"/>
        <v>#N/A</v>
      </c>
      <c r="I116" s="26" t="e">
        <f ca="1"/>
        <v>#N/A</v>
      </c>
      <c r="J116" s="26" t="e">
        <f ca="1"/>
        <v>#N/A</v>
      </c>
      <c r="K116" s="26" t="e">
        <f ca="1"/>
        <v>#N/A</v>
      </c>
      <c r="L116" s="26" t="e">
        <f ca="1"/>
        <v>#N/A</v>
      </c>
      <c r="M116" s="26" t="e">
        <f ca="1"/>
        <v>#N/A</v>
      </c>
      <c r="N116" s="26" t="e">
        <f ca="1"/>
        <v>#N/A</v>
      </c>
      <c r="O116" s="27" t="s">
        <v>229</v>
      </c>
      <c r="P116" s="27"/>
      <c r="Q116" s="27"/>
      <c r="R116" s="27"/>
      <c r="S116" s="27"/>
      <c r="W116" s="26" t="e">
        <f>INDEX(X_Table_PastureBeef_CrudeProtein_Method2,3,1)</f>
        <v>#VALUE!</v>
      </c>
      <c r="X116" s="26" t="e">
        <f ca="1"/>
        <v>#VALUE!</v>
      </c>
      <c r="Y116" s="26" t="e">
        <f ca="1"/>
        <v>#VALUE!</v>
      </c>
      <c r="Z116" s="26" t="e">
        <f ca="1"/>
        <v>#VALUE!</v>
      </c>
      <c r="AA116" s="26" t="e">
        <f ca="1"/>
        <v>#VALUE!</v>
      </c>
      <c r="AB116" s="26" t="e">
        <f ca="1"/>
        <v>#VALUE!</v>
      </c>
      <c r="AC116" s="26" t="e">
        <f ca="1"/>
        <v>#VALUE!</v>
      </c>
      <c r="AD116" s="26" t="e">
        <f ca="1"/>
        <v>#VALUE!</v>
      </c>
      <c r="AE116" s="26" t="e">
        <f ca="1"/>
        <v>#VALUE!</v>
      </c>
      <c r="AF116" s="26" t="e">
        <f ca="1"/>
        <v>#VALUE!</v>
      </c>
      <c r="AG116" s="26" t="e">
        <f ca="1"/>
        <v>#VALUE!</v>
      </c>
      <c r="AH116" s="27" t="s">
        <v>229</v>
      </c>
      <c r="AI116" s="27"/>
      <c r="AJ116" s="27"/>
    </row>
    <row r="117" spans="4:36" ht="20.100000000000001" customHeight="1" x14ac:dyDescent="0.25">
      <c r="D117" s="26" t="s">
        <v>201</v>
      </c>
      <c r="E117" s="26" t="e">
        <f ca="1"/>
        <v>#N/A</v>
      </c>
      <c r="F117" s="26" t="e">
        <f ca="1"/>
        <v>#N/A</v>
      </c>
      <c r="G117" s="26" t="e">
        <f ca="1"/>
        <v>#N/A</v>
      </c>
      <c r="H117" s="26" t="e">
        <f ca="1"/>
        <v>#N/A</v>
      </c>
      <c r="I117" s="26" t="e">
        <f ca="1"/>
        <v>#N/A</v>
      </c>
      <c r="J117" s="26" t="e">
        <f ca="1"/>
        <v>#N/A</v>
      </c>
      <c r="K117" s="26" t="e">
        <f ca="1"/>
        <v>#N/A</v>
      </c>
      <c r="L117" s="26" t="e">
        <f ca="1"/>
        <v>#N/A</v>
      </c>
      <c r="M117" s="26" t="e">
        <f ca="1"/>
        <v>#N/A</v>
      </c>
      <c r="N117" s="26" t="e">
        <f ca="1"/>
        <v>#N/A</v>
      </c>
      <c r="O117" s="27" t="s">
        <v>229</v>
      </c>
      <c r="P117" s="27"/>
      <c r="Q117" s="27"/>
      <c r="R117" s="27"/>
      <c r="S117" s="27"/>
      <c r="W117" s="26" t="e">
        <f>INDEX(X_Table_PastureBeef_CrudeProtein_Method2,4,1)</f>
        <v>#VALUE!</v>
      </c>
      <c r="X117" s="26" t="e">
        <f ca="1"/>
        <v>#VALUE!</v>
      </c>
      <c r="Y117" s="26" t="e">
        <f ca="1"/>
        <v>#VALUE!</v>
      </c>
      <c r="Z117" s="26" t="e">
        <f ca="1"/>
        <v>#VALUE!</v>
      </c>
      <c r="AA117" s="26" t="e">
        <f ca="1"/>
        <v>#VALUE!</v>
      </c>
      <c r="AB117" s="26" t="e">
        <f ca="1"/>
        <v>#VALUE!</v>
      </c>
      <c r="AC117" s="26" t="e">
        <f ca="1"/>
        <v>#VALUE!</v>
      </c>
      <c r="AD117" s="26" t="e">
        <f ca="1"/>
        <v>#VALUE!</v>
      </c>
      <c r="AE117" s="26" t="e">
        <f ca="1"/>
        <v>#VALUE!</v>
      </c>
      <c r="AF117" s="26" t="e">
        <f ca="1"/>
        <v>#VALUE!</v>
      </c>
      <c r="AG117" s="26" t="e">
        <f ca="1"/>
        <v>#VALUE!</v>
      </c>
      <c r="AH117" s="27" t="s">
        <v>229</v>
      </c>
      <c r="AI117" s="27"/>
      <c r="AJ117" s="27"/>
    </row>
    <row r="118" spans="4:36" ht="20.100000000000001" customHeight="1" x14ac:dyDescent="0.25">
      <c r="D118" s="26" t="s">
        <v>202</v>
      </c>
      <c r="E118" s="26" t="e">
        <f ca="1"/>
        <v>#N/A</v>
      </c>
      <c r="F118" s="26" t="e">
        <f ca="1"/>
        <v>#N/A</v>
      </c>
      <c r="G118" s="26" t="e">
        <f ca="1"/>
        <v>#N/A</v>
      </c>
      <c r="H118" s="26" t="e">
        <f ca="1"/>
        <v>#N/A</v>
      </c>
      <c r="I118" s="26" t="e">
        <f ca="1"/>
        <v>#N/A</v>
      </c>
      <c r="J118" s="26" t="e">
        <f ca="1"/>
        <v>#N/A</v>
      </c>
      <c r="K118" s="26" t="e">
        <f ca="1"/>
        <v>#N/A</v>
      </c>
      <c r="L118" s="26" t="e">
        <f ca="1"/>
        <v>#N/A</v>
      </c>
      <c r="M118" s="26" t="e">
        <f ca="1"/>
        <v>#N/A</v>
      </c>
      <c r="N118" s="26" t="e">
        <f ca="1"/>
        <v>#N/A</v>
      </c>
      <c r="O118" s="27" t="s">
        <v>229</v>
      </c>
      <c r="P118" s="27"/>
      <c r="Q118" s="27"/>
      <c r="R118" s="27"/>
      <c r="S118" s="27"/>
      <c r="W118" s="26" t="e">
        <f>INDEX(X_Table_PastureBeef_CrudeProtein_Method2,5,1)</f>
        <v>#VALUE!</v>
      </c>
      <c r="X118" s="26" t="e">
        <f ca="1"/>
        <v>#VALUE!</v>
      </c>
      <c r="Y118" s="26" t="e">
        <f ca="1"/>
        <v>#VALUE!</v>
      </c>
      <c r="Z118" s="26" t="e">
        <f ca="1"/>
        <v>#VALUE!</v>
      </c>
      <c r="AA118" s="26" t="e">
        <f ca="1"/>
        <v>#VALUE!</v>
      </c>
      <c r="AB118" s="26" t="e">
        <f ca="1"/>
        <v>#VALUE!</v>
      </c>
      <c r="AC118" s="26" t="e">
        <f ca="1"/>
        <v>#VALUE!</v>
      </c>
      <c r="AD118" s="26" t="e">
        <f ca="1"/>
        <v>#VALUE!</v>
      </c>
      <c r="AE118" s="26" t="e">
        <f ca="1"/>
        <v>#VALUE!</v>
      </c>
      <c r="AF118" s="26" t="e">
        <f ca="1"/>
        <v>#VALUE!</v>
      </c>
      <c r="AG118" s="26" t="e">
        <f ca="1"/>
        <v>#VALUE!</v>
      </c>
      <c r="AH118" s="27" t="s">
        <v>229</v>
      </c>
      <c r="AI118" s="27"/>
      <c r="AJ118" s="27"/>
    </row>
    <row r="119" spans="4:36" ht="20.100000000000001" customHeight="1" x14ac:dyDescent="0.25">
      <c r="W119" s="26" t="e">
        <f>INDEX(X_Table_PastureBeef_CrudeProtein_Method2,6,1)</f>
        <v>#VALUE!</v>
      </c>
      <c r="X119" s="26" t="e">
        <f ca="1"/>
        <v>#VALUE!</v>
      </c>
      <c r="Y119" s="26" t="e">
        <f ca="1"/>
        <v>#VALUE!</v>
      </c>
      <c r="Z119" s="26" t="e">
        <f ca="1"/>
        <v>#VALUE!</v>
      </c>
      <c r="AA119" s="26" t="e">
        <f ca="1"/>
        <v>#VALUE!</v>
      </c>
      <c r="AB119" s="26" t="e">
        <f ca="1"/>
        <v>#VALUE!</v>
      </c>
      <c r="AC119" s="26" t="e">
        <f ca="1"/>
        <v>#VALUE!</v>
      </c>
      <c r="AD119" s="26" t="e">
        <f ca="1"/>
        <v>#VALUE!</v>
      </c>
      <c r="AE119" s="26" t="e">
        <f ca="1"/>
        <v>#VALUE!</v>
      </c>
      <c r="AF119" s="26" t="e">
        <f ca="1"/>
        <v>#VALUE!</v>
      </c>
      <c r="AG119" s="26" t="e">
        <f ca="1"/>
        <v>#VALUE!</v>
      </c>
      <c r="AH119" s="27" t="s">
        <v>229</v>
      </c>
      <c r="AI119" s="27"/>
      <c r="AJ119" s="27"/>
    </row>
    <row r="120" spans="4:36" ht="20.100000000000001" customHeight="1" x14ac:dyDescent="0.25">
      <c r="W120" s="26" t="e">
        <f>INDEX(X_Table_PastureBeef_CrudeProtein_Method2,7,1)</f>
        <v>#VALUE!</v>
      </c>
      <c r="X120" s="26" t="e">
        <f ca="1"/>
        <v>#VALUE!</v>
      </c>
      <c r="Y120" s="26" t="e">
        <f ca="1"/>
        <v>#VALUE!</v>
      </c>
      <c r="Z120" s="26" t="e">
        <f ca="1"/>
        <v>#VALUE!</v>
      </c>
      <c r="AA120" s="26" t="e">
        <f ca="1"/>
        <v>#VALUE!</v>
      </c>
      <c r="AB120" s="26" t="e">
        <f ca="1"/>
        <v>#VALUE!</v>
      </c>
      <c r="AC120" s="26" t="e">
        <f ca="1"/>
        <v>#VALUE!</v>
      </c>
      <c r="AD120" s="26" t="e">
        <f ca="1"/>
        <v>#VALUE!</v>
      </c>
      <c r="AE120" s="26" t="e">
        <f ca="1"/>
        <v>#VALUE!</v>
      </c>
      <c r="AF120" s="26" t="e">
        <f ca="1"/>
        <v>#VALUE!</v>
      </c>
      <c r="AG120" s="26" t="e">
        <f ca="1"/>
        <v>#VALUE!</v>
      </c>
      <c r="AH120" s="27" t="s">
        <v>229</v>
      </c>
      <c r="AI120" s="27"/>
      <c r="AJ120" s="27"/>
    </row>
    <row r="121" spans="4:36" ht="20.100000000000001" customHeight="1" x14ac:dyDescent="0.25">
      <c r="W121" s="26" t="e">
        <f>INDEX(X_Table_PastureBeef_CrudeProtein_Method2,8,1)</f>
        <v>#VALUE!</v>
      </c>
      <c r="X121" s="26" t="e">
        <f ca="1"/>
        <v>#VALUE!</v>
      </c>
      <c r="Y121" s="26" t="e">
        <f ca="1"/>
        <v>#VALUE!</v>
      </c>
      <c r="Z121" s="26" t="e">
        <f ca="1"/>
        <v>#VALUE!</v>
      </c>
      <c r="AA121" s="26" t="e">
        <f ca="1"/>
        <v>#VALUE!</v>
      </c>
      <c r="AB121" s="26" t="e">
        <f ca="1"/>
        <v>#VALUE!</v>
      </c>
      <c r="AC121" s="26" t="e">
        <f ca="1"/>
        <v>#VALUE!</v>
      </c>
      <c r="AD121" s="26" t="e">
        <f ca="1"/>
        <v>#VALUE!</v>
      </c>
      <c r="AE121" s="26" t="e">
        <f ca="1"/>
        <v>#VALUE!</v>
      </c>
      <c r="AF121" s="26" t="e">
        <f ca="1"/>
        <v>#VALUE!</v>
      </c>
      <c r="AG121" s="26" t="e">
        <f ca="1"/>
        <v>#VALUE!</v>
      </c>
      <c r="AH121" s="27" t="s">
        <v>229</v>
      </c>
      <c r="AI121" s="27"/>
      <c r="AJ121" s="27"/>
    </row>
    <row r="122" spans="4:36" ht="20.100000000000001" customHeight="1" x14ac:dyDescent="0.25">
      <c r="W122" s="26" t="e">
        <f>INDEX(X_Table_PastureBeef_CrudeProtein_Method2,9,1)</f>
        <v>#VALUE!</v>
      </c>
      <c r="X122" s="26" t="e">
        <f ca="1"/>
        <v>#VALUE!</v>
      </c>
      <c r="Y122" s="26" t="e">
        <f ca="1"/>
        <v>#VALUE!</v>
      </c>
      <c r="Z122" s="26" t="e">
        <f ca="1"/>
        <v>#VALUE!</v>
      </c>
      <c r="AA122" s="26" t="e">
        <f ca="1"/>
        <v>#VALUE!</v>
      </c>
      <c r="AB122" s="26" t="e">
        <f ca="1"/>
        <v>#VALUE!</v>
      </c>
      <c r="AC122" s="26" t="e">
        <f ca="1"/>
        <v>#VALUE!</v>
      </c>
      <c r="AD122" s="26" t="e">
        <f ca="1"/>
        <v>#VALUE!</v>
      </c>
      <c r="AE122" s="26" t="e">
        <f ca="1"/>
        <v>#VALUE!</v>
      </c>
      <c r="AF122" s="26" t="e">
        <f ca="1"/>
        <v>#VALUE!</v>
      </c>
      <c r="AG122" s="26" t="e">
        <f ca="1"/>
        <v>#VALUE!</v>
      </c>
      <c r="AH122" s="27" t="s">
        <v>229</v>
      </c>
      <c r="AI122" s="27"/>
      <c r="AJ122" s="27"/>
    </row>
    <row r="123" spans="4:36" ht="20.100000000000001" customHeight="1" x14ac:dyDescent="0.25">
      <c r="W123" s="26" t="e">
        <f>INDEX(X_Table_PastureBeef_CrudeProtein_Method2,10,1)</f>
        <v>#VALUE!</v>
      </c>
      <c r="X123" s="26" t="e">
        <f ca="1"/>
        <v>#VALUE!</v>
      </c>
      <c r="Y123" s="26" t="e">
        <f ca="1"/>
        <v>#VALUE!</v>
      </c>
      <c r="Z123" s="26" t="e">
        <f ca="1"/>
        <v>#VALUE!</v>
      </c>
      <c r="AA123" s="26" t="e">
        <f ca="1"/>
        <v>#VALUE!</v>
      </c>
      <c r="AB123" s="26" t="e">
        <f ca="1"/>
        <v>#VALUE!</v>
      </c>
      <c r="AC123" s="26" t="e">
        <f ca="1"/>
        <v>#VALUE!</v>
      </c>
      <c r="AD123" s="26" t="e">
        <f ca="1"/>
        <v>#VALUE!</v>
      </c>
      <c r="AE123" s="26" t="e">
        <f ca="1"/>
        <v>#VALUE!</v>
      </c>
      <c r="AF123" s="26" t="e">
        <f ca="1"/>
        <v>#VALUE!</v>
      </c>
      <c r="AG123" s="26" t="e">
        <f ca="1"/>
        <v>#VALUE!</v>
      </c>
      <c r="AH123" s="27" t="s">
        <v>229</v>
      </c>
      <c r="AI123" s="27"/>
      <c r="AJ123" s="27"/>
    </row>
    <row r="124" spans="4:36" ht="20.100000000000001" customHeight="1" x14ac:dyDescent="0.25">
      <c r="W124" s="26" t="e">
        <f>INDEX(X_Table_PastureBeef_CrudeProtein_Method2,11,1)</f>
        <v>#VALUE!</v>
      </c>
      <c r="X124" s="26" t="e">
        <f ca="1"/>
        <v>#VALUE!</v>
      </c>
      <c r="Y124" s="26" t="e">
        <f ca="1"/>
        <v>#VALUE!</v>
      </c>
      <c r="Z124" s="26" t="e">
        <f ca="1"/>
        <v>#VALUE!</v>
      </c>
      <c r="AA124" s="26" t="e">
        <f ca="1"/>
        <v>#VALUE!</v>
      </c>
      <c r="AB124" s="26" t="e">
        <f ca="1"/>
        <v>#VALUE!</v>
      </c>
      <c r="AC124" s="26" t="e">
        <f ca="1"/>
        <v>#VALUE!</v>
      </c>
      <c r="AD124" s="26" t="e">
        <f ca="1"/>
        <v>#VALUE!</v>
      </c>
      <c r="AE124" s="26" t="e">
        <f ca="1"/>
        <v>#VALUE!</v>
      </c>
      <c r="AF124" s="26" t="e">
        <f ca="1"/>
        <v>#VALUE!</v>
      </c>
      <c r="AG124" s="26" t="e">
        <f ca="1"/>
        <v>#VALUE!</v>
      </c>
      <c r="AH124" s="27" t="s">
        <v>229</v>
      </c>
      <c r="AI124" s="27"/>
      <c r="AJ124" s="27"/>
    </row>
    <row r="125" spans="4:36" ht="20.100000000000001" customHeight="1" x14ac:dyDescent="0.25">
      <c r="W125" s="26" t="e">
        <f>INDEX(X_Table_PastureBeef_CrudeProtein_Method2,12,1)</f>
        <v>#VALUE!</v>
      </c>
      <c r="X125" s="26" t="e">
        <f ca="1"/>
        <v>#VALUE!</v>
      </c>
      <c r="Y125" s="26" t="e">
        <f ca="1"/>
        <v>#VALUE!</v>
      </c>
      <c r="Z125" s="26" t="e">
        <f ca="1"/>
        <v>#VALUE!</v>
      </c>
      <c r="AA125" s="26" t="e">
        <f ca="1"/>
        <v>#VALUE!</v>
      </c>
      <c r="AB125" s="26" t="e">
        <f ca="1"/>
        <v>#VALUE!</v>
      </c>
      <c r="AC125" s="26" t="e">
        <f ca="1"/>
        <v>#VALUE!</v>
      </c>
      <c r="AD125" s="26" t="e">
        <f ca="1"/>
        <v>#VALUE!</v>
      </c>
      <c r="AE125" s="26" t="e">
        <f ca="1"/>
        <v>#VALUE!</v>
      </c>
      <c r="AF125" s="26" t="e">
        <f ca="1"/>
        <v>#VALUE!</v>
      </c>
      <c r="AG125" s="26" t="e">
        <f ca="1"/>
        <v>#VALUE!</v>
      </c>
      <c r="AH125" s="27" t="s">
        <v>229</v>
      </c>
      <c r="AI125" s="27"/>
      <c r="AJ125" s="27"/>
    </row>
    <row r="126" spans="4:36" ht="20.100000000000001" customHeight="1" x14ac:dyDescent="0.25">
      <c r="W126" s="26" t="e">
        <f>INDEX(X_Table_PastureBeef_CrudeProtein_Method2,13,1)</f>
        <v>#VALUE!</v>
      </c>
      <c r="X126" s="26" t="e">
        <f ca="1"/>
        <v>#VALUE!</v>
      </c>
      <c r="Y126" s="26" t="e">
        <f ca="1"/>
        <v>#VALUE!</v>
      </c>
      <c r="Z126" s="26" t="e">
        <f ca="1"/>
        <v>#VALUE!</v>
      </c>
      <c r="AA126" s="26" t="e">
        <f ca="1"/>
        <v>#VALUE!</v>
      </c>
      <c r="AB126" s="26" t="e">
        <f ca="1"/>
        <v>#VALUE!</v>
      </c>
      <c r="AC126" s="26" t="e">
        <f ca="1"/>
        <v>#VALUE!</v>
      </c>
      <c r="AD126" s="26" t="e">
        <f ca="1"/>
        <v>#VALUE!</v>
      </c>
      <c r="AE126" s="26" t="e">
        <f ca="1"/>
        <v>#VALUE!</v>
      </c>
      <c r="AF126" s="26" t="e">
        <f ca="1"/>
        <v>#VALUE!</v>
      </c>
      <c r="AG126" s="26" t="e">
        <f ca="1"/>
        <v>#VALUE!</v>
      </c>
      <c r="AH126" s="27" t="s">
        <v>229</v>
      </c>
      <c r="AI126" s="27"/>
      <c r="AJ126" s="27"/>
    </row>
    <row r="127" spans="4:36" ht="20.100000000000001" customHeight="1" x14ac:dyDescent="0.25"/>
    <row r="128" spans="4:36" ht="20.100000000000001" customHeight="1" x14ac:dyDescent="0.25">
      <c r="D128" s="113" t="s">
        <v>396</v>
      </c>
      <c r="W128" s="113" t="s">
        <v>397</v>
      </c>
    </row>
    <row r="129" spans="4:36" ht="20.100000000000001" customHeight="1" x14ac:dyDescent="0.25">
      <c r="D129" s="114" t="s">
        <v>398</v>
      </c>
      <c r="W129" s="114" t="s">
        <v>399</v>
      </c>
    </row>
    <row r="130" spans="4:36" ht="20.100000000000001" customHeight="1" x14ac:dyDescent="0.25">
      <c r="D130" s="115" t="s">
        <v>79</v>
      </c>
      <c r="E130" s="115" t="s">
        <v>189</v>
      </c>
      <c r="F130" s="115" t="s">
        <v>190</v>
      </c>
      <c r="G130" s="115" t="s">
        <v>191</v>
      </c>
      <c r="H130" s="115" t="s">
        <v>192</v>
      </c>
      <c r="I130" s="115" t="s">
        <v>193</v>
      </c>
      <c r="J130" s="115" t="s">
        <v>194</v>
      </c>
      <c r="K130" s="115" t="s">
        <v>195</v>
      </c>
      <c r="L130" s="115" t="s">
        <v>196</v>
      </c>
      <c r="M130" s="115" t="s">
        <v>197</v>
      </c>
      <c r="N130" s="115" t="s">
        <v>198</v>
      </c>
      <c r="W130" s="115" t="s">
        <v>78</v>
      </c>
      <c r="X130" s="115" t="s">
        <v>189</v>
      </c>
      <c r="Y130" s="115" t="s">
        <v>190</v>
      </c>
      <c r="Z130" s="115" t="s">
        <v>191</v>
      </c>
      <c r="AA130" s="115" t="s">
        <v>192</v>
      </c>
      <c r="AB130" s="115" t="s">
        <v>193</v>
      </c>
      <c r="AC130" s="115" t="s">
        <v>194</v>
      </c>
      <c r="AD130" s="115" t="s">
        <v>195</v>
      </c>
      <c r="AE130" s="115" t="s">
        <v>196</v>
      </c>
      <c r="AF130" s="115" t="s">
        <v>197</v>
      </c>
      <c r="AG130" s="115" t="s">
        <v>198</v>
      </c>
    </row>
    <row r="131" spans="4:36" ht="20.100000000000001" customHeight="1" x14ac:dyDescent="0.25">
      <c r="D131" s="26" t="s">
        <v>199</v>
      </c>
      <c r="E131" s="26" t="e" cm="1">
        <f t="array" aca="1" ref="E131" ca="1">MMS_PastureBeef_Methane_Equations.VEERG_4_2_1_1__3_VolatileSolidProductionFromGrazingBeef(E84,E115,$I$110)</f>
        <v>#N/A</v>
      </c>
      <c r="F131" s="26" t="e" cm="1">
        <f t="array" aca="1" ref="F131" ca="1">MMS_PastureBeef_Methane_Equations.VEERG_4_2_1_1__3_VolatileSolidProductionFromGrazingBeef(F84,F115,$I$110)</f>
        <v>#N/A</v>
      </c>
      <c r="G131" s="26" t="e" cm="1">
        <f t="array" aca="1" ref="G131" ca="1">MMS_PastureBeef_Methane_Equations.VEERG_4_2_1_1__3_VolatileSolidProductionFromGrazingBeef(G84,G115,$I$110)</f>
        <v>#N/A</v>
      </c>
      <c r="H131" s="26" t="e" cm="1">
        <f t="array" aca="1" ref="H131" ca="1">MMS_PastureBeef_Methane_Equations.VEERG_4_2_1_1__3_VolatileSolidProductionFromGrazingBeef(H84,H115,$I$110)</f>
        <v>#N/A</v>
      </c>
      <c r="I131" s="26" t="e" cm="1">
        <f t="array" aca="1" ref="I131" ca="1">MMS_PastureBeef_Methane_Equations.VEERG_4_2_1_1__3_VolatileSolidProductionFromGrazingBeef(I84,I115,$I$110)</f>
        <v>#N/A</v>
      </c>
      <c r="J131" s="26" t="e" cm="1">
        <f t="array" aca="1" ref="J131" ca="1">MMS_PastureBeef_Methane_Equations.VEERG_4_2_1_1__3_VolatileSolidProductionFromGrazingBeef(J84,J115,$I$110)</f>
        <v>#N/A</v>
      </c>
      <c r="K131" s="26" t="e" cm="1">
        <f t="array" aca="1" ref="K131" ca="1">MMS_PastureBeef_Methane_Equations.VEERG_4_2_1_1__3_VolatileSolidProductionFromGrazingBeef(K84,K115,$I$110)</f>
        <v>#N/A</v>
      </c>
      <c r="L131" s="26" t="e" cm="1">
        <f t="array" aca="1" ref="L131" ca="1">MMS_PastureBeef_Methane_Equations.VEERG_4_2_1_1__3_VolatileSolidProductionFromGrazingBeef(L84,L115,$I$110)</f>
        <v>#N/A</v>
      </c>
      <c r="M131" s="26" t="e" cm="1">
        <f t="array" aca="1" ref="M131" ca="1">MMS_PastureBeef_Methane_Equations.VEERG_4_2_1_1__3_VolatileSolidProductionFromGrazingBeef(M84,M115,$I$110)</f>
        <v>#N/A</v>
      </c>
      <c r="N131" s="26" t="e" cm="1">
        <f t="array" aca="1" ref="N131" ca="1">MMS_PastureBeef_Methane_Equations.VEERG_4_2_1_1__3_VolatileSolidProductionFromGrazingBeef(N84,N115,$I$110)</f>
        <v>#N/A</v>
      </c>
      <c r="O131" s="27" t="str">
        <f>$E$106</f>
        <v>kg/head/day</v>
      </c>
      <c r="P131" s="27"/>
      <c r="Q131" s="27"/>
      <c r="R131" s="27"/>
      <c r="S131" s="27"/>
      <c r="W131" s="26" t="str">
        <f>W115</f>
        <v>NO - Not in leaching zone</v>
      </c>
      <c r="X131" s="26" t="e" cm="1">
        <f t="array" aca="1" ref="X131" ca="1">MMS_PastureBeef_Methane_Equations.VEERG_4_2_1_1__3_VolatileSolidProductionFromGrazingBeef(X76,X115,$I$110)</f>
        <v>#N/A</v>
      </c>
      <c r="Y131" s="26" t="e" cm="1">
        <f t="array" aca="1" ref="Y131" ca="1">MMS_PastureBeef_Methane_Equations.VEERG_4_2_1_1__3_VolatileSolidProductionFromGrazingBeef(Y76,Y115,$I$110)</f>
        <v>#N/A</v>
      </c>
      <c r="Z131" s="26" t="e" cm="1">
        <f t="array" aca="1" ref="Z131" ca="1">MMS_PastureBeef_Methane_Equations.VEERG_4_2_1_1__3_VolatileSolidProductionFromGrazingBeef(Z76,Z115,$I$110)</f>
        <v>#N/A</v>
      </c>
      <c r="AA131" s="26" t="e" cm="1">
        <f t="array" aca="1" ref="AA131" ca="1">MMS_PastureBeef_Methane_Equations.VEERG_4_2_1_1__3_VolatileSolidProductionFromGrazingBeef(AA76,AA115,$I$110)</f>
        <v>#N/A</v>
      </c>
      <c r="AB131" s="26" t="e" cm="1">
        <f t="array" aca="1" ref="AB131" ca="1">MMS_PastureBeef_Methane_Equations.VEERG_4_2_1_1__3_VolatileSolidProductionFromGrazingBeef(AB76,AB115,$I$110)</f>
        <v>#N/A</v>
      </c>
      <c r="AC131" s="26" t="e" cm="1">
        <f t="array" aca="1" ref="AC131" ca="1">MMS_PastureBeef_Methane_Equations.VEERG_4_2_1_1__3_VolatileSolidProductionFromGrazingBeef(AC76,AC115,$I$110)</f>
        <v>#N/A</v>
      </c>
      <c r="AD131" s="26" t="e" cm="1">
        <f t="array" aca="1" ref="AD131" ca="1">MMS_PastureBeef_Methane_Equations.VEERG_4_2_1_1__3_VolatileSolidProductionFromGrazingBeef(AD76,AD115,$I$110)</f>
        <v>#N/A</v>
      </c>
      <c r="AE131" s="26" t="e" cm="1">
        <f t="array" aca="1" ref="AE131" ca="1">MMS_PastureBeef_Methane_Equations.VEERG_4_2_1_1__3_VolatileSolidProductionFromGrazingBeef(AE76,AE115,$I$110)</f>
        <v>#N/A</v>
      </c>
      <c r="AF131" s="26" t="e" cm="1">
        <f t="array" aca="1" ref="AF131" ca="1">MMS_PastureBeef_Methane_Equations.VEERG_4_2_1_1__3_VolatileSolidProductionFromGrazingBeef(AF76,AF115,$I$110)</f>
        <v>#N/A</v>
      </c>
      <c r="AG131" s="26" t="e" cm="1">
        <f t="array" aca="1" ref="AG131" ca="1">MMS_PastureBeef_Methane_Equations.VEERG_4_2_1_1__3_VolatileSolidProductionFromGrazingBeef(AG76,AG115,$I$110)</f>
        <v>#N/A</v>
      </c>
      <c r="AH131" s="27" t="str">
        <f t="shared" ref="AH131:AH142" si="3">$E$106</f>
        <v>kg/head/day</v>
      </c>
      <c r="AI131" s="27"/>
      <c r="AJ131" s="27"/>
    </row>
    <row r="132" spans="4:36" ht="20.100000000000001" customHeight="1" x14ac:dyDescent="0.25">
      <c r="D132" s="26" t="s">
        <v>200</v>
      </c>
      <c r="E132" s="26" t="e" cm="1">
        <f t="array" aca="1" ref="E132" ca="1">MMS_PastureBeef_Methane_Equations.VEERG_4_2_1_1__3_VolatileSolidProductionFromGrazingBeef(E85,E116,$I$110)</f>
        <v>#N/A</v>
      </c>
      <c r="F132" s="26" t="e" cm="1">
        <f t="array" aca="1" ref="F132" ca="1">MMS_PastureBeef_Methane_Equations.VEERG_4_2_1_1__3_VolatileSolidProductionFromGrazingBeef(F85,F116,$I$110)</f>
        <v>#N/A</v>
      </c>
      <c r="G132" s="26" t="e" cm="1">
        <f t="array" aca="1" ref="G132" ca="1">MMS_PastureBeef_Methane_Equations.VEERG_4_2_1_1__3_VolatileSolidProductionFromGrazingBeef(G85,G116,$I$110)</f>
        <v>#N/A</v>
      </c>
      <c r="H132" s="26" t="e" cm="1">
        <f t="array" aca="1" ref="H132" ca="1">MMS_PastureBeef_Methane_Equations.VEERG_4_2_1_1__3_VolatileSolidProductionFromGrazingBeef(H85,H116,$I$110)</f>
        <v>#N/A</v>
      </c>
      <c r="I132" s="26" t="e" cm="1">
        <f t="array" aca="1" ref="I132" ca="1">MMS_PastureBeef_Methane_Equations.VEERG_4_2_1_1__3_VolatileSolidProductionFromGrazingBeef(I85,I116,$I$110)</f>
        <v>#N/A</v>
      </c>
      <c r="J132" s="26" t="e" cm="1">
        <f t="array" aca="1" ref="J132" ca="1">MMS_PastureBeef_Methane_Equations.VEERG_4_2_1_1__3_VolatileSolidProductionFromGrazingBeef(J85,J116,$I$110)</f>
        <v>#N/A</v>
      </c>
      <c r="K132" s="26" t="e" cm="1">
        <f t="array" aca="1" ref="K132" ca="1">MMS_PastureBeef_Methane_Equations.VEERG_4_2_1_1__3_VolatileSolidProductionFromGrazingBeef(K85,K116,$I$110)</f>
        <v>#N/A</v>
      </c>
      <c r="L132" s="26" t="e" cm="1">
        <f t="array" aca="1" ref="L132" ca="1">MMS_PastureBeef_Methane_Equations.VEERG_4_2_1_1__3_VolatileSolidProductionFromGrazingBeef(L85,L116,$I$110)</f>
        <v>#N/A</v>
      </c>
      <c r="M132" s="26" t="e" cm="1">
        <f t="array" aca="1" ref="M132" ca="1">MMS_PastureBeef_Methane_Equations.VEERG_4_2_1_1__3_VolatileSolidProductionFromGrazingBeef(M85,M116,$I$110)</f>
        <v>#N/A</v>
      </c>
      <c r="N132" s="26" t="e" cm="1">
        <f t="array" aca="1" ref="N132" ca="1">MMS_PastureBeef_Methane_Equations.VEERG_4_2_1_1__3_VolatileSolidProductionFromGrazingBeef(N85,N116,$I$110)</f>
        <v>#N/A</v>
      </c>
      <c r="O132" s="27" t="str">
        <f t="shared" ref="O132:O134" si="4">$E$106</f>
        <v>kg/head/day</v>
      </c>
      <c r="P132" s="27"/>
      <c r="Q132" s="27"/>
      <c r="R132" s="27"/>
      <c r="S132" s="27"/>
      <c r="W132" s="26" t="e">
        <f t="shared" ref="W132:W142" si="5">W116</f>
        <v>#VALUE!</v>
      </c>
      <c r="X132" s="26" t="e" cm="1">
        <f t="array" aca="1" ref="X132" ca="1">MMS_PastureBeef_Methane_Equations.VEERG_4_2_1_1__3_VolatileSolidProductionFromGrazingBeef(X77,X116,$I$110)</f>
        <v>#N/A</v>
      </c>
      <c r="Y132" s="26" t="e" cm="1">
        <f t="array" aca="1" ref="Y132" ca="1">MMS_PastureBeef_Methane_Equations.VEERG_4_2_1_1__3_VolatileSolidProductionFromGrazingBeef(Y77,Y116,$I$110)</f>
        <v>#N/A</v>
      </c>
      <c r="Z132" s="26" t="e" cm="1">
        <f t="array" aca="1" ref="Z132" ca="1">MMS_PastureBeef_Methane_Equations.VEERG_4_2_1_1__3_VolatileSolidProductionFromGrazingBeef(Z77,Z116,$I$110)</f>
        <v>#N/A</v>
      </c>
      <c r="AA132" s="26" t="e" cm="1">
        <f t="array" aca="1" ref="AA132" ca="1">MMS_PastureBeef_Methane_Equations.VEERG_4_2_1_1__3_VolatileSolidProductionFromGrazingBeef(AA77,AA116,$I$110)</f>
        <v>#N/A</v>
      </c>
      <c r="AB132" s="26" t="e" cm="1">
        <f t="array" aca="1" ref="AB132" ca="1">MMS_PastureBeef_Methane_Equations.VEERG_4_2_1_1__3_VolatileSolidProductionFromGrazingBeef(AB77,AB116,$I$110)</f>
        <v>#N/A</v>
      </c>
      <c r="AC132" s="26" t="e" cm="1">
        <f t="array" aca="1" ref="AC132" ca="1">MMS_PastureBeef_Methane_Equations.VEERG_4_2_1_1__3_VolatileSolidProductionFromGrazingBeef(AC77,AC116,$I$110)</f>
        <v>#N/A</v>
      </c>
      <c r="AD132" s="26" t="e" cm="1">
        <f t="array" aca="1" ref="AD132" ca="1">MMS_PastureBeef_Methane_Equations.VEERG_4_2_1_1__3_VolatileSolidProductionFromGrazingBeef(AD77,AD116,$I$110)</f>
        <v>#N/A</v>
      </c>
      <c r="AE132" s="26" t="e" cm="1">
        <f t="array" aca="1" ref="AE132" ca="1">MMS_PastureBeef_Methane_Equations.VEERG_4_2_1_1__3_VolatileSolidProductionFromGrazingBeef(AE77,AE116,$I$110)</f>
        <v>#N/A</v>
      </c>
      <c r="AF132" s="26" t="e" cm="1">
        <f t="array" aca="1" ref="AF132" ca="1">MMS_PastureBeef_Methane_Equations.VEERG_4_2_1_1__3_VolatileSolidProductionFromGrazingBeef(AF77,AF116,$I$110)</f>
        <v>#N/A</v>
      </c>
      <c r="AG132" s="26" t="e" cm="1">
        <f t="array" aca="1" ref="AG132" ca="1">MMS_PastureBeef_Methane_Equations.VEERG_4_2_1_1__3_VolatileSolidProductionFromGrazingBeef(AG77,AG116,$I$110)</f>
        <v>#N/A</v>
      </c>
      <c r="AH132" s="27" t="str">
        <f t="shared" si="3"/>
        <v>kg/head/day</v>
      </c>
      <c r="AI132" s="27"/>
      <c r="AJ132" s="27"/>
    </row>
    <row r="133" spans="4:36" ht="20.100000000000001" customHeight="1" x14ac:dyDescent="0.25">
      <c r="D133" s="26" t="s">
        <v>201</v>
      </c>
      <c r="E133" s="26" t="e" cm="1">
        <f t="array" aca="1" ref="E133" ca="1">MMS_PastureBeef_Methane_Equations.VEERG_4_2_1_1__3_VolatileSolidProductionFromGrazingBeef(E86,E117,$I$110)</f>
        <v>#N/A</v>
      </c>
      <c r="F133" s="26" t="e" cm="1">
        <f t="array" aca="1" ref="F133" ca="1">MMS_PastureBeef_Methane_Equations.VEERG_4_2_1_1__3_VolatileSolidProductionFromGrazingBeef(F86,F117,$I$110)</f>
        <v>#N/A</v>
      </c>
      <c r="G133" s="26" t="e" cm="1">
        <f t="array" aca="1" ref="G133" ca="1">MMS_PastureBeef_Methane_Equations.VEERG_4_2_1_1__3_VolatileSolidProductionFromGrazingBeef(G86,G117,$I$110)</f>
        <v>#N/A</v>
      </c>
      <c r="H133" s="26" t="e" cm="1">
        <f t="array" aca="1" ref="H133" ca="1">MMS_PastureBeef_Methane_Equations.VEERG_4_2_1_1__3_VolatileSolidProductionFromGrazingBeef(H86,H117,$I$110)</f>
        <v>#N/A</v>
      </c>
      <c r="I133" s="26" t="e" cm="1">
        <f t="array" aca="1" ref="I133" ca="1">MMS_PastureBeef_Methane_Equations.VEERG_4_2_1_1__3_VolatileSolidProductionFromGrazingBeef(I86,I117,$I$110)</f>
        <v>#N/A</v>
      </c>
      <c r="J133" s="26" t="e" cm="1">
        <f t="array" aca="1" ref="J133" ca="1">MMS_PastureBeef_Methane_Equations.VEERG_4_2_1_1__3_VolatileSolidProductionFromGrazingBeef(J86,J117,$I$110)</f>
        <v>#N/A</v>
      </c>
      <c r="K133" s="26" t="e" cm="1">
        <f t="array" aca="1" ref="K133" ca="1">MMS_PastureBeef_Methane_Equations.VEERG_4_2_1_1__3_VolatileSolidProductionFromGrazingBeef(K86,K117,$I$110)</f>
        <v>#N/A</v>
      </c>
      <c r="L133" s="26" t="e" cm="1">
        <f t="array" aca="1" ref="L133" ca="1">MMS_PastureBeef_Methane_Equations.VEERG_4_2_1_1__3_VolatileSolidProductionFromGrazingBeef(L86,L117,$I$110)</f>
        <v>#N/A</v>
      </c>
      <c r="M133" s="26" t="e" cm="1">
        <f t="array" aca="1" ref="M133" ca="1">MMS_PastureBeef_Methane_Equations.VEERG_4_2_1_1__3_VolatileSolidProductionFromGrazingBeef(M86,M117,$I$110)</f>
        <v>#N/A</v>
      </c>
      <c r="N133" s="26" t="e" cm="1">
        <f t="array" aca="1" ref="N133" ca="1">MMS_PastureBeef_Methane_Equations.VEERG_4_2_1_1__3_VolatileSolidProductionFromGrazingBeef(N86,N117,$I$110)</f>
        <v>#N/A</v>
      </c>
      <c r="O133" s="27" t="str">
        <f t="shared" si="4"/>
        <v>kg/head/day</v>
      </c>
      <c r="P133" s="27"/>
      <c r="Q133" s="27"/>
      <c r="R133" s="27"/>
      <c r="S133" s="27"/>
      <c r="W133" s="26" t="e">
        <f t="shared" si="5"/>
        <v>#VALUE!</v>
      </c>
      <c r="X133" s="26" t="e" cm="1">
        <f t="array" aca="1" ref="X133" ca="1">MMS_PastureBeef_Methane_Equations.VEERG_4_2_1_1__3_VolatileSolidProductionFromGrazingBeef(X78,X117,$I$110)</f>
        <v>#N/A</v>
      </c>
      <c r="Y133" s="26" t="e" cm="1">
        <f t="array" aca="1" ref="Y133" ca="1">MMS_PastureBeef_Methane_Equations.VEERG_4_2_1_1__3_VolatileSolidProductionFromGrazingBeef(Y78,Y117,$I$110)</f>
        <v>#N/A</v>
      </c>
      <c r="Z133" s="26" t="e" cm="1">
        <f t="array" aca="1" ref="Z133" ca="1">MMS_PastureBeef_Methane_Equations.VEERG_4_2_1_1__3_VolatileSolidProductionFromGrazingBeef(Z78,Z117,$I$110)</f>
        <v>#N/A</v>
      </c>
      <c r="AA133" s="26" t="e" cm="1">
        <f t="array" aca="1" ref="AA133" ca="1">MMS_PastureBeef_Methane_Equations.VEERG_4_2_1_1__3_VolatileSolidProductionFromGrazingBeef(AA78,AA117,$I$110)</f>
        <v>#N/A</v>
      </c>
      <c r="AB133" s="26" t="e" cm="1">
        <f t="array" aca="1" ref="AB133" ca="1">MMS_PastureBeef_Methane_Equations.VEERG_4_2_1_1__3_VolatileSolidProductionFromGrazingBeef(AB78,AB117,$I$110)</f>
        <v>#N/A</v>
      </c>
      <c r="AC133" s="26" t="e" cm="1">
        <f t="array" aca="1" ref="AC133" ca="1">MMS_PastureBeef_Methane_Equations.VEERG_4_2_1_1__3_VolatileSolidProductionFromGrazingBeef(AC78,AC117,$I$110)</f>
        <v>#N/A</v>
      </c>
      <c r="AD133" s="26" t="e" cm="1">
        <f t="array" aca="1" ref="AD133" ca="1">MMS_PastureBeef_Methane_Equations.VEERG_4_2_1_1__3_VolatileSolidProductionFromGrazingBeef(AD78,AD117,$I$110)</f>
        <v>#N/A</v>
      </c>
      <c r="AE133" s="26" t="e" cm="1">
        <f t="array" aca="1" ref="AE133" ca="1">MMS_PastureBeef_Methane_Equations.VEERG_4_2_1_1__3_VolatileSolidProductionFromGrazingBeef(AE78,AE117,$I$110)</f>
        <v>#N/A</v>
      </c>
      <c r="AF133" s="26" t="e" cm="1">
        <f t="array" aca="1" ref="AF133" ca="1">MMS_PastureBeef_Methane_Equations.VEERG_4_2_1_1__3_VolatileSolidProductionFromGrazingBeef(AF78,AF117,$I$110)</f>
        <v>#N/A</v>
      </c>
      <c r="AG133" s="26" t="e" cm="1">
        <f t="array" aca="1" ref="AG133" ca="1">MMS_PastureBeef_Methane_Equations.VEERG_4_2_1_1__3_VolatileSolidProductionFromGrazingBeef(AG78,AG117,$I$110)</f>
        <v>#N/A</v>
      </c>
      <c r="AH133" s="27" t="str">
        <f t="shared" si="3"/>
        <v>kg/head/day</v>
      </c>
      <c r="AI133" s="27"/>
      <c r="AJ133" s="27"/>
    </row>
    <row r="134" spans="4:36" ht="20.100000000000001" customHeight="1" x14ac:dyDescent="0.25">
      <c r="D134" s="26" t="s">
        <v>202</v>
      </c>
      <c r="E134" s="26" t="e" cm="1">
        <f t="array" aca="1" ref="E134" ca="1">MMS_PastureBeef_Methane_Equations.VEERG_4_2_1_1__3_VolatileSolidProductionFromGrazingBeef(E87,E118,$I$110)</f>
        <v>#N/A</v>
      </c>
      <c r="F134" s="26" t="e" cm="1">
        <f t="array" aca="1" ref="F134" ca="1">MMS_PastureBeef_Methane_Equations.VEERG_4_2_1_1__3_VolatileSolidProductionFromGrazingBeef(F87,F118,$I$110)</f>
        <v>#N/A</v>
      </c>
      <c r="G134" s="26" t="e" cm="1">
        <f t="array" aca="1" ref="G134" ca="1">MMS_PastureBeef_Methane_Equations.VEERG_4_2_1_1__3_VolatileSolidProductionFromGrazingBeef(G87,G118,$I$110)</f>
        <v>#N/A</v>
      </c>
      <c r="H134" s="26" t="e" cm="1">
        <f t="array" aca="1" ref="H134" ca="1">MMS_PastureBeef_Methane_Equations.VEERG_4_2_1_1__3_VolatileSolidProductionFromGrazingBeef(H87,H118,$I$110)</f>
        <v>#N/A</v>
      </c>
      <c r="I134" s="26" t="e" cm="1">
        <f t="array" aca="1" ref="I134" ca="1">MMS_PastureBeef_Methane_Equations.VEERG_4_2_1_1__3_VolatileSolidProductionFromGrazingBeef(I87,I118,$I$110)</f>
        <v>#N/A</v>
      </c>
      <c r="J134" s="26" t="e" cm="1">
        <f t="array" aca="1" ref="J134" ca="1">MMS_PastureBeef_Methane_Equations.VEERG_4_2_1_1__3_VolatileSolidProductionFromGrazingBeef(J87,J118,$I$110)</f>
        <v>#N/A</v>
      </c>
      <c r="K134" s="26" t="e" cm="1">
        <f t="array" aca="1" ref="K134" ca="1">MMS_PastureBeef_Methane_Equations.VEERG_4_2_1_1__3_VolatileSolidProductionFromGrazingBeef(K87,K118,$I$110)</f>
        <v>#N/A</v>
      </c>
      <c r="L134" s="26" t="e" cm="1">
        <f t="array" aca="1" ref="L134" ca="1">MMS_PastureBeef_Methane_Equations.VEERG_4_2_1_1__3_VolatileSolidProductionFromGrazingBeef(L87,L118,$I$110)</f>
        <v>#N/A</v>
      </c>
      <c r="M134" s="26" t="e" cm="1">
        <f t="array" aca="1" ref="M134" ca="1">MMS_PastureBeef_Methane_Equations.VEERG_4_2_1_1__3_VolatileSolidProductionFromGrazingBeef(M87,M118,$I$110)</f>
        <v>#N/A</v>
      </c>
      <c r="N134" s="26" t="e" cm="1">
        <f t="array" aca="1" ref="N134" ca="1">MMS_PastureBeef_Methane_Equations.VEERG_4_2_1_1__3_VolatileSolidProductionFromGrazingBeef(N87,N118,$I$110)</f>
        <v>#N/A</v>
      </c>
      <c r="O134" s="27" t="str">
        <f t="shared" si="4"/>
        <v>kg/head/day</v>
      </c>
      <c r="P134" s="27"/>
      <c r="Q134" s="27"/>
      <c r="R134" s="27"/>
      <c r="S134" s="27"/>
      <c r="W134" s="26" t="e">
        <f t="shared" si="5"/>
        <v>#VALUE!</v>
      </c>
      <c r="X134" s="26" t="e" cm="1">
        <f t="array" aca="1" ref="X134" ca="1">MMS_PastureBeef_Methane_Equations.VEERG_4_2_1_1__3_VolatileSolidProductionFromGrazingBeef(X79,X118,$I$110)</f>
        <v>#N/A</v>
      </c>
      <c r="Y134" s="26" t="e" cm="1">
        <f t="array" aca="1" ref="Y134" ca="1">MMS_PastureBeef_Methane_Equations.VEERG_4_2_1_1__3_VolatileSolidProductionFromGrazingBeef(Y79,Y118,$I$110)</f>
        <v>#N/A</v>
      </c>
      <c r="Z134" s="26" t="e" cm="1">
        <f t="array" aca="1" ref="Z134" ca="1">MMS_PastureBeef_Methane_Equations.VEERG_4_2_1_1__3_VolatileSolidProductionFromGrazingBeef(Z79,Z118,$I$110)</f>
        <v>#N/A</v>
      </c>
      <c r="AA134" s="26" t="e" cm="1">
        <f t="array" aca="1" ref="AA134" ca="1">MMS_PastureBeef_Methane_Equations.VEERG_4_2_1_1__3_VolatileSolidProductionFromGrazingBeef(AA79,AA118,$I$110)</f>
        <v>#N/A</v>
      </c>
      <c r="AB134" s="26" t="e" cm="1">
        <f t="array" aca="1" ref="AB134" ca="1">MMS_PastureBeef_Methane_Equations.VEERG_4_2_1_1__3_VolatileSolidProductionFromGrazingBeef(AB79,AB118,$I$110)</f>
        <v>#N/A</v>
      </c>
      <c r="AC134" s="26" t="e" cm="1">
        <f t="array" aca="1" ref="AC134" ca="1">MMS_PastureBeef_Methane_Equations.VEERG_4_2_1_1__3_VolatileSolidProductionFromGrazingBeef(AC79,AC118,$I$110)</f>
        <v>#N/A</v>
      </c>
      <c r="AD134" s="26" t="e" cm="1">
        <f t="array" aca="1" ref="AD134" ca="1">MMS_PastureBeef_Methane_Equations.VEERG_4_2_1_1__3_VolatileSolidProductionFromGrazingBeef(AD79,AD118,$I$110)</f>
        <v>#N/A</v>
      </c>
      <c r="AE134" s="26" t="e" cm="1">
        <f t="array" aca="1" ref="AE134" ca="1">MMS_PastureBeef_Methane_Equations.VEERG_4_2_1_1__3_VolatileSolidProductionFromGrazingBeef(AE79,AE118,$I$110)</f>
        <v>#N/A</v>
      </c>
      <c r="AF134" s="26" t="e" cm="1">
        <f t="array" aca="1" ref="AF134" ca="1">MMS_PastureBeef_Methane_Equations.VEERG_4_2_1_1__3_VolatileSolidProductionFromGrazingBeef(AF79,AF118,$I$110)</f>
        <v>#N/A</v>
      </c>
      <c r="AG134" s="26" t="e" cm="1">
        <f t="array" aca="1" ref="AG134" ca="1">MMS_PastureBeef_Methane_Equations.VEERG_4_2_1_1__3_VolatileSolidProductionFromGrazingBeef(AG79,AG118,$I$110)</f>
        <v>#N/A</v>
      </c>
      <c r="AH134" s="27" t="str">
        <f t="shared" si="3"/>
        <v>kg/head/day</v>
      </c>
      <c r="AI134" s="27"/>
      <c r="AJ134" s="27"/>
    </row>
    <row r="135" spans="4:36" ht="20.100000000000001" customHeight="1" x14ac:dyDescent="0.25">
      <c r="W135" s="26" t="e">
        <f t="shared" si="5"/>
        <v>#VALUE!</v>
      </c>
      <c r="X135" s="26" t="e" cm="1">
        <f t="array" aca="1" ref="X135" ca="1">MMS_PastureBeef_Methane_Equations.VEERG_4_2_1_1__3_VolatileSolidProductionFromGrazingBeef(X80,X119,$I$110)</f>
        <v>#N/A</v>
      </c>
      <c r="Y135" s="26" t="e" cm="1">
        <f t="array" aca="1" ref="Y135" ca="1">MMS_PastureBeef_Methane_Equations.VEERG_4_2_1_1__3_VolatileSolidProductionFromGrazingBeef(Y80,Y119,$I$110)</f>
        <v>#N/A</v>
      </c>
      <c r="Z135" s="26" t="e" cm="1">
        <f t="array" aca="1" ref="Z135" ca="1">MMS_PastureBeef_Methane_Equations.VEERG_4_2_1_1__3_VolatileSolidProductionFromGrazingBeef(Z80,Z119,$I$110)</f>
        <v>#N/A</v>
      </c>
      <c r="AA135" s="26" t="e" cm="1">
        <f t="array" aca="1" ref="AA135" ca="1">MMS_PastureBeef_Methane_Equations.VEERG_4_2_1_1__3_VolatileSolidProductionFromGrazingBeef(AA80,AA119,$I$110)</f>
        <v>#N/A</v>
      </c>
      <c r="AB135" s="26" t="e" cm="1">
        <f t="array" aca="1" ref="AB135" ca="1">MMS_PastureBeef_Methane_Equations.VEERG_4_2_1_1__3_VolatileSolidProductionFromGrazingBeef(AB80,AB119,$I$110)</f>
        <v>#N/A</v>
      </c>
      <c r="AC135" s="26" t="e" cm="1">
        <f t="array" aca="1" ref="AC135" ca="1">MMS_PastureBeef_Methane_Equations.VEERG_4_2_1_1__3_VolatileSolidProductionFromGrazingBeef(AC80,AC119,$I$110)</f>
        <v>#N/A</v>
      </c>
      <c r="AD135" s="26" t="e" cm="1">
        <f t="array" aca="1" ref="AD135" ca="1">MMS_PastureBeef_Methane_Equations.VEERG_4_2_1_1__3_VolatileSolidProductionFromGrazingBeef(AD80,AD119,$I$110)</f>
        <v>#N/A</v>
      </c>
      <c r="AE135" s="26" t="e" cm="1">
        <f t="array" aca="1" ref="AE135" ca="1">MMS_PastureBeef_Methane_Equations.VEERG_4_2_1_1__3_VolatileSolidProductionFromGrazingBeef(AE80,AE119,$I$110)</f>
        <v>#N/A</v>
      </c>
      <c r="AF135" s="26" t="e" cm="1">
        <f t="array" aca="1" ref="AF135" ca="1">MMS_PastureBeef_Methane_Equations.VEERG_4_2_1_1__3_VolatileSolidProductionFromGrazingBeef(AF80,AF119,$I$110)</f>
        <v>#N/A</v>
      </c>
      <c r="AG135" s="26" t="e" cm="1">
        <f t="array" aca="1" ref="AG135" ca="1">MMS_PastureBeef_Methane_Equations.VEERG_4_2_1_1__3_VolatileSolidProductionFromGrazingBeef(AG80,AG119,$I$110)</f>
        <v>#N/A</v>
      </c>
      <c r="AH135" s="27" t="str">
        <f t="shared" si="3"/>
        <v>kg/head/day</v>
      </c>
      <c r="AI135" s="27"/>
      <c r="AJ135" s="27"/>
    </row>
    <row r="136" spans="4:36" ht="20.100000000000001" customHeight="1" x14ac:dyDescent="0.25">
      <c r="W136" s="26" t="e">
        <f t="shared" si="5"/>
        <v>#VALUE!</v>
      </c>
      <c r="X136" s="26" t="e" cm="1">
        <f t="array" aca="1" ref="X136" ca="1">MMS_PastureBeef_Methane_Equations.VEERG_4_2_1_1__3_VolatileSolidProductionFromGrazingBeef(X81,X120,$I$110)</f>
        <v>#N/A</v>
      </c>
      <c r="Y136" s="26" t="e" cm="1">
        <f t="array" aca="1" ref="Y136" ca="1">MMS_PastureBeef_Methane_Equations.VEERG_4_2_1_1__3_VolatileSolidProductionFromGrazingBeef(Y81,Y120,$I$110)</f>
        <v>#N/A</v>
      </c>
      <c r="Z136" s="26" t="e" cm="1">
        <f t="array" aca="1" ref="Z136" ca="1">MMS_PastureBeef_Methane_Equations.VEERG_4_2_1_1__3_VolatileSolidProductionFromGrazingBeef(Z81,Z120,$I$110)</f>
        <v>#N/A</v>
      </c>
      <c r="AA136" s="26" t="e" cm="1">
        <f t="array" aca="1" ref="AA136" ca="1">MMS_PastureBeef_Methane_Equations.VEERG_4_2_1_1__3_VolatileSolidProductionFromGrazingBeef(AA81,AA120,$I$110)</f>
        <v>#N/A</v>
      </c>
      <c r="AB136" s="26" t="e" cm="1">
        <f t="array" aca="1" ref="AB136" ca="1">MMS_PastureBeef_Methane_Equations.VEERG_4_2_1_1__3_VolatileSolidProductionFromGrazingBeef(AB81,AB120,$I$110)</f>
        <v>#N/A</v>
      </c>
      <c r="AC136" s="26" t="e" cm="1">
        <f t="array" aca="1" ref="AC136" ca="1">MMS_PastureBeef_Methane_Equations.VEERG_4_2_1_1__3_VolatileSolidProductionFromGrazingBeef(AC81,AC120,$I$110)</f>
        <v>#N/A</v>
      </c>
      <c r="AD136" s="26" t="e" cm="1">
        <f t="array" aca="1" ref="AD136" ca="1">MMS_PastureBeef_Methane_Equations.VEERG_4_2_1_1__3_VolatileSolidProductionFromGrazingBeef(AD81,AD120,$I$110)</f>
        <v>#N/A</v>
      </c>
      <c r="AE136" s="26" t="e" cm="1">
        <f t="array" aca="1" ref="AE136" ca="1">MMS_PastureBeef_Methane_Equations.VEERG_4_2_1_1__3_VolatileSolidProductionFromGrazingBeef(AE81,AE120,$I$110)</f>
        <v>#N/A</v>
      </c>
      <c r="AF136" s="26" t="e" cm="1">
        <f t="array" aca="1" ref="AF136" ca="1">MMS_PastureBeef_Methane_Equations.VEERG_4_2_1_1__3_VolatileSolidProductionFromGrazingBeef(AF81,AF120,$I$110)</f>
        <v>#N/A</v>
      </c>
      <c r="AG136" s="26" t="e" cm="1">
        <f t="array" aca="1" ref="AG136" ca="1">MMS_PastureBeef_Methane_Equations.VEERG_4_2_1_1__3_VolatileSolidProductionFromGrazingBeef(AG81,AG120,$I$110)</f>
        <v>#N/A</v>
      </c>
      <c r="AH136" s="27" t="str">
        <f t="shared" si="3"/>
        <v>kg/head/day</v>
      </c>
      <c r="AI136" s="27"/>
      <c r="AJ136" s="27"/>
    </row>
    <row r="137" spans="4:36" ht="20.100000000000001" customHeight="1" x14ac:dyDescent="0.25">
      <c r="W137" s="26" t="e">
        <f t="shared" si="5"/>
        <v>#VALUE!</v>
      </c>
      <c r="X137" s="26" t="e" cm="1">
        <f t="array" aca="1" ref="X137" ca="1">MMS_PastureBeef_Methane_Equations.VEERG_4_2_1_1__3_VolatileSolidProductionFromGrazingBeef(X82,X121,$I$110)</f>
        <v>#N/A</v>
      </c>
      <c r="Y137" s="26" t="e" cm="1">
        <f t="array" aca="1" ref="Y137" ca="1">MMS_PastureBeef_Methane_Equations.VEERG_4_2_1_1__3_VolatileSolidProductionFromGrazingBeef(Y82,Y121,$I$110)</f>
        <v>#N/A</v>
      </c>
      <c r="Z137" s="26" t="e" cm="1">
        <f t="array" aca="1" ref="Z137" ca="1">MMS_PastureBeef_Methane_Equations.VEERG_4_2_1_1__3_VolatileSolidProductionFromGrazingBeef(Z82,Z121,$I$110)</f>
        <v>#N/A</v>
      </c>
      <c r="AA137" s="26" t="e" cm="1">
        <f t="array" aca="1" ref="AA137" ca="1">MMS_PastureBeef_Methane_Equations.VEERG_4_2_1_1__3_VolatileSolidProductionFromGrazingBeef(AA82,AA121,$I$110)</f>
        <v>#N/A</v>
      </c>
      <c r="AB137" s="26" t="e" cm="1">
        <f t="array" aca="1" ref="AB137" ca="1">MMS_PastureBeef_Methane_Equations.VEERG_4_2_1_1__3_VolatileSolidProductionFromGrazingBeef(AB82,AB121,$I$110)</f>
        <v>#N/A</v>
      </c>
      <c r="AC137" s="26" t="e" cm="1">
        <f t="array" aca="1" ref="AC137" ca="1">MMS_PastureBeef_Methane_Equations.VEERG_4_2_1_1__3_VolatileSolidProductionFromGrazingBeef(AC82,AC121,$I$110)</f>
        <v>#N/A</v>
      </c>
      <c r="AD137" s="26" t="e" cm="1">
        <f t="array" aca="1" ref="AD137" ca="1">MMS_PastureBeef_Methane_Equations.VEERG_4_2_1_1__3_VolatileSolidProductionFromGrazingBeef(AD82,AD121,$I$110)</f>
        <v>#N/A</v>
      </c>
      <c r="AE137" s="26" t="e" cm="1">
        <f t="array" aca="1" ref="AE137" ca="1">MMS_PastureBeef_Methane_Equations.VEERG_4_2_1_1__3_VolatileSolidProductionFromGrazingBeef(AE82,AE121,$I$110)</f>
        <v>#N/A</v>
      </c>
      <c r="AF137" s="26" t="e" cm="1">
        <f t="array" aca="1" ref="AF137" ca="1">MMS_PastureBeef_Methane_Equations.VEERG_4_2_1_1__3_VolatileSolidProductionFromGrazingBeef(AF82,AF121,$I$110)</f>
        <v>#N/A</v>
      </c>
      <c r="AG137" s="26" t="e" cm="1">
        <f t="array" aca="1" ref="AG137" ca="1">MMS_PastureBeef_Methane_Equations.VEERG_4_2_1_1__3_VolatileSolidProductionFromGrazingBeef(AG82,AG121,$I$110)</f>
        <v>#N/A</v>
      </c>
      <c r="AH137" s="27" t="str">
        <f t="shared" si="3"/>
        <v>kg/head/day</v>
      </c>
      <c r="AI137" s="27"/>
      <c r="AJ137" s="27"/>
    </row>
    <row r="138" spans="4:36" ht="20.100000000000001" customHeight="1" x14ac:dyDescent="0.25">
      <c r="W138" s="26" t="e">
        <f t="shared" si="5"/>
        <v>#VALUE!</v>
      </c>
      <c r="X138" s="26" t="e" cm="1">
        <f t="array" aca="1" ref="X138" ca="1">MMS_PastureBeef_Methane_Equations.VEERG_4_2_1_1__3_VolatileSolidProductionFromGrazingBeef(X83,X122,$I$110)</f>
        <v>#N/A</v>
      </c>
      <c r="Y138" s="26" t="e" cm="1">
        <f t="array" aca="1" ref="Y138" ca="1">MMS_PastureBeef_Methane_Equations.VEERG_4_2_1_1__3_VolatileSolidProductionFromGrazingBeef(Y83,Y122,$I$110)</f>
        <v>#N/A</v>
      </c>
      <c r="Z138" s="26" t="e" cm="1">
        <f t="array" aca="1" ref="Z138" ca="1">MMS_PastureBeef_Methane_Equations.VEERG_4_2_1_1__3_VolatileSolidProductionFromGrazingBeef(Z83,Z122,$I$110)</f>
        <v>#N/A</v>
      </c>
      <c r="AA138" s="26" t="e" cm="1">
        <f t="array" aca="1" ref="AA138" ca="1">MMS_PastureBeef_Methane_Equations.VEERG_4_2_1_1__3_VolatileSolidProductionFromGrazingBeef(AA83,AA122,$I$110)</f>
        <v>#N/A</v>
      </c>
      <c r="AB138" s="26" t="e" cm="1">
        <f t="array" aca="1" ref="AB138" ca="1">MMS_PastureBeef_Methane_Equations.VEERG_4_2_1_1__3_VolatileSolidProductionFromGrazingBeef(AB83,AB122,$I$110)</f>
        <v>#N/A</v>
      </c>
      <c r="AC138" s="26" t="e" cm="1">
        <f t="array" aca="1" ref="AC138" ca="1">MMS_PastureBeef_Methane_Equations.VEERG_4_2_1_1__3_VolatileSolidProductionFromGrazingBeef(AC83,AC122,$I$110)</f>
        <v>#N/A</v>
      </c>
      <c r="AD138" s="26" t="e" cm="1">
        <f t="array" aca="1" ref="AD138" ca="1">MMS_PastureBeef_Methane_Equations.VEERG_4_2_1_1__3_VolatileSolidProductionFromGrazingBeef(AD83,AD122,$I$110)</f>
        <v>#N/A</v>
      </c>
      <c r="AE138" s="26" t="e" cm="1">
        <f t="array" aca="1" ref="AE138" ca="1">MMS_PastureBeef_Methane_Equations.VEERG_4_2_1_1__3_VolatileSolidProductionFromGrazingBeef(AE83,AE122,$I$110)</f>
        <v>#N/A</v>
      </c>
      <c r="AF138" s="26" t="e" cm="1">
        <f t="array" aca="1" ref="AF138" ca="1">MMS_PastureBeef_Methane_Equations.VEERG_4_2_1_1__3_VolatileSolidProductionFromGrazingBeef(AF83,AF122,$I$110)</f>
        <v>#N/A</v>
      </c>
      <c r="AG138" s="26" t="e" cm="1">
        <f t="array" aca="1" ref="AG138" ca="1">MMS_PastureBeef_Methane_Equations.VEERG_4_2_1_1__3_VolatileSolidProductionFromGrazingBeef(AG83,AG122,$I$110)</f>
        <v>#N/A</v>
      </c>
      <c r="AH138" s="27" t="str">
        <f t="shared" si="3"/>
        <v>kg/head/day</v>
      </c>
      <c r="AI138" s="27"/>
      <c r="AJ138" s="27"/>
    </row>
    <row r="139" spans="4:36" ht="20.100000000000001" customHeight="1" x14ac:dyDescent="0.25">
      <c r="W139" s="26" t="e">
        <f t="shared" si="5"/>
        <v>#VALUE!</v>
      </c>
      <c r="X139" s="26" t="e" cm="1">
        <f t="array" aca="1" ref="X139" ca="1">MMS_PastureBeef_Methane_Equations.VEERG_4_2_1_1__3_VolatileSolidProductionFromGrazingBeef(X84,X123,$I$110)</f>
        <v>#N/A</v>
      </c>
      <c r="Y139" s="26" t="e" cm="1">
        <f t="array" aca="1" ref="Y139" ca="1">MMS_PastureBeef_Methane_Equations.VEERG_4_2_1_1__3_VolatileSolidProductionFromGrazingBeef(Y84,Y123,$I$110)</f>
        <v>#N/A</v>
      </c>
      <c r="Z139" s="26" t="e" cm="1">
        <f t="array" aca="1" ref="Z139" ca="1">MMS_PastureBeef_Methane_Equations.VEERG_4_2_1_1__3_VolatileSolidProductionFromGrazingBeef(Z84,Z123,$I$110)</f>
        <v>#N/A</v>
      </c>
      <c r="AA139" s="26" t="e" cm="1">
        <f t="array" aca="1" ref="AA139" ca="1">MMS_PastureBeef_Methane_Equations.VEERG_4_2_1_1__3_VolatileSolidProductionFromGrazingBeef(AA84,AA123,$I$110)</f>
        <v>#N/A</v>
      </c>
      <c r="AB139" s="26" t="e" cm="1">
        <f t="array" aca="1" ref="AB139" ca="1">MMS_PastureBeef_Methane_Equations.VEERG_4_2_1_1__3_VolatileSolidProductionFromGrazingBeef(AB84,AB123,$I$110)</f>
        <v>#N/A</v>
      </c>
      <c r="AC139" s="26" t="e" cm="1">
        <f t="array" aca="1" ref="AC139" ca="1">MMS_PastureBeef_Methane_Equations.VEERG_4_2_1_1__3_VolatileSolidProductionFromGrazingBeef(AC84,AC123,$I$110)</f>
        <v>#N/A</v>
      </c>
      <c r="AD139" s="26" t="e" cm="1">
        <f t="array" aca="1" ref="AD139" ca="1">MMS_PastureBeef_Methane_Equations.VEERG_4_2_1_1__3_VolatileSolidProductionFromGrazingBeef(AD84,AD123,$I$110)</f>
        <v>#N/A</v>
      </c>
      <c r="AE139" s="26" t="e" cm="1">
        <f t="array" aca="1" ref="AE139" ca="1">MMS_PastureBeef_Methane_Equations.VEERG_4_2_1_1__3_VolatileSolidProductionFromGrazingBeef(AE84,AE123,$I$110)</f>
        <v>#N/A</v>
      </c>
      <c r="AF139" s="26" t="e" cm="1">
        <f t="array" aca="1" ref="AF139" ca="1">MMS_PastureBeef_Methane_Equations.VEERG_4_2_1_1__3_VolatileSolidProductionFromGrazingBeef(AF84,AF123,$I$110)</f>
        <v>#N/A</v>
      </c>
      <c r="AG139" s="26" t="e" cm="1">
        <f t="array" aca="1" ref="AG139" ca="1">MMS_PastureBeef_Methane_Equations.VEERG_4_2_1_1__3_VolatileSolidProductionFromGrazingBeef(AG84,AG123,$I$110)</f>
        <v>#N/A</v>
      </c>
      <c r="AH139" s="27" t="str">
        <f t="shared" si="3"/>
        <v>kg/head/day</v>
      </c>
      <c r="AI139" s="27"/>
      <c r="AJ139" s="27"/>
    </row>
    <row r="140" spans="4:36" ht="20.100000000000001" customHeight="1" x14ac:dyDescent="0.25">
      <c r="W140" s="26" t="e">
        <f t="shared" si="5"/>
        <v>#VALUE!</v>
      </c>
      <c r="X140" s="26" t="e" cm="1">
        <f t="array" aca="1" ref="X140" ca="1">MMS_PastureBeef_Methane_Equations.VEERG_4_2_1_1__3_VolatileSolidProductionFromGrazingBeef(X85,X124,$I$110)</f>
        <v>#N/A</v>
      </c>
      <c r="Y140" s="26" t="e" cm="1">
        <f t="array" aca="1" ref="Y140" ca="1">MMS_PastureBeef_Methane_Equations.VEERG_4_2_1_1__3_VolatileSolidProductionFromGrazingBeef(Y85,Y124,$I$110)</f>
        <v>#N/A</v>
      </c>
      <c r="Z140" s="26" t="e" cm="1">
        <f t="array" aca="1" ref="Z140" ca="1">MMS_PastureBeef_Methane_Equations.VEERG_4_2_1_1__3_VolatileSolidProductionFromGrazingBeef(Z85,Z124,$I$110)</f>
        <v>#N/A</v>
      </c>
      <c r="AA140" s="26" t="e" cm="1">
        <f t="array" aca="1" ref="AA140" ca="1">MMS_PastureBeef_Methane_Equations.VEERG_4_2_1_1__3_VolatileSolidProductionFromGrazingBeef(AA85,AA124,$I$110)</f>
        <v>#N/A</v>
      </c>
      <c r="AB140" s="26" t="e" cm="1">
        <f t="array" aca="1" ref="AB140" ca="1">MMS_PastureBeef_Methane_Equations.VEERG_4_2_1_1__3_VolatileSolidProductionFromGrazingBeef(AB85,AB124,$I$110)</f>
        <v>#N/A</v>
      </c>
      <c r="AC140" s="26" t="e" cm="1">
        <f t="array" aca="1" ref="AC140" ca="1">MMS_PastureBeef_Methane_Equations.VEERG_4_2_1_1__3_VolatileSolidProductionFromGrazingBeef(AC85,AC124,$I$110)</f>
        <v>#N/A</v>
      </c>
      <c r="AD140" s="26" t="e" cm="1">
        <f t="array" aca="1" ref="AD140" ca="1">MMS_PastureBeef_Methane_Equations.VEERG_4_2_1_1__3_VolatileSolidProductionFromGrazingBeef(AD85,AD124,$I$110)</f>
        <v>#N/A</v>
      </c>
      <c r="AE140" s="26" t="e" cm="1">
        <f t="array" aca="1" ref="AE140" ca="1">MMS_PastureBeef_Methane_Equations.VEERG_4_2_1_1__3_VolatileSolidProductionFromGrazingBeef(AE85,AE124,$I$110)</f>
        <v>#N/A</v>
      </c>
      <c r="AF140" s="26" t="e" cm="1">
        <f t="array" aca="1" ref="AF140" ca="1">MMS_PastureBeef_Methane_Equations.VEERG_4_2_1_1__3_VolatileSolidProductionFromGrazingBeef(AF85,AF124,$I$110)</f>
        <v>#N/A</v>
      </c>
      <c r="AG140" s="26" t="e" cm="1">
        <f t="array" aca="1" ref="AG140" ca="1">MMS_PastureBeef_Methane_Equations.VEERG_4_2_1_1__3_VolatileSolidProductionFromGrazingBeef(AG85,AG124,$I$110)</f>
        <v>#N/A</v>
      </c>
      <c r="AH140" s="27" t="str">
        <f t="shared" si="3"/>
        <v>kg/head/day</v>
      </c>
      <c r="AI140" s="27"/>
      <c r="AJ140" s="27"/>
    </row>
    <row r="141" spans="4:36" ht="20.100000000000001" customHeight="1" x14ac:dyDescent="0.25">
      <c r="W141" s="26" t="e">
        <f t="shared" si="5"/>
        <v>#VALUE!</v>
      </c>
      <c r="X141" s="26" t="e" cm="1">
        <f t="array" aca="1" ref="X141" ca="1">MMS_PastureBeef_Methane_Equations.VEERG_4_2_1_1__3_VolatileSolidProductionFromGrazingBeef(X86,X125,$I$110)</f>
        <v>#N/A</v>
      </c>
      <c r="Y141" s="26" t="e" cm="1">
        <f t="array" aca="1" ref="Y141" ca="1">MMS_PastureBeef_Methane_Equations.VEERG_4_2_1_1__3_VolatileSolidProductionFromGrazingBeef(Y86,Y125,$I$110)</f>
        <v>#N/A</v>
      </c>
      <c r="Z141" s="26" t="e" cm="1">
        <f t="array" aca="1" ref="Z141" ca="1">MMS_PastureBeef_Methane_Equations.VEERG_4_2_1_1__3_VolatileSolidProductionFromGrazingBeef(Z86,Z125,$I$110)</f>
        <v>#N/A</v>
      </c>
      <c r="AA141" s="26" t="e" cm="1">
        <f t="array" aca="1" ref="AA141" ca="1">MMS_PastureBeef_Methane_Equations.VEERG_4_2_1_1__3_VolatileSolidProductionFromGrazingBeef(AA86,AA125,$I$110)</f>
        <v>#N/A</v>
      </c>
      <c r="AB141" s="26" t="e" cm="1">
        <f t="array" aca="1" ref="AB141" ca="1">MMS_PastureBeef_Methane_Equations.VEERG_4_2_1_1__3_VolatileSolidProductionFromGrazingBeef(AB86,AB125,$I$110)</f>
        <v>#N/A</v>
      </c>
      <c r="AC141" s="26" t="e" cm="1">
        <f t="array" aca="1" ref="AC141" ca="1">MMS_PastureBeef_Methane_Equations.VEERG_4_2_1_1__3_VolatileSolidProductionFromGrazingBeef(AC86,AC125,$I$110)</f>
        <v>#N/A</v>
      </c>
      <c r="AD141" s="26" t="e" cm="1">
        <f t="array" aca="1" ref="AD141" ca="1">MMS_PastureBeef_Methane_Equations.VEERG_4_2_1_1__3_VolatileSolidProductionFromGrazingBeef(AD86,AD125,$I$110)</f>
        <v>#N/A</v>
      </c>
      <c r="AE141" s="26" t="e" cm="1">
        <f t="array" aca="1" ref="AE141" ca="1">MMS_PastureBeef_Methane_Equations.VEERG_4_2_1_1__3_VolatileSolidProductionFromGrazingBeef(AE86,AE125,$I$110)</f>
        <v>#N/A</v>
      </c>
      <c r="AF141" s="26" t="e" cm="1">
        <f t="array" aca="1" ref="AF141" ca="1">MMS_PastureBeef_Methane_Equations.VEERG_4_2_1_1__3_VolatileSolidProductionFromGrazingBeef(AF86,AF125,$I$110)</f>
        <v>#N/A</v>
      </c>
      <c r="AG141" s="26" t="e" cm="1">
        <f t="array" aca="1" ref="AG141" ca="1">MMS_PastureBeef_Methane_Equations.VEERG_4_2_1_1__3_VolatileSolidProductionFromGrazingBeef(AG86,AG125,$I$110)</f>
        <v>#N/A</v>
      </c>
      <c r="AH141" s="27" t="str">
        <f t="shared" si="3"/>
        <v>kg/head/day</v>
      </c>
      <c r="AI141" s="27"/>
      <c r="AJ141" s="27"/>
    </row>
    <row r="142" spans="4:36" ht="20.100000000000001" customHeight="1" x14ac:dyDescent="0.25">
      <c r="W142" s="26" t="e">
        <f t="shared" si="5"/>
        <v>#VALUE!</v>
      </c>
      <c r="X142" s="26" t="e" cm="1">
        <f t="array" aca="1" ref="X142" ca="1">MMS_PastureBeef_Methane_Equations.VEERG_4_2_1_1__3_VolatileSolidProductionFromGrazingBeef(X87,X126,$I$110)</f>
        <v>#N/A</v>
      </c>
      <c r="Y142" s="26" t="e" cm="1">
        <f t="array" aca="1" ref="Y142" ca="1">MMS_PastureBeef_Methane_Equations.VEERG_4_2_1_1__3_VolatileSolidProductionFromGrazingBeef(Y87,Y126,$I$110)</f>
        <v>#N/A</v>
      </c>
      <c r="Z142" s="26" t="e" cm="1">
        <f t="array" aca="1" ref="Z142" ca="1">MMS_PastureBeef_Methane_Equations.VEERG_4_2_1_1__3_VolatileSolidProductionFromGrazingBeef(Z87,Z126,$I$110)</f>
        <v>#N/A</v>
      </c>
      <c r="AA142" s="26" t="e" cm="1">
        <f t="array" aca="1" ref="AA142" ca="1">MMS_PastureBeef_Methane_Equations.VEERG_4_2_1_1__3_VolatileSolidProductionFromGrazingBeef(AA87,AA126,$I$110)</f>
        <v>#N/A</v>
      </c>
      <c r="AB142" s="26" t="e" cm="1">
        <f t="array" aca="1" ref="AB142" ca="1">MMS_PastureBeef_Methane_Equations.VEERG_4_2_1_1__3_VolatileSolidProductionFromGrazingBeef(AB87,AB126,$I$110)</f>
        <v>#N/A</v>
      </c>
      <c r="AC142" s="26" t="e" cm="1">
        <f t="array" aca="1" ref="AC142" ca="1">MMS_PastureBeef_Methane_Equations.VEERG_4_2_1_1__3_VolatileSolidProductionFromGrazingBeef(AC87,AC126,$I$110)</f>
        <v>#N/A</v>
      </c>
      <c r="AD142" s="26" t="e" cm="1">
        <f t="array" aca="1" ref="AD142" ca="1">MMS_PastureBeef_Methane_Equations.VEERG_4_2_1_1__3_VolatileSolidProductionFromGrazingBeef(AD87,AD126,$I$110)</f>
        <v>#N/A</v>
      </c>
      <c r="AE142" s="26" t="e" cm="1">
        <f t="array" aca="1" ref="AE142" ca="1">MMS_PastureBeef_Methane_Equations.VEERG_4_2_1_1__3_VolatileSolidProductionFromGrazingBeef(AE87,AE126,$I$110)</f>
        <v>#N/A</v>
      </c>
      <c r="AF142" s="26" t="e" cm="1">
        <f t="array" aca="1" ref="AF142" ca="1">MMS_PastureBeef_Methane_Equations.VEERG_4_2_1_1__3_VolatileSolidProductionFromGrazingBeef(AF87,AF126,$I$110)</f>
        <v>#N/A</v>
      </c>
      <c r="AG142" s="26" t="e" cm="1">
        <f t="array" aca="1" ref="AG142" ca="1">MMS_PastureBeef_Methane_Equations.VEERG_4_2_1_1__3_VolatileSolidProductionFromGrazingBeef(AG87,AG126,$I$110)</f>
        <v>#N/A</v>
      </c>
      <c r="AH142" s="27" t="str">
        <f t="shared" si="3"/>
        <v>kg/head/day</v>
      </c>
      <c r="AI142" s="27"/>
      <c r="AJ142" s="27"/>
    </row>
    <row r="143" spans="4:36" ht="20.100000000000001" customHeight="1" x14ac:dyDescent="0.25"/>
    <row r="144" spans="4:36" ht="20.100000000000001" customHeight="1" x14ac:dyDescent="0.25"/>
    <row r="145" spans="3:37" ht="20.100000000000001" customHeight="1" x14ac:dyDescent="0.25">
      <c r="C145" s="117"/>
      <c r="D145" s="117"/>
      <c r="E145" s="117"/>
      <c r="F145" s="117"/>
      <c r="G145" s="117"/>
      <c r="H145" s="117"/>
      <c r="I145" s="117"/>
      <c r="J145" s="117"/>
      <c r="K145" s="117"/>
      <c r="L145" s="117"/>
      <c r="M145" s="117"/>
      <c r="N145" s="117"/>
      <c r="O145" s="117"/>
      <c r="P145" s="117"/>
      <c r="Q145" s="117"/>
      <c r="R145" s="117"/>
      <c r="S145" s="117"/>
      <c r="T145" s="117"/>
      <c r="V145" s="117"/>
      <c r="W145" s="117"/>
      <c r="X145" s="117"/>
      <c r="Y145" s="117"/>
      <c r="Z145" s="117"/>
      <c r="AA145" s="117"/>
      <c r="AB145" s="117"/>
      <c r="AC145" s="117"/>
      <c r="AD145" s="117"/>
      <c r="AE145" s="117"/>
      <c r="AF145" s="117"/>
      <c r="AG145" s="117"/>
      <c r="AH145" s="117"/>
      <c r="AI145" s="117"/>
      <c r="AJ145" s="117"/>
      <c r="AK145" s="117"/>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8" t="str" cm="1">
        <f t="array" ref="D147">MMS_PastureBeef_Methane_Equations.VEERG_4_2_1_1__2_MethaneProductionFromManure_Source()</f>
        <v>VEERG 2026: 4.2.1.1, Equation (2)</v>
      </c>
    </row>
    <row r="148" spans="3:37" ht="20.100000000000001" customHeight="1" x14ac:dyDescent="0.25">
      <c r="D148" s="104" t="s">
        <v>257</v>
      </c>
      <c r="E148" s="104"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9" t="s">
        <v>259</v>
      </c>
      <c r="E151" s="1" t="str" cm="1">
        <f t="array" ref="E151">MMS_PastureBeef_Methane_Equations.VEERG_4_2_1_1__2_MethaneProductionFromManure_Variable()</f>
        <v>M_jklm</v>
      </c>
    </row>
    <row r="152" spans="3:37" ht="20.100000000000001" customHeight="1" x14ac:dyDescent="0.25">
      <c r="D152" s="89" t="s">
        <v>133</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6" t="str" cm="1">
        <f t="array" ref="D154:E160">_xlfn.CHOOSECOLS(MMS_PastureBeef_Methane_Equations.VEERG_4_2_1_1__2_MethaneProductionFromManure_Arguments(), 1, 2)</f>
        <v>VS_jkl</v>
      </c>
      <c r="E154" s="107" t="str">
        <v>volatile solid production</v>
      </c>
      <c r="F154" s="109"/>
      <c r="G154" s="106" t="str" cm="1">
        <f t="array" ref="G154:H160">_xlfn.CHOOSECOLS(MMS_PastureBeef_Methane_Equations.VEERG_4_2_1_1__2_MethaneProductionFromManure_Arguments(), 3,4)</f>
        <v>kg/day</v>
      </c>
      <c r="H154" s="111" t="str">
        <v>Calculated from 4.2.1.1 (3)</v>
      </c>
      <c r="I154" s="112" t="str" cm="1">
        <f t="array" aca="1" ref="I154" ca="1">HYPERLINK(Common_InputFunctions.Utility_SourceHyperlink($D$128), $D$128)</f>
        <v>M1_Table_VS_j_k_l</v>
      </c>
      <c r="W154" s="106" t="str" cm="1">
        <f t="array" ref="W154:X159">_xlfn.CHOOSECOLS(MMS_PastureBeef_Methane_Equations.VEERG_4_2_1_1__2_MethaneProductionFromManure_Arguments_Method2(), 1, 2)</f>
        <v>VS_jkl</v>
      </c>
      <c r="X154" s="107" t="str">
        <v>volatile solid production</v>
      </c>
      <c r="Y154" s="109"/>
      <c r="Z154" s="106" t="str" cm="1">
        <f t="array" ref="Z154:AA159">_xlfn.CHOOSECOLS(MMS_PastureBeef_Methane_Equations.VEERG_4_2_1_1__2_MethaneProductionFromManure_Arguments_Method2(), 3,4)</f>
        <v>kg/day</v>
      </c>
      <c r="AA154" s="111" t="str">
        <v>Calculated from 4.2.1.1 (3)</v>
      </c>
      <c r="AB154" s="112"/>
    </row>
    <row r="155" spans="3:37" ht="20.100000000000001" customHeight="1" x14ac:dyDescent="0.25">
      <c r="D155" s="106" t="str">
        <v>B_o</v>
      </c>
      <c r="E155" s="107" t="str">
        <v>emissions potential</v>
      </c>
      <c r="F155" s="109"/>
      <c r="G155" s="106" t="str">
        <v>m3 CH4/kg VS</v>
      </c>
      <c r="H155" s="111" t="str">
        <v>Constant</v>
      </c>
      <c r="I155" s="106">
        <f>'Constants - Pasture Beef'!$D$428</f>
        <v>0.19</v>
      </c>
      <c r="W155" s="106" t="str">
        <v>B_o</v>
      </c>
      <c r="X155" s="107" t="str">
        <v>emissions potential</v>
      </c>
      <c r="Y155" s="109"/>
      <c r="Z155" s="106" t="str">
        <v>m3 CH4/kg VS</v>
      </c>
      <c r="AA155" s="111" t="str">
        <v>Constant</v>
      </c>
      <c r="AB155" s="106"/>
    </row>
    <row r="156" spans="3:37" ht="20.100000000000001" customHeight="1" x14ac:dyDescent="0.25">
      <c r="D156" s="106" t="str">
        <v>MMS_m</v>
      </c>
      <c r="E156" s="107" t="str">
        <v>fraction of waste in each manure management system</v>
      </c>
      <c r="F156" s="109"/>
      <c r="G156" s="106" t="str">
        <v>fraction</v>
      </c>
      <c r="H156" s="110" t="str">
        <v>Input</v>
      </c>
      <c r="I156" s="112" t="str" cm="1">
        <f t="array" aca="1" ref="I156" ca="1">HYPERLINK(Common_InputFunctions.Utility_SourceHyperlink($D$162), $D$162)</f>
        <v>Table_MMS_m</v>
      </c>
      <c r="W156" s="106" t="str">
        <v>MMS_m</v>
      </c>
      <c r="X156" s="107" t="str">
        <v>fraction of waste in each manure management system</v>
      </c>
      <c r="Y156" s="109"/>
      <c r="Z156" s="106" t="str">
        <v>fraction</v>
      </c>
      <c r="AA156" s="110" t="str">
        <v>Input</v>
      </c>
      <c r="AB156" s="112"/>
    </row>
    <row r="157" spans="3:37" ht="20.100000000000001" customHeight="1" x14ac:dyDescent="0.25">
      <c r="D157" s="106" t="str">
        <v>MCF_im</v>
      </c>
      <c r="E157" s="107" t="str">
        <v>methane conversion factor for temperature zone and MMS</v>
      </c>
      <c r="F157" s="109"/>
      <c r="G157" s="106" t="str">
        <v>fraction</v>
      </c>
      <c r="H157" s="111" t="str">
        <v>Constant</v>
      </c>
      <c r="I157" s="112" t="str" cm="1">
        <f t="array" aca="1" ref="I157" ca="1">HYPERLINK(Common_InputFunctions.Utility_SourceHyperlink($D$168), $D$168)</f>
        <v>M1_Table_MCF_i_m</v>
      </c>
      <c r="W157" s="106" t="str">
        <v>MCF_im</v>
      </c>
      <c r="X157" s="107" t="str">
        <v>methane conversion factor for temperature zone and MMS</v>
      </c>
      <c r="Y157" s="109"/>
      <c r="Z157" s="106" t="str">
        <v>fraction</v>
      </c>
      <c r="AA157" s="111" t="str">
        <v>Constant</v>
      </c>
      <c r="AB157" s="112"/>
    </row>
    <row r="158" spans="3:37" ht="20.100000000000001" customHeight="1" x14ac:dyDescent="0.25">
      <c r="D158" s="106" t="str">
        <v>rho</v>
      </c>
      <c r="E158" s="107" t="str">
        <v>density of methane</v>
      </c>
      <c r="F158" s="109"/>
      <c r="G158" s="106" t="str">
        <v>kg/m3</v>
      </c>
      <c r="H158" s="111" t="str">
        <v>Constant</v>
      </c>
      <c r="I158" s="106">
        <f>'Constants - Common'!$D$175</f>
        <v>0.6784</v>
      </c>
      <c r="W158" s="106" t="str">
        <v>rho</v>
      </c>
      <c r="X158" s="107" t="str">
        <v>density of methane</v>
      </c>
      <c r="Y158" s="109"/>
      <c r="Z158" s="106" t="str">
        <v>kg/m3</v>
      </c>
      <c r="AA158" s="111" t="str">
        <v>Constant</v>
      </c>
      <c r="AB158" s="106"/>
    </row>
    <row r="159" spans="3:37" ht="20.100000000000001" customHeight="1" x14ac:dyDescent="0.25">
      <c r="D159" s="106" t="str">
        <v>i</v>
      </c>
      <c r="E159" s="107" t="str">
        <v>state</v>
      </c>
      <c r="F159" s="109"/>
      <c r="G159" s="106" t="str">
        <v/>
      </c>
      <c r="H159" s="110" t="str">
        <v>Input</v>
      </c>
      <c r="I159" s="106" t="str">
        <f>X_Cell_Site_State</f>
        <v>Dry climate zone</v>
      </c>
      <c r="W159" s="106" t="str">
        <v>MAT</v>
      </c>
      <c r="X159" s="107" t="str">
        <v>Mean annual temperature</v>
      </c>
      <c r="Y159" s="109"/>
      <c r="Z159" s="106" t="str">
        <v>°C</v>
      </c>
      <c r="AA159" s="110" t="str">
        <v>Input</v>
      </c>
      <c r="AB159" s="106">
        <f>X_Cell_Site_AverageTemperature</f>
        <v>0</v>
      </c>
    </row>
    <row r="160" spans="3:37" ht="20.100000000000001" customHeight="1" x14ac:dyDescent="0.25">
      <c r="D160" s="106" t="str">
        <v>i</v>
      </c>
      <c r="E160" s="107" t="str">
        <v>region</v>
      </c>
      <c r="F160" s="109"/>
      <c r="G160" s="106" t="str">
        <v/>
      </c>
      <c r="H160" s="110" t="str">
        <v>Input</v>
      </c>
      <c r="I160" s="106" t="str">
        <f>X_Cell_PastureBeef_ProductionRegion</f>
        <v>South West</v>
      </c>
    </row>
    <row r="161" spans="4:34" ht="20.100000000000001" customHeight="1" x14ac:dyDescent="0.25"/>
    <row r="162" spans="4:34" ht="20.100000000000001" customHeight="1" x14ac:dyDescent="0.25">
      <c r="D162" s="113" t="s">
        <v>400</v>
      </c>
    </row>
    <row r="163" spans="4:34" ht="20.100000000000001" customHeight="1" x14ac:dyDescent="0.25">
      <c r="D163" s="114" t="s">
        <v>401</v>
      </c>
    </row>
    <row r="164" spans="4:34" ht="20.100000000000001" customHeight="1" x14ac:dyDescent="0.25">
      <c r="D164" s="115" t="s">
        <v>402</v>
      </c>
      <c r="E164" s="116" t="s">
        <v>403</v>
      </c>
      <c r="F164" s="27" t="s">
        <v>229</v>
      </c>
    </row>
    <row r="165" spans="4:34" ht="20.100000000000001" customHeight="1" x14ac:dyDescent="0.25">
      <c r="D165" s="26" t="str">
        <f>'Input - Pasture Beef'!$D$180</f>
        <v>Pasture range and paddock</v>
      </c>
      <c r="E165" s="26" t="e">
        <f>'Input - Pasture Beef'!$E$180</f>
        <v>#VALUE!</v>
      </c>
      <c r="F165" s="27" t="s">
        <v>229</v>
      </c>
    </row>
    <row r="166" spans="4:34" ht="20.100000000000001" customHeight="1" x14ac:dyDescent="0.25">
      <c r="D166" s="26" t="str">
        <f>'Input - Pasture Beef'!$D$181</f>
        <v>Anaerobic lagoon</v>
      </c>
      <c r="E166" s="26" t="e">
        <f>'Input - Pasture Beef'!$E$181</f>
        <v>#VALUE!</v>
      </c>
    </row>
    <row r="167" spans="4:34" ht="20.100000000000001" customHeight="1" x14ac:dyDescent="0.25"/>
    <row r="168" spans="4:34" ht="20.100000000000001" customHeight="1" x14ac:dyDescent="0.25">
      <c r="D168" s="113" t="s">
        <v>404</v>
      </c>
      <c r="W168" s="113" t="s">
        <v>405</v>
      </c>
    </row>
    <row r="169" spans="4:34" ht="20.100000000000001" customHeight="1" x14ac:dyDescent="0.25">
      <c r="D169" s="114" t="s">
        <v>406</v>
      </c>
      <c r="W169" s="114" t="s">
        <v>407</v>
      </c>
    </row>
    <row r="170" spans="4:34" ht="20.100000000000001" customHeight="1" x14ac:dyDescent="0.25">
      <c r="D170" s="115" t="s">
        <v>402</v>
      </c>
      <c r="E170" s="115" t="s">
        <v>408</v>
      </c>
      <c r="W170" s="115" t="s">
        <v>402</v>
      </c>
      <c r="X170" s="115" t="s">
        <v>408</v>
      </c>
    </row>
    <row r="171" spans="4:34" ht="20.100000000000001" customHeight="1" x14ac:dyDescent="0.25">
      <c r="D171" s="26" t="str">
        <f>'Input - Pasture Beef'!$D$180</f>
        <v>Pasture range and paddock</v>
      </c>
      <c r="E171" s="26"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6" t="str">
        <f>'Input - Pasture Beef'!$D$180</f>
        <v>Pasture range and paddock</v>
      </c>
      <c r="X171" s="26">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6" t="str">
        <f>'Input - Pasture Beef'!$D$181</f>
        <v>Anaerobic lagoon</v>
      </c>
      <c r="E172" s="26"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6" t="str">
        <f>'Input - Pasture Beef'!$D$181</f>
        <v>Anaerobic lagoon</v>
      </c>
      <c r="X172" s="26">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3" t="s">
        <v>409</v>
      </c>
      <c r="W174" s="113" t="s">
        <v>410</v>
      </c>
    </row>
    <row r="175" spans="4:34" ht="20.100000000000001" customHeight="1" x14ac:dyDescent="0.25">
      <c r="D175" s="114" t="s">
        <v>411</v>
      </c>
      <c r="W175" s="114" t="s">
        <v>412</v>
      </c>
    </row>
    <row r="176" spans="4:34" ht="20.100000000000001" customHeight="1" x14ac:dyDescent="0.25">
      <c r="D176" s="115" t="s">
        <v>402</v>
      </c>
      <c r="E176" s="115" t="s">
        <v>79</v>
      </c>
      <c r="F176" s="115" t="s">
        <v>189</v>
      </c>
      <c r="G176" s="115" t="s">
        <v>190</v>
      </c>
      <c r="H176" s="115" t="s">
        <v>191</v>
      </c>
      <c r="I176" s="115" t="s">
        <v>192</v>
      </c>
      <c r="J176" s="115" t="s">
        <v>193</v>
      </c>
      <c r="K176" s="115" t="s">
        <v>194</v>
      </c>
      <c r="L176" s="115" t="s">
        <v>195</v>
      </c>
      <c r="M176" s="115" t="s">
        <v>196</v>
      </c>
      <c r="N176" s="115" t="s">
        <v>197</v>
      </c>
      <c r="O176" s="115" t="s">
        <v>198</v>
      </c>
      <c r="W176" s="115" t="s">
        <v>402</v>
      </c>
      <c r="X176" s="115" t="s">
        <v>78</v>
      </c>
      <c r="Y176" s="115" t="s">
        <v>189</v>
      </c>
      <c r="Z176" s="115" t="s">
        <v>190</v>
      </c>
      <c r="AA176" s="115" t="s">
        <v>191</v>
      </c>
      <c r="AB176" s="115" t="s">
        <v>192</v>
      </c>
      <c r="AC176" s="115" t="s">
        <v>193</v>
      </c>
      <c r="AD176" s="115" t="s">
        <v>194</v>
      </c>
      <c r="AE176" s="115" t="s">
        <v>195</v>
      </c>
      <c r="AF176" s="115" t="s">
        <v>196</v>
      </c>
      <c r="AG176" s="115" t="s">
        <v>197</v>
      </c>
      <c r="AH176" s="115" t="s">
        <v>198</v>
      </c>
    </row>
    <row r="177" spans="4:36" ht="20.100000000000001" customHeight="1" x14ac:dyDescent="0.25">
      <c r="D177" s="26" t="str">
        <f>'Input - Pasture Beef'!$D$180</f>
        <v>Pasture range and paddock</v>
      </c>
      <c r="E177" s="26" t="s">
        <v>199</v>
      </c>
      <c r="F177" s="26" t="e" cm="1">
        <f t="array" aca="1" ref="F177" ca="1">MMS_PastureBeef_Methane_Equations.VEERG_4_2_1_1__2_MethaneProductionFromManure(E131,$I$155,$E$165,$E$171,$I$158)</f>
        <v>#N/A</v>
      </c>
      <c r="G177" s="26" t="e" cm="1">
        <f t="array" aca="1" ref="G177" ca="1">MMS_PastureBeef_Methane_Equations.VEERG_4_2_1_1__2_MethaneProductionFromManure(F131,$I$155,$E$165,$E$171,$I$158)</f>
        <v>#N/A</v>
      </c>
      <c r="H177" s="26" t="e" cm="1">
        <f t="array" aca="1" ref="H177" ca="1">MMS_PastureBeef_Methane_Equations.VEERG_4_2_1_1__2_MethaneProductionFromManure(G131,$I$155,$E$165,$E$171,$I$158)</f>
        <v>#N/A</v>
      </c>
      <c r="I177" s="26" t="e" cm="1">
        <f t="array" aca="1" ref="I177" ca="1">MMS_PastureBeef_Methane_Equations.VEERG_4_2_1_1__2_MethaneProductionFromManure(H131,$I$155,$E$165,$E$171,$I$158)</f>
        <v>#N/A</v>
      </c>
      <c r="J177" s="26" t="e" cm="1">
        <f t="array" aca="1" ref="J177" ca="1">MMS_PastureBeef_Methane_Equations.VEERG_4_2_1_1__2_MethaneProductionFromManure(I131,$I$155,$E$165,$E$171,$I$158)</f>
        <v>#N/A</v>
      </c>
      <c r="K177" s="26" t="e" cm="1">
        <f t="array" aca="1" ref="K177" ca="1">MMS_PastureBeef_Methane_Equations.VEERG_4_2_1_1__2_MethaneProductionFromManure(J131,$I$155,$E$165,$E$171,$I$158)</f>
        <v>#N/A</v>
      </c>
      <c r="L177" s="26" t="e" cm="1">
        <f t="array" aca="1" ref="L177" ca="1">MMS_PastureBeef_Methane_Equations.VEERG_4_2_1_1__2_MethaneProductionFromManure(K131,$I$155,$E$165,$E$171,$I$158)</f>
        <v>#N/A</v>
      </c>
      <c r="M177" s="26" t="e" cm="1">
        <f t="array" aca="1" ref="M177" ca="1">MMS_PastureBeef_Methane_Equations.VEERG_4_2_1_1__2_MethaneProductionFromManure(L131,$I$155,$E$165,$E$171,$I$158)</f>
        <v>#N/A</v>
      </c>
      <c r="N177" s="26" t="e" cm="1">
        <f t="array" aca="1" ref="N177" ca="1">MMS_PastureBeef_Methane_Equations.VEERG_4_2_1_1__2_MethaneProductionFromManure(M131,$I$155,$E$165,$E$171,$I$158)</f>
        <v>#N/A</v>
      </c>
      <c r="O177" s="26" t="e" cm="1">
        <f t="array" aca="1" ref="O177" ca="1">MMS_PastureBeef_Methane_Equations.VEERG_4_2_1_1__2_MethaneProductionFromManure(N131,$I$155,$E$165,$E$171,$I$158)</f>
        <v>#N/A</v>
      </c>
      <c r="P177" s="27" t="str">
        <f t="shared" ref="P177:P184" si="6">$E$152</f>
        <v>kg CH4/head/day</v>
      </c>
      <c r="Q177" s="27"/>
      <c r="R177" s="27"/>
      <c r="S177" s="27"/>
      <c r="W177" s="26" t="str">
        <f>'Input - Pasture Beef'!$D$180</f>
        <v>Pasture range and paddock</v>
      </c>
      <c r="X177" s="26" t="str">
        <f t="shared" ref="X177:X188" si="7">W131</f>
        <v>NO - Not in leaching zone</v>
      </c>
      <c r="Y177" s="26" t="e" cm="1">
        <f t="array" aca="1" ref="Y177" ca="1">MMS_PastureBeef_Methane_Equations.VEERG_4_2_1_1__2_MethaneProductionFromManure(X131,$I$155,$E$165,$X$171,$I$158)</f>
        <v>#N/A</v>
      </c>
      <c r="Z177" s="26" t="e" cm="1">
        <f t="array" aca="1" ref="Z177" ca="1">MMS_PastureBeef_Methane_Equations.VEERG_4_2_1_1__2_MethaneProductionFromManure(Y131,$I$155,$E$165,$X$171,$I$158)</f>
        <v>#N/A</v>
      </c>
      <c r="AA177" s="26" t="e" cm="1">
        <f t="array" aca="1" ref="AA177" ca="1">MMS_PastureBeef_Methane_Equations.VEERG_4_2_1_1__2_MethaneProductionFromManure(Z131,$I$155,$E$165,$X$171,$I$158)</f>
        <v>#N/A</v>
      </c>
      <c r="AB177" s="26" t="e" cm="1">
        <f t="array" aca="1" ref="AB177" ca="1">MMS_PastureBeef_Methane_Equations.VEERG_4_2_1_1__2_MethaneProductionFromManure(AA131,$I$155,$E$165,$X$171,$I$158)</f>
        <v>#N/A</v>
      </c>
      <c r="AC177" s="26" t="e" cm="1">
        <f t="array" aca="1" ref="AC177" ca="1">MMS_PastureBeef_Methane_Equations.VEERG_4_2_1_1__2_MethaneProductionFromManure(AB131,$I$155,$E$165,$X$171,$I$158)</f>
        <v>#N/A</v>
      </c>
      <c r="AD177" s="26" t="e" cm="1">
        <f t="array" aca="1" ref="AD177" ca="1">MMS_PastureBeef_Methane_Equations.VEERG_4_2_1_1__2_MethaneProductionFromManure(AC131,$I$155,$E$165,$X$171,$I$158)</f>
        <v>#N/A</v>
      </c>
      <c r="AE177" s="26" t="e" cm="1">
        <f t="array" aca="1" ref="AE177" ca="1">MMS_PastureBeef_Methane_Equations.VEERG_4_2_1_1__2_MethaneProductionFromManure(AD131,$I$155,$E$165,$X$171,$I$158)</f>
        <v>#N/A</v>
      </c>
      <c r="AF177" s="26" t="e" cm="1">
        <f t="array" aca="1" ref="AF177" ca="1">MMS_PastureBeef_Methane_Equations.VEERG_4_2_1_1__2_MethaneProductionFromManure(AE131,$I$155,$E$165,$X$171,$I$158)</f>
        <v>#N/A</v>
      </c>
      <c r="AG177" s="26" t="e" cm="1">
        <f t="array" aca="1" ref="AG177" ca="1">MMS_PastureBeef_Methane_Equations.VEERG_4_2_1_1__2_MethaneProductionFromManure(AF131,$I$155,$E$165,$X$171,$I$158)</f>
        <v>#N/A</v>
      </c>
      <c r="AH177" s="26" t="e" cm="1">
        <f t="array" aca="1" ref="AH177" ca="1">MMS_PastureBeef_Methane_Equations.VEERG_4_2_1_1__2_MethaneProductionFromManure(AG131,$I$155,$E$165,$X$171,$I$158)</f>
        <v>#N/A</v>
      </c>
      <c r="AI177" s="27" t="str">
        <f t="shared" ref="AI177:AI200" si="8">$E$152</f>
        <v>kg CH4/head/day</v>
      </c>
      <c r="AJ177" s="27"/>
    </row>
    <row r="178" spans="4:36" ht="20.100000000000001" customHeight="1" x14ac:dyDescent="0.25">
      <c r="D178" s="26" t="str">
        <f>'Input - Pasture Beef'!$D$180</f>
        <v>Pasture range and paddock</v>
      </c>
      <c r="E178" s="26" t="s">
        <v>200</v>
      </c>
      <c r="F178" s="26" t="e" cm="1">
        <f t="array" aca="1" ref="F178" ca="1">MMS_PastureBeef_Methane_Equations.VEERG_4_2_1_1__2_MethaneProductionFromManure(E132,$I$155,$E$165,$E$171,$I$158)</f>
        <v>#N/A</v>
      </c>
      <c r="G178" s="26" t="e" cm="1">
        <f t="array" aca="1" ref="G178" ca="1">MMS_PastureBeef_Methane_Equations.VEERG_4_2_1_1__2_MethaneProductionFromManure(F132,$I$155,$E$165,$E$171,$I$158)</f>
        <v>#N/A</v>
      </c>
      <c r="H178" s="26" t="e" cm="1">
        <f t="array" aca="1" ref="H178" ca="1">MMS_PastureBeef_Methane_Equations.VEERG_4_2_1_1__2_MethaneProductionFromManure(G132,$I$155,$E$165,$E$171,$I$158)</f>
        <v>#N/A</v>
      </c>
      <c r="I178" s="26" t="e" cm="1">
        <f t="array" aca="1" ref="I178" ca="1">MMS_PastureBeef_Methane_Equations.VEERG_4_2_1_1__2_MethaneProductionFromManure(H132,$I$155,$E$165,$E$171,$I$158)</f>
        <v>#N/A</v>
      </c>
      <c r="J178" s="26" t="e" cm="1">
        <f t="array" aca="1" ref="J178" ca="1">MMS_PastureBeef_Methane_Equations.VEERG_4_2_1_1__2_MethaneProductionFromManure(I132,$I$155,$E$165,$E$171,$I$158)</f>
        <v>#N/A</v>
      </c>
      <c r="K178" s="26" t="e" cm="1">
        <f t="array" aca="1" ref="K178" ca="1">MMS_PastureBeef_Methane_Equations.VEERG_4_2_1_1__2_MethaneProductionFromManure(J132,$I$155,$E$165,$E$171,$I$158)</f>
        <v>#N/A</v>
      </c>
      <c r="L178" s="26" t="e" cm="1">
        <f t="array" aca="1" ref="L178" ca="1">MMS_PastureBeef_Methane_Equations.VEERG_4_2_1_1__2_MethaneProductionFromManure(K132,$I$155,$E$165,$E$171,$I$158)</f>
        <v>#N/A</v>
      </c>
      <c r="M178" s="26" t="e" cm="1">
        <f t="array" aca="1" ref="M178" ca="1">MMS_PastureBeef_Methane_Equations.VEERG_4_2_1_1__2_MethaneProductionFromManure(L132,$I$155,$E$165,$E$171,$I$158)</f>
        <v>#N/A</v>
      </c>
      <c r="N178" s="26" t="e" cm="1">
        <f t="array" aca="1" ref="N178" ca="1">MMS_PastureBeef_Methane_Equations.VEERG_4_2_1_1__2_MethaneProductionFromManure(M132,$I$155,$E$165,$E$171,$I$158)</f>
        <v>#N/A</v>
      </c>
      <c r="O178" s="26" t="e" cm="1">
        <f t="array" aca="1" ref="O178" ca="1">MMS_PastureBeef_Methane_Equations.VEERG_4_2_1_1__2_MethaneProductionFromManure(N132,$I$155,$E$165,$E$171,$I$158)</f>
        <v>#N/A</v>
      </c>
      <c r="P178" s="27" t="str">
        <f t="shared" si="6"/>
        <v>kg CH4/head/day</v>
      </c>
      <c r="Q178" s="27"/>
      <c r="R178" s="27"/>
      <c r="S178" s="27"/>
      <c r="W178" s="26" t="str">
        <f>'Input - Pasture Beef'!$D$180</f>
        <v>Pasture range and paddock</v>
      </c>
      <c r="X178" s="26" t="e">
        <f t="shared" si="7"/>
        <v>#VALUE!</v>
      </c>
      <c r="Y178" s="26" t="e" cm="1">
        <f t="array" aca="1" ref="Y178" ca="1">MMS_PastureBeef_Methane_Equations.VEERG_4_2_1_1__2_MethaneProductionFromManure(X132,$I$155,$E$165,$X$171,$I$158)</f>
        <v>#N/A</v>
      </c>
      <c r="Z178" s="26" t="e" cm="1">
        <f t="array" aca="1" ref="Z178" ca="1">MMS_PastureBeef_Methane_Equations.VEERG_4_2_1_1__2_MethaneProductionFromManure(Y132,$I$155,$E$165,$X$171,$I$158)</f>
        <v>#N/A</v>
      </c>
      <c r="AA178" s="26" t="e" cm="1">
        <f t="array" aca="1" ref="AA178" ca="1">MMS_PastureBeef_Methane_Equations.VEERG_4_2_1_1__2_MethaneProductionFromManure(Z132,$I$155,$E$165,$X$171,$I$158)</f>
        <v>#N/A</v>
      </c>
      <c r="AB178" s="26" t="e" cm="1">
        <f t="array" aca="1" ref="AB178" ca="1">MMS_PastureBeef_Methane_Equations.VEERG_4_2_1_1__2_MethaneProductionFromManure(AA132,$I$155,$E$165,$X$171,$I$158)</f>
        <v>#N/A</v>
      </c>
      <c r="AC178" s="26" t="e" cm="1">
        <f t="array" aca="1" ref="AC178" ca="1">MMS_PastureBeef_Methane_Equations.VEERG_4_2_1_1__2_MethaneProductionFromManure(AB132,$I$155,$E$165,$X$171,$I$158)</f>
        <v>#N/A</v>
      </c>
      <c r="AD178" s="26" t="e" cm="1">
        <f t="array" aca="1" ref="AD178" ca="1">MMS_PastureBeef_Methane_Equations.VEERG_4_2_1_1__2_MethaneProductionFromManure(AC132,$I$155,$E$165,$X$171,$I$158)</f>
        <v>#N/A</v>
      </c>
      <c r="AE178" s="26" t="e" cm="1">
        <f t="array" aca="1" ref="AE178" ca="1">MMS_PastureBeef_Methane_Equations.VEERG_4_2_1_1__2_MethaneProductionFromManure(AD132,$I$155,$E$165,$X$171,$I$158)</f>
        <v>#N/A</v>
      </c>
      <c r="AF178" s="26" t="e" cm="1">
        <f t="array" aca="1" ref="AF178" ca="1">MMS_PastureBeef_Methane_Equations.VEERG_4_2_1_1__2_MethaneProductionFromManure(AE132,$I$155,$E$165,$X$171,$I$158)</f>
        <v>#N/A</v>
      </c>
      <c r="AG178" s="26" t="e" cm="1">
        <f t="array" aca="1" ref="AG178" ca="1">MMS_PastureBeef_Methane_Equations.VEERG_4_2_1_1__2_MethaneProductionFromManure(AF132,$I$155,$E$165,$X$171,$I$158)</f>
        <v>#N/A</v>
      </c>
      <c r="AH178" s="26" t="e" cm="1">
        <f t="array" aca="1" ref="AH178" ca="1">MMS_PastureBeef_Methane_Equations.VEERG_4_2_1_1__2_MethaneProductionFromManure(AG132,$I$155,$E$165,$X$171,$I$158)</f>
        <v>#N/A</v>
      </c>
      <c r="AI178" s="27" t="str">
        <f t="shared" si="8"/>
        <v>kg CH4/head/day</v>
      </c>
      <c r="AJ178" s="27"/>
    </row>
    <row r="179" spans="4:36" ht="20.100000000000001" customHeight="1" x14ac:dyDescent="0.25">
      <c r="D179" s="26" t="str">
        <f>'Input - Pasture Beef'!$D$180</f>
        <v>Pasture range and paddock</v>
      </c>
      <c r="E179" s="26" t="s">
        <v>201</v>
      </c>
      <c r="F179" s="26" t="e" cm="1">
        <f t="array" aca="1" ref="F179" ca="1">MMS_PastureBeef_Methane_Equations.VEERG_4_2_1_1__2_MethaneProductionFromManure(E133,$I$155,$E$165,$E$171,$I$158)</f>
        <v>#N/A</v>
      </c>
      <c r="G179" s="26" t="e" cm="1">
        <f t="array" aca="1" ref="G179" ca="1">MMS_PastureBeef_Methane_Equations.VEERG_4_2_1_1__2_MethaneProductionFromManure(F133,$I$155,$E$165,$E$171,$I$158)</f>
        <v>#N/A</v>
      </c>
      <c r="H179" s="26" t="e" cm="1">
        <f t="array" aca="1" ref="H179" ca="1">MMS_PastureBeef_Methane_Equations.VEERG_4_2_1_1__2_MethaneProductionFromManure(G133,$I$155,$E$165,$E$171,$I$158)</f>
        <v>#N/A</v>
      </c>
      <c r="I179" s="26" t="e" cm="1">
        <f t="array" aca="1" ref="I179" ca="1">MMS_PastureBeef_Methane_Equations.VEERG_4_2_1_1__2_MethaneProductionFromManure(H133,$I$155,$E$165,$E$171,$I$158)</f>
        <v>#N/A</v>
      </c>
      <c r="J179" s="26" t="e" cm="1">
        <f t="array" aca="1" ref="J179" ca="1">MMS_PastureBeef_Methane_Equations.VEERG_4_2_1_1__2_MethaneProductionFromManure(I133,$I$155,$E$165,$E$171,$I$158)</f>
        <v>#N/A</v>
      </c>
      <c r="K179" s="26" t="e" cm="1">
        <f t="array" aca="1" ref="K179" ca="1">MMS_PastureBeef_Methane_Equations.VEERG_4_2_1_1__2_MethaneProductionFromManure(J133,$I$155,$E$165,$E$171,$I$158)</f>
        <v>#N/A</v>
      </c>
      <c r="L179" s="26" t="e" cm="1">
        <f t="array" aca="1" ref="L179" ca="1">MMS_PastureBeef_Methane_Equations.VEERG_4_2_1_1__2_MethaneProductionFromManure(K133,$I$155,$E$165,$E$171,$I$158)</f>
        <v>#N/A</v>
      </c>
      <c r="M179" s="26" t="e" cm="1">
        <f t="array" aca="1" ref="M179" ca="1">MMS_PastureBeef_Methane_Equations.VEERG_4_2_1_1__2_MethaneProductionFromManure(L133,$I$155,$E$165,$E$171,$I$158)</f>
        <v>#N/A</v>
      </c>
      <c r="N179" s="26" t="e" cm="1">
        <f t="array" aca="1" ref="N179" ca="1">MMS_PastureBeef_Methane_Equations.VEERG_4_2_1_1__2_MethaneProductionFromManure(M133,$I$155,$E$165,$E$171,$I$158)</f>
        <v>#N/A</v>
      </c>
      <c r="O179" s="26" t="e" cm="1">
        <f t="array" aca="1" ref="O179" ca="1">MMS_PastureBeef_Methane_Equations.VEERG_4_2_1_1__2_MethaneProductionFromManure(N133,$I$155,$E$165,$E$171,$I$158)</f>
        <v>#N/A</v>
      </c>
      <c r="P179" s="27" t="str">
        <f t="shared" si="6"/>
        <v>kg CH4/head/day</v>
      </c>
      <c r="Q179" s="27"/>
      <c r="R179" s="27"/>
      <c r="S179" s="27"/>
      <c r="W179" s="26" t="str">
        <f>'Input - Pasture Beef'!$D$180</f>
        <v>Pasture range and paddock</v>
      </c>
      <c r="X179" s="26" t="e">
        <f t="shared" si="7"/>
        <v>#VALUE!</v>
      </c>
      <c r="Y179" s="26" t="e" cm="1">
        <f t="array" aca="1" ref="Y179" ca="1">MMS_PastureBeef_Methane_Equations.VEERG_4_2_1_1__2_MethaneProductionFromManure(X133,$I$155,$E$165,$X$171,$I$158)</f>
        <v>#N/A</v>
      </c>
      <c r="Z179" s="26" t="e" cm="1">
        <f t="array" aca="1" ref="Z179" ca="1">MMS_PastureBeef_Methane_Equations.VEERG_4_2_1_1__2_MethaneProductionFromManure(Y133,$I$155,$E$165,$X$171,$I$158)</f>
        <v>#N/A</v>
      </c>
      <c r="AA179" s="26" t="e" cm="1">
        <f t="array" aca="1" ref="AA179" ca="1">MMS_PastureBeef_Methane_Equations.VEERG_4_2_1_1__2_MethaneProductionFromManure(Z133,$I$155,$E$165,$X$171,$I$158)</f>
        <v>#N/A</v>
      </c>
      <c r="AB179" s="26" t="e" cm="1">
        <f t="array" aca="1" ref="AB179" ca="1">MMS_PastureBeef_Methane_Equations.VEERG_4_2_1_1__2_MethaneProductionFromManure(AA133,$I$155,$E$165,$X$171,$I$158)</f>
        <v>#N/A</v>
      </c>
      <c r="AC179" s="26" t="e" cm="1">
        <f t="array" aca="1" ref="AC179" ca="1">MMS_PastureBeef_Methane_Equations.VEERG_4_2_1_1__2_MethaneProductionFromManure(AB133,$I$155,$E$165,$X$171,$I$158)</f>
        <v>#N/A</v>
      </c>
      <c r="AD179" s="26" t="e" cm="1">
        <f t="array" aca="1" ref="AD179" ca="1">MMS_PastureBeef_Methane_Equations.VEERG_4_2_1_1__2_MethaneProductionFromManure(AC133,$I$155,$E$165,$X$171,$I$158)</f>
        <v>#N/A</v>
      </c>
      <c r="AE179" s="26" t="e" cm="1">
        <f t="array" aca="1" ref="AE179" ca="1">MMS_PastureBeef_Methane_Equations.VEERG_4_2_1_1__2_MethaneProductionFromManure(AD133,$I$155,$E$165,$X$171,$I$158)</f>
        <v>#N/A</v>
      </c>
      <c r="AF179" s="26" t="e" cm="1">
        <f t="array" aca="1" ref="AF179" ca="1">MMS_PastureBeef_Methane_Equations.VEERG_4_2_1_1__2_MethaneProductionFromManure(AE133,$I$155,$E$165,$X$171,$I$158)</f>
        <v>#N/A</v>
      </c>
      <c r="AG179" s="26" t="e" cm="1">
        <f t="array" aca="1" ref="AG179" ca="1">MMS_PastureBeef_Methane_Equations.VEERG_4_2_1_1__2_MethaneProductionFromManure(AF133,$I$155,$E$165,$X$171,$I$158)</f>
        <v>#N/A</v>
      </c>
      <c r="AH179" s="26" t="e" cm="1">
        <f t="array" aca="1" ref="AH179" ca="1">MMS_PastureBeef_Methane_Equations.VEERG_4_2_1_1__2_MethaneProductionFromManure(AG133,$I$155,$E$165,$X$171,$I$158)</f>
        <v>#N/A</v>
      </c>
      <c r="AI179" s="27" t="str">
        <f t="shared" si="8"/>
        <v>kg CH4/head/day</v>
      </c>
      <c r="AJ179" s="27"/>
    </row>
    <row r="180" spans="4:36" ht="20.100000000000001" customHeight="1" x14ac:dyDescent="0.25">
      <c r="D180" s="26" t="str">
        <f>'Input - Pasture Beef'!$D$180</f>
        <v>Pasture range and paddock</v>
      </c>
      <c r="E180" s="26" t="s">
        <v>202</v>
      </c>
      <c r="F180" s="26" t="e" cm="1">
        <f t="array" aca="1" ref="F180" ca="1">MMS_PastureBeef_Methane_Equations.VEERG_4_2_1_1__2_MethaneProductionFromManure(E134,$I$155,$E$165,$E$171,$I$158)</f>
        <v>#N/A</v>
      </c>
      <c r="G180" s="26" t="e" cm="1">
        <f t="array" aca="1" ref="G180" ca="1">MMS_PastureBeef_Methane_Equations.VEERG_4_2_1_1__2_MethaneProductionFromManure(F134,$I$155,$E$165,$E$171,$I$158)</f>
        <v>#N/A</v>
      </c>
      <c r="H180" s="26" t="e" cm="1">
        <f t="array" aca="1" ref="H180" ca="1">MMS_PastureBeef_Methane_Equations.VEERG_4_2_1_1__2_MethaneProductionFromManure(G134,$I$155,$E$165,$E$171,$I$158)</f>
        <v>#N/A</v>
      </c>
      <c r="I180" s="26" t="e" cm="1">
        <f t="array" aca="1" ref="I180" ca="1">MMS_PastureBeef_Methane_Equations.VEERG_4_2_1_1__2_MethaneProductionFromManure(H134,$I$155,$E$165,$E$171,$I$158)</f>
        <v>#N/A</v>
      </c>
      <c r="J180" s="26" t="e" cm="1">
        <f t="array" aca="1" ref="J180" ca="1">MMS_PastureBeef_Methane_Equations.VEERG_4_2_1_1__2_MethaneProductionFromManure(I134,$I$155,$E$165,$E$171,$I$158)</f>
        <v>#N/A</v>
      </c>
      <c r="K180" s="26" t="e" cm="1">
        <f t="array" aca="1" ref="K180" ca="1">MMS_PastureBeef_Methane_Equations.VEERG_4_2_1_1__2_MethaneProductionFromManure(J134,$I$155,$E$165,$E$171,$I$158)</f>
        <v>#N/A</v>
      </c>
      <c r="L180" s="26" t="e" cm="1">
        <f t="array" aca="1" ref="L180" ca="1">MMS_PastureBeef_Methane_Equations.VEERG_4_2_1_1__2_MethaneProductionFromManure(K134,$I$155,$E$165,$E$171,$I$158)</f>
        <v>#N/A</v>
      </c>
      <c r="M180" s="26" t="e" cm="1">
        <f t="array" aca="1" ref="M180" ca="1">MMS_PastureBeef_Methane_Equations.VEERG_4_2_1_1__2_MethaneProductionFromManure(L134,$I$155,$E$165,$E$171,$I$158)</f>
        <v>#N/A</v>
      </c>
      <c r="N180" s="26" t="e" cm="1">
        <f t="array" aca="1" ref="N180" ca="1">MMS_PastureBeef_Methane_Equations.VEERG_4_2_1_1__2_MethaneProductionFromManure(M134,$I$155,$E$165,$E$171,$I$158)</f>
        <v>#N/A</v>
      </c>
      <c r="O180" s="26" t="e" cm="1">
        <f t="array" aca="1" ref="O180" ca="1">MMS_PastureBeef_Methane_Equations.VEERG_4_2_1_1__2_MethaneProductionFromManure(N134,$I$155,$E$165,$E$171,$I$158)</f>
        <v>#N/A</v>
      </c>
      <c r="P180" s="27" t="str">
        <f t="shared" si="6"/>
        <v>kg CH4/head/day</v>
      </c>
      <c r="Q180" s="27"/>
      <c r="R180" s="27"/>
      <c r="S180" s="27"/>
      <c r="W180" s="26" t="str">
        <f>'Input - Pasture Beef'!$D$180</f>
        <v>Pasture range and paddock</v>
      </c>
      <c r="X180" s="26" t="e">
        <f t="shared" si="7"/>
        <v>#VALUE!</v>
      </c>
      <c r="Y180" s="26" t="e" cm="1">
        <f t="array" aca="1" ref="Y180" ca="1">MMS_PastureBeef_Methane_Equations.VEERG_4_2_1_1__2_MethaneProductionFromManure(X134,$I$155,$E$165,$X$171,$I$158)</f>
        <v>#N/A</v>
      </c>
      <c r="Z180" s="26" t="e" cm="1">
        <f t="array" aca="1" ref="Z180" ca="1">MMS_PastureBeef_Methane_Equations.VEERG_4_2_1_1__2_MethaneProductionFromManure(Y134,$I$155,$E$165,$X$171,$I$158)</f>
        <v>#N/A</v>
      </c>
      <c r="AA180" s="26" t="e" cm="1">
        <f t="array" aca="1" ref="AA180" ca="1">MMS_PastureBeef_Methane_Equations.VEERG_4_2_1_1__2_MethaneProductionFromManure(Z134,$I$155,$E$165,$X$171,$I$158)</f>
        <v>#N/A</v>
      </c>
      <c r="AB180" s="26" t="e" cm="1">
        <f t="array" aca="1" ref="AB180" ca="1">MMS_PastureBeef_Methane_Equations.VEERG_4_2_1_1__2_MethaneProductionFromManure(AA134,$I$155,$E$165,$X$171,$I$158)</f>
        <v>#N/A</v>
      </c>
      <c r="AC180" s="26" t="e" cm="1">
        <f t="array" aca="1" ref="AC180" ca="1">MMS_PastureBeef_Methane_Equations.VEERG_4_2_1_1__2_MethaneProductionFromManure(AB134,$I$155,$E$165,$X$171,$I$158)</f>
        <v>#N/A</v>
      </c>
      <c r="AD180" s="26" t="e" cm="1">
        <f t="array" aca="1" ref="AD180" ca="1">MMS_PastureBeef_Methane_Equations.VEERG_4_2_1_1__2_MethaneProductionFromManure(AC134,$I$155,$E$165,$X$171,$I$158)</f>
        <v>#N/A</v>
      </c>
      <c r="AE180" s="26" t="e" cm="1">
        <f t="array" aca="1" ref="AE180" ca="1">MMS_PastureBeef_Methane_Equations.VEERG_4_2_1_1__2_MethaneProductionFromManure(AD134,$I$155,$E$165,$X$171,$I$158)</f>
        <v>#N/A</v>
      </c>
      <c r="AF180" s="26" t="e" cm="1">
        <f t="array" aca="1" ref="AF180" ca="1">MMS_PastureBeef_Methane_Equations.VEERG_4_2_1_1__2_MethaneProductionFromManure(AE134,$I$155,$E$165,$X$171,$I$158)</f>
        <v>#N/A</v>
      </c>
      <c r="AG180" s="26" t="e" cm="1">
        <f t="array" aca="1" ref="AG180" ca="1">MMS_PastureBeef_Methane_Equations.VEERG_4_2_1_1__2_MethaneProductionFromManure(AF134,$I$155,$E$165,$X$171,$I$158)</f>
        <v>#N/A</v>
      </c>
      <c r="AH180" s="26" t="e" cm="1">
        <f t="array" aca="1" ref="AH180" ca="1">MMS_PastureBeef_Methane_Equations.VEERG_4_2_1_1__2_MethaneProductionFromManure(AG134,$I$155,$E$165,$X$171,$I$158)</f>
        <v>#N/A</v>
      </c>
      <c r="AI180" s="27" t="str">
        <f t="shared" si="8"/>
        <v>kg CH4/head/day</v>
      </c>
      <c r="AJ180" s="27"/>
    </row>
    <row r="181" spans="4:36" ht="20.100000000000001" customHeight="1" x14ac:dyDescent="0.25">
      <c r="D181" s="26" t="str">
        <f>'Input - Pasture Beef'!$D$181</f>
        <v>Anaerobic lagoon</v>
      </c>
      <c r="E181" s="26" t="s">
        <v>199</v>
      </c>
      <c r="F181" s="26" t="e" cm="1">
        <f t="array" aca="1" ref="F181" ca="1">MMS_PastureBeef_Methane_Equations.VEERG_4_2_1_1__2_MethaneProductionFromManure(E131,$I$155,$E$166,$E$172,$I$158)</f>
        <v>#N/A</v>
      </c>
      <c r="G181" s="26" t="e" cm="1">
        <f t="array" aca="1" ref="G181" ca="1">MMS_PastureBeef_Methane_Equations.VEERG_4_2_1_1__2_MethaneProductionFromManure(F131,$I$155,$E$166,$E$172,$I$158)</f>
        <v>#N/A</v>
      </c>
      <c r="H181" s="26" t="e" cm="1">
        <f t="array" aca="1" ref="H181" ca="1">MMS_PastureBeef_Methane_Equations.VEERG_4_2_1_1__2_MethaneProductionFromManure(G131,$I$155,$E$166,$E$172,$I$158)</f>
        <v>#N/A</v>
      </c>
      <c r="I181" s="26" t="e" cm="1">
        <f t="array" aca="1" ref="I181" ca="1">MMS_PastureBeef_Methane_Equations.VEERG_4_2_1_1__2_MethaneProductionFromManure(H131,$I$155,$E$166,$E$172,$I$158)</f>
        <v>#N/A</v>
      </c>
      <c r="J181" s="26" t="e" cm="1">
        <f t="array" aca="1" ref="J181" ca="1">MMS_PastureBeef_Methane_Equations.VEERG_4_2_1_1__2_MethaneProductionFromManure(I131,$I$155,$E$166,$E$172,$I$158)</f>
        <v>#N/A</v>
      </c>
      <c r="K181" s="26" t="e" cm="1">
        <f t="array" aca="1" ref="K181" ca="1">MMS_PastureBeef_Methane_Equations.VEERG_4_2_1_1__2_MethaneProductionFromManure(J131,$I$155,$E$166,$E$172,$I$158)</f>
        <v>#N/A</v>
      </c>
      <c r="L181" s="26" t="e" cm="1">
        <f t="array" aca="1" ref="L181" ca="1">MMS_PastureBeef_Methane_Equations.VEERG_4_2_1_1__2_MethaneProductionFromManure(K131,$I$155,$E$166,$E$172,$I$158)</f>
        <v>#N/A</v>
      </c>
      <c r="M181" s="26" t="e" cm="1">
        <f t="array" aca="1" ref="M181" ca="1">MMS_PastureBeef_Methane_Equations.VEERG_4_2_1_1__2_MethaneProductionFromManure(L131,$I$155,$E$166,$E$172,$I$158)</f>
        <v>#N/A</v>
      </c>
      <c r="N181" s="26" t="e" cm="1">
        <f t="array" aca="1" ref="N181" ca="1">MMS_PastureBeef_Methane_Equations.VEERG_4_2_1_1__2_MethaneProductionFromManure(M131,$I$155,$E$166,$E$172,$I$158)</f>
        <v>#N/A</v>
      </c>
      <c r="O181" s="26" t="e" cm="1">
        <f t="array" aca="1" ref="O181" ca="1">MMS_PastureBeef_Methane_Equations.VEERG_4_2_1_1__2_MethaneProductionFromManure(N131,$I$155,$E$166,$E$172,$I$158)</f>
        <v>#N/A</v>
      </c>
      <c r="P181" s="27" t="str">
        <f t="shared" si="6"/>
        <v>kg CH4/head/day</v>
      </c>
      <c r="Q181" s="27"/>
      <c r="R181" s="27"/>
      <c r="S181" s="27"/>
      <c r="W181" s="26" t="str">
        <f>'Input - Pasture Beef'!$D$180</f>
        <v>Pasture range and paddock</v>
      </c>
      <c r="X181" s="26" t="e">
        <f t="shared" si="7"/>
        <v>#VALUE!</v>
      </c>
      <c r="Y181" s="26" t="e" cm="1">
        <f t="array" aca="1" ref="Y181" ca="1">MMS_PastureBeef_Methane_Equations.VEERG_4_2_1_1__2_MethaneProductionFromManure(X135,$I$155,$E$165,$X$171,$I$158)</f>
        <v>#N/A</v>
      </c>
      <c r="Z181" s="26" t="e" cm="1">
        <f t="array" aca="1" ref="Z181" ca="1">MMS_PastureBeef_Methane_Equations.VEERG_4_2_1_1__2_MethaneProductionFromManure(Y135,$I$155,$E$165,$X$171,$I$158)</f>
        <v>#N/A</v>
      </c>
      <c r="AA181" s="26" t="e" cm="1">
        <f t="array" aca="1" ref="AA181" ca="1">MMS_PastureBeef_Methane_Equations.VEERG_4_2_1_1__2_MethaneProductionFromManure(Z135,$I$155,$E$165,$X$171,$I$158)</f>
        <v>#N/A</v>
      </c>
      <c r="AB181" s="26" t="e" cm="1">
        <f t="array" aca="1" ref="AB181" ca="1">MMS_PastureBeef_Methane_Equations.VEERG_4_2_1_1__2_MethaneProductionFromManure(AA135,$I$155,$E$165,$X$171,$I$158)</f>
        <v>#N/A</v>
      </c>
      <c r="AC181" s="26" t="e" cm="1">
        <f t="array" aca="1" ref="AC181" ca="1">MMS_PastureBeef_Methane_Equations.VEERG_4_2_1_1__2_MethaneProductionFromManure(AB135,$I$155,$E$165,$X$171,$I$158)</f>
        <v>#N/A</v>
      </c>
      <c r="AD181" s="26" t="e" cm="1">
        <f t="array" aca="1" ref="AD181" ca="1">MMS_PastureBeef_Methane_Equations.VEERG_4_2_1_1__2_MethaneProductionFromManure(AC135,$I$155,$E$165,$X$171,$I$158)</f>
        <v>#N/A</v>
      </c>
      <c r="AE181" s="26" t="e" cm="1">
        <f t="array" aca="1" ref="AE181" ca="1">MMS_PastureBeef_Methane_Equations.VEERG_4_2_1_1__2_MethaneProductionFromManure(AD135,$I$155,$E$165,$X$171,$I$158)</f>
        <v>#N/A</v>
      </c>
      <c r="AF181" s="26" t="e" cm="1">
        <f t="array" aca="1" ref="AF181" ca="1">MMS_PastureBeef_Methane_Equations.VEERG_4_2_1_1__2_MethaneProductionFromManure(AE135,$I$155,$E$165,$X$171,$I$158)</f>
        <v>#N/A</v>
      </c>
      <c r="AG181" s="26" t="e" cm="1">
        <f t="array" aca="1" ref="AG181" ca="1">MMS_PastureBeef_Methane_Equations.VEERG_4_2_1_1__2_MethaneProductionFromManure(AF135,$I$155,$E$165,$X$171,$I$158)</f>
        <v>#N/A</v>
      </c>
      <c r="AH181" s="26" t="e" cm="1">
        <f t="array" aca="1" ref="AH181" ca="1">MMS_PastureBeef_Methane_Equations.VEERG_4_2_1_1__2_MethaneProductionFromManure(AG135,$I$155,$E$165,$X$171,$I$158)</f>
        <v>#N/A</v>
      </c>
      <c r="AI181" s="27" t="str">
        <f t="shared" si="8"/>
        <v>kg CH4/head/day</v>
      </c>
      <c r="AJ181" s="27"/>
    </row>
    <row r="182" spans="4:36" ht="20.100000000000001" customHeight="1" x14ac:dyDescent="0.25">
      <c r="D182" s="26" t="str">
        <f>'Input - Pasture Beef'!$D$181</f>
        <v>Anaerobic lagoon</v>
      </c>
      <c r="E182" s="26" t="s">
        <v>200</v>
      </c>
      <c r="F182" s="26" t="e" cm="1">
        <f t="array" aca="1" ref="F182" ca="1">MMS_PastureBeef_Methane_Equations.VEERG_4_2_1_1__2_MethaneProductionFromManure(E132,$I$155,$E$166,$E$172,$I$158)</f>
        <v>#N/A</v>
      </c>
      <c r="G182" s="26" t="e" cm="1">
        <f t="array" aca="1" ref="G182" ca="1">MMS_PastureBeef_Methane_Equations.VEERG_4_2_1_1__2_MethaneProductionFromManure(F132,$I$155,$E$166,$E$172,$I$158)</f>
        <v>#N/A</v>
      </c>
      <c r="H182" s="26" t="e" cm="1">
        <f t="array" aca="1" ref="H182" ca="1">MMS_PastureBeef_Methane_Equations.VEERG_4_2_1_1__2_MethaneProductionFromManure(G132,$I$155,$E$166,$E$172,$I$158)</f>
        <v>#N/A</v>
      </c>
      <c r="I182" s="26" t="e" cm="1">
        <f t="array" aca="1" ref="I182" ca="1">MMS_PastureBeef_Methane_Equations.VEERG_4_2_1_1__2_MethaneProductionFromManure(H132,$I$155,$E$166,$E$172,$I$158)</f>
        <v>#N/A</v>
      </c>
      <c r="J182" s="26" t="e" cm="1">
        <f t="array" aca="1" ref="J182" ca="1">MMS_PastureBeef_Methane_Equations.VEERG_4_2_1_1__2_MethaneProductionFromManure(I132,$I$155,$E$166,$E$172,$I$158)</f>
        <v>#N/A</v>
      </c>
      <c r="K182" s="26" t="e" cm="1">
        <f t="array" aca="1" ref="K182" ca="1">MMS_PastureBeef_Methane_Equations.VEERG_4_2_1_1__2_MethaneProductionFromManure(J132,$I$155,$E$166,$E$172,$I$158)</f>
        <v>#N/A</v>
      </c>
      <c r="L182" s="26" t="e" cm="1">
        <f t="array" aca="1" ref="L182" ca="1">MMS_PastureBeef_Methane_Equations.VEERG_4_2_1_1__2_MethaneProductionFromManure(K132,$I$155,$E$166,$E$172,$I$158)</f>
        <v>#N/A</v>
      </c>
      <c r="M182" s="26" t="e" cm="1">
        <f t="array" aca="1" ref="M182" ca="1">MMS_PastureBeef_Methane_Equations.VEERG_4_2_1_1__2_MethaneProductionFromManure(L132,$I$155,$E$166,$E$172,$I$158)</f>
        <v>#N/A</v>
      </c>
      <c r="N182" s="26" t="e" cm="1">
        <f t="array" aca="1" ref="N182" ca="1">MMS_PastureBeef_Methane_Equations.VEERG_4_2_1_1__2_MethaneProductionFromManure(M132,$I$155,$E$166,$E$172,$I$158)</f>
        <v>#N/A</v>
      </c>
      <c r="O182" s="26" t="e" cm="1">
        <f t="array" aca="1" ref="O182" ca="1">MMS_PastureBeef_Methane_Equations.VEERG_4_2_1_1__2_MethaneProductionFromManure(N132,$I$155,$E$166,$E$172,$I$158)</f>
        <v>#N/A</v>
      </c>
      <c r="P182" s="27" t="str">
        <f t="shared" si="6"/>
        <v>kg CH4/head/day</v>
      </c>
      <c r="Q182" s="27"/>
      <c r="R182" s="27"/>
      <c r="S182" s="27"/>
      <c r="W182" s="26" t="str">
        <f>'Input - Pasture Beef'!$D$180</f>
        <v>Pasture range and paddock</v>
      </c>
      <c r="X182" s="26" t="e">
        <f t="shared" si="7"/>
        <v>#VALUE!</v>
      </c>
      <c r="Y182" s="26" t="e" cm="1">
        <f t="array" aca="1" ref="Y182" ca="1">MMS_PastureBeef_Methane_Equations.VEERG_4_2_1_1__2_MethaneProductionFromManure(X136,$I$155,$E$165,$X$171,$I$158)</f>
        <v>#N/A</v>
      </c>
      <c r="Z182" s="26" t="e" cm="1">
        <f t="array" aca="1" ref="Z182" ca="1">MMS_PastureBeef_Methane_Equations.VEERG_4_2_1_1__2_MethaneProductionFromManure(Y136,$I$155,$E$165,$X$171,$I$158)</f>
        <v>#N/A</v>
      </c>
      <c r="AA182" s="26" t="e" cm="1">
        <f t="array" aca="1" ref="AA182" ca="1">MMS_PastureBeef_Methane_Equations.VEERG_4_2_1_1__2_MethaneProductionFromManure(Z136,$I$155,$E$165,$X$171,$I$158)</f>
        <v>#N/A</v>
      </c>
      <c r="AB182" s="26" t="e" cm="1">
        <f t="array" aca="1" ref="AB182" ca="1">MMS_PastureBeef_Methane_Equations.VEERG_4_2_1_1__2_MethaneProductionFromManure(AA136,$I$155,$E$165,$X$171,$I$158)</f>
        <v>#N/A</v>
      </c>
      <c r="AC182" s="26" t="e" cm="1">
        <f t="array" aca="1" ref="AC182" ca="1">MMS_PastureBeef_Methane_Equations.VEERG_4_2_1_1__2_MethaneProductionFromManure(AB136,$I$155,$E$165,$X$171,$I$158)</f>
        <v>#N/A</v>
      </c>
      <c r="AD182" s="26" t="e" cm="1">
        <f t="array" aca="1" ref="AD182" ca="1">MMS_PastureBeef_Methane_Equations.VEERG_4_2_1_1__2_MethaneProductionFromManure(AC136,$I$155,$E$165,$X$171,$I$158)</f>
        <v>#N/A</v>
      </c>
      <c r="AE182" s="26" t="e" cm="1">
        <f t="array" aca="1" ref="AE182" ca="1">MMS_PastureBeef_Methane_Equations.VEERG_4_2_1_1__2_MethaneProductionFromManure(AD136,$I$155,$E$165,$X$171,$I$158)</f>
        <v>#N/A</v>
      </c>
      <c r="AF182" s="26" t="e" cm="1">
        <f t="array" aca="1" ref="AF182" ca="1">MMS_PastureBeef_Methane_Equations.VEERG_4_2_1_1__2_MethaneProductionFromManure(AE136,$I$155,$E$165,$X$171,$I$158)</f>
        <v>#N/A</v>
      </c>
      <c r="AG182" s="26" t="e" cm="1">
        <f t="array" aca="1" ref="AG182" ca="1">MMS_PastureBeef_Methane_Equations.VEERG_4_2_1_1__2_MethaneProductionFromManure(AF136,$I$155,$E$165,$X$171,$I$158)</f>
        <v>#N/A</v>
      </c>
      <c r="AH182" s="26" t="e" cm="1">
        <f t="array" aca="1" ref="AH182" ca="1">MMS_PastureBeef_Methane_Equations.VEERG_4_2_1_1__2_MethaneProductionFromManure(AG136,$I$155,$E$165,$X$171,$I$158)</f>
        <v>#N/A</v>
      </c>
      <c r="AI182" s="27" t="str">
        <f t="shared" si="8"/>
        <v>kg CH4/head/day</v>
      </c>
      <c r="AJ182" s="27"/>
    </row>
    <row r="183" spans="4:36" ht="20.100000000000001" customHeight="1" x14ac:dyDescent="0.25">
      <c r="D183" s="26" t="str">
        <f>'Input - Pasture Beef'!$D$181</f>
        <v>Anaerobic lagoon</v>
      </c>
      <c r="E183" s="26" t="s">
        <v>201</v>
      </c>
      <c r="F183" s="26" t="e" cm="1">
        <f t="array" aca="1" ref="F183" ca="1">MMS_PastureBeef_Methane_Equations.VEERG_4_2_1_1__2_MethaneProductionFromManure(E133,$I$155,$E$166,$E$172,$I$158)</f>
        <v>#N/A</v>
      </c>
      <c r="G183" s="26" t="e" cm="1">
        <f t="array" aca="1" ref="G183" ca="1">MMS_PastureBeef_Methane_Equations.VEERG_4_2_1_1__2_MethaneProductionFromManure(F133,$I$155,$E$166,$E$172,$I$158)</f>
        <v>#N/A</v>
      </c>
      <c r="H183" s="26" t="e" cm="1">
        <f t="array" aca="1" ref="H183" ca="1">MMS_PastureBeef_Methane_Equations.VEERG_4_2_1_1__2_MethaneProductionFromManure(G133,$I$155,$E$166,$E$172,$I$158)</f>
        <v>#N/A</v>
      </c>
      <c r="I183" s="26" t="e" cm="1">
        <f t="array" aca="1" ref="I183" ca="1">MMS_PastureBeef_Methane_Equations.VEERG_4_2_1_1__2_MethaneProductionFromManure(H133,$I$155,$E$166,$E$172,$I$158)</f>
        <v>#N/A</v>
      </c>
      <c r="J183" s="26" t="e" cm="1">
        <f t="array" aca="1" ref="J183" ca="1">MMS_PastureBeef_Methane_Equations.VEERG_4_2_1_1__2_MethaneProductionFromManure(I133,$I$155,$E$166,$E$172,$I$158)</f>
        <v>#N/A</v>
      </c>
      <c r="K183" s="26" t="e" cm="1">
        <f t="array" aca="1" ref="K183" ca="1">MMS_PastureBeef_Methane_Equations.VEERG_4_2_1_1__2_MethaneProductionFromManure(J133,$I$155,$E$166,$E$172,$I$158)</f>
        <v>#N/A</v>
      </c>
      <c r="L183" s="26" t="e" cm="1">
        <f t="array" aca="1" ref="L183" ca="1">MMS_PastureBeef_Methane_Equations.VEERG_4_2_1_1__2_MethaneProductionFromManure(K133,$I$155,$E$166,$E$172,$I$158)</f>
        <v>#N/A</v>
      </c>
      <c r="M183" s="26" t="e" cm="1">
        <f t="array" aca="1" ref="M183" ca="1">MMS_PastureBeef_Methane_Equations.VEERG_4_2_1_1__2_MethaneProductionFromManure(L133,$I$155,$E$166,$E$172,$I$158)</f>
        <v>#N/A</v>
      </c>
      <c r="N183" s="26" t="e" cm="1">
        <f t="array" aca="1" ref="N183" ca="1">MMS_PastureBeef_Methane_Equations.VEERG_4_2_1_1__2_MethaneProductionFromManure(M133,$I$155,$E$166,$E$172,$I$158)</f>
        <v>#N/A</v>
      </c>
      <c r="O183" s="26" t="e" cm="1">
        <f t="array" aca="1" ref="O183" ca="1">MMS_PastureBeef_Methane_Equations.VEERG_4_2_1_1__2_MethaneProductionFromManure(N133,$I$155,$E$166,$E$172,$I$158)</f>
        <v>#N/A</v>
      </c>
      <c r="P183" s="27" t="str">
        <f t="shared" si="6"/>
        <v>kg CH4/head/day</v>
      </c>
      <c r="Q183" s="27"/>
      <c r="R183" s="27"/>
      <c r="S183" s="27"/>
      <c r="W183" s="26" t="str">
        <f>'Input - Pasture Beef'!$D$180</f>
        <v>Pasture range and paddock</v>
      </c>
      <c r="X183" s="26" t="e">
        <f t="shared" si="7"/>
        <v>#VALUE!</v>
      </c>
      <c r="Y183" s="26" t="e" cm="1">
        <f t="array" aca="1" ref="Y183" ca="1">MMS_PastureBeef_Methane_Equations.VEERG_4_2_1_1__2_MethaneProductionFromManure(X137,$I$155,$E$165,$X$171,$I$158)</f>
        <v>#N/A</v>
      </c>
      <c r="Z183" s="26" t="e" cm="1">
        <f t="array" aca="1" ref="Z183" ca="1">MMS_PastureBeef_Methane_Equations.VEERG_4_2_1_1__2_MethaneProductionFromManure(Y137,$I$155,$E$165,$X$171,$I$158)</f>
        <v>#N/A</v>
      </c>
      <c r="AA183" s="26" t="e" cm="1">
        <f t="array" aca="1" ref="AA183" ca="1">MMS_PastureBeef_Methane_Equations.VEERG_4_2_1_1__2_MethaneProductionFromManure(Z137,$I$155,$E$165,$X$171,$I$158)</f>
        <v>#N/A</v>
      </c>
      <c r="AB183" s="26" t="e" cm="1">
        <f t="array" aca="1" ref="AB183" ca="1">MMS_PastureBeef_Methane_Equations.VEERG_4_2_1_1__2_MethaneProductionFromManure(AA137,$I$155,$E$165,$X$171,$I$158)</f>
        <v>#N/A</v>
      </c>
      <c r="AC183" s="26" t="e" cm="1">
        <f t="array" aca="1" ref="AC183" ca="1">MMS_PastureBeef_Methane_Equations.VEERG_4_2_1_1__2_MethaneProductionFromManure(AB137,$I$155,$E$165,$X$171,$I$158)</f>
        <v>#N/A</v>
      </c>
      <c r="AD183" s="26" t="e" cm="1">
        <f t="array" aca="1" ref="AD183" ca="1">MMS_PastureBeef_Methane_Equations.VEERG_4_2_1_1__2_MethaneProductionFromManure(AC137,$I$155,$E$165,$X$171,$I$158)</f>
        <v>#N/A</v>
      </c>
      <c r="AE183" s="26" t="e" cm="1">
        <f t="array" aca="1" ref="AE183" ca="1">MMS_PastureBeef_Methane_Equations.VEERG_4_2_1_1__2_MethaneProductionFromManure(AD137,$I$155,$E$165,$X$171,$I$158)</f>
        <v>#N/A</v>
      </c>
      <c r="AF183" s="26" t="e" cm="1">
        <f t="array" aca="1" ref="AF183" ca="1">MMS_PastureBeef_Methane_Equations.VEERG_4_2_1_1__2_MethaneProductionFromManure(AE137,$I$155,$E$165,$X$171,$I$158)</f>
        <v>#N/A</v>
      </c>
      <c r="AG183" s="26" t="e" cm="1">
        <f t="array" aca="1" ref="AG183" ca="1">MMS_PastureBeef_Methane_Equations.VEERG_4_2_1_1__2_MethaneProductionFromManure(AF137,$I$155,$E$165,$X$171,$I$158)</f>
        <v>#N/A</v>
      </c>
      <c r="AH183" s="26" t="e" cm="1">
        <f t="array" aca="1" ref="AH183" ca="1">MMS_PastureBeef_Methane_Equations.VEERG_4_2_1_1__2_MethaneProductionFromManure(AG137,$I$155,$E$165,$X$171,$I$158)</f>
        <v>#N/A</v>
      </c>
      <c r="AI183" s="27" t="str">
        <f t="shared" si="8"/>
        <v>kg CH4/head/day</v>
      </c>
      <c r="AJ183" s="27"/>
    </row>
    <row r="184" spans="4:36" ht="20.100000000000001" customHeight="1" x14ac:dyDescent="0.25">
      <c r="D184" s="26" t="str">
        <f>'Input - Pasture Beef'!$D$181</f>
        <v>Anaerobic lagoon</v>
      </c>
      <c r="E184" s="26" t="s">
        <v>202</v>
      </c>
      <c r="F184" s="26" t="e" cm="1">
        <f t="array" aca="1" ref="F184" ca="1">MMS_PastureBeef_Methane_Equations.VEERG_4_2_1_1__2_MethaneProductionFromManure(E134,$I$155,$E$166,$E$172,$I$158)</f>
        <v>#N/A</v>
      </c>
      <c r="G184" s="26" t="e" cm="1">
        <f t="array" aca="1" ref="G184" ca="1">MMS_PastureBeef_Methane_Equations.VEERG_4_2_1_1__2_MethaneProductionFromManure(F134,$I$155,$E$166,$E$172,$I$158)</f>
        <v>#N/A</v>
      </c>
      <c r="H184" s="26" t="e" cm="1">
        <f t="array" aca="1" ref="H184" ca="1">MMS_PastureBeef_Methane_Equations.VEERG_4_2_1_1__2_MethaneProductionFromManure(G134,$I$155,$E$166,$E$172,$I$158)</f>
        <v>#N/A</v>
      </c>
      <c r="I184" s="26" t="e" cm="1">
        <f t="array" aca="1" ref="I184" ca="1">MMS_PastureBeef_Methane_Equations.VEERG_4_2_1_1__2_MethaneProductionFromManure(H134,$I$155,$E$166,$E$172,$I$158)</f>
        <v>#N/A</v>
      </c>
      <c r="J184" s="26" t="e" cm="1">
        <f t="array" aca="1" ref="J184" ca="1">MMS_PastureBeef_Methane_Equations.VEERG_4_2_1_1__2_MethaneProductionFromManure(I134,$I$155,$E$166,$E$172,$I$158)</f>
        <v>#N/A</v>
      </c>
      <c r="K184" s="26" t="e" cm="1">
        <f t="array" aca="1" ref="K184" ca="1">MMS_PastureBeef_Methane_Equations.VEERG_4_2_1_1__2_MethaneProductionFromManure(J134,$I$155,$E$166,$E$172,$I$158)</f>
        <v>#N/A</v>
      </c>
      <c r="L184" s="26" t="e" cm="1">
        <f t="array" aca="1" ref="L184" ca="1">MMS_PastureBeef_Methane_Equations.VEERG_4_2_1_1__2_MethaneProductionFromManure(K134,$I$155,$E$166,$E$172,$I$158)</f>
        <v>#N/A</v>
      </c>
      <c r="M184" s="26" t="e" cm="1">
        <f t="array" aca="1" ref="M184" ca="1">MMS_PastureBeef_Methane_Equations.VEERG_4_2_1_1__2_MethaneProductionFromManure(L134,$I$155,$E$166,$E$172,$I$158)</f>
        <v>#N/A</v>
      </c>
      <c r="N184" s="26" t="e" cm="1">
        <f t="array" aca="1" ref="N184" ca="1">MMS_PastureBeef_Methane_Equations.VEERG_4_2_1_1__2_MethaneProductionFromManure(M134,$I$155,$E$166,$E$172,$I$158)</f>
        <v>#N/A</v>
      </c>
      <c r="O184" s="26" t="e" cm="1">
        <f t="array" aca="1" ref="O184" ca="1">MMS_PastureBeef_Methane_Equations.VEERG_4_2_1_1__2_MethaneProductionFromManure(N134,$I$155,$E$166,$E$172,$I$158)</f>
        <v>#N/A</v>
      </c>
      <c r="P184" s="27" t="str">
        <f t="shared" si="6"/>
        <v>kg CH4/head/day</v>
      </c>
      <c r="Q184" s="27"/>
      <c r="R184" s="27"/>
      <c r="S184" s="27"/>
      <c r="W184" s="26" t="str">
        <f>'Input - Pasture Beef'!$D$180</f>
        <v>Pasture range and paddock</v>
      </c>
      <c r="X184" s="26" t="e">
        <f t="shared" si="7"/>
        <v>#VALUE!</v>
      </c>
      <c r="Y184" s="26" t="e" cm="1">
        <f t="array" aca="1" ref="Y184" ca="1">MMS_PastureBeef_Methane_Equations.VEERG_4_2_1_1__2_MethaneProductionFromManure(X138,$I$155,$E$165,$X$171,$I$158)</f>
        <v>#N/A</v>
      </c>
      <c r="Z184" s="26" t="e" cm="1">
        <f t="array" aca="1" ref="Z184" ca="1">MMS_PastureBeef_Methane_Equations.VEERG_4_2_1_1__2_MethaneProductionFromManure(Y138,$I$155,$E$165,$X$171,$I$158)</f>
        <v>#N/A</v>
      </c>
      <c r="AA184" s="26" t="e" cm="1">
        <f t="array" aca="1" ref="AA184" ca="1">MMS_PastureBeef_Methane_Equations.VEERG_4_2_1_1__2_MethaneProductionFromManure(Z138,$I$155,$E$165,$X$171,$I$158)</f>
        <v>#N/A</v>
      </c>
      <c r="AB184" s="26" t="e" cm="1">
        <f t="array" aca="1" ref="AB184" ca="1">MMS_PastureBeef_Methane_Equations.VEERG_4_2_1_1__2_MethaneProductionFromManure(AA138,$I$155,$E$165,$X$171,$I$158)</f>
        <v>#N/A</v>
      </c>
      <c r="AC184" s="26" t="e" cm="1">
        <f t="array" aca="1" ref="AC184" ca="1">MMS_PastureBeef_Methane_Equations.VEERG_4_2_1_1__2_MethaneProductionFromManure(AB138,$I$155,$E$165,$X$171,$I$158)</f>
        <v>#N/A</v>
      </c>
      <c r="AD184" s="26" t="e" cm="1">
        <f t="array" aca="1" ref="AD184" ca="1">MMS_PastureBeef_Methane_Equations.VEERG_4_2_1_1__2_MethaneProductionFromManure(AC138,$I$155,$E$165,$X$171,$I$158)</f>
        <v>#N/A</v>
      </c>
      <c r="AE184" s="26" t="e" cm="1">
        <f t="array" aca="1" ref="AE184" ca="1">MMS_PastureBeef_Methane_Equations.VEERG_4_2_1_1__2_MethaneProductionFromManure(AD138,$I$155,$E$165,$X$171,$I$158)</f>
        <v>#N/A</v>
      </c>
      <c r="AF184" s="26" t="e" cm="1">
        <f t="array" aca="1" ref="AF184" ca="1">MMS_PastureBeef_Methane_Equations.VEERG_4_2_1_1__2_MethaneProductionFromManure(AE138,$I$155,$E$165,$X$171,$I$158)</f>
        <v>#N/A</v>
      </c>
      <c r="AG184" s="26" t="e" cm="1">
        <f t="array" aca="1" ref="AG184" ca="1">MMS_PastureBeef_Methane_Equations.VEERG_4_2_1_1__2_MethaneProductionFromManure(AF138,$I$155,$E$165,$X$171,$I$158)</f>
        <v>#N/A</v>
      </c>
      <c r="AH184" s="26" t="e" cm="1">
        <f t="array" aca="1" ref="AH184" ca="1">MMS_PastureBeef_Methane_Equations.VEERG_4_2_1_1__2_MethaneProductionFromManure(AG138,$I$155,$E$165,$X$171,$I$158)</f>
        <v>#N/A</v>
      </c>
      <c r="AI184" s="27" t="str">
        <f t="shared" si="8"/>
        <v>kg CH4/head/day</v>
      </c>
      <c r="AJ184" s="27"/>
    </row>
    <row r="185" spans="4:36" ht="20.100000000000001" customHeight="1" x14ac:dyDescent="0.25">
      <c r="W185" s="26" t="str">
        <f>'Input - Pasture Beef'!$D$180</f>
        <v>Pasture range and paddock</v>
      </c>
      <c r="X185" s="26" t="e">
        <f t="shared" si="7"/>
        <v>#VALUE!</v>
      </c>
      <c r="Y185" s="26" t="e" cm="1">
        <f t="array" aca="1" ref="Y185" ca="1">MMS_PastureBeef_Methane_Equations.VEERG_4_2_1_1__2_MethaneProductionFromManure(X139,$I$155,$E$165,$X$171,$I$158)</f>
        <v>#N/A</v>
      </c>
      <c r="Z185" s="26" t="e" cm="1">
        <f t="array" aca="1" ref="Z185" ca="1">MMS_PastureBeef_Methane_Equations.VEERG_4_2_1_1__2_MethaneProductionFromManure(Y139,$I$155,$E$165,$X$171,$I$158)</f>
        <v>#N/A</v>
      </c>
      <c r="AA185" s="26" t="e" cm="1">
        <f t="array" aca="1" ref="AA185" ca="1">MMS_PastureBeef_Methane_Equations.VEERG_4_2_1_1__2_MethaneProductionFromManure(Z139,$I$155,$E$165,$X$171,$I$158)</f>
        <v>#N/A</v>
      </c>
      <c r="AB185" s="26" t="e" cm="1">
        <f t="array" aca="1" ref="AB185" ca="1">MMS_PastureBeef_Methane_Equations.VEERG_4_2_1_1__2_MethaneProductionFromManure(AA139,$I$155,$E$165,$X$171,$I$158)</f>
        <v>#N/A</v>
      </c>
      <c r="AC185" s="26" t="e" cm="1">
        <f t="array" aca="1" ref="AC185" ca="1">MMS_PastureBeef_Methane_Equations.VEERG_4_2_1_1__2_MethaneProductionFromManure(AB139,$I$155,$E$165,$X$171,$I$158)</f>
        <v>#N/A</v>
      </c>
      <c r="AD185" s="26" t="e" cm="1">
        <f t="array" aca="1" ref="AD185" ca="1">MMS_PastureBeef_Methane_Equations.VEERG_4_2_1_1__2_MethaneProductionFromManure(AC139,$I$155,$E$165,$X$171,$I$158)</f>
        <v>#N/A</v>
      </c>
      <c r="AE185" s="26" t="e" cm="1">
        <f t="array" aca="1" ref="AE185" ca="1">MMS_PastureBeef_Methane_Equations.VEERG_4_2_1_1__2_MethaneProductionFromManure(AD139,$I$155,$E$165,$X$171,$I$158)</f>
        <v>#N/A</v>
      </c>
      <c r="AF185" s="26" t="e" cm="1">
        <f t="array" aca="1" ref="AF185" ca="1">MMS_PastureBeef_Methane_Equations.VEERG_4_2_1_1__2_MethaneProductionFromManure(AE139,$I$155,$E$165,$X$171,$I$158)</f>
        <v>#N/A</v>
      </c>
      <c r="AG185" s="26" t="e" cm="1">
        <f t="array" aca="1" ref="AG185" ca="1">MMS_PastureBeef_Methane_Equations.VEERG_4_2_1_1__2_MethaneProductionFromManure(AF139,$I$155,$E$165,$X$171,$I$158)</f>
        <v>#N/A</v>
      </c>
      <c r="AH185" s="26" t="e" cm="1">
        <f t="array" aca="1" ref="AH185" ca="1">MMS_PastureBeef_Methane_Equations.VEERG_4_2_1_1__2_MethaneProductionFromManure(AG139,$I$155,$E$165,$X$171,$I$158)</f>
        <v>#N/A</v>
      </c>
      <c r="AI185" s="27" t="str">
        <f t="shared" si="8"/>
        <v>kg CH4/head/day</v>
      </c>
      <c r="AJ185" s="27"/>
    </row>
    <row r="186" spans="4:36" ht="20.100000000000001" customHeight="1" x14ac:dyDescent="0.25">
      <c r="W186" s="26" t="str">
        <f>'Input - Pasture Beef'!$D$180</f>
        <v>Pasture range and paddock</v>
      </c>
      <c r="X186" s="26" t="e">
        <f t="shared" si="7"/>
        <v>#VALUE!</v>
      </c>
      <c r="Y186" s="26" t="e" cm="1">
        <f t="array" aca="1" ref="Y186" ca="1">MMS_PastureBeef_Methane_Equations.VEERG_4_2_1_1__2_MethaneProductionFromManure(X140,$I$155,$E$165,$X$171,$I$158)</f>
        <v>#N/A</v>
      </c>
      <c r="Z186" s="26" t="e" cm="1">
        <f t="array" aca="1" ref="Z186" ca="1">MMS_PastureBeef_Methane_Equations.VEERG_4_2_1_1__2_MethaneProductionFromManure(Y140,$I$155,$E$165,$X$171,$I$158)</f>
        <v>#N/A</v>
      </c>
      <c r="AA186" s="26" t="e" cm="1">
        <f t="array" aca="1" ref="AA186" ca="1">MMS_PastureBeef_Methane_Equations.VEERG_4_2_1_1__2_MethaneProductionFromManure(Z140,$I$155,$E$165,$X$171,$I$158)</f>
        <v>#N/A</v>
      </c>
      <c r="AB186" s="26" t="e" cm="1">
        <f t="array" aca="1" ref="AB186" ca="1">MMS_PastureBeef_Methane_Equations.VEERG_4_2_1_1__2_MethaneProductionFromManure(AA140,$I$155,$E$165,$X$171,$I$158)</f>
        <v>#N/A</v>
      </c>
      <c r="AC186" s="26" t="e" cm="1">
        <f t="array" aca="1" ref="AC186" ca="1">MMS_PastureBeef_Methane_Equations.VEERG_4_2_1_1__2_MethaneProductionFromManure(AB140,$I$155,$E$165,$X$171,$I$158)</f>
        <v>#N/A</v>
      </c>
      <c r="AD186" s="26" t="e" cm="1">
        <f t="array" aca="1" ref="AD186" ca="1">MMS_PastureBeef_Methane_Equations.VEERG_4_2_1_1__2_MethaneProductionFromManure(AC140,$I$155,$E$165,$X$171,$I$158)</f>
        <v>#N/A</v>
      </c>
      <c r="AE186" s="26" t="e" cm="1">
        <f t="array" aca="1" ref="AE186" ca="1">MMS_PastureBeef_Methane_Equations.VEERG_4_2_1_1__2_MethaneProductionFromManure(AD140,$I$155,$E$165,$X$171,$I$158)</f>
        <v>#N/A</v>
      </c>
      <c r="AF186" s="26" t="e" cm="1">
        <f t="array" aca="1" ref="AF186" ca="1">MMS_PastureBeef_Methane_Equations.VEERG_4_2_1_1__2_MethaneProductionFromManure(AE140,$I$155,$E$165,$X$171,$I$158)</f>
        <v>#N/A</v>
      </c>
      <c r="AG186" s="26" t="e" cm="1">
        <f t="array" aca="1" ref="AG186" ca="1">MMS_PastureBeef_Methane_Equations.VEERG_4_2_1_1__2_MethaneProductionFromManure(AF140,$I$155,$E$165,$X$171,$I$158)</f>
        <v>#N/A</v>
      </c>
      <c r="AH186" s="26" t="e" cm="1">
        <f t="array" aca="1" ref="AH186" ca="1">MMS_PastureBeef_Methane_Equations.VEERG_4_2_1_1__2_MethaneProductionFromManure(AG140,$I$155,$E$165,$X$171,$I$158)</f>
        <v>#N/A</v>
      </c>
      <c r="AI186" s="27" t="str">
        <f t="shared" si="8"/>
        <v>kg CH4/head/day</v>
      </c>
      <c r="AJ186" s="27"/>
    </row>
    <row r="187" spans="4:36" ht="20.100000000000001" customHeight="1" x14ac:dyDescent="0.25">
      <c r="W187" s="26" t="str">
        <f>'Input - Pasture Beef'!$D$180</f>
        <v>Pasture range and paddock</v>
      </c>
      <c r="X187" s="26" t="e">
        <f t="shared" si="7"/>
        <v>#VALUE!</v>
      </c>
      <c r="Y187" s="26" t="e" cm="1">
        <f t="array" aca="1" ref="Y187" ca="1">MMS_PastureBeef_Methane_Equations.VEERG_4_2_1_1__2_MethaneProductionFromManure(X141,$I$155,$E$165,$X$171,$I$158)</f>
        <v>#N/A</v>
      </c>
      <c r="Z187" s="26" t="e" cm="1">
        <f t="array" aca="1" ref="Z187" ca="1">MMS_PastureBeef_Methane_Equations.VEERG_4_2_1_1__2_MethaneProductionFromManure(Y141,$I$155,$E$165,$X$171,$I$158)</f>
        <v>#N/A</v>
      </c>
      <c r="AA187" s="26" t="e" cm="1">
        <f t="array" aca="1" ref="AA187" ca="1">MMS_PastureBeef_Methane_Equations.VEERG_4_2_1_1__2_MethaneProductionFromManure(Z141,$I$155,$E$165,$X$171,$I$158)</f>
        <v>#N/A</v>
      </c>
      <c r="AB187" s="26" t="e" cm="1">
        <f t="array" aca="1" ref="AB187" ca="1">MMS_PastureBeef_Methane_Equations.VEERG_4_2_1_1__2_MethaneProductionFromManure(AA141,$I$155,$E$165,$X$171,$I$158)</f>
        <v>#N/A</v>
      </c>
      <c r="AC187" s="26" t="e" cm="1">
        <f t="array" aca="1" ref="AC187" ca="1">MMS_PastureBeef_Methane_Equations.VEERG_4_2_1_1__2_MethaneProductionFromManure(AB141,$I$155,$E$165,$X$171,$I$158)</f>
        <v>#N/A</v>
      </c>
      <c r="AD187" s="26" t="e" cm="1">
        <f t="array" aca="1" ref="AD187" ca="1">MMS_PastureBeef_Methane_Equations.VEERG_4_2_1_1__2_MethaneProductionFromManure(AC141,$I$155,$E$165,$X$171,$I$158)</f>
        <v>#N/A</v>
      </c>
      <c r="AE187" s="26" t="e" cm="1">
        <f t="array" aca="1" ref="AE187" ca="1">MMS_PastureBeef_Methane_Equations.VEERG_4_2_1_1__2_MethaneProductionFromManure(AD141,$I$155,$E$165,$X$171,$I$158)</f>
        <v>#N/A</v>
      </c>
      <c r="AF187" s="26" t="e" cm="1">
        <f t="array" aca="1" ref="AF187" ca="1">MMS_PastureBeef_Methane_Equations.VEERG_4_2_1_1__2_MethaneProductionFromManure(AE141,$I$155,$E$165,$X$171,$I$158)</f>
        <v>#N/A</v>
      </c>
      <c r="AG187" s="26" t="e" cm="1">
        <f t="array" aca="1" ref="AG187" ca="1">MMS_PastureBeef_Methane_Equations.VEERG_4_2_1_1__2_MethaneProductionFromManure(AF141,$I$155,$E$165,$X$171,$I$158)</f>
        <v>#N/A</v>
      </c>
      <c r="AH187" s="26" t="e" cm="1">
        <f t="array" aca="1" ref="AH187" ca="1">MMS_PastureBeef_Methane_Equations.VEERG_4_2_1_1__2_MethaneProductionFromManure(AG141,$I$155,$E$165,$X$171,$I$158)</f>
        <v>#N/A</v>
      </c>
      <c r="AI187" s="27" t="str">
        <f t="shared" si="8"/>
        <v>kg CH4/head/day</v>
      </c>
      <c r="AJ187" s="27"/>
    </row>
    <row r="188" spans="4:36" ht="20.100000000000001" customHeight="1" x14ac:dyDescent="0.25">
      <c r="W188" s="26" t="str">
        <f>'Input - Pasture Beef'!$D$180</f>
        <v>Pasture range and paddock</v>
      </c>
      <c r="X188" s="26" t="e">
        <f t="shared" si="7"/>
        <v>#VALUE!</v>
      </c>
      <c r="Y188" s="26" t="e" cm="1">
        <f t="array" aca="1" ref="Y188" ca="1">MMS_PastureBeef_Methane_Equations.VEERG_4_2_1_1__2_MethaneProductionFromManure(X142,$I$155,$E$165,$X$171,$I$158)</f>
        <v>#N/A</v>
      </c>
      <c r="Z188" s="26" t="e" cm="1">
        <f t="array" aca="1" ref="Z188" ca="1">MMS_PastureBeef_Methane_Equations.VEERG_4_2_1_1__2_MethaneProductionFromManure(Y142,$I$155,$E$165,$X$171,$I$158)</f>
        <v>#N/A</v>
      </c>
      <c r="AA188" s="26" t="e" cm="1">
        <f t="array" aca="1" ref="AA188" ca="1">MMS_PastureBeef_Methane_Equations.VEERG_4_2_1_1__2_MethaneProductionFromManure(Z142,$I$155,$E$165,$X$171,$I$158)</f>
        <v>#N/A</v>
      </c>
      <c r="AB188" s="26" t="e" cm="1">
        <f t="array" aca="1" ref="AB188" ca="1">MMS_PastureBeef_Methane_Equations.VEERG_4_2_1_1__2_MethaneProductionFromManure(AA142,$I$155,$E$165,$X$171,$I$158)</f>
        <v>#N/A</v>
      </c>
      <c r="AC188" s="26" t="e" cm="1">
        <f t="array" aca="1" ref="AC188" ca="1">MMS_PastureBeef_Methane_Equations.VEERG_4_2_1_1__2_MethaneProductionFromManure(AB142,$I$155,$E$165,$X$171,$I$158)</f>
        <v>#N/A</v>
      </c>
      <c r="AD188" s="26" t="e" cm="1">
        <f t="array" aca="1" ref="AD188" ca="1">MMS_PastureBeef_Methane_Equations.VEERG_4_2_1_1__2_MethaneProductionFromManure(AC142,$I$155,$E$165,$X$171,$I$158)</f>
        <v>#N/A</v>
      </c>
      <c r="AE188" s="26" t="e" cm="1">
        <f t="array" aca="1" ref="AE188" ca="1">MMS_PastureBeef_Methane_Equations.VEERG_4_2_1_1__2_MethaneProductionFromManure(AD142,$I$155,$E$165,$X$171,$I$158)</f>
        <v>#N/A</v>
      </c>
      <c r="AF188" s="26" t="e" cm="1">
        <f t="array" aca="1" ref="AF188" ca="1">MMS_PastureBeef_Methane_Equations.VEERG_4_2_1_1__2_MethaneProductionFromManure(AE142,$I$155,$E$165,$X$171,$I$158)</f>
        <v>#N/A</v>
      </c>
      <c r="AG188" s="26" t="e" cm="1">
        <f t="array" aca="1" ref="AG188" ca="1">MMS_PastureBeef_Methane_Equations.VEERG_4_2_1_1__2_MethaneProductionFromManure(AF142,$I$155,$E$165,$X$171,$I$158)</f>
        <v>#N/A</v>
      </c>
      <c r="AH188" s="26" t="e" cm="1">
        <f t="array" aca="1" ref="AH188" ca="1">MMS_PastureBeef_Methane_Equations.VEERG_4_2_1_1__2_MethaneProductionFromManure(AG142,$I$155,$E$165,$X$171,$I$158)</f>
        <v>#N/A</v>
      </c>
      <c r="AI188" s="27" t="str">
        <f t="shared" si="8"/>
        <v>kg CH4/head/day</v>
      </c>
      <c r="AJ188" s="27"/>
    </row>
    <row r="189" spans="4:36" ht="20.100000000000001" customHeight="1" x14ac:dyDescent="0.25">
      <c r="W189" s="26" t="str">
        <f>'Input - Pasture Beef'!$D$181</f>
        <v>Anaerobic lagoon</v>
      </c>
      <c r="X189" s="26" t="str">
        <f>W131</f>
        <v>NO - Not in leaching zone</v>
      </c>
      <c r="Y189" s="26" t="e" cm="1">
        <f t="array" aca="1" ref="Y189" ca="1">MMS_PastureBeef_Methane_Equations.VEERG_4_2_1_1__2_MethaneProductionFromManure(X131,$I$155,$E$166,$X$172,$I$158)</f>
        <v>#N/A</v>
      </c>
      <c r="Z189" s="26" t="e" cm="1">
        <f t="array" aca="1" ref="Z189" ca="1">MMS_PastureBeef_Methane_Equations.VEERG_4_2_1_1__2_MethaneProductionFromManure(Y131,$I$155,$E$166,$X$172,$I$158)</f>
        <v>#N/A</v>
      </c>
      <c r="AA189" s="26" t="e" cm="1">
        <f t="array" aca="1" ref="AA189" ca="1">MMS_PastureBeef_Methane_Equations.VEERG_4_2_1_1__2_MethaneProductionFromManure(Z131,$I$155,$E$166,$X$172,$I$158)</f>
        <v>#N/A</v>
      </c>
      <c r="AB189" s="26" t="e" cm="1">
        <f t="array" aca="1" ref="AB189" ca="1">MMS_PastureBeef_Methane_Equations.VEERG_4_2_1_1__2_MethaneProductionFromManure(AA131,$I$155,$E$166,$X$172,$I$158)</f>
        <v>#N/A</v>
      </c>
      <c r="AC189" s="26" t="e" cm="1">
        <f t="array" aca="1" ref="AC189" ca="1">MMS_PastureBeef_Methane_Equations.VEERG_4_2_1_1__2_MethaneProductionFromManure(AB131,$I$155,$E$166,$X$172,$I$158)</f>
        <v>#N/A</v>
      </c>
      <c r="AD189" s="26" t="e" cm="1">
        <f t="array" aca="1" ref="AD189" ca="1">MMS_PastureBeef_Methane_Equations.VEERG_4_2_1_1__2_MethaneProductionFromManure(AC131,$I$155,$E$166,$X$172,$I$158)</f>
        <v>#N/A</v>
      </c>
      <c r="AE189" s="26" t="e" cm="1">
        <f t="array" aca="1" ref="AE189" ca="1">MMS_PastureBeef_Methane_Equations.VEERG_4_2_1_1__2_MethaneProductionFromManure(AD131,$I$155,$E$166,$X$172,$I$158)</f>
        <v>#N/A</v>
      </c>
      <c r="AF189" s="26" t="e" cm="1">
        <f t="array" aca="1" ref="AF189" ca="1">MMS_PastureBeef_Methane_Equations.VEERG_4_2_1_1__2_MethaneProductionFromManure(AE131,$I$155,$E$166,$X$172,$I$158)</f>
        <v>#N/A</v>
      </c>
      <c r="AG189" s="26" t="e" cm="1">
        <f t="array" aca="1" ref="AG189" ca="1">MMS_PastureBeef_Methane_Equations.VEERG_4_2_1_1__2_MethaneProductionFromManure(AF131,$I$155,$E$166,$X$172,$I$158)</f>
        <v>#N/A</v>
      </c>
      <c r="AH189" s="26" t="e" cm="1">
        <f t="array" aca="1" ref="AH189" ca="1">MMS_PastureBeef_Methane_Equations.VEERG_4_2_1_1__2_MethaneProductionFromManure(AG131,$I$155,$E$166,$X$172,$I$158)</f>
        <v>#N/A</v>
      </c>
      <c r="AI189" s="27" t="str">
        <f t="shared" si="8"/>
        <v>kg CH4/head/day</v>
      </c>
      <c r="AJ189" s="27"/>
    </row>
    <row r="190" spans="4:36" ht="20.100000000000001" customHeight="1" x14ac:dyDescent="0.25">
      <c r="W190" s="26" t="str">
        <f>'Input - Pasture Beef'!$D$181</f>
        <v>Anaerobic lagoon</v>
      </c>
      <c r="X190" s="26" t="e">
        <f t="shared" ref="X190:X200" si="9">W132</f>
        <v>#VALUE!</v>
      </c>
      <c r="Y190" s="26" t="e" cm="1">
        <f t="array" aca="1" ref="Y190" ca="1">MMS_PastureBeef_Methane_Equations.VEERG_4_2_1_1__2_MethaneProductionFromManure(X132,$I$155,$E$166,$X$172,$I$158)</f>
        <v>#N/A</v>
      </c>
      <c r="Z190" s="26" t="e" cm="1">
        <f t="array" aca="1" ref="Z190" ca="1">MMS_PastureBeef_Methane_Equations.VEERG_4_2_1_1__2_MethaneProductionFromManure(Y132,$I$155,$E$166,$X$172,$I$158)</f>
        <v>#N/A</v>
      </c>
      <c r="AA190" s="26" t="e" cm="1">
        <f t="array" aca="1" ref="AA190" ca="1">MMS_PastureBeef_Methane_Equations.VEERG_4_2_1_1__2_MethaneProductionFromManure(Z132,$I$155,$E$166,$X$172,$I$158)</f>
        <v>#N/A</v>
      </c>
      <c r="AB190" s="26" t="e" cm="1">
        <f t="array" aca="1" ref="AB190" ca="1">MMS_PastureBeef_Methane_Equations.VEERG_4_2_1_1__2_MethaneProductionFromManure(AA132,$I$155,$E$166,$X$172,$I$158)</f>
        <v>#N/A</v>
      </c>
      <c r="AC190" s="26" t="e" cm="1">
        <f t="array" aca="1" ref="AC190" ca="1">MMS_PastureBeef_Methane_Equations.VEERG_4_2_1_1__2_MethaneProductionFromManure(AB132,$I$155,$E$166,$X$172,$I$158)</f>
        <v>#N/A</v>
      </c>
      <c r="AD190" s="26" t="e" cm="1">
        <f t="array" aca="1" ref="AD190" ca="1">MMS_PastureBeef_Methane_Equations.VEERG_4_2_1_1__2_MethaneProductionFromManure(AC132,$I$155,$E$166,$X$172,$I$158)</f>
        <v>#N/A</v>
      </c>
      <c r="AE190" s="26" t="e" cm="1">
        <f t="array" aca="1" ref="AE190" ca="1">MMS_PastureBeef_Methane_Equations.VEERG_4_2_1_1__2_MethaneProductionFromManure(AD132,$I$155,$E$166,$X$172,$I$158)</f>
        <v>#N/A</v>
      </c>
      <c r="AF190" s="26" t="e" cm="1">
        <f t="array" aca="1" ref="AF190" ca="1">MMS_PastureBeef_Methane_Equations.VEERG_4_2_1_1__2_MethaneProductionFromManure(AE132,$I$155,$E$166,$X$172,$I$158)</f>
        <v>#N/A</v>
      </c>
      <c r="AG190" s="26" t="e" cm="1">
        <f t="array" aca="1" ref="AG190" ca="1">MMS_PastureBeef_Methane_Equations.VEERG_4_2_1_1__2_MethaneProductionFromManure(AF132,$I$155,$E$166,$X$172,$I$158)</f>
        <v>#N/A</v>
      </c>
      <c r="AH190" s="26" t="e" cm="1">
        <f t="array" aca="1" ref="AH190" ca="1">MMS_PastureBeef_Methane_Equations.VEERG_4_2_1_1__2_MethaneProductionFromManure(AG132,$I$155,$E$166,$X$172,$I$158)</f>
        <v>#N/A</v>
      </c>
      <c r="AI190" s="27" t="str">
        <f t="shared" si="8"/>
        <v>kg CH4/head/day</v>
      </c>
      <c r="AJ190" s="27"/>
    </row>
    <row r="191" spans="4:36" ht="20.100000000000001" customHeight="1" x14ac:dyDescent="0.25">
      <c r="W191" s="26" t="str">
        <f>'Input - Pasture Beef'!$D$181</f>
        <v>Anaerobic lagoon</v>
      </c>
      <c r="X191" s="26" t="e">
        <f t="shared" si="9"/>
        <v>#VALUE!</v>
      </c>
      <c r="Y191" s="26" t="e" cm="1">
        <f t="array" aca="1" ref="Y191" ca="1">MMS_PastureBeef_Methane_Equations.VEERG_4_2_1_1__2_MethaneProductionFromManure(X133,$I$155,$E$166,$X$172,$I$158)</f>
        <v>#N/A</v>
      </c>
      <c r="Z191" s="26" t="e" cm="1">
        <f t="array" aca="1" ref="Z191" ca="1">MMS_PastureBeef_Methane_Equations.VEERG_4_2_1_1__2_MethaneProductionFromManure(Y133,$I$155,$E$166,$X$172,$I$158)</f>
        <v>#N/A</v>
      </c>
      <c r="AA191" s="26" t="e" cm="1">
        <f t="array" aca="1" ref="AA191" ca="1">MMS_PastureBeef_Methane_Equations.VEERG_4_2_1_1__2_MethaneProductionFromManure(Z133,$I$155,$E$166,$X$172,$I$158)</f>
        <v>#N/A</v>
      </c>
      <c r="AB191" s="26" t="e" cm="1">
        <f t="array" aca="1" ref="AB191" ca="1">MMS_PastureBeef_Methane_Equations.VEERG_4_2_1_1__2_MethaneProductionFromManure(AA133,$I$155,$E$166,$X$172,$I$158)</f>
        <v>#N/A</v>
      </c>
      <c r="AC191" s="26" t="e" cm="1">
        <f t="array" aca="1" ref="AC191" ca="1">MMS_PastureBeef_Methane_Equations.VEERG_4_2_1_1__2_MethaneProductionFromManure(AB133,$I$155,$E$166,$X$172,$I$158)</f>
        <v>#N/A</v>
      </c>
      <c r="AD191" s="26" t="e" cm="1">
        <f t="array" aca="1" ref="AD191" ca="1">MMS_PastureBeef_Methane_Equations.VEERG_4_2_1_1__2_MethaneProductionFromManure(AC133,$I$155,$E$166,$X$172,$I$158)</f>
        <v>#N/A</v>
      </c>
      <c r="AE191" s="26" t="e" cm="1">
        <f t="array" aca="1" ref="AE191" ca="1">MMS_PastureBeef_Methane_Equations.VEERG_4_2_1_1__2_MethaneProductionFromManure(AD133,$I$155,$E$166,$X$172,$I$158)</f>
        <v>#N/A</v>
      </c>
      <c r="AF191" s="26" t="e" cm="1">
        <f t="array" aca="1" ref="AF191" ca="1">MMS_PastureBeef_Methane_Equations.VEERG_4_2_1_1__2_MethaneProductionFromManure(AE133,$I$155,$E$166,$X$172,$I$158)</f>
        <v>#N/A</v>
      </c>
      <c r="AG191" s="26" t="e" cm="1">
        <f t="array" aca="1" ref="AG191" ca="1">MMS_PastureBeef_Methane_Equations.VEERG_4_2_1_1__2_MethaneProductionFromManure(AF133,$I$155,$E$166,$X$172,$I$158)</f>
        <v>#N/A</v>
      </c>
      <c r="AH191" s="26" t="e" cm="1">
        <f t="array" aca="1" ref="AH191" ca="1">MMS_PastureBeef_Methane_Equations.VEERG_4_2_1_1__2_MethaneProductionFromManure(AG133,$I$155,$E$166,$X$172,$I$158)</f>
        <v>#N/A</v>
      </c>
      <c r="AI191" s="27" t="str">
        <f t="shared" si="8"/>
        <v>kg CH4/head/day</v>
      </c>
      <c r="AJ191" s="27"/>
    </row>
    <row r="192" spans="4:36" ht="20.100000000000001" customHeight="1" x14ac:dyDescent="0.25">
      <c r="W192" s="26" t="str">
        <f>'Input - Pasture Beef'!$D$181</f>
        <v>Anaerobic lagoon</v>
      </c>
      <c r="X192" s="26" t="e">
        <f t="shared" si="9"/>
        <v>#VALUE!</v>
      </c>
      <c r="Y192" s="26" t="e" cm="1">
        <f t="array" aca="1" ref="Y192" ca="1">MMS_PastureBeef_Methane_Equations.VEERG_4_2_1_1__2_MethaneProductionFromManure(X134,$I$155,$E$166,$X$172,$I$158)</f>
        <v>#N/A</v>
      </c>
      <c r="Z192" s="26" t="e" cm="1">
        <f t="array" aca="1" ref="Z192" ca="1">MMS_PastureBeef_Methane_Equations.VEERG_4_2_1_1__2_MethaneProductionFromManure(Y134,$I$155,$E$166,$X$172,$I$158)</f>
        <v>#N/A</v>
      </c>
      <c r="AA192" s="26" t="e" cm="1">
        <f t="array" aca="1" ref="AA192" ca="1">MMS_PastureBeef_Methane_Equations.VEERG_4_2_1_1__2_MethaneProductionFromManure(Z134,$I$155,$E$166,$X$172,$I$158)</f>
        <v>#N/A</v>
      </c>
      <c r="AB192" s="26" t="e" cm="1">
        <f t="array" aca="1" ref="AB192" ca="1">MMS_PastureBeef_Methane_Equations.VEERG_4_2_1_1__2_MethaneProductionFromManure(AA134,$I$155,$E$166,$X$172,$I$158)</f>
        <v>#N/A</v>
      </c>
      <c r="AC192" s="26" t="e" cm="1">
        <f t="array" aca="1" ref="AC192" ca="1">MMS_PastureBeef_Methane_Equations.VEERG_4_2_1_1__2_MethaneProductionFromManure(AB134,$I$155,$E$166,$X$172,$I$158)</f>
        <v>#N/A</v>
      </c>
      <c r="AD192" s="26" t="e" cm="1">
        <f t="array" aca="1" ref="AD192" ca="1">MMS_PastureBeef_Methane_Equations.VEERG_4_2_1_1__2_MethaneProductionFromManure(AC134,$I$155,$E$166,$X$172,$I$158)</f>
        <v>#N/A</v>
      </c>
      <c r="AE192" s="26" t="e" cm="1">
        <f t="array" aca="1" ref="AE192" ca="1">MMS_PastureBeef_Methane_Equations.VEERG_4_2_1_1__2_MethaneProductionFromManure(AD134,$I$155,$E$166,$X$172,$I$158)</f>
        <v>#N/A</v>
      </c>
      <c r="AF192" s="26" t="e" cm="1">
        <f t="array" aca="1" ref="AF192" ca="1">MMS_PastureBeef_Methane_Equations.VEERG_4_2_1_1__2_MethaneProductionFromManure(AE134,$I$155,$E$166,$X$172,$I$158)</f>
        <v>#N/A</v>
      </c>
      <c r="AG192" s="26" t="e" cm="1">
        <f t="array" aca="1" ref="AG192" ca="1">MMS_PastureBeef_Methane_Equations.VEERG_4_2_1_1__2_MethaneProductionFromManure(AF134,$I$155,$E$166,$X$172,$I$158)</f>
        <v>#N/A</v>
      </c>
      <c r="AH192" s="26" t="e" cm="1">
        <f t="array" aca="1" ref="AH192" ca="1">MMS_PastureBeef_Methane_Equations.VEERG_4_2_1_1__2_MethaneProductionFromManure(AG134,$I$155,$E$166,$X$172,$I$158)</f>
        <v>#N/A</v>
      </c>
      <c r="AI192" s="27" t="str">
        <f t="shared" si="8"/>
        <v>kg CH4/head/day</v>
      </c>
      <c r="AJ192" s="27"/>
    </row>
    <row r="193" spans="3:37" ht="20.100000000000001" customHeight="1" x14ac:dyDescent="0.25">
      <c r="W193" s="26" t="str">
        <f>'Input - Pasture Beef'!$D$181</f>
        <v>Anaerobic lagoon</v>
      </c>
      <c r="X193" s="26" t="e">
        <f t="shared" si="9"/>
        <v>#VALUE!</v>
      </c>
      <c r="Y193" s="26" t="e" cm="1">
        <f t="array" aca="1" ref="Y193" ca="1">MMS_PastureBeef_Methane_Equations.VEERG_4_2_1_1__2_MethaneProductionFromManure(X135,$I$155,$E$166,$X$172,$I$158)</f>
        <v>#N/A</v>
      </c>
      <c r="Z193" s="26" t="e" cm="1">
        <f t="array" aca="1" ref="Z193" ca="1">MMS_PastureBeef_Methane_Equations.VEERG_4_2_1_1__2_MethaneProductionFromManure(Y135,$I$155,$E$166,$X$172,$I$158)</f>
        <v>#N/A</v>
      </c>
      <c r="AA193" s="26" t="e" cm="1">
        <f t="array" aca="1" ref="AA193" ca="1">MMS_PastureBeef_Methane_Equations.VEERG_4_2_1_1__2_MethaneProductionFromManure(Z135,$I$155,$E$166,$X$172,$I$158)</f>
        <v>#N/A</v>
      </c>
      <c r="AB193" s="26" t="e" cm="1">
        <f t="array" aca="1" ref="AB193" ca="1">MMS_PastureBeef_Methane_Equations.VEERG_4_2_1_1__2_MethaneProductionFromManure(AA135,$I$155,$E$166,$X$172,$I$158)</f>
        <v>#N/A</v>
      </c>
      <c r="AC193" s="26" t="e" cm="1">
        <f t="array" aca="1" ref="AC193" ca="1">MMS_PastureBeef_Methane_Equations.VEERG_4_2_1_1__2_MethaneProductionFromManure(AB135,$I$155,$E$166,$X$172,$I$158)</f>
        <v>#N/A</v>
      </c>
      <c r="AD193" s="26" t="e" cm="1">
        <f t="array" aca="1" ref="AD193" ca="1">MMS_PastureBeef_Methane_Equations.VEERG_4_2_1_1__2_MethaneProductionFromManure(AC135,$I$155,$E$166,$X$172,$I$158)</f>
        <v>#N/A</v>
      </c>
      <c r="AE193" s="26" t="e" cm="1">
        <f t="array" aca="1" ref="AE193" ca="1">MMS_PastureBeef_Methane_Equations.VEERG_4_2_1_1__2_MethaneProductionFromManure(AD135,$I$155,$E$166,$X$172,$I$158)</f>
        <v>#N/A</v>
      </c>
      <c r="AF193" s="26" t="e" cm="1">
        <f t="array" aca="1" ref="AF193" ca="1">MMS_PastureBeef_Methane_Equations.VEERG_4_2_1_1__2_MethaneProductionFromManure(AE135,$I$155,$E$166,$X$172,$I$158)</f>
        <v>#N/A</v>
      </c>
      <c r="AG193" s="26" t="e" cm="1">
        <f t="array" aca="1" ref="AG193" ca="1">MMS_PastureBeef_Methane_Equations.VEERG_4_2_1_1__2_MethaneProductionFromManure(AF135,$I$155,$E$166,$X$172,$I$158)</f>
        <v>#N/A</v>
      </c>
      <c r="AH193" s="26" t="e" cm="1">
        <f t="array" aca="1" ref="AH193" ca="1">MMS_PastureBeef_Methane_Equations.VEERG_4_2_1_1__2_MethaneProductionFromManure(AG135,$I$155,$E$166,$X$172,$I$158)</f>
        <v>#N/A</v>
      </c>
      <c r="AI193" s="27" t="str">
        <f t="shared" si="8"/>
        <v>kg CH4/head/day</v>
      </c>
      <c r="AJ193" s="27"/>
    </row>
    <row r="194" spans="3:37" ht="20.100000000000001" customHeight="1" x14ac:dyDescent="0.25">
      <c r="W194" s="26" t="str">
        <f>'Input - Pasture Beef'!$D$181</f>
        <v>Anaerobic lagoon</v>
      </c>
      <c r="X194" s="26" t="e">
        <f t="shared" si="9"/>
        <v>#VALUE!</v>
      </c>
      <c r="Y194" s="26" t="e" cm="1">
        <f t="array" aca="1" ref="Y194" ca="1">MMS_PastureBeef_Methane_Equations.VEERG_4_2_1_1__2_MethaneProductionFromManure(X136,$I$155,$E$166,$X$172,$I$158)</f>
        <v>#N/A</v>
      </c>
      <c r="Z194" s="26" t="e" cm="1">
        <f t="array" aca="1" ref="Z194" ca="1">MMS_PastureBeef_Methane_Equations.VEERG_4_2_1_1__2_MethaneProductionFromManure(Y136,$I$155,$E$166,$X$172,$I$158)</f>
        <v>#N/A</v>
      </c>
      <c r="AA194" s="26" t="e" cm="1">
        <f t="array" aca="1" ref="AA194" ca="1">MMS_PastureBeef_Methane_Equations.VEERG_4_2_1_1__2_MethaneProductionFromManure(Z136,$I$155,$E$166,$X$172,$I$158)</f>
        <v>#N/A</v>
      </c>
      <c r="AB194" s="26" t="e" cm="1">
        <f t="array" aca="1" ref="AB194" ca="1">MMS_PastureBeef_Methane_Equations.VEERG_4_2_1_1__2_MethaneProductionFromManure(AA136,$I$155,$E$166,$X$172,$I$158)</f>
        <v>#N/A</v>
      </c>
      <c r="AC194" s="26" t="e" cm="1">
        <f t="array" aca="1" ref="AC194" ca="1">MMS_PastureBeef_Methane_Equations.VEERG_4_2_1_1__2_MethaneProductionFromManure(AB136,$I$155,$E$166,$X$172,$I$158)</f>
        <v>#N/A</v>
      </c>
      <c r="AD194" s="26" t="e" cm="1">
        <f t="array" aca="1" ref="AD194" ca="1">MMS_PastureBeef_Methane_Equations.VEERG_4_2_1_1__2_MethaneProductionFromManure(AC136,$I$155,$E$166,$X$172,$I$158)</f>
        <v>#N/A</v>
      </c>
      <c r="AE194" s="26" t="e" cm="1">
        <f t="array" aca="1" ref="AE194" ca="1">MMS_PastureBeef_Methane_Equations.VEERG_4_2_1_1__2_MethaneProductionFromManure(AD136,$I$155,$E$166,$X$172,$I$158)</f>
        <v>#N/A</v>
      </c>
      <c r="AF194" s="26" t="e" cm="1">
        <f t="array" aca="1" ref="AF194" ca="1">MMS_PastureBeef_Methane_Equations.VEERG_4_2_1_1__2_MethaneProductionFromManure(AE136,$I$155,$E$166,$X$172,$I$158)</f>
        <v>#N/A</v>
      </c>
      <c r="AG194" s="26" t="e" cm="1">
        <f t="array" aca="1" ref="AG194" ca="1">MMS_PastureBeef_Methane_Equations.VEERG_4_2_1_1__2_MethaneProductionFromManure(AF136,$I$155,$E$166,$X$172,$I$158)</f>
        <v>#N/A</v>
      </c>
      <c r="AH194" s="26" t="e" cm="1">
        <f t="array" aca="1" ref="AH194" ca="1">MMS_PastureBeef_Methane_Equations.VEERG_4_2_1_1__2_MethaneProductionFromManure(AG136,$I$155,$E$166,$X$172,$I$158)</f>
        <v>#N/A</v>
      </c>
      <c r="AI194" s="27" t="str">
        <f t="shared" si="8"/>
        <v>kg CH4/head/day</v>
      </c>
      <c r="AJ194" s="27"/>
    </row>
    <row r="195" spans="3:37" ht="20.100000000000001" customHeight="1" x14ac:dyDescent="0.25">
      <c r="W195" s="26" t="str">
        <f>'Input - Pasture Beef'!$D$181</f>
        <v>Anaerobic lagoon</v>
      </c>
      <c r="X195" s="26" t="e">
        <f t="shared" si="9"/>
        <v>#VALUE!</v>
      </c>
      <c r="Y195" s="26" t="e" cm="1">
        <f t="array" aca="1" ref="Y195" ca="1">MMS_PastureBeef_Methane_Equations.VEERG_4_2_1_1__2_MethaneProductionFromManure(X137,$I$155,$E$166,$X$172,$I$158)</f>
        <v>#N/A</v>
      </c>
      <c r="Z195" s="26" t="e" cm="1">
        <f t="array" aca="1" ref="Z195" ca="1">MMS_PastureBeef_Methane_Equations.VEERG_4_2_1_1__2_MethaneProductionFromManure(Y137,$I$155,$E$166,$X$172,$I$158)</f>
        <v>#N/A</v>
      </c>
      <c r="AA195" s="26" t="e" cm="1">
        <f t="array" aca="1" ref="AA195" ca="1">MMS_PastureBeef_Methane_Equations.VEERG_4_2_1_1__2_MethaneProductionFromManure(Z137,$I$155,$E$166,$X$172,$I$158)</f>
        <v>#N/A</v>
      </c>
      <c r="AB195" s="26" t="e" cm="1">
        <f t="array" aca="1" ref="AB195" ca="1">MMS_PastureBeef_Methane_Equations.VEERG_4_2_1_1__2_MethaneProductionFromManure(AA137,$I$155,$E$166,$X$172,$I$158)</f>
        <v>#N/A</v>
      </c>
      <c r="AC195" s="26" t="e" cm="1">
        <f t="array" aca="1" ref="AC195" ca="1">MMS_PastureBeef_Methane_Equations.VEERG_4_2_1_1__2_MethaneProductionFromManure(AB137,$I$155,$E$166,$X$172,$I$158)</f>
        <v>#N/A</v>
      </c>
      <c r="AD195" s="26" t="e" cm="1">
        <f t="array" aca="1" ref="AD195" ca="1">MMS_PastureBeef_Methane_Equations.VEERG_4_2_1_1__2_MethaneProductionFromManure(AC137,$I$155,$E$166,$X$172,$I$158)</f>
        <v>#N/A</v>
      </c>
      <c r="AE195" s="26" t="e" cm="1">
        <f t="array" aca="1" ref="AE195" ca="1">MMS_PastureBeef_Methane_Equations.VEERG_4_2_1_1__2_MethaneProductionFromManure(AD137,$I$155,$E$166,$X$172,$I$158)</f>
        <v>#N/A</v>
      </c>
      <c r="AF195" s="26" t="e" cm="1">
        <f t="array" aca="1" ref="AF195" ca="1">MMS_PastureBeef_Methane_Equations.VEERG_4_2_1_1__2_MethaneProductionFromManure(AE137,$I$155,$E$166,$X$172,$I$158)</f>
        <v>#N/A</v>
      </c>
      <c r="AG195" s="26" t="e" cm="1">
        <f t="array" aca="1" ref="AG195" ca="1">MMS_PastureBeef_Methane_Equations.VEERG_4_2_1_1__2_MethaneProductionFromManure(AF137,$I$155,$E$166,$X$172,$I$158)</f>
        <v>#N/A</v>
      </c>
      <c r="AH195" s="26" t="e" cm="1">
        <f t="array" aca="1" ref="AH195" ca="1">MMS_PastureBeef_Methane_Equations.VEERG_4_2_1_1__2_MethaneProductionFromManure(AG137,$I$155,$E$166,$X$172,$I$158)</f>
        <v>#N/A</v>
      </c>
      <c r="AI195" s="27" t="str">
        <f t="shared" si="8"/>
        <v>kg CH4/head/day</v>
      </c>
      <c r="AJ195" s="27"/>
    </row>
    <row r="196" spans="3:37" ht="20.100000000000001" customHeight="1" x14ac:dyDescent="0.25">
      <c r="W196" s="26" t="str">
        <f>'Input - Pasture Beef'!$D$181</f>
        <v>Anaerobic lagoon</v>
      </c>
      <c r="X196" s="26" t="e">
        <f t="shared" si="9"/>
        <v>#VALUE!</v>
      </c>
      <c r="Y196" s="26" t="e" cm="1">
        <f t="array" aca="1" ref="Y196" ca="1">MMS_PastureBeef_Methane_Equations.VEERG_4_2_1_1__2_MethaneProductionFromManure(X138,$I$155,$E$166,$X$172,$I$158)</f>
        <v>#N/A</v>
      </c>
      <c r="Z196" s="26" t="e" cm="1">
        <f t="array" aca="1" ref="Z196" ca="1">MMS_PastureBeef_Methane_Equations.VEERG_4_2_1_1__2_MethaneProductionFromManure(Y138,$I$155,$E$166,$X$172,$I$158)</f>
        <v>#N/A</v>
      </c>
      <c r="AA196" s="26" t="e" cm="1">
        <f t="array" aca="1" ref="AA196" ca="1">MMS_PastureBeef_Methane_Equations.VEERG_4_2_1_1__2_MethaneProductionFromManure(Z138,$I$155,$E$166,$X$172,$I$158)</f>
        <v>#N/A</v>
      </c>
      <c r="AB196" s="26" t="e" cm="1">
        <f t="array" aca="1" ref="AB196" ca="1">MMS_PastureBeef_Methane_Equations.VEERG_4_2_1_1__2_MethaneProductionFromManure(AA138,$I$155,$E$166,$X$172,$I$158)</f>
        <v>#N/A</v>
      </c>
      <c r="AC196" s="26" t="e" cm="1">
        <f t="array" aca="1" ref="AC196" ca="1">MMS_PastureBeef_Methane_Equations.VEERG_4_2_1_1__2_MethaneProductionFromManure(AB138,$I$155,$E$166,$X$172,$I$158)</f>
        <v>#N/A</v>
      </c>
      <c r="AD196" s="26" t="e" cm="1">
        <f t="array" aca="1" ref="AD196" ca="1">MMS_PastureBeef_Methane_Equations.VEERG_4_2_1_1__2_MethaneProductionFromManure(AC138,$I$155,$E$166,$X$172,$I$158)</f>
        <v>#N/A</v>
      </c>
      <c r="AE196" s="26" t="e" cm="1">
        <f t="array" aca="1" ref="AE196" ca="1">MMS_PastureBeef_Methane_Equations.VEERG_4_2_1_1__2_MethaneProductionFromManure(AD138,$I$155,$E$166,$X$172,$I$158)</f>
        <v>#N/A</v>
      </c>
      <c r="AF196" s="26" t="e" cm="1">
        <f t="array" aca="1" ref="AF196" ca="1">MMS_PastureBeef_Methane_Equations.VEERG_4_2_1_1__2_MethaneProductionFromManure(AE138,$I$155,$E$166,$X$172,$I$158)</f>
        <v>#N/A</v>
      </c>
      <c r="AG196" s="26" t="e" cm="1">
        <f t="array" aca="1" ref="AG196" ca="1">MMS_PastureBeef_Methane_Equations.VEERG_4_2_1_1__2_MethaneProductionFromManure(AF138,$I$155,$E$166,$X$172,$I$158)</f>
        <v>#N/A</v>
      </c>
      <c r="AH196" s="26" t="e" cm="1">
        <f t="array" aca="1" ref="AH196" ca="1">MMS_PastureBeef_Methane_Equations.VEERG_4_2_1_1__2_MethaneProductionFromManure(AG138,$I$155,$E$166,$X$172,$I$158)</f>
        <v>#N/A</v>
      </c>
      <c r="AI196" s="27" t="str">
        <f t="shared" si="8"/>
        <v>kg CH4/head/day</v>
      </c>
      <c r="AJ196" s="27"/>
    </row>
    <row r="197" spans="3:37" ht="20.100000000000001" customHeight="1" x14ac:dyDescent="0.25">
      <c r="W197" s="26" t="str">
        <f>'Input - Pasture Beef'!$D$181</f>
        <v>Anaerobic lagoon</v>
      </c>
      <c r="X197" s="26" t="e">
        <f t="shared" si="9"/>
        <v>#VALUE!</v>
      </c>
      <c r="Y197" s="26" t="e" cm="1">
        <f t="array" aca="1" ref="Y197" ca="1">MMS_PastureBeef_Methane_Equations.VEERG_4_2_1_1__2_MethaneProductionFromManure(X139,$I$155,$E$166,$X$172,$I$158)</f>
        <v>#N/A</v>
      </c>
      <c r="Z197" s="26" t="e" cm="1">
        <f t="array" aca="1" ref="Z197" ca="1">MMS_PastureBeef_Methane_Equations.VEERG_4_2_1_1__2_MethaneProductionFromManure(Y139,$I$155,$E$166,$X$172,$I$158)</f>
        <v>#N/A</v>
      </c>
      <c r="AA197" s="26" t="e" cm="1">
        <f t="array" aca="1" ref="AA197" ca="1">MMS_PastureBeef_Methane_Equations.VEERG_4_2_1_1__2_MethaneProductionFromManure(Z139,$I$155,$E$166,$X$172,$I$158)</f>
        <v>#N/A</v>
      </c>
      <c r="AB197" s="26" t="e" cm="1">
        <f t="array" aca="1" ref="AB197" ca="1">MMS_PastureBeef_Methane_Equations.VEERG_4_2_1_1__2_MethaneProductionFromManure(AA139,$I$155,$E$166,$X$172,$I$158)</f>
        <v>#N/A</v>
      </c>
      <c r="AC197" s="26" t="e" cm="1">
        <f t="array" aca="1" ref="AC197" ca="1">MMS_PastureBeef_Methane_Equations.VEERG_4_2_1_1__2_MethaneProductionFromManure(AB139,$I$155,$E$166,$X$172,$I$158)</f>
        <v>#N/A</v>
      </c>
      <c r="AD197" s="26" t="e" cm="1">
        <f t="array" aca="1" ref="AD197" ca="1">MMS_PastureBeef_Methane_Equations.VEERG_4_2_1_1__2_MethaneProductionFromManure(AC139,$I$155,$E$166,$X$172,$I$158)</f>
        <v>#N/A</v>
      </c>
      <c r="AE197" s="26" t="e" cm="1">
        <f t="array" aca="1" ref="AE197" ca="1">MMS_PastureBeef_Methane_Equations.VEERG_4_2_1_1__2_MethaneProductionFromManure(AD139,$I$155,$E$166,$X$172,$I$158)</f>
        <v>#N/A</v>
      </c>
      <c r="AF197" s="26" t="e" cm="1">
        <f t="array" aca="1" ref="AF197" ca="1">MMS_PastureBeef_Methane_Equations.VEERG_4_2_1_1__2_MethaneProductionFromManure(AE139,$I$155,$E$166,$X$172,$I$158)</f>
        <v>#N/A</v>
      </c>
      <c r="AG197" s="26" t="e" cm="1">
        <f t="array" aca="1" ref="AG197" ca="1">MMS_PastureBeef_Methane_Equations.VEERG_4_2_1_1__2_MethaneProductionFromManure(AF139,$I$155,$E$166,$X$172,$I$158)</f>
        <v>#N/A</v>
      </c>
      <c r="AH197" s="26" t="e" cm="1">
        <f t="array" aca="1" ref="AH197" ca="1">MMS_PastureBeef_Methane_Equations.VEERG_4_2_1_1__2_MethaneProductionFromManure(AG139,$I$155,$E$166,$X$172,$I$158)</f>
        <v>#N/A</v>
      </c>
      <c r="AI197" s="27" t="str">
        <f t="shared" si="8"/>
        <v>kg CH4/head/day</v>
      </c>
      <c r="AJ197" s="27"/>
    </row>
    <row r="198" spans="3:37" ht="20.100000000000001" customHeight="1" x14ac:dyDescent="0.25">
      <c r="W198" s="26" t="str">
        <f>'Input - Pasture Beef'!$D$181</f>
        <v>Anaerobic lagoon</v>
      </c>
      <c r="X198" s="26" t="e">
        <f t="shared" si="9"/>
        <v>#VALUE!</v>
      </c>
      <c r="Y198" s="26" t="e" cm="1">
        <f t="array" aca="1" ref="Y198" ca="1">MMS_PastureBeef_Methane_Equations.VEERG_4_2_1_1__2_MethaneProductionFromManure(X140,$I$155,$E$166,$X$172,$I$158)</f>
        <v>#N/A</v>
      </c>
      <c r="Z198" s="26" t="e" cm="1">
        <f t="array" aca="1" ref="Z198" ca="1">MMS_PastureBeef_Methane_Equations.VEERG_4_2_1_1__2_MethaneProductionFromManure(Y140,$I$155,$E$166,$X$172,$I$158)</f>
        <v>#N/A</v>
      </c>
      <c r="AA198" s="26" t="e" cm="1">
        <f t="array" aca="1" ref="AA198" ca="1">MMS_PastureBeef_Methane_Equations.VEERG_4_2_1_1__2_MethaneProductionFromManure(Z140,$I$155,$E$166,$X$172,$I$158)</f>
        <v>#N/A</v>
      </c>
      <c r="AB198" s="26" t="e" cm="1">
        <f t="array" aca="1" ref="AB198" ca="1">MMS_PastureBeef_Methane_Equations.VEERG_4_2_1_1__2_MethaneProductionFromManure(AA140,$I$155,$E$166,$X$172,$I$158)</f>
        <v>#N/A</v>
      </c>
      <c r="AC198" s="26" t="e" cm="1">
        <f t="array" aca="1" ref="AC198" ca="1">MMS_PastureBeef_Methane_Equations.VEERG_4_2_1_1__2_MethaneProductionFromManure(AB140,$I$155,$E$166,$X$172,$I$158)</f>
        <v>#N/A</v>
      </c>
      <c r="AD198" s="26" t="e" cm="1">
        <f t="array" aca="1" ref="AD198" ca="1">MMS_PastureBeef_Methane_Equations.VEERG_4_2_1_1__2_MethaneProductionFromManure(AC140,$I$155,$E$166,$X$172,$I$158)</f>
        <v>#N/A</v>
      </c>
      <c r="AE198" s="26" t="e" cm="1">
        <f t="array" aca="1" ref="AE198" ca="1">MMS_PastureBeef_Methane_Equations.VEERG_4_2_1_1__2_MethaneProductionFromManure(AD140,$I$155,$E$166,$X$172,$I$158)</f>
        <v>#N/A</v>
      </c>
      <c r="AF198" s="26" t="e" cm="1">
        <f t="array" aca="1" ref="AF198" ca="1">MMS_PastureBeef_Methane_Equations.VEERG_4_2_1_1__2_MethaneProductionFromManure(AE140,$I$155,$E$166,$X$172,$I$158)</f>
        <v>#N/A</v>
      </c>
      <c r="AG198" s="26" t="e" cm="1">
        <f t="array" aca="1" ref="AG198" ca="1">MMS_PastureBeef_Methane_Equations.VEERG_4_2_1_1__2_MethaneProductionFromManure(AF140,$I$155,$E$166,$X$172,$I$158)</f>
        <v>#N/A</v>
      </c>
      <c r="AH198" s="26" t="e" cm="1">
        <f t="array" aca="1" ref="AH198" ca="1">MMS_PastureBeef_Methane_Equations.VEERG_4_2_1_1__2_MethaneProductionFromManure(AG140,$I$155,$E$166,$X$172,$I$158)</f>
        <v>#N/A</v>
      </c>
      <c r="AI198" s="27" t="str">
        <f t="shared" si="8"/>
        <v>kg CH4/head/day</v>
      </c>
      <c r="AJ198" s="27"/>
    </row>
    <row r="199" spans="3:37" ht="20.100000000000001" customHeight="1" x14ac:dyDescent="0.25">
      <c r="W199" s="26" t="str">
        <f>'Input - Pasture Beef'!$D$181</f>
        <v>Anaerobic lagoon</v>
      </c>
      <c r="X199" s="26" t="e">
        <f t="shared" si="9"/>
        <v>#VALUE!</v>
      </c>
      <c r="Y199" s="26" t="e" cm="1">
        <f t="array" aca="1" ref="Y199" ca="1">MMS_PastureBeef_Methane_Equations.VEERG_4_2_1_1__2_MethaneProductionFromManure(X141,$I$155,$E$166,$X$172,$I$158)</f>
        <v>#N/A</v>
      </c>
      <c r="Z199" s="26" t="e" cm="1">
        <f t="array" aca="1" ref="Z199" ca="1">MMS_PastureBeef_Methane_Equations.VEERG_4_2_1_1__2_MethaneProductionFromManure(Y141,$I$155,$E$166,$X$172,$I$158)</f>
        <v>#N/A</v>
      </c>
      <c r="AA199" s="26" t="e" cm="1">
        <f t="array" aca="1" ref="AA199" ca="1">MMS_PastureBeef_Methane_Equations.VEERG_4_2_1_1__2_MethaneProductionFromManure(Z141,$I$155,$E$166,$X$172,$I$158)</f>
        <v>#N/A</v>
      </c>
      <c r="AB199" s="26" t="e" cm="1">
        <f t="array" aca="1" ref="AB199" ca="1">MMS_PastureBeef_Methane_Equations.VEERG_4_2_1_1__2_MethaneProductionFromManure(AA141,$I$155,$E$166,$X$172,$I$158)</f>
        <v>#N/A</v>
      </c>
      <c r="AC199" s="26" t="e" cm="1">
        <f t="array" aca="1" ref="AC199" ca="1">MMS_PastureBeef_Methane_Equations.VEERG_4_2_1_1__2_MethaneProductionFromManure(AB141,$I$155,$E$166,$X$172,$I$158)</f>
        <v>#N/A</v>
      </c>
      <c r="AD199" s="26" t="e" cm="1">
        <f t="array" aca="1" ref="AD199" ca="1">MMS_PastureBeef_Methane_Equations.VEERG_4_2_1_1__2_MethaneProductionFromManure(AC141,$I$155,$E$166,$X$172,$I$158)</f>
        <v>#N/A</v>
      </c>
      <c r="AE199" s="26" t="e" cm="1">
        <f t="array" aca="1" ref="AE199" ca="1">MMS_PastureBeef_Methane_Equations.VEERG_4_2_1_1__2_MethaneProductionFromManure(AD141,$I$155,$E$166,$X$172,$I$158)</f>
        <v>#N/A</v>
      </c>
      <c r="AF199" s="26" t="e" cm="1">
        <f t="array" aca="1" ref="AF199" ca="1">MMS_PastureBeef_Methane_Equations.VEERG_4_2_1_1__2_MethaneProductionFromManure(AE141,$I$155,$E$166,$X$172,$I$158)</f>
        <v>#N/A</v>
      </c>
      <c r="AG199" s="26" t="e" cm="1">
        <f t="array" aca="1" ref="AG199" ca="1">MMS_PastureBeef_Methane_Equations.VEERG_4_2_1_1__2_MethaneProductionFromManure(AF141,$I$155,$E$166,$X$172,$I$158)</f>
        <v>#N/A</v>
      </c>
      <c r="AH199" s="26" t="e" cm="1">
        <f t="array" aca="1" ref="AH199" ca="1">MMS_PastureBeef_Methane_Equations.VEERG_4_2_1_1__2_MethaneProductionFromManure(AG141,$I$155,$E$166,$X$172,$I$158)</f>
        <v>#N/A</v>
      </c>
      <c r="AI199" s="27" t="str">
        <f t="shared" si="8"/>
        <v>kg CH4/head/day</v>
      </c>
      <c r="AJ199" s="27"/>
    </row>
    <row r="200" spans="3:37" ht="20.100000000000001" customHeight="1" x14ac:dyDescent="0.25">
      <c r="W200" s="26" t="str">
        <f>'Input - Pasture Beef'!$D$181</f>
        <v>Anaerobic lagoon</v>
      </c>
      <c r="X200" s="26" t="e">
        <f t="shared" si="9"/>
        <v>#VALUE!</v>
      </c>
      <c r="Y200" s="26" t="e" cm="1">
        <f t="array" aca="1" ref="Y200" ca="1">MMS_PastureBeef_Methane_Equations.VEERG_4_2_1_1__2_MethaneProductionFromManure(X142,$I$155,$E$166,$X$172,$I$158)</f>
        <v>#N/A</v>
      </c>
      <c r="Z200" s="26" t="e" cm="1">
        <f t="array" aca="1" ref="Z200" ca="1">MMS_PastureBeef_Methane_Equations.VEERG_4_2_1_1__2_MethaneProductionFromManure(Y142,$I$155,$E$166,$X$172,$I$158)</f>
        <v>#N/A</v>
      </c>
      <c r="AA200" s="26" t="e" cm="1">
        <f t="array" aca="1" ref="AA200" ca="1">MMS_PastureBeef_Methane_Equations.VEERG_4_2_1_1__2_MethaneProductionFromManure(Z142,$I$155,$E$166,$X$172,$I$158)</f>
        <v>#N/A</v>
      </c>
      <c r="AB200" s="26" t="e" cm="1">
        <f t="array" aca="1" ref="AB200" ca="1">MMS_PastureBeef_Methane_Equations.VEERG_4_2_1_1__2_MethaneProductionFromManure(AA142,$I$155,$E$166,$X$172,$I$158)</f>
        <v>#N/A</v>
      </c>
      <c r="AC200" s="26" t="e" cm="1">
        <f t="array" aca="1" ref="AC200" ca="1">MMS_PastureBeef_Methane_Equations.VEERG_4_2_1_1__2_MethaneProductionFromManure(AB142,$I$155,$E$166,$X$172,$I$158)</f>
        <v>#N/A</v>
      </c>
      <c r="AD200" s="26" t="e" cm="1">
        <f t="array" aca="1" ref="AD200" ca="1">MMS_PastureBeef_Methane_Equations.VEERG_4_2_1_1__2_MethaneProductionFromManure(AC142,$I$155,$E$166,$X$172,$I$158)</f>
        <v>#N/A</v>
      </c>
      <c r="AE200" s="26" t="e" cm="1">
        <f t="array" aca="1" ref="AE200" ca="1">MMS_PastureBeef_Methane_Equations.VEERG_4_2_1_1__2_MethaneProductionFromManure(AD142,$I$155,$E$166,$X$172,$I$158)</f>
        <v>#N/A</v>
      </c>
      <c r="AF200" s="26" t="e" cm="1">
        <f t="array" aca="1" ref="AF200" ca="1">MMS_PastureBeef_Methane_Equations.VEERG_4_2_1_1__2_MethaneProductionFromManure(AE142,$I$155,$E$166,$X$172,$I$158)</f>
        <v>#N/A</v>
      </c>
      <c r="AG200" s="26" t="e" cm="1">
        <f t="array" aca="1" ref="AG200" ca="1">MMS_PastureBeef_Methane_Equations.VEERG_4_2_1_1__2_MethaneProductionFromManure(AF142,$I$155,$E$166,$X$172,$I$158)</f>
        <v>#N/A</v>
      </c>
      <c r="AH200" s="26" t="e" cm="1">
        <f t="array" aca="1" ref="AH200" ca="1">MMS_PastureBeef_Methane_Equations.VEERG_4_2_1_1__2_MethaneProductionFromManure(AG142,$I$155,$E$166,$X$172,$I$158)</f>
        <v>#N/A</v>
      </c>
      <c r="AI200" s="27" t="str">
        <f t="shared" si="8"/>
        <v>kg CH4/head/day</v>
      </c>
      <c r="AJ200" s="27"/>
    </row>
    <row r="201" spans="3:37" ht="20.100000000000001" customHeight="1" x14ac:dyDescent="0.25"/>
    <row r="202" spans="3:37" ht="20.100000000000001" customHeight="1" x14ac:dyDescent="0.25"/>
    <row r="203" spans="3:37" ht="20.100000000000001" customHeight="1" x14ac:dyDescent="0.25">
      <c r="C203" s="117"/>
      <c r="D203" s="117"/>
      <c r="E203" s="117"/>
      <c r="F203" s="117"/>
      <c r="G203" s="117"/>
      <c r="H203" s="117"/>
      <c r="I203" s="117"/>
      <c r="J203" s="117"/>
      <c r="K203" s="117"/>
      <c r="L203" s="117"/>
      <c r="M203" s="117"/>
      <c r="N203" s="117"/>
      <c r="O203" s="117"/>
      <c r="P203" s="117"/>
      <c r="Q203" s="117"/>
      <c r="R203" s="117"/>
      <c r="S203" s="117"/>
      <c r="T203" s="117"/>
      <c r="V203" s="117"/>
      <c r="W203" s="117"/>
      <c r="X203" s="117"/>
      <c r="Y203" s="117"/>
      <c r="Z203" s="117"/>
      <c r="AA203" s="117"/>
      <c r="AB203" s="117"/>
      <c r="AC203" s="117"/>
      <c r="AD203" s="117"/>
      <c r="AE203" s="117"/>
      <c r="AF203" s="117"/>
      <c r="AG203" s="117"/>
      <c r="AH203" s="117"/>
      <c r="AI203" s="117"/>
      <c r="AJ203" s="117"/>
      <c r="AK203" s="117"/>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8" t="str" cm="1">
        <f t="array" ref="D205">MMS_PastureBeef_Methane_Equations.VEERG_4_2_1_1__1_TotalAnnualMethaneProductionFromManureManagement_Source()</f>
        <v>VEERG 2026: 4.2.1.1, Equation (1)</v>
      </c>
    </row>
    <row r="206" spans="3:37" ht="20.100000000000001" customHeight="1" x14ac:dyDescent="0.25">
      <c r="D206" s="104" t="s">
        <v>257</v>
      </c>
      <c r="E206" s="104"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9" t="s">
        <v>259</v>
      </c>
      <c r="E209" s="1" t="str" cm="1">
        <f t="array" ref="E209">MMS_PastureBeef_Methane_Equations.VEERG_4_2_1_1__1_TotalAnnualMethaneProductionFromManureManagement_Variable()</f>
        <v>E_CH4</v>
      </c>
    </row>
    <row r="210" spans="4:34" ht="20.100000000000001" customHeight="1" x14ac:dyDescent="0.25">
      <c r="D210" s="89" t="s">
        <v>133</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6" t="str" cm="1">
        <f t="array" ref="D212:E214">_xlfn.CHOOSECOLS(MMS_PastureBeef_Methane_Equations.VEERG_4_2_1_1__1_TotalAnnualMethaneProductionFromManureManagement_Arguments(), 1, 2)</f>
        <v>N_jkl</v>
      </c>
      <c r="E212" s="107" t="str">
        <v>number of beef cattle in each time-period, class and subclass</v>
      </c>
      <c r="F212" s="109"/>
      <c r="G212" s="106" t="str" cm="1">
        <f t="array" ref="G212:H214">_xlfn.CHOOSECOLS(MMS_PastureBeef_Methane_Equations.VEERG_4_2_1_1__1_TotalAnnualMethaneProductionFromManureManagement_Arguments(), 3,4)</f>
        <v>head</v>
      </c>
      <c r="H212" s="110" t="str">
        <v>Input</v>
      </c>
      <c r="I212" s="112" t="str" cm="1">
        <f t="array" aca="1" ref="I212" ca="1">HYPERLINK(Common_InputFunctions.Utility_SourceHyperlink($D$216), $D$216)</f>
        <v>M1_Table_N_j_k_l</v>
      </c>
    </row>
    <row r="213" spans="4:34" ht="20.100000000000001" customHeight="1" x14ac:dyDescent="0.25">
      <c r="D213" s="106" t="str">
        <v>M_jklm</v>
      </c>
      <c r="E213" s="107" t="str">
        <v>methane production from manure in each time-period, class, subclass and MMS</v>
      </c>
      <c r="F213" s="109"/>
      <c r="G213" s="106" t="str">
        <v>kg/head/day</v>
      </c>
      <c r="H213" s="111" t="str">
        <v>Calculated from 4.2.1.1 (2)</v>
      </c>
      <c r="I213" s="112" t="str" cm="1">
        <f t="array" aca="1" ref="I213" ca="1">HYPERLINK(Common_InputFunctions.Utility_SourceHyperlink($D$174), $D$174)</f>
        <v>M1_Table_M_j_k_l_m</v>
      </c>
    </row>
    <row r="214" spans="4:34" ht="20.100000000000001" customHeight="1" x14ac:dyDescent="0.25">
      <c r="D214" s="106" t="str">
        <v>D_j</v>
      </c>
      <c r="E214" s="107" t="str">
        <v>number of days in each time-period for each input class</v>
      </c>
      <c r="F214" s="109"/>
      <c r="G214" s="106" t="str">
        <v>days</v>
      </c>
      <c r="H214" s="110" t="str">
        <v>Input</v>
      </c>
      <c r="I214" s="112" t="str" cm="1">
        <f t="array" aca="1" ref="I214" ca="1">HYPERLINK(Common_InputFunctions.Utility_SourceHyperlink($D$224), $D$224)</f>
        <v>M1_Table_D_j</v>
      </c>
    </row>
    <row r="215" spans="4:34" ht="20.100000000000001" customHeight="1" x14ac:dyDescent="0.25"/>
    <row r="216" spans="4:34" ht="20.100000000000001" customHeight="1" x14ac:dyDescent="0.25">
      <c r="D216" s="113" t="s">
        <v>286</v>
      </c>
      <c r="W216" s="113" t="s">
        <v>290</v>
      </c>
    </row>
    <row r="217" spans="4:34" ht="20.100000000000001" customHeight="1" x14ac:dyDescent="0.25">
      <c r="D217" s="114" t="s">
        <v>287</v>
      </c>
      <c r="W217" s="114" t="s">
        <v>291</v>
      </c>
    </row>
    <row r="218" spans="4:34" ht="20.100000000000001" customHeight="1" x14ac:dyDescent="0.25">
      <c r="D218" s="115" t="s">
        <v>79</v>
      </c>
      <c r="E218" s="116" t="s">
        <v>189</v>
      </c>
      <c r="F218" s="116" t="s">
        <v>190</v>
      </c>
      <c r="G218" s="116" t="s">
        <v>191</v>
      </c>
      <c r="H218" s="116" t="s">
        <v>192</v>
      </c>
      <c r="I218" s="116" t="s">
        <v>193</v>
      </c>
      <c r="J218" s="116" t="s">
        <v>194</v>
      </c>
      <c r="K218" s="116" t="s">
        <v>195</v>
      </c>
      <c r="L218" s="116" t="s">
        <v>196</v>
      </c>
      <c r="M218" s="116" t="s">
        <v>197</v>
      </c>
      <c r="N218" s="116" t="s">
        <v>198</v>
      </c>
      <c r="W218" s="115" t="s">
        <v>78</v>
      </c>
      <c r="X218" s="116" t="s">
        <v>189</v>
      </c>
      <c r="Y218" s="116" t="s">
        <v>190</v>
      </c>
      <c r="Z218" s="116" t="s">
        <v>191</v>
      </c>
      <c r="AA218" s="116" t="s">
        <v>192</v>
      </c>
      <c r="AB218" s="116" t="s">
        <v>193</v>
      </c>
      <c r="AC218" s="116" t="s">
        <v>194</v>
      </c>
      <c r="AD218" s="116" t="s">
        <v>195</v>
      </c>
      <c r="AE218" s="116" t="s">
        <v>196</v>
      </c>
      <c r="AF218" s="116" t="s">
        <v>197</v>
      </c>
      <c r="AG218" s="116" t="s">
        <v>198</v>
      </c>
      <c r="AH218" s="27"/>
    </row>
    <row r="219" spans="4:34" ht="20.100000000000001" customHeight="1" x14ac:dyDescent="0.25">
      <c r="D219" s="26" t="s">
        <v>199</v>
      </c>
      <c r="E219" s="26" cm="1">
        <f t="array" aca="1" ref="E219:N222" ca="1">OFFSET(X_Table_PastureBeef_Head_Method1, 1,1, 4,10)</f>
        <v>100</v>
      </c>
      <c r="F219" s="26">
        <f ca="1"/>
        <v>100</v>
      </c>
      <c r="G219" s="26">
        <f ca="1"/>
        <v>100</v>
      </c>
      <c r="H219" s="26">
        <f ca="1"/>
        <v>100</v>
      </c>
      <c r="I219" s="26">
        <f ca="1"/>
        <v>100</v>
      </c>
      <c r="J219" s="26">
        <f ca="1"/>
        <v>100</v>
      </c>
      <c r="K219" s="26">
        <f ca="1"/>
        <v>100</v>
      </c>
      <c r="L219" s="26">
        <f ca="1"/>
        <v>100</v>
      </c>
      <c r="M219" s="26">
        <f ca="1"/>
        <v>100</v>
      </c>
      <c r="N219" s="26">
        <f ca="1"/>
        <v>100</v>
      </c>
      <c r="O219" s="27" t="s">
        <v>413</v>
      </c>
      <c r="W219" s="26" t="str">
        <f>TEXT('Input - Site'!$E$12, "mmmm yyyy")</f>
        <v>NO - Not in leaching zone</v>
      </c>
      <c r="X219" s="26" cm="1">
        <f t="array" aca="1" ref="X219:AG230" ca="1">OFFSET(X_Table_PastureBeef_Head_Method2, 1,1, 12,10)</f>
        <v>100</v>
      </c>
      <c r="Y219" s="26">
        <f ca="1"/>
        <v>100</v>
      </c>
      <c r="Z219" s="26">
        <f ca="1"/>
        <v>100</v>
      </c>
      <c r="AA219" s="26">
        <f ca="1"/>
        <v>100</v>
      </c>
      <c r="AB219" s="26">
        <f ca="1"/>
        <v>100</v>
      </c>
      <c r="AC219" s="26">
        <f ca="1"/>
        <v>100</v>
      </c>
      <c r="AD219" s="26">
        <f ca="1"/>
        <v>100</v>
      </c>
      <c r="AE219" s="26">
        <f ca="1"/>
        <v>100</v>
      </c>
      <c r="AF219" s="26">
        <f ca="1"/>
        <v>100</v>
      </c>
      <c r="AG219" s="26">
        <f ca="1"/>
        <v>100</v>
      </c>
      <c r="AH219" s="27" t="s">
        <v>204</v>
      </c>
    </row>
    <row r="220" spans="4:34" ht="20.100000000000001" customHeight="1" x14ac:dyDescent="0.25">
      <c r="D220" s="26" t="s">
        <v>200</v>
      </c>
      <c r="E220" s="26">
        <f ca="1"/>
        <v>100</v>
      </c>
      <c r="F220" s="26">
        <f ca="1"/>
        <v>100</v>
      </c>
      <c r="G220" s="26">
        <f ca="1"/>
        <v>100</v>
      </c>
      <c r="H220" s="26">
        <f ca="1"/>
        <v>100</v>
      </c>
      <c r="I220" s="26">
        <f ca="1"/>
        <v>100</v>
      </c>
      <c r="J220" s="26">
        <f ca="1"/>
        <v>100</v>
      </c>
      <c r="K220" s="26">
        <f ca="1"/>
        <v>100</v>
      </c>
      <c r="L220" s="26">
        <f ca="1"/>
        <v>100</v>
      </c>
      <c r="M220" s="26">
        <f ca="1"/>
        <v>100</v>
      </c>
      <c r="N220" s="26">
        <f ca="1"/>
        <v>100</v>
      </c>
      <c r="O220" s="27" t="s">
        <v>413</v>
      </c>
      <c r="W220" s="26" t="e">
        <f>TEXT(EDATE('Input - Site'!$E$12,1), "mmmm yyyy")</f>
        <v>#VALUE!</v>
      </c>
      <c r="X220" s="26">
        <f ca="1"/>
        <v>100</v>
      </c>
      <c r="Y220" s="26">
        <f ca="1"/>
        <v>100</v>
      </c>
      <c r="Z220" s="26">
        <f ca="1"/>
        <v>100</v>
      </c>
      <c r="AA220" s="26">
        <f ca="1"/>
        <v>100</v>
      </c>
      <c r="AB220" s="26">
        <f ca="1"/>
        <v>100</v>
      </c>
      <c r="AC220" s="26">
        <f ca="1"/>
        <v>100</v>
      </c>
      <c r="AD220" s="26">
        <f ca="1"/>
        <v>100</v>
      </c>
      <c r="AE220" s="26">
        <f ca="1"/>
        <v>100</v>
      </c>
      <c r="AF220" s="26">
        <f ca="1"/>
        <v>100</v>
      </c>
      <c r="AG220" s="26">
        <f ca="1"/>
        <v>100</v>
      </c>
      <c r="AH220" s="27" t="s">
        <v>204</v>
      </c>
    </row>
    <row r="221" spans="4:34" ht="20.100000000000001" customHeight="1" x14ac:dyDescent="0.25">
      <c r="D221" s="26" t="s">
        <v>201</v>
      </c>
      <c r="E221" s="26">
        <f ca="1"/>
        <v>100</v>
      </c>
      <c r="F221" s="26">
        <f ca="1"/>
        <v>100</v>
      </c>
      <c r="G221" s="26">
        <f ca="1"/>
        <v>100</v>
      </c>
      <c r="H221" s="26">
        <f ca="1"/>
        <v>100</v>
      </c>
      <c r="I221" s="26">
        <f ca="1"/>
        <v>100</v>
      </c>
      <c r="J221" s="26">
        <f ca="1"/>
        <v>100</v>
      </c>
      <c r="K221" s="26">
        <f ca="1"/>
        <v>100</v>
      </c>
      <c r="L221" s="26">
        <f ca="1"/>
        <v>100</v>
      </c>
      <c r="M221" s="26">
        <f ca="1"/>
        <v>100</v>
      </c>
      <c r="N221" s="26">
        <f ca="1"/>
        <v>100</v>
      </c>
      <c r="O221" s="27" t="s">
        <v>413</v>
      </c>
      <c r="W221" s="26" t="e">
        <f>TEXT(EDATE('Input - Site'!$E$12,2), "mmmm yyyy")</f>
        <v>#VALUE!</v>
      </c>
      <c r="X221" s="26">
        <f ca="1"/>
        <v>100</v>
      </c>
      <c r="Y221" s="26">
        <f ca="1"/>
        <v>100</v>
      </c>
      <c r="Z221" s="26">
        <f ca="1"/>
        <v>100</v>
      </c>
      <c r="AA221" s="26">
        <f ca="1"/>
        <v>100</v>
      </c>
      <c r="AB221" s="26">
        <f ca="1"/>
        <v>100</v>
      </c>
      <c r="AC221" s="26">
        <f ca="1"/>
        <v>100</v>
      </c>
      <c r="AD221" s="26">
        <f ca="1"/>
        <v>100</v>
      </c>
      <c r="AE221" s="26">
        <f ca="1"/>
        <v>100</v>
      </c>
      <c r="AF221" s="26">
        <f ca="1"/>
        <v>100</v>
      </c>
      <c r="AG221" s="26">
        <f ca="1"/>
        <v>100</v>
      </c>
      <c r="AH221" s="27" t="s">
        <v>204</v>
      </c>
    </row>
    <row r="222" spans="4:34" ht="20.100000000000001" customHeight="1" x14ac:dyDescent="0.25">
      <c r="D222" s="26" t="s">
        <v>202</v>
      </c>
      <c r="E222" s="26">
        <f ca="1"/>
        <v>100</v>
      </c>
      <c r="F222" s="26">
        <f ca="1"/>
        <v>100</v>
      </c>
      <c r="G222" s="26">
        <f ca="1"/>
        <v>100</v>
      </c>
      <c r="H222" s="26">
        <f ca="1"/>
        <v>100</v>
      </c>
      <c r="I222" s="26">
        <f ca="1"/>
        <v>100</v>
      </c>
      <c r="J222" s="26">
        <f ca="1"/>
        <v>100</v>
      </c>
      <c r="K222" s="26">
        <f ca="1"/>
        <v>100</v>
      </c>
      <c r="L222" s="26">
        <f ca="1"/>
        <v>100</v>
      </c>
      <c r="M222" s="26">
        <f ca="1"/>
        <v>100</v>
      </c>
      <c r="N222" s="26">
        <f ca="1"/>
        <v>100</v>
      </c>
      <c r="O222" s="27" t="s">
        <v>413</v>
      </c>
      <c r="W222" s="26" t="e">
        <f>TEXT(EDATE('Input - Site'!$E$12,3), "mmmm yyyy")</f>
        <v>#VALUE!</v>
      </c>
      <c r="X222" s="26">
        <f ca="1"/>
        <v>100</v>
      </c>
      <c r="Y222" s="26">
        <f ca="1"/>
        <v>100</v>
      </c>
      <c r="Z222" s="26">
        <f ca="1"/>
        <v>100</v>
      </c>
      <c r="AA222" s="26">
        <f ca="1"/>
        <v>100</v>
      </c>
      <c r="AB222" s="26">
        <f ca="1"/>
        <v>100</v>
      </c>
      <c r="AC222" s="26">
        <f ca="1"/>
        <v>100</v>
      </c>
      <c r="AD222" s="26">
        <f ca="1"/>
        <v>100</v>
      </c>
      <c r="AE222" s="26">
        <f ca="1"/>
        <v>100</v>
      </c>
      <c r="AF222" s="26">
        <f ca="1"/>
        <v>100</v>
      </c>
      <c r="AG222" s="26">
        <f ca="1"/>
        <v>100</v>
      </c>
      <c r="AH222" s="27" t="s">
        <v>204</v>
      </c>
    </row>
    <row r="223" spans="4:34" ht="20.100000000000001" customHeight="1" x14ac:dyDescent="0.25">
      <c r="W223" s="26" t="e">
        <f>TEXT(EDATE('Input - Site'!$E$12,4), "mmmm yyyy")</f>
        <v>#VALUE!</v>
      </c>
      <c r="X223" s="26">
        <f ca="1"/>
        <v>100</v>
      </c>
      <c r="Y223" s="26">
        <f ca="1"/>
        <v>100</v>
      </c>
      <c r="Z223" s="26">
        <f ca="1"/>
        <v>100</v>
      </c>
      <c r="AA223" s="26">
        <f ca="1"/>
        <v>100</v>
      </c>
      <c r="AB223" s="26">
        <f ca="1"/>
        <v>100</v>
      </c>
      <c r="AC223" s="26">
        <f ca="1"/>
        <v>100</v>
      </c>
      <c r="AD223" s="26">
        <f ca="1"/>
        <v>100</v>
      </c>
      <c r="AE223" s="26">
        <f ca="1"/>
        <v>100</v>
      </c>
      <c r="AF223" s="26">
        <f ca="1"/>
        <v>100</v>
      </c>
      <c r="AG223" s="26">
        <f ca="1"/>
        <v>100</v>
      </c>
      <c r="AH223" s="27" t="s">
        <v>204</v>
      </c>
    </row>
    <row r="224" spans="4:34" ht="20.100000000000001" customHeight="1" x14ac:dyDescent="0.25">
      <c r="D224" s="113" t="s">
        <v>288</v>
      </c>
      <c r="W224" s="26" t="e">
        <f>TEXT(EDATE('Input - Site'!$E$12,5), "mmmm yyyy")</f>
        <v>#VALUE!</v>
      </c>
      <c r="X224" s="26">
        <f ca="1"/>
        <v>100</v>
      </c>
      <c r="Y224" s="26">
        <f ca="1"/>
        <v>100</v>
      </c>
      <c r="Z224" s="26">
        <f ca="1"/>
        <v>100</v>
      </c>
      <c r="AA224" s="26">
        <f ca="1"/>
        <v>100</v>
      </c>
      <c r="AB224" s="26">
        <f ca="1"/>
        <v>100</v>
      </c>
      <c r="AC224" s="26">
        <f ca="1"/>
        <v>100</v>
      </c>
      <c r="AD224" s="26">
        <f ca="1"/>
        <v>100</v>
      </c>
      <c r="AE224" s="26">
        <f ca="1"/>
        <v>100</v>
      </c>
      <c r="AF224" s="26">
        <f ca="1"/>
        <v>100</v>
      </c>
      <c r="AG224" s="26">
        <f ca="1"/>
        <v>100</v>
      </c>
      <c r="AH224" s="27" t="s">
        <v>204</v>
      </c>
    </row>
    <row r="225" spans="4:34" ht="20.100000000000001" customHeight="1" x14ac:dyDescent="0.25">
      <c r="D225" s="114" t="s">
        <v>289</v>
      </c>
      <c r="W225" s="26" t="e">
        <f>TEXT(EDATE('Input - Site'!$E$12,6), "mmmm yyyy")</f>
        <v>#VALUE!</v>
      </c>
      <c r="X225" s="26">
        <f ca="1"/>
        <v>100</v>
      </c>
      <c r="Y225" s="26">
        <f ca="1"/>
        <v>100</v>
      </c>
      <c r="Z225" s="26">
        <f ca="1"/>
        <v>100</v>
      </c>
      <c r="AA225" s="26">
        <f ca="1"/>
        <v>100</v>
      </c>
      <c r="AB225" s="26">
        <f ca="1"/>
        <v>100</v>
      </c>
      <c r="AC225" s="26">
        <f ca="1"/>
        <v>100</v>
      </c>
      <c r="AD225" s="26">
        <f ca="1"/>
        <v>100</v>
      </c>
      <c r="AE225" s="26">
        <f ca="1"/>
        <v>100</v>
      </c>
      <c r="AF225" s="26">
        <f ca="1"/>
        <v>100</v>
      </c>
      <c r="AG225" s="26">
        <f ca="1"/>
        <v>100</v>
      </c>
      <c r="AH225" s="27" t="s">
        <v>204</v>
      </c>
    </row>
    <row r="226" spans="4:34" ht="20.100000000000001" customHeight="1" x14ac:dyDescent="0.25">
      <c r="D226" s="115" t="s">
        <v>79</v>
      </c>
      <c r="E226" s="116" t="s">
        <v>189</v>
      </c>
      <c r="F226" s="116" t="s">
        <v>190</v>
      </c>
      <c r="G226" s="116" t="s">
        <v>191</v>
      </c>
      <c r="H226" s="116" t="s">
        <v>192</v>
      </c>
      <c r="I226" s="116" t="s">
        <v>193</v>
      </c>
      <c r="J226" s="116" t="s">
        <v>194</v>
      </c>
      <c r="K226" s="116" t="s">
        <v>195</v>
      </c>
      <c r="L226" s="116" t="s">
        <v>196</v>
      </c>
      <c r="M226" s="116" t="s">
        <v>197</v>
      </c>
      <c r="N226" s="116" t="s">
        <v>198</v>
      </c>
      <c r="W226" s="26" t="e">
        <f>TEXT(EDATE('Input - Site'!$E$12,7), "mmmm yyyy")</f>
        <v>#VALUE!</v>
      </c>
      <c r="X226" s="26">
        <f ca="1"/>
        <v>100</v>
      </c>
      <c r="Y226" s="26">
        <f ca="1"/>
        <v>100</v>
      </c>
      <c r="Z226" s="26">
        <f ca="1"/>
        <v>100</v>
      </c>
      <c r="AA226" s="26">
        <f ca="1"/>
        <v>100</v>
      </c>
      <c r="AB226" s="26">
        <f ca="1"/>
        <v>100</v>
      </c>
      <c r="AC226" s="26">
        <f ca="1"/>
        <v>100</v>
      </c>
      <c r="AD226" s="26">
        <f ca="1"/>
        <v>100</v>
      </c>
      <c r="AE226" s="26">
        <f ca="1"/>
        <v>100</v>
      </c>
      <c r="AF226" s="26">
        <f ca="1"/>
        <v>100</v>
      </c>
      <c r="AG226" s="26">
        <f ca="1"/>
        <v>100</v>
      </c>
      <c r="AH226" s="27" t="s">
        <v>204</v>
      </c>
    </row>
    <row r="227" spans="4:34" ht="20.100000000000001" customHeight="1" x14ac:dyDescent="0.25">
      <c r="D227" s="26" t="s">
        <v>199</v>
      </c>
      <c r="E227" s="26" cm="1">
        <f t="array" aca="1" ref="E227:N230" ca="1">OFFSET(X_Table_PastureBeef_Duration_Method1, 1,1, 4,10)</f>
        <v>91.25</v>
      </c>
      <c r="F227" s="26">
        <f ca="1"/>
        <v>91.25</v>
      </c>
      <c r="G227" s="26">
        <f ca="1"/>
        <v>91.25</v>
      </c>
      <c r="H227" s="26">
        <f ca="1"/>
        <v>91.25</v>
      </c>
      <c r="I227" s="26">
        <f ca="1"/>
        <v>91.25</v>
      </c>
      <c r="J227" s="26">
        <f ca="1"/>
        <v>91.25</v>
      </c>
      <c r="K227" s="26">
        <f ca="1"/>
        <v>91.25</v>
      </c>
      <c r="L227" s="26">
        <f ca="1"/>
        <v>91.25</v>
      </c>
      <c r="M227" s="26">
        <f ca="1"/>
        <v>91.25</v>
      </c>
      <c r="N227" s="26">
        <f ca="1"/>
        <v>91.25</v>
      </c>
      <c r="O227" s="27" t="s">
        <v>414</v>
      </c>
      <c r="W227" s="26" t="e">
        <f>TEXT(EDATE('Input - Site'!$E$12,8), "mmmm yyyy")</f>
        <v>#VALUE!</v>
      </c>
      <c r="X227" s="26">
        <f ca="1"/>
        <v>100</v>
      </c>
      <c r="Y227" s="26">
        <f ca="1"/>
        <v>100</v>
      </c>
      <c r="Z227" s="26">
        <f ca="1"/>
        <v>100</v>
      </c>
      <c r="AA227" s="26">
        <f ca="1"/>
        <v>100</v>
      </c>
      <c r="AB227" s="26">
        <f ca="1"/>
        <v>100</v>
      </c>
      <c r="AC227" s="26">
        <f ca="1"/>
        <v>100</v>
      </c>
      <c r="AD227" s="26">
        <f ca="1"/>
        <v>100</v>
      </c>
      <c r="AE227" s="26">
        <f ca="1"/>
        <v>100</v>
      </c>
      <c r="AF227" s="26">
        <f ca="1"/>
        <v>100</v>
      </c>
      <c r="AG227" s="26">
        <f ca="1"/>
        <v>100</v>
      </c>
      <c r="AH227" s="27" t="s">
        <v>204</v>
      </c>
    </row>
    <row r="228" spans="4:34" ht="20.100000000000001" customHeight="1" x14ac:dyDescent="0.25">
      <c r="D228" s="26" t="s">
        <v>200</v>
      </c>
      <c r="E228" s="26">
        <f ca="1"/>
        <v>91.25</v>
      </c>
      <c r="F228" s="26">
        <f ca="1"/>
        <v>91.25</v>
      </c>
      <c r="G228" s="26">
        <f ca="1"/>
        <v>91.25</v>
      </c>
      <c r="H228" s="26">
        <f ca="1"/>
        <v>91.25</v>
      </c>
      <c r="I228" s="26">
        <f ca="1"/>
        <v>91.25</v>
      </c>
      <c r="J228" s="26">
        <f ca="1"/>
        <v>91.25</v>
      </c>
      <c r="K228" s="26">
        <f ca="1"/>
        <v>91.25</v>
      </c>
      <c r="L228" s="26">
        <f ca="1"/>
        <v>91.25</v>
      </c>
      <c r="M228" s="26">
        <f ca="1"/>
        <v>91.25</v>
      </c>
      <c r="N228" s="26">
        <f ca="1"/>
        <v>91.25</v>
      </c>
      <c r="O228" s="27" t="s">
        <v>414</v>
      </c>
      <c r="W228" s="26" t="e">
        <f>TEXT(EDATE('Input - Site'!$E$12,9), "mmmm yyyy")</f>
        <v>#VALUE!</v>
      </c>
      <c r="X228" s="26">
        <f ca="1"/>
        <v>100</v>
      </c>
      <c r="Y228" s="26">
        <f ca="1"/>
        <v>100</v>
      </c>
      <c r="Z228" s="26">
        <f ca="1"/>
        <v>100</v>
      </c>
      <c r="AA228" s="26">
        <f ca="1"/>
        <v>100</v>
      </c>
      <c r="AB228" s="26">
        <f ca="1"/>
        <v>100</v>
      </c>
      <c r="AC228" s="26">
        <f ca="1"/>
        <v>100</v>
      </c>
      <c r="AD228" s="26">
        <f ca="1"/>
        <v>100</v>
      </c>
      <c r="AE228" s="26">
        <f ca="1"/>
        <v>100</v>
      </c>
      <c r="AF228" s="26">
        <f ca="1"/>
        <v>100</v>
      </c>
      <c r="AG228" s="26">
        <f ca="1"/>
        <v>100</v>
      </c>
      <c r="AH228" s="27" t="s">
        <v>204</v>
      </c>
    </row>
    <row r="229" spans="4:34" ht="20.100000000000001" customHeight="1" x14ac:dyDescent="0.25">
      <c r="D229" s="26" t="s">
        <v>201</v>
      </c>
      <c r="E229" s="26">
        <f ca="1"/>
        <v>91.25</v>
      </c>
      <c r="F229" s="26">
        <f ca="1"/>
        <v>91.25</v>
      </c>
      <c r="G229" s="26">
        <f ca="1"/>
        <v>91.25</v>
      </c>
      <c r="H229" s="26">
        <f ca="1"/>
        <v>91.25</v>
      </c>
      <c r="I229" s="26">
        <f ca="1"/>
        <v>91.25</v>
      </c>
      <c r="J229" s="26">
        <f ca="1"/>
        <v>91.25</v>
      </c>
      <c r="K229" s="26">
        <f ca="1"/>
        <v>91.25</v>
      </c>
      <c r="L229" s="26">
        <f ca="1"/>
        <v>91.25</v>
      </c>
      <c r="M229" s="26">
        <f ca="1"/>
        <v>91.25</v>
      </c>
      <c r="N229" s="26">
        <f ca="1"/>
        <v>91.25</v>
      </c>
      <c r="O229" s="27" t="s">
        <v>414</v>
      </c>
      <c r="W229" s="26" t="e">
        <f>TEXT(EDATE('Input - Site'!$E$12,10), "mmmm yyyy")</f>
        <v>#VALUE!</v>
      </c>
      <c r="X229" s="26">
        <f ca="1"/>
        <v>100</v>
      </c>
      <c r="Y229" s="26">
        <f ca="1"/>
        <v>100</v>
      </c>
      <c r="Z229" s="26">
        <f ca="1"/>
        <v>100</v>
      </c>
      <c r="AA229" s="26">
        <f ca="1"/>
        <v>100</v>
      </c>
      <c r="AB229" s="26">
        <f ca="1"/>
        <v>100</v>
      </c>
      <c r="AC229" s="26">
        <f ca="1"/>
        <v>100</v>
      </c>
      <c r="AD229" s="26">
        <f ca="1"/>
        <v>100</v>
      </c>
      <c r="AE229" s="26">
        <f ca="1"/>
        <v>100</v>
      </c>
      <c r="AF229" s="26">
        <f ca="1"/>
        <v>100</v>
      </c>
      <c r="AG229" s="26">
        <f ca="1"/>
        <v>100</v>
      </c>
      <c r="AH229" s="27" t="s">
        <v>204</v>
      </c>
    </row>
    <row r="230" spans="4:34" ht="20.100000000000001" customHeight="1" x14ac:dyDescent="0.25">
      <c r="D230" s="26" t="s">
        <v>202</v>
      </c>
      <c r="E230" s="26">
        <f ca="1"/>
        <v>91.25</v>
      </c>
      <c r="F230" s="26">
        <f ca="1"/>
        <v>91.25</v>
      </c>
      <c r="G230" s="26">
        <f ca="1"/>
        <v>91.25</v>
      </c>
      <c r="H230" s="26">
        <f ca="1"/>
        <v>91.25</v>
      </c>
      <c r="I230" s="26">
        <f ca="1"/>
        <v>91.25</v>
      </c>
      <c r="J230" s="26">
        <f ca="1"/>
        <v>91.25</v>
      </c>
      <c r="K230" s="26">
        <f ca="1"/>
        <v>91.25</v>
      </c>
      <c r="L230" s="26">
        <f ca="1"/>
        <v>91.25</v>
      </c>
      <c r="M230" s="26">
        <f ca="1"/>
        <v>91.25</v>
      </c>
      <c r="N230" s="26">
        <f ca="1"/>
        <v>91.25</v>
      </c>
      <c r="O230" s="27" t="s">
        <v>414</v>
      </c>
      <c r="W230" s="26" t="e">
        <f>TEXT(EDATE('Input - Site'!$E$12,11), "mmmm yyyy")</f>
        <v>#VALUE!</v>
      </c>
      <c r="X230" s="26">
        <f ca="1"/>
        <v>100</v>
      </c>
      <c r="Y230" s="26">
        <f ca="1"/>
        <v>100</v>
      </c>
      <c r="Z230" s="26">
        <f ca="1"/>
        <v>100</v>
      </c>
      <c r="AA230" s="26">
        <f ca="1"/>
        <v>100</v>
      </c>
      <c r="AB230" s="26">
        <f ca="1"/>
        <v>100</v>
      </c>
      <c r="AC230" s="26">
        <f ca="1"/>
        <v>100</v>
      </c>
      <c r="AD230" s="26">
        <f ca="1"/>
        <v>100</v>
      </c>
      <c r="AE230" s="26">
        <f ca="1"/>
        <v>100</v>
      </c>
      <c r="AF230" s="26">
        <f ca="1"/>
        <v>100</v>
      </c>
      <c r="AG230" s="26">
        <f ca="1"/>
        <v>100</v>
      </c>
      <c r="AH230" s="27" t="s">
        <v>204</v>
      </c>
    </row>
    <row r="231" spans="4:34" ht="20.100000000000001" customHeight="1" x14ac:dyDescent="0.25"/>
    <row r="232" spans="4:34" ht="20.100000000000001" customHeight="1" x14ac:dyDescent="0.25">
      <c r="D232" s="113" t="s">
        <v>415</v>
      </c>
      <c r="W232" s="113" t="s">
        <v>295</v>
      </c>
    </row>
    <row r="233" spans="4:34" ht="20.100000000000001" customHeight="1" x14ac:dyDescent="0.25">
      <c r="D233" s="114" t="s">
        <v>416</v>
      </c>
      <c r="W233" s="114" t="s">
        <v>296</v>
      </c>
    </row>
    <row r="234" spans="4:34" ht="20.100000000000001" customHeight="1" x14ac:dyDescent="0.25">
      <c r="D234" s="115" t="s">
        <v>402</v>
      </c>
      <c r="E234" s="115" t="s">
        <v>79</v>
      </c>
      <c r="F234" s="115" t="s">
        <v>189</v>
      </c>
      <c r="G234" s="115" t="s">
        <v>190</v>
      </c>
      <c r="H234" s="115" t="s">
        <v>191</v>
      </c>
      <c r="I234" s="115" t="s">
        <v>192</v>
      </c>
      <c r="J234" s="115" t="s">
        <v>193</v>
      </c>
      <c r="K234" s="115" t="s">
        <v>194</v>
      </c>
      <c r="L234" s="115" t="s">
        <v>195</v>
      </c>
      <c r="M234" s="115" t="s">
        <v>196</v>
      </c>
      <c r="N234" s="115" t="s">
        <v>197</v>
      </c>
      <c r="O234" s="115" t="s">
        <v>198</v>
      </c>
      <c r="W234" s="115" t="s">
        <v>78</v>
      </c>
      <c r="X234" s="116" t="s">
        <v>189</v>
      </c>
      <c r="Y234" s="116" t="s">
        <v>190</v>
      </c>
      <c r="Z234" s="116" t="s">
        <v>191</v>
      </c>
      <c r="AA234" s="116" t="s">
        <v>192</v>
      </c>
      <c r="AB234" s="116" t="s">
        <v>193</v>
      </c>
      <c r="AC234" s="116" t="s">
        <v>194</v>
      </c>
      <c r="AD234" s="116" t="s">
        <v>195</v>
      </c>
      <c r="AE234" s="116" t="s">
        <v>196</v>
      </c>
      <c r="AF234" s="116" t="s">
        <v>197</v>
      </c>
      <c r="AG234" s="116" t="s">
        <v>198</v>
      </c>
      <c r="AH234" s="27"/>
    </row>
    <row r="235" spans="4:34" ht="20.100000000000001" customHeight="1" x14ac:dyDescent="0.25">
      <c r="D235" s="26" t="str">
        <f>'Input - Pasture Beef'!$D$180</f>
        <v>Pasture range and paddock</v>
      </c>
      <c r="E235" s="26" t="s">
        <v>199</v>
      </c>
      <c r="F235" s="26" t="e" cm="1">
        <f t="array" aca="1" ref="F235" ca="1">MMS_PastureBeef_Methane_Equations.VEERG_4_2_1_1__1_TotalAnnualMethaneProductionFromManureManagement(E219,F177,E227)</f>
        <v>#N/A</v>
      </c>
      <c r="G235" s="26" t="e" cm="1">
        <f t="array" aca="1" ref="G235" ca="1">MMS_PastureBeef_Methane_Equations.VEERG_4_2_1_1__1_TotalAnnualMethaneProductionFromManureManagement(F219,G177,F227)</f>
        <v>#N/A</v>
      </c>
      <c r="H235" s="26" t="e" cm="1">
        <f t="array" aca="1" ref="H235" ca="1">MMS_PastureBeef_Methane_Equations.VEERG_4_2_1_1__1_TotalAnnualMethaneProductionFromManureManagement(G219,H177,G227)</f>
        <v>#N/A</v>
      </c>
      <c r="I235" s="26" t="e" cm="1">
        <f t="array" aca="1" ref="I235" ca="1">MMS_PastureBeef_Methane_Equations.VEERG_4_2_1_1__1_TotalAnnualMethaneProductionFromManureManagement(H219,I177,H227)</f>
        <v>#N/A</v>
      </c>
      <c r="J235" s="26" t="e" cm="1">
        <f t="array" aca="1" ref="J235" ca="1">MMS_PastureBeef_Methane_Equations.VEERG_4_2_1_1__1_TotalAnnualMethaneProductionFromManureManagement(I219,J177,I227)</f>
        <v>#N/A</v>
      </c>
      <c r="K235" s="26" t="e" cm="1">
        <f t="array" aca="1" ref="K235" ca="1">MMS_PastureBeef_Methane_Equations.VEERG_4_2_1_1__1_TotalAnnualMethaneProductionFromManureManagement(J219,K177,J227)</f>
        <v>#N/A</v>
      </c>
      <c r="L235" s="26" t="e" cm="1">
        <f t="array" aca="1" ref="L235" ca="1">MMS_PastureBeef_Methane_Equations.VEERG_4_2_1_1__1_TotalAnnualMethaneProductionFromManureManagement(K219,L177,K227)</f>
        <v>#N/A</v>
      </c>
      <c r="M235" s="26" t="e" cm="1">
        <f t="array" aca="1" ref="M235" ca="1">MMS_PastureBeef_Methane_Equations.VEERG_4_2_1_1__1_TotalAnnualMethaneProductionFromManureManagement(L219,M177,L227)</f>
        <v>#N/A</v>
      </c>
      <c r="N235" s="26" t="e" cm="1">
        <f t="array" aca="1" ref="N235" ca="1">MMS_PastureBeef_Methane_Equations.VEERG_4_2_1_1__1_TotalAnnualMethaneProductionFromManureManagement(M219,N177,M227)</f>
        <v>#N/A</v>
      </c>
      <c r="O235" s="26" t="e" cm="1">
        <f t="array" aca="1" ref="O235" ca="1">MMS_PastureBeef_Methane_Equations.VEERG_4_2_1_1__1_TotalAnnualMethaneProductionFromManureManagement(N219,O177,N227)</f>
        <v>#N/A</v>
      </c>
      <c r="P235" s="27" t="str">
        <f>$E$210</f>
        <v>t CH4</v>
      </c>
      <c r="Q235" s="27"/>
      <c r="R235" s="27"/>
      <c r="S235" s="27"/>
      <c r="W235" s="26" t="str">
        <f>TEXT('Input - Site'!$E$12, "mmmm yyyy")</f>
        <v>NO - Not in leaching zone</v>
      </c>
      <c r="X235" s="26" t="e" cm="1">
        <f t="array" aca="1" ref="X235:AG246" ca="1">OFFSET(X_Table_PastureBeef_Duration_Method2, 1,1, 12,10)</f>
        <v>#VALUE!</v>
      </c>
      <c r="Y235" s="26" t="e">
        <f ca="1"/>
        <v>#VALUE!</v>
      </c>
      <c r="Z235" s="26" t="e">
        <f ca="1"/>
        <v>#VALUE!</v>
      </c>
      <c r="AA235" s="26" t="e">
        <f ca="1"/>
        <v>#VALUE!</v>
      </c>
      <c r="AB235" s="26" t="e">
        <f ca="1"/>
        <v>#VALUE!</v>
      </c>
      <c r="AC235" s="26" t="e">
        <f ca="1"/>
        <v>#VALUE!</v>
      </c>
      <c r="AD235" s="26" t="e">
        <f ca="1"/>
        <v>#VALUE!</v>
      </c>
      <c r="AE235" s="26" t="e">
        <f ca="1"/>
        <v>#VALUE!</v>
      </c>
      <c r="AF235" s="26" t="e">
        <f ca="1"/>
        <v>#VALUE!</v>
      </c>
      <c r="AG235" s="26" t="e">
        <f ca="1"/>
        <v>#VALUE!</v>
      </c>
      <c r="AH235" s="27" t="s">
        <v>414</v>
      </c>
    </row>
    <row r="236" spans="4:34" ht="20.100000000000001" customHeight="1" x14ac:dyDescent="0.25">
      <c r="D236" s="26" t="str">
        <f>'Input - Pasture Beef'!$D$180</f>
        <v>Pasture range and paddock</v>
      </c>
      <c r="E236" s="26" t="s">
        <v>200</v>
      </c>
      <c r="F236" s="26" t="e" cm="1">
        <f t="array" aca="1" ref="F236" ca="1">MMS_PastureBeef_Methane_Equations.VEERG_4_2_1_1__1_TotalAnnualMethaneProductionFromManureManagement(E220,F178,E228)</f>
        <v>#N/A</v>
      </c>
      <c r="G236" s="26" t="e" cm="1">
        <f t="array" aca="1" ref="G236" ca="1">MMS_PastureBeef_Methane_Equations.VEERG_4_2_1_1__1_TotalAnnualMethaneProductionFromManureManagement(F220,G178,F228)</f>
        <v>#N/A</v>
      </c>
      <c r="H236" s="26" t="e" cm="1">
        <f t="array" aca="1" ref="H236" ca="1">MMS_PastureBeef_Methane_Equations.VEERG_4_2_1_1__1_TotalAnnualMethaneProductionFromManureManagement(G220,H178,G228)</f>
        <v>#N/A</v>
      </c>
      <c r="I236" s="26" t="e" cm="1">
        <f t="array" aca="1" ref="I236" ca="1">MMS_PastureBeef_Methane_Equations.VEERG_4_2_1_1__1_TotalAnnualMethaneProductionFromManureManagement(H220,I178,H228)</f>
        <v>#N/A</v>
      </c>
      <c r="J236" s="26" t="e" cm="1">
        <f t="array" aca="1" ref="J236" ca="1">MMS_PastureBeef_Methane_Equations.VEERG_4_2_1_1__1_TotalAnnualMethaneProductionFromManureManagement(I220,J178,I228)</f>
        <v>#N/A</v>
      </c>
      <c r="K236" s="26" t="e" cm="1">
        <f t="array" aca="1" ref="K236" ca="1">MMS_PastureBeef_Methane_Equations.VEERG_4_2_1_1__1_TotalAnnualMethaneProductionFromManureManagement(J220,K178,J228)</f>
        <v>#N/A</v>
      </c>
      <c r="L236" s="26" t="e" cm="1">
        <f t="array" aca="1" ref="L236" ca="1">MMS_PastureBeef_Methane_Equations.VEERG_4_2_1_1__1_TotalAnnualMethaneProductionFromManureManagement(K220,L178,K228)</f>
        <v>#N/A</v>
      </c>
      <c r="M236" s="26" t="e" cm="1">
        <f t="array" aca="1" ref="M236" ca="1">MMS_PastureBeef_Methane_Equations.VEERG_4_2_1_1__1_TotalAnnualMethaneProductionFromManureManagement(L220,M178,L228)</f>
        <v>#N/A</v>
      </c>
      <c r="N236" s="26" t="e" cm="1">
        <f t="array" aca="1" ref="N236" ca="1">MMS_PastureBeef_Methane_Equations.VEERG_4_2_1_1__1_TotalAnnualMethaneProductionFromManureManagement(M220,N178,M228)</f>
        <v>#N/A</v>
      </c>
      <c r="O236" s="26" t="e" cm="1">
        <f t="array" aca="1" ref="O236" ca="1">MMS_PastureBeef_Methane_Equations.VEERG_4_2_1_1__1_TotalAnnualMethaneProductionFromManureManagement(N220,O178,N228)</f>
        <v>#N/A</v>
      </c>
      <c r="P236" s="27" t="str">
        <f t="shared" ref="P236:P242" si="10">$E$210</f>
        <v>t CH4</v>
      </c>
      <c r="Q236" s="27"/>
      <c r="R236" s="27"/>
      <c r="S236" s="27"/>
      <c r="W236" s="26" t="e">
        <f>TEXT(EDATE('Input - Site'!$E$12,1), "mmmm yyyy")</f>
        <v>#VALUE!</v>
      </c>
      <c r="X236" s="26" t="e">
        <f ca="1"/>
        <v>#VALUE!</v>
      </c>
      <c r="Y236" s="26" t="e">
        <f ca="1"/>
        <v>#VALUE!</v>
      </c>
      <c r="Z236" s="26" t="e">
        <f ca="1"/>
        <v>#VALUE!</v>
      </c>
      <c r="AA236" s="26" t="e">
        <f ca="1"/>
        <v>#VALUE!</v>
      </c>
      <c r="AB236" s="26" t="e">
        <f ca="1"/>
        <v>#VALUE!</v>
      </c>
      <c r="AC236" s="26" t="e">
        <f ca="1"/>
        <v>#VALUE!</v>
      </c>
      <c r="AD236" s="26" t="e">
        <f ca="1"/>
        <v>#VALUE!</v>
      </c>
      <c r="AE236" s="26" t="e">
        <f ca="1"/>
        <v>#VALUE!</v>
      </c>
      <c r="AF236" s="26" t="e">
        <f ca="1"/>
        <v>#VALUE!</v>
      </c>
      <c r="AG236" s="26" t="e">
        <f ca="1"/>
        <v>#VALUE!</v>
      </c>
      <c r="AH236" s="27" t="s">
        <v>414</v>
      </c>
    </row>
    <row r="237" spans="4:34" ht="20.100000000000001" customHeight="1" x14ac:dyDescent="0.25">
      <c r="D237" s="26" t="str">
        <f>'Input - Pasture Beef'!$D$180</f>
        <v>Pasture range and paddock</v>
      </c>
      <c r="E237" s="26" t="s">
        <v>201</v>
      </c>
      <c r="F237" s="26" t="e" cm="1">
        <f t="array" aca="1" ref="F237" ca="1">MMS_PastureBeef_Methane_Equations.VEERG_4_2_1_1__1_TotalAnnualMethaneProductionFromManureManagement(E221,F179,E229)</f>
        <v>#N/A</v>
      </c>
      <c r="G237" s="26" t="e" cm="1">
        <f t="array" aca="1" ref="G237" ca="1">MMS_PastureBeef_Methane_Equations.VEERG_4_2_1_1__1_TotalAnnualMethaneProductionFromManureManagement(F221,G179,F229)</f>
        <v>#N/A</v>
      </c>
      <c r="H237" s="26" t="e" cm="1">
        <f t="array" aca="1" ref="H237" ca="1">MMS_PastureBeef_Methane_Equations.VEERG_4_2_1_1__1_TotalAnnualMethaneProductionFromManureManagement(G221,H179,G229)</f>
        <v>#N/A</v>
      </c>
      <c r="I237" s="26" t="e" cm="1">
        <f t="array" aca="1" ref="I237" ca="1">MMS_PastureBeef_Methane_Equations.VEERG_4_2_1_1__1_TotalAnnualMethaneProductionFromManureManagement(H221,I179,H229)</f>
        <v>#N/A</v>
      </c>
      <c r="J237" s="26" t="e" cm="1">
        <f t="array" aca="1" ref="J237" ca="1">MMS_PastureBeef_Methane_Equations.VEERG_4_2_1_1__1_TotalAnnualMethaneProductionFromManureManagement(I221,J179,I229)</f>
        <v>#N/A</v>
      </c>
      <c r="K237" s="26" t="e" cm="1">
        <f t="array" aca="1" ref="K237" ca="1">MMS_PastureBeef_Methane_Equations.VEERG_4_2_1_1__1_TotalAnnualMethaneProductionFromManureManagement(J221,K179,J229)</f>
        <v>#N/A</v>
      </c>
      <c r="L237" s="26" t="e" cm="1">
        <f t="array" aca="1" ref="L237" ca="1">MMS_PastureBeef_Methane_Equations.VEERG_4_2_1_1__1_TotalAnnualMethaneProductionFromManureManagement(K221,L179,K229)</f>
        <v>#N/A</v>
      </c>
      <c r="M237" s="26" t="e" cm="1">
        <f t="array" aca="1" ref="M237" ca="1">MMS_PastureBeef_Methane_Equations.VEERG_4_2_1_1__1_TotalAnnualMethaneProductionFromManureManagement(L221,M179,L229)</f>
        <v>#N/A</v>
      </c>
      <c r="N237" s="26" t="e" cm="1">
        <f t="array" aca="1" ref="N237" ca="1">MMS_PastureBeef_Methane_Equations.VEERG_4_2_1_1__1_TotalAnnualMethaneProductionFromManureManagement(M221,N179,M229)</f>
        <v>#N/A</v>
      </c>
      <c r="O237" s="26" t="e" cm="1">
        <f t="array" aca="1" ref="O237" ca="1">MMS_PastureBeef_Methane_Equations.VEERG_4_2_1_1__1_TotalAnnualMethaneProductionFromManureManagement(N221,O179,N229)</f>
        <v>#N/A</v>
      </c>
      <c r="P237" s="27" t="str">
        <f t="shared" si="10"/>
        <v>t CH4</v>
      </c>
      <c r="Q237" s="27"/>
      <c r="R237" s="27"/>
      <c r="S237" s="27"/>
      <c r="W237" s="26" t="e">
        <f>TEXT(EDATE('Input - Site'!$E$12,2), "mmmm yyyy")</f>
        <v>#VALUE!</v>
      </c>
      <c r="X237" s="26" t="e">
        <f ca="1"/>
        <v>#VALUE!</v>
      </c>
      <c r="Y237" s="26" t="e">
        <f ca="1"/>
        <v>#VALUE!</v>
      </c>
      <c r="Z237" s="26" t="e">
        <f ca="1"/>
        <v>#VALUE!</v>
      </c>
      <c r="AA237" s="26" t="e">
        <f ca="1"/>
        <v>#VALUE!</v>
      </c>
      <c r="AB237" s="26" t="e">
        <f ca="1"/>
        <v>#VALUE!</v>
      </c>
      <c r="AC237" s="26" t="e">
        <f ca="1"/>
        <v>#VALUE!</v>
      </c>
      <c r="AD237" s="26" t="e">
        <f ca="1"/>
        <v>#VALUE!</v>
      </c>
      <c r="AE237" s="26" t="e">
        <f ca="1"/>
        <v>#VALUE!</v>
      </c>
      <c r="AF237" s="26" t="e">
        <f ca="1"/>
        <v>#VALUE!</v>
      </c>
      <c r="AG237" s="26" t="e">
        <f ca="1"/>
        <v>#VALUE!</v>
      </c>
      <c r="AH237" s="27" t="s">
        <v>414</v>
      </c>
    </row>
    <row r="238" spans="4:34" ht="20.100000000000001" customHeight="1" x14ac:dyDescent="0.25">
      <c r="D238" s="26" t="str">
        <f>'Input - Pasture Beef'!$D$180</f>
        <v>Pasture range and paddock</v>
      </c>
      <c r="E238" s="26" t="s">
        <v>202</v>
      </c>
      <c r="F238" s="26" t="e" cm="1">
        <f t="array" aca="1" ref="F238" ca="1">MMS_PastureBeef_Methane_Equations.VEERG_4_2_1_1__1_TotalAnnualMethaneProductionFromManureManagement(E222,F180,E230)</f>
        <v>#N/A</v>
      </c>
      <c r="G238" s="26" t="e" cm="1">
        <f t="array" aca="1" ref="G238" ca="1">MMS_PastureBeef_Methane_Equations.VEERG_4_2_1_1__1_TotalAnnualMethaneProductionFromManureManagement(F222,G180,F230)</f>
        <v>#N/A</v>
      </c>
      <c r="H238" s="26" t="e" cm="1">
        <f t="array" aca="1" ref="H238" ca="1">MMS_PastureBeef_Methane_Equations.VEERG_4_2_1_1__1_TotalAnnualMethaneProductionFromManureManagement(G222,H180,G230)</f>
        <v>#N/A</v>
      </c>
      <c r="I238" s="26" t="e" cm="1">
        <f t="array" aca="1" ref="I238" ca="1">MMS_PastureBeef_Methane_Equations.VEERG_4_2_1_1__1_TotalAnnualMethaneProductionFromManureManagement(H222,I180,H230)</f>
        <v>#N/A</v>
      </c>
      <c r="J238" s="26" t="e" cm="1">
        <f t="array" aca="1" ref="J238" ca="1">MMS_PastureBeef_Methane_Equations.VEERG_4_2_1_1__1_TotalAnnualMethaneProductionFromManureManagement(I222,J180,I230)</f>
        <v>#N/A</v>
      </c>
      <c r="K238" s="26" t="e" cm="1">
        <f t="array" aca="1" ref="K238" ca="1">MMS_PastureBeef_Methane_Equations.VEERG_4_2_1_1__1_TotalAnnualMethaneProductionFromManureManagement(J222,K180,J230)</f>
        <v>#N/A</v>
      </c>
      <c r="L238" s="26" t="e" cm="1">
        <f t="array" aca="1" ref="L238" ca="1">MMS_PastureBeef_Methane_Equations.VEERG_4_2_1_1__1_TotalAnnualMethaneProductionFromManureManagement(K222,L180,K230)</f>
        <v>#N/A</v>
      </c>
      <c r="M238" s="26" t="e" cm="1">
        <f t="array" aca="1" ref="M238" ca="1">MMS_PastureBeef_Methane_Equations.VEERG_4_2_1_1__1_TotalAnnualMethaneProductionFromManureManagement(L222,M180,L230)</f>
        <v>#N/A</v>
      </c>
      <c r="N238" s="26" t="e" cm="1">
        <f t="array" aca="1" ref="N238" ca="1">MMS_PastureBeef_Methane_Equations.VEERG_4_2_1_1__1_TotalAnnualMethaneProductionFromManureManagement(M222,N180,M230)</f>
        <v>#N/A</v>
      </c>
      <c r="O238" s="26" t="e" cm="1">
        <f t="array" aca="1" ref="O238" ca="1">MMS_PastureBeef_Methane_Equations.VEERG_4_2_1_1__1_TotalAnnualMethaneProductionFromManureManagement(N222,O180,N230)</f>
        <v>#N/A</v>
      </c>
      <c r="P238" s="27" t="str">
        <f t="shared" si="10"/>
        <v>t CH4</v>
      </c>
      <c r="Q238" s="27"/>
      <c r="R238" s="27"/>
      <c r="S238" s="27"/>
      <c r="W238" s="26" t="e">
        <f>TEXT(EDATE('Input - Site'!$E$12,3), "mmmm yyyy")</f>
        <v>#VALUE!</v>
      </c>
      <c r="X238" s="26" t="e">
        <f ca="1"/>
        <v>#VALUE!</v>
      </c>
      <c r="Y238" s="26" t="e">
        <f ca="1"/>
        <v>#VALUE!</v>
      </c>
      <c r="Z238" s="26" t="e">
        <f ca="1"/>
        <v>#VALUE!</v>
      </c>
      <c r="AA238" s="26" t="e">
        <f ca="1"/>
        <v>#VALUE!</v>
      </c>
      <c r="AB238" s="26" t="e">
        <f ca="1"/>
        <v>#VALUE!</v>
      </c>
      <c r="AC238" s="26" t="e">
        <f ca="1"/>
        <v>#VALUE!</v>
      </c>
      <c r="AD238" s="26" t="e">
        <f ca="1"/>
        <v>#VALUE!</v>
      </c>
      <c r="AE238" s="26" t="e">
        <f ca="1"/>
        <v>#VALUE!</v>
      </c>
      <c r="AF238" s="26" t="e">
        <f ca="1"/>
        <v>#VALUE!</v>
      </c>
      <c r="AG238" s="26" t="e">
        <f ca="1"/>
        <v>#VALUE!</v>
      </c>
      <c r="AH238" s="27" t="s">
        <v>414</v>
      </c>
    </row>
    <row r="239" spans="4:34" ht="20.100000000000001" customHeight="1" x14ac:dyDescent="0.25">
      <c r="D239" s="26" t="str">
        <f>'Input - Pasture Beef'!$D$181</f>
        <v>Anaerobic lagoon</v>
      </c>
      <c r="E239" s="26" t="s">
        <v>199</v>
      </c>
      <c r="F239" s="26" t="e" cm="1">
        <f t="array" aca="1" ref="F239" ca="1">MMS_PastureBeef_Methane_Equations.VEERG_4_2_1_1__1_TotalAnnualMethaneProductionFromManureManagement(E219,F181,E227)</f>
        <v>#N/A</v>
      </c>
      <c r="G239" s="26" t="e" cm="1">
        <f t="array" aca="1" ref="G239" ca="1">MMS_PastureBeef_Methane_Equations.VEERG_4_2_1_1__1_TotalAnnualMethaneProductionFromManureManagement(F219,G181,F227)</f>
        <v>#N/A</v>
      </c>
      <c r="H239" s="26" t="e" cm="1">
        <f t="array" aca="1" ref="H239" ca="1">MMS_PastureBeef_Methane_Equations.VEERG_4_2_1_1__1_TotalAnnualMethaneProductionFromManureManagement(G219,H181,G227)</f>
        <v>#N/A</v>
      </c>
      <c r="I239" s="26" t="e" cm="1">
        <f t="array" aca="1" ref="I239" ca="1">MMS_PastureBeef_Methane_Equations.VEERG_4_2_1_1__1_TotalAnnualMethaneProductionFromManureManagement(H219,I181,H227)</f>
        <v>#N/A</v>
      </c>
      <c r="J239" s="26" t="e" cm="1">
        <f t="array" aca="1" ref="J239" ca="1">MMS_PastureBeef_Methane_Equations.VEERG_4_2_1_1__1_TotalAnnualMethaneProductionFromManureManagement(I219,J181,I227)</f>
        <v>#N/A</v>
      </c>
      <c r="K239" s="26" t="e" cm="1">
        <f t="array" aca="1" ref="K239" ca="1">MMS_PastureBeef_Methane_Equations.VEERG_4_2_1_1__1_TotalAnnualMethaneProductionFromManureManagement(J219,K181,J227)</f>
        <v>#N/A</v>
      </c>
      <c r="L239" s="26" t="e" cm="1">
        <f t="array" aca="1" ref="L239" ca="1">MMS_PastureBeef_Methane_Equations.VEERG_4_2_1_1__1_TotalAnnualMethaneProductionFromManureManagement(K219,L181,K227)</f>
        <v>#N/A</v>
      </c>
      <c r="M239" s="26" t="e" cm="1">
        <f t="array" aca="1" ref="M239" ca="1">MMS_PastureBeef_Methane_Equations.VEERG_4_2_1_1__1_TotalAnnualMethaneProductionFromManureManagement(L219,M181,L227)</f>
        <v>#N/A</v>
      </c>
      <c r="N239" s="26" t="e" cm="1">
        <f t="array" aca="1" ref="N239" ca="1">MMS_PastureBeef_Methane_Equations.VEERG_4_2_1_1__1_TotalAnnualMethaneProductionFromManureManagement(M219,N181,M227)</f>
        <v>#N/A</v>
      </c>
      <c r="O239" s="26" t="e" cm="1">
        <f t="array" aca="1" ref="O239" ca="1">MMS_PastureBeef_Methane_Equations.VEERG_4_2_1_1__1_TotalAnnualMethaneProductionFromManureManagement(N219,O181,N227)</f>
        <v>#N/A</v>
      </c>
      <c r="P239" s="27" t="str">
        <f t="shared" si="10"/>
        <v>t CH4</v>
      </c>
      <c r="Q239" s="27"/>
      <c r="R239" s="27"/>
      <c r="S239" s="27"/>
      <c r="W239" s="26" t="e">
        <f>TEXT(EDATE('Input - Site'!$E$12,4), "mmmm yyyy")</f>
        <v>#VALUE!</v>
      </c>
      <c r="X239" s="26" t="e">
        <f ca="1"/>
        <v>#VALUE!</v>
      </c>
      <c r="Y239" s="26" t="e">
        <f ca="1"/>
        <v>#VALUE!</v>
      </c>
      <c r="Z239" s="26" t="e">
        <f ca="1"/>
        <v>#VALUE!</v>
      </c>
      <c r="AA239" s="26" t="e">
        <f ca="1"/>
        <v>#VALUE!</v>
      </c>
      <c r="AB239" s="26" t="e">
        <f ca="1"/>
        <v>#VALUE!</v>
      </c>
      <c r="AC239" s="26" t="e">
        <f ca="1"/>
        <v>#VALUE!</v>
      </c>
      <c r="AD239" s="26" t="e">
        <f ca="1"/>
        <v>#VALUE!</v>
      </c>
      <c r="AE239" s="26" t="e">
        <f ca="1"/>
        <v>#VALUE!</v>
      </c>
      <c r="AF239" s="26" t="e">
        <f ca="1"/>
        <v>#VALUE!</v>
      </c>
      <c r="AG239" s="26" t="e">
        <f ca="1"/>
        <v>#VALUE!</v>
      </c>
      <c r="AH239" s="27" t="s">
        <v>414</v>
      </c>
    </row>
    <row r="240" spans="4:34" ht="20.100000000000001" customHeight="1" x14ac:dyDescent="0.25">
      <c r="D240" s="26" t="str">
        <f>'Input - Pasture Beef'!$D$181</f>
        <v>Anaerobic lagoon</v>
      </c>
      <c r="E240" s="26" t="s">
        <v>200</v>
      </c>
      <c r="F240" s="26" t="e" cm="1">
        <f t="array" aca="1" ref="F240" ca="1">MMS_PastureBeef_Methane_Equations.VEERG_4_2_1_1__1_TotalAnnualMethaneProductionFromManureManagement(E220,F182,E228)</f>
        <v>#N/A</v>
      </c>
      <c r="G240" s="26" t="e" cm="1">
        <f t="array" aca="1" ref="G240" ca="1">MMS_PastureBeef_Methane_Equations.VEERG_4_2_1_1__1_TotalAnnualMethaneProductionFromManureManagement(F220,G182,F228)</f>
        <v>#N/A</v>
      </c>
      <c r="H240" s="26" t="e" cm="1">
        <f t="array" aca="1" ref="H240" ca="1">MMS_PastureBeef_Methane_Equations.VEERG_4_2_1_1__1_TotalAnnualMethaneProductionFromManureManagement(G220,H182,G228)</f>
        <v>#N/A</v>
      </c>
      <c r="I240" s="26" t="e" cm="1">
        <f t="array" aca="1" ref="I240" ca="1">MMS_PastureBeef_Methane_Equations.VEERG_4_2_1_1__1_TotalAnnualMethaneProductionFromManureManagement(H220,I182,H228)</f>
        <v>#N/A</v>
      </c>
      <c r="J240" s="26" t="e" cm="1">
        <f t="array" aca="1" ref="J240" ca="1">MMS_PastureBeef_Methane_Equations.VEERG_4_2_1_1__1_TotalAnnualMethaneProductionFromManureManagement(I220,J182,I228)</f>
        <v>#N/A</v>
      </c>
      <c r="K240" s="26" t="e" cm="1">
        <f t="array" aca="1" ref="K240" ca="1">MMS_PastureBeef_Methane_Equations.VEERG_4_2_1_1__1_TotalAnnualMethaneProductionFromManureManagement(J220,K182,J228)</f>
        <v>#N/A</v>
      </c>
      <c r="L240" s="26" t="e" cm="1">
        <f t="array" aca="1" ref="L240" ca="1">MMS_PastureBeef_Methane_Equations.VEERG_4_2_1_1__1_TotalAnnualMethaneProductionFromManureManagement(K220,L182,K228)</f>
        <v>#N/A</v>
      </c>
      <c r="M240" s="26" t="e" cm="1">
        <f t="array" aca="1" ref="M240" ca="1">MMS_PastureBeef_Methane_Equations.VEERG_4_2_1_1__1_TotalAnnualMethaneProductionFromManureManagement(L220,M182,L228)</f>
        <v>#N/A</v>
      </c>
      <c r="N240" s="26" t="e" cm="1">
        <f t="array" aca="1" ref="N240" ca="1">MMS_PastureBeef_Methane_Equations.VEERG_4_2_1_1__1_TotalAnnualMethaneProductionFromManureManagement(M220,N182,M228)</f>
        <v>#N/A</v>
      </c>
      <c r="O240" s="26" t="e" cm="1">
        <f t="array" aca="1" ref="O240" ca="1">MMS_PastureBeef_Methane_Equations.VEERG_4_2_1_1__1_TotalAnnualMethaneProductionFromManureManagement(N220,O182,N228)</f>
        <v>#N/A</v>
      </c>
      <c r="P240" s="27" t="str">
        <f t="shared" si="10"/>
        <v>t CH4</v>
      </c>
      <c r="Q240" s="27"/>
      <c r="R240" s="27"/>
      <c r="S240" s="27"/>
      <c r="W240" s="26" t="e">
        <f>TEXT(EDATE('Input - Site'!$E$12,5), "mmmm yyyy")</f>
        <v>#VALUE!</v>
      </c>
      <c r="X240" s="26" t="e">
        <f ca="1"/>
        <v>#VALUE!</v>
      </c>
      <c r="Y240" s="26" t="e">
        <f ca="1"/>
        <v>#VALUE!</v>
      </c>
      <c r="Z240" s="26" t="e">
        <f ca="1"/>
        <v>#VALUE!</v>
      </c>
      <c r="AA240" s="26" t="e">
        <f ca="1"/>
        <v>#VALUE!</v>
      </c>
      <c r="AB240" s="26" t="e">
        <f ca="1"/>
        <v>#VALUE!</v>
      </c>
      <c r="AC240" s="26" t="e">
        <f ca="1"/>
        <v>#VALUE!</v>
      </c>
      <c r="AD240" s="26" t="e">
        <f ca="1"/>
        <v>#VALUE!</v>
      </c>
      <c r="AE240" s="26" t="e">
        <f ca="1"/>
        <v>#VALUE!</v>
      </c>
      <c r="AF240" s="26" t="e">
        <f ca="1"/>
        <v>#VALUE!</v>
      </c>
      <c r="AG240" s="26" t="e">
        <f ca="1"/>
        <v>#VALUE!</v>
      </c>
      <c r="AH240" s="27" t="s">
        <v>414</v>
      </c>
    </row>
    <row r="241" spans="4:36" ht="20.100000000000001" customHeight="1" x14ac:dyDescent="0.25">
      <c r="D241" s="26" t="str">
        <f>'Input - Pasture Beef'!$D$181</f>
        <v>Anaerobic lagoon</v>
      </c>
      <c r="E241" s="26" t="s">
        <v>201</v>
      </c>
      <c r="F241" s="26" t="e" cm="1">
        <f t="array" aca="1" ref="F241" ca="1">MMS_PastureBeef_Methane_Equations.VEERG_4_2_1_1__1_TotalAnnualMethaneProductionFromManureManagement(E221,F183,E229)</f>
        <v>#N/A</v>
      </c>
      <c r="G241" s="26" t="e" cm="1">
        <f t="array" aca="1" ref="G241" ca="1">MMS_PastureBeef_Methane_Equations.VEERG_4_2_1_1__1_TotalAnnualMethaneProductionFromManureManagement(F221,G183,F229)</f>
        <v>#N/A</v>
      </c>
      <c r="H241" s="26" t="e" cm="1">
        <f t="array" aca="1" ref="H241" ca="1">MMS_PastureBeef_Methane_Equations.VEERG_4_2_1_1__1_TotalAnnualMethaneProductionFromManureManagement(G221,H183,G229)</f>
        <v>#N/A</v>
      </c>
      <c r="I241" s="26" t="e" cm="1">
        <f t="array" aca="1" ref="I241" ca="1">MMS_PastureBeef_Methane_Equations.VEERG_4_2_1_1__1_TotalAnnualMethaneProductionFromManureManagement(H221,I183,H229)</f>
        <v>#N/A</v>
      </c>
      <c r="J241" s="26" t="e" cm="1">
        <f t="array" aca="1" ref="J241" ca="1">MMS_PastureBeef_Methane_Equations.VEERG_4_2_1_1__1_TotalAnnualMethaneProductionFromManureManagement(I221,J183,I229)</f>
        <v>#N/A</v>
      </c>
      <c r="K241" s="26" t="e" cm="1">
        <f t="array" aca="1" ref="K241" ca="1">MMS_PastureBeef_Methane_Equations.VEERG_4_2_1_1__1_TotalAnnualMethaneProductionFromManureManagement(J221,K183,J229)</f>
        <v>#N/A</v>
      </c>
      <c r="L241" s="26" t="e" cm="1">
        <f t="array" aca="1" ref="L241" ca="1">MMS_PastureBeef_Methane_Equations.VEERG_4_2_1_1__1_TotalAnnualMethaneProductionFromManureManagement(K221,L183,K229)</f>
        <v>#N/A</v>
      </c>
      <c r="M241" s="26" t="e" cm="1">
        <f t="array" aca="1" ref="M241" ca="1">MMS_PastureBeef_Methane_Equations.VEERG_4_2_1_1__1_TotalAnnualMethaneProductionFromManureManagement(L221,M183,L229)</f>
        <v>#N/A</v>
      </c>
      <c r="N241" s="26" t="e" cm="1">
        <f t="array" aca="1" ref="N241" ca="1">MMS_PastureBeef_Methane_Equations.VEERG_4_2_1_1__1_TotalAnnualMethaneProductionFromManureManagement(M221,N183,M229)</f>
        <v>#N/A</v>
      </c>
      <c r="O241" s="26" t="e" cm="1">
        <f t="array" aca="1" ref="O241" ca="1">MMS_PastureBeef_Methane_Equations.VEERG_4_2_1_1__1_TotalAnnualMethaneProductionFromManureManagement(N221,O183,N229)</f>
        <v>#N/A</v>
      </c>
      <c r="P241" s="27" t="str">
        <f t="shared" si="10"/>
        <v>t CH4</v>
      </c>
      <c r="Q241" s="27"/>
      <c r="R241" s="27"/>
      <c r="S241" s="27"/>
      <c r="W241" s="26" t="e">
        <f>TEXT(EDATE('Input - Site'!$E$12,6), "mmmm yyyy")</f>
        <v>#VALUE!</v>
      </c>
      <c r="X241" s="26" t="e">
        <f ca="1"/>
        <v>#VALUE!</v>
      </c>
      <c r="Y241" s="26" t="e">
        <f ca="1"/>
        <v>#VALUE!</v>
      </c>
      <c r="Z241" s="26" t="e">
        <f ca="1"/>
        <v>#VALUE!</v>
      </c>
      <c r="AA241" s="26" t="e">
        <f ca="1"/>
        <v>#VALUE!</v>
      </c>
      <c r="AB241" s="26" t="e">
        <f ca="1"/>
        <v>#VALUE!</v>
      </c>
      <c r="AC241" s="26" t="e">
        <f ca="1"/>
        <v>#VALUE!</v>
      </c>
      <c r="AD241" s="26" t="e">
        <f ca="1"/>
        <v>#VALUE!</v>
      </c>
      <c r="AE241" s="26" t="e">
        <f ca="1"/>
        <v>#VALUE!</v>
      </c>
      <c r="AF241" s="26" t="e">
        <f ca="1"/>
        <v>#VALUE!</v>
      </c>
      <c r="AG241" s="26" t="e">
        <f ca="1"/>
        <v>#VALUE!</v>
      </c>
      <c r="AH241" s="27" t="s">
        <v>414</v>
      </c>
    </row>
    <row r="242" spans="4:36" ht="20.100000000000001" customHeight="1" x14ac:dyDescent="0.25">
      <c r="D242" s="26" t="str">
        <f>'Input - Pasture Beef'!$D$181</f>
        <v>Anaerobic lagoon</v>
      </c>
      <c r="E242" s="26" t="s">
        <v>202</v>
      </c>
      <c r="F242" s="26" t="e" cm="1">
        <f t="array" aca="1" ref="F242" ca="1">MMS_PastureBeef_Methane_Equations.VEERG_4_2_1_1__1_TotalAnnualMethaneProductionFromManureManagement(E222,F184,E230)</f>
        <v>#N/A</v>
      </c>
      <c r="G242" s="26" t="e" cm="1">
        <f t="array" aca="1" ref="G242" ca="1">MMS_PastureBeef_Methane_Equations.VEERG_4_2_1_1__1_TotalAnnualMethaneProductionFromManureManagement(F222,G184,F230)</f>
        <v>#N/A</v>
      </c>
      <c r="H242" s="26" t="e" cm="1">
        <f t="array" aca="1" ref="H242" ca="1">MMS_PastureBeef_Methane_Equations.VEERG_4_2_1_1__1_TotalAnnualMethaneProductionFromManureManagement(G222,H184,G230)</f>
        <v>#N/A</v>
      </c>
      <c r="I242" s="26" t="e" cm="1">
        <f t="array" aca="1" ref="I242" ca="1">MMS_PastureBeef_Methane_Equations.VEERG_4_2_1_1__1_TotalAnnualMethaneProductionFromManureManagement(H222,I184,H230)</f>
        <v>#N/A</v>
      </c>
      <c r="J242" s="26" t="e" cm="1">
        <f t="array" aca="1" ref="J242" ca="1">MMS_PastureBeef_Methane_Equations.VEERG_4_2_1_1__1_TotalAnnualMethaneProductionFromManureManagement(I222,J184,I230)</f>
        <v>#N/A</v>
      </c>
      <c r="K242" s="26" t="e" cm="1">
        <f t="array" aca="1" ref="K242" ca="1">MMS_PastureBeef_Methane_Equations.VEERG_4_2_1_1__1_TotalAnnualMethaneProductionFromManureManagement(J222,K184,J230)</f>
        <v>#N/A</v>
      </c>
      <c r="L242" s="26" t="e" cm="1">
        <f t="array" aca="1" ref="L242" ca="1">MMS_PastureBeef_Methane_Equations.VEERG_4_2_1_1__1_TotalAnnualMethaneProductionFromManureManagement(K222,L184,K230)</f>
        <v>#N/A</v>
      </c>
      <c r="M242" s="26" t="e" cm="1">
        <f t="array" aca="1" ref="M242" ca="1">MMS_PastureBeef_Methane_Equations.VEERG_4_2_1_1__1_TotalAnnualMethaneProductionFromManureManagement(L222,M184,L230)</f>
        <v>#N/A</v>
      </c>
      <c r="N242" s="26" t="e" cm="1">
        <f t="array" aca="1" ref="N242" ca="1">MMS_PastureBeef_Methane_Equations.VEERG_4_2_1_1__1_TotalAnnualMethaneProductionFromManureManagement(M222,N184,M230)</f>
        <v>#N/A</v>
      </c>
      <c r="O242" s="26" t="e" cm="1">
        <f t="array" aca="1" ref="O242" ca="1">MMS_PastureBeef_Methane_Equations.VEERG_4_2_1_1__1_TotalAnnualMethaneProductionFromManureManagement(N222,O184,N230)</f>
        <v>#N/A</v>
      </c>
      <c r="P242" s="27" t="str">
        <f t="shared" si="10"/>
        <v>t CH4</v>
      </c>
      <c r="Q242" s="27"/>
      <c r="R242" s="27"/>
      <c r="S242" s="27"/>
      <c r="W242" s="26" t="e">
        <f>TEXT(EDATE('Input - Site'!$E$12,7), "mmmm yyyy")</f>
        <v>#VALUE!</v>
      </c>
      <c r="X242" s="26" t="e">
        <f ca="1"/>
        <v>#VALUE!</v>
      </c>
      <c r="Y242" s="26" t="e">
        <f ca="1"/>
        <v>#VALUE!</v>
      </c>
      <c r="Z242" s="26" t="e">
        <f ca="1"/>
        <v>#VALUE!</v>
      </c>
      <c r="AA242" s="26" t="e">
        <f ca="1"/>
        <v>#VALUE!</v>
      </c>
      <c r="AB242" s="26" t="e">
        <f ca="1"/>
        <v>#VALUE!</v>
      </c>
      <c r="AC242" s="26" t="e">
        <f ca="1"/>
        <v>#VALUE!</v>
      </c>
      <c r="AD242" s="26" t="e">
        <f ca="1"/>
        <v>#VALUE!</v>
      </c>
      <c r="AE242" s="26" t="e">
        <f ca="1"/>
        <v>#VALUE!</v>
      </c>
      <c r="AF242" s="26" t="e">
        <f ca="1"/>
        <v>#VALUE!</v>
      </c>
      <c r="AG242" s="26" t="e">
        <f ca="1"/>
        <v>#VALUE!</v>
      </c>
      <c r="AH242" s="27" t="s">
        <v>414</v>
      </c>
    </row>
    <row r="243" spans="4:36" ht="20.100000000000001" customHeight="1" x14ac:dyDescent="0.25">
      <c r="W243" s="26" t="e">
        <f>TEXT(EDATE('Input - Site'!$E$12,8), "mmmm yyyy")</f>
        <v>#VALUE!</v>
      </c>
      <c r="X243" s="26" t="e">
        <f ca="1"/>
        <v>#VALUE!</v>
      </c>
      <c r="Y243" s="26" t="e">
        <f ca="1"/>
        <v>#VALUE!</v>
      </c>
      <c r="Z243" s="26" t="e">
        <f ca="1"/>
        <v>#VALUE!</v>
      </c>
      <c r="AA243" s="26" t="e">
        <f ca="1"/>
        <v>#VALUE!</v>
      </c>
      <c r="AB243" s="26" t="e">
        <f ca="1"/>
        <v>#VALUE!</v>
      </c>
      <c r="AC243" s="26" t="e">
        <f ca="1"/>
        <v>#VALUE!</v>
      </c>
      <c r="AD243" s="26" t="e">
        <f ca="1"/>
        <v>#VALUE!</v>
      </c>
      <c r="AE243" s="26" t="e">
        <f ca="1"/>
        <v>#VALUE!</v>
      </c>
      <c r="AF243" s="26" t="e">
        <f ca="1"/>
        <v>#VALUE!</v>
      </c>
      <c r="AG243" s="26" t="e">
        <f ca="1"/>
        <v>#VALUE!</v>
      </c>
      <c r="AH243" s="27" t="s">
        <v>414</v>
      </c>
    </row>
    <row r="244" spans="4:36" ht="20.100000000000001" customHeight="1" x14ac:dyDescent="0.25">
      <c r="D244" s="118" t="s">
        <v>294</v>
      </c>
      <c r="E244" s="119" t="e">
        <f ca="1">SUM(F235:O242)</f>
        <v>#N/A</v>
      </c>
      <c r="F244" s="120" t="str">
        <f>E210</f>
        <v>t CH4</v>
      </c>
      <c r="W244" s="26" t="e">
        <f>TEXT(EDATE('Input - Site'!$E$12,9), "mmmm yyyy")</f>
        <v>#VALUE!</v>
      </c>
      <c r="X244" s="26" t="e">
        <f ca="1"/>
        <v>#VALUE!</v>
      </c>
      <c r="Y244" s="26" t="e">
        <f ca="1"/>
        <v>#VALUE!</v>
      </c>
      <c r="Z244" s="26" t="e">
        <f ca="1"/>
        <v>#VALUE!</v>
      </c>
      <c r="AA244" s="26" t="e">
        <f ca="1"/>
        <v>#VALUE!</v>
      </c>
      <c r="AB244" s="26" t="e">
        <f ca="1"/>
        <v>#VALUE!</v>
      </c>
      <c r="AC244" s="26" t="e">
        <f ca="1"/>
        <v>#VALUE!</v>
      </c>
      <c r="AD244" s="26" t="e">
        <f ca="1"/>
        <v>#VALUE!</v>
      </c>
      <c r="AE244" s="26" t="e">
        <f ca="1"/>
        <v>#VALUE!</v>
      </c>
      <c r="AF244" s="26" t="e">
        <f ca="1"/>
        <v>#VALUE!</v>
      </c>
      <c r="AG244" s="26" t="e">
        <f ca="1"/>
        <v>#VALUE!</v>
      </c>
      <c r="AH244" s="27" t="s">
        <v>414</v>
      </c>
    </row>
    <row r="245" spans="4:36" ht="20.100000000000001" customHeight="1" x14ac:dyDescent="0.25">
      <c r="W245" s="26" t="e">
        <f>TEXT(EDATE('Input - Site'!$E$12,10), "mmmm yyyy")</f>
        <v>#VALUE!</v>
      </c>
      <c r="X245" s="26" t="e">
        <f ca="1"/>
        <v>#VALUE!</v>
      </c>
      <c r="Y245" s="26" t="e">
        <f ca="1"/>
        <v>#VALUE!</v>
      </c>
      <c r="Z245" s="26" t="e">
        <f ca="1"/>
        <v>#VALUE!</v>
      </c>
      <c r="AA245" s="26" t="e">
        <f ca="1"/>
        <v>#VALUE!</v>
      </c>
      <c r="AB245" s="26" t="e">
        <f ca="1"/>
        <v>#VALUE!</v>
      </c>
      <c r="AC245" s="26" t="e">
        <f ca="1"/>
        <v>#VALUE!</v>
      </c>
      <c r="AD245" s="26" t="e">
        <f ca="1"/>
        <v>#VALUE!</v>
      </c>
      <c r="AE245" s="26" t="e">
        <f ca="1"/>
        <v>#VALUE!</v>
      </c>
      <c r="AF245" s="26" t="e">
        <f ca="1"/>
        <v>#VALUE!</v>
      </c>
      <c r="AG245" s="26" t="e">
        <f ca="1"/>
        <v>#VALUE!</v>
      </c>
      <c r="AH245" s="27" t="s">
        <v>414</v>
      </c>
    </row>
    <row r="246" spans="4:36" ht="20.100000000000001" customHeight="1" x14ac:dyDescent="0.25">
      <c r="D246" s="121" t="str" cm="1">
        <f t="array" ref="D246:E247">Common_Equations.Common_ConvertCH4ToCO2e_Arguments()</f>
        <v>ECH4</v>
      </c>
      <c r="E246" s="122" t="str">
        <v>Methane emissions (t CH4)</v>
      </c>
      <c r="F246" s="123"/>
      <c r="G246" s="26" t="e">
        <f ca="1">E244</f>
        <v>#N/A</v>
      </c>
      <c r="W246" s="26" t="e">
        <f>TEXT(EDATE('Input - Site'!$E$12,11), "mmmm yyyy")</f>
        <v>#VALUE!</v>
      </c>
      <c r="X246" s="26" t="e">
        <f ca="1"/>
        <v>#VALUE!</v>
      </c>
      <c r="Y246" s="26" t="e">
        <f ca="1"/>
        <v>#VALUE!</v>
      </c>
      <c r="Z246" s="26" t="e">
        <f ca="1"/>
        <v>#VALUE!</v>
      </c>
      <c r="AA246" s="26" t="e">
        <f ca="1"/>
        <v>#VALUE!</v>
      </c>
      <c r="AB246" s="26" t="e">
        <f ca="1"/>
        <v>#VALUE!</v>
      </c>
      <c r="AC246" s="26" t="e">
        <f ca="1"/>
        <v>#VALUE!</v>
      </c>
      <c r="AD246" s="26" t="e">
        <f ca="1"/>
        <v>#VALUE!</v>
      </c>
      <c r="AE246" s="26" t="e">
        <f ca="1"/>
        <v>#VALUE!</v>
      </c>
      <c r="AF246" s="26" t="e">
        <f ca="1"/>
        <v>#VALUE!</v>
      </c>
      <c r="AG246" s="26" t="e">
        <f ca="1"/>
        <v>#VALUE!</v>
      </c>
      <c r="AH246" s="27" t="s">
        <v>414</v>
      </c>
    </row>
    <row r="247" spans="4:36" ht="20.100000000000001" customHeight="1" x14ac:dyDescent="0.25">
      <c r="D247" s="121" t="str">
        <v>GWPCH4</v>
      </c>
      <c r="E247" s="122" t="str">
        <v>Global warming potential for methane (t CO2-e / t CH4)</v>
      </c>
      <c r="F247" s="123"/>
      <c r="G247" s="26">
        <f>Common_InputFunctions.Utility_LookupValueInTableNumber("CH4",Table_GWPData[Gas],Table_GWPData[CO2-e factor])</f>
        <v>28</v>
      </c>
    </row>
    <row r="248" spans="4:36" ht="20.100000000000001" customHeight="1" x14ac:dyDescent="0.25">
      <c r="W248" s="113" t="s">
        <v>417</v>
      </c>
    </row>
    <row r="249" spans="4:36" ht="20.100000000000001" customHeight="1" x14ac:dyDescent="0.25">
      <c r="D249" s="117" t="s">
        <v>297</v>
      </c>
      <c r="E249" s="117" t="e" cm="1">
        <f t="array" aca="1" ref="E249" ca="1">Common_Equations.Common_ConvertN2OToCO2e(G246,G247)</f>
        <v>#N/A</v>
      </c>
      <c r="F249" s="124" t="str" cm="1">
        <f t="array" ref="F249">Common_Equations.Common_ConvertN2OToCO2e_Unit()</f>
        <v>t CO2e</v>
      </c>
      <c r="W249" s="114" t="s">
        <v>418</v>
      </c>
    </row>
    <row r="250" spans="4:36" ht="20.100000000000001" customHeight="1" x14ac:dyDescent="0.25">
      <c r="W250" s="115" t="s">
        <v>402</v>
      </c>
      <c r="X250" s="115" t="s">
        <v>78</v>
      </c>
      <c r="Y250" s="115" t="s">
        <v>189</v>
      </c>
      <c r="Z250" s="115" t="s">
        <v>190</v>
      </c>
      <c r="AA250" s="115" t="s">
        <v>191</v>
      </c>
      <c r="AB250" s="115" t="s">
        <v>192</v>
      </c>
      <c r="AC250" s="115" t="s">
        <v>193</v>
      </c>
      <c r="AD250" s="115" t="s">
        <v>194</v>
      </c>
      <c r="AE250" s="115" t="s">
        <v>195</v>
      </c>
      <c r="AF250" s="115" t="s">
        <v>196</v>
      </c>
      <c r="AG250" s="115" t="s">
        <v>197</v>
      </c>
      <c r="AH250" s="115" t="s">
        <v>198</v>
      </c>
    </row>
    <row r="251" spans="4:36" ht="20.100000000000001" customHeight="1" x14ac:dyDescent="0.25">
      <c r="W251" s="26" t="str">
        <f>'Input - Pasture Beef'!$D$180</f>
        <v>Pasture range and paddock</v>
      </c>
      <c r="X251" s="26" t="str">
        <f>W235</f>
        <v>NO - Not in leaching zone</v>
      </c>
      <c r="Y251" s="26" t="e" cm="1">
        <f t="array" aca="1" ref="Y251" ca="1">MMS_PastureBeef_Methane_Equations.VEERG_4_2_1_1__1_TotalAnnualMethaneProductionFromManureManagement(X219,Y177,X235)</f>
        <v>#N/A</v>
      </c>
      <c r="Z251" s="26" t="e" cm="1">
        <f t="array" aca="1" ref="Z251" ca="1">MMS_PastureBeef_Methane_Equations.VEERG_4_2_1_1__1_TotalAnnualMethaneProductionFromManureManagement(Y219,Z177,Y235)</f>
        <v>#N/A</v>
      </c>
      <c r="AA251" s="26" t="e" cm="1">
        <f t="array" aca="1" ref="AA251" ca="1">MMS_PastureBeef_Methane_Equations.VEERG_4_2_1_1__1_TotalAnnualMethaneProductionFromManureManagement(Z219,AA177,Z235)</f>
        <v>#N/A</v>
      </c>
      <c r="AB251" s="26" t="e" cm="1">
        <f t="array" aca="1" ref="AB251" ca="1">MMS_PastureBeef_Methane_Equations.VEERG_4_2_1_1__1_TotalAnnualMethaneProductionFromManureManagement(AA219,AB177,AA235)</f>
        <v>#N/A</v>
      </c>
      <c r="AC251" s="26" t="e" cm="1">
        <f t="array" aca="1" ref="AC251" ca="1">MMS_PastureBeef_Methane_Equations.VEERG_4_2_1_1__1_TotalAnnualMethaneProductionFromManureManagement(AB219,AC177,AB235)</f>
        <v>#N/A</v>
      </c>
      <c r="AD251" s="26" t="e" cm="1">
        <f t="array" aca="1" ref="AD251" ca="1">MMS_PastureBeef_Methane_Equations.VEERG_4_2_1_1__1_TotalAnnualMethaneProductionFromManureManagement(AC219,AD177,AC235)</f>
        <v>#N/A</v>
      </c>
      <c r="AE251" s="26" t="e" cm="1">
        <f t="array" aca="1" ref="AE251" ca="1">MMS_PastureBeef_Methane_Equations.VEERG_4_2_1_1__1_TotalAnnualMethaneProductionFromManureManagement(AD219,AE177,AD235)</f>
        <v>#N/A</v>
      </c>
      <c r="AF251" s="26" t="e" cm="1">
        <f t="array" aca="1" ref="AF251" ca="1">MMS_PastureBeef_Methane_Equations.VEERG_4_2_1_1__1_TotalAnnualMethaneProductionFromManureManagement(AE219,AF177,AE235)</f>
        <v>#N/A</v>
      </c>
      <c r="AG251" s="26" t="e" cm="1">
        <f t="array" aca="1" ref="AG251" ca="1">MMS_PastureBeef_Methane_Equations.VEERG_4_2_1_1__1_TotalAnnualMethaneProductionFromManureManagement(AF219,AG177,AF235)</f>
        <v>#N/A</v>
      </c>
      <c r="AH251" s="26" t="e" cm="1">
        <f t="array" aca="1" ref="AH251" ca="1">MMS_PastureBeef_Methane_Equations.VEERG_4_2_1_1__1_TotalAnnualMethaneProductionFromManureManagement(AG219,AH177,AG235)</f>
        <v>#N/A</v>
      </c>
      <c r="AI251" s="27" t="str">
        <f t="shared" ref="AI251:AI274" si="11">$E$210</f>
        <v>t CH4</v>
      </c>
      <c r="AJ251" s="27"/>
    </row>
    <row r="252" spans="4:36" ht="20.100000000000001" customHeight="1" x14ac:dyDescent="0.25">
      <c r="W252" s="26" t="str">
        <f>'Input - Pasture Beef'!$D$180</f>
        <v>Pasture range and paddock</v>
      </c>
      <c r="X252" s="26" t="e">
        <f t="shared" ref="X252:X262" si="12">W236</f>
        <v>#VALUE!</v>
      </c>
      <c r="Y252" s="26" t="e" cm="1">
        <f t="array" aca="1" ref="Y252" ca="1">MMS_PastureBeef_Methane_Equations.VEERG_4_2_1_1__1_TotalAnnualMethaneProductionFromManureManagement(X220,Y178,X236)</f>
        <v>#N/A</v>
      </c>
      <c r="Z252" s="26" t="e" cm="1">
        <f t="array" aca="1" ref="Z252" ca="1">MMS_PastureBeef_Methane_Equations.VEERG_4_2_1_1__1_TotalAnnualMethaneProductionFromManureManagement(Y220,Z178,Y236)</f>
        <v>#N/A</v>
      </c>
      <c r="AA252" s="26" t="e" cm="1">
        <f t="array" aca="1" ref="AA252" ca="1">MMS_PastureBeef_Methane_Equations.VEERG_4_2_1_1__1_TotalAnnualMethaneProductionFromManureManagement(Z220,AA178,Z236)</f>
        <v>#N/A</v>
      </c>
      <c r="AB252" s="26" t="e" cm="1">
        <f t="array" aca="1" ref="AB252" ca="1">MMS_PastureBeef_Methane_Equations.VEERG_4_2_1_1__1_TotalAnnualMethaneProductionFromManureManagement(AA220,AB178,AA236)</f>
        <v>#N/A</v>
      </c>
      <c r="AC252" s="26" t="e" cm="1">
        <f t="array" aca="1" ref="AC252" ca="1">MMS_PastureBeef_Methane_Equations.VEERG_4_2_1_1__1_TotalAnnualMethaneProductionFromManureManagement(AB220,AC178,AB236)</f>
        <v>#N/A</v>
      </c>
      <c r="AD252" s="26" t="e" cm="1">
        <f t="array" aca="1" ref="AD252" ca="1">MMS_PastureBeef_Methane_Equations.VEERG_4_2_1_1__1_TotalAnnualMethaneProductionFromManureManagement(AC220,AD178,AC236)</f>
        <v>#N/A</v>
      </c>
      <c r="AE252" s="26" t="e" cm="1">
        <f t="array" aca="1" ref="AE252" ca="1">MMS_PastureBeef_Methane_Equations.VEERG_4_2_1_1__1_TotalAnnualMethaneProductionFromManureManagement(AD220,AE178,AD236)</f>
        <v>#N/A</v>
      </c>
      <c r="AF252" s="26" t="e" cm="1">
        <f t="array" aca="1" ref="AF252" ca="1">MMS_PastureBeef_Methane_Equations.VEERG_4_2_1_1__1_TotalAnnualMethaneProductionFromManureManagement(AE220,AF178,AE236)</f>
        <v>#N/A</v>
      </c>
      <c r="AG252" s="26" t="e" cm="1">
        <f t="array" aca="1" ref="AG252" ca="1">MMS_PastureBeef_Methane_Equations.VEERG_4_2_1_1__1_TotalAnnualMethaneProductionFromManureManagement(AF220,AG178,AF236)</f>
        <v>#N/A</v>
      </c>
      <c r="AH252" s="26" t="e" cm="1">
        <f t="array" aca="1" ref="AH252" ca="1">MMS_PastureBeef_Methane_Equations.VEERG_4_2_1_1__1_TotalAnnualMethaneProductionFromManureManagement(AG220,AH178,AG236)</f>
        <v>#N/A</v>
      </c>
      <c r="AI252" s="27" t="str">
        <f t="shared" si="11"/>
        <v>t CH4</v>
      </c>
      <c r="AJ252" s="27"/>
    </row>
    <row r="253" spans="4:36" ht="20.100000000000001" customHeight="1" x14ac:dyDescent="0.25">
      <c r="W253" s="26" t="str">
        <f>'Input - Pasture Beef'!$D$180</f>
        <v>Pasture range and paddock</v>
      </c>
      <c r="X253" s="26" t="e">
        <f t="shared" si="12"/>
        <v>#VALUE!</v>
      </c>
      <c r="Y253" s="26" t="e" cm="1">
        <f t="array" aca="1" ref="Y253" ca="1">MMS_PastureBeef_Methane_Equations.VEERG_4_2_1_1__1_TotalAnnualMethaneProductionFromManureManagement(X221,Y179,X237)</f>
        <v>#N/A</v>
      </c>
      <c r="Z253" s="26" t="e" cm="1">
        <f t="array" aca="1" ref="Z253" ca="1">MMS_PastureBeef_Methane_Equations.VEERG_4_2_1_1__1_TotalAnnualMethaneProductionFromManureManagement(Y221,Z179,Y237)</f>
        <v>#N/A</v>
      </c>
      <c r="AA253" s="26" t="e" cm="1">
        <f t="array" aca="1" ref="AA253" ca="1">MMS_PastureBeef_Methane_Equations.VEERG_4_2_1_1__1_TotalAnnualMethaneProductionFromManureManagement(Z221,AA179,Z237)</f>
        <v>#N/A</v>
      </c>
      <c r="AB253" s="26" t="e" cm="1">
        <f t="array" aca="1" ref="AB253" ca="1">MMS_PastureBeef_Methane_Equations.VEERG_4_2_1_1__1_TotalAnnualMethaneProductionFromManureManagement(AA221,AB179,AA237)</f>
        <v>#N/A</v>
      </c>
      <c r="AC253" s="26" t="e" cm="1">
        <f t="array" aca="1" ref="AC253" ca="1">MMS_PastureBeef_Methane_Equations.VEERG_4_2_1_1__1_TotalAnnualMethaneProductionFromManureManagement(AB221,AC179,AB237)</f>
        <v>#N/A</v>
      </c>
      <c r="AD253" s="26" t="e" cm="1">
        <f t="array" aca="1" ref="AD253" ca="1">MMS_PastureBeef_Methane_Equations.VEERG_4_2_1_1__1_TotalAnnualMethaneProductionFromManureManagement(AC221,AD179,AC237)</f>
        <v>#N/A</v>
      </c>
      <c r="AE253" s="26" t="e" cm="1">
        <f t="array" aca="1" ref="AE253" ca="1">MMS_PastureBeef_Methane_Equations.VEERG_4_2_1_1__1_TotalAnnualMethaneProductionFromManureManagement(AD221,AE179,AD237)</f>
        <v>#N/A</v>
      </c>
      <c r="AF253" s="26" t="e" cm="1">
        <f t="array" aca="1" ref="AF253" ca="1">MMS_PastureBeef_Methane_Equations.VEERG_4_2_1_1__1_TotalAnnualMethaneProductionFromManureManagement(AE221,AF179,AE237)</f>
        <v>#N/A</v>
      </c>
      <c r="AG253" s="26" t="e" cm="1">
        <f t="array" aca="1" ref="AG253" ca="1">MMS_PastureBeef_Methane_Equations.VEERG_4_2_1_1__1_TotalAnnualMethaneProductionFromManureManagement(AF221,AG179,AF237)</f>
        <v>#N/A</v>
      </c>
      <c r="AH253" s="26" t="e" cm="1">
        <f t="array" aca="1" ref="AH253" ca="1">MMS_PastureBeef_Methane_Equations.VEERG_4_2_1_1__1_TotalAnnualMethaneProductionFromManureManagement(AG221,AH179,AG237)</f>
        <v>#N/A</v>
      </c>
      <c r="AI253" s="27" t="str">
        <f t="shared" si="11"/>
        <v>t CH4</v>
      </c>
      <c r="AJ253" s="27"/>
    </row>
    <row r="254" spans="4:36" ht="20.100000000000001" customHeight="1" x14ac:dyDescent="0.25">
      <c r="W254" s="26" t="str">
        <f>'Input - Pasture Beef'!$D$180</f>
        <v>Pasture range and paddock</v>
      </c>
      <c r="X254" s="26" t="e">
        <f t="shared" si="12"/>
        <v>#VALUE!</v>
      </c>
      <c r="Y254" s="26" t="e" cm="1">
        <f t="array" aca="1" ref="Y254" ca="1">MMS_PastureBeef_Methane_Equations.VEERG_4_2_1_1__1_TotalAnnualMethaneProductionFromManureManagement(X222,Y180,X238)</f>
        <v>#N/A</v>
      </c>
      <c r="Z254" s="26" t="e" cm="1">
        <f t="array" aca="1" ref="Z254" ca="1">MMS_PastureBeef_Methane_Equations.VEERG_4_2_1_1__1_TotalAnnualMethaneProductionFromManureManagement(Y222,Z180,Y238)</f>
        <v>#N/A</v>
      </c>
      <c r="AA254" s="26" t="e" cm="1">
        <f t="array" aca="1" ref="AA254" ca="1">MMS_PastureBeef_Methane_Equations.VEERG_4_2_1_1__1_TotalAnnualMethaneProductionFromManureManagement(Z222,AA180,Z238)</f>
        <v>#N/A</v>
      </c>
      <c r="AB254" s="26" t="e" cm="1">
        <f t="array" aca="1" ref="AB254" ca="1">MMS_PastureBeef_Methane_Equations.VEERG_4_2_1_1__1_TotalAnnualMethaneProductionFromManureManagement(AA222,AB180,AA238)</f>
        <v>#N/A</v>
      </c>
      <c r="AC254" s="26" t="e" cm="1">
        <f t="array" aca="1" ref="AC254" ca="1">MMS_PastureBeef_Methane_Equations.VEERG_4_2_1_1__1_TotalAnnualMethaneProductionFromManureManagement(AB222,AC180,AB238)</f>
        <v>#N/A</v>
      </c>
      <c r="AD254" s="26" t="e" cm="1">
        <f t="array" aca="1" ref="AD254" ca="1">MMS_PastureBeef_Methane_Equations.VEERG_4_2_1_1__1_TotalAnnualMethaneProductionFromManureManagement(AC222,AD180,AC238)</f>
        <v>#N/A</v>
      </c>
      <c r="AE254" s="26" t="e" cm="1">
        <f t="array" aca="1" ref="AE254" ca="1">MMS_PastureBeef_Methane_Equations.VEERG_4_2_1_1__1_TotalAnnualMethaneProductionFromManureManagement(AD222,AE180,AD238)</f>
        <v>#N/A</v>
      </c>
      <c r="AF254" s="26" t="e" cm="1">
        <f t="array" aca="1" ref="AF254" ca="1">MMS_PastureBeef_Methane_Equations.VEERG_4_2_1_1__1_TotalAnnualMethaneProductionFromManureManagement(AE222,AF180,AE238)</f>
        <v>#N/A</v>
      </c>
      <c r="AG254" s="26" t="e" cm="1">
        <f t="array" aca="1" ref="AG254" ca="1">MMS_PastureBeef_Methane_Equations.VEERG_4_2_1_1__1_TotalAnnualMethaneProductionFromManureManagement(AF222,AG180,AF238)</f>
        <v>#N/A</v>
      </c>
      <c r="AH254" s="26" t="e" cm="1">
        <f t="array" aca="1" ref="AH254" ca="1">MMS_PastureBeef_Methane_Equations.VEERG_4_2_1_1__1_TotalAnnualMethaneProductionFromManureManagement(AG222,AH180,AG238)</f>
        <v>#N/A</v>
      </c>
      <c r="AI254" s="27" t="str">
        <f t="shared" si="11"/>
        <v>t CH4</v>
      </c>
      <c r="AJ254" s="27"/>
    </row>
    <row r="255" spans="4:36" ht="20.100000000000001" customHeight="1" x14ac:dyDescent="0.25">
      <c r="W255" s="26" t="str">
        <f>'Input - Pasture Beef'!$D$180</f>
        <v>Pasture range and paddock</v>
      </c>
      <c r="X255" s="26" t="e">
        <f t="shared" si="12"/>
        <v>#VALUE!</v>
      </c>
      <c r="Y255" s="26" t="e" cm="1">
        <f t="array" aca="1" ref="Y255" ca="1">MMS_PastureBeef_Methane_Equations.VEERG_4_2_1_1__1_TotalAnnualMethaneProductionFromManureManagement(X223,Y181,X239)</f>
        <v>#N/A</v>
      </c>
      <c r="Z255" s="26" t="e" cm="1">
        <f t="array" aca="1" ref="Z255" ca="1">MMS_PastureBeef_Methane_Equations.VEERG_4_2_1_1__1_TotalAnnualMethaneProductionFromManureManagement(Y223,Z181,Y239)</f>
        <v>#N/A</v>
      </c>
      <c r="AA255" s="26" t="e" cm="1">
        <f t="array" aca="1" ref="AA255" ca="1">MMS_PastureBeef_Methane_Equations.VEERG_4_2_1_1__1_TotalAnnualMethaneProductionFromManureManagement(Z223,AA181,Z239)</f>
        <v>#N/A</v>
      </c>
      <c r="AB255" s="26" t="e" cm="1">
        <f t="array" aca="1" ref="AB255" ca="1">MMS_PastureBeef_Methane_Equations.VEERG_4_2_1_1__1_TotalAnnualMethaneProductionFromManureManagement(AA223,AB181,AA239)</f>
        <v>#N/A</v>
      </c>
      <c r="AC255" s="26" t="e" cm="1">
        <f t="array" aca="1" ref="AC255" ca="1">MMS_PastureBeef_Methane_Equations.VEERG_4_2_1_1__1_TotalAnnualMethaneProductionFromManureManagement(AB223,AC181,AB239)</f>
        <v>#N/A</v>
      </c>
      <c r="AD255" s="26" t="e" cm="1">
        <f t="array" aca="1" ref="AD255" ca="1">MMS_PastureBeef_Methane_Equations.VEERG_4_2_1_1__1_TotalAnnualMethaneProductionFromManureManagement(AC223,AD181,AC239)</f>
        <v>#N/A</v>
      </c>
      <c r="AE255" s="26" t="e" cm="1">
        <f t="array" aca="1" ref="AE255" ca="1">MMS_PastureBeef_Methane_Equations.VEERG_4_2_1_1__1_TotalAnnualMethaneProductionFromManureManagement(AD223,AE181,AD239)</f>
        <v>#N/A</v>
      </c>
      <c r="AF255" s="26" t="e" cm="1">
        <f t="array" aca="1" ref="AF255" ca="1">MMS_PastureBeef_Methane_Equations.VEERG_4_2_1_1__1_TotalAnnualMethaneProductionFromManureManagement(AE223,AF181,AE239)</f>
        <v>#N/A</v>
      </c>
      <c r="AG255" s="26" t="e" cm="1">
        <f t="array" aca="1" ref="AG255" ca="1">MMS_PastureBeef_Methane_Equations.VEERG_4_2_1_1__1_TotalAnnualMethaneProductionFromManureManagement(AF223,AG181,AF239)</f>
        <v>#N/A</v>
      </c>
      <c r="AH255" s="26" t="e" cm="1">
        <f t="array" aca="1" ref="AH255" ca="1">MMS_PastureBeef_Methane_Equations.VEERG_4_2_1_1__1_TotalAnnualMethaneProductionFromManureManagement(AG223,AH181,AG239)</f>
        <v>#N/A</v>
      </c>
      <c r="AI255" s="27" t="str">
        <f t="shared" si="11"/>
        <v>t CH4</v>
      </c>
      <c r="AJ255" s="27"/>
    </row>
    <row r="256" spans="4:36" ht="20.100000000000001" customHeight="1" x14ac:dyDescent="0.25">
      <c r="W256" s="26" t="str">
        <f>'Input - Pasture Beef'!$D$180</f>
        <v>Pasture range and paddock</v>
      </c>
      <c r="X256" s="26" t="e">
        <f t="shared" si="12"/>
        <v>#VALUE!</v>
      </c>
      <c r="Y256" s="26" t="e" cm="1">
        <f t="array" aca="1" ref="Y256" ca="1">MMS_PastureBeef_Methane_Equations.VEERG_4_2_1_1__1_TotalAnnualMethaneProductionFromManureManagement(X224,Y182,X240)</f>
        <v>#N/A</v>
      </c>
      <c r="Z256" s="26" t="e" cm="1">
        <f t="array" aca="1" ref="Z256" ca="1">MMS_PastureBeef_Methane_Equations.VEERG_4_2_1_1__1_TotalAnnualMethaneProductionFromManureManagement(Y224,Z182,Y240)</f>
        <v>#N/A</v>
      </c>
      <c r="AA256" s="26" t="e" cm="1">
        <f t="array" aca="1" ref="AA256" ca="1">MMS_PastureBeef_Methane_Equations.VEERG_4_2_1_1__1_TotalAnnualMethaneProductionFromManureManagement(Z224,AA182,Z240)</f>
        <v>#N/A</v>
      </c>
      <c r="AB256" s="26" t="e" cm="1">
        <f t="array" aca="1" ref="AB256" ca="1">MMS_PastureBeef_Methane_Equations.VEERG_4_2_1_1__1_TotalAnnualMethaneProductionFromManureManagement(AA224,AB182,AA240)</f>
        <v>#N/A</v>
      </c>
      <c r="AC256" s="26" t="e" cm="1">
        <f t="array" aca="1" ref="AC256" ca="1">MMS_PastureBeef_Methane_Equations.VEERG_4_2_1_1__1_TotalAnnualMethaneProductionFromManureManagement(AB224,AC182,AB240)</f>
        <v>#N/A</v>
      </c>
      <c r="AD256" s="26" t="e" cm="1">
        <f t="array" aca="1" ref="AD256" ca="1">MMS_PastureBeef_Methane_Equations.VEERG_4_2_1_1__1_TotalAnnualMethaneProductionFromManureManagement(AC224,AD182,AC240)</f>
        <v>#N/A</v>
      </c>
      <c r="AE256" s="26" t="e" cm="1">
        <f t="array" aca="1" ref="AE256" ca="1">MMS_PastureBeef_Methane_Equations.VEERG_4_2_1_1__1_TotalAnnualMethaneProductionFromManureManagement(AD224,AE182,AD240)</f>
        <v>#N/A</v>
      </c>
      <c r="AF256" s="26" t="e" cm="1">
        <f t="array" aca="1" ref="AF256" ca="1">MMS_PastureBeef_Methane_Equations.VEERG_4_2_1_1__1_TotalAnnualMethaneProductionFromManureManagement(AE224,AF182,AE240)</f>
        <v>#N/A</v>
      </c>
      <c r="AG256" s="26" t="e" cm="1">
        <f t="array" aca="1" ref="AG256" ca="1">MMS_PastureBeef_Methane_Equations.VEERG_4_2_1_1__1_TotalAnnualMethaneProductionFromManureManagement(AF224,AG182,AF240)</f>
        <v>#N/A</v>
      </c>
      <c r="AH256" s="26" t="e" cm="1">
        <f t="array" aca="1" ref="AH256" ca="1">MMS_PastureBeef_Methane_Equations.VEERG_4_2_1_1__1_TotalAnnualMethaneProductionFromManureManagement(AG224,AH182,AG240)</f>
        <v>#N/A</v>
      </c>
      <c r="AI256" s="27" t="str">
        <f t="shared" si="11"/>
        <v>t CH4</v>
      </c>
      <c r="AJ256" s="27"/>
    </row>
    <row r="257" spans="23:36" ht="20.100000000000001" customHeight="1" x14ac:dyDescent="0.25">
      <c r="W257" s="26" t="str">
        <f>'Input - Pasture Beef'!$D$180</f>
        <v>Pasture range and paddock</v>
      </c>
      <c r="X257" s="26" t="e">
        <f t="shared" si="12"/>
        <v>#VALUE!</v>
      </c>
      <c r="Y257" s="26" t="e" cm="1">
        <f t="array" aca="1" ref="Y257" ca="1">MMS_PastureBeef_Methane_Equations.VEERG_4_2_1_1__1_TotalAnnualMethaneProductionFromManureManagement(X225,Y183,X241)</f>
        <v>#N/A</v>
      </c>
      <c r="Z257" s="26" t="e" cm="1">
        <f t="array" aca="1" ref="Z257" ca="1">MMS_PastureBeef_Methane_Equations.VEERG_4_2_1_1__1_TotalAnnualMethaneProductionFromManureManagement(Y225,Z183,Y241)</f>
        <v>#N/A</v>
      </c>
      <c r="AA257" s="26" t="e" cm="1">
        <f t="array" aca="1" ref="AA257" ca="1">MMS_PastureBeef_Methane_Equations.VEERG_4_2_1_1__1_TotalAnnualMethaneProductionFromManureManagement(Z225,AA183,Z241)</f>
        <v>#N/A</v>
      </c>
      <c r="AB257" s="26" t="e" cm="1">
        <f t="array" aca="1" ref="AB257" ca="1">MMS_PastureBeef_Methane_Equations.VEERG_4_2_1_1__1_TotalAnnualMethaneProductionFromManureManagement(AA225,AB183,AA241)</f>
        <v>#N/A</v>
      </c>
      <c r="AC257" s="26" t="e" cm="1">
        <f t="array" aca="1" ref="AC257" ca="1">MMS_PastureBeef_Methane_Equations.VEERG_4_2_1_1__1_TotalAnnualMethaneProductionFromManureManagement(AB225,AC183,AB241)</f>
        <v>#N/A</v>
      </c>
      <c r="AD257" s="26" t="e" cm="1">
        <f t="array" aca="1" ref="AD257" ca="1">MMS_PastureBeef_Methane_Equations.VEERG_4_2_1_1__1_TotalAnnualMethaneProductionFromManureManagement(AC225,AD183,AC241)</f>
        <v>#N/A</v>
      </c>
      <c r="AE257" s="26" t="e" cm="1">
        <f t="array" aca="1" ref="AE257" ca="1">MMS_PastureBeef_Methane_Equations.VEERG_4_2_1_1__1_TotalAnnualMethaneProductionFromManureManagement(AD225,AE183,AD241)</f>
        <v>#N/A</v>
      </c>
      <c r="AF257" s="26" t="e" cm="1">
        <f t="array" aca="1" ref="AF257" ca="1">MMS_PastureBeef_Methane_Equations.VEERG_4_2_1_1__1_TotalAnnualMethaneProductionFromManureManagement(AE225,AF183,AE241)</f>
        <v>#N/A</v>
      </c>
      <c r="AG257" s="26" t="e" cm="1">
        <f t="array" aca="1" ref="AG257" ca="1">MMS_PastureBeef_Methane_Equations.VEERG_4_2_1_1__1_TotalAnnualMethaneProductionFromManureManagement(AF225,AG183,AF241)</f>
        <v>#N/A</v>
      </c>
      <c r="AH257" s="26" t="e" cm="1">
        <f t="array" aca="1" ref="AH257" ca="1">MMS_PastureBeef_Methane_Equations.VEERG_4_2_1_1__1_TotalAnnualMethaneProductionFromManureManagement(AG225,AH183,AG241)</f>
        <v>#N/A</v>
      </c>
      <c r="AI257" s="27" t="str">
        <f t="shared" si="11"/>
        <v>t CH4</v>
      </c>
      <c r="AJ257" s="27"/>
    </row>
    <row r="258" spans="23:36" ht="20.100000000000001" customHeight="1" x14ac:dyDescent="0.25">
      <c r="W258" s="26" t="str">
        <f>'Input - Pasture Beef'!$D$180</f>
        <v>Pasture range and paddock</v>
      </c>
      <c r="X258" s="26" t="e">
        <f t="shared" si="12"/>
        <v>#VALUE!</v>
      </c>
      <c r="Y258" s="26" t="e" cm="1">
        <f t="array" aca="1" ref="Y258" ca="1">MMS_PastureBeef_Methane_Equations.VEERG_4_2_1_1__1_TotalAnnualMethaneProductionFromManureManagement(X226,Y184,X242)</f>
        <v>#N/A</v>
      </c>
      <c r="Z258" s="26" t="e" cm="1">
        <f t="array" aca="1" ref="Z258" ca="1">MMS_PastureBeef_Methane_Equations.VEERG_4_2_1_1__1_TotalAnnualMethaneProductionFromManureManagement(Y226,Z184,Y242)</f>
        <v>#N/A</v>
      </c>
      <c r="AA258" s="26" t="e" cm="1">
        <f t="array" aca="1" ref="AA258" ca="1">MMS_PastureBeef_Methane_Equations.VEERG_4_2_1_1__1_TotalAnnualMethaneProductionFromManureManagement(Z226,AA184,Z242)</f>
        <v>#N/A</v>
      </c>
      <c r="AB258" s="26" t="e" cm="1">
        <f t="array" aca="1" ref="AB258" ca="1">MMS_PastureBeef_Methane_Equations.VEERG_4_2_1_1__1_TotalAnnualMethaneProductionFromManureManagement(AA226,AB184,AA242)</f>
        <v>#N/A</v>
      </c>
      <c r="AC258" s="26" t="e" cm="1">
        <f t="array" aca="1" ref="AC258" ca="1">MMS_PastureBeef_Methane_Equations.VEERG_4_2_1_1__1_TotalAnnualMethaneProductionFromManureManagement(AB226,AC184,AB242)</f>
        <v>#N/A</v>
      </c>
      <c r="AD258" s="26" t="e" cm="1">
        <f t="array" aca="1" ref="AD258" ca="1">MMS_PastureBeef_Methane_Equations.VEERG_4_2_1_1__1_TotalAnnualMethaneProductionFromManureManagement(AC226,AD184,AC242)</f>
        <v>#N/A</v>
      </c>
      <c r="AE258" s="26" t="e" cm="1">
        <f t="array" aca="1" ref="AE258" ca="1">MMS_PastureBeef_Methane_Equations.VEERG_4_2_1_1__1_TotalAnnualMethaneProductionFromManureManagement(AD226,AE184,AD242)</f>
        <v>#N/A</v>
      </c>
      <c r="AF258" s="26" t="e" cm="1">
        <f t="array" aca="1" ref="AF258" ca="1">MMS_PastureBeef_Methane_Equations.VEERG_4_2_1_1__1_TotalAnnualMethaneProductionFromManureManagement(AE226,AF184,AE242)</f>
        <v>#N/A</v>
      </c>
      <c r="AG258" s="26" t="e" cm="1">
        <f t="array" aca="1" ref="AG258" ca="1">MMS_PastureBeef_Methane_Equations.VEERG_4_2_1_1__1_TotalAnnualMethaneProductionFromManureManagement(AF226,AG184,AF242)</f>
        <v>#N/A</v>
      </c>
      <c r="AH258" s="26" t="e" cm="1">
        <f t="array" aca="1" ref="AH258" ca="1">MMS_PastureBeef_Methane_Equations.VEERG_4_2_1_1__1_TotalAnnualMethaneProductionFromManureManagement(AG226,AH184,AG242)</f>
        <v>#N/A</v>
      </c>
      <c r="AI258" s="27" t="str">
        <f t="shared" si="11"/>
        <v>t CH4</v>
      </c>
      <c r="AJ258" s="27"/>
    </row>
    <row r="259" spans="23:36" ht="20.100000000000001" customHeight="1" x14ac:dyDescent="0.25">
      <c r="W259" s="26" t="str">
        <f>'Input - Pasture Beef'!$D$180</f>
        <v>Pasture range and paddock</v>
      </c>
      <c r="X259" s="26" t="e">
        <f t="shared" si="12"/>
        <v>#VALUE!</v>
      </c>
      <c r="Y259" s="26" t="e" cm="1">
        <f t="array" aca="1" ref="Y259" ca="1">MMS_PastureBeef_Methane_Equations.VEERG_4_2_1_1__1_TotalAnnualMethaneProductionFromManureManagement(X227,Y185,X243)</f>
        <v>#N/A</v>
      </c>
      <c r="Z259" s="26" t="e" cm="1">
        <f t="array" aca="1" ref="Z259" ca="1">MMS_PastureBeef_Methane_Equations.VEERG_4_2_1_1__1_TotalAnnualMethaneProductionFromManureManagement(Y227,Z185,Y243)</f>
        <v>#N/A</v>
      </c>
      <c r="AA259" s="26" t="e" cm="1">
        <f t="array" aca="1" ref="AA259" ca="1">MMS_PastureBeef_Methane_Equations.VEERG_4_2_1_1__1_TotalAnnualMethaneProductionFromManureManagement(Z227,AA185,Z243)</f>
        <v>#N/A</v>
      </c>
      <c r="AB259" s="26" t="e" cm="1">
        <f t="array" aca="1" ref="AB259" ca="1">MMS_PastureBeef_Methane_Equations.VEERG_4_2_1_1__1_TotalAnnualMethaneProductionFromManureManagement(AA227,AB185,AA243)</f>
        <v>#N/A</v>
      </c>
      <c r="AC259" s="26" t="e" cm="1">
        <f t="array" aca="1" ref="AC259" ca="1">MMS_PastureBeef_Methane_Equations.VEERG_4_2_1_1__1_TotalAnnualMethaneProductionFromManureManagement(AB227,AC185,AB243)</f>
        <v>#N/A</v>
      </c>
      <c r="AD259" s="26" t="e" cm="1">
        <f t="array" aca="1" ref="AD259" ca="1">MMS_PastureBeef_Methane_Equations.VEERG_4_2_1_1__1_TotalAnnualMethaneProductionFromManureManagement(AC227,AD185,AC243)</f>
        <v>#N/A</v>
      </c>
      <c r="AE259" s="26" t="e" cm="1">
        <f t="array" aca="1" ref="AE259" ca="1">MMS_PastureBeef_Methane_Equations.VEERG_4_2_1_1__1_TotalAnnualMethaneProductionFromManureManagement(AD227,AE185,AD243)</f>
        <v>#N/A</v>
      </c>
      <c r="AF259" s="26" t="e" cm="1">
        <f t="array" aca="1" ref="AF259" ca="1">MMS_PastureBeef_Methane_Equations.VEERG_4_2_1_1__1_TotalAnnualMethaneProductionFromManureManagement(AE227,AF185,AE243)</f>
        <v>#N/A</v>
      </c>
      <c r="AG259" s="26" t="e" cm="1">
        <f t="array" aca="1" ref="AG259" ca="1">MMS_PastureBeef_Methane_Equations.VEERG_4_2_1_1__1_TotalAnnualMethaneProductionFromManureManagement(AF227,AG185,AF243)</f>
        <v>#N/A</v>
      </c>
      <c r="AH259" s="26" t="e" cm="1">
        <f t="array" aca="1" ref="AH259" ca="1">MMS_PastureBeef_Methane_Equations.VEERG_4_2_1_1__1_TotalAnnualMethaneProductionFromManureManagement(AG227,AH185,AG243)</f>
        <v>#N/A</v>
      </c>
      <c r="AI259" s="27" t="str">
        <f t="shared" si="11"/>
        <v>t CH4</v>
      </c>
      <c r="AJ259" s="27"/>
    </row>
    <row r="260" spans="23:36" ht="20.100000000000001" customHeight="1" x14ac:dyDescent="0.25">
      <c r="W260" s="26" t="str">
        <f>'Input - Pasture Beef'!$D$180</f>
        <v>Pasture range and paddock</v>
      </c>
      <c r="X260" s="26" t="e">
        <f t="shared" si="12"/>
        <v>#VALUE!</v>
      </c>
      <c r="Y260" s="26" t="e" cm="1">
        <f t="array" aca="1" ref="Y260" ca="1">MMS_PastureBeef_Methane_Equations.VEERG_4_2_1_1__1_TotalAnnualMethaneProductionFromManureManagement(X228,Y186,X244)</f>
        <v>#N/A</v>
      </c>
      <c r="Z260" s="26" t="e" cm="1">
        <f t="array" aca="1" ref="Z260" ca="1">MMS_PastureBeef_Methane_Equations.VEERG_4_2_1_1__1_TotalAnnualMethaneProductionFromManureManagement(Y228,Z186,Y244)</f>
        <v>#N/A</v>
      </c>
      <c r="AA260" s="26" t="e" cm="1">
        <f t="array" aca="1" ref="AA260" ca="1">MMS_PastureBeef_Methane_Equations.VEERG_4_2_1_1__1_TotalAnnualMethaneProductionFromManureManagement(Z228,AA186,Z244)</f>
        <v>#N/A</v>
      </c>
      <c r="AB260" s="26" t="e" cm="1">
        <f t="array" aca="1" ref="AB260" ca="1">MMS_PastureBeef_Methane_Equations.VEERG_4_2_1_1__1_TotalAnnualMethaneProductionFromManureManagement(AA228,AB186,AA244)</f>
        <v>#N/A</v>
      </c>
      <c r="AC260" s="26" t="e" cm="1">
        <f t="array" aca="1" ref="AC260" ca="1">MMS_PastureBeef_Methane_Equations.VEERG_4_2_1_1__1_TotalAnnualMethaneProductionFromManureManagement(AB228,AC186,AB244)</f>
        <v>#N/A</v>
      </c>
      <c r="AD260" s="26" t="e" cm="1">
        <f t="array" aca="1" ref="AD260" ca="1">MMS_PastureBeef_Methane_Equations.VEERG_4_2_1_1__1_TotalAnnualMethaneProductionFromManureManagement(AC228,AD186,AC244)</f>
        <v>#N/A</v>
      </c>
      <c r="AE260" s="26" t="e" cm="1">
        <f t="array" aca="1" ref="AE260" ca="1">MMS_PastureBeef_Methane_Equations.VEERG_4_2_1_1__1_TotalAnnualMethaneProductionFromManureManagement(AD228,AE186,AD244)</f>
        <v>#N/A</v>
      </c>
      <c r="AF260" s="26" t="e" cm="1">
        <f t="array" aca="1" ref="AF260" ca="1">MMS_PastureBeef_Methane_Equations.VEERG_4_2_1_1__1_TotalAnnualMethaneProductionFromManureManagement(AE228,AF186,AE244)</f>
        <v>#N/A</v>
      </c>
      <c r="AG260" s="26" t="e" cm="1">
        <f t="array" aca="1" ref="AG260" ca="1">MMS_PastureBeef_Methane_Equations.VEERG_4_2_1_1__1_TotalAnnualMethaneProductionFromManureManagement(AF228,AG186,AF244)</f>
        <v>#N/A</v>
      </c>
      <c r="AH260" s="26" t="e" cm="1">
        <f t="array" aca="1" ref="AH260" ca="1">MMS_PastureBeef_Methane_Equations.VEERG_4_2_1_1__1_TotalAnnualMethaneProductionFromManureManagement(AG228,AH186,AG244)</f>
        <v>#N/A</v>
      </c>
      <c r="AI260" s="27" t="str">
        <f t="shared" si="11"/>
        <v>t CH4</v>
      </c>
      <c r="AJ260" s="27"/>
    </row>
    <row r="261" spans="23:36" ht="20.100000000000001" customHeight="1" x14ac:dyDescent="0.25">
      <c r="W261" s="26" t="str">
        <f>'Input - Pasture Beef'!$D$180</f>
        <v>Pasture range and paddock</v>
      </c>
      <c r="X261" s="26" t="e">
        <f t="shared" si="12"/>
        <v>#VALUE!</v>
      </c>
      <c r="Y261" s="26" t="e" cm="1">
        <f t="array" aca="1" ref="Y261" ca="1">MMS_PastureBeef_Methane_Equations.VEERG_4_2_1_1__1_TotalAnnualMethaneProductionFromManureManagement(X229,Y187,X245)</f>
        <v>#N/A</v>
      </c>
      <c r="Z261" s="26" t="e" cm="1">
        <f t="array" aca="1" ref="Z261" ca="1">MMS_PastureBeef_Methane_Equations.VEERG_4_2_1_1__1_TotalAnnualMethaneProductionFromManureManagement(Y229,Z187,Y245)</f>
        <v>#N/A</v>
      </c>
      <c r="AA261" s="26" t="e" cm="1">
        <f t="array" aca="1" ref="AA261" ca="1">MMS_PastureBeef_Methane_Equations.VEERG_4_2_1_1__1_TotalAnnualMethaneProductionFromManureManagement(Z229,AA187,Z245)</f>
        <v>#N/A</v>
      </c>
      <c r="AB261" s="26" t="e" cm="1">
        <f t="array" aca="1" ref="AB261" ca="1">MMS_PastureBeef_Methane_Equations.VEERG_4_2_1_1__1_TotalAnnualMethaneProductionFromManureManagement(AA229,AB187,AA245)</f>
        <v>#N/A</v>
      </c>
      <c r="AC261" s="26" t="e" cm="1">
        <f t="array" aca="1" ref="AC261" ca="1">MMS_PastureBeef_Methane_Equations.VEERG_4_2_1_1__1_TotalAnnualMethaneProductionFromManureManagement(AB229,AC187,AB245)</f>
        <v>#N/A</v>
      </c>
      <c r="AD261" s="26" t="e" cm="1">
        <f t="array" aca="1" ref="AD261" ca="1">MMS_PastureBeef_Methane_Equations.VEERG_4_2_1_1__1_TotalAnnualMethaneProductionFromManureManagement(AC229,AD187,AC245)</f>
        <v>#N/A</v>
      </c>
      <c r="AE261" s="26" t="e" cm="1">
        <f t="array" aca="1" ref="AE261" ca="1">MMS_PastureBeef_Methane_Equations.VEERG_4_2_1_1__1_TotalAnnualMethaneProductionFromManureManagement(AD229,AE187,AD245)</f>
        <v>#N/A</v>
      </c>
      <c r="AF261" s="26" t="e" cm="1">
        <f t="array" aca="1" ref="AF261" ca="1">MMS_PastureBeef_Methane_Equations.VEERG_4_2_1_1__1_TotalAnnualMethaneProductionFromManureManagement(AE229,AF187,AE245)</f>
        <v>#N/A</v>
      </c>
      <c r="AG261" s="26" t="e" cm="1">
        <f t="array" aca="1" ref="AG261" ca="1">MMS_PastureBeef_Methane_Equations.VEERG_4_2_1_1__1_TotalAnnualMethaneProductionFromManureManagement(AF229,AG187,AF245)</f>
        <v>#N/A</v>
      </c>
      <c r="AH261" s="26" t="e" cm="1">
        <f t="array" aca="1" ref="AH261" ca="1">MMS_PastureBeef_Methane_Equations.VEERG_4_2_1_1__1_TotalAnnualMethaneProductionFromManureManagement(AG229,AH187,AG245)</f>
        <v>#N/A</v>
      </c>
      <c r="AI261" s="27" t="str">
        <f t="shared" si="11"/>
        <v>t CH4</v>
      </c>
      <c r="AJ261" s="27"/>
    </row>
    <row r="262" spans="23:36" ht="20.100000000000001" customHeight="1" x14ac:dyDescent="0.25">
      <c r="W262" s="26" t="str">
        <f>'Input - Pasture Beef'!$D$180</f>
        <v>Pasture range and paddock</v>
      </c>
      <c r="X262" s="26" t="e">
        <f t="shared" si="12"/>
        <v>#VALUE!</v>
      </c>
      <c r="Y262" s="26" t="e" cm="1">
        <f t="array" aca="1" ref="Y262" ca="1">MMS_PastureBeef_Methane_Equations.VEERG_4_2_1_1__1_TotalAnnualMethaneProductionFromManureManagement(X230,Y188,X246)</f>
        <v>#N/A</v>
      </c>
      <c r="Z262" s="26" t="e" cm="1">
        <f t="array" aca="1" ref="Z262" ca="1">MMS_PastureBeef_Methane_Equations.VEERG_4_2_1_1__1_TotalAnnualMethaneProductionFromManureManagement(Y230,Z188,Y246)</f>
        <v>#N/A</v>
      </c>
      <c r="AA262" s="26" t="e" cm="1">
        <f t="array" aca="1" ref="AA262" ca="1">MMS_PastureBeef_Methane_Equations.VEERG_4_2_1_1__1_TotalAnnualMethaneProductionFromManureManagement(Z230,AA188,Z246)</f>
        <v>#N/A</v>
      </c>
      <c r="AB262" s="26" t="e" cm="1">
        <f t="array" aca="1" ref="AB262" ca="1">MMS_PastureBeef_Methane_Equations.VEERG_4_2_1_1__1_TotalAnnualMethaneProductionFromManureManagement(AA230,AB188,AA246)</f>
        <v>#N/A</v>
      </c>
      <c r="AC262" s="26" t="e" cm="1">
        <f t="array" aca="1" ref="AC262" ca="1">MMS_PastureBeef_Methane_Equations.VEERG_4_2_1_1__1_TotalAnnualMethaneProductionFromManureManagement(AB230,AC188,AB246)</f>
        <v>#N/A</v>
      </c>
      <c r="AD262" s="26" t="e" cm="1">
        <f t="array" aca="1" ref="AD262" ca="1">MMS_PastureBeef_Methane_Equations.VEERG_4_2_1_1__1_TotalAnnualMethaneProductionFromManureManagement(AC230,AD188,AC246)</f>
        <v>#N/A</v>
      </c>
      <c r="AE262" s="26" t="e" cm="1">
        <f t="array" aca="1" ref="AE262" ca="1">MMS_PastureBeef_Methane_Equations.VEERG_4_2_1_1__1_TotalAnnualMethaneProductionFromManureManagement(AD230,AE188,AD246)</f>
        <v>#N/A</v>
      </c>
      <c r="AF262" s="26" t="e" cm="1">
        <f t="array" aca="1" ref="AF262" ca="1">MMS_PastureBeef_Methane_Equations.VEERG_4_2_1_1__1_TotalAnnualMethaneProductionFromManureManagement(AE230,AF188,AE246)</f>
        <v>#N/A</v>
      </c>
      <c r="AG262" s="26" t="e" cm="1">
        <f t="array" aca="1" ref="AG262" ca="1">MMS_PastureBeef_Methane_Equations.VEERG_4_2_1_1__1_TotalAnnualMethaneProductionFromManureManagement(AF230,AG188,AF246)</f>
        <v>#N/A</v>
      </c>
      <c r="AH262" s="26" t="e" cm="1">
        <f t="array" aca="1" ref="AH262" ca="1">MMS_PastureBeef_Methane_Equations.VEERG_4_2_1_1__1_TotalAnnualMethaneProductionFromManureManagement(AG230,AH188,AG246)</f>
        <v>#N/A</v>
      </c>
      <c r="AI262" s="27" t="str">
        <f t="shared" si="11"/>
        <v>t CH4</v>
      </c>
      <c r="AJ262" s="27"/>
    </row>
    <row r="263" spans="23:36" ht="20.100000000000001" customHeight="1" x14ac:dyDescent="0.25">
      <c r="W263" s="26" t="str">
        <f>'Input - Pasture Beef'!$D$181</f>
        <v>Anaerobic lagoon</v>
      </c>
      <c r="X263" s="26" t="str">
        <f>W235</f>
        <v>NO - Not in leaching zone</v>
      </c>
      <c r="Y263" s="26" t="e" cm="1">
        <f t="array" aca="1" ref="Y263" ca="1">MMS_PastureBeef_Methane_Equations.VEERG_4_2_1_1__1_TotalAnnualMethaneProductionFromManureManagement(X219,Y189,X235)</f>
        <v>#N/A</v>
      </c>
      <c r="Z263" s="26" t="e" cm="1">
        <f t="array" aca="1" ref="Z263" ca="1">MMS_PastureBeef_Methane_Equations.VEERG_4_2_1_1__1_TotalAnnualMethaneProductionFromManureManagement(Y219,Z189,Y235)</f>
        <v>#N/A</v>
      </c>
      <c r="AA263" s="26" t="e" cm="1">
        <f t="array" aca="1" ref="AA263" ca="1">MMS_PastureBeef_Methane_Equations.VEERG_4_2_1_1__1_TotalAnnualMethaneProductionFromManureManagement(Z219,AA189,Z235)</f>
        <v>#N/A</v>
      </c>
      <c r="AB263" s="26" t="e" cm="1">
        <f t="array" aca="1" ref="AB263" ca="1">MMS_PastureBeef_Methane_Equations.VEERG_4_2_1_1__1_TotalAnnualMethaneProductionFromManureManagement(AA219,AB189,AA235)</f>
        <v>#N/A</v>
      </c>
      <c r="AC263" s="26" t="e" cm="1">
        <f t="array" aca="1" ref="AC263" ca="1">MMS_PastureBeef_Methane_Equations.VEERG_4_2_1_1__1_TotalAnnualMethaneProductionFromManureManagement(AB219,AC189,AB235)</f>
        <v>#N/A</v>
      </c>
      <c r="AD263" s="26" t="e" cm="1">
        <f t="array" aca="1" ref="AD263" ca="1">MMS_PastureBeef_Methane_Equations.VEERG_4_2_1_1__1_TotalAnnualMethaneProductionFromManureManagement(AC219,AD189,AC235)</f>
        <v>#N/A</v>
      </c>
      <c r="AE263" s="26" t="e" cm="1">
        <f t="array" aca="1" ref="AE263" ca="1">MMS_PastureBeef_Methane_Equations.VEERG_4_2_1_1__1_TotalAnnualMethaneProductionFromManureManagement(AD219,AE189,AD235)</f>
        <v>#N/A</v>
      </c>
      <c r="AF263" s="26" t="e" cm="1">
        <f t="array" aca="1" ref="AF263" ca="1">MMS_PastureBeef_Methane_Equations.VEERG_4_2_1_1__1_TotalAnnualMethaneProductionFromManureManagement(AE219,AF189,AE235)</f>
        <v>#N/A</v>
      </c>
      <c r="AG263" s="26" t="e" cm="1">
        <f t="array" aca="1" ref="AG263" ca="1">MMS_PastureBeef_Methane_Equations.VEERG_4_2_1_1__1_TotalAnnualMethaneProductionFromManureManagement(AF219,AG189,AF235)</f>
        <v>#N/A</v>
      </c>
      <c r="AH263" s="26" t="e" cm="1">
        <f t="array" aca="1" ref="AH263" ca="1">MMS_PastureBeef_Methane_Equations.VEERG_4_2_1_1__1_TotalAnnualMethaneProductionFromManureManagement(AG219,AH189,AG235)</f>
        <v>#N/A</v>
      </c>
      <c r="AI263" s="27" t="str">
        <f t="shared" si="11"/>
        <v>t CH4</v>
      </c>
      <c r="AJ263" s="27"/>
    </row>
    <row r="264" spans="23:36" ht="20.100000000000001" customHeight="1" x14ac:dyDescent="0.25">
      <c r="W264" s="26" t="str">
        <f>'Input - Pasture Beef'!$D$181</f>
        <v>Anaerobic lagoon</v>
      </c>
      <c r="X264" s="26" t="e">
        <f t="shared" ref="X264:X274" si="13">W236</f>
        <v>#VALUE!</v>
      </c>
      <c r="Y264" s="26" t="e" cm="1">
        <f t="array" aca="1" ref="Y264" ca="1">MMS_PastureBeef_Methane_Equations.VEERG_4_2_1_1__1_TotalAnnualMethaneProductionFromManureManagement(X220,Y190,X236)</f>
        <v>#N/A</v>
      </c>
      <c r="Z264" s="26" t="e" cm="1">
        <f t="array" aca="1" ref="Z264" ca="1">MMS_PastureBeef_Methane_Equations.VEERG_4_2_1_1__1_TotalAnnualMethaneProductionFromManureManagement(Y220,Z190,Y236)</f>
        <v>#N/A</v>
      </c>
      <c r="AA264" s="26" t="e" cm="1">
        <f t="array" aca="1" ref="AA264" ca="1">MMS_PastureBeef_Methane_Equations.VEERG_4_2_1_1__1_TotalAnnualMethaneProductionFromManureManagement(Z220,AA190,Z236)</f>
        <v>#N/A</v>
      </c>
      <c r="AB264" s="26" t="e" cm="1">
        <f t="array" aca="1" ref="AB264" ca="1">MMS_PastureBeef_Methane_Equations.VEERG_4_2_1_1__1_TotalAnnualMethaneProductionFromManureManagement(AA220,AB190,AA236)</f>
        <v>#N/A</v>
      </c>
      <c r="AC264" s="26" t="e" cm="1">
        <f t="array" aca="1" ref="AC264" ca="1">MMS_PastureBeef_Methane_Equations.VEERG_4_2_1_1__1_TotalAnnualMethaneProductionFromManureManagement(AB220,AC190,AB236)</f>
        <v>#N/A</v>
      </c>
      <c r="AD264" s="26" t="e" cm="1">
        <f t="array" aca="1" ref="AD264" ca="1">MMS_PastureBeef_Methane_Equations.VEERG_4_2_1_1__1_TotalAnnualMethaneProductionFromManureManagement(AC220,AD190,AC236)</f>
        <v>#N/A</v>
      </c>
      <c r="AE264" s="26" t="e" cm="1">
        <f t="array" aca="1" ref="AE264" ca="1">MMS_PastureBeef_Methane_Equations.VEERG_4_2_1_1__1_TotalAnnualMethaneProductionFromManureManagement(AD220,AE190,AD236)</f>
        <v>#N/A</v>
      </c>
      <c r="AF264" s="26" t="e" cm="1">
        <f t="array" aca="1" ref="AF264" ca="1">MMS_PastureBeef_Methane_Equations.VEERG_4_2_1_1__1_TotalAnnualMethaneProductionFromManureManagement(AE220,AF190,AE236)</f>
        <v>#N/A</v>
      </c>
      <c r="AG264" s="26" t="e" cm="1">
        <f t="array" aca="1" ref="AG264" ca="1">MMS_PastureBeef_Methane_Equations.VEERG_4_2_1_1__1_TotalAnnualMethaneProductionFromManureManagement(AF220,AG190,AF236)</f>
        <v>#N/A</v>
      </c>
      <c r="AH264" s="26" t="e" cm="1">
        <f t="array" aca="1" ref="AH264" ca="1">MMS_PastureBeef_Methane_Equations.VEERG_4_2_1_1__1_TotalAnnualMethaneProductionFromManureManagement(AG220,AH190,AG236)</f>
        <v>#N/A</v>
      </c>
      <c r="AI264" s="27" t="str">
        <f t="shared" si="11"/>
        <v>t CH4</v>
      </c>
      <c r="AJ264" s="27"/>
    </row>
    <row r="265" spans="23:36" ht="20.100000000000001" customHeight="1" x14ac:dyDescent="0.25">
      <c r="W265" s="26" t="str">
        <f>'Input - Pasture Beef'!$D$181</f>
        <v>Anaerobic lagoon</v>
      </c>
      <c r="X265" s="26" t="e">
        <f t="shared" si="13"/>
        <v>#VALUE!</v>
      </c>
      <c r="Y265" s="26" t="e" cm="1">
        <f t="array" aca="1" ref="Y265" ca="1">MMS_PastureBeef_Methane_Equations.VEERG_4_2_1_1__1_TotalAnnualMethaneProductionFromManureManagement(X221,Y191,X237)</f>
        <v>#N/A</v>
      </c>
      <c r="Z265" s="26" t="e" cm="1">
        <f t="array" aca="1" ref="Z265" ca="1">MMS_PastureBeef_Methane_Equations.VEERG_4_2_1_1__1_TotalAnnualMethaneProductionFromManureManagement(Y221,Z191,Y237)</f>
        <v>#N/A</v>
      </c>
      <c r="AA265" s="26" t="e" cm="1">
        <f t="array" aca="1" ref="AA265" ca="1">MMS_PastureBeef_Methane_Equations.VEERG_4_2_1_1__1_TotalAnnualMethaneProductionFromManureManagement(Z221,AA191,Z237)</f>
        <v>#N/A</v>
      </c>
      <c r="AB265" s="26" t="e" cm="1">
        <f t="array" aca="1" ref="AB265" ca="1">MMS_PastureBeef_Methane_Equations.VEERG_4_2_1_1__1_TotalAnnualMethaneProductionFromManureManagement(AA221,AB191,AA237)</f>
        <v>#N/A</v>
      </c>
      <c r="AC265" s="26" t="e" cm="1">
        <f t="array" aca="1" ref="AC265" ca="1">MMS_PastureBeef_Methane_Equations.VEERG_4_2_1_1__1_TotalAnnualMethaneProductionFromManureManagement(AB221,AC191,AB237)</f>
        <v>#N/A</v>
      </c>
      <c r="AD265" s="26" t="e" cm="1">
        <f t="array" aca="1" ref="AD265" ca="1">MMS_PastureBeef_Methane_Equations.VEERG_4_2_1_1__1_TotalAnnualMethaneProductionFromManureManagement(AC221,AD191,AC237)</f>
        <v>#N/A</v>
      </c>
      <c r="AE265" s="26" t="e" cm="1">
        <f t="array" aca="1" ref="AE265" ca="1">MMS_PastureBeef_Methane_Equations.VEERG_4_2_1_1__1_TotalAnnualMethaneProductionFromManureManagement(AD221,AE191,AD237)</f>
        <v>#N/A</v>
      </c>
      <c r="AF265" s="26" t="e" cm="1">
        <f t="array" aca="1" ref="AF265" ca="1">MMS_PastureBeef_Methane_Equations.VEERG_4_2_1_1__1_TotalAnnualMethaneProductionFromManureManagement(AE221,AF191,AE237)</f>
        <v>#N/A</v>
      </c>
      <c r="AG265" s="26" t="e" cm="1">
        <f t="array" aca="1" ref="AG265" ca="1">MMS_PastureBeef_Methane_Equations.VEERG_4_2_1_1__1_TotalAnnualMethaneProductionFromManureManagement(AF221,AG191,AF237)</f>
        <v>#N/A</v>
      </c>
      <c r="AH265" s="26" t="e" cm="1">
        <f t="array" aca="1" ref="AH265" ca="1">MMS_PastureBeef_Methane_Equations.VEERG_4_2_1_1__1_TotalAnnualMethaneProductionFromManureManagement(AG221,AH191,AG237)</f>
        <v>#N/A</v>
      </c>
      <c r="AI265" s="27" t="str">
        <f t="shared" si="11"/>
        <v>t CH4</v>
      </c>
      <c r="AJ265" s="27"/>
    </row>
    <row r="266" spans="23:36" ht="20.100000000000001" customHeight="1" x14ac:dyDescent="0.25">
      <c r="W266" s="26" t="str">
        <f>'Input - Pasture Beef'!$D$181</f>
        <v>Anaerobic lagoon</v>
      </c>
      <c r="X266" s="26" t="e">
        <f t="shared" si="13"/>
        <v>#VALUE!</v>
      </c>
      <c r="Y266" s="26" t="e" cm="1">
        <f t="array" aca="1" ref="Y266" ca="1">MMS_PastureBeef_Methane_Equations.VEERG_4_2_1_1__1_TotalAnnualMethaneProductionFromManureManagement(X222,Y192,X238)</f>
        <v>#N/A</v>
      </c>
      <c r="Z266" s="26" t="e" cm="1">
        <f t="array" aca="1" ref="Z266" ca="1">MMS_PastureBeef_Methane_Equations.VEERG_4_2_1_1__1_TotalAnnualMethaneProductionFromManureManagement(Y222,Z192,Y238)</f>
        <v>#N/A</v>
      </c>
      <c r="AA266" s="26" t="e" cm="1">
        <f t="array" aca="1" ref="AA266" ca="1">MMS_PastureBeef_Methane_Equations.VEERG_4_2_1_1__1_TotalAnnualMethaneProductionFromManureManagement(Z222,AA192,Z238)</f>
        <v>#N/A</v>
      </c>
      <c r="AB266" s="26" t="e" cm="1">
        <f t="array" aca="1" ref="AB266" ca="1">MMS_PastureBeef_Methane_Equations.VEERG_4_2_1_1__1_TotalAnnualMethaneProductionFromManureManagement(AA222,AB192,AA238)</f>
        <v>#N/A</v>
      </c>
      <c r="AC266" s="26" t="e" cm="1">
        <f t="array" aca="1" ref="AC266" ca="1">MMS_PastureBeef_Methane_Equations.VEERG_4_2_1_1__1_TotalAnnualMethaneProductionFromManureManagement(AB222,AC192,AB238)</f>
        <v>#N/A</v>
      </c>
      <c r="AD266" s="26" t="e" cm="1">
        <f t="array" aca="1" ref="AD266" ca="1">MMS_PastureBeef_Methane_Equations.VEERG_4_2_1_1__1_TotalAnnualMethaneProductionFromManureManagement(AC222,AD192,AC238)</f>
        <v>#N/A</v>
      </c>
      <c r="AE266" s="26" t="e" cm="1">
        <f t="array" aca="1" ref="AE266" ca="1">MMS_PastureBeef_Methane_Equations.VEERG_4_2_1_1__1_TotalAnnualMethaneProductionFromManureManagement(AD222,AE192,AD238)</f>
        <v>#N/A</v>
      </c>
      <c r="AF266" s="26" t="e" cm="1">
        <f t="array" aca="1" ref="AF266" ca="1">MMS_PastureBeef_Methane_Equations.VEERG_4_2_1_1__1_TotalAnnualMethaneProductionFromManureManagement(AE222,AF192,AE238)</f>
        <v>#N/A</v>
      </c>
      <c r="AG266" s="26" t="e" cm="1">
        <f t="array" aca="1" ref="AG266" ca="1">MMS_PastureBeef_Methane_Equations.VEERG_4_2_1_1__1_TotalAnnualMethaneProductionFromManureManagement(AF222,AG192,AF238)</f>
        <v>#N/A</v>
      </c>
      <c r="AH266" s="26" t="e" cm="1">
        <f t="array" aca="1" ref="AH266" ca="1">MMS_PastureBeef_Methane_Equations.VEERG_4_2_1_1__1_TotalAnnualMethaneProductionFromManureManagement(AG222,AH192,AG238)</f>
        <v>#N/A</v>
      </c>
      <c r="AI266" s="27" t="str">
        <f t="shared" si="11"/>
        <v>t CH4</v>
      </c>
      <c r="AJ266" s="27"/>
    </row>
    <row r="267" spans="23:36" ht="20.100000000000001" customHeight="1" x14ac:dyDescent="0.25">
      <c r="W267" s="26" t="str">
        <f>'Input - Pasture Beef'!$D$181</f>
        <v>Anaerobic lagoon</v>
      </c>
      <c r="X267" s="26" t="e">
        <f t="shared" si="13"/>
        <v>#VALUE!</v>
      </c>
      <c r="Y267" s="26" t="e" cm="1">
        <f t="array" aca="1" ref="Y267" ca="1">MMS_PastureBeef_Methane_Equations.VEERG_4_2_1_1__1_TotalAnnualMethaneProductionFromManureManagement(X223,Y193,X239)</f>
        <v>#N/A</v>
      </c>
      <c r="Z267" s="26" t="e" cm="1">
        <f t="array" aca="1" ref="Z267" ca="1">MMS_PastureBeef_Methane_Equations.VEERG_4_2_1_1__1_TotalAnnualMethaneProductionFromManureManagement(Y223,Z193,Y239)</f>
        <v>#N/A</v>
      </c>
      <c r="AA267" s="26" t="e" cm="1">
        <f t="array" aca="1" ref="AA267" ca="1">MMS_PastureBeef_Methane_Equations.VEERG_4_2_1_1__1_TotalAnnualMethaneProductionFromManureManagement(Z223,AA193,Z239)</f>
        <v>#N/A</v>
      </c>
      <c r="AB267" s="26" t="e" cm="1">
        <f t="array" aca="1" ref="AB267" ca="1">MMS_PastureBeef_Methane_Equations.VEERG_4_2_1_1__1_TotalAnnualMethaneProductionFromManureManagement(AA223,AB193,AA239)</f>
        <v>#N/A</v>
      </c>
      <c r="AC267" s="26" t="e" cm="1">
        <f t="array" aca="1" ref="AC267" ca="1">MMS_PastureBeef_Methane_Equations.VEERG_4_2_1_1__1_TotalAnnualMethaneProductionFromManureManagement(AB223,AC193,AB239)</f>
        <v>#N/A</v>
      </c>
      <c r="AD267" s="26" t="e" cm="1">
        <f t="array" aca="1" ref="AD267" ca="1">MMS_PastureBeef_Methane_Equations.VEERG_4_2_1_1__1_TotalAnnualMethaneProductionFromManureManagement(AC223,AD193,AC239)</f>
        <v>#N/A</v>
      </c>
      <c r="AE267" s="26" t="e" cm="1">
        <f t="array" aca="1" ref="AE267" ca="1">MMS_PastureBeef_Methane_Equations.VEERG_4_2_1_1__1_TotalAnnualMethaneProductionFromManureManagement(AD223,AE193,AD239)</f>
        <v>#N/A</v>
      </c>
      <c r="AF267" s="26" t="e" cm="1">
        <f t="array" aca="1" ref="AF267" ca="1">MMS_PastureBeef_Methane_Equations.VEERG_4_2_1_1__1_TotalAnnualMethaneProductionFromManureManagement(AE223,AF193,AE239)</f>
        <v>#N/A</v>
      </c>
      <c r="AG267" s="26" t="e" cm="1">
        <f t="array" aca="1" ref="AG267" ca="1">MMS_PastureBeef_Methane_Equations.VEERG_4_2_1_1__1_TotalAnnualMethaneProductionFromManureManagement(AF223,AG193,AF239)</f>
        <v>#N/A</v>
      </c>
      <c r="AH267" s="26" t="e" cm="1">
        <f t="array" aca="1" ref="AH267" ca="1">MMS_PastureBeef_Methane_Equations.VEERG_4_2_1_1__1_TotalAnnualMethaneProductionFromManureManagement(AG223,AH193,AG239)</f>
        <v>#N/A</v>
      </c>
      <c r="AI267" s="27" t="str">
        <f t="shared" si="11"/>
        <v>t CH4</v>
      </c>
      <c r="AJ267" s="27"/>
    </row>
    <row r="268" spans="23:36" ht="20.100000000000001" customHeight="1" x14ac:dyDescent="0.25">
      <c r="W268" s="26" t="str">
        <f>'Input - Pasture Beef'!$D$181</f>
        <v>Anaerobic lagoon</v>
      </c>
      <c r="X268" s="26" t="e">
        <f t="shared" si="13"/>
        <v>#VALUE!</v>
      </c>
      <c r="Y268" s="26" t="e" cm="1">
        <f t="array" aca="1" ref="Y268" ca="1">MMS_PastureBeef_Methane_Equations.VEERG_4_2_1_1__1_TotalAnnualMethaneProductionFromManureManagement(X224,Y194,X240)</f>
        <v>#N/A</v>
      </c>
      <c r="Z268" s="26" t="e" cm="1">
        <f t="array" aca="1" ref="Z268" ca="1">MMS_PastureBeef_Methane_Equations.VEERG_4_2_1_1__1_TotalAnnualMethaneProductionFromManureManagement(Y224,Z194,Y240)</f>
        <v>#N/A</v>
      </c>
      <c r="AA268" s="26" t="e" cm="1">
        <f t="array" aca="1" ref="AA268" ca="1">MMS_PastureBeef_Methane_Equations.VEERG_4_2_1_1__1_TotalAnnualMethaneProductionFromManureManagement(Z224,AA194,Z240)</f>
        <v>#N/A</v>
      </c>
      <c r="AB268" s="26" t="e" cm="1">
        <f t="array" aca="1" ref="AB268" ca="1">MMS_PastureBeef_Methane_Equations.VEERG_4_2_1_1__1_TotalAnnualMethaneProductionFromManureManagement(AA224,AB194,AA240)</f>
        <v>#N/A</v>
      </c>
      <c r="AC268" s="26" t="e" cm="1">
        <f t="array" aca="1" ref="AC268" ca="1">MMS_PastureBeef_Methane_Equations.VEERG_4_2_1_1__1_TotalAnnualMethaneProductionFromManureManagement(AB224,AC194,AB240)</f>
        <v>#N/A</v>
      </c>
      <c r="AD268" s="26" t="e" cm="1">
        <f t="array" aca="1" ref="AD268" ca="1">MMS_PastureBeef_Methane_Equations.VEERG_4_2_1_1__1_TotalAnnualMethaneProductionFromManureManagement(AC224,AD194,AC240)</f>
        <v>#N/A</v>
      </c>
      <c r="AE268" s="26" t="e" cm="1">
        <f t="array" aca="1" ref="AE268" ca="1">MMS_PastureBeef_Methane_Equations.VEERG_4_2_1_1__1_TotalAnnualMethaneProductionFromManureManagement(AD224,AE194,AD240)</f>
        <v>#N/A</v>
      </c>
      <c r="AF268" s="26" t="e" cm="1">
        <f t="array" aca="1" ref="AF268" ca="1">MMS_PastureBeef_Methane_Equations.VEERG_4_2_1_1__1_TotalAnnualMethaneProductionFromManureManagement(AE224,AF194,AE240)</f>
        <v>#N/A</v>
      </c>
      <c r="AG268" s="26" t="e" cm="1">
        <f t="array" aca="1" ref="AG268" ca="1">MMS_PastureBeef_Methane_Equations.VEERG_4_2_1_1__1_TotalAnnualMethaneProductionFromManureManagement(AF224,AG194,AF240)</f>
        <v>#N/A</v>
      </c>
      <c r="AH268" s="26" t="e" cm="1">
        <f t="array" aca="1" ref="AH268" ca="1">MMS_PastureBeef_Methane_Equations.VEERG_4_2_1_1__1_TotalAnnualMethaneProductionFromManureManagement(AG224,AH194,AG240)</f>
        <v>#N/A</v>
      </c>
      <c r="AI268" s="27" t="str">
        <f t="shared" si="11"/>
        <v>t CH4</v>
      </c>
      <c r="AJ268" s="27"/>
    </row>
    <row r="269" spans="23:36" ht="20.100000000000001" customHeight="1" x14ac:dyDescent="0.25">
      <c r="W269" s="26" t="str">
        <f>'Input - Pasture Beef'!$D$181</f>
        <v>Anaerobic lagoon</v>
      </c>
      <c r="X269" s="26" t="e">
        <f t="shared" si="13"/>
        <v>#VALUE!</v>
      </c>
      <c r="Y269" s="26" t="e" cm="1">
        <f t="array" aca="1" ref="Y269" ca="1">MMS_PastureBeef_Methane_Equations.VEERG_4_2_1_1__1_TotalAnnualMethaneProductionFromManureManagement(X225,Y195,X241)</f>
        <v>#N/A</v>
      </c>
      <c r="Z269" s="26" t="e" cm="1">
        <f t="array" aca="1" ref="Z269" ca="1">MMS_PastureBeef_Methane_Equations.VEERG_4_2_1_1__1_TotalAnnualMethaneProductionFromManureManagement(Y225,Z195,Y241)</f>
        <v>#N/A</v>
      </c>
      <c r="AA269" s="26" t="e" cm="1">
        <f t="array" aca="1" ref="AA269" ca="1">MMS_PastureBeef_Methane_Equations.VEERG_4_2_1_1__1_TotalAnnualMethaneProductionFromManureManagement(Z225,AA195,Z241)</f>
        <v>#N/A</v>
      </c>
      <c r="AB269" s="26" t="e" cm="1">
        <f t="array" aca="1" ref="AB269" ca="1">MMS_PastureBeef_Methane_Equations.VEERG_4_2_1_1__1_TotalAnnualMethaneProductionFromManureManagement(AA225,AB195,AA241)</f>
        <v>#N/A</v>
      </c>
      <c r="AC269" s="26" t="e" cm="1">
        <f t="array" aca="1" ref="AC269" ca="1">MMS_PastureBeef_Methane_Equations.VEERG_4_2_1_1__1_TotalAnnualMethaneProductionFromManureManagement(AB225,AC195,AB241)</f>
        <v>#N/A</v>
      </c>
      <c r="AD269" s="26" t="e" cm="1">
        <f t="array" aca="1" ref="AD269" ca="1">MMS_PastureBeef_Methane_Equations.VEERG_4_2_1_1__1_TotalAnnualMethaneProductionFromManureManagement(AC225,AD195,AC241)</f>
        <v>#N/A</v>
      </c>
      <c r="AE269" s="26" t="e" cm="1">
        <f t="array" aca="1" ref="AE269" ca="1">MMS_PastureBeef_Methane_Equations.VEERG_4_2_1_1__1_TotalAnnualMethaneProductionFromManureManagement(AD225,AE195,AD241)</f>
        <v>#N/A</v>
      </c>
      <c r="AF269" s="26" t="e" cm="1">
        <f t="array" aca="1" ref="AF269" ca="1">MMS_PastureBeef_Methane_Equations.VEERG_4_2_1_1__1_TotalAnnualMethaneProductionFromManureManagement(AE225,AF195,AE241)</f>
        <v>#N/A</v>
      </c>
      <c r="AG269" s="26" t="e" cm="1">
        <f t="array" aca="1" ref="AG269" ca="1">MMS_PastureBeef_Methane_Equations.VEERG_4_2_1_1__1_TotalAnnualMethaneProductionFromManureManagement(AF225,AG195,AF241)</f>
        <v>#N/A</v>
      </c>
      <c r="AH269" s="26" t="e" cm="1">
        <f t="array" aca="1" ref="AH269" ca="1">MMS_PastureBeef_Methane_Equations.VEERG_4_2_1_1__1_TotalAnnualMethaneProductionFromManureManagement(AG225,AH195,AG241)</f>
        <v>#N/A</v>
      </c>
      <c r="AI269" s="27" t="str">
        <f t="shared" si="11"/>
        <v>t CH4</v>
      </c>
      <c r="AJ269" s="27"/>
    </row>
    <row r="270" spans="23:36" ht="20.100000000000001" customHeight="1" x14ac:dyDescent="0.25">
      <c r="W270" s="26" t="str">
        <f>'Input - Pasture Beef'!$D$181</f>
        <v>Anaerobic lagoon</v>
      </c>
      <c r="X270" s="26" t="e">
        <f t="shared" si="13"/>
        <v>#VALUE!</v>
      </c>
      <c r="Y270" s="26" t="e" cm="1">
        <f t="array" aca="1" ref="Y270" ca="1">MMS_PastureBeef_Methane_Equations.VEERG_4_2_1_1__1_TotalAnnualMethaneProductionFromManureManagement(X226,Y196,X242)</f>
        <v>#N/A</v>
      </c>
      <c r="Z270" s="26" t="e" cm="1">
        <f t="array" aca="1" ref="Z270" ca="1">MMS_PastureBeef_Methane_Equations.VEERG_4_2_1_1__1_TotalAnnualMethaneProductionFromManureManagement(Y226,Z196,Y242)</f>
        <v>#N/A</v>
      </c>
      <c r="AA270" s="26" t="e" cm="1">
        <f t="array" aca="1" ref="AA270" ca="1">MMS_PastureBeef_Methane_Equations.VEERG_4_2_1_1__1_TotalAnnualMethaneProductionFromManureManagement(Z226,AA196,Z242)</f>
        <v>#N/A</v>
      </c>
      <c r="AB270" s="26" t="e" cm="1">
        <f t="array" aca="1" ref="AB270" ca="1">MMS_PastureBeef_Methane_Equations.VEERG_4_2_1_1__1_TotalAnnualMethaneProductionFromManureManagement(AA226,AB196,AA242)</f>
        <v>#N/A</v>
      </c>
      <c r="AC270" s="26" t="e" cm="1">
        <f t="array" aca="1" ref="AC270" ca="1">MMS_PastureBeef_Methane_Equations.VEERG_4_2_1_1__1_TotalAnnualMethaneProductionFromManureManagement(AB226,AC196,AB242)</f>
        <v>#N/A</v>
      </c>
      <c r="AD270" s="26" t="e" cm="1">
        <f t="array" aca="1" ref="AD270" ca="1">MMS_PastureBeef_Methane_Equations.VEERG_4_2_1_1__1_TotalAnnualMethaneProductionFromManureManagement(AC226,AD196,AC242)</f>
        <v>#N/A</v>
      </c>
      <c r="AE270" s="26" t="e" cm="1">
        <f t="array" aca="1" ref="AE270" ca="1">MMS_PastureBeef_Methane_Equations.VEERG_4_2_1_1__1_TotalAnnualMethaneProductionFromManureManagement(AD226,AE196,AD242)</f>
        <v>#N/A</v>
      </c>
      <c r="AF270" s="26" t="e" cm="1">
        <f t="array" aca="1" ref="AF270" ca="1">MMS_PastureBeef_Methane_Equations.VEERG_4_2_1_1__1_TotalAnnualMethaneProductionFromManureManagement(AE226,AF196,AE242)</f>
        <v>#N/A</v>
      </c>
      <c r="AG270" s="26" t="e" cm="1">
        <f t="array" aca="1" ref="AG270" ca="1">MMS_PastureBeef_Methane_Equations.VEERG_4_2_1_1__1_TotalAnnualMethaneProductionFromManureManagement(AF226,AG196,AF242)</f>
        <v>#N/A</v>
      </c>
      <c r="AH270" s="26" t="e" cm="1">
        <f t="array" aca="1" ref="AH270" ca="1">MMS_PastureBeef_Methane_Equations.VEERG_4_2_1_1__1_TotalAnnualMethaneProductionFromManureManagement(AG226,AH196,AG242)</f>
        <v>#N/A</v>
      </c>
      <c r="AI270" s="27" t="str">
        <f t="shared" si="11"/>
        <v>t CH4</v>
      </c>
      <c r="AJ270" s="27"/>
    </row>
    <row r="271" spans="23:36" ht="20.100000000000001" customHeight="1" x14ac:dyDescent="0.25">
      <c r="W271" s="26" t="str">
        <f>'Input - Pasture Beef'!$D$181</f>
        <v>Anaerobic lagoon</v>
      </c>
      <c r="X271" s="26" t="e">
        <f t="shared" si="13"/>
        <v>#VALUE!</v>
      </c>
      <c r="Y271" s="26" t="e" cm="1">
        <f t="array" aca="1" ref="Y271" ca="1">MMS_PastureBeef_Methane_Equations.VEERG_4_2_1_1__1_TotalAnnualMethaneProductionFromManureManagement(X227,Y197,X243)</f>
        <v>#N/A</v>
      </c>
      <c r="Z271" s="26" t="e" cm="1">
        <f t="array" aca="1" ref="Z271" ca="1">MMS_PastureBeef_Methane_Equations.VEERG_4_2_1_1__1_TotalAnnualMethaneProductionFromManureManagement(Y227,Z197,Y243)</f>
        <v>#N/A</v>
      </c>
      <c r="AA271" s="26" t="e" cm="1">
        <f t="array" aca="1" ref="AA271" ca="1">MMS_PastureBeef_Methane_Equations.VEERG_4_2_1_1__1_TotalAnnualMethaneProductionFromManureManagement(Z227,AA197,Z243)</f>
        <v>#N/A</v>
      </c>
      <c r="AB271" s="26" t="e" cm="1">
        <f t="array" aca="1" ref="AB271" ca="1">MMS_PastureBeef_Methane_Equations.VEERG_4_2_1_1__1_TotalAnnualMethaneProductionFromManureManagement(AA227,AB197,AA243)</f>
        <v>#N/A</v>
      </c>
      <c r="AC271" s="26" t="e" cm="1">
        <f t="array" aca="1" ref="AC271" ca="1">MMS_PastureBeef_Methane_Equations.VEERG_4_2_1_1__1_TotalAnnualMethaneProductionFromManureManagement(AB227,AC197,AB243)</f>
        <v>#N/A</v>
      </c>
      <c r="AD271" s="26" t="e" cm="1">
        <f t="array" aca="1" ref="AD271" ca="1">MMS_PastureBeef_Methane_Equations.VEERG_4_2_1_1__1_TotalAnnualMethaneProductionFromManureManagement(AC227,AD197,AC243)</f>
        <v>#N/A</v>
      </c>
      <c r="AE271" s="26" t="e" cm="1">
        <f t="array" aca="1" ref="AE271" ca="1">MMS_PastureBeef_Methane_Equations.VEERG_4_2_1_1__1_TotalAnnualMethaneProductionFromManureManagement(AD227,AE197,AD243)</f>
        <v>#N/A</v>
      </c>
      <c r="AF271" s="26" t="e" cm="1">
        <f t="array" aca="1" ref="AF271" ca="1">MMS_PastureBeef_Methane_Equations.VEERG_4_2_1_1__1_TotalAnnualMethaneProductionFromManureManagement(AE227,AF197,AE243)</f>
        <v>#N/A</v>
      </c>
      <c r="AG271" s="26" t="e" cm="1">
        <f t="array" aca="1" ref="AG271" ca="1">MMS_PastureBeef_Methane_Equations.VEERG_4_2_1_1__1_TotalAnnualMethaneProductionFromManureManagement(AF227,AG197,AF243)</f>
        <v>#N/A</v>
      </c>
      <c r="AH271" s="26" t="e" cm="1">
        <f t="array" aca="1" ref="AH271" ca="1">MMS_PastureBeef_Methane_Equations.VEERG_4_2_1_1__1_TotalAnnualMethaneProductionFromManureManagement(AG227,AH197,AG243)</f>
        <v>#N/A</v>
      </c>
      <c r="AI271" s="27" t="str">
        <f t="shared" si="11"/>
        <v>t CH4</v>
      </c>
      <c r="AJ271" s="27"/>
    </row>
    <row r="272" spans="23:36" x14ac:dyDescent="0.25">
      <c r="W272" s="26" t="str">
        <f>'Input - Pasture Beef'!$D$181</f>
        <v>Anaerobic lagoon</v>
      </c>
      <c r="X272" s="26" t="e">
        <f t="shared" si="13"/>
        <v>#VALUE!</v>
      </c>
      <c r="Y272" s="26" t="e" cm="1">
        <f t="array" aca="1" ref="Y272" ca="1">MMS_PastureBeef_Methane_Equations.VEERG_4_2_1_1__1_TotalAnnualMethaneProductionFromManureManagement(X228,Y198,X244)</f>
        <v>#N/A</v>
      </c>
      <c r="Z272" s="26" t="e" cm="1">
        <f t="array" aca="1" ref="Z272" ca="1">MMS_PastureBeef_Methane_Equations.VEERG_4_2_1_1__1_TotalAnnualMethaneProductionFromManureManagement(Y228,Z198,Y244)</f>
        <v>#N/A</v>
      </c>
      <c r="AA272" s="26" t="e" cm="1">
        <f t="array" aca="1" ref="AA272" ca="1">MMS_PastureBeef_Methane_Equations.VEERG_4_2_1_1__1_TotalAnnualMethaneProductionFromManureManagement(Z228,AA198,Z244)</f>
        <v>#N/A</v>
      </c>
      <c r="AB272" s="26" t="e" cm="1">
        <f t="array" aca="1" ref="AB272" ca="1">MMS_PastureBeef_Methane_Equations.VEERG_4_2_1_1__1_TotalAnnualMethaneProductionFromManureManagement(AA228,AB198,AA244)</f>
        <v>#N/A</v>
      </c>
      <c r="AC272" s="26" t="e" cm="1">
        <f t="array" aca="1" ref="AC272" ca="1">MMS_PastureBeef_Methane_Equations.VEERG_4_2_1_1__1_TotalAnnualMethaneProductionFromManureManagement(AB228,AC198,AB244)</f>
        <v>#N/A</v>
      </c>
      <c r="AD272" s="26" t="e" cm="1">
        <f t="array" aca="1" ref="AD272" ca="1">MMS_PastureBeef_Methane_Equations.VEERG_4_2_1_1__1_TotalAnnualMethaneProductionFromManureManagement(AC228,AD198,AC244)</f>
        <v>#N/A</v>
      </c>
      <c r="AE272" s="26" t="e" cm="1">
        <f t="array" aca="1" ref="AE272" ca="1">MMS_PastureBeef_Methane_Equations.VEERG_4_2_1_1__1_TotalAnnualMethaneProductionFromManureManagement(AD228,AE198,AD244)</f>
        <v>#N/A</v>
      </c>
      <c r="AF272" s="26" t="e" cm="1">
        <f t="array" aca="1" ref="AF272" ca="1">MMS_PastureBeef_Methane_Equations.VEERG_4_2_1_1__1_TotalAnnualMethaneProductionFromManureManagement(AE228,AF198,AE244)</f>
        <v>#N/A</v>
      </c>
      <c r="AG272" s="26" t="e" cm="1">
        <f t="array" aca="1" ref="AG272" ca="1">MMS_PastureBeef_Methane_Equations.VEERG_4_2_1_1__1_TotalAnnualMethaneProductionFromManureManagement(AF228,AG198,AF244)</f>
        <v>#N/A</v>
      </c>
      <c r="AH272" s="26" t="e" cm="1">
        <f t="array" aca="1" ref="AH272" ca="1">MMS_PastureBeef_Methane_Equations.VEERG_4_2_1_1__1_TotalAnnualMethaneProductionFromManureManagement(AG228,AH198,AG244)</f>
        <v>#N/A</v>
      </c>
      <c r="AI272" s="27" t="str">
        <f t="shared" si="11"/>
        <v>t CH4</v>
      </c>
      <c r="AJ272" s="27"/>
    </row>
    <row r="273" spans="23:36" x14ac:dyDescent="0.25">
      <c r="W273" s="26" t="str">
        <f>'Input - Pasture Beef'!$D$181</f>
        <v>Anaerobic lagoon</v>
      </c>
      <c r="X273" s="26" t="e">
        <f t="shared" si="13"/>
        <v>#VALUE!</v>
      </c>
      <c r="Y273" s="26" t="e" cm="1">
        <f t="array" aca="1" ref="Y273" ca="1">MMS_PastureBeef_Methane_Equations.VEERG_4_2_1_1__1_TotalAnnualMethaneProductionFromManureManagement(X229,Y199,X245)</f>
        <v>#N/A</v>
      </c>
      <c r="Z273" s="26" t="e" cm="1">
        <f t="array" aca="1" ref="Z273" ca="1">MMS_PastureBeef_Methane_Equations.VEERG_4_2_1_1__1_TotalAnnualMethaneProductionFromManureManagement(Y229,Z199,Y245)</f>
        <v>#N/A</v>
      </c>
      <c r="AA273" s="26" t="e" cm="1">
        <f t="array" aca="1" ref="AA273" ca="1">MMS_PastureBeef_Methane_Equations.VEERG_4_2_1_1__1_TotalAnnualMethaneProductionFromManureManagement(Z229,AA199,Z245)</f>
        <v>#N/A</v>
      </c>
      <c r="AB273" s="26" t="e" cm="1">
        <f t="array" aca="1" ref="AB273" ca="1">MMS_PastureBeef_Methane_Equations.VEERG_4_2_1_1__1_TotalAnnualMethaneProductionFromManureManagement(AA229,AB199,AA245)</f>
        <v>#N/A</v>
      </c>
      <c r="AC273" s="26" t="e" cm="1">
        <f t="array" aca="1" ref="AC273" ca="1">MMS_PastureBeef_Methane_Equations.VEERG_4_2_1_1__1_TotalAnnualMethaneProductionFromManureManagement(AB229,AC199,AB245)</f>
        <v>#N/A</v>
      </c>
      <c r="AD273" s="26" t="e" cm="1">
        <f t="array" aca="1" ref="AD273" ca="1">MMS_PastureBeef_Methane_Equations.VEERG_4_2_1_1__1_TotalAnnualMethaneProductionFromManureManagement(AC229,AD199,AC245)</f>
        <v>#N/A</v>
      </c>
      <c r="AE273" s="26" t="e" cm="1">
        <f t="array" aca="1" ref="AE273" ca="1">MMS_PastureBeef_Methane_Equations.VEERG_4_2_1_1__1_TotalAnnualMethaneProductionFromManureManagement(AD229,AE199,AD245)</f>
        <v>#N/A</v>
      </c>
      <c r="AF273" s="26" t="e" cm="1">
        <f t="array" aca="1" ref="AF273" ca="1">MMS_PastureBeef_Methane_Equations.VEERG_4_2_1_1__1_TotalAnnualMethaneProductionFromManureManagement(AE229,AF199,AE245)</f>
        <v>#N/A</v>
      </c>
      <c r="AG273" s="26" t="e" cm="1">
        <f t="array" aca="1" ref="AG273" ca="1">MMS_PastureBeef_Methane_Equations.VEERG_4_2_1_1__1_TotalAnnualMethaneProductionFromManureManagement(AF229,AG199,AF245)</f>
        <v>#N/A</v>
      </c>
      <c r="AH273" s="26" t="e" cm="1">
        <f t="array" aca="1" ref="AH273" ca="1">MMS_PastureBeef_Methane_Equations.VEERG_4_2_1_1__1_TotalAnnualMethaneProductionFromManureManagement(AG229,AH199,AG245)</f>
        <v>#N/A</v>
      </c>
      <c r="AI273" s="27" t="str">
        <f t="shared" si="11"/>
        <v>t CH4</v>
      </c>
      <c r="AJ273" s="27"/>
    </row>
    <row r="274" spans="23:36" x14ac:dyDescent="0.25">
      <c r="W274" s="26" t="str">
        <f>'Input - Pasture Beef'!$D$181</f>
        <v>Anaerobic lagoon</v>
      </c>
      <c r="X274" s="26" t="e">
        <f t="shared" si="13"/>
        <v>#VALUE!</v>
      </c>
      <c r="Y274" s="26" t="e" cm="1">
        <f t="array" aca="1" ref="Y274" ca="1">MMS_PastureBeef_Methane_Equations.VEERG_4_2_1_1__1_TotalAnnualMethaneProductionFromManureManagement(X230,Y200,X246)</f>
        <v>#N/A</v>
      </c>
      <c r="Z274" s="26" t="e" cm="1">
        <f t="array" aca="1" ref="Z274" ca="1">MMS_PastureBeef_Methane_Equations.VEERG_4_2_1_1__1_TotalAnnualMethaneProductionFromManureManagement(Y230,Z200,Y246)</f>
        <v>#N/A</v>
      </c>
      <c r="AA274" s="26" t="e" cm="1">
        <f t="array" aca="1" ref="AA274" ca="1">MMS_PastureBeef_Methane_Equations.VEERG_4_2_1_1__1_TotalAnnualMethaneProductionFromManureManagement(Z230,AA200,Z246)</f>
        <v>#N/A</v>
      </c>
      <c r="AB274" s="26" t="e" cm="1">
        <f t="array" aca="1" ref="AB274" ca="1">MMS_PastureBeef_Methane_Equations.VEERG_4_2_1_1__1_TotalAnnualMethaneProductionFromManureManagement(AA230,AB200,AA246)</f>
        <v>#N/A</v>
      </c>
      <c r="AC274" s="26" t="e" cm="1">
        <f t="array" aca="1" ref="AC274" ca="1">MMS_PastureBeef_Methane_Equations.VEERG_4_2_1_1__1_TotalAnnualMethaneProductionFromManureManagement(AB230,AC200,AB246)</f>
        <v>#N/A</v>
      </c>
      <c r="AD274" s="26" t="e" cm="1">
        <f t="array" aca="1" ref="AD274" ca="1">MMS_PastureBeef_Methane_Equations.VEERG_4_2_1_1__1_TotalAnnualMethaneProductionFromManureManagement(AC230,AD200,AC246)</f>
        <v>#N/A</v>
      </c>
      <c r="AE274" s="26" t="e" cm="1">
        <f t="array" aca="1" ref="AE274" ca="1">MMS_PastureBeef_Methane_Equations.VEERG_4_2_1_1__1_TotalAnnualMethaneProductionFromManureManagement(AD230,AE200,AD246)</f>
        <v>#N/A</v>
      </c>
      <c r="AF274" s="26" t="e" cm="1">
        <f t="array" aca="1" ref="AF274" ca="1">MMS_PastureBeef_Methane_Equations.VEERG_4_2_1_1__1_TotalAnnualMethaneProductionFromManureManagement(AE230,AF200,AE246)</f>
        <v>#N/A</v>
      </c>
      <c r="AG274" s="26" t="e" cm="1">
        <f t="array" aca="1" ref="AG274" ca="1">MMS_PastureBeef_Methane_Equations.VEERG_4_2_1_1__1_TotalAnnualMethaneProductionFromManureManagement(AF230,AG200,AF246)</f>
        <v>#N/A</v>
      </c>
      <c r="AH274" s="26" t="e" cm="1">
        <f t="array" aca="1" ref="AH274" ca="1">MMS_PastureBeef_Methane_Equations.VEERG_4_2_1_1__1_TotalAnnualMethaneProductionFromManureManagement(AG230,AH200,AG246)</f>
        <v>#N/A</v>
      </c>
      <c r="AI274" s="27" t="str">
        <f t="shared" si="11"/>
        <v>t CH4</v>
      </c>
      <c r="AJ274" s="27"/>
    </row>
    <row r="276" spans="23:36" ht="23.25" x14ac:dyDescent="0.25">
      <c r="W276" s="118" t="s">
        <v>294</v>
      </c>
      <c r="X276" s="119" t="e">
        <f ca="1">SUM(Y251:AH274)</f>
        <v>#N/A</v>
      </c>
      <c r="Y276" s="120" t="e">
        <f ca="1">X242</f>
        <v>#VALUE!</v>
      </c>
    </row>
    <row r="278" spans="23:36" x14ac:dyDescent="0.25">
      <c r="W278" s="121" t="str" cm="1">
        <f t="array" ref="W278:X279">Common_Equations.Common_ConvertCH4ToCO2e_Arguments()</f>
        <v>ECH4</v>
      </c>
      <c r="X278" s="122" t="str">
        <v>Methane emissions (t CH4)</v>
      </c>
      <c r="Y278" s="123"/>
      <c r="Z278" s="26" t="e">
        <f ca="1">X276</f>
        <v>#N/A</v>
      </c>
    </row>
    <row r="279" spans="23:36" x14ac:dyDescent="0.25">
      <c r="W279" s="121" t="str">
        <v>GWPCH4</v>
      </c>
      <c r="X279" s="122" t="str">
        <v>Global warming potential for methane (t CO2-e / t CH4)</v>
      </c>
      <c r="Y279" s="123"/>
      <c r="Z279" s="26">
        <f>Common_InputFunctions.Utility_LookupValueInTableNumber("CH4",Table_GWPData[Gas],Table_GWPData[CO2-e factor])</f>
        <v>28</v>
      </c>
    </row>
    <row r="281" spans="23:36" ht="18.75" x14ac:dyDescent="0.25">
      <c r="W281" s="117" t="s">
        <v>297</v>
      </c>
      <c r="X281" s="117" t="e" cm="1">
        <f t="array" aca="1" ref="X281" ca="1">Common_Equations.Common_ConvertN2OToCO2e(Z278,Z279)</f>
        <v>#N/A</v>
      </c>
      <c r="Y281" s="124"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6109ED0-00B2-4BC9-868C-2334D571A966}"/>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06824-6022-4E48-82EF-EE9067DCC18F}">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2" customFormat="1" ht="30" customHeight="1" x14ac:dyDescent="0.35">
      <c r="A1" s="16" t="e" vm="1">
        <v>#VALUE!</v>
      </c>
      <c r="C1" s="32" t="s">
        <v>419</v>
      </c>
    </row>
    <row r="2" spans="1:35" s="3" customFormat="1" ht="20.100000000000001" customHeight="1" x14ac:dyDescent="0.25">
      <c r="A2"/>
    </row>
    <row r="3" spans="1:35" ht="20.100000000000001" customHeight="1" x14ac:dyDescent="0.25">
      <c r="A3" s="5" t="str">
        <f>HYPERLINK("#'Home'!A1", "Home")</f>
        <v>Home</v>
      </c>
      <c r="C3" s="34"/>
      <c r="D3" s="34" t="s">
        <v>152</v>
      </c>
      <c r="E3" s="34"/>
      <c r="F3" s="34"/>
      <c r="G3" s="34"/>
      <c r="H3" s="34"/>
      <c r="I3" s="34"/>
      <c r="J3" s="34"/>
      <c r="K3" s="34"/>
      <c r="L3" s="34"/>
      <c r="M3" s="34"/>
      <c r="N3" s="34"/>
      <c r="O3" s="34"/>
      <c r="P3" s="34"/>
      <c r="Q3" s="34"/>
      <c r="R3" s="34"/>
      <c r="T3" s="34"/>
      <c r="U3" s="34" t="s">
        <v>153</v>
      </c>
      <c r="V3" s="34"/>
      <c r="W3" s="34"/>
      <c r="X3" s="34"/>
      <c r="Y3" s="34"/>
      <c r="Z3" s="34"/>
      <c r="AA3" s="34"/>
      <c r="AB3" s="34"/>
      <c r="AC3" s="34"/>
      <c r="AD3" s="34"/>
      <c r="AE3" s="34"/>
      <c r="AF3" s="34"/>
      <c r="AG3" s="34"/>
      <c r="AH3" s="34"/>
      <c r="AI3" s="34"/>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8" t="str" cm="1">
        <f t="array" ref="D6">MMS_PastureBeef_Soil_N2ODirect_Equations.VEERG_4_2_1_3__7_RelativeSize_Source()</f>
        <v>VEERG 2026: 4.2.1.3, Equation (7)</v>
      </c>
    </row>
    <row r="7" spans="1:35" ht="20.100000000000001" customHeight="1" x14ac:dyDescent="0.25">
      <c r="A7" s="7" t="s">
        <v>0</v>
      </c>
      <c r="D7" s="104" t="s">
        <v>257</v>
      </c>
      <c r="E7" s="104"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9" t="s">
        <v>259</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9" t="s">
        <v>133</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6" t="str" cm="1">
        <f t="array" ref="D13:E15">_xlfn.CHOOSECOLS(MMS_PastureBeef_Soil_N2ODirect_Equations.VEERG_4_2_1_3__7_RelativeSize_Arguments(),1,2)</f>
        <v>W_jkl</v>
      </c>
      <c r="E13" s="106" t="str">
        <v>liveweight (kg)</v>
      </c>
      <c r="F13" s="106" t="str" cm="1">
        <f t="array" ref="F13:G15">_xlfn.CHOOSECOLS(MMS_PastureBeef_Soil_N2ODirect_Equations.VEERG_4_2_1_3__7_RelativeSize_Arguments(),3,4)</f>
        <v>kg</v>
      </c>
      <c r="G13" s="110" t="str">
        <v>Input</v>
      </c>
      <c r="H13" s="112" t="str" cm="1">
        <f t="array" aca="1" ref="H13" ca="1">HYPERLINK(Common_InputFunctions.Utility_SourceHyperlink(D17), D17)</f>
        <v>M1_Table_W_j_k_l</v>
      </c>
    </row>
    <row r="14" spans="1:35" ht="20.100000000000001" customHeight="1" x14ac:dyDescent="0.25">
      <c r="A14" s="5" t="str">
        <f>HYPERLINK("#'Input - Fuel'!A1", "Fuel")</f>
        <v>Fuel</v>
      </c>
      <c r="D14" s="106" t="str">
        <v>SRW_k</v>
      </c>
      <c r="E14" s="106" t="str">
        <v>standard reference weight (kg)</v>
      </c>
      <c r="F14" s="106" t="str">
        <v>kg</v>
      </c>
      <c r="G14" s="111" t="str">
        <v>Constant</v>
      </c>
      <c r="H14" s="112" t="str" cm="1">
        <f t="array" aca="1" ref="H14" ca="1">HYPERLINK(Common_InputFunctions.Utility_SourceHyperlink(D25), D25)</f>
        <v>Table_SRW_k</v>
      </c>
    </row>
    <row r="15" spans="1:35" ht="20.100000000000001" customHeight="1" x14ac:dyDescent="0.25">
      <c r="A15" s="5" t="str">
        <f>HYPERLINK("#'Input - Electricity'!A1", "Electricity")</f>
        <v>Electricity</v>
      </c>
      <c r="D15" s="106" t="str">
        <v>i</v>
      </c>
      <c r="E15" s="106" t="str">
        <v>state</v>
      </c>
      <c r="F15" s="106" t="str">
        <v/>
      </c>
      <c r="G15" s="110" t="str">
        <v>Input</v>
      </c>
      <c r="H15" s="106" t="str">
        <f>'Input - Pasture Beef'!$E$7</f>
        <v>Dry climate zone</v>
      </c>
    </row>
    <row r="16" spans="1:35" ht="20.100000000000001" customHeight="1" x14ac:dyDescent="0.25"/>
    <row r="17" spans="1:34" ht="20.100000000000001" customHeight="1" x14ac:dyDescent="0.25">
      <c r="D17" s="113" t="s">
        <v>272</v>
      </c>
      <c r="U17" s="113" t="s">
        <v>420</v>
      </c>
    </row>
    <row r="18" spans="1:34" ht="20.100000000000001" customHeight="1" x14ac:dyDescent="0.25">
      <c r="A18" s="6" t="s">
        <v>2</v>
      </c>
      <c r="D18" s="114" t="s">
        <v>273</v>
      </c>
      <c r="U18" s="114" t="s">
        <v>271</v>
      </c>
    </row>
    <row r="19" spans="1:34" ht="20.100000000000001" customHeight="1" x14ac:dyDescent="0.25">
      <c r="A19" s="5" t="str">
        <f>HYPERLINK("#'3.2.1.1-2 Enteric Methane'!A1", "3.2.1.1-2 Enteric methane")</f>
        <v>3.2.1.1-2 Enteric methane</v>
      </c>
      <c r="D19" s="115" t="s">
        <v>79</v>
      </c>
      <c r="E19" s="116" t="s">
        <v>189</v>
      </c>
      <c r="F19" s="116" t="s">
        <v>190</v>
      </c>
      <c r="G19" s="116" t="s">
        <v>191</v>
      </c>
      <c r="H19" s="116" t="s">
        <v>192</v>
      </c>
      <c r="I19" s="116" t="s">
        <v>193</v>
      </c>
      <c r="J19" s="116" t="s">
        <v>194</v>
      </c>
      <c r="K19" s="116" t="s">
        <v>195</v>
      </c>
      <c r="L19" s="116" t="s">
        <v>196</v>
      </c>
      <c r="M19" s="116" t="s">
        <v>197</v>
      </c>
      <c r="N19" s="116" t="s">
        <v>198</v>
      </c>
      <c r="U19" s="115" t="s">
        <v>78</v>
      </c>
      <c r="V19" s="116" t="s">
        <v>189</v>
      </c>
      <c r="W19" s="116" t="s">
        <v>190</v>
      </c>
      <c r="X19" s="116" t="s">
        <v>191</v>
      </c>
      <c r="Y19" s="116" t="s">
        <v>192</v>
      </c>
      <c r="Z19" s="116" t="s">
        <v>193</v>
      </c>
      <c r="AA19" s="116" t="s">
        <v>194</v>
      </c>
      <c r="AB19" s="116" t="s">
        <v>195</v>
      </c>
      <c r="AC19" s="116" t="s">
        <v>196</v>
      </c>
      <c r="AD19" s="116" t="s">
        <v>197</v>
      </c>
      <c r="AE19" s="116" t="s">
        <v>198</v>
      </c>
      <c r="AF19" s="27"/>
      <c r="AG19" s="27"/>
      <c r="AH19" s="27"/>
    </row>
    <row r="20" spans="1:34" ht="20.100000000000001" customHeight="1" x14ac:dyDescent="0.25">
      <c r="A20" s="5" t="str">
        <f>HYPERLINK("#'4.2.1.1-2 Methane'!A1", "4.2.1.1-2 Manure methane")</f>
        <v>4.2.1.1-2 Manure methane</v>
      </c>
      <c r="D20" s="26" t="str">
        <f>INDEX(X_Table_PastureBeef_Liveweight_Method1,2,1)</f>
        <v>Spring</v>
      </c>
      <c r="E20" s="26" t="e" cm="1">
        <f t="array" aca="1" ref="E20:N23" ca="1">OFFSET(X_Table_PastureBeef_Liveweight_Method1, 1,1, 4,10)</f>
        <v>#N/A</v>
      </c>
      <c r="F20" s="26" t="e">
        <f ca="1"/>
        <v>#N/A</v>
      </c>
      <c r="G20" s="26" t="e">
        <f ca="1"/>
        <v>#N/A</v>
      </c>
      <c r="H20" s="26" t="e">
        <f ca="1"/>
        <v>#N/A</v>
      </c>
      <c r="I20" s="26" t="e">
        <f ca="1"/>
        <v>#N/A</v>
      </c>
      <c r="J20" s="26" t="e">
        <f ca="1"/>
        <v>#N/A</v>
      </c>
      <c r="K20" s="26" t="e">
        <f ca="1"/>
        <v>#N/A</v>
      </c>
      <c r="L20" s="26" t="e">
        <f ca="1"/>
        <v>#N/A</v>
      </c>
      <c r="M20" s="26" t="e">
        <f ca="1"/>
        <v>#N/A</v>
      </c>
      <c r="N20" s="26" t="e">
        <f ca="1"/>
        <v>#N/A</v>
      </c>
      <c r="O20" s="27" t="s">
        <v>208</v>
      </c>
      <c r="U20" s="26" t="str">
        <f>TEXT('Input - Site'!$E$12, "mmmm yyyy")</f>
        <v>NO - Not in leaching zone</v>
      </c>
      <c r="V20" s="26" t="e" cm="1">
        <f t="array" aca="1" ref="V20:AE31" ca="1">OFFSET(X_Table_PastureBeef_Liveweight_Method2, 1,1, 12,10)</f>
        <v>#N/A</v>
      </c>
      <c r="W20" s="26" t="e">
        <f ca="1"/>
        <v>#N/A</v>
      </c>
      <c r="X20" s="26" t="e">
        <f ca="1"/>
        <v>#N/A</v>
      </c>
      <c r="Y20" s="26" t="e">
        <f ca="1"/>
        <v>#N/A</v>
      </c>
      <c r="Z20" s="26" t="e">
        <f ca="1"/>
        <v>#N/A</v>
      </c>
      <c r="AA20" s="26" t="e">
        <f ca="1"/>
        <v>#N/A</v>
      </c>
      <c r="AB20" s="26" t="e">
        <f ca="1"/>
        <v>#N/A</v>
      </c>
      <c r="AC20" s="26" t="e">
        <f ca="1"/>
        <v>#N/A</v>
      </c>
      <c r="AD20" s="26" t="e">
        <f ca="1"/>
        <v>#N/A</v>
      </c>
      <c r="AE20" s="26" t="e">
        <f ca="1"/>
        <v>#N/A</v>
      </c>
      <c r="AF20" s="27" t="s">
        <v>208</v>
      </c>
      <c r="AG20" s="27"/>
      <c r="AH20" s="27"/>
    </row>
    <row r="21" spans="1:34" ht="20.100000000000001" customHeight="1" x14ac:dyDescent="0.25">
      <c r="A21" s="105" t="str">
        <f>HYPERLINK("#'4.2.1.3-4 Soil direct N20'!A1", "4.2.1.3-4 Soil direct N2O")</f>
        <v>4.2.1.3-4 Soil direct N2O</v>
      </c>
      <c r="D21" s="26" t="str">
        <f>INDEX(X_Table_PastureBeef_Liveweight_Method1,3,1)</f>
        <v>Summer</v>
      </c>
      <c r="E21" s="26" t="e">
        <f ca="1"/>
        <v>#N/A</v>
      </c>
      <c r="F21" s="26" t="e">
        <f ca="1"/>
        <v>#N/A</v>
      </c>
      <c r="G21" s="26" t="e">
        <f ca="1"/>
        <v>#N/A</v>
      </c>
      <c r="H21" s="26" t="e">
        <f ca="1"/>
        <v>#N/A</v>
      </c>
      <c r="I21" s="26" t="e">
        <f ca="1"/>
        <v>#N/A</v>
      </c>
      <c r="J21" s="26" t="e">
        <f ca="1"/>
        <v>#N/A</v>
      </c>
      <c r="K21" s="26" t="e">
        <f ca="1"/>
        <v>#N/A</v>
      </c>
      <c r="L21" s="26" t="e">
        <f ca="1"/>
        <v>#N/A</v>
      </c>
      <c r="M21" s="26" t="e">
        <f ca="1"/>
        <v>#N/A</v>
      </c>
      <c r="N21" s="26" t="e">
        <f ca="1"/>
        <v>#N/A</v>
      </c>
      <c r="O21" s="27" t="s">
        <v>208</v>
      </c>
      <c r="U21" s="26" t="e">
        <f>TEXT(EDATE('Input - Site'!$E$12,1), "mmmm yyyy")</f>
        <v>#VALUE!</v>
      </c>
      <c r="V21" s="26" t="e">
        <f ca="1"/>
        <v>#N/A</v>
      </c>
      <c r="W21" s="26" t="e">
        <f ca="1"/>
        <v>#N/A</v>
      </c>
      <c r="X21" s="26" t="e">
        <f ca="1"/>
        <v>#N/A</v>
      </c>
      <c r="Y21" s="26" t="e">
        <f ca="1"/>
        <v>#N/A</v>
      </c>
      <c r="Z21" s="26" t="e">
        <f ca="1"/>
        <v>#N/A</v>
      </c>
      <c r="AA21" s="26" t="e">
        <f ca="1"/>
        <v>#N/A</v>
      </c>
      <c r="AB21" s="26" t="e">
        <f ca="1"/>
        <v>#N/A</v>
      </c>
      <c r="AC21" s="26" t="e">
        <f ca="1"/>
        <v>#N/A</v>
      </c>
      <c r="AD21" s="26" t="e">
        <f ca="1"/>
        <v>#N/A</v>
      </c>
      <c r="AE21" s="26" t="e">
        <f ca="1"/>
        <v>#N/A</v>
      </c>
      <c r="AF21" s="27" t="s">
        <v>208</v>
      </c>
      <c r="AG21" s="27"/>
      <c r="AH21" s="27"/>
    </row>
    <row r="22" spans="1:34" ht="20.100000000000001" customHeight="1" x14ac:dyDescent="0.25">
      <c r="A22" s="5" t="str">
        <f>HYPERLINK("#'4.2.1.5-6 Soil Atmos Dep'!A1", "4.2.1.5-6 Soil atm. deposition")</f>
        <v>4.2.1.5-6 Soil atm. deposition</v>
      </c>
      <c r="D22" s="26" t="str">
        <f>INDEX(X_Table_PastureBeef_Liveweight_Method1,4,1)</f>
        <v>Autumn</v>
      </c>
      <c r="E22" s="26" t="e">
        <f ca="1"/>
        <v>#N/A</v>
      </c>
      <c r="F22" s="26" t="e">
        <f ca="1"/>
        <v>#N/A</v>
      </c>
      <c r="G22" s="26" t="e">
        <f ca="1"/>
        <v>#N/A</v>
      </c>
      <c r="H22" s="26" t="e">
        <f ca="1"/>
        <v>#N/A</v>
      </c>
      <c r="I22" s="26" t="e">
        <f ca="1"/>
        <v>#N/A</v>
      </c>
      <c r="J22" s="26" t="e">
        <f ca="1"/>
        <v>#N/A</v>
      </c>
      <c r="K22" s="26" t="e">
        <f ca="1"/>
        <v>#N/A</v>
      </c>
      <c r="L22" s="26" t="e">
        <f ca="1"/>
        <v>#N/A</v>
      </c>
      <c r="M22" s="26" t="e">
        <f ca="1"/>
        <v>#N/A</v>
      </c>
      <c r="N22" s="26" t="e">
        <f ca="1"/>
        <v>#N/A</v>
      </c>
      <c r="O22" s="27" t="s">
        <v>208</v>
      </c>
      <c r="U22" s="26" t="e">
        <f>TEXT(EDATE('Input - Site'!$E$12,2), "mmmm yyyy")</f>
        <v>#VALUE!</v>
      </c>
      <c r="V22" s="26" t="e">
        <f ca="1"/>
        <v>#N/A</v>
      </c>
      <c r="W22" s="26" t="e">
        <f ca="1"/>
        <v>#N/A</v>
      </c>
      <c r="X22" s="26" t="e">
        <f ca="1"/>
        <v>#N/A</v>
      </c>
      <c r="Y22" s="26" t="e">
        <f ca="1"/>
        <v>#N/A</v>
      </c>
      <c r="Z22" s="26" t="e">
        <f ca="1"/>
        <v>#N/A</v>
      </c>
      <c r="AA22" s="26" t="e">
        <f ca="1"/>
        <v>#N/A</v>
      </c>
      <c r="AB22" s="26" t="e">
        <f ca="1"/>
        <v>#N/A</v>
      </c>
      <c r="AC22" s="26" t="e">
        <f ca="1"/>
        <v>#N/A</v>
      </c>
      <c r="AD22" s="26" t="e">
        <f ca="1"/>
        <v>#N/A</v>
      </c>
      <c r="AE22" s="26" t="e">
        <f ca="1"/>
        <v>#N/A</v>
      </c>
      <c r="AF22" s="27" t="s">
        <v>208</v>
      </c>
      <c r="AG22" s="27"/>
      <c r="AH22" s="27"/>
    </row>
    <row r="23" spans="1:34" ht="20.100000000000001" customHeight="1" x14ac:dyDescent="0.25">
      <c r="A23" s="5" t="str">
        <f>HYPERLINK("#'4.2.1.7-8 Soil leach runoff'!A1", "4.2.1.7-8 Soil leach &amp; runoff")</f>
        <v>4.2.1.7-8 Soil leach &amp; runoff</v>
      </c>
      <c r="D23" s="26" t="str">
        <f>INDEX(X_Table_PastureBeef_Liveweight_Method1,5,1)</f>
        <v>Winter</v>
      </c>
      <c r="E23" s="26" t="e">
        <f ca="1"/>
        <v>#N/A</v>
      </c>
      <c r="F23" s="26" t="e">
        <f ca="1"/>
        <v>#N/A</v>
      </c>
      <c r="G23" s="26" t="e">
        <f ca="1"/>
        <v>#N/A</v>
      </c>
      <c r="H23" s="26" t="e">
        <f ca="1"/>
        <v>#N/A</v>
      </c>
      <c r="I23" s="26" t="e">
        <f ca="1"/>
        <v>#N/A</v>
      </c>
      <c r="J23" s="26" t="e">
        <f ca="1"/>
        <v>#N/A</v>
      </c>
      <c r="K23" s="26" t="e">
        <f ca="1"/>
        <v>#N/A</v>
      </c>
      <c r="L23" s="26" t="e">
        <f ca="1"/>
        <v>#N/A</v>
      </c>
      <c r="M23" s="26" t="e">
        <f ca="1"/>
        <v>#N/A</v>
      </c>
      <c r="N23" s="26" t="e">
        <f ca="1"/>
        <v>#N/A</v>
      </c>
      <c r="O23" s="27" t="s">
        <v>208</v>
      </c>
      <c r="U23" s="26" t="e">
        <f>TEXT(EDATE('Input - Site'!$E$12,3), "mmmm yyyy")</f>
        <v>#VALUE!</v>
      </c>
      <c r="V23" s="26" t="e">
        <f ca="1"/>
        <v>#N/A</v>
      </c>
      <c r="W23" s="26" t="e">
        <f ca="1"/>
        <v>#N/A</v>
      </c>
      <c r="X23" s="26" t="e">
        <f ca="1"/>
        <v>#N/A</v>
      </c>
      <c r="Y23" s="26" t="e">
        <f ca="1"/>
        <v>#N/A</v>
      </c>
      <c r="Z23" s="26" t="e">
        <f ca="1"/>
        <v>#N/A</v>
      </c>
      <c r="AA23" s="26" t="e">
        <f ca="1"/>
        <v>#N/A</v>
      </c>
      <c r="AB23" s="26" t="e">
        <f ca="1"/>
        <v>#N/A</v>
      </c>
      <c r="AC23" s="26" t="e">
        <f ca="1"/>
        <v>#N/A</v>
      </c>
      <c r="AD23" s="26" t="e">
        <f ca="1"/>
        <v>#N/A</v>
      </c>
      <c r="AE23" s="26" t="e">
        <f ca="1"/>
        <v>#N/A</v>
      </c>
      <c r="AF23" s="27" t="s">
        <v>208</v>
      </c>
      <c r="AG23" s="27"/>
      <c r="AH23" s="27"/>
    </row>
    <row r="24" spans="1:34" ht="20.100000000000001" customHeight="1" x14ac:dyDescent="0.25">
      <c r="A24" s="5" t="str">
        <f>HYPERLINK("#'5.1.1.1-2 Inorganic fert N2O'!A1", "5.1.1.1-2 Inorganic fert N2O")</f>
        <v>5.1.1.1-2 Inorganic fert N2O</v>
      </c>
      <c r="U24" s="26" t="e">
        <f>TEXT(EDATE('Input - Site'!$E$12,4), "mmmm yyyy")</f>
        <v>#VALUE!</v>
      </c>
      <c r="V24" s="26" t="e">
        <f ca="1"/>
        <v>#N/A</v>
      </c>
      <c r="W24" s="26" t="e">
        <f ca="1"/>
        <v>#N/A</v>
      </c>
      <c r="X24" s="26" t="e">
        <f ca="1"/>
        <v>#N/A</v>
      </c>
      <c r="Y24" s="26" t="e">
        <f ca="1"/>
        <v>#N/A</v>
      </c>
      <c r="Z24" s="26" t="e">
        <f ca="1"/>
        <v>#N/A</v>
      </c>
      <c r="AA24" s="26" t="e">
        <f ca="1"/>
        <v>#N/A</v>
      </c>
      <c r="AB24" s="26" t="e">
        <f ca="1"/>
        <v>#N/A</v>
      </c>
      <c r="AC24" s="26" t="e">
        <f ca="1"/>
        <v>#N/A</v>
      </c>
      <c r="AD24" s="26" t="e">
        <f ca="1"/>
        <v>#N/A</v>
      </c>
      <c r="AE24" s="26" t="e">
        <f ca="1"/>
        <v>#N/A</v>
      </c>
      <c r="AF24" s="27" t="s">
        <v>208</v>
      </c>
      <c r="AG24" s="27"/>
      <c r="AH24" s="27"/>
    </row>
    <row r="25" spans="1:34" ht="20.100000000000001" customHeight="1" x14ac:dyDescent="0.25">
      <c r="A25" s="5" t="str">
        <f>HYPERLINK("#'5.1.1.3-4 Inorganic fert CO2'!A1", "5.1.1.3-4 Inorganic fert CO2")</f>
        <v>5.1.1.3-4 Inorganic fert CO2</v>
      </c>
      <c r="D25" s="113" t="s">
        <v>421</v>
      </c>
      <c r="U25" s="26" t="e">
        <f>TEXT(EDATE('Input - Site'!$E$12,5), "mmmm yyyy")</f>
        <v>#VALUE!</v>
      </c>
      <c r="V25" s="26" t="e">
        <f ca="1"/>
        <v>#N/A</v>
      </c>
      <c r="W25" s="26" t="e">
        <f ca="1"/>
        <v>#N/A</v>
      </c>
      <c r="X25" s="26" t="e">
        <f ca="1"/>
        <v>#N/A</v>
      </c>
      <c r="Y25" s="26" t="e">
        <f ca="1"/>
        <v>#N/A</v>
      </c>
      <c r="Z25" s="26" t="e">
        <f ca="1"/>
        <v>#N/A</v>
      </c>
      <c r="AA25" s="26" t="e">
        <f ca="1"/>
        <v>#N/A</v>
      </c>
      <c r="AB25" s="26" t="e">
        <f ca="1"/>
        <v>#N/A</v>
      </c>
      <c r="AC25" s="26" t="e">
        <f ca="1"/>
        <v>#N/A</v>
      </c>
      <c r="AD25" s="26" t="e">
        <f ca="1"/>
        <v>#N/A</v>
      </c>
      <c r="AE25" s="26" t="e">
        <f ca="1"/>
        <v>#N/A</v>
      </c>
      <c r="AF25" s="27" t="s">
        <v>208</v>
      </c>
      <c r="AG25" s="27"/>
      <c r="AH25" s="27"/>
    </row>
    <row r="26" spans="1:34" ht="20.100000000000001" customHeight="1" x14ac:dyDescent="0.25">
      <c r="A26" s="5" t="str">
        <f>HYPERLINK("#'5.2.1.1-2 Organic Fert N2O'!A1", "5.2.1.1-2 Organic fert N2O")</f>
        <v>5.2.1.1-2 Organic fert N2O</v>
      </c>
      <c r="D26" s="114" t="s">
        <v>422</v>
      </c>
      <c r="U26" s="26" t="e">
        <f>TEXT(EDATE('Input - Site'!$E$12,6), "mmmm yyyy")</f>
        <v>#VALUE!</v>
      </c>
      <c r="V26" s="26" t="e">
        <f ca="1"/>
        <v>#N/A</v>
      </c>
      <c r="W26" s="26" t="e">
        <f ca="1"/>
        <v>#N/A</v>
      </c>
      <c r="X26" s="26" t="e">
        <f ca="1"/>
        <v>#N/A</v>
      </c>
      <c r="Y26" s="26" t="e">
        <f ca="1"/>
        <v>#N/A</v>
      </c>
      <c r="Z26" s="26" t="e">
        <f ca="1"/>
        <v>#N/A</v>
      </c>
      <c r="AA26" s="26" t="e">
        <f ca="1"/>
        <v>#N/A</v>
      </c>
      <c r="AB26" s="26" t="e">
        <f ca="1"/>
        <v>#N/A</v>
      </c>
      <c r="AC26" s="26" t="e">
        <f ca="1"/>
        <v>#N/A</v>
      </c>
      <c r="AD26" s="26" t="e">
        <f ca="1"/>
        <v>#N/A</v>
      </c>
      <c r="AE26" s="26" t="e">
        <f ca="1"/>
        <v>#N/A</v>
      </c>
      <c r="AF26" s="27" t="s">
        <v>208</v>
      </c>
      <c r="AG26" s="27"/>
      <c r="AH26" s="27"/>
    </row>
    <row r="27" spans="1:34" ht="20.100000000000001" customHeight="1" x14ac:dyDescent="0.25">
      <c r="A27" s="5" t="str">
        <f>HYPERLINK("#'5.3.1.1-2 Lime CO2'!A1", "5.3.1.1-2 Lime CO2")</f>
        <v>5.3.1.1-2 Lime CO2</v>
      </c>
      <c r="D27" s="115" t="s">
        <v>189</v>
      </c>
      <c r="E27" s="115" t="s">
        <v>190</v>
      </c>
      <c r="F27" s="115" t="s">
        <v>191</v>
      </c>
      <c r="G27" s="115" t="s">
        <v>192</v>
      </c>
      <c r="H27" s="115" t="s">
        <v>193</v>
      </c>
      <c r="I27" s="115" t="s">
        <v>194</v>
      </c>
      <c r="J27" s="115" t="s">
        <v>195</v>
      </c>
      <c r="K27" s="115" t="s">
        <v>196</v>
      </c>
      <c r="L27" s="115" t="s">
        <v>197</v>
      </c>
      <c r="M27" s="115" t="s">
        <v>198</v>
      </c>
      <c r="U27" s="26" t="e">
        <f>TEXT(EDATE('Input - Site'!$E$12,7), "mmmm yyyy")</f>
        <v>#VALUE!</v>
      </c>
      <c r="V27" s="26" t="e">
        <f ca="1"/>
        <v>#N/A</v>
      </c>
      <c r="W27" s="26" t="e">
        <f ca="1"/>
        <v>#N/A</v>
      </c>
      <c r="X27" s="26" t="e">
        <f ca="1"/>
        <v>#N/A</v>
      </c>
      <c r="Y27" s="26" t="e">
        <f ca="1"/>
        <v>#N/A</v>
      </c>
      <c r="Z27" s="26" t="e">
        <f ca="1"/>
        <v>#N/A</v>
      </c>
      <c r="AA27" s="26" t="e">
        <f ca="1"/>
        <v>#N/A</v>
      </c>
      <c r="AB27" s="26" t="e">
        <f ca="1"/>
        <v>#N/A</v>
      </c>
      <c r="AC27" s="26" t="e">
        <f ca="1"/>
        <v>#N/A</v>
      </c>
      <c r="AD27" s="26" t="e">
        <f ca="1"/>
        <v>#N/A</v>
      </c>
      <c r="AE27" s="26" t="e">
        <f ca="1"/>
        <v>#N/A</v>
      </c>
      <c r="AF27" s="27" t="s">
        <v>208</v>
      </c>
      <c r="AG27" s="27"/>
      <c r="AH27" s="27"/>
    </row>
    <row r="28" spans="1:34" ht="20.100000000000001" customHeight="1" x14ac:dyDescent="0.25">
      <c r="A28" s="5" t="str">
        <f>HYPERLINK("#'5.4.1.1-4 Atmos deposition'!A1", "5.4.1.1-4 Atmos. deposition")</f>
        <v>5.4.1.1-4 Atmos. deposition</v>
      </c>
      <c r="D28" s="26"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6"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6"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6"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6"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6"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6"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6"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6"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6"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7" t="s">
        <v>208</v>
      </c>
      <c r="U28" s="26" t="e">
        <f>TEXT(EDATE('Input - Site'!$E$12,8), "mmmm yyyy")</f>
        <v>#VALUE!</v>
      </c>
      <c r="V28" s="26" t="e">
        <f ca="1"/>
        <v>#N/A</v>
      </c>
      <c r="W28" s="26" t="e">
        <f ca="1"/>
        <v>#N/A</v>
      </c>
      <c r="X28" s="26" t="e">
        <f ca="1"/>
        <v>#N/A</v>
      </c>
      <c r="Y28" s="26" t="e">
        <f ca="1"/>
        <v>#N/A</v>
      </c>
      <c r="Z28" s="26" t="e">
        <f ca="1"/>
        <v>#N/A</v>
      </c>
      <c r="AA28" s="26" t="e">
        <f ca="1"/>
        <v>#N/A</v>
      </c>
      <c r="AB28" s="26" t="e">
        <f ca="1"/>
        <v>#N/A</v>
      </c>
      <c r="AC28" s="26" t="e">
        <f ca="1"/>
        <v>#N/A</v>
      </c>
      <c r="AD28" s="26" t="e">
        <f ca="1"/>
        <v>#N/A</v>
      </c>
      <c r="AE28" s="26" t="e">
        <f ca="1"/>
        <v>#N/A</v>
      </c>
      <c r="AF28" s="27" t="s">
        <v>208</v>
      </c>
      <c r="AG28" s="27"/>
      <c r="AH28" s="27"/>
    </row>
    <row r="29" spans="1:34" ht="20.100000000000001" customHeight="1" x14ac:dyDescent="0.25">
      <c r="A29" s="5" t="str">
        <f>HYPERLINK("#'5.5.1.1-2 Leaching and runoff'!A1", "5.5.1.1-2 Leaching &amp; runoff")</f>
        <v>5.5.1.1-2 Leaching &amp; runoff</v>
      </c>
      <c r="U29" s="26" t="e">
        <f>TEXT(EDATE('Input - Site'!$E$12,9), "mmmm yyyy")</f>
        <v>#VALUE!</v>
      </c>
      <c r="V29" s="26" t="e">
        <f ca="1"/>
        <v>#N/A</v>
      </c>
      <c r="W29" s="26" t="e">
        <f ca="1"/>
        <v>#N/A</v>
      </c>
      <c r="X29" s="26" t="e">
        <f ca="1"/>
        <v>#N/A</v>
      </c>
      <c r="Y29" s="26" t="e">
        <f ca="1"/>
        <v>#N/A</v>
      </c>
      <c r="Z29" s="26" t="e">
        <f ca="1"/>
        <v>#N/A</v>
      </c>
      <c r="AA29" s="26" t="e">
        <f ca="1"/>
        <v>#N/A</v>
      </c>
      <c r="AB29" s="26" t="e">
        <f ca="1"/>
        <v>#N/A</v>
      </c>
      <c r="AC29" s="26" t="e">
        <f ca="1"/>
        <v>#N/A</v>
      </c>
      <c r="AD29" s="26" t="e">
        <f ca="1"/>
        <v>#N/A</v>
      </c>
      <c r="AE29" s="26" t="e">
        <f ca="1"/>
        <v>#N/A</v>
      </c>
      <c r="AF29" s="27" t="s">
        <v>208</v>
      </c>
      <c r="AG29" s="27"/>
      <c r="AH29" s="27"/>
    </row>
    <row r="30" spans="1:34" ht="20.100000000000001" customHeight="1" x14ac:dyDescent="0.25">
      <c r="A30" s="5" t="str">
        <f>HYPERLINK("#'6.2.1.1-2 Pasture residue N2O'!A1", "6.2.1.1-2 Pasture residue N2O")</f>
        <v>6.2.1.1-2 Pasture residue N2O</v>
      </c>
      <c r="D30" s="113" t="s">
        <v>423</v>
      </c>
      <c r="U30" s="26" t="e">
        <f>TEXT(EDATE('Input - Site'!$E$12,10), "mmmm yyyy")</f>
        <v>#VALUE!</v>
      </c>
      <c r="V30" s="26" t="e">
        <f ca="1"/>
        <v>#N/A</v>
      </c>
      <c r="W30" s="26" t="e">
        <f ca="1"/>
        <v>#N/A</v>
      </c>
      <c r="X30" s="26" t="e">
        <f ca="1"/>
        <v>#N/A</v>
      </c>
      <c r="Y30" s="26" t="e">
        <f ca="1"/>
        <v>#N/A</v>
      </c>
      <c r="Z30" s="26" t="e">
        <f ca="1"/>
        <v>#N/A</v>
      </c>
      <c r="AA30" s="26" t="e">
        <f ca="1"/>
        <v>#N/A</v>
      </c>
      <c r="AB30" s="26" t="e">
        <f ca="1"/>
        <v>#N/A</v>
      </c>
      <c r="AC30" s="26" t="e">
        <f ca="1"/>
        <v>#N/A</v>
      </c>
      <c r="AD30" s="26" t="e">
        <f ca="1"/>
        <v>#N/A</v>
      </c>
      <c r="AE30" s="26" t="e">
        <f ca="1"/>
        <v>#N/A</v>
      </c>
      <c r="AF30" s="27" t="s">
        <v>208</v>
      </c>
      <c r="AG30" s="27"/>
      <c r="AH30" s="27"/>
    </row>
    <row r="31" spans="1:34" ht="20.100000000000001" customHeight="1" x14ac:dyDescent="0.25">
      <c r="A31" s="5" t="str">
        <f>HYPERLINK("#'6.3.1.1-2 Leach runoff pasture'!A1", "6.3.1.1-2 Leach &amp; runoff (pasture)")</f>
        <v>6.3.1.1-2 Leach &amp; runoff (pasture)</v>
      </c>
      <c r="D31" s="114" t="s">
        <v>424</v>
      </c>
      <c r="U31" s="26" t="e">
        <f>TEXT(EDATE('Input - Site'!$E$12,11), "mmmm yyyy")</f>
        <v>#VALUE!</v>
      </c>
      <c r="V31" s="26" t="e">
        <f ca="1"/>
        <v>#N/A</v>
      </c>
      <c r="W31" s="26" t="e">
        <f ca="1"/>
        <v>#N/A</v>
      </c>
      <c r="X31" s="26" t="e">
        <f ca="1"/>
        <v>#N/A</v>
      </c>
      <c r="Y31" s="26" t="e">
        <f ca="1"/>
        <v>#N/A</v>
      </c>
      <c r="Z31" s="26" t="e">
        <f ca="1"/>
        <v>#N/A</v>
      </c>
      <c r="AA31" s="26" t="e">
        <f ca="1"/>
        <v>#N/A</v>
      </c>
      <c r="AB31" s="26" t="e">
        <f ca="1"/>
        <v>#N/A</v>
      </c>
      <c r="AC31" s="26" t="e">
        <f ca="1"/>
        <v>#N/A</v>
      </c>
      <c r="AD31" s="26" t="e">
        <f ca="1"/>
        <v>#N/A</v>
      </c>
      <c r="AE31" s="26" t="e">
        <f ca="1"/>
        <v>#N/A</v>
      </c>
      <c r="AF31" s="27" t="s">
        <v>208</v>
      </c>
      <c r="AG31" s="27"/>
      <c r="AH31" s="27"/>
    </row>
    <row r="32" spans="1:34" ht="20.100000000000001" customHeight="1" x14ac:dyDescent="0.25">
      <c r="A32" s="5" t="str">
        <f>HYPERLINK("#'8.1.1.1-2 Transport fuel'!A1", "8.1.1.1-2 Transport fuel")</f>
        <v>8.1.1.1-2 Transport fuel</v>
      </c>
      <c r="D32" s="115" t="s">
        <v>79</v>
      </c>
      <c r="E32" s="115" t="s">
        <v>189</v>
      </c>
      <c r="F32" s="115" t="s">
        <v>190</v>
      </c>
      <c r="G32" s="115" t="s">
        <v>191</v>
      </c>
      <c r="H32" s="115" t="s">
        <v>192</v>
      </c>
      <c r="I32" s="115" t="s">
        <v>193</v>
      </c>
      <c r="J32" s="115" t="s">
        <v>194</v>
      </c>
      <c r="K32" s="115" t="s">
        <v>195</v>
      </c>
      <c r="L32" s="115" t="s">
        <v>196</v>
      </c>
      <c r="M32" s="115" t="s">
        <v>197</v>
      </c>
      <c r="N32" s="115" t="s">
        <v>198</v>
      </c>
    </row>
    <row r="33" spans="1:34" ht="20.100000000000001" customHeight="1" x14ac:dyDescent="0.25">
      <c r="A33" s="5" t="str">
        <f>HYPERLINK("#'8.2.1.1-2 Stationary fuel'!A1", "8.2.1.1-2 Stationary fuel")</f>
        <v>8.2.1.1-2 Stationary fuel</v>
      </c>
      <c r="D33" s="26" t="str">
        <f>INDEX(X_Table_PastureBeef_Liveweight_Method1,2,1)</f>
        <v>Spring</v>
      </c>
      <c r="E33" s="26" t="e" cm="1">
        <f t="array" aca="1" ref="E33" ca="1">MMS_PastureBeef_Soil_N2ODirect_Equations.VEERG_4_2_1_3__7_RelativeSize(E20,D$28)</f>
        <v>#N/A</v>
      </c>
      <c r="F33" s="26" t="e" cm="1">
        <f t="array" aca="1" ref="F33" ca="1">MMS_PastureBeef_Soil_N2ODirect_Equations.VEERG_4_2_1_3__7_RelativeSize(F20,E$28)</f>
        <v>#N/A</v>
      </c>
      <c r="G33" s="26" t="e" cm="1">
        <f t="array" aca="1" ref="G33" ca="1">MMS_PastureBeef_Soil_N2ODirect_Equations.VEERG_4_2_1_3__7_RelativeSize(G20,F$28)</f>
        <v>#N/A</v>
      </c>
      <c r="H33" s="26" t="e" cm="1">
        <f t="array" aca="1" ref="H33" ca="1">MMS_PastureBeef_Soil_N2ODirect_Equations.VEERG_4_2_1_3__7_RelativeSize(H20,G$28)</f>
        <v>#N/A</v>
      </c>
      <c r="I33" s="26" t="e" cm="1">
        <f t="array" aca="1" ref="I33" ca="1">MMS_PastureBeef_Soil_N2ODirect_Equations.VEERG_4_2_1_3__7_RelativeSize(I20,H$28)</f>
        <v>#N/A</v>
      </c>
      <c r="J33" s="26" t="e" cm="1">
        <f t="array" aca="1" ref="J33" ca="1">MMS_PastureBeef_Soil_N2ODirect_Equations.VEERG_4_2_1_3__7_RelativeSize(J20,I$28)</f>
        <v>#N/A</v>
      </c>
      <c r="K33" s="26" t="e" cm="1">
        <f t="array" aca="1" ref="K33" ca="1">MMS_PastureBeef_Soil_N2ODirect_Equations.VEERG_4_2_1_3__7_RelativeSize(K20,J$28)</f>
        <v>#N/A</v>
      </c>
      <c r="L33" s="26" t="e" cm="1">
        <f t="array" aca="1" ref="L33" ca="1">MMS_PastureBeef_Soil_N2ODirect_Equations.VEERG_4_2_1_3__7_RelativeSize(L20,K$28)</f>
        <v>#N/A</v>
      </c>
      <c r="M33" s="26" t="e" cm="1">
        <f t="array" aca="1" ref="M33" ca="1">MMS_PastureBeef_Soil_N2ODirect_Equations.VEERG_4_2_1_3__7_RelativeSize(M20,L$28)</f>
        <v>#N/A</v>
      </c>
      <c r="N33" s="26" t="e" cm="1">
        <f t="array" aca="1" ref="N33" ca="1">MMS_PastureBeef_Soil_N2ODirect_Equations.VEERG_4_2_1_3__7_RelativeSize(N20,M$28)</f>
        <v>#N/A</v>
      </c>
      <c r="O33" s="27" t="str">
        <f>$E$11</f>
        <v>ratio</v>
      </c>
      <c r="U33" s="113" t="s">
        <v>425</v>
      </c>
    </row>
    <row r="34" spans="1:34" ht="20.100000000000001" customHeight="1" x14ac:dyDescent="0.25">
      <c r="A34" s="5" t="str">
        <f>HYPERLINK("#'14.1.1-2 Purchased electricity'!A1", "14.1.1-2 Purchased electricity")</f>
        <v>14.1.1-2 Purchased electricity</v>
      </c>
      <c r="D34" s="26" t="str">
        <f>INDEX(X_Table_PastureBeef_Liveweight_Method1,3,1)</f>
        <v>Summer</v>
      </c>
      <c r="E34" s="26" t="e" cm="1">
        <f t="array" aca="1" ref="E34" ca="1">MMS_PastureBeef_Soil_N2ODirect_Equations.VEERG_4_2_1_3__7_RelativeSize(E21,D$28)</f>
        <v>#N/A</v>
      </c>
      <c r="F34" s="26" t="e" cm="1">
        <f t="array" aca="1" ref="F34" ca="1">MMS_PastureBeef_Soil_N2ODirect_Equations.VEERG_4_2_1_3__7_RelativeSize(F21,E$28)</f>
        <v>#N/A</v>
      </c>
      <c r="G34" s="26" t="e" cm="1">
        <f t="array" aca="1" ref="G34" ca="1">MMS_PastureBeef_Soil_N2ODirect_Equations.VEERG_4_2_1_3__7_RelativeSize(G21,F$28)</f>
        <v>#N/A</v>
      </c>
      <c r="H34" s="26" t="e" cm="1">
        <f t="array" aca="1" ref="H34" ca="1">MMS_PastureBeef_Soil_N2ODirect_Equations.VEERG_4_2_1_3__7_RelativeSize(H21,G$28)</f>
        <v>#N/A</v>
      </c>
      <c r="I34" s="26" t="e" cm="1">
        <f t="array" aca="1" ref="I34" ca="1">MMS_PastureBeef_Soil_N2ODirect_Equations.VEERG_4_2_1_3__7_RelativeSize(I21,H$28)</f>
        <v>#N/A</v>
      </c>
      <c r="J34" s="26" t="e" cm="1">
        <f t="array" aca="1" ref="J34" ca="1">MMS_PastureBeef_Soil_N2ODirect_Equations.VEERG_4_2_1_3__7_RelativeSize(J21,I$28)</f>
        <v>#N/A</v>
      </c>
      <c r="K34" s="26" t="e" cm="1">
        <f t="array" aca="1" ref="K34" ca="1">MMS_PastureBeef_Soil_N2ODirect_Equations.VEERG_4_2_1_3__7_RelativeSize(K21,J$28)</f>
        <v>#N/A</v>
      </c>
      <c r="L34" s="26" t="e" cm="1">
        <f t="array" aca="1" ref="L34" ca="1">MMS_PastureBeef_Soil_N2ODirect_Equations.VEERG_4_2_1_3__7_RelativeSize(L21,K$28)</f>
        <v>#N/A</v>
      </c>
      <c r="M34" s="26" t="e" cm="1">
        <f t="array" aca="1" ref="M34" ca="1">MMS_PastureBeef_Soil_N2ODirect_Equations.VEERG_4_2_1_3__7_RelativeSize(M21,L$28)</f>
        <v>#N/A</v>
      </c>
      <c r="N34" s="26" t="e" cm="1">
        <f t="array" aca="1" ref="N34" ca="1">MMS_PastureBeef_Soil_N2ODirect_Equations.VEERG_4_2_1_3__7_RelativeSize(N21,M$28)</f>
        <v>#N/A</v>
      </c>
      <c r="O34" s="27" t="str">
        <f t="shared" ref="O34:O36" si="0">$E$11</f>
        <v>ratio</v>
      </c>
      <c r="U34" s="114" t="s">
        <v>426</v>
      </c>
    </row>
    <row r="35" spans="1:34" ht="20.100000000000001" customHeight="1" x14ac:dyDescent="0.25">
      <c r="D35" s="26" t="str">
        <f>INDEX(X_Table_PastureBeef_Liveweight_Method1,4,1)</f>
        <v>Autumn</v>
      </c>
      <c r="E35" s="26" t="e" cm="1">
        <f t="array" aca="1" ref="E35" ca="1">MMS_PastureBeef_Soil_N2ODirect_Equations.VEERG_4_2_1_3__7_RelativeSize(E22,D$28)</f>
        <v>#N/A</v>
      </c>
      <c r="F35" s="26" t="e" cm="1">
        <f t="array" aca="1" ref="F35" ca="1">MMS_PastureBeef_Soil_N2ODirect_Equations.VEERG_4_2_1_3__7_RelativeSize(F22,E$28)</f>
        <v>#N/A</v>
      </c>
      <c r="G35" s="26" t="e" cm="1">
        <f t="array" aca="1" ref="G35" ca="1">MMS_PastureBeef_Soil_N2ODirect_Equations.VEERG_4_2_1_3__7_RelativeSize(G22,F$28)</f>
        <v>#N/A</v>
      </c>
      <c r="H35" s="26" t="e" cm="1">
        <f t="array" aca="1" ref="H35" ca="1">MMS_PastureBeef_Soil_N2ODirect_Equations.VEERG_4_2_1_3__7_RelativeSize(H22,G$28)</f>
        <v>#N/A</v>
      </c>
      <c r="I35" s="26" t="e" cm="1">
        <f t="array" aca="1" ref="I35" ca="1">MMS_PastureBeef_Soil_N2ODirect_Equations.VEERG_4_2_1_3__7_RelativeSize(I22,H$28)</f>
        <v>#N/A</v>
      </c>
      <c r="J35" s="26" t="e" cm="1">
        <f t="array" aca="1" ref="J35" ca="1">MMS_PastureBeef_Soil_N2ODirect_Equations.VEERG_4_2_1_3__7_RelativeSize(J22,I$28)</f>
        <v>#N/A</v>
      </c>
      <c r="K35" s="26" t="e" cm="1">
        <f t="array" aca="1" ref="K35" ca="1">MMS_PastureBeef_Soil_N2ODirect_Equations.VEERG_4_2_1_3__7_RelativeSize(K22,J$28)</f>
        <v>#N/A</v>
      </c>
      <c r="L35" s="26" t="e" cm="1">
        <f t="array" aca="1" ref="L35" ca="1">MMS_PastureBeef_Soil_N2ODirect_Equations.VEERG_4_2_1_3__7_RelativeSize(L22,K$28)</f>
        <v>#N/A</v>
      </c>
      <c r="M35" s="26" t="e" cm="1">
        <f t="array" aca="1" ref="M35" ca="1">MMS_PastureBeef_Soil_N2ODirect_Equations.VEERG_4_2_1_3__7_RelativeSize(M22,L$28)</f>
        <v>#N/A</v>
      </c>
      <c r="N35" s="26" t="e" cm="1">
        <f t="array" aca="1" ref="N35" ca="1">MMS_PastureBeef_Soil_N2ODirect_Equations.VEERG_4_2_1_3__7_RelativeSize(N22,M$28)</f>
        <v>#N/A</v>
      </c>
      <c r="O35" s="27" t="str">
        <f t="shared" si="0"/>
        <v>ratio</v>
      </c>
      <c r="U35" s="115" t="s">
        <v>78</v>
      </c>
      <c r="V35" s="115" t="s">
        <v>189</v>
      </c>
      <c r="W35" s="115" t="s">
        <v>190</v>
      </c>
      <c r="X35" s="115" t="s">
        <v>191</v>
      </c>
      <c r="Y35" s="115" t="s">
        <v>192</v>
      </c>
      <c r="Z35" s="115" t="s">
        <v>193</v>
      </c>
      <c r="AA35" s="115" t="s">
        <v>194</v>
      </c>
      <c r="AB35" s="115" t="s">
        <v>195</v>
      </c>
      <c r="AC35" s="115" t="s">
        <v>196</v>
      </c>
      <c r="AD35" s="115" t="s">
        <v>197</v>
      </c>
      <c r="AE35" s="115" t="s">
        <v>198</v>
      </c>
      <c r="AF35" s="27"/>
      <c r="AG35" s="27"/>
      <c r="AH35" s="27"/>
    </row>
    <row r="36" spans="1:34" ht="20.100000000000001" customHeight="1" x14ac:dyDescent="0.25">
      <c r="D36" s="26" t="str">
        <f>INDEX(X_Table_PastureBeef_Liveweight_Method1,5,1)</f>
        <v>Winter</v>
      </c>
      <c r="E36" s="26" t="e" cm="1">
        <f t="array" aca="1" ref="E36" ca="1">MMS_PastureBeef_Soil_N2ODirect_Equations.VEERG_4_2_1_3__7_RelativeSize(E23,D$28)</f>
        <v>#N/A</v>
      </c>
      <c r="F36" s="26" t="e" cm="1">
        <f t="array" aca="1" ref="F36" ca="1">MMS_PastureBeef_Soil_N2ODirect_Equations.VEERG_4_2_1_3__7_RelativeSize(F23,E$28)</f>
        <v>#N/A</v>
      </c>
      <c r="G36" s="26" t="e" cm="1">
        <f t="array" aca="1" ref="G36" ca="1">MMS_PastureBeef_Soil_N2ODirect_Equations.VEERG_4_2_1_3__7_RelativeSize(G23,F$28)</f>
        <v>#N/A</v>
      </c>
      <c r="H36" s="26" t="e" cm="1">
        <f t="array" aca="1" ref="H36" ca="1">MMS_PastureBeef_Soil_N2ODirect_Equations.VEERG_4_2_1_3__7_RelativeSize(H23,G$28)</f>
        <v>#N/A</v>
      </c>
      <c r="I36" s="26" t="e" cm="1">
        <f t="array" aca="1" ref="I36" ca="1">MMS_PastureBeef_Soil_N2ODirect_Equations.VEERG_4_2_1_3__7_RelativeSize(I23,H$28)</f>
        <v>#N/A</v>
      </c>
      <c r="J36" s="26" t="e" cm="1">
        <f t="array" aca="1" ref="J36" ca="1">MMS_PastureBeef_Soil_N2ODirect_Equations.VEERG_4_2_1_3__7_RelativeSize(J23,I$28)</f>
        <v>#N/A</v>
      </c>
      <c r="K36" s="26" t="e" cm="1">
        <f t="array" aca="1" ref="K36" ca="1">MMS_PastureBeef_Soil_N2ODirect_Equations.VEERG_4_2_1_3__7_RelativeSize(K23,J$28)</f>
        <v>#N/A</v>
      </c>
      <c r="L36" s="26" t="e" cm="1">
        <f t="array" aca="1" ref="L36" ca="1">MMS_PastureBeef_Soil_N2ODirect_Equations.VEERG_4_2_1_3__7_RelativeSize(L23,K$28)</f>
        <v>#N/A</v>
      </c>
      <c r="M36" s="26" t="e" cm="1">
        <f t="array" aca="1" ref="M36" ca="1">MMS_PastureBeef_Soil_N2ODirect_Equations.VEERG_4_2_1_3__7_RelativeSize(M23,L$28)</f>
        <v>#N/A</v>
      </c>
      <c r="N36" s="26" t="e" cm="1">
        <f t="array" aca="1" ref="N36" ca="1">MMS_PastureBeef_Soil_N2ODirect_Equations.VEERG_4_2_1_3__7_RelativeSize(N23,M$28)</f>
        <v>#N/A</v>
      </c>
      <c r="O36" s="27" t="str">
        <f t="shared" si="0"/>
        <v>ratio</v>
      </c>
      <c r="U36" s="26" t="str">
        <f>TEXT('Input - Site'!$E$12, "mmmm yyyy")</f>
        <v>NO - Not in leaching zone</v>
      </c>
      <c r="V36" s="26" t="e" cm="1">
        <f t="array" aca="1" ref="V36" ca="1">MMS_PastureBeef_Soil_N2ODirect_Equations.VEERG_4_2_1_3__7_RelativeSize(V20,D$28)</f>
        <v>#N/A</v>
      </c>
      <c r="W36" s="26" t="e" cm="1">
        <f t="array" aca="1" ref="W36" ca="1">MMS_PastureBeef_Soil_N2ODirect_Equations.VEERG_4_2_1_3__7_RelativeSize(W20,E$28)</f>
        <v>#N/A</v>
      </c>
      <c r="X36" s="26" t="e" cm="1">
        <f t="array" aca="1" ref="X36" ca="1">MMS_PastureBeef_Soil_N2ODirect_Equations.VEERG_4_2_1_3__7_RelativeSize(X20,F$28)</f>
        <v>#N/A</v>
      </c>
      <c r="Y36" s="26" t="e" cm="1">
        <f t="array" aca="1" ref="Y36" ca="1">MMS_PastureBeef_Soil_N2ODirect_Equations.VEERG_4_2_1_3__7_RelativeSize(Y20,G$28)</f>
        <v>#N/A</v>
      </c>
      <c r="Z36" s="26" t="e" cm="1">
        <f t="array" aca="1" ref="Z36" ca="1">MMS_PastureBeef_Soil_N2ODirect_Equations.VEERG_4_2_1_3__7_RelativeSize(Z20,H$28)</f>
        <v>#N/A</v>
      </c>
      <c r="AA36" s="26" t="e" cm="1">
        <f t="array" aca="1" ref="AA36" ca="1">MMS_PastureBeef_Soil_N2ODirect_Equations.VEERG_4_2_1_3__7_RelativeSize(AA20,I$28)</f>
        <v>#N/A</v>
      </c>
      <c r="AB36" s="26" t="e" cm="1">
        <f t="array" aca="1" ref="AB36" ca="1">MMS_PastureBeef_Soil_N2ODirect_Equations.VEERG_4_2_1_3__7_RelativeSize(AB20,J$28)</f>
        <v>#N/A</v>
      </c>
      <c r="AC36" s="26" t="e" cm="1">
        <f t="array" aca="1" ref="AC36" ca="1">MMS_PastureBeef_Soil_N2ODirect_Equations.VEERG_4_2_1_3__7_RelativeSize(AC20,K$28)</f>
        <v>#N/A</v>
      </c>
      <c r="AD36" s="26" t="e" cm="1">
        <f t="array" aca="1" ref="AD36" ca="1">MMS_PastureBeef_Soil_N2ODirect_Equations.VEERG_4_2_1_3__7_RelativeSize(AD20,L$28)</f>
        <v>#N/A</v>
      </c>
      <c r="AE36" s="26" t="e" cm="1">
        <f t="array" aca="1" ref="AE36" ca="1">MMS_PastureBeef_Soil_N2ODirect_Equations.VEERG_4_2_1_3__7_RelativeSize(AE20,M$28)</f>
        <v>#N/A</v>
      </c>
      <c r="AF36" s="27" t="str">
        <f t="shared" ref="AF36:AF47" si="1">$E$11</f>
        <v>ratio</v>
      </c>
      <c r="AG36" s="27"/>
      <c r="AH36" s="27"/>
    </row>
    <row r="37" spans="1:34" ht="20.100000000000001" customHeight="1" x14ac:dyDescent="0.25">
      <c r="A37" s="250" t="s">
        <v>1</v>
      </c>
      <c r="U37" s="26" t="e">
        <f>TEXT(EDATE('Input - Site'!$E$12,1), "mmmm yyyy")</f>
        <v>#VALUE!</v>
      </c>
      <c r="V37" s="26" t="e" cm="1">
        <f t="array" aca="1" ref="V37" ca="1">MMS_PastureBeef_Soil_N2ODirect_Equations.VEERG_4_2_1_3__7_RelativeSize(V21,D$28)</f>
        <v>#N/A</v>
      </c>
      <c r="W37" s="26" t="e" cm="1">
        <f t="array" aca="1" ref="W37" ca="1">MMS_PastureBeef_Soil_N2ODirect_Equations.VEERG_4_2_1_3__7_RelativeSize(W21,E$28)</f>
        <v>#N/A</v>
      </c>
      <c r="X37" s="26" t="e" cm="1">
        <f t="array" aca="1" ref="X37" ca="1">MMS_PastureBeef_Soil_N2ODirect_Equations.VEERG_4_2_1_3__7_RelativeSize(X21,F$28)</f>
        <v>#N/A</v>
      </c>
      <c r="Y37" s="26" t="e" cm="1">
        <f t="array" aca="1" ref="Y37" ca="1">MMS_PastureBeef_Soil_N2ODirect_Equations.VEERG_4_2_1_3__7_RelativeSize(Y21,G$28)</f>
        <v>#N/A</v>
      </c>
      <c r="Z37" s="26" t="e" cm="1">
        <f t="array" aca="1" ref="Z37" ca="1">MMS_PastureBeef_Soil_N2ODirect_Equations.VEERG_4_2_1_3__7_RelativeSize(Z21,H$28)</f>
        <v>#N/A</v>
      </c>
      <c r="AA37" s="26" t="e" cm="1">
        <f t="array" aca="1" ref="AA37" ca="1">MMS_PastureBeef_Soil_N2ODirect_Equations.VEERG_4_2_1_3__7_RelativeSize(AA21,I$28)</f>
        <v>#N/A</v>
      </c>
      <c r="AB37" s="26" t="e" cm="1">
        <f t="array" aca="1" ref="AB37" ca="1">MMS_PastureBeef_Soil_N2ODirect_Equations.VEERG_4_2_1_3__7_RelativeSize(AB21,J$28)</f>
        <v>#N/A</v>
      </c>
      <c r="AC37" s="26" t="e" cm="1">
        <f t="array" aca="1" ref="AC37" ca="1">MMS_PastureBeef_Soil_N2ODirect_Equations.VEERG_4_2_1_3__7_RelativeSize(AC21,K$28)</f>
        <v>#N/A</v>
      </c>
      <c r="AD37" s="26" t="e" cm="1">
        <f t="array" aca="1" ref="AD37" ca="1">MMS_PastureBeef_Soil_N2ODirect_Equations.VEERG_4_2_1_3__7_RelativeSize(AD21,L$28)</f>
        <v>#N/A</v>
      </c>
      <c r="AE37" s="26" t="e" cm="1">
        <f t="array" aca="1" ref="AE37" ca="1">MMS_PastureBeef_Soil_N2ODirect_Equations.VEERG_4_2_1_3__7_RelativeSize(AE21,M$28)</f>
        <v>#N/A</v>
      </c>
      <c r="AF37" s="27" t="str">
        <f t="shared" si="1"/>
        <v>ratio</v>
      </c>
      <c r="AG37" s="27"/>
      <c r="AH37" s="27"/>
    </row>
    <row r="38" spans="1:34" ht="20.100000000000001" customHeight="1" x14ac:dyDescent="0.25">
      <c r="A38" s="5" t="str">
        <f>HYPERLINK("#'Constants - Pasture Beef'!A1", "Constants - Pasture Beef")</f>
        <v>Constants - Pasture Beef</v>
      </c>
      <c r="U38" s="26" t="e">
        <f>TEXT(EDATE('Input - Site'!$E$12,2), "mmmm yyyy")</f>
        <v>#VALUE!</v>
      </c>
      <c r="V38" s="26" t="e" cm="1">
        <f t="array" aca="1" ref="V38" ca="1">MMS_PastureBeef_Soil_N2ODirect_Equations.VEERG_4_2_1_3__7_RelativeSize(V22,D$28)</f>
        <v>#N/A</v>
      </c>
      <c r="W38" s="26" t="e" cm="1">
        <f t="array" aca="1" ref="W38" ca="1">MMS_PastureBeef_Soil_N2ODirect_Equations.VEERG_4_2_1_3__7_RelativeSize(W22,E$28)</f>
        <v>#N/A</v>
      </c>
      <c r="X38" s="26" t="e" cm="1">
        <f t="array" aca="1" ref="X38" ca="1">MMS_PastureBeef_Soil_N2ODirect_Equations.VEERG_4_2_1_3__7_RelativeSize(X22,F$28)</f>
        <v>#N/A</v>
      </c>
      <c r="Y38" s="26" t="e" cm="1">
        <f t="array" aca="1" ref="Y38" ca="1">MMS_PastureBeef_Soil_N2ODirect_Equations.VEERG_4_2_1_3__7_RelativeSize(Y22,G$28)</f>
        <v>#N/A</v>
      </c>
      <c r="Z38" s="26" t="e" cm="1">
        <f t="array" aca="1" ref="Z38" ca="1">MMS_PastureBeef_Soil_N2ODirect_Equations.VEERG_4_2_1_3__7_RelativeSize(Z22,H$28)</f>
        <v>#N/A</v>
      </c>
      <c r="AA38" s="26" t="e" cm="1">
        <f t="array" aca="1" ref="AA38" ca="1">MMS_PastureBeef_Soil_N2ODirect_Equations.VEERG_4_2_1_3__7_RelativeSize(AA22,I$28)</f>
        <v>#N/A</v>
      </c>
      <c r="AB38" s="26" t="e" cm="1">
        <f t="array" aca="1" ref="AB38" ca="1">MMS_PastureBeef_Soil_N2ODirect_Equations.VEERG_4_2_1_3__7_RelativeSize(AB22,J$28)</f>
        <v>#N/A</v>
      </c>
      <c r="AC38" s="26" t="e" cm="1">
        <f t="array" aca="1" ref="AC38" ca="1">MMS_PastureBeef_Soil_N2ODirect_Equations.VEERG_4_2_1_3__7_RelativeSize(AC22,K$28)</f>
        <v>#N/A</v>
      </c>
      <c r="AD38" s="26" t="e" cm="1">
        <f t="array" aca="1" ref="AD38" ca="1">MMS_PastureBeef_Soil_N2ODirect_Equations.VEERG_4_2_1_3__7_RelativeSize(AD22,L$28)</f>
        <v>#N/A</v>
      </c>
      <c r="AE38" s="26" t="e" cm="1">
        <f t="array" aca="1" ref="AE38" ca="1">MMS_PastureBeef_Soil_N2ODirect_Equations.VEERG_4_2_1_3__7_RelativeSize(AE22,M$28)</f>
        <v>#N/A</v>
      </c>
      <c r="AF38" s="27" t="str">
        <f t="shared" si="1"/>
        <v>ratio</v>
      </c>
      <c r="AG38" s="27"/>
      <c r="AH38" s="27"/>
    </row>
    <row r="39" spans="1:34" ht="20.100000000000001" customHeight="1" x14ac:dyDescent="0.25">
      <c r="A39" s="5" t="str">
        <f>HYPERLINK("#'Constants - Ag Residue'!A1", "Constants - Ag residue")</f>
        <v>Constants - Ag residue</v>
      </c>
      <c r="C39" s="117"/>
      <c r="D39" s="117"/>
      <c r="E39" s="117"/>
      <c r="F39" s="117"/>
      <c r="G39" s="117"/>
      <c r="H39" s="117"/>
      <c r="I39" s="117"/>
      <c r="J39" s="117"/>
      <c r="K39" s="117"/>
      <c r="L39" s="117"/>
      <c r="M39" s="117"/>
      <c r="N39" s="117"/>
      <c r="O39" s="117"/>
      <c r="P39" s="117"/>
      <c r="Q39" s="117"/>
      <c r="R39" s="117"/>
      <c r="U39" s="26" t="e">
        <f>TEXT(EDATE('Input - Site'!$E$12,3), "mmmm yyyy")</f>
        <v>#VALUE!</v>
      </c>
      <c r="V39" s="26" t="e" cm="1">
        <f t="array" aca="1" ref="V39" ca="1">MMS_PastureBeef_Soil_N2ODirect_Equations.VEERG_4_2_1_3__7_RelativeSize(V23,D$28)</f>
        <v>#N/A</v>
      </c>
      <c r="W39" s="26" t="e" cm="1">
        <f t="array" aca="1" ref="W39" ca="1">MMS_PastureBeef_Soil_N2ODirect_Equations.VEERG_4_2_1_3__7_RelativeSize(W23,E$28)</f>
        <v>#N/A</v>
      </c>
      <c r="X39" s="26" t="e" cm="1">
        <f t="array" aca="1" ref="X39" ca="1">MMS_PastureBeef_Soil_N2ODirect_Equations.VEERG_4_2_1_3__7_RelativeSize(X23,F$28)</f>
        <v>#N/A</v>
      </c>
      <c r="Y39" s="26" t="e" cm="1">
        <f t="array" aca="1" ref="Y39" ca="1">MMS_PastureBeef_Soil_N2ODirect_Equations.VEERG_4_2_1_3__7_RelativeSize(Y23,G$28)</f>
        <v>#N/A</v>
      </c>
      <c r="Z39" s="26" t="e" cm="1">
        <f t="array" aca="1" ref="Z39" ca="1">MMS_PastureBeef_Soil_N2ODirect_Equations.VEERG_4_2_1_3__7_RelativeSize(Z23,H$28)</f>
        <v>#N/A</v>
      </c>
      <c r="AA39" s="26" t="e" cm="1">
        <f t="array" aca="1" ref="AA39" ca="1">MMS_PastureBeef_Soil_N2ODirect_Equations.VEERG_4_2_1_3__7_RelativeSize(AA23,I$28)</f>
        <v>#N/A</v>
      </c>
      <c r="AB39" s="26" t="e" cm="1">
        <f t="array" aca="1" ref="AB39" ca="1">MMS_PastureBeef_Soil_N2ODirect_Equations.VEERG_4_2_1_3__7_RelativeSize(AB23,J$28)</f>
        <v>#N/A</v>
      </c>
      <c r="AC39" s="26" t="e" cm="1">
        <f t="array" aca="1" ref="AC39" ca="1">MMS_PastureBeef_Soil_N2ODirect_Equations.VEERG_4_2_1_3__7_RelativeSize(AC23,K$28)</f>
        <v>#N/A</v>
      </c>
      <c r="AD39" s="26" t="e" cm="1">
        <f t="array" aca="1" ref="AD39" ca="1">MMS_PastureBeef_Soil_N2ODirect_Equations.VEERG_4_2_1_3__7_RelativeSize(AD23,L$28)</f>
        <v>#N/A</v>
      </c>
      <c r="AE39" s="26" t="e" cm="1">
        <f t="array" aca="1" ref="AE39" ca="1">MMS_PastureBeef_Soil_N2ODirect_Equations.VEERG_4_2_1_3__7_RelativeSize(AE23,M$28)</f>
        <v>#N/A</v>
      </c>
      <c r="AF39" s="27" t="str">
        <f t="shared" si="1"/>
        <v>ratio</v>
      </c>
      <c r="AG39" s="27"/>
      <c r="AH39" s="27"/>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6" t="e">
        <f>TEXT(EDATE('Input - Site'!$E$12,4), "mmmm yyyy")</f>
        <v>#VALUE!</v>
      </c>
      <c r="V40" s="26" t="e" cm="1">
        <f t="array" aca="1" ref="V40" ca="1">MMS_PastureBeef_Soil_N2ODirect_Equations.VEERG_4_2_1_3__7_RelativeSize(V24,D$28)</f>
        <v>#N/A</v>
      </c>
      <c r="W40" s="26" t="e" cm="1">
        <f t="array" aca="1" ref="W40" ca="1">MMS_PastureBeef_Soil_N2ODirect_Equations.VEERG_4_2_1_3__7_RelativeSize(W24,E$28)</f>
        <v>#N/A</v>
      </c>
      <c r="X40" s="26" t="e" cm="1">
        <f t="array" aca="1" ref="X40" ca="1">MMS_PastureBeef_Soil_N2ODirect_Equations.VEERG_4_2_1_3__7_RelativeSize(X24,F$28)</f>
        <v>#N/A</v>
      </c>
      <c r="Y40" s="26" t="e" cm="1">
        <f t="array" aca="1" ref="Y40" ca="1">MMS_PastureBeef_Soil_N2ODirect_Equations.VEERG_4_2_1_3__7_RelativeSize(Y24,G$28)</f>
        <v>#N/A</v>
      </c>
      <c r="Z40" s="26" t="e" cm="1">
        <f t="array" aca="1" ref="Z40" ca="1">MMS_PastureBeef_Soil_N2ODirect_Equations.VEERG_4_2_1_3__7_RelativeSize(Z24,H$28)</f>
        <v>#N/A</v>
      </c>
      <c r="AA40" s="26" t="e" cm="1">
        <f t="array" aca="1" ref="AA40" ca="1">MMS_PastureBeef_Soil_N2ODirect_Equations.VEERG_4_2_1_3__7_RelativeSize(AA24,I$28)</f>
        <v>#N/A</v>
      </c>
      <c r="AB40" s="26" t="e" cm="1">
        <f t="array" aca="1" ref="AB40" ca="1">MMS_PastureBeef_Soil_N2ODirect_Equations.VEERG_4_2_1_3__7_RelativeSize(AB24,J$28)</f>
        <v>#N/A</v>
      </c>
      <c r="AC40" s="26" t="e" cm="1">
        <f t="array" aca="1" ref="AC40" ca="1">MMS_PastureBeef_Soil_N2ODirect_Equations.VEERG_4_2_1_3__7_RelativeSize(AC24,K$28)</f>
        <v>#N/A</v>
      </c>
      <c r="AD40" s="26" t="e" cm="1">
        <f t="array" aca="1" ref="AD40" ca="1">MMS_PastureBeef_Soil_N2ODirect_Equations.VEERG_4_2_1_3__7_RelativeSize(AD24,L$28)</f>
        <v>#N/A</v>
      </c>
      <c r="AE40" s="26" t="e" cm="1">
        <f t="array" aca="1" ref="AE40" ca="1">MMS_PastureBeef_Soil_N2ODirect_Equations.VEERG_4_2_1_3__7_RelativeSize(AE24,M$28)</f>
        <v>#N/A</v>
      </c>
      <c r="AF40" s="27" t="str">
        <f t="shared" si="1"/>
        <v>ratio</v>
      </c>
      <c r="AG40" s="27"/>
      <c r="AH40" s="27"/>
    </row>
    <row r="41" spans="1:34" ht="20.100000000000001" customHeight="1" x14ac:dyDescent="0.25">
      <c r="A41" s="5" t="str">
        <f>HYPERLINK("#'Constants - Electricity'!A1", "Constants - Electricity")</f>
        <v>Constants - Electricity</v>
      </c>
      <c r="D41" s="28" t="str" cm="1">
        <f t="array" ref="D41">MMS_PastureBeef_Soil_N2ODirect_Equations.VEERG_4_2_1_3__6_IntakeRelativeToMaintenance_Source()</f>
        <v>VEERG 2026: 4.2.1.3, Equation (6)</v>
      </c>
      <c r="U41" s="26" t="e">
        <f>TEXT(EDATE('Input - Site'!$E$12,5), "mmmm yyyy")</f>
        <v>#VALUE!</v>
      </c>
      <c r="V41" s="26" t="e" cm="1">
        <f t="array" aca="1" ref="V41" ca="1">MMS_PastureBeef_Soil_N2ODirect_Equations.VEERG_4_2_1_3__7_RelativeSize(V25,D$28)</f>
        <v>#N/A</v>
      </c>
      <c r="W41" s="26" t="e" cm="1">
        <f t="array" aca="1" ref="W41" ca="1">MMS_PastureBeef_Soil_N2ODirect_Equations.VEERG_4_2_1_3__7_RelativeSize(W25,E$28)</f>
        <v>#N/A</v>
      </c>
      <c r="X41" s="26" t="e" cm="1">
        <f t="array" aca="1" ref="X41" ca="1">MMS_PastureBeef_Soil_N2ODirect_Equations.VEERG_4_2_1_3__7_RelativeSize(X25,F$28)</f>
        <v>#N/A</v>
      </c>
      <c r="Y41" s="26" t="e" cm="1">
        <f t="array" aca="1" ref="Y41" ca="1">MMS_PastureBeef_Soil_N2ODirect_Equations.VEERG_4_2_1_3__7_RelativeSize(Y25,G$28)</f>
        <v>#N/A</v>
      </c>
      <c r="Z41" s="26" t="e" cm="1">
        <f t="array" aca="1" ref="Z41" ca="1">MMS_PastureBeef_Soil_N2ODirect_Equations.VEERG_4_2_1_3__7_RelativeSize(Z25,H$28)</f>
        <v>#N/A</v>
      </c>
      <c r="AA41" s="26" t="e" cm="1">
        <f t="array" aca="1" ref="AA41" ca="1">MMS_PastureBeef_Soil_N2ODirect_Equations.VEERG_4_2_1_3__7_RelativeSize(AA25,I$28)</f>
        <v>#N/A</v>
      </c>
      <c r="AB41" s="26" t="e" cm="1">
        <f t="array" aca="1" ref="AB41" ca="1">MMS_PastureBeef_Soil_N2ODirect_Equations.VEERG_4_2_1_3__7_RelativeSize(AB25,J$28)</f>
        <v>#N/A</v>
      </c>
      <c r="AC41" s="26" t="e" cm="1">
        <f t="array" aca="1" ref="AC41" ca="1">MMS_PastureBeef_Soil_N2ODirect_Equations.VEERG_4_2_1_3__7_RelativeSize(AC25,K$28)</f>
        <v>#N/A</v>
      </c>
      <c r="AD41" s="26" t="e" cm="1">
        <f t="array" aca="1" ref="AD41" ca="1">MMS_PastureBeef_Soil_N2ODirect_Equations.VEERG_4_2_1_3__7_RelativeSize(AD25,L$28)</f>
        <v>#N/A</v>
      </c>
      <c r="AE41" s="26" t="e" cm="1">
        <f t="array" aca="1" ref="AE41" ca="1">MMS_PastureBeef_Soil_N2ODirect_Equations.VEERG_4_2_1_3__7_RelativeSize(AE25,M$28)</f>
        <v>#N/A</v>
      </c>
      <c r="AF41" s="27" t="str">
        <f t="shared" si="1"/>
        <v>ratio</v>
      </c>
      <c r="AG41" s="27"/>
      <c r="AH41" s="27"/>
    </row>
    <row r="42" spans="1:34" ht="20.100000000000001" customHeight="1" x14ac:dyDescent="0.25">
      <c r="A42" s="5" t="str">
        <f>HYPERLINK("#'Constants - Fertiliser'!A1", "Constants - Fertiliser")</f>
        <v>Constants - Fertiliser</v>
      </c>
      <c r="D42" s="104" t="s">
        <v>257</v>
      </c>
      <c r="E42" s="104" t="str" cm="1">
        <f t="array" aca="1" ref="E42" ca="1">Common_InputFunctions.Utility_DisplayFunctionName(E62)</f>
        <v>=MMS_PastureBeef_Soil_N2ODirect_Equations.VEERG_4_2_1_3__6_IntakeRelativeToMaintenance</v>
      </c>
      <c r="U42" s="26" t="e">
        <f>TEXT(EDATE('Input - Site'!$E$12,6), "mmmm yyyy")</f>
        <v>#VALUE!</v>
      </c>
      <c r="V42" s="26" t="e" cm="1">
        <f t="array" aca="1" ref="V42" ca="1">MMS_PastureBeef_Soil_N2ODirect_Equations.VEERG_4_2_1_3__7_RelativeSize(V26,D$28)</f>
        <v>#N/A</v>
      </c>
      <c r="W42" s="26" t="e" cm="1">
        <f t="array" aca="1" ref="W42" ca="1">MMS_PastureBeef_Soil_N2ODirect_Equations.VEERG_4_2_1_3__7_RelativeSize(W26,E$28)</f>
        <v>#N/A</v>
      </c>
      <c r="X42" s="26" t="e" cm="1">
        <f t="array" aca="1" ref="X42" ca="1">MMS_PastureBeef_Soil_N2ODirect_Equations.VEERG_4_2_1_3__7_RelativeSize(X26,F$28)</f>
        <v>#N/A</v>
      </c>
      <c r="Y42" s="26" t="e" cm="1">
        <f t="array" aca="1" ref="Y42" ca="1">MMS_PastureBeef_Soil_N2ODirect_Equations.VEERG_4_2_1_3__7_RelativeSize(Y26,G$28)</f>
        <v>#N/A</v>
      </c>
      <c r="Z42" s="26" t="e" cm="1">
        <f t="array" aca="1" ref="Z42" ca="1">MMS_PastureBeef_Soil_N2ODirect_Equations.VEERG_4_2_1_3__7_RelativeSize(Z26,H$28)</f>
        <v>#N/A</v>
      </c>
      <c r="AA42" s="26" t="e" cm="1">
        <f t="array" aca="1" ref="AA42" ca="1">MMS_PastureBeef_Soil_N2ODirect_Equations.VEERG_4_2_1_3__7_RelativeSize(AA26,I$28)</f>
        <v>#N/A</v>
      </c>
      <c r="AB42" s="26" t="e" cm="1">
        <f t="array" aca="1" ref="AB42" ca="1">MMS_PastureBeef_Soil_N2ODirect_Equations.VEERG_4_2_1_3__7_RelativeSize(AB26,J$28)</f>
        <v>#N/A</v>
      </c>
      <c r="AC42" s="26" t="e" cm="1">
        <f t="array" aca="1" ref="AC42" ca="1">MMS_PastureBeef_Soil_N2ODirect_Equations.VEERG_4_2_1_3__7_RelativeSize(AC26,K$28)</f>
        <v>#N/A</v>
      </c>
      <c r="AD42" s="26" t="e" cm="1">
        <f t="array" aca="1" ref="AD42" ca="1">MMS_PastureBeef_Soil_N2ODirect_Equations.VEERG_4_2_1_3__7_RelativeSize(AD26,L$28)</f>
        <v>#N/A</v>
      </c>
      <c r="AE42" s="26" t="e" cm="1">
        <f t="array" aca="1" ref="AE42" ca="1">MMS_PastureBeef_Soil_N2ODirect_Equations.VEERG_4_2_1_3__7_RelativeSize(AE26,M$28)</f>
        <v>#N/A</v>
      </c>
      <c r="AF42" s="27" t="str">
        <f t="shared" si="1"/>
        <v>ratio</v>
      </c>
      <c r="AG42" s="27"/>
      <c r="AH42" s="27"/>
    </row>
    <row r="43" spans="1:34" ht="20.100000000000001" customHeight="1" x14ac:dyDescent="0.25">
      <c r="A43" s="5" t="str">
        <f>HYPERLINK("#'Constants - Fuel'!A1", "Constants - Fuel")</f>
        <v>Constants - Fuel</v>
      </c>
      <c r="U43" s="26" t="e">
        <f>TEXT(EDATE('Input - Site'!$E$12,7), "mmmm yyyy")</f>
        <v>#VALUE!</v>
      </c>
      <c r="V43" s="26" t="e" cm="1">
        <f t="array" aca="1" ref="V43" ca="1">MMS_PastureBeef_Soil_N2ODirect_Equations.VEERG_4_2_1_3__7_RelativeSize(V27,D$28)</f>
        <v>#N/A</v>
      </c>
      <c r="W43" s="26" t="e" cm="1">
        <f t="array" aca="1" ref="W43" ca="1">MMS_PastureBeef_Soil_N2ODirect_Equations.VEERG_4_2_1_3__7_RelativeSize(W27,E$28)</f>
        <v>#N/A</v>
      </c>
      <c r="X43" s="26" t="e" cm="1">
        <f t="array" aca="1" ref="X43" ca="1">MMS_PastureBeef_Soil_N2ODirect_Equations.VEERG_4_2_1_3__7_RelativeSize(X27,F$28)</f>
        <v>#N/A</v>
      </c>
      <c r="Y43" s="26" t="e" cm="1">
        <f t="array" aca="1" ref="Y43" ca="1">MMS_PastureBeef_Soil_N2ODirect_Equations.VEERG_4_2_1_3__7_RelativeSize(Y27,G$28)</f>
        <v>#N/A</v>
      </c>
      <c r="Z43" s="26" t="e" cm="1">
        <f t="array" aca="1" ref="Z43" ca="1">MMS_PastureBeef_Soil_N2ODirect_Equations.VEERG_4_2_1_3__7_RelativeSize(Z27,H$28)</f>
        <v>#N/A</v>
      </c>
      <c r="AA43" s="26" t="e" cm="1">
        <f t="array" aca="1" ref="AA43" ca="1">MMS_PastureBeef_Soil_N2ODirect_Equations.VEERG_4_2_1_3__7_RelativeSize(AA27,I$28)</f>
        <v>#N/A</v>
      </c>
      <c r="AB43" s="26" t="e" cm="1">
        <f t="array" aca="1" ref="AB43" ca="1">MMS_PastureBeef_Soil_N2ODirect_Equations.VEERG_4_2_1_3__7_RelativeSize(AB27,J$28)</f>
        <v>#N/A</v>
      </c>
      <c r="AC43" s="26" t="e" cm="1">
        <f t="array" aca="1" ref="AC43" ca="1">MMS_PastureBeef_Soil_N2ODirect_Equations.VEERG_4_2_1_3__7_RelativeSize(AC27,K$28)</f>
        <v>#N/A</v>
      </c>
      <c r="AD43" s="26" t="e" cm="1">
        <f t="array" aca="1" ref="AD43" ca="1">MMS_PastureBeef_Soil_N2ODirect_Equations.VEERG_4_2_1_3__7_RelativeSize(AD27,L$28)</f>
        <v>#N/A</v>
      </c>
      <c r="AE43" s="26" t="e" cm="1">
        <f t="array" aca="1" ref="AE43" ca="1">MMS_PastureBeef_Soil_N2ODirect_Equations.VEERG_4_2_1_3__7_RelativeSize(AE27,M$28)</f>
        <v>#N/A</v>
      </c>
      <c r="AF43" s="27" t="str">
        <f t="shared" si="1"/>
        <v>ratio</v>
      </c>
      <c r="AG43" s="27"/>
      <c r="AH43" s="27"/>
    </row>
    <row r="44" spans="1:34" ht="20.100000000000001" customHeight="1" x14ac:dyDescent="0.25">
      <c r="A44" s="5" t="str">
        <f>HYPERLINK("#'Constants - Common'!A1", "Constants - Common")</f>
        <v>Constants - Common</v>
      </c>
      <c r="U44" s="26" t="e">
        <f>TEXT(EDATE('Input - Site'!$E$12,8), "mmmm yyyy")</f>
        <v>#VALUE!</v>
      </c>
      <c r="V44" s="26" t="e" cm="1">
        <f t="array" aca="1" ref="V44" ca="1">MMS_PastureBeef_Soil_N2ODirect_Equations.VEERG_4_2_1_3__7_RelativeSize(V28,D$28)</f>
        <v>#N/A</v>
      </c>
      <c r="W44" s="26" t="e" cm="1">
        <f t="array" aca="1" ref="W44" ca="1">MMS_PastureBeef_Soil_N2ODirect_Equations.VEERG_4_2_1_3__7_RelativeSize(W28,E$28)</f>
        <v>#N/A</v>
      </c>
      <c r="X44" s="26" t="e" cm="1">
        <f t="array" aca="1" ref="X44" ca="1">MMS_PastureBeef_Soil_N2ODirect_Equations.VEERG_4_2_1_3__7_RelativeSize(X28,F$28)</f>
        <v>#N/A</v>
      </c>
      <c r="Y44" s="26" t="e" cm="1">
        <f t="array" aca="1" ref="Y44" ca="1">MMS_PastureBeef_Soil_N2ODirect_Equations.VEERG_4_2_1_3__7_RelativeSize(Y28,G$28)</f>
        <v>#N/A</v>
      </c>
      <c r="Z44" s="26" t="e" cm="1">
        <f t="array" aca="1" ref="Z44" ca="1">MMS_PastureBeef_Soil_N2ODirect_Equations.VEERG_4_2_1_3__7_RelativeSize(Z28,H$28)</f>
        <v>#N/A</v>
      </c>
      <c r="AA44" s="26" t="e" cm="1">
        <f t="array" aca="1" ref="AA44" ca="1">MMS_PastureBeef_Soil_N2ODirect_Equations.VEERG_4_2_1_3__7_RelativeSize(AA28,I$28)</f>
        <v>#N/A</v>
      </c>
      <c r="AB44" s="26" t="e" cm="1">
        <f t="array" aca="1" ref="AB44" ca="1">MMS_PastureBeef_Soil_N2ODirect_Equations.VEERG_4_2_1_3__7_RelativeSize(AB28,J$28)</f>
        <v>#N/A</v>
      </c>
      <c r="AC44" s="26" t="e" cm="1">
        <f t="array" aca="1" ref="AC44" ca="1">MMS_PastureBeef_Soil_N2ODirect_Equations.VEERG_4_2_1_3__7_RelativeSize(AC28,K$28)</f>
        <v>#N/A</v>
      </c>
      <c r="AD44" s="26" t="e" cm="1">
        <f t="array" aca="1" ref="AD44" ca="1">MMS_PastureBeef_Soil_N2ODirect_Equations.VEERG_4_2_1_3__7_RelativeSize(AD28,L$28)</f>
        <v>#N/A</v>
      </c>
      <c r="AE44" s="26" t="e" cm="1">
        <f t="array" aca="1" ref="AE44" ca="1">MMS_PastureBeef_Soil_N2ODirect_Equations.VEERG_4_2_1_3__7_RelativeSize(AE28,M$28)</f>
        <v>#N/A</v>
      </c>
      <c r="AF44" s="27" t="str">
        <f t="shared" si="1"/>
        <v>ratio</v>
      </c>
      <c r="AG44" s="27"/>
      <c r="AH44" s="27"/>
    </row>
    <row r="45" spans="1:34" ht="20.100000000000001" customHeight="1" x14ac:dyDescent="0.25">
      <c r="A45" s="5" t="str">
        <f>HYPERLINK("#'Acknowledgements'!A1", "Acknowledgements")</f>
        <v>Acknowledgements</v>
      </c>
      <c r="D45" s="89" t="s">
        <v>259</v>
      </c>
      <c r="E45" s="1" t="str" cm="1">
        <f t="array" ref="E45">MMS_PastureBeef_Soil_N2ODirect_Equations.VEERG_4_2_1_3__6_IntakeRelativeToMaintenance_Variable()</f>
        <v>L_jkl</v>
      </c>
      <c r="U45" s="26" t="e">
        <f>TEXT(EDATE('Input - Site'!$E$12,9), "mmmm yyyy")</f>
        <v>#VALUE!</v>
      </c>
      <c r="V45" s="26" t="e" cm="1">
        <f t="array" aca="1" ref="V45" ca="1">MMS_PastureBeef_Soil_N2ODirect_Equations.VEERG_4_2_1_3__7_RelativeSize(V29,D$28)</f>
        <v>#N/A</v>
      </c>
      <c r="W45" s="26" t="e" cm="1">
        <f t="array" aca="1" ref="W45" ca="1">MMS_PastureBeef_Soil_N2ODirect_Equations.VEERG_4_2_1_3__7_RelativeSize(W29,E$28)</f>
        <v>#N/A</v>
      </c>
      <c r="X45" s="26" t="e" cm="1">
        <f t="array" aca="1" ref="X45" ca="1">MMS_PastureBeef_Soil_N2ODirect_Equations.VEERG_4_2_1_3__7_RelativeSize(X29,F$28)</f>
        <v>#N/A</v>
      </c>
      <c r="Y45" s="26" t="e" cm="1">
        <f t="array" aca="1" ref="Y45" ca="1">MMS_PastureBeef_Soil_N2ODirect_Equations.VEERG_4_2_1_3__7_RelativeSize(Y29,G$28)</f>
        <v>#N/A</v>
      </c>
      <c r="Z45" s="26" t="e" cm="1">
        <f t="array" aca="1" ref="Z45" ca="1">MMS_PastureBeef_Soil_N2ODirect_Equations.VEERG_4_2_1_3__7_RelativeSize(Z29,H$28)</f>
        <v>#N/A</v>
      </c>
      <c r="AA45" s="26" t="e" cm="1">
        <f t="array" aca="1" ref="AA45" ca="1">MMS_PastureBeef_Soil_N2ODirect_Equations.VEERG_4_2_1_3__7_RelativeSize(AA29,I$28)</f>
        <v>#N/A</v>
      </c>
      <c r="AB45" s="26" t="e" cm="1">
        <f t="array" aca="1" ref="AB45" ca="1">MMS_PastureBeef_Soil_N2ODirect_Equations.VEERG_4_2_1_3__7_RelativeSize(AB29,J$28)</f>
        <v>#N/A</v>
      </c>
      <c r="AC45" s="26" t="e" cm="1">
        <f t="array" aca="1" ref="AC45" ca="1">MMS_PastureBeef_Soil_N2ODirect_Equations.VEERG_4_2_1_3__7_RelativeSize(AC29,K$28)</f>
        <v>#N/A</v>
      </c>
      <c r="AD45" s="26" t="e" cm="1">
        <f t="array" aca="1" ref="AD45" ca="1">MMS_PastureBeef_Soil_N2ODirect_Equations.VEERG_4_2_1_3__7_RelativeSize(AD29,L$28)</f>
        <v>#N/A</v>
      </c>
      <c r="AE45" s="26" t="e" cm="1">
        <f t="array" aca="1" ref="AE45" ca="1">MMS_PastureBeef_Soil_N2ODirect_Equations.VEERG_4_2_1_3__7_RelativeSize(AE29,M$28)</f>
        <v>#N/A</v>
      </c>
      <c r="AF45" s="27" t="str">
        <f t="shared" si="1"/>
        <v>ratio</v>
      </c>
      <c r="AG45" s="27"/>
      <c r="AH45" s="27"/>
    </row>
    <row r="46" spans="1:34" ht="20.100000000000001" customHeight="1" x14ac:dyDescent="0.25">
      <c r="A46" s="5" t="str">
        <f>HYPERLINK("#'Overview'!A1", "Overview")</f>
        <v>Overview</v>
      </c>
      <c r="D46" s="89" t="s">
        <v>133</v>
      </c>
      <c r="E46" s="15" t="str" cm="1">
        <f t="array" ref="E46">MMS_PastureBeef_Soil_N2ODirect_Equations.VEERG_4_2_1_3__6_IntakeRelativeToMaintenance_Unit()</f>
        <v>ratio</v>
      </c>
      <c r="U46" s="26" t="e">
        <f>TEXT(EDATE('Input - Site'!$E$12,10), "mmmm yyyy")</f>
        <v>#VALUE!</v>
      </c>
      <c r="V46" s="26" t="e" cm="1">
        <f t="array" aca="1" ref="V46" ca="1">MMS_PastureBeef_Soil_N2ODirect_Equations.VEERG_4_2_1_3__7_RelativeSize(V30,D$28)</f>
        <v>#N/A</v>
      </c>
      <c r="W46" s="26" t="e" cm="1">
        <f t="array" aca="1" ref="W46" ca="1">MMS_PastureBeef_Soil_N2ODirect_Equations.VEERG_4_2_1_3__7_RelativeSize(W30,E$28)</f>
        <v>#N/A</v>
      </c>
      <c r="X46" s="26" t="e" cm="1">
        <f t="array" aca="1" ref="X46" ca="1">MMS_PastureBeef_Soil_N2ODirect_Equations.VEERG_4_2_1_3__7_RelativeSize(X30,F$28)</f>
        <v>#N/A</v>
      </c>
      <c r="Y46" s="26" t="e" cm="1">
        <f t="array" aca="1" ref="Y46" ca="1">MMS_PastureBeef_Soil_N2ODirect_Equations.VEERG_4_2_1_3__7_RelativeSize(Y30,G$28)</f>
        <v>#N/A</v>
      </c>
      <c r="Z46" s="26" t="e" cm="1">
        <f t="array" aca="1" ref="Z46" ca="1">MMS_PastureBeef_Soil_N2ODirect_Equations.VEERG_4_2_1_3__7_RelativeSize(Z30,H$28)</f>
        <v>#N/A</v>
      </c>
      <c r="AA46" s="26" t="e" cm="1">
        <f t="array" aca="1" ref="AA46" ca="1">MMS_PastureBeef_Soil_N2ODirect_Equations.VEERG_4_2_1_3__7_RelativeSize(AA30,I$28)</f>
        <v>#N/A</v>
      </c>
      <c r="AB46" s="26" t="e" cm="1">
        <f t="array" aca="1" ref="AB46" ca="1">MMS_PastureBeef_Soil_N2ODirect_Equations.VEERG_4_2_1_3__7_RelativeSize(AB30,J$28)</f>
        <v>#N/A</v>
      </c>
      <c r="AC46" s="26" t="e" cm="1">
        <f t="array" aca="1" ref="AC46" ca="1">MMS_PastureBeef_Soil_N2ODirect_Equations.VEERG_4_2_1_3__7_RelativeSize(AC30,K$28)</f>
        <v>#N/A</v>
      </c>
      <c r="AD46" s="26" t="e" cm="1">
        <f t="array" aca="1" ref="AD46" ca="1">MMS_PastureBeef_Soil_N2ODirect_Equations.VEERG_4_2_1_3__7_RelativeSize(AD30,L$28)</f>
        <v>#N/A</v>
      </c>
      <c r="AE46" s="26" t="e" cm="1">
        <f t="array" aca="1" ref="AE46" ca="1">MMS_PastureBeef_Soil_N2ODirect_Equations.VEERG_4_2_1_3__7_RelativeSize(AE30,M$28)</f>
        <v>#N/A</v>
      </c>
      <c r="AF46" s="27" t="str">
        <f t="shared" si="1"/>
        <v>ratio</v>
      </c>
      <c r="AG46" s="27"/>
      <c r="AH46" s="27"/>
    </row>
    <row r="47" spans="1:34" ht="20.100000000000001" customHeight="1" x14ac:dyDescent="0.25">
      <c r="U47" s="26" t="e">
        <f>TEXT(EDATE('Input - Site'!$E$12,11), "mmmm yyyy")</f>
        <v>#VALUE!</v>
      </c>
      <c r="V47" s="26" t="e" cm="1">
        <f t="array" aca="1" ref="V47" ca="1">MMS_PastureBeef_Soil_N2ODirect_Equations.VEERG_4_2_1_3__7_RelativeSize(V31,D$28)</f>
        <v>#N/A</v>
      </c>
      <c r="W47" s="26" t="e" cm="1">
        <f t="array" aca="1" ref="W47" ca="1">MMS_PastureBeef_Soil_N2ODirect_Equations.VEERG_4_2_1_3__7_RelativeSize(W31,E$28)</f>
        <v>#N/A</v>
      </c>
      <c r="X47" s="26" t="e" cm="1">
        <f t="array" aca="1" ref="X47" ca="1">MMS_PastureBeef_Soil_N2ODirect_Equations.VEERG_4_2_1_3__7_RelativeSize(X31,F$28)</f>
        <v>#N/A</v>
      </c>
      <c r="Y47" s="26" t="e" cm="1">
        <f t="array" aca="1" ref="Y47" ca="1">MMS_PastureBeef_Soil_N2ODirect_Equations.VEERG_4_2_1_3__7_RelativeSize(Y31,G$28)</f>
        <v>#N/A</v>
      </c>
      <c r="Z47" s="26" t="e" cm="1">
        <f t="array" aca="1" ref="Z47" ca="1">MMS_PastureBeef_Soil_N2ODirect_Equations.VEERG_4_2_1_3__7_RelativeSize(Z31,H$28)</f>
        <v>#N/A</v>
      </c>
      <c r="AA47" s="26" t="e" cm="1">
        <f t="array" aca="1" ref="AA47" ca="1">MMS_PastureBeef_Soil_N2ODirect_Equations.VEERG_4_2_1_3__7_RelativeSize(AA31,I$28)</f>
        <v>#N/A</v>
      </c>
      <c r="AB47" s="26" t="e" cm="1">
        <f t="array" aca="1" ref="AB47" ca="1">MMS_PastureBeef_Soil_N2ODirect_Equations.VEERG_4_2_1_3__7_RelativeSize(AB31,J$28)</f>
        <v>#N/A</v>
      </c>
      <c r="AC47" s="26" t="e" cm="1">
        <f t="array" aca="1" ref="AC47" ca="1">MMS_PastureBeef_Soil_N2ODirect_Equations.VEERG_4_2_1_3__7_RelativeSize(AC31,K$28)</f>
        <v>#N/A</v>
      </c>
      <c r="AD47" s="26" t="e" cm="1">
        <f t="array" aca="1" ref="AD47" ca="1">MMS_PastureBeef_Soil_N2ODirect_Equations.VEERG_4_2_1_3__7_RelativeSize(AD31,L$28)</f>
        <v>#N/A</v>
      </c>
      <c r="AE47" s="26" t="e" cm="1">
        <f t="array" aca="1" ref="AE47" ca="1">MMS_PastureBeef_Soil_N2ODirect_Equations.VEERG_4_2_1_3__7_RelativeSize(AE31,M$28)</f>
        <v>#N/A</v>
      </c>
      <c r="AF47" s="27" t="str">
        <f t="shared" si="1"/>
        <v>ratio</v>
      </c>
      <c r="AG47" s="27"/>
      <c r="AH47" s="27"/>
    </row>
    <row r="48" spans="1:34" ht="20.100000000000001" customHeight="1" x14ac:dyDescent="0.25">
      <c r="D48" s="106" t="str" cm="1">
        <f t="array" ref="D48:E49">_xlfn.CHOOSECOLS(MMS_PastureBeef_Soil_N2ODirect_Equations.VEERG_4_2_1_3__6_IntakeRelativeToMaintenance_Arguments(),1,2)</f>
        <v>I_jkl</v>
      </c>
      <c r="E48" s="107" t="str">
        <v>dry matter intake as calculated in Chapter 3 Section 3.2.1 (kg DM/head/day)</v>
      </c>
      <c r="F48" s="109"/>
      <c r="G48" s="106" t="str" cm="1">
        <f t="array" ref="G48:H49">_xlfn.CHOOSECOLS(MMS_PastureBeef_Soil_N2ODirect_Equations.VEERG_4_2_1_3__6_IntakeRelativeToMaintenance_Arguments(),3,4)</f>
        <v>kg DM/head/day</v>
      </c>
      <c r="H48" s="111" t="str">
        <v>Calculated from 3.2.1.1 (3)</v>
      </c>
      <c r="I48" s="112" t="str" cm="1">
        <f t="array" aca="1" ref="I48" ca="1">HYPERLINK(Common_InputFunctions.Utility_SourceHyperlink($D$51), $D$51)</f>
        <v>M1_Table_I_j_k_l</v>
      </c>
    </row>
    <row r="49" spans="4:35" ht="20.100000000000001" customHeight="1" x14ac:dyDescent="0.25">
      <c r="D49" s="106" t="str">
        <v>W_jkl</v>
      </c>
      <c r="E49" s="107" t="str">
        <v>liveweight (kg/head)</v>
      </c>
      <c r="F49" s="109"/>
      <c r="G49" s="106" t="str">
        <v>kg/head</v>
      </c>
      <c r="H49" s="110" t="str">
        <v>Input</v>
      </c>
      <c r="I49" s="112" t="str" cm="1">
        <f t="array" aca="1" ref="I49" ca="1">HYPERLINK(Common_InputFunctions.Utility_SourceHyperlink($D$17), $D$17)</f>
        <v>M1_Table_W_j_k_l</v>
      </c>
    </row>
    <row r="50" spans="4:35" ht="20.100000000000001" customHeight="1" x14ac:dyDescent="0.25">
      <c r="T50" s="117"/>
      <c r="U50" s="117"/>
      <c r="V50" s="117"/>
      <c r="W50" s="117"/>
      <c r="X50" s="117"/>
      <c r="Y50" s="117"/>
      <c r="Z50" s="117"/>
      <c r="AA50" s="117"/>
      <c r="AB50" s="117"/>
      <c r="AC50" s="117"/>
      <c r="AD50" s="117"/>
      <c r="AE50" s="117"/>
      <c r="AF50" s="117"/>
      <c r="AG50" s="117"/>
      <c r="AH50" s="117"/>
      <c r="AI50" s="117"/>
    </row>
    <row r="51" spans="4:35" ht="20.100000000000001" customHeight="1" x14ac:dyDescent="0.25">
      <c r="D51" s="113" t="s">
        <v>278</v>
      </c>
      <c r="U51" s="2" t="str" cm="1">
        <f t="array" ref="U51">MMS_PastureBeef_Soil_N2ODirect_Equations.VEERG_4_2_1_3__6_IntakeRelativeToMaintenance_Title()</f>
        <v>Intake relative to that needed for maintenance</v>
      </c>
    </row>
    <row r="52" spans="4:35" ht="20.100000000000001" customHeight="1" x14ac:dyDescent="0.25">
      <c r="D52" s="114" t="s">
        <v>279</v>
      </c>
    </row>
    <row r="53" spans="4:35" ht="20.100000000000001" customHeight="1" x14ac:dyDescent="0.25">
      <c r="D53" s="115" t="s">
        <v>79</v>
      </c>
      <c r="E53" s="115" t="s">
        <v>189</v>
      </c>
      <c r="F53" s="115" t="s">
        <v>190</v>
      </c>
      <c r="G53" s="115" t="s">
        <v>191</v>
      </c>
      <c r="H53" s="115" t="s">
        <v>192</v>
      </c>
      <c r="I53" s="115" t="s">
        <v>193</v>
      </c>
      <c r="J53" s="115" t="s">
        <v>194</v>
      </c>
      <c r="K53" s="115" t="s">
        <v>195</v>
      </c>
      <c r="L53" s="115" t="s">
        <v>196</v>
      </c>
      <c r="M53" s="115" t="s">
        <v>197</v>
      </c>
      <c r="N53" s="115" t="s">
        <v>198</v>
      </c>
      <c r="U53" s="113" t="s">
        <v>280</v>
      </c>
    </row>
    <row r="54" spans="4:35" ht="20.100000000000001" customHeight="1" x14ac:dyDescent="0.25">
      <c r="D54" s="26" t="s">
        <v>199</v>
      </c>
      <c r="E54" s="26" t="e">
        <f ca="1">INDEX(M1_Table_I_j_k_l,2,2)</f>
        <v>#N/A</v>
      </c>
      <c r="F54" s="26" t="e">
        <f ca="1">INDEX(M1_Table_I_j_k_l,2,3)</f>
        <v>#N/A</v>
      </c>
      <c r="G54" s="26" t="e">
        <f ca="1">INDEX(M1_Table_I_j_k_l,2,4)</f>
        <v>#N/A</v>
      </c>
      <c r="H54" s="26" t="e">
        <f ca="1">INDEX(M1_Table_I_j_k_l,2,5)</f>
        <v>#N/A</v>
      </c>
      <c r="I54" s="26" t="e">
        <f ca="1">INDEX(M1_Table_I_j_k_l,2,6)</f>
        <v>#N/A</v>
      </c>
      <c r="J54" s="26" t="e">
        <f ca="1">INDEX(M1_Table_I_j_k_l,2,7)</f>
        <v>#N/A</v>
      </c>
      <c r="K54" s="26" t="e">
        <f ca="1">INDEX(M1_Table_I_j_k_l,2,8)</f>
        <v>#N/A</v>
      </c>
      <c r="L54" s="26" t="e">
        <f ca="1">INDEX(M1_Table_I_j_k_l,2,9)</f>
        <v>#N/A</v>
      </c>
      <c r="M54" s="26" t="e">
        <f ca="1">INDEX(M1_Table_I_j_k_l,2,10)</f>
        <v>#N/A</v>
      </c>
      <c r="N54" s="26" t="e">
        <f ca="1">INDEX(M1_Table_I_j_k_l,2,11)</f>
        <v>#N/A</v>
      </c>
      <c r="O54" s="27" t="str">
        <f>'4.2.1.1-2 Methane'!O84</f>
        <v>kg DM/head/day</v>
      </c>
      <c r="U54" s="114" t="s">
        <v>281</v>
      </c>
    </row>
    <row r="55" spans="4:35" ht="20.100000000000001" customHeight="1" x14ac:dyDescent="0.25">
      <c r="D55" s="26" t="s">
        <v>200</v>
      </c>
      <c r="E55" s="26" t="e">
        <f ca="1">INDEX(M1_Table_I_j_k_l,3,2)</f>
        <v>#N/A</v>
      </c>
      <c r="F55" s="26" t="e">
        <f ca="1">INDEX(M1_Table_I_j_k_l,3,3)</f>
        <v>#N/A</v>
      </c>
      <c r="G55" s="26" t="e">
        <f ca="1">INDEX(M1_Table_I_j_k_l,3,4)</f>
        <v>#N/A</v>
      </c>
      <c r="H55" s="26" t="e">
        <f ca="1">INDEX(M1_Table_I_j_k_l,3,5)</f>
        <v>#N/A</v>
      </c>
      <c r="I55" s="26" t="e">
        <f ca="1">INDEX(M1_Table_I_j_k_l,3,6)</f>
        <v>#N/A</v>
      </c>
      <c r="J55" s="26" t="e">
        <f ca="1">INDEX(M1_Table_I_j_k_l,3,7)</f>
        <v>#N/A</v>
      </c>
      <c r="K55" s="26" t="e">
        <f ca="1">INDEX(M1_Table_I_j_k_l,3,8)</f>
        <v>#N/A</v>
      </c>
      <c r="L55" s="26" t="e">
        <f ca="1">INDEX(M1_Table_I_j_k_l,3,9)</f>
        <v>#N/A</v>
      </c>
      <c r="M55" s="26" t="e">
        <f ca="1">INDEX(M1_Table_I_j_k_l,3,10)</f>
        <v>#N/A</v>
      </c>
      <c r="N55" s="26" t="e">
        <f ca="1">INDEX(M1_Table_I_j_k_l,3,11)</f>
        <v>#N/A</v>
      </c>
      <c r="O55" s="27" t="str">
        <f>'4.2.1.1-2 Methane'!O85</f>
        <v>kg DM/head/day</v>
      </c>
      <c r="U55" s="115" t="s">
        <v>78</v>
      </c>
      <c r="V55" s="115" t="s">
        <v>189</v>
      </c>
      <c r="W55" s="115" t="s">
        <v>190</v>
      </c>
      <c r="X55" s="115" t="s">
        <v>191</v>
      </c>
      <c r="Y55" s="115" t="s">
        <v>192</v>
      </c>
      <c r="Z55" s="115" t="s">
        <v>193</v>
      </c>
      <c r="AA55" s="115" t="s">
        <v>194</v>
      </c>
      <c r="AB55" s="115" t="s">
        <v>195</v>
      </c>
      <c r="AC55" s="115" t="s">
        <v>196</v>
      </c>
      <c r="AD55" s="115" t="s">
        <v>197</v>
      </c>
      <c r="AE55" s="115" t="s">
        <v>198</v>
      </c>
    </row>
    <row r="56" spans="4:35" ht="20.100000000000001" customHeight="1" x14ac:dyDescent="0.25">
      <c r="D56" s="26" t="s">
        <v>201</v>
      </c>
      <c r="E56" s="26" t="e">
        <f ca="1">INDEX(M1_Table_I_j_k_l,4,2)</f>
        <v>#N/A</v>
      </c>
      <c r="F56" s="26" t="e">
        <f ca="1">INDEX(M1_Table_I_j_k_l,4,3)</f>
        <v>#N/A</v>
      </c>
      <c r="G56" s="26" t="e">
        <f ca="1">INDEX(M1_Table_I_j_k_l,4,4)</f>
        <v>#N/A</v>
      </c>
      <c r="H56" s="26" t="e">
        <f ca="1">INDEX(M1_Table_I_j_k_l,4,5)</f>
        <v>#N/A</v>
      </c>
      <c r="I56" s="26" t="e">
        <f ca="1">INDEX(M1_Table_I_j_k_l,4,6)</f>
        <v>#N/A</v>
      </c>
      <c r="J56" s="26" t="e">
        <f ca="1">INDEX(M1_Table_I_j_k_l,4,7)</f>
        <v>#N/A</v>
      </c>
      <c r="K56" s="26" t="e">
        <f ca="1">INDEX(M1_Table_I_j_k_l,4,8)</f>
        <v>#N/A</v>
      </c>
      <c r="L56" s="26" t="e">
        <f ca="1">INDEX(M1_Table_I_j_k_l,4,9)</f>
        <v>#N/A</v>
      </c>
      <c r="M56" s="26" t="e">
        <f ca="1">INDEX(M1_Table_I_j_k_l,4,10)</f>
        <v>#N/A</v>
      </c>
      <c r="N56" s="26" t="e">
        <f ca="1">INDEX(M1_Table_I_j_k_l,4,11)</f>
        <v>#N/A</v>
      </c>
      <c r="O56" s="27" t="str">
        <f>'4.2.1.1-2 Methane'!O86</f>
        <v>kg DM/head/day</v>
      </c>
      <c r="U56" s="26" t="str">
        <f>TEXT('Input - Site'!$E$12, "mmmm yyyy")</f>
        <v>NO - Not in leaching zone</v>
      </c>
      <c r="V56" s="26" t="e">
        <f ca="1">INDEX(M2_Table_I_j_k_l,2,2)</f>
        <v>#N/A</v>
      </c>
      <c r="W56" s="26" t="e">
        <f ca="1">INDEX(M2_Table_I_j_k_l,2,3)</f>
        <v>#N/A</v>
      </c>
      <c r="X56" s="26" t="e">
        <f ca="1">INDEX(M2_Table_I_j_k_l,2,4)</f>
        <v>#N/A</v>
      </c>
      <c r="Y56" s="26" t="e">
        <f ca="1">INDEX(M2_Table_I_j_k_l,2,5)</f>
        <v>#N/A</v>
      </c>
      <c r="Z56" s="26" t="e">
        <f ca="1">INDEX(M2_Table_I_j_k_l,2,6)</f>
        <v>#N/A</v>
      </c>
      <c r="AA56" s="26" t="e">
        <f ca="1">INDEX(M2_Table_I_j_k_l,2,7)</f>
        <v>#N/A</v>
      </c>
      <c r="AB56" s="26" t="e">
        <f ca="1">INDEX(M2_Table_I_j_k_l,2,8)</f>
        <v>#N/A</v>
      </c>
      <c r="AC56" s="26" t="e">
        <f ca="1">INDEX(M2_Table_I_j_k_l,2,9)</f>
        <v>#N/A</v>
      </c>
      <c r="AD56" s="26" t="e">
        <f ca="1">INDEX(M2_Table_I_j_k_l,2,10)</f>
        <v>#N/A</v>
      </c>
      <c r="AE56" s="26" t="e">
        <f ca="1">INDEX(M2_Table_I_j_k_l,2,11)</f>
        <v>#N/A</v>
      </c>
      <c r="AF56" s="27" t="str">
        <f>'4.2.1.1-2 Methane'!AH76</f>
        <v>kg DM/head/day</v>
      </c>
      <c r="AG56" s="27"/>
      <c r="AH56" s="27"/>
    </row>
    <row r="57" spans="4:35" ht="20.100000000000001" customHeight="1" x14ac:dyDescent="0.25">
      <c r="D57" s="26" t="s">
        <v>202</v>
      </c>
      <c r="E57" s="26" t="e">
        <f ca="1">INDEX(M1_Table_I_j_k_l,5,2)</f>
        <v>#N/A</v>
      </c>
      <c r="F57" s="26" t="e">
        <f ca="1">INDEX(M1_Table_I_j_k_l,5,3)</f>
        <v>#N/A</v>
      </c>
      <c r="G57" s="26" t="e">
        <f ca="1">INDEX(M1_Table_I_j_k_l,5,4)</f>
        <v>#N/A</v>
      </c>
      <c r="H57" s="26" t="e">
        <f ca="1">INDEX(M1_Table_I_j_k_l,5,5)</f>
        <v>#N/A</v>
      </c>
      <c r="I57" s="26" t="e">
        <f ca="1">INDEX(M1_Table_I_j_k_l,5,6)</f>
        <v>#N/A</v>
      </c>
      <c r="J57" s="26" t="e">
        <f ca="1">INDEX(M1_Table_I_j_k_l,5,7)</f>
        <v>#N/A</v>
      </c>
      <c r="K57" s="26" t="e">
        <f ca="1">INDEX(M1_Table_I_j_k_l,5,8)</f>
        <v>#N/A</v>
      </c>
      <c r="L57" s="26" t="e">
        <f ca="1">INDEX(M1_Table_I_j_k_l,5,9)</f>
        <v>#N/A</v>
      </c>
      <c r="M57" s="26" t="e">
        <f ca="1">INDEX(M1_Table_I_j_k_l,5,10)</f>
        <v>#N/A</v>
      </c>
      <c r="N57" s="26" t="e">
        <f ca="1">INDEX(M1_Table_I_j_k_l,5,11)</f>
        <v>#N/A</v>
      </c>
      <c r="O57" s="27" t="str">
        <f>'4.2.1.1-2 Methane'!O87</f>
        <v>kg DM/head/day</v>
      </c>
      <c r="U57" s="26" t="e">
        <f>TEXT(EDATE('Input - Site'!$E$12,1), "mmmm yyyy")</f>
        <v>#VALUE!</v>
      </c>
      <c r="V57" s="26" t="e">
        <f ca="1">INDEX(M2_Table_I_j_k_l,3,2)</f>
        <v>#N/A</v>
      </c>
      <c r="W57" s="26" t="e">
        <f ca="1">INDEX(M2_Table_I_j_k_l,3,3)</f>
        <v>#N/A</v>
      </c>
      <c r="X57" s="26" t="e">
        <f ca="1">INDEX(M2_Table_I_j_k_l,3,4)</f>
        <v>#N/A</v>
      </c>
      <c r="Y57" s="26" t="e">
        <f ca="1">INDEX(M2_Table_I_j_k_l,3,5)</f>
        <v>#N/A</v>
      </c>
      <c r="Z57" s="26" t="e">
        <f ca="1">INDEX(M2_Table_I_j_k_l,3,6)</f>
        <v>#N/A</v>
      </c>
      <c r="AA57" s="26" t="e">
        <f ca="1">INDEX(M2_Table_I_j_k_l,3,7)</f>
        <v>#N/A</v>
      </c>
      <c r="AB57" s="26" t="e">
        <f ca="1">INDEX(M2_Table_I_j_k_l,3,8)</f>
        <v>#N/A</v>
      </c>
      <c r="AC57" s="26" t="e">
        <f ca="1">INDEX(M2_Table_I_j_k_l,3,9)</f>
        <v>#N/A</v>
      </c>
      <c r="AD57" s="26" t="e">
        <f ca="1">INDEX(M2_Table_I_j_k_l,3,10)</f>
        <v>#N/A</v>
      </c>
      <c r="AE57" s="26" t="e">
        <f ca="1">INDEX(M2_Table_I_j_k_l,3,11)</f>
        <v>#N/A</v>
      </c>
      <c r="AF57" s="27" t="str">
        <f>'4.2.1.1-2 Methane'!AH77</f>
        <v>kg DM/head/day</v>
      </c>
      <c r="AG57" s="27"/>
      <c r="AH57" s="27"/>
    </row>
    <row r="58" spans="4:35" ht="20.100000000000001" customHeight="1" x14ac:dyDescent="0.25">
      <c r="U58" s="26" t="e">
        <f>TEXT(EDATE('Input - Site'!$E$12,2), "mmmm yyyy")</f>
        <v>#VALUE!</v>
      </c>
      <c r="V58" s="26" t="e">
        <f ca="1">INDEX(M2_Table_I_j_k_l,4,2)</f>
        <v>#N/A</v>
      </c>
      <c r="W58" s="26" t="e">
        <f ca="1">INDEX(M2_Table_I_j_k_l,4,3)</f>
        <v>#N/A</v>
      </c>
      <c r="X58" s="26" t="e">
        <f ca="1">INDEX(M2_Table_I_j_k_l,4,4)</f>
        <v>#N/A</v>
      </c>
      <c r="Y58" s="26" t="e">
        <f ca="1">INDEX(M2_Table_I_j_k_l,4,5)</f>
        <v>#N/A</v>
      </c>
      <c r="Z58" s="26" t="e">
        <f ca="1">INDEX(M2_Table_I_j_k_l,4,6)</f>
        <v>#N/A</v>
      </c>
      <c r="AA58" s="26" t="e">
        <f ca="1">INDEX(M2_Table_I_j_k_l,4,7)</f>
        <v>#N/A</v>
      </c>
      <c r="AB58" s="26" t="e">
        <f ca="1">INDEX(M2_Table_I_j_k_l,4,8)</f>
        <v>#N/A</v>
      </c>
      <c r="AC58" s="26" t="e">
        <f ca="1">INDEX(M2_Table_I_j_k_l,4,9)</f>
        <v>#N/A</v>
      </c>
      <c r="AD58" s="26" t="e">
        <f ca="1">INDEX(M2_Table_I_j_k_l,4,10)</f>
        <v>#N/A</v>
      </c>
      <c r="AE58" s="26" t="e">
        <f ca="1">INDEX(M2_Table_I_j_k_l,4,11)</f>
        <v>#N/A</v>
      </c>
      <c r="AF58" s="27" t="str">
        <f>'4.2.1.1-2 Methane'!AH78</f>
        <v>kg DM/head/day</v>
      </c>
      <c r="AG58" s="27"/>
      <c r="AH58" s="27"/>
    </row>
    <row r="59" spans="4:35" ht="20.100000000000001" customHeight="1" x14ac:dyDescent="0.25">
      <c r="D59" s="113" t="s">
        <v>427</v>
      </c>
      <c r="U59" s="26" t="e">
        <f>TEXT(EDATE('Input - Site'!$E$12,3), "mmmm yyyy")</f>
        <v>#VALUE!</v>
      </c>
      <c r="V59" s="26" t="e">
        <f ca="1">INDEX(M2_Table_I_j_k_l,5,2)</f>
        <v>#N/A</v>
      </c>
      <c r="W59" s="26" t="e">
        <f ca="1">INDEX(M2_Table_I_j_k_l,5,3)</f>
        <v>#N/A</v>
      </c>
      <c r="X59" s="26" t="e">
        <f ca="1">INDEX(M2_Table_I_j_k_l,5,4)</f>
        <v>#N/A</v>
      </c>
      <c r="Y59" s="26" t="e">
        <f ca="1">INDEX(M2_Table_I_j_k_l,5,5)</f>
        <v>#N/A</v>
      </c>
      <c r="Z59" s="26" t="e">
        <f ca="1">INDEX(M2_Table_I_j_k_l,5,6)</f>
        <v>#N/A</v>
      </c>
      <c r="AA59" s="26" t="e">
        <f ca="1">INDEX(M2_Table_I_j_k_l,5,7)</f>
        <v>#N/A</v>
      </c>
      <c r="AB59" s="26" t="e">
        <f ca="1">INDEX(M2_Table_I_j_k_l,5,8)</f>
        <v>#N/A</v>
      </c>
      <c r="AC59" s="26" t="e">
        <f ca="1">INDEX(M2_Table_I_j_k_l,5,9)</f>
        <v>#N/A</v>
      </c>
      <c r="AD59" s="26" t="e">
        <f ca="1">INDEX(M2_Table_I_j_k_l,5,10)</f>
        <v>#N/A</v>
      </c>
      <c r="AE59" s="26" t="e">
        <f ca="1">INDEX(M2_Table_I_j_k_l,5,11)</f>
        <v>#N/A</v>
      </c>
      <c r="AF59" s="27" t="str">
        <f>'4.2.1.1-2 Methane'!AH79</f>
        <v>kg DM/head/day</v>
      </c>
      <c r="AG59" s="27"/>
      <c r="AH59" s="27"/>
    </row>
    <row r="60" spans="4:35" ht="20.100000000000001" customHeight="1" x14ac:dyDescent="0.25">
      <c r="D60" s="114" t="s">
        <v>428</v>
      </c>
      <c r="U60" s="26" t="e">
        <f>TEXT(EDATE('Input - Site'!$E$12,4), "mmmm yyyy")</f>
        <v>#VALUE!</v>
      </c>
      <c r="V60" s="26" t="e">
        <f ca="1">INDEX(M2_Table_I_j_k_l,6,2)</f>
        <v>#N/A</v>
      </c>
      <c r="W60" s="26" t="e">
        <f ca="1">INDEX(M2_Table_I_j_k_l,6,3)</f>
        <v>#N/A</v>
      </c>
      <c r="X60" s="26" t="e">
        <f ca="1">INDEX(M2_Table_I_j_k_l,6,4)</f>
        <v>#N/A</v>
      </c>
      <c r="Y60" s="26" t="e">
        <f ca="1">INDEX(M2_Table_I_j_k_l,6,5)</f>
        <v>#N/A</v>
      </c>
      <c r="Z60" s="26" t="e">
        <f ca="1">INDEX(M2_Table_I_j_k_l,6,6)</f>
        <v>#N/A</v>
      </c>
      <c r="AA60" s="26" t="e">
        <f ca="1">INDEX(M2_Table_I_j_k_l,6,7)</f>
        <v>#N/A</v>
      </c>
      <c r="AB60" s="26" t="e">
        <f ca="1">INDEX(M2_Table_I_j_k_l,6,8)</f>
        <v>#N/A</v>
      </c>
      <c r="AC60" s="26" t="e">
        <f ca="1">INDEX(M2_Table_I_j_k_l,6,9)</f>
        <v>#N/A</v>
      </c>
      <c r="AD60" s="26" t="e">
        <f ca="1">INDEX(M2_Table_I_j_k_l,6,10)</f>
        <v>#N/A</v>
      </c>
      <c r="AE60" s="26" t="e">
        <f ca="1">INDEX(M2_Table_I_j_k_l,6,11)</f>
        <v>#N/A</v>
      </c>
      <c r="AF60" s="27" t="str">
        <f>'4.2.1.1-2 Methane'!AH80</f>
        <v>kg DM/head/day</v>
      </c>
      <c r="AG60" s="27"/>
      <c r="AH60" s="27"/>
    </row>
    <row r="61" spans="4:35" ht="20.100000000000001" customHeight="1" x14ac:dyDescent="0.25">
      <c r="D61" s="115" t="s">
        <v>79</v>
      </c>
      <c r="E61" s="115" t="s">
        <v>189</v>
      </c>
      <c r="F61" s="115" t="s">
        <v>190</v>
      </c>
      <c r="G61" s="115" t="s">
        <v>191</v>
      </c>
      <c r="H61" s="115" t="s">
        <v>192</v>
      </c>
      <c r="I61" s="115" t="s">
        <v>193</v>
      </c>
      <c r="J61" s="115" t="s">
        <v>194</v>
      </c>
      <c r="K61" s="115" t="s">
        <v>195</v>
      </c>
      <c r="L61" s="115" t="s">
        <v>196</v>
      </c>
      <c r="M61" s="115" t="s">
        <v>197</v>
      </c>
      <c r="N61" s="115" t="s">
        <v>198</v>
      </c>
      <c r="U61" s="26" t="e">
        <f>TEXT(EDATE('Input - Site'!$E$12,5), "mmmm yyyy")</f>
        <v>#VALUE!</v>
      </c>
      <c r="V61" s="26" t="e">
        <f ca="1">INDEX(M2_Table_I_j_k_l,7,2)</f>
        <v>#N/A</v>
      </c>
      <c r="W61" s="26" t="e">
        <f ca="1">INDEX(M2_Table_I_j_k_l,7,3)</f>
        <v>#N/A</v>
      </c>
      <c r="X61" s="26" t="e">
        <f ca="1">INDEX(M2_Table_I_j_k_l,7,4)</f>
        <v>#N/A</v>
      </c>
      <c r="Y61" s="26" t="e">
        <f ca="1">INDEX(M2_Table_I_j_k_l,7,5)</f>
        <v>#N/A</v>
      </c>
      <c r="Z61" s="26" t="e">
        <f ca="1">INDEX(M2_Table_I_j_k_l,7,6)</f>
        <v>#N/A</v>
      </c>
      <c r="AA61" s="26" t="e">
        <f ca="1">INDEX(M2_Table_I_j_k_l,7,7)</f>
        <v>#N/A</v>
      </c>
      <c r="AB61" s="26" t="e">
        <f ca="1">INDEX(M2_Table_I_j_k_l,7,8)</f>
        <v>#N/A</v>
      </c>
      <c r="AC61" s="26" t="e">
        <f ca="1">INDEX(M2_Table_I_j_k_l,7,9)</f>
        <v>#N/A</v>
      </c>
      <c r="AD61" s="26" t="e">
        <f ca="1">INDEX(M2_Table_I_j_k_l,7,10)</f>
        <v>#N/A</v>
      </c>
      <c r="AE61" s="26" t="e">
        <f ca="1">INDEX(M2_Table_I_j_k_l,7,11)</f>
        <v>#N/A</v>
      </c>
      <c r="AF61" s="27" t="str">
        <f>'4.2.1.1-2 Methane'!AH81</f>
        <v>kg DM/head/day</v>
      </c>
      <c r="AG61" s="27"/>
      <c r="AH61" s="27"/>
    </row>
    <row r="62" spans="4:35" ht="20.100000000000001" customHeight="1" x14ac:dyDescent="0.25">
      <c r="D62" s="26" t="s">
        <v>199</v>
      </c>
      <c r="E62" s="26" t="e" cm="1">
        <f t="array" aca="1" ref="E62" ca="1">MMS_PastureBeef_Soil_N2ODirect_Equations.VEERG_4_2_1_3__6_IntakeRelativeToMaintenance(E54,E20)</f>
        <v>#N/A</v>
      </c>
      <c r="F62" s="26" t="e" cm="1">
        <f t="array" aca="1" ref="F62" ca="1">MMS_PastureBeef_Soil_N2ODirect_Equations.VEERG_4_2_1_3__6_IntakeRelativeToMaintenance(F54,F20)</f>
        <v>#N/A</v>
      </c>
      <c r="G62" s="26" t="e" cm="1">
        <f t="array" aca="1" ref="G62" ca="1">MMS_PastureBeef_Soil_N2ODirect_Equations.VEERG_4_2_1_3__6_IntakeRelativeToMaintenance(G54,G20)</f>
        <v>#N/A</v>
      </c>
      <c r="H62" s="26" t="e" cm="1">
        <f t="array" aca="1" ref="H62" ca="1">MMS_PastureBeef_Soil_N2ODirect_Equations.VEERG_4_2_1_3__6_IntakeRelativeToMaintenance(H54,H20)</f>
        <v>#N/A</v>
      </c>
      <c r="I62" s="26" t="e" cm="1">
        <f t="array" aca="1" ref="I62" ca="1">MMS_PastureBeef_Soil_N2ODirect_Equations.VEERG_4_2_1_3__6_IntakeRelativeToMaintenance(I54,I20)</f>
        <v>#N/A</v>
      </c>
      <c r="J62" s="26" t="e" cm="1">
        <f t="array" aca="1" ref="J62" ca="1">MMS_PastureBeef_Soil_N2ODirect_Equations.VEERG_4_2_1_3__6_IntakeRelativeToMaintenance(J54,J20)</f>
        <v>#N/A</v>
      </c>
      <c r="K62" s="26" t="e" cm="1">
        <f t="array" aca="1" ref="K62" ca="1">MMS_PastureBeef_Soil_N2ODirect_Equations.VEERG_4_2_1_3__6_IntakeRelativeToMaintenance(K54,K20)</f>
        <v>#N/A</v>
      </c>
      <c r="L62" s="26" t="e" cm="1">
        <f t="array" aca="1" ref="L62" ca="1">MMS_PastureBeef_Soil_N2ODirect_Equations.VEERG_4_2_1_3__6_IntakeRelativeToMaintenance(L54,L20)</f>
        <v>#N/A</v>
      </c>
      <c r="M62" s="26" t="e" cm="1">
        <f t="array" aca="1" ref="M62" ca="1">MMS_PastureBeef_Soil_N2ODirect_Equations.VEERG_4_2_1_3__6_IntakeRelativeToMaintenance(M54,M20)</f>
        <v>#N/A</v>
      </c>
      <c r="N62" s="26" t="e" cm="1">
        <f t="array" aca="1" ref="N62" ca="1">MMS_PastureBeef_Soil_N2ODirect_Equations.VEERG_4_2_1_3__6_IntakeRelativeToMaintenance(N54,N20)</f>
        <v>#N/A</v>
      </c>
      <c r="O62" s="27" t="str">
        <f>$E$46</f>
        <v>ratio</v>
      </c>
      <c r="U62" s="26" t="e">
        <f>TEXT(EDATE('Input - Site'!$E$12,6), "mmmm yyyy")</f>
        <v>#VALUE!</v>
      </c>
      <c r="V62" s="26" t="e">
        <f ca="1">INDEX(M2_Table_I_j_k_l,8,2)</f>
        <v>#N/A</v>
      </c>
      <c r="W62" s="26" t="e">
        <f ca="1">INDEX(M2_Table_I_j_k_l,8,3)</f>
        <v>#N/A</v>
      </c>
      <c r="X62" s="26" t="e">
        <f ca="1">INDEX(M2_Table_I_j_k_l,8,4)</f>
        <v>#N/A</v>
      </c>
      <c r="Y62" s="26" t="e">
        <f ca="1">INDEX(M2_Table_I_j_k_l,8,5)</f>
        <v>#N/A</v>
      </c>
      <c r="Z62" s="26" t="e">
        <f ca="1">INDEX(M2_Table_I_j_k_l,8,6)</f>
        <v>#N/A</v>
      </c>
      <c r="AA62" s="26" t="e">
        <f ca="1">INDEX(M2_Table_I_j_k_l,8,7)</f>
        <v>#N/A</v>
      </c>
      <c r="AB62" s="26" t="e">
        <f ca="1">INDEX(M2_Table_I_j_k_l,8,8)</f>
        <v>#N/A</v>
      </c>
      <c r="AC62" s="26" t="e">
        <f ca="1">INDEX(M2_Table_I_j_k_l,8,9)</f>
        <v>#N/A</v>
      </c>
      <c r="AD62" s="26" t="e">
        <f ca="1">INDEX(M2_Table_I_j_k_l,8,10)</f>
        <v>#N/A</v>
      </c>
      <c r="AE62" s="26" t="e">
        <f ca="1">INDEX(M2_Table_I_j_k_l,8,11)</f>
        <v>#N/A</v>
      </c>
      <c r="AF62" s="27" t="str">
        <f>'4.2.1.1-2 Methane'!AH82</f>
        <v>kg DM/head/day</v>
      </c>
      <c r="AG62" s="27"/>
      <c r="AH62" s="27"/>
    </row>
    <row r="63" spans="4:35" ht="20.100000000000001" customHeight="1" x14ac:dyDescent="0.25">
      <c r="D63" s="26" t="s">
        <v>200</v>
      </c>
      <c r="E63" s="26" t="e" cm="1">
        <f t="array" aca="1" ref="E63" ca="1">MMS_PastureBeef_Soil_N2ODirect_Equations.VEERG_4_2_1_3__6_IntakeRelativeToMaintenance(E55,E21)</f>
        <v>#N/A</v>
      </c>
      <c r="F63" s="26" t="e" cm="1">
        <f t="array" aca="1" ref="F63" ca="1">MMS_PastureBeef_Soil_N2ODirect_Equations.VEERG_4_2_1_3__6_IntakeRelativeToMaintenance(F55,F21)</f>
        <v>#N/A</v>
      </c>
      <c r="G63" s="26" t="e" cm="1">
        <f t="array" aca="1" ref="G63" ca="1">MMS_PastureBeef_Soil_N2ODirect_Equations.VEERG_4_2_1_3__6_IntakeRelativeToMaintenance(G55,G21)</f>
        <v>#N/A</v>
      </c>
      <c r="H63" s="26" t="e" cm="1">
        <f t="array" aca="1" ref="H63" ca="1">MMS_PastureBeef_Soil_N2ODirect_Equations.VEERG_4_2_1_3__6_IntakeRelativeToMaintenance(H55,H21)</f>
        <v>#N/A</v>
      </c>
      <c r="I63" s="26" t="e" cm="1">
        <f t="array" aca="1" ref="I63" ca="1">MMS_PastureBeef_Soil_N2ODirect_Equations.VEERG_4_2_1_3__6_IntakeRelativeToMaintenance(I55,I21)</f>
        <v>#N/A</v>
      </c>
      <c r="J63" s="26" t="e" cm="1">
        <f t="array" aca="1" ref="J63" ca="1">MMS_PastureBeef_Soil_N2ODirect_Equations.VEERG_4_2_1_3__6_IntakeRelativeToMaintenance(J55,J21)</f>
        <v>#N/A</v>
      </c>
      <c r="K63" s="26" t="e" cm="1">
        <f t="array" aca="1" ref="K63" ca="1">MMS_PastureBeef_Soil_N2ODirect_Equations.VEERG_4_2_1_3__6_IntakeRelativeToMaintenance(K55,K21)</f>
        <v>#N/A</v>
      </c>
      <c r="L63" s="26" t="e" cm="1">
        <f t="array" aca="1" ref="L63" ca="1">MMS_PastureBeef_Soil_N2ODirect_Equations.VEERG_4_2_1_3__6_IntakeRelativeToMaintenance(L55,L21)</f>
        <v>#N/A</v>
      </c>
      <c r="M63" s="26" t="e" cm="1">
        <f t="array" aca="1" ref="M63" ca="1">MMS_PastureBeef_Soil_N2ODirect_Equations.VEERG_4_2_1_3__6_IntakeRelativeToMaintenance(M55,M21)</f>
        <v>#N/A</v>
      </c>
      <c r="N63" s="26" t="e" cm="1">
        <f t="array" aca="1" ref="N63" ca="1">MMS_PastureBeef_Soil_N2ODirect_Equations.VEERG_4_2_1_3__6_IntakeRelativeToMaintenance(N55,N21)</f>
        <v>#N/A</v>
      </c>
      <c r="O63" s="27" t="str">
        <f t="shared" ref="O63:O65" si="2">$E$46</f>
        <v>ratio</v>
      </c>
      <c r="U63" s="26" t="e">
        <f>TEXT(EDATE('Input - Site'!$E$12,7), "mmmm yyyy")</f>
        <v>#VALUE!</v>
      </c>
      <c r="V63" s="26" t="e">
        <f ca="1">INDEX(M2_Table_I_j_k_l,9,2)</f>
        <v>#N/A</v>
      </c>
      <c r="W63" s="26" t="e">
        <f ca="1">INDEX(M2_Table_I_j_k_l,9,3)</f>
        <v>#N/A</v>
      </c>
      <c r="X63" s="26" t="e">
        <f ca="1">INDEX(M2_Table_I_j_k_l,9,4)</f>
        <v>#N/A</v>
      </c>
      <c r="Y63" s="26" t="e">
        <f ca="1">INDEX(M2_Table_I_j_k_l,9,5)</f>
        <v>#N/A</v>
      </c>
      <c r="Z63" s="26" t="e">
        <f ca="1">INDEX(M2_Table_I_j_k_l,9,6)</f>
        <v>#N/A</v>
      </c>
      <c r="AA63" s="26" t="e">
        <f ca="1">INDEX(M2_Table_I_j_k_l,9,7)</f>
        <v>#N/A</v>
      </c>
      <c r="AB63" s="26" t="e">
        <f ca="1">INDEX(M2_Table_I_j_k_l,9,8)</f>
        <v>#N/A</v>
      </c>
      <c r="AC63" s="26" t="e">
        <f ca="1">INDEX(M2_Table_I_j_k_l,9,9)</f>
        <v>#N/A</v>
      </c>
      <c r="AD63" s="26" t="e">
        <f ca="1">INDEX(M2_Table_I_j_k_l,9,10)</f>
        <v>#N/A</v>
      </c>
      <c r="AE63" s="26" t="e">
        <f ca="1">INDEX(M2_Table_I_j_k_l,9,11)</f>
        <v>#N/A</v>
      </c>
      <c r="AF63" s="27" t="str">
        <f>'4.2.1.1-2 Methane'!AH83</f>
        <v>kg DM/head/day</v>
      </c>
      <c r="AG63" s="27"/>
      <c r="AH63" s="27"/>
    </row>
    <row r="64" spans="4:35" ht="20.100000000000001" customHeight="1" x14ac:dyDescent="0.25">
      <c r="D64" s="26" t="s">
        <v>201</v>
      </c>
      <c r="E64" s="26" t="e" cm="1">
        <f t="array" aca="1" ref="E64" ca="1">MMS_PastureBeef_Soil_N2ODirect_Equations.VEERG_4_2_1_3__6_IntakeRelativeToMaintenance(E56,E22)</f>
        <v>#N/A</v>
      </c>
      <c r="F64" s="26" t="e" cm="1">
        <f t="array" aca="1" ref="F64" ca="1">MMS_PastureBeef_Soil_N2ODirect_Equations.VEERG_4_2_1_3__6_IntakeRelativeToMaintenance(F56,F22)</f>
        <v>#N/A</v>
      </c>
      <c r="G64" s="26" t="e" cm="1">
        <f t="array" aca="1" ref="G64" ca="1">MMS_PastureBeef_Soil_N2ODirect_Equations.VEERG_4_2_1_3__6_IntakeRelativeToMaintenance(G56,G22)</f>
        <v>#N/A</v>
      </c>
      <c r="H64" s="26" t="e" cm="1">
        <f t="array" aca="1" ref="H64" ca="1">MMS_PastureBeef_Soil_N2ODirect_Equations.VEERG_4_2_1_3__6_IntakeRelativeToMaintenance(H56,H22)</f>
        <v>#N/A</v>
      </c>
      <c r="I64" s="26" t="e" cm="1">
        <f t="array" aca="1" ref="I64" ca="1">MMS_PastureBeef_Soil_N2ODirect_Equations.VEERG_4_2_1_3__6_IntakeRelativeToMaintenance(I56,I22)</f>
        <v>#N/A</v>
      </c>
      <c r="J64" s="26" t="e" cm="1">
        <f t="array" aca="1" ref="J64" ca="1">MMS_PastureBeef_Soil_N2ODirect_Equations.VEERG_4_2_1_3__6_IntakeRelativeToMaintenance(J56,J22)</f>
        <v>#N/A</v>
      </c>
      <c r="K64" s="26" t="e" cm="1">
        <f t="array" aca="1" ref="K64" ca="1">MMS_PastureBeef_Soil_N2ODirect_Equations.VEERG_4_2_1_3__6_IntakeRelativeToMaintenance(K56,K22)</f>
        <v>#N/A</v>
      </c>
      <c r="L64" s="26" t="e" cm="1">
        <f t="array" aca="1" ref="L64" ca="1">MMS_PastureBeef_Soil_N2ODirect_Equations.VEERG_4_2_1_3__6_IntakeRelativeToMaintenance(L56,L22)</f>
        <v>#N/A</v>
      </c>
      <c r="M64" s="26" t="e" cm="1">
        <f t="array" aca="1" ref="M64" ca="1">MMS_PastureBeef_Soil_N2ODirect_Equations.VEERG_4_2_1_3__6_IntakeRelativeToMaintenance(M56,M22)</f>
        <v>#N/A</v>
      </c>
      <c r="N64" s="26" t="e" cm="1">
        <f t="array" aca="1" ref="N64" ca="1">MMS_PastureBeef_Soil_N2ODirect_Equations.VEERG_4_2_1_3__6_IntakeRelativeToMaintenance(N56,N22)</f>
        <v>#N/A</v>
      </c>
      <c r="O64" s="27" t="str">
        <f t="shared" si="2"/>
        <v>ratio</v>
      </c>
      <c r="U64" s="26" t="e">
        <f>TEXT(EDATE('Input - Site'!$E$12,8), "mmmm yyyy")</f>
        <v>#VALUE!</v>
      </c>
      <c r="V64" s="26" t="e">
        <f ca="1">INDEX(M2_Table_I_j_k_l,10,2)</f>
        <v>#N/A</v>
      </c>
      <c r="W64" s="26" t="e">
        <f ca="1">INDEX(M2_Table_I_j_k_l,10,3)</f>
        <v>#N/A</v>
      </c>
      <c r="X64" s="26" t="e">
        <f ca="1">INDEX(M2_Table_I_j_k_l,10,4)</f>
        <v>#N/A</v>
      </c>
      <c r="Y64" s="26" t="e">
        <f ca="1">INDEX(M2_Table_I_j_k_l,10,5)</f>
        <v>#N/A</v>
      </c>
      <c r="Z64" s="26" t="e">
        <f ca="1">INDEX(M2_Table_I_j_k_l,10,6)</f>
        <v>#N/A</v>
      </c>
      <c r="AA64" s="26" t="e">
        <f ca="1">INDEX(M2_Table_I_j_k_l,10,7)</f>
        <v>#N/A</v>
      </c>
      <c r="AB64" s="26" t="e">
        <f ca="1">INDEX(M2_Table_I_j_k_l,10,8)</f>
        <v>#N/A</v>
      </c>
      <c r="AC64" s="26" t="e">
        <f ca="1">INDEX(M2_Table_I_j_k_l,10,9)</f>
        <v>#N/A</v>
      </c>
      <c r="AD64" s="26" t="e">
        <f ca="1">INDEX(M2_Table_I_j_k_l,10,10)</f>
        <v>#N/A</v>
      </c>
      <c r="AE64" s="26" t="e">
        <f ca="1">INDEX(M2_Table_I_j_k_l,10,11)</f>
        <v>#N/A</v>
      </c>
      <c r="AF64" s="27" t="str">
        <f>'4.2.1.1-2 Methane'!AH84</f>
        <v>kg DM/head/day</v>
      </c>
      <c r="AG64" s="27"/>
      <c r="AH64" s="27"/>
    </row>
    <row r="65" spans="3:34" ht="20.100000000000001" customHeight="1" x14ac:dyDescent="0.25">
      <c r="D65" s="26" t="s">
        <v>202</v>
      </c>
      <c r="E65" s="26" t="e" cm="1">
        <f t="array" aca="1" ref="E65" ca="1">MMS_PastureBeef_Soil_N2ODirect_Equations.VEERG_4_2_1_3__6_IntakeRelativeToMaintenance(E57,E23)</f>
        <v>#N/A</v>
      </c>
      <c r="F65" s="26" t="e" cm="1">
        <f t="array" aca="1" ref="F65" ca="1">MMS_PastureBeef_Soil_N2ODirect_Equations.VEERG_4_2_1_3__6_IntakeRelativeToMaintenance(F57,F23)</f>
        <v>#N/A</v>
      </c>
      <c r="G65" s="26" t="e" cm="1">
        <f t="array" aca="1" ref="G65" ca="1">MMS_PastureBeef_Soil_N2ODirect_Equations.VEERG_4_2_1_3__6_IntakeRelativeToMaintenance(G57,G23)</f>
        <v>#N/A</v>
      </c>
      <c r="H65" s="26" t="e" cm="1">
        <f t="array" aca="1" ref="H65" ca="1">MMS_PastureBeef_Soil_N2ODirect_Equations.VEERG_4_2_1_3__6_IntakeRelativeToMaintenance(H57,H23)</f>
        <v>#N/A</v>
      </c>
      <c r="I65" s="26" t="e" cm="1">
        <f t="array" aca="1" ref="I65" ca="1">MMS_PastureBeef_Soil_N2ODirect_Equations.VEERG_4_2_1_3__6_IntakeRelativeToMaintenance(I57,I23)</f>
        <v>#N/A</v>
      </c>
      <c r="J65" s="26" t="e" cm="1">
        <f t="array" aca="1" ref="J65" ca="1">MMS_PastureBeef_Soil_N2ODirect_Equations.VEERG_4_2_1_3__6_IntakeRelativeToMaintenance(J57,J23)</f>
        <v>#N/A</v>
      </c>
      <c r="K65" s="26" t="e" cm="1">
        <f t="array" aca="1" ref="K65" ca="1">MMS_PastureBeef_Soil_N2ODirect_Equations.VEERG_4_2_1_3__6_IntakeRelativeToMaintenance(K57,K23)</f>
        <v>#N/A</v>
      </c>
      <c r="L65" s="26" t="e" cm="1">
        <f t="array" aca="1" ref="L65" ca="1">MMS_PastureBeef_Soil_N2ODirect_Equations.VEERG_4_2_1_3__6_IntakeRelativeToMaintenance(L57,L23)</f>
        <v>#N/A</v>
      </c>
      <c r="M65" s="26" t="e" cm="1">
        <f t="array" aca="1" ref="M65" ca="1">MMS_PastureBeef_Soil_N2ODirect_Equations.VEERG_4_2_1_3__6_IntakeRelativeToMaintenance(M57,M23)</f>
        <v>#N/A</v>
      </c>
      <c r="N65" s="26" t="e" cm="1">
        <f t="array" aca="1" ref="N65" ca="1">MMS_PastureBeef_Soil_N2ODirect_Equations.VEERG_4_2_1_3__6_IntakeRelativeToMaintenance(N57,N23)</f>
        <v>#N/A</v>
      </c>
      <c r="O65" s="27" t="str">
        <f t="shared" si="2"/>
        <v>ratio</v>
      </c>
      <c r="U65" s="26" t="e">
        <f>TEXT(EDATE('Input - Site'!$E$12,9), "mmmm yyyy")</f>
        <v>#VALUE!</v>
      </c>
      <c r="V65" s="26" t="e">
        <f ca="1">INDEX(M2_Table_I_j_k_l,11,2)</f>
        <v>#N/A</v>
      </c>
      <c r="W65" s="26" t="e">
        <f ca="1">INDEX(M2_Table_I_j_k_l,11,3)</f>
        <v>#N/A</v>
      </c>
      <c r="X65" s="26" t="e">
        <f ca="1">INDEX(M2_Table_I_j_k_l,11,4)</f>
        <v>#N/A</v>
      </c>
      <c r="Y65" s="26" t="e">
        <f ca="1">INDEX(M2_Table_I_j_k_l,11,5)</f>
        <v>#N/A</v>
      </c>
      <c r="Z65" s="26" t="e">
        <f ca="1">INDEX(M2_Table_I_j_k_l,11,6)</f>
        <v>#N/A</v>
      </c>
      <c r="AA65" s="26" t="e">
        <f ca="1">INDEX(M2_Table_I_j_k_l,11,7)</f>
        <v>#N/A</v>
      </c>
      <c r="AB65" s="26" t="e">
        <f ca="1">INDEX(M2_Table_I_j_k_l,11,8)</f>
        <v>#N/A</v>
      </c>
      <c r="AC65" s="26" t="e">
        <f ca="1">INDEX(M2_Table_I_j_k_l,11,9)</f>
        <v>#N/A</v>
      </c>
      <c r="AD65" s="26" t="e">
        <f ca="1">INDEX(M2_Table_I_j_k_l,11,10)</f>
        <v>#N/A</v>
      </c>
      <c r="AE65" s="26" t="e">
        <f ca="1">INDEX(M2_Table_I_j_k_l,11,11)</f>
        <v>#N/A</v>
      </c>
      <c r="AF65" s="27" t="str">
        <f>'4.2.1.1-2 Methane'!AH85</f>
        <v>kg DM/head/day</v>
      </c>
      <c r="AG65" s="27"/>
      <c r="AH65" s="27"/>
    </row>
    <row r="66" spans="3:34" ht="20.100000000000001" customHeight="1" x14ac:dyDescent="0.25">
      <c r="U66" s="26" t="e">
        <f>TEXT(EDATE('Input - Site'!$E$12,10), "mmmm yyyy")</f>
        <v>#VALUE!</v>
      </c>
      <c r="V66" s="26" t="e">
        <f ca="1">INDEX(M2_Table_I_j_k_l,12,2)</f>
        <v>#N/A</v>
      </c>
      <c r="W66" s="26" t="e">
        <f ca="1">INDEX(M2_Table_I_j_k_l,12,3)</f>
        <v>#N/A</v>
      </c>
      <c r="X66" s="26" t="e">
        <f ca="1">INDEX(M2_Table_I_j_k_l,12,4)</f>
        <v>#N/A</v>
      </c>
      <c r="Y66" s="26" t="e">
        <f ca="1">INDEX(M2_Table_I_j_k_l,12,5)</f>
        <v>#N/A</v>
      </c>
      <c r="Z66" s="26" t="e">
        <f ca="1">INDEX(M2_Table_I_j_k_l,12,6)</f>
        <v>#N/A</v>
      </c>
      <c r="AA66" s="26" t="e">
        <f ca="1">INDEX(M2_Table_I_j_k_l,12,7)</f>
        <v>#N/A</v>
      </c>
      <c r="AB66" s="26" t="e">
        <f ca="1">INDEX(M2_Table_I_j_k_l,12,8)</f>
        <v>#N/A</v>
      </c>
      <c r="AC66" s="26" t="e">
        <f ca="1">INDEX(M2_Table_I_j_k_l,12,9)</f>
        <v>#N/A</v>
      </c>
      <c r="AD66" s="26" t="e">
        <f ca="1">INDEX(M2_Table_I_j_k_l,12,10)</f>
        <v>#N/A</v>
      </c>
      <c r="AE66" s="26" t="e">
        <f ca="1">INDEX(M2_Table_I_j_k_l,12,11)</f>
        <v>#N/A</v>
      </c>
      <c r="AF66" s="27" t="str">
        <f>'4.2.1.1-2 Methane'!AH86</f>
        <v>kg DM/head/day</v>
      </c>
      <c r="AG66" s="27"/>
      <c r="AH66" s="27"/>
    </row>
    <row r="67" spans="3:34" ht="20.100000000000001" customHeight="1" x14ac:dyDescent="0.25">
      <c r="U67" s="26" t="e">
        <f>TEXT(EDATE('Input - Site'!$E$12,11), "mmmm yyyy")</f>
        <v>#VALUE!</v>
      </c>
      <c r="V67" s="26" t="e">
        <f ca="1">INDEX(M2_Table_I_j_k_l,13,2)</f>
        <v>#N/A</v>
      </c>
      <c r="W67" s="26" t="e">
        <f ca="1">INDEX(M2_Table_I_j_k_l,13,3)</f>
        <v>#N/A</v>
      </c>
      <c r="X67" s="26" t="e">
        <f ca="1">INDEX(M2_Table_I_j_k_l,13,4)</f>
        <v>#N/A</v>
      </c>
      <c r="Y67" s="26" t="e">
        <f ca="1">INDEX(M2_Table_I_j_k_l,13,5)</f>
        <v>#N/A</v>
      </c>
      <c r="Z67" s="26" t="e">
        <f ca="1">INDEX(M2_Table_I_j_k_l,13,6)</f>
        <v>#N/A</v>
      </c>
      <c r="AA67" s="26" t="e">
        <f ca="1">INDEX(M2_Table_I_j_k_l,13,7)</f>
        <v>#N/A</v>
      </c>
      <c r="AB67" s="26" t="e">
        <f ca="1">INDEX(M2_Table_I_j_k_l,13,8)</f>
        <v>#N/A</v>
      </c>
      <c r="AC67" s="26" t="e">
        <f ca="1">INDEX(M2_Table_I_j_k_l,13,9)</f>
        <v>#N/A</v>
      </c>
      <c r="AD67" s="26" t="e">
        <f ca="1">INDEX(M2_Table_I_j_k_l,13,10)</f>
        <v>#N/A</v>
      </c>
      <c r="AE67" s="26" t="e">
        <f ca="1">INDEX(M2_Table_I_j_k_l,13,11)</f>
        <v>#N/A</v>
      </c>
      <c r="AF67" s="27" t="str">
        <f>'4.2.1.1-2 Methane'!AH87</f>
        <v>kg DM/head/day</v>
      </c>
      <c r="AG67" s="27"/>
      <c r="AH67" s="27"/>
    </row>
    <row r="68" spans="3:34" ht="20.100000000000001" customHeight="1" x14ac:dyDescent="0.25">
      <c r="C68" s="117"/>
      <c r="D68" s="117"/>
      <c r="E68" s="117"/>
      <c r="F68" s="117"/>
      <c r="G68" s="117"/>
      <c r="H68" s="117"/>
      <c r="I68" s="117"/>
      <c r="J68" s="117"/>
      <c r="K68" s="117"/>
      <c r="L68" s="117"/>
      <c r="M68" s="117"/>
      <c r="N68" s="117"/>
      <c r="O68" s="117"/>
      <c r="P68" s="117"/>
      <c r="Q68" s="117"/>
      <c r="R68" s="117"/>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3" t="s">
        <v>429</v>
      </c>
    </row>
    <row r="70" spans="3:34" ht="20.100000000000001" customHeight="1" x14ac:dyDescent="0.25">
      <c r="D70" s="28" t="str" cm="1">
        <f t="array" ref="D70">MMS_PastureBeef_Soil_N2ODirect_Equations.VEERG_4_2_1_3__5_MilkProductionForCalvingSeason_Source()</f>
        <v>VEERG 2026: 4.2.1.3, Equation (5)</v>
      </c>
      <c r="U70" s="114" t="s">
        <v>430</v>
      </c>
    </row>
    <row r="71" spans="3:34" ht="20.100000000000001" customHeight="1" x14ac:dyDescent="0.25">
      <c r="D71" s="37"/>
      <c r="U71" s="115" t="s">
        <v>78</v>
      </c>
      <c r="V71" s="115" t="s">
        <v>189</v>
      </c>
      <c r="W71" s="115" t="s">
        <v>190</v>
      </c>
      <c r="X71" s="115" t="s">
        <v>191</v>
      </c>
      <c r="Y71" s="115" t="s">
        <v>192</v>
      </c>
      <c r="Z71" s="115" t="s">
        <v>193</v>
      </c>
      <c r="AA71" s="115" t="s">
        <v>194</v>
      </c>
      <c r="AB71" s="115" t="s">
        <v>195</v>
      </c>
      <c r="AC71" s="115" t="s">
        <v>196</v>
      </c>
      <c r="AD71" s="115" t="s">
        <v>197</v>
      </c>
      <c r="AE71" s="115" t="s">
        <v>198</v>
      </c>
    </row>
    <row r="72" spans="3:34" ht="20.100000000000001" customHeight="1" x14ac:dyDescent="0.25">
      <c r="D72" s="104" t="s">
        <v>257</v>
      </c>
      <c r="E72" s="104" t="s">
        <v>431</v>
      </c>
      <c r="U72" s="26" t="str">
        <f>TEXT('Input - Site'!$E$12, "mmmm yyyy")</f>
        <v>NO - Not in leaching zone</v>
      </c>
      <c r="V72" s="26" t="e" cm="1">
        <f t="array" aca="1" ref="V72" ca="1">MMS_PastureBeef_Soil_N2ODirect_Equations.VEERG_4_2_1_3__6_IntakeRelativeToMaintenance(V56,V20)</f>
        <v>#N/A</v>
      </c>
      <c r="W72" s="26" t="e" cm="1">
        <f t="array" aca="1" ref="W72" ca="1">MMS_PastureBeef_Soil_N2ODirect_Equations.VEERG_4_2_1_3__6_IntakeRelativeToMaintenance(W56,W20)</f>
        <v>#N/A</v>
      </c>
      <c r="X72" s="26" t="e" cm="1">
        <f t="array" aca="1" ref="X72" ca="1">MMS_PastureBeef_Soil_N2ODirect_Equations.VEERG_4_2_1_3__6_IntakeRelativeToMaintenance(X56,X20)</f>
        <v>#N/A</v>
      </c>
      <c r="Y72" s="26" t="e" cm="1">
        <f t="array" aca="1" ref="Y72" ca="1">MMS_PastureBeef_Soil_N2ODirect_Equations.VEERG_4_2_1_3__6_IntakeRelativeToMaintenance(Y56,Y20)</f>
        <v>#N/A</v>
      </c>
      <c r="Z72" s="26" t="e" cm="1">
        <f t="array" aca="1" ref="Z72" ca="1">MMS_PastureBeef_Soil_N2ODirect_Equations.VEERG_4_2_1_3__6_IntakeRelativeToMaintenance(Z56,Z20)</f>
        <v>#N/A</v>
      </c>
      <c r="AA72" s="26" t="e" cm="1">
        <f t="array" aca="1" ref="AA72" ca="1">MMS_PastureBeef_Soil_N2ODirect_Equations.VEERG_4_2_1_3__6_IntakeRelativeToMaintenance(AA56,AA20)</f>
        <v>#N/A</v>
      </c>
      <c r="AB72" s="26" t="e" cm="1">
        <f t="array" aca="1" ref="AB72" ca="1">MMS_PastureBeef_Soil_N2ODirect_Equations.VEERG_4_2_1_3__6_IntakeRelativeToMaintenance(AB56,AB20)</f>
        <v>#N/A</v>
      </c>
      <c r="AC72" s="26" t="e" cm="1">
        <f t="array" aca="1" ref="AC72" ca="1">MMS_PastureBeef_Soil_N2ODirect_Equations.VEERG_4_2_1_3__6_IntakeRelativeToMaintenance(AC56,AC20)</f>
        <v>#N/A</v>
      </c>
      <c r="AD72" s="26" t="e" cm="1">
        <f t="array" aca="1" ref="AD72" ca="1">MMS_PastureBeef_Soil_N2ODirect_Equations.VEERG_4_2_1_3__6_IntakeRelativeToMaintenance(AD56,AD20)</f>
        <v>#N/A</v>
      </c>
      <c r="AE72" s="26" t="e" cm="1">
        <f t="array" aca="1" ref="AE72" ca="1">MMS_PastureBeef_Soil_N2ODirect_Equations.VEERG_4_2_1_3__6_IntakeRelativeToMaintenance(AE56,AE20)</f>
        <v>#N/A</v>
      </c>
      <c r="AF72" s="27" t="str">
        <f t="shared" ref="AF72:AF83" si="3">$E$46</f>
        <v>ratio</v>
      </c>
      <c r="AG72" s="27"/>
      <c r="AH72" s="27"/>
    </row>
    <row r="73" spans="3:34" ht="20.100000000000001" customHeight="1" x14ac:dyDescent="0.25">
      <c r="U73" s="26" t="e">
        <f>TEXT(EDATE('Input - Site'!$E$12,1), "mmmm yyyy")</f>
        <v>#VALUE!</v>
      </c>
      <c r="V73" s="26" t="e" cm="1">
        <f t="array" aca="1" ref="V73" ca="1">MMS_PastureBeef_Soil_N2ODirect_Equations.VEERG_4_2_1_3__6_IntakeRelativeToMaintenance(V57,V21)</f>
        <v>#N/A</v>
      </c>
      <c r="W73" s="26" t="e" cm="1">
        <f t="array" aca="1" ref="W73" ca="1">MMS_PastureBeef_Soil_N2ODirect_Equations.VEERG_4_2_1_3__6_IntakeRelativeToMaintenance(W57,W21)</f>
        <v>#N/A</v>
      </c>
      <c r="X73" s="26" t="e" cm="1">
        <f t="array" aca="1" ref="X73" ca="1">MMS_PastureBeef_Soil_N2ODirect_Equations.VEERG_4_2_1_3__6_IntakeRelativeToMaintenance(X57,X21)</f>
        <v>#N/A</v>
      </c>
      <c r="Y73" s="26" t="e" cm="1">
        <f t="array" aca="1" ref="Y73" ca="1">MMS_PastureBeef_Soil_N2ODirect_Equations.VEERG_4_2_1_3__6_IntakeRelativeToMaintenance(Y57,Y21)</f>
        <v>#N/A</v>
      </c>
      <c r="Z73" s="26" t="e" cm="1">
        <f t="array" aca="1" ref="Z73" ca="1">MMS_PastureBeef_Soil_N2ODirect_Equations.VEERG_4_2_1_3__6_IntakeRelativeToMaintenance(Z57,Z21)</f>
        <v>#N/A</v>
      </c>
      <c r="AA73" s="26" t="e" cm="1">
        <f t="array" aca="1" ref="AA73" ca="1">MMS_PastureBeef_Soil_N2ODirect_Equations.VEERG_4_2_1_3__6_IntakeRelativeToMaintenance(AA57,AA21)</f>
        <v>#N/A</v>
      </c>
      <c r="AB73" s="26" t="e" cm="1">
        <f t="array" aca="1" ref="AB73" ca="1">MMS_PastureBeef_Soil_N2ODirect_Equations.VEERG_4_2_1_3__6_IntakeRelativeToMaintenance(AB57,AB21)</f>
        <v>#N/A</v>
      </c>
      <c r="AC73" s="26" t="e" cm="1">
        <f t="array" aca="1" ref="AC73" ca="1">MMS_PastureBeef_Soil_N2ODirect_Equations.VEERG_4_2_1_3__6_IntakeRelativeToMaintenance(AC57,AC21)</f>
        <v>#N/A</v>
      </c>
      <c r="AD73" s="26" t="e" cm="1">
        <f t="array" aca="1" ref="AD73" ca="1">MMS_PastureBeef_Soil_N2ODirect_Equations.VEERG_4_2_1_3__6_IntakeRelativeToMaintenance(AD57,AD21)</f>
        <v>#N/A</v>
      </c>
      <c r="AE73" s="26" t="e" cm="1">
        <f t="array" aca="1" ref="AE73" ca="1">MMS_PastureBeef_Soil_N2ODirect_Equations.VEERG_4_2_1_3__6_IntakeRelativeToMaintenance(AE57,AE21)</f>
        <v>#N/A</v>
      </c>
      <c r="AF73" s="27" t="str">
        <f t="shared" si="3"/>
        <v>ratio</v>
      </c>
      <c r="AG73" s="27"/>
      <c r="AH73" s="27"/>
    </row>
    <row r="74" spans="3:34" ht="20.100000000000001" customHeight="1" x14ac:dyDescent="0.25">
      <c r="U74" s="26" t="e">
        <f>TEXT(EDATE('Input - Site'!$E$12,2), "mmmm yyyy")</f>
        <v>#VALUE!</v>
      </c>
      <c r="V74" s="26" t="e" cm="1">
        <f t="array" aca="1" ref="V74" ca="1">MMS_PastureBeef_Soil_N2ODirect_Equations.VEERG_4_2_1_3__6_IntakeRelativeToMaintenance(V58,V22)</f>
        <v>#N/A</v>
      </c>
      <c r="W74" s="26" t="e" cm="1">
        <f t="array" aca="1" ref="W74" ca="1">MMS_PastureBeef_Soil_N2ODirect_Equations.VEERG_4_2_1_3__6_IntakeRelativeToMaintenance(W58,W22)</f>
        <v>#N/A</v>
      </c>
      <c r="X74" s="26" t="e" cm="1">
        <f t="array" aca="1" ref="X74" ca="1">MMS_PastureBeef_Soil_N2ODirect_Equations.VEERG_4_2_1_3__6_IntakeRelativeToMaintenance(X58,X22)</f>
        <v>#N/A</v>
      </c>
      <c r="Y74" s="26" t="e" cm="1">
        <f t="array" aca="1" ref="Y74" ca="1">MMS_PastureBeef_Soil_N2ODirect_Equations.VEERG_4_2_1_3__6_IntakeRelativeToMaintenance(Y58,Y22)</f>
        <v>#N/A</v>
      </c>
      <c r="Z74" s="26" t="e" cm="1">
        <f t="array" aca="1" ref="Z74" ca="1">MMS_PastureBeef_Soil_N2ODirect_Equations.VEERG_4_2_1_3__6_IntakeRelativeToMaintenance(Z58,Z22)</f>
        <v>#N/A</v>
      </c>
      <c r="AA74" s="26" t="e" cm="1">
        <f t="array" aca="1" ref="AA74" ca="1">MMS_PastureBeef_Soil_N2ODirect_Equations.VEERG_4_2_1_3__6_IntakeRelativeToMaintenance(AA58,AA22)</f>
        <v>#N/A</v>
      </c>
      <c r="AB74" s="26" t="e" cm="1">
        <f t="array" aca="1" ref="AB74" ca="1">MMS_PastureBeef_Soil_N2ODirect_Equations.VEERG_4_2_1_3__6_IntakeRelativeToMaintenance(AB58,AB22)</f>
        <v>#N/A</v>
      </c>
      <c r="AC74" s="26" t="e" cm="1">
        <f t="array" aca="1" ref="AC74" ca="1">MMS_PastureBeef_Soil_N2ODirect_Equations.VEERG_4_2_1_3__6_IntakeRelativeToMaintenance(AC58,AC22)</f>
        <v>#N/A</v>
      </c>
      <c r="AD74" s="26" t="e" cm="1">
        <f t="array" aca="1" ref="AD74" ca="1">MMS_PastureBeef_Soil_N2ODirect_Equations.VEERG_4_2_1_3__6_IntakeRelativeToMaintenance(AD58,AD22)</f>
        <v>#N/A</v>
      </c>
      <c r="AE74" s="26" t="e" cm="1">
        <f t="array" aca="1" ref="AE74" ca="1">MMS_PastureBeef_Soil_N2ODirect_Equations.VEERG_4_2_1_3__6_IntakeRelativeToMaintenance(AE58,AE22)</f>
        <v>#N/A</v>
      </c>
      <c r="AF74" s="27" t="str">
        <f t="shared" si="3"/>
        <v>ratio</v>
      </c>
      <c r="AG74" s="27"/>
      <c r="AH74" s="27"/>
    </row>
    <row r="75" spans="3:34" ht="20.100000000000001" customHeight="1" x14ac:dyDescent="0.25">
      <c r="D75" s="89" t="s">
        <v>259</v>
      </c>
      <c r="E75" s="1" t="str" cm="1">
        <f t="array" ref="E75">MMS_PastureBeef_Soil_N2ODirect_Equations.VEERG_4_2_1_3__5_MilkProductionForCalvingSeason_Variable()</f>
        <v>MP_jk5</v>
      </c>
      <c r="U75" s="26" t="e">
        <f>TEXT(EDATE('Input - Site'!$E$12,3), "mmmm yyyy")</f>
        <v>#VALUE!</v>
      </c>
      <c r="V75" s="26" t="e" cm="1">
        <f t="array" aca="1" ref="V75" ca="1">MMS_PastureBeef_Soil_N2ODirect_Equations.VEERG_4_2_1_3__6_IntakeRelativeToMaintenance(V59,V23)</f>
        <v>#N/A</v>
      </c>
      <c r="W75" s="26" t="e" cm="1">
        <f t="array" aca="1" ref="W75" ca="1">MMS_PastureBeef_Soil_N2ODirect_Equations.VEERG_4_2_1_3__6_IntakeRelativeToMaintenance(W59,W23)</f>
        <v>#N/A</v>
      </c>
      <c r="X75" s="26" t="e" cm="1">
        <f t="array" aca="1" ref="X75" ca="1">MMS_PastureBeef_Soil_N2ODirect_Equations.VEERG_4_2_1_3__6_IntakeRelativeToMaintenance(X59,X23)</f>
        <v>#N/A</v>
      </c>
      <c r="Y75" s="26" t="e" cm="1">
        <f t="array" aca="1" ref="Y75" ca="1">MMS_PastureBeef_Soil_N2ODirect_Equations.VEERG_4_2_1_3__6_IntakeRelativeToMaintenance(Y59,Y23)</f>
        <v>#N/A</v>
      </c>
      <c r="Z75" s="26" t="e" cm="1">
        <f t="array" aca="1" ref="Z75" ca="1">MMS_PastureBeef_Soil_N2ODirect_Equations.VEERG_4_2_1_3__6_IntakeRelativeToMaintenance(Z59,Z23)</f>
        <v>#N/A</v>
      </c>
      <c r="AA75" s="26" t="e" cm="1">
        <f t="array" aca="1" ref="AA75" ca="1">MMS_PastureBeef_Soil_N2ODirect_Equations.VEERG_4_2_1_3__6_IntakeRelativeToMaintenance(AA59,AA23)</f>
        <v>#N/A</v>
      </c>
      <c r="AB75" s="26" t="e" cm="1">
        <f t="array" aca="1" ref="AB75" ca="1">MMS_PastureBeef_Soil_N2ODirect_Equations.VEERG_4_2_1_3__6_IntakeRelativeToMaintenance(AB59,AB23)</f>
        <v>#N/A</v>
      </c>
      <c r="AC75" s="26" t="e" cm="1">
        <f t="array" aca="1" ref="AC75" ca="1">MMS_PastureBeef_Soil_N2ODirect_Equations.VEERG_4_2_1_3__6_IntakeRelativeToMaintenance(AC59,AC23)</f>
        <v>#N/A</v>
      </c>
      <c r="AD75" s="26" t="e" cm="1">
        <f t="array" aca="1" ref="AD75" ca="1">MMS_PastureBeef_Soil_N2ODirect_Equations.VEERG_4_2_1_3__6_IntakeRelativeToMaintenance(AD59,AD23)</f>
        <v>#N/A</v>
      </c>
      <c r="AE75" s="26" t="e" cm="1">
        <f t="array" aca="1" ref="AE75" ca="1">MMS_PastureBeef_Soil_N2ODirect_Equations.VEERG_4_2_1_3__6_IntakeRelativeToMaintenance(AE59,AE23)</f>
        <v>#N/A</v>
      </c>
      <c r="AF75" s="27" t="str">
        <f t="shared" si="3"/>
        <v>ratio</v>
      </c>
      <c r="AG75" s="27"/>
      <c r="AH75" s="27"/>
    </row>
    <row r="76" spans="3:34" ht="20.100000000000001" customHeight="1" x14ac:dyDescent="0.25">
      <c r="D76" s="89" t="s">
        <v>133</v>
      </c>
      <c r="E76" s="15" t="str" cm="1">
        <f t="array" ref="E76">MMS_PastureBeef_Soil_N2ODirect_Equations.VEERG_4_2_1_3__5_MilkProductionForCalvingSeason_Unit()</f>
        <v>kg/head/day</v>
      </c>
      <c r="U76" s="26" t="e">
        <f>TEXT(EDATE('Input - Site'!$E$12,4), "mmmm yyyy")</f>
        <v>#VALUE!</v>
      </c>
      <c r="V76" s="26" t="e" cm="1">
        <f t="array" aca="1" ref="V76" ca="1">MMS_PastureBeef_Soil_N2ODirect_Equations.VEERG_4_2_1_3__6_IntakeRelativeToMaintenance(V60,V24)</f>
        <v>#N/A</v>
      </c>
      <c r="W76" s="26" t="e" cm="1">
        <f t="array" aca="1" ref="W76" ca="1">MMS_PastureBeef_Soil_N2ODirect_Equations.VEERG_4_2_1_3__6_IntakeRelativeToMaintenance(W60,W24)</f>
        <v>#N/A</v>
      </c>
      <c r="X76" s="26" t="e" cm="1">
        <f t="array" aca="1" ref="X76" ca="1">MMS_PastureBeef_Soil_N2ODirect_Equations.VEERG_4_2_1_3__6_IntakeRelativeToMaintenance(X60,X24)</f>
        <v>#N/A</v>
      </c>
      <c r="Y76" s="26" t="e" cm="1">
        <f t="array" aca="1" ref="Y76" ca="1">MMS_PastureBeef_Soil_N2ODirect_Equations.VEERG_4_2_1_3__6_IntakeRelativeToMaintenance(Y60,Y24)</f>
        <v>#N/A</v>
      </c>
      <c r="Z76" s="26" t="e" cm="1">
        <f t="array" aca="1" ref="Z76" ca="1">MMS_PastureBeef_Soil_N2ODirect_Equations.VEERG_4_2_1_3__6_IntakeRelativeToMaintenance(Z60,Z24)</f>
        <v>#N/A</v>
      </c>
      <c r="AA76" s="26" t="e" cm="1">
        <f t="array" aca="1" ref="AA76" ca="1">MMS_PastureBeef_Soil_N2ODirect_Equations.VEERG_4_2_1_3__6_IntakeRelativeToMaintenance(AA60,AA24)</f>
        <v>#N/A</v>
      </c>
      <c r="AB76" s="26" t="e" cm="1">
        <f t="array" aca="1" ref="AB76" ca="1">MMS_PastureBeef_Soil_N2ODirect_Equations.VEERG_4_2_1_3__6_IntakeRelativeToMaintenance(AB60,AB24)</f>
        <v>#N/A</v>
      </c>
      <c r="AC76" s="26" t="e" cm="1">
        <f t="array" aca="1" ref="AC76" ca="1">MMS_PastureBeef_Soil_N2ODirect_Equations.VEERG_4_2_1_3__6_IntakeRelativeToMaintenance(AC60,AC24)</f>
        <v>#N/A</v>
      </c>
      <c r="AD76" s="26" t="e" cm="1">
        <f t="array" aca="1" ref="AD76" ca="1">MMS_PastureBeef_Soil_N2ODirect_Equations.VEERG_4_2_1_3__6_IntakeRelativeToMaintenance(AD60,AD24)</f>
        <v>#N/A</v>
      </c>
      <c r="AE76" s="26" t="e" cm="1">
        <f t="array" aca="1" ref="AE76" ca="1">MMS_PastureBeef_Soil_N2ODirect_Equations.VEERG_4_2_1_3__6_IntakeRelativeToMaintenance(AE60,AE24)</f>
        <v>#N/A</v>
      </c>
      <c r="AF76" s="27" t="str">
        <f t="shared" si="3"/>
        <v>ratio</v>
      </c>
      <c r="AG76" s="27"/>
      <c r="AH76" s="27"/>
    </row>
    <row r="77" spans="3:34" ht="20.100000000000001" customHeight="1" x14ac:dyDescent="0.25">
      <c r="U77" s="26" t="e">
        <f>TEXT(EDATE('Input - Site'!$E$12,5), "mmmm yyyy")</f>
        <v>#VALUE!</v>
      </c>
      <c r="V77" s="26" t="e" cm="1">
        <f t="array" aca="1" ref="V77" ca="1">MMS_PastureBeef_Soil_N2ODirect_Equations.VEERG_4_2_1_3__6_IntakeRelativeToMaintenance(V61,V25)</f>
        <v>#N/A</v>
      </c>
      <c r="W77" s="26" t="e" cm="1">
        <f t="array" aca="1" ref="W77" ca="1">MMS_PastureBeef_Soil_N2ODirect_Equations.VEERG_4_2_1_3__6_IntakeRelativeToMaintenance(W61,W25)</f>
        <v>#N/A</v>
      </c>
      <c r="X77" s="26" t="e" cm="1">
        <f t="array" aca="1" ref="X77" ca="1">MMS_PastureBeef_Soil_N2ODirect_Equations.VEERG_4_2_1_3__6_IntakeRelativeToMaintenance(X61,X25)</f>
        <v>#N/A</v>
      </c>
      <c r="Y77" s="26" t="e" cm="1">
        <f t="array" aca="1" ref="Y77" ca="1">MMS_PastureBeef_Soil_N2ODirect_Equations.VEERG_4_2_1_3__6_IntakeRelativeToMaintenance(Y61,Y25)</f>
        <v>#N/A</v>
      </c>
      <c r="Z77" s="26" t="e" cm="1">
        <f t="array" aca="1" ref="Z77" ca="1">MMS_PastureBeef_Soil_N2ODirect_Equations.VEERG_4_2_1_3__6_IntakeRelativeToMaintenance(Z61,Z25)</f>
        <v>#N/A</v>
      </c>
      <c r="AA77" s="26" t="e" cm="1">
        <f t="array" aca="1" ref="AA77" ca="1">MMS_PastureBeef_Soil_N2ODirect_Equations.VEERG_4_2_1_3__6_IntakeRelativeToMaintenance(AA61,AA25)</f>
        <v>#N/A</v>
      </c>
      <c r="AB77" s="26" t="e" cm="1">
        <f t="array" aca="1" ref="AB77" ca="1">MMS_PastureBeef_Soil_N2ODirect_Equations.VEERG_4_2_1_3__6_IntakeRelativeToMaintenance(AB61,AB25)</f>
        <v>#N/A</v>
      </c>
      <c r="AC77" s="26" t="e" cm="1">
        <f t="array" aca="1" ref="AC77" ca="1">MMS_PastureBeef_Soil_N2ODirect_Equations.VEERG_4_2_1_3__6_IntakeRelativeToMaintenance(AC61,AC25)</f>
        <v>#N/A</v>
      </c>
      <c r="AD77" s="26" t="e" cm="1">
        <f t="array" aca="1" ref="AD77" ca="1">MMS_PastureBeef_Soil_N2ODirect_Equations.VEERG_4_2_1_3__6_IntakeRelativeToMaintenance(AD61,AD25)</f>
        <v>#N/A</v>
      </c>
      <c r="AE77" s="26" t="e" cm="1">
        <f t="array" aca="1" ref="AE77" ca="1">MMS_PastureBeef_Soil_N2ODirect_Equations.VEERG_4_2_1_3__6_IntakeRelativeToMaintenance(AE61,AE25)</f>
        <v>#N/A</v>
      </c>
      <c r="AF77" s="27" t="str">
        <f t="shared" si="3"/>
        <v>ratio</v>
      </c>
      <c r="AG77" s="27"/>
      <c r="AH77" s="27"/>
    </row>
    <row r="78" spans="3:34" ht="20.100000000000001" customHeight="1" x14ac:dyDescent="0.25">
      <c r="D78" s="106" t="str" cm="1">
        <f t="array" ref="D78:E82">_xlfn.CHOOSECOLS(MMS_PastureBeef_Soil_N2ODirect_Equations.VEERG_4_2_1_3__5_MilkProductionForCalvingSeason_ArgumentsVariation(),1,2)</f>
        <v>LC_jk5curr</v>
      </c>
      <c r="E78" s="107" t="str">
        <v>proportion of cows greater than 2 years lactating for the season of calving</v>
      </c>
      <c r="F78" s="109"/>
      <c r="G78" s="106" t="str" cm="1">
        <f t="array" ref="G78:H82">_xlfn.CHOOSECOLS(MMS_PastureBeef_Soil_N2ODirect_Equations.VEERG_4_2_1_3__5_MilkProductionForCalvingSeason_ArgumentsVariation(),3,4)</f>
        <v>fraction</v>
      </c>
      <c r="H78" s="110" t="str">
        <v>Input</v>
      </c>
      <c r="I78" s="112" t="str" cm="1">
        <f t="array" aca="1" ref="I78" ca="1">HYPERLINK(Common_InputFunctions.Utility_SourceHyperlink($D$84), $D$84)</f>
        <v>M1_Table_LC_j_k-4-5</v>
      </c>
      <c r="U78" s="26" t="e">
        <f>TEXT(EDATE('Input - Site'!$E$12,6), "mmmm yyyy")</f>
        <v>#VALUE!</v>
      </c>
      <c r="V78" s="26" t="e" cm="1">
        <f t="array" aca="1" ref="V78" ca="1">MMS_PastureBeef_Soil_N2ODirect_Equations.VEERG_4_2_1_3__6_IntakeRelativeToMaintenance(V62,V26)</f>
        <v>#N/A</v>
      </c>
      <c r="W78" s="26" t="e" cm="1">
        <f t="array" aca="1" ref="W78" ca="1">MMS_PastureBeef_Soil_N2ODirect_Equations.VEERG_4_2_1_3__6_IntakeRelativeToMaintenance(W62,W26)</f>
        <v>#N/A</v>
      </c>
      <c r="X78" s="26" t="e" cm="1">
        <f t="array" aca="1" ref="X78" ca="1">MMS_PastureBeef_Soil_N2ODirect_Equations.VEERG_4_2_1_3__6_IntakeRelativeToMaintenance(X62,X26)</f>
        <v>#N/A</v>
      </c>
      <c r="Y78" s="26" t="e" cm="1">
        <f t="array" aca="1" ref="Y78" ca="1">MMS_PastureBeef_Soil_N2ODirect_Equations.VEERG_4_2_1_3__6_IntakeRelativeToMaintenance(Y62,Y26)</f>
        <v>#N/A</v>
      </c>
      <c r="Z78" s="26" t="e" cm="1">
        <f t="array" aca="1" ref="Z78" ca="1">MMS_PastureBeef_Soil_N2ODirect_Equations.VEERG_4_2_1_3__6_IntakeRelativeToMaintenance(Z62,Z26)</f>
        <v>#N/A</v>
      </c>
      <c r="AA78" s="26" t="e" cm="1">
        <f t="array" aca="1" ref="AA78" ca="1">MMS_PastureBeef_Soil_N2ODirect_Equations.VEERG_4_2_1_3__6_IntakeRelativeToMaintenance(AA62,AA26)</f>
        <v>#N/A</v>
      </c>
      <c r="AB78" s="26" t="e" cm="1">
        <f t="array" aca="1" ref="AB78" ca="1">MMS_PastureBeef_Soil_N2ODirect_Equations.VEERG_4_2_1_3__6_IntakeRelativeToMaintenance(AB62,AB26)</f>
        <v>#N/A</v>
      </c>
      <c r="AC78" s="26" t="e" cm="1">
        <f t="array" aca="1" ref="AC78" ca="1">MMS_PastureBeef_Soil_N2ODirect_Equations.VEERG_4_2_1_3__6_IntakeRelativeToMaintenance(AC62,AC26)</f>
        <v>#N/A</v>
      </c>
      <c r="AD78" s="26" t="e" cm="1">
        <f t="array" aca="1" ref="AD78" ca="1">MMS_PastureBeef_Soil_N2ODirect_Equations.VEERG_4_2_1_3__6_IntakeRelativeToMaintenance(AD62,AD26)</f>
        <v>#N/A</v>
      </c>
      <c r="AE78" s="26" t="e" cm="1">
        <f t="array" aca="1" ref="AE78" ca="1">MMS_PastureBeef_Soil_N2ODirect_Equations.VEERG_4_2_1_3__6_IntakeRelativeToMaintenance(AE62,AE26)</f>
        <v>#N/A</v>
      </c>
      <c r="AF78" s="27" t="str">
        <f t="shared" si="3"/>
        <v>ratio</v>
      </c>
      <c r="AG78" s="27"/>
      <c r="AH78" s="27"/>
    </row>
    <row r="79" spans="3:34" ht="20.100000000000001" customHeight="1" x14ac:dyDescent="0.25">
      <c r="D79" s="106" t="str">
        <v>LC_jk5prev</v>
      </c>
      <c r="E79" s="107" t="str">
        <v>proportion of cows greater than 2 years lactating for the season after calving</v>
      </c>
      <c r="F79" s="109"/>
      <c r="G79" s="106" t="str">
        <v>fraction</v>
      </c>
      <c r="H79" s="110" t="str">
        <v>Input</v>
      </c>
      <c r="I79" s="112" t="str" cm="1">
        <f t="array" aca="1" ref="I79" ca="1">HYPERLINK(Common_InputFunctions.Utility_SourceHyperlink($D$84), $D$84)</f>
        <v>M1_Table_LC_j_k-4-5</v>
      </c>
      <c r="U79" s="26" t="e">
        <f>TEXT(EDATE('Input - Site'!$E$12,7), "mmmm yyyy")</f>
        <v>#VALUE!</v>
      </c>
      <c r="V79" s="26" t="e" cm="1">
        <f t="array" aca="1" ref="V79" ca="1">MMS_PastureBeef_Soil_N2ODirect_Equations.VEERG_4_2_1_3__6_IntakeRelativeToMaintenance(V63,V27)</f>
        <v>#N/A</v>
      </c>
      <c r="W79" s="26" t="e" cm="1">
        <f t="array" aca="1" ref="W79" ca="1">MMS_PastureBeef_Soil_N2ODirect_Equations.VEERG_4_2_1_3__6_IntakeRelativeToMaintenance(W63,W27)</f>
        <v>#N/A</v>
      </c>
      <c r="X79" s="26" t="e" cm="1">
        <f t="array" aca="1" ref="X79" ca="1">MMS_PastureBeef_Soil_N2ODirect_Equations.VEERG_4_2_1_3__6_IntakeRelativeToMaintenance(X63,X27)</f>
        <v>#N/A</v>
      </c>
      <c r="Y79" s="26" t="e" cm="1">
        <f t="array" aca="1" ref="Y79" ca="1">MMS_PastureBeef_Soil_N2ODirect_Equations.VEERG_4_2_1_3__6_IntakeRelativeToMaintenance(Y63,Y27)</f>
        <v>#N/A</v>
      </c>
      <c r="Z79" s="26" t="e" cm="1">
        <f t="array" aca="1" ref="Z79" ca="1">MMS_PastureBeef_Soil_N2ODirect_Equations.VEERG_4_2_1_3__6_IntakeRelativeToMaintenance(Z63,Z27)</f>
        <v>#N/A</v>
      </c>
      <c r="AA79" s="26" t="e" cm="1">
        <f t="array" aca="1" ref="AA79" ca="1">MMS_PastureBeef_Soil_N2ODirect_Equations.VEERG_4_2_1_3__6_IntakeRelativeToMaintenance(AA63,AA27)</f>
        <v>#N/A</v>
      </c>
      <c r="AB79" s="26" t="e" cm="1">
        <f t="array" aca="1" ref="AB79" ca="1">MMS_PastureBeef_Soil_N2ODirect_Equations.VEERG_4_2_1_3__6_IntakeRelativeToMaintenance(AB63,AB27)</f>
        <v>#N/A</v>
      </c>
      <c r="AC79" s="26" t="e" cm="1">
        <f t="array" aca="1" ref="AC79" ca="1">MMS_PastureBeef_Soil_N2ODirect_Equations.VEERG_4_2_1_3__6_IntakeRelativeToMaintenance(AC63,AC27)</f>
        <v>#N/A</v>
      </c>
      <c r="AD79" s="26" t="e" cm="1">
        <f t="array" aca="1" ref="AD79" ca="1">MMS_PastureBeef_Soil_N2ODirect_Equations.VEERG_4_2_1_3__6_IntakeRelativeToMaintenance(AD63,AD27)</f>
        <v>#N/A</v>
      </c>
      <c r="AE79" s="26" t="e" cm="1">
        <f t="array" aca="1" ref="AE79" ca="1">MMS_PastureBeef_Soil_N2ODirect_Equations.VEERG_4_2_1_3__6_IntakeRelativeToMaintenance(AE63,AE27)</f>
        <v>#N/A</v>
      </c>
      <c r="AF79" s="27" t="str">
        <f t="shared" si="3"/>
        <v>ratio</v>
      </c>
      <c r="AG79" s="27"/>
      <c r="AH79" s="27"/>
    </row>
    <row r="80" spans="3:34" ht="20.100000000000001" customHeight="1" x14ac:dyDescent="0.25">
      <c r="D80" s="106" t="str">
        <v>DMP_jk5calv</v>
      </c>
      <c r="E80" s="107" t="str">
        <v>daily milk production for the season of calving (kg/head/day)</v>
      </c>
      <c r="F80" s="109"/>
      <c r="G80" s="106" t="str">
        <v>kg/head/day</v>
      </c>
      <c r="H80" s="111" t="str">
        <v>Constant</v>
      </c>
      <c r="I80" s="121" cm="1">
        <f t="array" ref="I80">_xlfn.XLOOKUP(1, (Table_SourceData_PastureBeef_FeedIntakeAdjustment_Variation[Breed]=$I$82)*(Table_SourceData_PastureBeef_FeedIntakeAdjustment_Variation[Season]=+"Calving season"),Table_SourceData_PastureBeef_FeedIntakeAdjustment_Variation[Milk intake/production])</f>
        <v>6</v>
      </c>
      <c r="U80" s="26" t="e">
        <f>TEXT(EDATE('Input - Site'!$E$12,8), "mmmm yyyy")</f>
        <v>#VALUE!</v>
      </c>
      <c r="V80" s="26" t="e" cm="1">
        <f t="array" aca="1" ref="V80" ca="1">MMS_PastureBeef_Soil_N2ODirect_Equations.VEERG_4_2_1_3__6_IntakeRelativeToMaintenance(V64,V28)</f>
        <v>#N/A</v>
      </c>
      <c r="W80" s="26" t="e" cm="1">
        <f t="array" aca="1" ref="W80" ca="1">MMS_PastureBeef_Soil_N2ODirect_Equations.VEERG_4_2_1_3__6_IntakeRelativeToMaintenance(W64,W28)</f>
        <v>#N/A</v>
      </c>
      <c r="X80" s="26" t="e" cm="1">
        <f t="array" aca="1" ref="X80" ca="1">MMS_PastureBeef_Soil_N2ODirect_Equations.VEERG_4_2_1_3__6_IntakeRelativeToMaintenance(X64,X28)</f>
        <v>#N/A</v>
      </c>
      <c r="Y80" s="26" t="e" cm="1">
        <f t="array" aca="1" ref="Y80" ca="1">MMS_PastureBeef_Soil_N2ODirect_Equations.VEERG_4_2_1_3__6_IntakeRelativeToMaintenance(Y64,Y28)</f>
        <v>#N/A</v>
      </c>
      <c r="Z80" s="26" t="e" cm="1">
        <f t="array" aca="1" ref="Z80" ca="1">MMS_PastureBeef_Soil_N2ODirect_Equations.VEERG_4_2_1_3__6_IntakeRelativeToMaintenance(Z64,Z28)</f>
        <v>#N/A</v>
      </c>
      <c r="AA80" s="26" t="e" cm="1">
        <f t="array" aca="1" ref="AA80" ca="1">MMS_PastureBeef_Soil_N2ODirect_Equations.VEERG_4_2_1_3__6_IntakeRelativeToMaintenance(AA64,AA28)</f>
        <v>#N/A</v>
      </c>
      <c r="AB80" s="26" t="e" cm="1">
        <f t="array" aca="1" ref="AB80" ca="1">MMS_PastureBeef_Soil_N2ODirect_Equations.VEERG_4_2_1_3__6_IntakeRelativeToMaintenance(AB64,AB28)</f>
        <v>#N/A</v>
      </c>
      <c r="AC80" s="26" t="e" cm="1">
        <f t="array" aca="1" ref="AC80" ca="1">MMS_PastureBeef_Soil_N2ODirect_Equations.VEERG_4_2_1_3__6_IntakeRelativeToMaintenance(AC64,AC28)</f>
        <v>#N/A</v>
      </c>
      <c r="AD80" s="26" t="e" cm="1">
        <f t="array" aca="1" ref="AD80" ca="1">MMS_PastureBeef_Soil_N2ODirect_Equations.VEERG_4_2_1_3__6_IntakeRelativeToMaintenance(AD64,AD28)</f>
        <v>#N/A</v>
      </c>
      <c r="AE80" s="26" t="e" cm="1">
        <f t="array" aca="1" ref="AE80" ca="1">MMS_PastureBeef_Soil_N2ODirect_Equations.VEERG_4_2_1_3__6_IntakeRelativeToMaintenance(AE64,AE28)</f>
        <v>#N/A</v>
      </c>
      <c r="AF80" s="27" t="str">
        <f t="shared" si="3"/>
        <v>ratio</v>
      </c>
      <c r="AG80" s="27"/>
      <c r="AH80" s="27"/>
    </row>
    <row r="81" spans="4:35" ht="20.100000000000001" customHeight="1" x14ac:dyDescent="0.25">
      <c r="D81" s="106" t="str">
        <v>DMP_jk5after</v>
      </c>
      <c r="E81" s="107" t="str">
        <v>daily milk production for the season after calving (kg/head/day)</v>
      </c>
      <c r="F81" s="109"/>
      <c r="G81" s="106" t="str">
        <v>kg/head/day</v>
      </c>
      <c r="H81" s="111" t="str">
        <v>Constant</v>
      </c>
      <c r="I81" s="121"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6" t="e">
        <f>TEXT(EDATE('Input - Site'!$E$12,9), "mmmm yyyy")</f>
        <v>#VALUE!</v>
      </c>
      <c r="V81" s="26" t="e" cm="1">
        <f t="array" aca="1" ref="V81" ca="1">MMS_PastureBeef_Soil_N2ODirect_Equations.VEERG_4_2_1_3__6_IntakeRelativeToMaintenance(V65,V29)</f>
        <v>#N/A</v>
      </c>
      <c r="W81" s="26" t="e" cm="1">
        <f t="array" aca="1" ref="W81" ca="1">MMS_PastureBeef_Soil_N2ODirect_Equations.VEERG_4_2_1_3__6_IntakeRelativeToMaintenance(W65,W29)</f>
        <v>#N/A</v>
      </c>
      <c r="X81" s="26" t="e" cm="1">
        <f t="array" aca="1" ref="X81" ca="1">MMS_PastureBeef_Soil_N2ODirect_Equations.VEERG_4_2_1_3__6_IntakeRelativeToMaintenance(X65,X29)</f>
        <v>#N/A</v>
      </c>
      <c r="Y81" s="26" t="e" cm="1">
        <f t="array" aca="1" ref="Y81" ca="1">MMS_PastureBeef_Soil_N2ODirect_Equations.VEERG_4_2_1_3__6_IntakeRelativeToMaintenance(Y65,Y29)</f>
        <v>#N/A</v>
      </c>
      <c r="Z81" s="26" t="e" cm="1">
        <f t="array" aca="1" ref="Z81" ca="1">MMS_PastureBeef_Soil_N2ODirect_Equations.VEERG_4_2_1_3__6_IntakeRelativeToMaintenance(Z65,Z29)</f>
        <v>#N/A</v>
      </c>
      <c r="AA81" s="26" t="e" cm="1">
        <f t="array" aca="1" ref="AA81" ca="1">MMS_PastureBeef_Soil_N2ODirect_Equations.VEERG_4_2_1_3__6_IntakeRelativeToMaintenance(AA65,AA29)</f>
        <v>#N/A</v>
      </c>
      <c r="AB81" s="26" t="e" cm="1">
        <f t="array" aca="1" ref="AB81" ca="1">MMS_PastureBeef_Soil_N2ODirect_Equations.VEERG_4_2_1_3__6_IntakeRelativeToMaintenance(AB65,AB29)</f>
        <v>#N/A</v>
      </c>
      <c r="AC81" s="26" t="e" cm="1">
        <f t="array" aca="1" ref="AC81" ca="1">MMS_PastureBeef_Soil_N2ODirect_Equations.VEERG_4_2_1_3__6_IntakeRelativeToMaintenance(AC65,AC29)</f>
        <v>#N/A</v>
      </c>
      <c r="AD81" s="26" t="e" cm="1">
        <f t="array" aca="1" ref="AD81" ca="1">MMS_PastureBeef_Soil_N2ODirect_Equations.VEERG_4_2_1_3__6_IntakeRelativeToMaintenance(AD65,AD29)</f>
        <v>#N/A</v>
      </c>
      <c r="AE81" s="26" t="e" cm="1">
        <f t="array" aca="1" ref="AE81" ca="1">MMS_PastureBeef_Soil_N2ODirect_Equations.VEERG_4_2_1_3__6_IntakeRelativeToMaintenance(AE65,AE29)</f>
        <v>#N/A</v>
      </c>
      <c r="AF81" s="27" t="str">
        <f t="shared" si="3"/>
        <v>ratio</v>
      </c>
      <c r="AG81" s="27"/>
      <c r="AH81" s="27"/>
    </row>
    <row r="82" spans="4:35" ht="20.100000000000001" customHeight="1" x14ac:dyDescent="0.25">
      <c r="D82" s="106" t="str">
        <v>b</v>
      </c>
      <c r="E82" s="107" t="str">
        <v>breed of cattle</v>
      </c>
      <c r="F82" s="109"/>
      <c r="G82" s="106" t="str">
        <v/>
      </c>
      <c r="H82" s="110" t="str">
        <v>Input</v>
      </c>
      <c r="I82" s="121" t="str">
        <f>X_Cell_PastureBeef_Breed</f>
        <v>Hereford or Shorthorn breeds</v>
      </c>
      <c r="U82" s="26" t="e">
        <f>TEXT(EDATE('Input - Site'!$E$12,10), "mmmm yyyy")</f>
        <v>#VALUE!</v>
      </c>
      <c r="V82" s="26" t="e" cm="1">
        <f t="array" aca="1" ref="V82" ca="1">MMS_PastureBeef_Soil_N2ODirect_Equations.VEERG_4_2_1_3__6_IntakeRelativeToMaintenance(V66,V30)</f>
        <v>#N/A</v>
      </c>
      <c r="W82" s="26" t="e" cm="1">
        <f t="array" aca="1" ref="W82" ca="1">MMS_PastureBeef_Soil_N2ODirect_Equations.VEERG_4_2_1_3__6_IntakeRelativeToMaintenance(W66,W30)</f>
        <v>#N/A</v>
      </c>
      <c r="X82" s="26" t="e" cm="1">
        <f t="array" aca="1" ref="X82" ca="1">MMS_PastureBeef_Soil_N2ODirect_Equations.VEERG_4_2_1_3__6_IntakeRelativeToMaintenance(X66,X30)</f>
        <v>#N/A</v>
      </c>
      <c r="Y82" s="26" t="e" cm="1">
        <f t="array" aca="1" ref="Y82" ca="1">MMS_PastureBeef_Soil_N2ODirect_Equations.VEERG_4_2_1_3__6_IntakeRelativeToMaintenance(Y66,Y30)</f>
        <v>#N/A</v>
      </c>
      <c r="Z82" s="26" t="e" cm="1">
        <f t="array" aca="1" ref="Z82" ca="1">MMS_PastureBeef_Soil_N2ODirect_Equations.VEERG_4_2_1_3__6_IntakeRelativeToMaintenance(Z66,Z30)</f>
        <v>#N/A</v>
      </c>
      <c r="AA82" s="26" t="e" cm="1">
        <f t="array" aca="1" ref="AA82" ca="1">MMS_PastureBeef_Soil_N2ODirect_Equations.VEERG_4_2_1_3__6_IntakeRelativeToMaintenance(AA66,AA30)</f>
        <v>#N/A</v>
      </c>
      <c r="AB82" s="26" t="e" cm="1">
        <f t="array" aca="1" ref="AB82" ca="1">MMS_PastureBeef_Soil_N2ODirect_Equations.VEERG_4_2_1_3__6_IntakeRelativeToMaintenance(AB66,AB30)</f>
        <v>#N/A</v>
      </c>
      <c r="AC82" s="26" t="e" cm="1">
        <f t="array" aca="1" ref="AC82" ca="1">MMS_PastureBeef_Soil_N2ODirect_Equations.VEERG_4_2_1_3__6_IntakeRelativeToMaintenance(AC66,AC30)</f>
        <v>#N/A</v>
      </c>
      <c r="AD82" s="26" t="e" cm="1">
        <f t="array" aca="1" ref="AD82" ca="1">MMS_PastureBeef_Soil_N2ODirect_Equations.VEERG_4_2_1_3__6_IntakeRelativeToMaintenance(AD66,AD30)</f>
        <v>#N/A</v>
      </c>
      <c r="AE82" s="26" t="e" cm="1">
        <f t="array" aca="1" ref="AE82" ca="1">MMS_PastureBeef_Soil_N2ODirect_Equations.VEERG_4_2_1_3__6_IntakeRelativeToMaintenance(AE66,AE30)</f>
        <v>#N/A</v>
      </c>
      <c r="AF82" s="27" t="str">
        <f t="shared" si="3"/>
        <v>ratio</v>
      </c>
      <c r="AG82" s="27"/>
      <c r="AH82" s="27"/>
    </row>
    <row r="83" spans="4:35" ht="20.100000000000001" customHeight="1" x14ac:dyDescent="0.25">
      <c r="U83" s="26" t="e">
        <f>TEXT(EDATE('Input - Site'!$E$12,11), "mmmm yyyy")</f>
        <v>#VALUE!</v>
      </c>
      <c r="V83" s="26" t="e" cm="1">
        <f t="array" aca="1" ref="V83" ca="1">MMS_PastureBeef_Soil_N2ODirect_Equations.VEERG_4_2_1_3__6_IntakeRelativeToMaintenance(V67,V31)</f>
        <v>#N/A</v>
      </c>
      <c r="W83" s="26" t="e" cm="1">
        <f t="array" aca="1" ref="W83" ca="1">MMS_PastureBeef_Soil_N2ODirect_Equations.VEERG_4_2_1_3__6_IntakeRelativeToMaintenance(W67,W31)</f>
        <v>#N/A</v>
      </c>
      <c r="X83" s="26" t="e" cm="1">
        <f t="array" aca="1" ref="X83" ca="1">MMS_PastureBeef_Soil_N2ODirect_Equations.VEERG_4_2_1_3__6_IntakeRelativeToMaintenance(X67,X31)</f>
        <v>#N/A</v>
      </c>
      <c r="Y83" s="26" t="e" cm="1">
        <f t="array" aca="1" ref="Y83" ca="1">MMS_PastureBeef_Soil_N2ODirect_Equations.VEERG_4_2_1_3__6_IntakeRelativeToMaintenance(Y67,Y31)</f>
        <v>#N/A</v>
      </c>
      <c r="Z83" s="26" t="e" cm="1">
        <f t="array" aca="1" ref="Z83" ca="1">MMS_PastureBeef_Soil_N2ODirect_Equations.VEERG_4_2_1_3__6_IntakeRelativeToMaintenance(Z67,Z31)</f>
        <v>#N/A</v>
      </c>
      <c r="AA83" s="26" t="e" cm="1">
        <f t="array" aca="1" ref="AA83" ca="1">MMS_PastureBeef_Soil_N2ODirect_Equations.VEERG_4_2_1_3__6_IntakeRelativeToMaintenance(AA67,AA31)</f>
        <v>#N/A</v>
      </c>
      <c r="AB83" s="26" t="e" cm="1">
        <f t="array" aca="1" ref="AB83" ca="1">MMS_PastureBeef_Soil_N2ODirect_Equations.VEERG_4_2_1_3__6_IntakeRelativeToMaintenance(AB67,AB31)</f>
        <v>#N/A</v>
      </c>
      <c r="AC83" s="26" t="e" cm="1">
        <f t="array" aca="1" ref="AC83" ca="1">MMS_PastureBeef_Soil_N2ODirect_Equations.VEERG_4_2_1_3__6_IntakeRelativeToMaintenance(AC67,AC31)</f>
        <v>#N/A</v>
      </c>
      <c r="AD83" s="26" t="e" cm="1">
        <f t="array" aca="1" ref="AD83" ca="1">MMS_PastureBeef_Soil_N2ODirect_Equations.VEERG_4_2_1_3__6_IntakeRelativeToMaintenance(AD67,AD31)</f>
        <v>#N/A</v>
      </c>
      <c r="AE83" s="26" t="e" cm="1">
        <f t="array" aca="1" ref="AE83" ca="1">MMS_PastureBeef_Soil_N2ODirect_Equations.VEERG_4_2_1_3__6_IntakeRelativeToMaintenance(AE67,AE31)</f>
        <v>#N/A</v>
      </c>
      <c r="AF83" s="27" t="str">
        <f t="shared" si="3"/>
        <v>ratio</v>
      </c>
      <c r="AG83" s="27"/>
      <c r="AH83" s="27"/>
    </row>
    <row r="84" spans="4:35" ht="20.100000000000001" customHeight="1" x14ac:dyDescent="0.25">
      <c r="D84" s="113" t="s">
        <v>260</v>
      </c>
    </row>
    <row r="85" spans="4:35" ht="20.100000000000001" customHeight="1" x14ac:dyDescent="0.25">
      <c r="D85" s="114" t="s">
        <v>261</v>
      </c>
    </row>
    <row r="86" spans="4:35" ht="20.100000000000001" customHeight="1" x14ac:dyDescent="0.25">
      <c r="D86" s="115" t="s">
        <v>79</v>
      </c>
      <c r="E86" s="116" t="s">
        <v>192</v>
      </c>
      <c r="F86" s="116" t="s">
        <v>193</v>
      </c>
      <c r="G86" s="116" t="s">
        <v>194</v>
      </c>
      <c r="T86" s="117"/>
      <c r="U86" s="117"/>
      <c r="V86" s="117"/>
      <c r="W86" s="117"/>
      <c r="X86" s="117"/>
      <c r="Y86" s="117"/>
      <c r="Z86" s="117"/>
      <c r="AA86" s="117"/>
      <c r="AB86" s="117"/>
      <c r="AC86" s="117"/>
      <c r="AD86" s="117"/>
      <c r="AE86" s="117"/>
      <c r="AF86" s="117"/>
      <c r="AG86" s="117"/>
      <c r="AH86" s="117"/>
      <c r="AI86" s="117"/>
    </row>
    <row r="87" spans="4:35" ht="20.100000000000001" customHeight="1" x14ac:dyDescent="0.25">
      <c r="D87" s="26" t="str">
        <f>'Input - Pasture Beef'!$E$105</f>
        <v>Winter</v>
      </c>
      <c r="E87" s="175">
        <f>'Input - Pasture Beef'!$F$111</f>
        <v>0.7</v>
      </c>
      <c r="F87" s="175">
        <f>'Input - Pasture Beef'!$G$111</f>
        <v>0.5</v>
      </c>
      <c r="G87" s="175">
        <f>'Input - Pasture Beef'!$H$111</f>
        <v>0.5</v>
      </c>
      <c r="H87" s="27" t="s">
        <v>264</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3" t="s">
        <v>262</v>
      </c>
    </row>
    <row r="90" spans="4:35" ht="20.100000000000001" customHeight="1" x14ac:dyDescent="0.25">
      <c r="U90" s="114" t="s">
        <v>263</v>
      </c>
    </row>
    <row r="91" spans="4:35" ht="20.100000000000001" customHeight="1" x14ac:dyDescent="0.25">
      <c r="U91" s="115" t="s">
        <v>78</v>
      </c>
      <c r="V91" s="116" t="s">
        <v>192</v>
      </c>
      <c r="W91" s="116" t="s">
        <v>193</v>
      </c>
      <c r="X91" s="116" t="s">
        <v>194</v>
      </c>
    </row>
    <row r="92" spans="4:35" ht="20.100000000000001" customHeight="1" x14ac:dyDescent="0.25">
      <c r="D92" s="113" t="s">
        <v>432</v>
      </c>
      <c r="U92" s="26" t="str">
        <f>TEXT(EDATE('Input - Pasture Beef'!$D$125,0), "mmmm") &amp; ", " &amp; TEXT(EDATE('Input - Pasture Beef'!$D$126,0), "mmmm") &amp; ", " &amp; TEXT(EDATE('Input - Pasture Beef'!$D$127,0), "mmmm")</f>
        <v>August, September, October</v>
      </c>
      <c r="V92" s="175">
        <f>'Input - Pasture Beef'!$E$128</f>
        <v>0.75</v>
      </c>
      <c r="W92" s="175">
        <f>'Input - Pasture Beef'!$F$128</f>
        <v>0.75</v>
      </c>
      <c r="X92" s="175">
        <f>'Input - Pasture Beef'!$G$128</f>
        <v>0.75</v>
      </c>
      <c r="Y92" s="27" t="s">
        <v>264</v>
      </c>
    </row>
    <row r="93" spans="4:35" ht="20.100000000000001" customHeight="1" x14ac:dyDescent="0.25">
      <c r="D93" s="114" t="s">
        <v>433</v>
      </c>
      <c r="U93" s="26" t="str">
        <f>TEXT(EDATE('Input - Pasture Beef'!$D$127,1), "mmmm") &amp; ", " &amp; TEXT(EDATE('Input - Pasture Beef'!$D$127,2), "mmmm") &amp; ", " &amp; TEXT(EDATE('Input - Pasture Beef'!$D$127,3), "mmmm")</f>
        <v>November, December, January</v>
      </c>
      <c r="Y93" s="27"/>
    </row>
    <row r="94" spans="4:35" ht="20.100000000000001" customHeight="1" x14ac:dyDescent="0.25">
      <c r="D94" s="115" t="s">
        <v>79</v>
      </c>
      <c r="E94" s="115" t="s">
        <v>212</v>
      </c>
      <c r="F94" s="115" t="s">
        <v>434</v>
      </c>
      <c r="G94" s="115" t="s">
        <v>189</v>
      </c>
      <c r="H94" s="115" t="s">
        <v>190</v>
      </c>
      <c r="I94" s="115" t="s">
        <v>191</v>
      </c>
      <c r="J94" s="115" t="s">
        <v>192</v>
      </c>
      <c r="K94" s="115" t="s">
        <v>193</v>
      </c>
      <c r="L94" s="115" t="s">
        <v>194</v>
      </c>
      <c r="M94" s="115" t="s">
        <v>195</v>
      </c>
      <c r="N94" s="115" t="s">
        <v>196</v>
      </c>
      <c r="O94" s="115" t="s">
        <v>197</v>
      </c>
      <c r="P94" s="115" t="s">
        <v>198</v>
      </c>
    </row>
    <row r="95" spans="4:35" ht="20.100000000000001" customHeight="1" x14ac:dyDescent="0.25">
      <c r="D95" s="26" t="str">
        <f>INDEX(M1_Table_MA_j_k45,2,1)</f>
        <v>Spring</v>
      </c>
      <c r="E95" s="26" t="str" cm="1">
        <f t="array" ref="E95">_xlfn.IFS(D87=D95, "Calving season", D87=D98, "Season after calving", D87=D96, "", D87=D97, "")</f>
        <v>Season after calving</v>
      </c>
      <c r="F95" s="26" cm="1">
        <f t="array" ref="F95">_xlfn.IFS(E95="Calving season", $I$80, E95="Season after calving", $I$81, E95="", "")</f>
        <v>4</v>
      </c>
      <c r="G95" s="26">
        <v>0</v>
      </c>
      <c r="H95" s="26">
        <v>0</v>
      </c>
      <c r="I95" s="26">
        <v>0</v>
      </c>
      <c r="J95" s="26" cm="1">
        <f t="array" ref="J95">IFERROR(MMS_PastureBeef_Soil_N2ODirect_Equations.VEERG_4_2_1_3__5_MilkProductionForCalvingSeason(E$87,$F95), 0)</f>
        <v>2.8</v>
      </c>
      <c r="K95" s="26" cm="1">
        <f t="array" ref="K95">IFERROR(MMS_PastureBeef_Soil_N2ODirect_Equations.VEERG_4_2_1_3__5_MilkProductionForCalvingSeason(F$87,$F95), 0)</f>
        <v>2</v>
      </c>
      <c r="L95" s="26" cm="1">
        <f t="array" ref="L95">IFERROR(MMS_PastureBeef_Soil_N2ODirect_Equations.VEERG_4_2_1_3__5_MilkProductionForCalvingSeason(G$87,$F95), 0)</f>
        <v>2</v>
      </c>
      <c r="M95" s="26">
        <v>0</v>
      </c>
      <c r="N95" s="26">
        <v>0</v>
      </c>
      <c r="O95" s="26">
        <v>0</v>
      </c>
      <c r="P95" s="26">
        <v>0</v>
      </c>
      <c r="Q95" s="27" t="str">
        <f>$E$76</f>
        <v>kg/head/day</v>
      </c>
    </row>
    <row r="96" spans="4:35" ht="20.100000000000001" customHeight="1" x14ac:dyDescent="0.25">
      <c r="D96" s="26" t="str">
        <f>INDEX(M1_Table_MA_j_k45,3,1)</f>
        <v>Summer</v>
      </c>
      <c r="E96" s="26" t="str" cm="1">
        <f t="array" ref="E96">_xlfn.IFS(D87=D96, "Calving season", D87=D95, "Season after calving", D87=D97, "", D87=D98, "")</f>
        <v/>
      </c>
      <c r="F96" s="26" t="str" cm="1">
        <f t="array" ref="F96">_xlfn.IFS(E96="Calving season", $I$80, E96="Season after calving", $I$81, E96="", "")</f>
        <v/>
      </c>
      <c r="G96" s="26">
        <v>0</v>
      </c>
      <c r="H96" s="26">
        <v>0</v>
      </c>
      <c r="I96" s="26">
        <v>0</v>
      </c>
      <c r="J96" s="26" cm="1">
        <f t="array" ref="J96">IFERROR(MMS_PastureBeef_Soil_N2ODirect_Equations.VEERG_4_2_1_3__5_MilkProductionForCalvingSeason(E$87,$F96), 0)</f>
        <v>0</v>
      </c>
      <c r="K96" s="26" cm="1">
        <f t="array" ref="K96">IFERROR(MMS_PastureBeef_Soil_N2ODirect_Equations.VEERG_4_2_1_3__5_MilkProductionForCalvingSeason(F$87,$F96), 0)</f>
        <v>0</v>
      </c>
      <c r="L96" s="26" cm="1">
        <f t="array" ref="L96">IFERROR(MMS_PastureBeef_Soil_N2ODirect_Equations.VEERG_4_2_1_3__5_MilkProductionForCalvingSeason(G$87,$F96), 0)</f>
        <v>0</v>
      </c>
      <c r="M96" s="26">
        <v>0</v>
      </c>
      <c r="N96" s="26">
        <v>0</v>
      </c>
      <c r="O96" s="26">
        <v>0</v>
      </c>
      <c r="P96" s="26">
        <v>0</v>
      </c>
      <c r="Q96" s="27" t="str">
        <f t="shared" ref="Q96:Q98" si="4">$E$76</f>
        <v>kg/head/day</v>
      </c>
    </row>
    <row r="97" spans="3:34" ht="20.100000000000001" customHeight="1" x14ac:dyDescent="0.25">
      <c r="D97" s="26" t="str">
        <f>INDEX(M1_Table_MA_j_k45,4,1)</f>
        <v>Autumn</v>
      </c>
      <c r="E97" s="26" t="str" cm="1">
        <f t="array" ref="E97">_xlfn.IFS(D87=D97, "Calving season", D87=D96, "Season after calving", D87=D98, "", D87=D95, "")</f>
        <v/>
      </c>
      <c r="F97" s="26" t="str" cm="1">
        <f t="array" ref="F97">_xlfn.IFS(E97="Calving season", $I$80, E97="Season after calving", $I$81, E97="", "")</f>
        <v/>
      </c>
      <c r="G97" s="26">
        <v>0</v>
      </c>
      <c r="H97" s="26">
        <v>0</v>
      </c>
      <c r="I97" s="26">
        <v>0</v>
      </c>
      <c r="J97" s="26" cm="1">
        <f t="array" ref="J97">IFERROR(MMS_PastureBeef_Soil_N2ODirect_Equations.VEERG_4_2_1_3__5_MilkProductionForCalvingSeason(E$87,$F97), 0)</f>
        <v>0</v>
      </c>
      <c r="K97" s="26" cm="1">
        <f t="array" ref="K97">IFERROR(MMS_PastureBeef_Soil_N2ODirect_Equations.VEERG_4_2_1_3__5_MilkProductionForCalvingSeason(F$87,$F97), 0)</f>
        <v>0</v>
      </c>
      <c r="L97" s="26" cm="1">
        <f t="array" ref="L97">IFERROR(MMS_PastureBeef_Soil_N2ODirect_Equations.VEERG_4_2_1_3__5_MilkProductionForCalvingSeason(G$87,$F97), 0)</f>
        <v>0</v>
      </c>
      <c r="M97" s="26">
        <v>0</v>
      </c>
      <c r="N97" s="26">
        <v>0</v>
      </c>
      <c r="O97" s="26">
        <v>0</v>
      </c>
      <c r="P97" s="26">
        <v>0</v>
      </c>
      <c r="Q97" s="27" t="str">
        <f t="shared" si="4"/>
        <v>kg/head/day</v>
      </c>
      <c r="U97" s="113" t="s">
        <v>435</v>
      </c>
    </row>
    <row r="98" spans="3:34" ht="20.100000000000001" customHeight="1" x14ac:dyDescent="0.25">
      <c r="D98" s="26" t="str">
        <f>INDEX(M1_Table_MA_j_k45,5,1)</f>
        <v>Winter</v>
      </c>
      <c r="E98" s="26" t="str" cm="1">
        <f t="array" ref="E98">_xlfn.IFS(D87=D98, "Calving season", D87=D97, "Season after calving", D87=D95, "", D87=D96, "")</f>
        <v>Calving season</v>
      </c>
      <c r="F98" s="26" cm="1">
        <f t="array" ref="F98">_xlfn.IFS(E98="Calving season", $I$80, E98="Season after calving", $I$81, E98="", "")</f>
        <v>6</v>
      </c>
      <c r="G98" s="26">
        <v>0</v>
      </c>
      <c r="H98" s="26">
        <v>0</v>
      </c>
      <c r="I98" s="26">
        <v>0</v>
      </c>
      <c r="J98" s="26" cm="1">
        <f t="array" ref="J98">IFERROR(MMS_PastureBeef_Soil_N2ODirect_Equations.VEERG_4_2_1_3__5_MilkProductionForCalvingSeason(E$87,$F98), 0)</f>
        <v>4.1999999999999993</v>
      </c>
      <c r="K98" s="26" cm="1">
        <f t="array" ref="K98">IFERROR(MMS_PastureBeef_Soil_N2ODirect_Equations.VEERG_4_2_1_3__5_MilkProductionForCalvingSeason(F$87,$F98), 0)</f>
        <v>3</v>
      </c>
      <c r="L98" s="26" cm="1">
        <f t="array" ref="L98">IFERROR(MMS_PastureBeef_Soil_N2ODirect_Equations.VEERG_4_2_1_3__5_MilkProductionForCalvingSeason(G$87,$F98), 0)</f>
        <v>3</v>
      </c>
      <c r="M98" s="26">
        <v>0</v>
      </c>
      <c r="N98" s="26">
        <v>0</v>
      </c>
      <c r="O98" s="26">
        <v>0</v>
      </c>
      <c r="P98" s="26">
        <v>0</v>
      </c>
      <c r="Q98" s="27" t="str">
        <f t="shared" si="4"/>
        <v>kg/head/day</v>
      </c>
      <c r="U98" s="114" t="s">
        <v>433</v>
      </c>
    </row>
    <row r="99" spans="3:34" ht="20.100000000000001" customHeight="1" x14ac:dyDescent="0.25">
      <c r="U99" s="115" t="s">
        <v>78</v>
      </c>
      <c r="V99" s="115" t="s">
        <v>212</v>
      </c>
      <c r="W99" s="115" t="s">
        <v>434</v>
      </c>
      <c r="X99" s="115" t="s">
        <v>189</v>
      </c>
      <c r="Y99" s="115" t="s">
        <v>190</v>
      </c>
      <c r="Z99" s="115" t="s">
        <v>191</v>
      </c>
      <c r="AA99" s="115" t="s">
        <v>192</v>
      </c>
      <c r="AB99" s="115" t="s">
        <v>193</v>
      </c>
      <c r="AC99" s="115" t="s">
        <v>194</v>
      </c>
      <c r="AD99" s="115" t="s">
        <v>195</v>
      </c>
      <c r="AE99" s="115" t="s">
        <v>196</v>
      </c>
      <c r="AF99" s="115" t="s">
        <v>197</v>
      </c>
      <c r="AG99" s="115" t="s">
        <v>198</v>
      </c>
    </row>
    <row r="100" spans="3:34" ht="20.100000000000001" customHeight="1" x14ac:dyDescent="0.25">
      <c r="U100" s="26" t="str">
        <f>TEXT('Input - Site'!$E$12,"mmmm")</f>
        <v>NO - Not in leaching zone</v>
      </c>
      <c r="V100" s="26" t="str" cm="1">
        <f t="array" ref="V100">IFERROR(_xlfn.IFS(SUMPRODUCT(ISNUMBER(SEARCH(TRIM(_xlfn.TEXTSPLIT($U$92,",")),U100))*1)&gt;0,"Calving season",SUMPRODUCT(ISNUMBER(SEARCH(TRIM(_xlfn.TEXTSPLIT($U$93,",")),U100))*1)&gt;0,"Season after calving"), "")</f>
        <v/>
      </c>
      <c r="W100" s="26" t="str" cm="1">
        <f t="array" ref="W100">_xlfn.IFS(V100="Calving season", $I$80, V100="Season after calving", $I$81, V100="", "")</f>
        <v/>
      </c>
      <c r="X100" s="26">
        <v>0</v>
      </c>
      <c r="Y100" s="26">
        <v>0</v>
      </c>
      <c r="Z100" s="26">
        <v>0</v>
      </c>
      <c r="AA100" s="26" cm="1">
        <f t="array" ref="AA100">IFERROR(MMS_PastureBeef_Soil_N2ODirect_Equations.VEERG_4_2_1_3__5_MilkProductionForCalvingSeason(V$92, $W100), 0)</f>
        <v>0</v>
      </c>
      <c r="AB100" s="26" cm="1">
        <f t="array" ref="AB100">IFERROR(MMS_PastureBeef_Soil_N2ODirect_Equations.VEERG_4_2_1_3__5_MilkProductionForCalvingSeason(W$92, $W100), 0)</f>
        <v>0</v>
      </c>
      <c r="AC100" s="26" cm="1">
        <f t="array" ref="AC100">IFERROR(MMS_PastureBeef_Soil_N2ODirect_Equations.VEERG_4_2_1_3__5_MilkProductionForCalvingSeason(X$92, $W100), 0)</f>
        <v>0</v>
      </c>
      <c r="AD100" s="26">
        <v>0</v>
      </c>
      <c r="AE100" s="26">
        <v>0</v>
      </c>
      <c r="AF100" s="26">
        <v>0</v>
      </c>
      <c r="AG100" s="26">
        <v>0</v>
      </c>
      <c r="AH100" s="27" t="str">
        <f t="shared" ref="AH100:AH111" si="5">$E$76</f>
        <v>kg/head/day</v>
      </c>
    </row>
    <row r="101" spans="3:34" ht="20.100000000000001" customHeight="1" x14ac:dyDescent="0.25">
      <c r="C101" s="117"/>
      <c r="D101" s="117"/>
      <c r="E101" s="117"/>
      <c r="F101" s="117"/>
      <c r="G101" s="117"/>
      <c r="H101" s="117"/>
      <c r="I101" s="117"/>
      <c r="J101" s="117"/>
      <c r="K101" s="117"/>
      <c r="L101" s="117"/>
      <c r="M101" s="117"/>
      <c r="N101" s="117"/>
      <c r="O101" s="117"/>
      <c r="P101" s="117"/>
      <c r="Q101" s="117"/>
      <c r="R101" s="117"/>
      <c r="U101" s="26" t="e">
        <f>TEXT(EDATE('Input - Site'!$E$12,1), "mmmm")</f>
        <v>#VALUE!</v>
      </c>
      <c r="V101" s="26" t="str" cm="1">
        <f t="array" ref="V101">IFERROR(_xlfn.IFS(SUMPRODUCT(ISNUMBER(SEARCH(TRIM(_xlfn.TEXTSPLIT($U$92,",")),U101))*1)&gt;0,"Calving season",SUMPRODUCT(ISNUMBER(SEARCH(TRIM(_xlfn.TEXTSPLIT($U$93,",")),U101))*1)&gt;0,"Season after calving"), "")</f>
        <v/>
      </c>
      <c r="W101" s="26" t="str" cm="1">
        <f t="array" ref="W101">_xlfn.IFS(V101="Calving season", $I$80, V101="Season after calving", $I$81, V101="", "")</f>
        <v/>
      </c>
      <c r="X101" s="26">
        <v>0</v>
      </c>
      <c r="Y101" s="26">
        <v>0</v>
      </c>
      <c r="Z101" s="26">
        <v>0</v>
      </c>
      <c r="AA101" s="26" cm="1">
        <f t="array" ref="AA101">IFERROR(MMS_PastureBeef_Soil_N2ODirect_Equations.VEERG_4_2_1_3__5_MilkProductionForCalvingSeason(V$92, $W101), 0)</f>
        <v>0</v>
      </c>
      <c r="AB101" s="26" cm="1">
        <f t="array" ref="AB101">IFERROR(MMS_PastureBeef_Soil_N2ODirect_Equations.VEERG_4_2_1_3__5_MilkProductionForCalvingSeason(W$92, $W101), 0)</f>
        <v>0</v>
      </c>
      <c r="AC101" s="26" cm="1">
        <f t="array" ref="AC101">IFERROR(MMS_PastureBeef_Soil_N2ODirect_Equations.VEERG_4_2_1_3__5_MilkProductionForCalvingSeason(X$92, $W101), 0)</f>
        <v>0</v>
      </c>
      <c r="AD101" s="26">
        <v>0</v>
      </c>
      <c r="AE101" s="26">
        <v>0</v>
      </c>
      <c r="AF101" s="26">
        <v>0</v>
      </c>
      <c r="AG101" s="26">
        <v>0</v>
      </c>
      <c r="AH101" s="27"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6" t="e">
        <f>TEXT(EDATE('Input - Site'!$E$12,2), "mmmm")</f>
        <v>#VALUE!</v>
      </c>
      <c r="V102" s="26" t="str" cm="1">
        <f t="array" ref="V102">IFERROR(_xlfn.IFS(SUMPRODUCT(ISNUMBER(SEARCH(TRIM(_xlfn.TEXTSPLIT($U$92,",")),U102))*1)&gt;0,"Calving season",SUMPRODUCT(ISNUMBER(SEARCH(TRIM(_xlfn.TEXTSPLIT($U$93,",")),U102))*1)&gt;0,"Season after calving"), "")</f>
        <v/>
      </c>
      <c r="W102" s="26" t="str" cm="1">
        <f t="array" ref="W102">_xlfn.IFS(V102="Calving season", $I$80, V102="Season after calving", $I$81, V102="", "")</f>
        <v/>
      </c>
      <c r="X102" s="26">
        <v>0</v>
      </c>
      <c r="Y102" s="26">
        <v>0</v>
      </c>
      <c r="Z102" s="26">
        <v>0</v>
      </c>
      <c r="AA102" s="26" cm="1">
        <f t="array" ref="AA102">IFERROR(MMS_PastureBeef_Soil_N2ODirect_Equations.VEERG_4_2_1_3__5_MilkProductionForCalvingSeason(V$92, $W102), 0)</f>
        <v>0</v>
      </c>
      <c r="AB102" s="26" cm="1">
        <f t="array" ref="AB102">IFERROR(MMS_PastureBeef_Soil_N2ODirect_Equations.VEERG_4_2_1_3__5_MilkProductionForCalvingSeason(W$92, $W102), 0)</f>
        <v>0</v>
      </c>
      <c r="AC102" s="26" cm="1">
        <f t="array" ref="AC102">IFERROR(MMS_PastureBeef_Soil_N2ODirect_Equations.VEERG_4_2_1_3__5_MilkProductionForCalvingSeason(X$92, $W102), 0)</f>
        <v>0</v>
      </c>
      <c r="AD102" s="26">
        <v>0</v>
      </c>
      <c r="AE102" s="26">
        <v>0</v>
      </c>
      <c r="AF102" s="26">
        <v>0</v>
      </c>
      <c r="AG102" s="26">
        <v>0</v>
      </c>
      <c r="AH102" s="27" t="str">
        <f t="shared" si="5"/>
        <v>kg/head/day</v>
      </c>
    </row>
    <row r="103" spans="3:34" ht="20.100000000000001" customHeight="1" x14ac:dyDescent="0.25">
      <c r="D103" s="28" t="str" cm="1">
        <f t="array" ref="D103">MMS_PastureBeef_Soil_N2ODirect_Equations.VEERG_4_2_1_3__4_NitrogenRetainedByBody_Source()</f>
        <v>VEERG 2026: 4.2.1.3, Equation (4)</v>
      </c>
      <c r="U103" s="26" t="e">
        <f>TEXT(EDATE('Input - Site'!$E$12,3), "mmmm")</f>
        <v>#VALUE!</v>
      </c>
      <c r="V103" s="26" t="str" cm="1">
        <f t="array" ref="V103">IFERROR(_xlfn.IFS(SUMPRODUCT(ISNUMBER(SEARCH(TRIM(_xlfn.TEXTSPLIT($U$92,",")),U103))*1)&gt;0,"Calving season",SUMPRODUCT(ISNUMBER(SEARCH(TRIM(_xlfn.TEXTSPLIT($U$93,",")),U103))*1)&gt;0,"Season after calving"), "")</f>
        <v/>
      </c>
      <c r="W103" s="26" t="str" cm="1">
        <f t="array" ref="W103">_xlfn.IFS(V103="Calving season", $I$80, V103="Season after calving", $I$81, V103="", "")</f>
        <v/>
      </c>
      <c r="X103" s="26">
        <v>0</v>
      </c>
      <c r="Y103" s="26">
        <v>0</v>
      </c>
      <c r="Z103" s="26">
        <v>0</v>
      </c>
      <c r="AA103" s="26" cm="1">
        <f t="array" ref="AA103">IFERROR(MMS_PastureBeef_Soil_N2ODirect_Equations.VEERG_4_2_1_3__5_MilkProductionForCalvingSeason(V$92, $W103), 0)</f>
        <v>0</v>
      </c>
      <c r="AB103" s="26" cm="1">
        <f t="array" ref="AB103">IFERROR(MMS_PastureBeef_Soil_N2ODirect_Equations.VEERG_4_2_1_3__5_MilkProductionForCalvingSeason(W$92, $W103), 0)</f>
        <v>0</v>
      </c>
      <c r="AC103" s="26" cm="1">
        <f t="array" ref="AC103">IFERROR(MMS_PastureBeef_Soil_N2ODirect_Equations.VEERG_4_2_1_3__5_MilkProductionForCalvingSeason(X$92, $W103), 0)</f>
        <v>0</v>
      </c>
      <c r="AD103" s="26">
        <v>0</v>
      </c>
      <c r="AE103" s="26">
        <v>0</v>
      </c>
      <c r="AF103" s="26">
        <v>0</v>
      </c>
      <c r="AG103" s="26">
        <v>0</v>
      </c>
      <c r="AH103" s="27" t="str">
        <f t="shared" si="5"/>
        <v>kg/head/day</v>
      </c>
    </row>
    <row r="104" spans="3:34" ht="20.100000000000001" customHeight="1" x14ac:dyDescent="0.25">
      <c r="D104" s="104" t="s">
        <v>257</v>
      </c>
      <c r="E104" s="104" t="str" cm="1">
        <f t="array" aca="1" ref="E104" ca="1">Common_InputFunctions.Utility_DisplayFunctionName(E127)</f>
        <v>=MMS_PastureBeef_Soil_N2ODirect_Equations.VEERG_4_2_1_3__4_NitrogenRetainedByBody</v>
      </c>
      <c r="U104" s="26" t="e">
        <f>TEXT(EDATE('Input - Site'!$E$12,4), "mmmm")</f>
        <v>#VALUE!</v>
      </c>
      <c r="V104" s="26" t="str" cm="1">
        <f t="array" ref="V104">IFERROR(_xlfn.IFS(SUMPRODUCT(ISNUMBER(SEARCH(TRIM(_xlfn.TEXTSPLIT($U$92,",")),U104))*1)&gt;0,"Calving season",SUMPRODUCT(ISNUMBER(SEARCH(TRIM(_xlfn.TEXTSPLIT($U$93,",")),U104))*1)&gt;0,"Season after calving"), "")</f>
        <v/>
      </c>
      <c r="W104" s="26" t="str" cm="1">
        <f t="array" ref="W104">_xlfn.IFS(V104="Calving season", $I$80, V104="Season after calving", $I$81, V104="", "")</f>
        <v/>
      </c>
      <c r="X104" s="26">
        <v>0</v>
      </c>
      <c r="Y104" s="26">
        <v>0</v>
      </c>
      <c r="Z104" s="26">
        <v>0</v>
      </c>
      <c r="AA104" s="26" cm="1">
        <f t="array" ref="AA104">IFERROR(MMS_PastureBeef_Soil_N2ODirect_Equations.VEERG_4_2_1_3__5_MilkProductionForCalvingSeason(V$92, $W104), 0)</f>
        <v>0</v>
      </c>
      <c r="AB104" s="26" cm="1">
        <f t="array" ref="AB104">IFERROR(MMS_PastureBeef_Soil_N2ODirect_Equations.VEERG_4_2_1_3__5_MilkProductionForCalvingSeason(W$92, $W104), 0)</f>
        <v>0</v>
      </c>
      <c r="AC104" s="26" cm="1">
        <f t="array" ref="AC104">IFERROR(MMS_PastureBeef_Soil_N2ODirect_Equations.VEERG_4_2_1_3__5_MilkProductionForCalvingSeason(X$92, $W104), 0)</f>
        <v>0</v>
      </c>
      <c r="AD104" s="26">
        <v>0</v>
      </c>
      <c r="AE104" s="26">
        <v>0</v>
      </c>
      <c r="AF104" s="26">
        <v>0</v>
      </c>
      <c r="AG104" s="26">
        <v>0</v>
      </c>
      <c r="AH104" s="27" t="str">
        <f t="shared" si="5"/>
        <v>kg/head/day</v>
      </c>
    </row>
    <row r="105" spans="3:34" ht="20.100000000000001" customHeight="1" x14ac:dyDescent="0.25">
      <c r="U105" s="26" t="e">
        <f>TEXT(EDATE('Input - Site'!$E$12,5), "mmmm")</f>
        <v>#VALUE!</v>
      </c>
      <c r="V105" s="26" t="str" cm="1">
        <f t="array" ref="V105">IFERROR(_xlfn.IFS(SUMPRODUCT(ISNUMBER(SEARCH(TRIM(_xlfn.TEXTSPLIT($U$92,",")),U105))*1)&gt;0,"Calving season",SUMPRODUCT(ISNUMBER(SEARCH(TRIM(_xlfn.TEXTSPLIT($U$93,",")),U105))*1)&gt;0,"Season after calving"), "")</f>
        <v/>
      </c>
      <c r="W105" s="26" t="str" cm="1">
        <f t="array" ref="W105">_xlfn.IFS(V105="Calving season", $I$80, V105="Season after calving", $I$81, V105="", "")</f>
        <v/>
      </c>
      <c r="X105" s="26">
        <v>0</v>
      </c>
      <c r="Y105" s="26">
        <v>0</v>
      </c>
      <c r="Z105" s="26">
        <v>0</v>
      </c>
      <c r="AA105" s="26" cm="1">
        <f t="array" ref="AA105">IFERROR(MMS_PastureBeef_Soil_N2ODirect_Equations.VEERG_4_2_1_3__5_MilkProductionForCalvingSeason(V$92, $W105), 0)</f>
        <v>0</v>
      </c>
      <c r="AB105" s="26" cm="1">
        <f t="array" ref="AB105">IFERROR(MMS_PastureBeef_Soil_N2ODirect_Equations.VEERG_4_2_1_3__5_MilkProductionForCalvingSeason(W$92, $W105), 0)</f>
        <v>0</v>
      </c>
      <c r="AC105" s="26" cm="1">
        <f t="array" ref="AC105">IFERROR(MMS_PastureBeef_Soil_N2ODirect_Equations.VEERG_4_2_1_3__5_MilkProductionForCalvingSeason(X$92, $W105), 0)</f>
        <v>0</v>
      </c>
      <c r="AD105" s="26">
        <v>0</v>
      </c>
      <c r="AE105" s="26">
        <v>0</v>
      </c>
      <c r="AF105" s="26">
        <v>0</v>
      </c>
      <c r="AG105" s="26">
        <v>0</v>
      </c>
      <c r="AH105" s="27" t="str">
        <f t="shared" si="5"/>
        <v>kg/head/day</v>
      </c>
    </row>
    <row r="106" spans="3:34" ht="20.100000000000001" customHeight="1" x14ac:dyDescent="0.25">
      <c r="U106" s="26" t="e">
        <f>TEXT(EDATE('Input - Site'!$E$12,6), "mmmm")</f>
        <v>#VALUE!</v>
      </c>
      <c r="V106" s="26" t="str" cm="1">
        <f t="array" ref="V106">IFERROR(_xlfn.IFS(SUMPRODUCT(ISNUMBER(SEARCH(TRIM(_xlfn.TEXTSPLIT($U$92,",")),U106))*1)&gt;0,"Calving season",SUMPRODUCT(ISNUMBER(SEARCH(TRIM(_xlfn.TEXTSPLIT($U$93,",")),U106))*1)&gt;0,"Season after calving"), "")</f>
        <v/>
      </c>
      <c r="W106" s="26" t="str" cm="1">
        <f t="array" ref="W106">_xlfn.IFS(V106="Calving season", $I$80, V106="Season after calving", $I$81, V106="", "")</f>
        <v/>
      </c>
      <c r="X106" s="26">
        <v>0</v>
      </c>
      <c r="Y106" s="26">
        <v>0</v>
      </c>
      <c r="Z106" s="26">
        <v>0</v>
      </c>
      <c r="AA106" s="26" cm="1">
        <f t="array" ref="AA106">IFERROR(MMS_PastureBeef_Soil_N2ODirect_Equations.VEERG_4_2_1_3__5_MilkProductionForCalvingSeason(V$92, $W106), 0)</f>
        <v>0</v>
      </c>
      <c r="AB106" s="26" cm="1">
        <f t="array" ref="AB106">IFERROR(MMS_PastureBeef_Soil_N2ODirect_Equations.VEERG_4_2_1_3__5_MilkProductionForCalvingSeason(W$92, $W106), 0)</f>
        <v>0</v>
      </c>
      <c r="AC106" s="26" cm="1">
        <f t="array" ref="AC106">IFERROR(MMS_PastureBeef_Soil_N2ODirect_Equations.VEERG_4_2_1_3__5_MilkProductionForCalvingSeason(X$92, $W106), 0)</f>
        <v>0</v>
      </c>
      <c r="AD106" s="26">
        <v>0</v>
      </c>
      <c r="AE106" s="26">
        <v>0</v>
      </c>
      <c r="AF106" s="26">
        <v>0</v>
      </c>
      <c r="AG106" s="26">
        <v>0</v>
      </c>
      <c r="AH106" s="27" t="str">
        <f t="shared" si="5"/>
        <v>kg/head/day</v>
      </c>
    </row>
    <row r="107" spans="3:34" ht="20.100000000000001" customHeight="1" x14ac:dyDescent="0.25">
      <c r="U107" s="26" t="e">
        <f>TEXT(EDATE('Input - Site'!$E$12,7), "mmmm")</f>
        <v>#VALUE!</v>
      </c>
      <c r="V107" s="26" t="str" cm="1">
        <f t="array" ref="V107">IFERROR(_xlfn.IFS(SUMPRODUCT(ISNUMBER(SEARCH(TRIM(_xlfn.TEXTSPLIT($U$92,",")),U107))*1)&gt;0,"Calving season",SUMPRODUCT(ISNUMBER(SEARCH(TRIM(_xlfn.TEXTSPLIT($U$93,",")),U107))*1)&gt;0,"Season after calving"), "")</f>
        <v/>
      </c>
      <c r="W107" s="26" t="str" cm="1">
        <f t="array" ref="W107">_xlfn.IFS(V107="Calving season", $I$80, V107="Season after calving", $I$81, V107="", "")</f>
        <v/>
      </c>
      <c r="X107" s="26">
        <v>0</v>
      </c>
      <c r="Y107" s="26">
        <v>0</v>
      </c>
      <c r="Z107" s="26">
        <v>0</v>
      </c>
      <c r="AA107" s="26" cm="1">
        <f t="array" ref="AA107">IFERROR(MMS_PastureBeef_Soil_N2ODirect_Equations.VEERG_4_2_1_3__5_MilkProductionForCalvingSeason(V$92, $W107), 0)</f>
        <v>0</v>
      </c>
      <c r="AB107" s="26" cm="1">
        <f t="array" ref="AB107">IFERROR(MMS_PastureBeef_Soil_N2ODirect_Equations.VEERG_4_2_1_3__5_MilkProductionForCalvingSeason(W$92, $W107), 0)</f>
        <v>0</v>
      </c>
      <c r="AC107" s="26" cm="1">
        <f t="array" ref="AC107">IFERROR(MMS_PastureBeef_Soil_N2ODirect_Equations.VEERG_4_2_1_3__5_MilkProductionForCalvingSeason(X$92, $W107), 0)</f>
        <v>0</v>
      </c>
      <c r="AD107" s="26">
        <v>0</v>
      </c>
      <c r="AE107" s="26">
        <v>0</v>
      </c>
      <c r="AF107" s="26">
        <v>0</v>
      </c>
      <c r="AG107" s="26">
        <v>0</v>
      </c>
      <c r="AH107" s="27" t="str">
        <f t="shared" si="5"/>
        <v>kg/head/day</v>
      </c>
    </row>
    <row r="108" spans="3:34" ht="20.100000000000001" customHeight="1" x14ac:dyDescent="0.25">
      <c r="D108" s="89" t="s">
        <v>259</v>
      </c>
      <c r="E108" s="1" t="str" cm="1">
        <f t="array" ref="E108">MMS_PastureBeef_Soil_N2ODirect_Equations.VEERG_4_2_1_3__4_NitrogenRetainedByBody_Variable()</f>
        <v>NR_jkl</v>
      </c>
      <c r="U108" s="26" t="e">
        <f>TEXT(EDATE('Input - Site'!$E$12,8), "mmmm")</f>
        <v>#VALUE!</v>
      </c>
      <c r="V108" s="26" t="str" cm="1">
        <f t="array" ref="V108">IFERROR(_xlfn.IFS(SUMPRODUCT(ISNUMBER(SEARCH(TRIM(_xlfn.TEXTSPLIT($U$92,",")),U108))*1)&gt;0,"Calving season",SUMPRODUCT(ISNUMBER(SEARCH(TRIM(_xlfn.TEXTSPLIT($U$93,",")),U108))*1)&gt;0,"Season after calving"), "")</f>
        <v/>
      </c>
      <c r="W108" s="26" t="str" cm="1">
        <f t="array" ref="W108">_xlfn.IFS(V108="Calving season", $I$80, V108="Season after calving", $I$81, V108="", "")</f>
        <v/>
      </c>
      <c r="X108" s="26">
        <v>0</v>
      </c>
      <c r="Y108" s="26">
        <v>0</v>
      </c>
      <c r="Z108" s="26">
        <v>0</v>
      </c>
      <c r="AA108" s="26" cm="1">
        <f t="array" ref="AA108">IFERROR(MMS_PastureBeef_Soil_N2ODirect_Equations.VEERG_4_2_1_3__5_MilkProductionForCalvingSeason(V$92, $W108), 0)</f>
        <v>0</v>
      </c>
      <c r="AB108" s="26" cm="1">
        <f t="array" ref="AB108">IFERROR(MMS_PastureBeef_Soil_N2ODirect_Equations.VEERG_4_2_1_3__5_MilkProductionForCalvingSeason(W$92, $W108), 0)</f>
        <v>0</v>
      </c>
      <c r="AC108" s="26" cm="1">
        <f t="array" ref="AC108">IFERROR(MMS_PastureBeef_Soil_N2ODirect_Equations.VEERG_4_2_1_3__5_MilkProductionForCalvingSeason(X$92, $W108), 0)</f>
        <v>0</v>
      </c>
      <c r="AD108" s="26">
        <v>0</v>
      </c>
      <c r="AE108" s="26">
        <v>0</v>
      </c>
      <c r="AF108" s="26">
        <v>0</v>
      </c>
      <c r="AG108" s="26">
        <v>0</v>
      </c>
      <c r="AH108" s="27" t="str">
        <f t="shared" si="5"/>
        <v>kg/head/day</v>
      </c>
    </row>
    <row r="109" spans="3:34" ht="20.100000000000001" customHeight="1" x14ac:dyDescent="0.25">
      <c r="D109" s="89" t="s">
        <v>133</v>
      </c>
      <c r="E109" s="15" t="str" cm="1">
        <f t="array" ref="E109">MMS_PastureBeef_Soil_N2ODirect_Equations.VEERG_4_2_1_3__4_NitrogenRetainedByBody_Unit()</f>
        <v>kg N/head/day</v>
      </c>
      <c r="U109" s="26" t="e">
        <f>TEXT(EDATE('Input - Site'!$E$12,9), "mmmm")</f>
        <v>#VALUE!</v>
      </c>
      <c r="V109" s="26" t="str" cm="1">
        <f t="array" ref="V109">IFERROR(_xlfn.IFS(SUMPRODUCT(ISNUMBER(SEARCH(TRIM(_xlfn.TEXTSPLIT($U$92,",")),U109))*1)&gt;0,"Calving season",SUMPRODUCT(ISNUMBER(SEARCH(TRIM(_xlfn.TEXTSPLIT($U$93,",")),U109))*1)&gt;0,"Season after calving"), "")</f>
        <v/>
      </c>
      <c r="W109" s="26" t="str" cm="1">
        <f t="array" ref="W109">_xlfn.IFS(V109="Calving season", $I$80, V109="Season after calving", $I$81, V109="", "")</f>
        <v/>
      </c>
      <c r="X109" s="26">
        <v>0</v>
      </c>
      <c r="Y109" s="26">
        <v>0</v>
      </c>
      <c r="Z109" s="26">
        <v>0</v>
      </c>
      <c r="AA109" s="26" cm="1">
        <f t="array" ref="AA109">IFERROR(MMS_PastureBeef_Soil_N2ODirect_Equations.VEERG_4_2_1_3__5_MilkProductionForCalvingSeason(V$92, $W109), 0)</f>
        <v>0</v>
      </c>
      <c r="AB109" s="26" cm="1">
        <f t="array" ref="AB109">IFERROR(MMS_PastureBeef_Soil_N2ODirect_Equations.VEERG_4_2_1_3__5_MilkProductionForCalvingSeason(W$92, $W109), 0)</f>
        <v>0</v>
      </c>
      <c r="AC109" s="26" cm="1">
        <f t="array" ref="AC109">IFERROR(MMS_PastureBeef_Soil_N2ODirect_Equations.VEERG_4_2_1_3__5_MilkProductionForCalvingSeason(X$92, $W109), 0)</f>
        <v>0</v>
      </c>
      <c r="AD109" s="26">
        <v>0</v>
      </c>
      <c r="AE109" s="26">
        <v>0</v>
      </c>
      <c r="AF109" s="26">
        <v>0</v>
      </c>
      <c r="AG109" s="26">
        <v>0</v>
      </c>
      <c r="AH109" s="27" t="str">
        <f t="shared" si="5"/>
        <v>kg/head/day</v>
      </c>
    </row>
    <row r="110" spans="3:34" ht="20.100000000000001" customHeight="1" x14ac:dyDescent="0.25">
      <c r="U110" s="26" t="e">
        <f>TEXT(EDATE('Input - Site'!$E$12,10), "mmmm")</f>
        <v>#VALUE!</v>
      </c>
      <c r="V110" s="26" t="str" cm="1">
        <f t="array" ref="V110">IFERROR(_xlfn.IFS(SUMPRODUCT(ISNUMBER(SEARCH(TRIM(_xlfn.TEXTSPLIT($U$92,",")),U110))*1)&gt;0,"Calving season",SUMPRODUCT(ISNUMBER(SEARCH(TRIM(_xlfn.TEXTSPLIT($U$93,",")),U110))*1)&gt;0,"Season after calving"), "")</f>
        <v/>
      </c>
      <c r="W110" s="26" t="str" cm="1">
        <f t="array" ref="W110">_xlfn.IFS(V110="Calving season", $I$80, V110="Season after calving", $I$81, V110="", "")</f>
        <v/>
      </c>
      <c r="X110" s="26">
        <v>0</v>
      </c>
      <c r="Y110" s="26">
        <v>0</v>
      </c>
      <c r="Z110" s="26">
        <v>0</v>
      </c>
      <c r="AA110" s="26" cm="1">
        <f t="array" ref="AA110">IFERROR(MMS_PastureBeef_Soil_N2ODirect_Equations.VEERG_4_2_1_3__5_MilkProductionForCalvingSeason(V$92, $W110), 0)</f>
        <v>0</v>
      </c>
      <c r="AB110" s="26" cm="1">
        <f t="array" ref="AB110">IFERROR(MMS_PastureBeef_Soil_N2ODirect_Equations.VEERG_4_2_1_3__5_MilkProductionForCalvingSeason(W$92, $W110), 0)</f>
        <v>0</v>
      </c>
      <c r="AC110" s="26" cm="1">
        <f t="array" ref="AC110">IFERROR(MMS_PastureBeef_Soil_N2ODirect_Equations.VEERG_4_2_1_3__5_MilkProductionForCalvingSeason(X$92, $W110), 0)</f>
        <v>0</v>
      </c>
      <c r="AD110" s="26">
        <v>0</v>
      </c>
      <c r="AE110" s="26">
        <v>0</v>
      </c>
      <c r="AF110" s="26">
        <v>0</v>
      </c>
      <c r="AG110" s="26">
        <v>0</v>
      </c>
      <c r="AH110" s="27" t="str">
        <f t="shared" si="5"/>
        <v>kg/head/day</v>
      </c>
    </row>
    <row r="111" spans="3:34" ht="20.100000000000001" customHeight="1" x14ac:dyDescent="0.25">
      <c r="D111" s="106" t="str" cm="1">
        <f t="array" ref="D111:E114">_xlfn.CHOOSECOLS(MMS_PastureBeef_Soil_N2ODirect_Equations.VEERG_4_2_1_3__4_NitrogenRetainedByBody_Arguments(),1,2)</f>
        <v>MP_jk5</v>
      </c>
      <c r="E111" s="107" t="str">
        <v>milk production (kg/head/day)</v>
      </c>
      <c r="F111" s="109"/>
      <c r="G111" s="106" t="str" cm="1">
        <f t="array" ref="G111:H114">_xlfn.CHOOSECOLS(MMS_PastureBeef_Soil_N2ODirect_Equations.VEERG_4_2_1_3__4_NitrogenRetainedByBody_Arguments(),3,4)</f>
        <v>kg/head/day</v>
      </c>
      <c r="H111" s="111" t="str">
        <v>Calculated from 4.2.1.3 (5)</v>
      </c>
      <c r="I111" s="112" t="str" cm="1">
        <f t="array" aca="1" ref="I111" ca="1">HYPERLINK(Common_InputFunctions.Utility_SourceHyperlinkDifferentSheet($D$92), $D$92)</f>
        <v>M1_Table_MP_j_k-4-5</v>
      </c>
      <c r="U111" s="26" t="e">
        <f>TEXT(EDATE('Input - Site'!$E$12,11), "mmmm")</f>
        <v>#VALUE!</v>
      </c>
      <c r="V111" s="26" t="str" cm="1">
        <f t="array" ref="V111">IFERROR(_xlfn.IFS(SUMPRODUCT(ISNUMBER(SEARCH(TRIM(_xlfn.TEXTSPLIT($U$92,",")),U111))*1)&gt;0,"Calving season",SUMPRODUCT(ISNUMBER(SEARCH(TRIM(_xlfn.TEXTSPLIT($U$93,",")),U111))*1)&gt;0,"Season after calving"), "")</f>
        <v/>
      </c>
      <c r="W111" s="26" t="str" cm="1">
        <f t="array" ref="W111">_xlfn.IFS(V111="Calving season", $I$80, V111="Season after calving", $I$81, V111="", "")</f>
        <v/>
      </c>
      <c r="X111" s="26">
        <v>0</v>
      </c>
      <c r="Y111" s="26">
        <v>0</v>
      </c>
      <c r="Z111" s="26">
        <v>0</v>
      </c>
      <c r="AA111" s="26" cm="1">
        <f t="array" ref="AA111">IFERROR(MMS_PastureBeef_Soil_N2ODirect_Equations.VEERG_4_2_1_3__5_MilkProductionForCalvingSeason(V$92, $W111), 0)</f>
        <v>0</v>
      </c>
      <c r="AB111" s="26" cm="1">
        <f t="array" ref="AB111">IFERROR(MMS_PastureBeef_Soil_N2ODirect_Equations.VEERG_4_2_1_3__5_MilkProductionForCalvingSeason(W$92, $W111), 0)</f>
        <v>0</v>
      </c>
      <c r="AC111" s="26" cm="1">
        <f t="array" ref="AC111">IFERROR(MMS_PastureBeef_Soil_N2ODirect_Equations.VEERG_4_2_1_3__5_MilkProductionForCalvingSeason(X$92, $W111), 0)</f>
        <v>0</v>
      </c>
      <c r="AD111" s="26">
        <v>0</v>
      </c>
      <c r="AE111" s="26">
        <v>0</v>
      </c>
      <c r="AF111" s="26">
        <v>0</v>
      </c>
      <c r="AG111" s="26">
        <v>0</v>
      </c>
      <c r="AH111" s="27" t="str">
        <f t="shared" si="5"/>
        <v>kg/head/day</v>
      </c>
    </row>
    <row r="112" spans="3:34" ht="20.100000000000001" customHeight="1" x14ac:dyDescent="0.25">
      <c r="D112" s="106" t="str">
        <v>L_jkl</v>
      </c>
      <c r="E112" s="107" t="str">
        <v>intake relative to that needed for maintenance</v>
      </c>
      <c r="F112" s="109"/>
      <c r="G112" s="106" t="str">
        <v/>
      </c>
      <c r="H112" s="111" t="str">
        <v>Calculated from 4.2.1.3 (6)</v>
      </c>
      <c r="I112" s="112" t="str" cm="1">
        <f t="array" aca="1" ref="I112" ca="1">HYPERLINK(Common_InputFunctions.Utility_SourceHyperlink($D$59), $D$59)</f>
        <v>M1_Table_L_j_k_l</v>
      </c>
    </row>
    <row r="113" spans="4:35" ht="20.100000000000001" customHeight="1" x14ac:dyDescent="0.25">
      <c r="D113" s="106" t="str">
        <v>Z_jkl</v>
      </c>
      <c r="E113" s="107" t="str">
        <v>relative size</v>
      </c>
      <c r="F113" s="109"/>
      <c r="G113" s="106" t="str">
        <v/>
      </c>
      <c r="H113" s="111" t="str">
        <v>Calculated from 4.2.1.3 (7)</v>
      </c>
      <c r="I113" s="112" t="str" cm="1">
        <f t="array" aca="1" ref="I113" ca="1">HYPERLINK(Common_InputFunctions.Utility_SourceHyperlink($D$30), $D$30)</f>
        <v>M1_Table_Z_j_k_l</v>
      </c>
    </row>
    <row r="114" spans="4:35" ht="20.100000000000001" customHeight="1" x14ac:dyDescent="0.25">
      <c r="D114" s="106" t="str">
        <v>LWG_jkl</v>
      </c>
      <c r="E114" s="107" t="str">
        <v>liveweight gain (kg/head/day)</v>
      </c>
      <c r="F114" s="109"/>
      <c r="G114" s="106" t="str">
        <v>kg/head/day</v>
      </c>
      <c r="H114" s="110" t="str">
        <v>Input</v>
      </c>
      <c r="I114" s="112" t="str" cm="1">
        <f t="array" aca="1" ref="I114" ca="1">HYPERLINK(Common_InputFunctions.Utility_SourceHyperlink($D$116), $D$116)</f>
        <v>M1_Table_LWG_j_k_l</v>
      </c>
      <c r="T114" s="117"/>
      <c r="U114" s="117"/>
      <c r="V114" s="117"/>
      <c r="W114" s="117"/>
      <c r="X114" s="117"/>
      <c r="Y114" s="117"/>
      <c r="Z114" s="117"/>
      <c r="AA114" s="117"/>
      <c r="AB114" s="117"/>
      <c r="AC114" s="117"/>
      <c r="AD114" s="117"/>
      <c r="AE114" s="117"/>
      <c r="AF114" s="117"/>
      <c r="AG114" s="117"/>
      <c r="AH114" s="117"/>
      <c r="AI114" s="117"/>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3" t="s">
        <v>274</v>
      </c>
    </row>
    <row r="117" spans="4:35" ht="20.100000000000001" customHeight="1" x14ac:dyDescent="0.25">
      <c r="D117" s="114" t="s">
        <v>275</v>
      </c>
      <c r="U117" s="113" t="s">
        <v>276</v>
      </c>
    </row>
    <row r="118" spans="4:35" ht="20.100000000000001" customHeight="1" x14ac:dyDescent="0.25">
      <c r="D118" s="115" t="s">
        <v>79</v>
      </c>
      <c r="E118" s="116" t="s">
        <v>189</v>
      </c>
      <c r="F118" s="116" t="s">
        <v>190</v>
      </c>
      <c r="G118" s="116" t="s">
        <v>191</v>
      </c>
      <c r="H118" s="116" t="s">
        <v>192</v>
      </c>
      <c r="I118" s="116" t="s">
        <v>193</v>
      </c>
      <c r="J118" s="116" t="s">
        <v>194</v>
      </c>
      <c r="K118" s="116" t="s">
        <v>195</v>
      </c>
      <c r="L118" s="116" t="s">
        <v>196</v>
      </c>
      <c r="M118" s="116" t="s">
        <v>197</v>
      </c>
      <c r="N118" s="116" t="s">
        <v>198</v>
      </c>
      <c r="U118" s="114" t="s">
        <v>277</v>
      </c>
    </row>
    <row r="119" spans="4:35" ht="20.100000000000001" customHeight="1" x14ac:dyDescent="0.25">
      <c r="D119" s="26" t="str">
        <f>INDEX(X_Table_PastureBeef_LiveweightGain_Method1,2,1)</f>
        <v>Spring</v>
      </c>
      <c r="E119" s="26" t="e" cm="1">
        <f t="array" aca="1" ref="E119:N122" ca="1">OFFSET(X_Table_PastureBeef_LiveweightGain_Method1, 1,1, 4,10)</f>
        <v>#N/A</v>
      </c>
      <c r="F119" s="26" t="e">
        <f ca="1"/>
        <v>#N/A</v>
      </c>
      <c r="G119" s="26" t="e">
        <f ca="1"/>
        <v>#N/A</v>
      </c>
      <c r="H119" s="26" t="e">
        <f ca="1"/>
        <v>#N/A</v>
      </c>
      <c r="I119" s="26" t="e">
        <f ca="1"/>
        <v>#N/A</v>
      </c>
      <c r="J119" s="26" t="e">
        <f ca="1"/>
        <v>#N/A</v>
      </c>
      <c r="K119" s="26" t="e">
        <f ca="1"/>
        <v>#N/A</v>
      </c>
      <c r="L119" s="26" t="e">
        <f ca="1"/>
        <v>#N/A</v>
      </c>
      <c r="M119" s="26" t="e">
        <f ca="1"/>
        <v>#N/A</v>
      </c>
      <c r="N119" s="26" t="e">
        <f ca="1"/>
        <v>#N/A</v>
      </c>
      <c r="O119" s="27" t="s">
        <v>208</v>
      </c>
      <c r="U119" s="115" t="s">
        <v>78</v>
      </c>
      <c r="V119" s="116" t="s">
        <v>189</v>
      </c>
      <c r="W119" s="116" t="s">
        <v>190</v>
      </c>
      <c r="X119" s="116" t="s">
        <v>191</v>
      </c>
      <c r="Y119" s="116" t="s">
        <v>192</v>
      </c>
      <c r="Z119" s="116" t="s">
        <v>193</v>
      </c>
      <c r="AA119" s="116" t="s">
        <v>194</v>
      </c>
      <c r="AB119" s="116" t="s">
        <v>195</v>
      </c>
      <c r="AC119" s="116" t="s">
        <v>196</v>
      </c>
      <c r="AD119" s="116" t="s">
        <v>197</v>
      </c>
      <c r="AE119" s="116" t="s">
        <v>198</v>
      </c>
    </row>
    <row r="120" spans="4:35" ht="20.100000000000001" customHeight="1" x14ac:dyDescent="0.25">
      <c r="D120" s="26" t="str">
        <f>INDEX(X_Table_PastureBeef_LiveweightGain_Method1,3,1)</f>
        <v>Summer</v>
      </c>
      <c r="E120" s="26" t="e">
        <f ca="1"/>
        <v>#N/A</v>
      </c>
      <c r="F120" s="26" t="e">
        <f ca="1"/>
        <v>#N/A</v>
      </c>
      <c r="G120" s="26" t="e">
        <f ca="1"/>
        <v>#N/A</v>
      </c>
      <c r="H120" s="26" t="e">
        <f ca="1"/>
        <v>#N/A</v>
      </c>
      <c r="I120" s="26" t="e">
        <f ca="1"/>
        <v>#N/A</v>
      </c>
      <c r="J120" s="26" t="e">
        <f ca="1"/>
        <v>#N/A</v>
      </c>
      <c r="K120" s="26" t="e">
        <f ca="1"/>
        <v>#N/A</v>
      </c>
      <c r="L120" s="26" t="e">
        <f ca="1"/>
        <v>#N/A</v>
      </c>
      <c r="M120" s="26" t="e">
        <f ca="1"/>
        <v>#N/A</v>
      </c>
      <c r="N120" s="26" t="e">
        <f ca="1"/>
        <v>#N/A</v>
      </c>
      <c r="O120" s="27" t="s">
        <v>208</v>
      </c>
      <c r="U120" s="26" t="str">
        <f>TEXT('Input - Site'!$E$12, "mmmm yyyy")</f>
        <v>NO - Not in leaching zone</v>
      </c>
      <c r="V120" s="26" t="e" cm="1">
        <f t="array" aca="1" ref="V120:AE131" ca="1">OFFSET(X_Table_PastureBeef_LiveweightGain_Method2, 1,1, 12,10)</f>
        <v>#N/A</v>
      </c>
      <c r="W120" s="26" t="e">
        <f ca="1"/>
        <v>#N/A</v>
      </c>
      <c r="X120" s="26" t="e">
        <f ca="1"/>
        <v>#N/A</v>
      </c>
      <c r="Y120" s="26" t="e">
        <f ca="1"/>
        <v>#N/A</v>
      </c>
      <c r="Z120" s="26" t="e">
        <f ca="1"/>
        <v>#N/A</v>
      </c>
      <c r="AA120" s="26" t="e">
        <f ca="1"/>
        <v>#N/A</v>
      </c>
      <c r="AB120" s="26" t="e">
        <f ca="1"/>
        <v>#N/A</v>
      </c>
      <c r="AC120" s="26" t="e">
        <f ca="1"/>
        <v>#N/A</v>
      </c>
      <c r="AD120" s="26" t="e">
        <f ca="1"/>
        <v>#N/A</v>
      </c>
      <c r="AE120" s="26" t="e">
        <f ca="1"/>
        <v>#N/A</v>
      </c>
      <c r="AF120" s="27" t="s">
        <v>210</v>
      </c>
      <c r="AG120" s="27"/>
      <c r="AH120" s="27"/>
    </row>
    <row r="121" spans="4:35" ht="20.100000000000001" customHeight="1" x14ac:dyDescent="0.25">
      <c r="D121" s="26" t="str">
        <f>INDEX(X_Table_PastureBeef_LiveweightGain_Method1,4,1)</f>
        <v>Autumn</v>
      </c>
      <c r="E121" s="26" t="e">
        <f ca="1"/>
        <v>#N/A</v>
      </c>
      <c r="F121" s="26" t="e">
        <f ca="1"/>
        <v>#N/A</v>
      </c>
      <c r="G121" s="26" t="e">
        <f ca="1"/>
        <v>#N/A</v>
      </c>
      <c r="H121" s="26" t="e">
        <f ca="1"/>
        <v>#N/A</v>
      </c>
      <c r="I121" s="26" t="e">
        <f ca="1"/>
        <v>#N/A</v>
      </c>
      <c r="J121" s="26" t="e">
        <f ca="1"/>
        <v>#N/A</v>
      </c>
      <c r="K121" s="26" t="e">
        <f ca="1"/>
        <v>#N/A</v>
      </c>
      <c r="L121" s="26" t="e">
        <f ca="1"/>
        <v>#N/A</v>
      </c>
      <c r="M121" s="26" t="e">
        <f ca="1"/>
        <v>#N/A</v>
      </c>
      <c r="N121" s="26" t="e">
        <f ca="1"/>
        <v>#N/A</v>
      </c>
      <c r="O121" s="27" t="s">
        <v>208</v>
      </c>
      <c r="U121" s="26" t="e">
        <f>TEXT(EDATE('Input - Site'!$E$12,1), "mmmm yyyy")</f>
        <v>#VALUE!</v>
      </c>
      <c r="V121" s="26" t="e">
        <f ca="1"/>
        <v>#N/A</v>
      </c>
      <c r="W121" s="26" t="e">
        <f ca="1"/>
        <v>#N/A</v>
      </c>
      <c r="X121" s="26" t="e">
        <f ca="1"/>
        <v>#N/A</v>
      </c>
      <c r="Y121" s="26" t="e">
        <f ca="1"/>
        <v>#N/A</v>
      </c>
      <c r="Z121" s="26" t="e">
        <f ca="1"/>
        <v>#N/A</v>
      </c>
      <c r="AA121" s="26" t="e">
        <f ca="1"/>
        <v>#N/A</v>
      </c>
      <c r="AB121" s="26" t="e">
        <f ca="1"/>
        <v>#N/A</v>
      </c>
      <c r="AC121" s="26" t="e">
        <f ca="1"/>
        <v>#N/A</v>
      </c>
      <c r="AD121" s="26" t="e">
        <f ca="1"/>
        <v>#N/A</v>
      </c>
      <c r="AE121" s="26" t="e">
        <f ca="1"/>
        <v>#N/A</v>
      </c>
      <c r="AF121" s="27" t="s">
        <v>210</v>
      </c>
      <c r="AG121" s="27"/>
      <c r="AH121" s="27"/>
    </row>
    <row r="122" spans="4:35" ht="20.100000000000001" customHeight="1" x14ac:dyDescent="0.25">
      <c r="D122" s="26" t="str">
        <f>INDEX(X_Table_PastureBeef_LiveweightGain_Method1,5,1)</f>
        <v>Winter</v>
      </c>
      <c r="E122" s="26" t="e">
        <f ca="1"/>
        <v>#N/A</v>
      </c>
      <c r="F122" s="26" t="e">
        <f ca="1"/>
        <v>#N/A</v>
      </c>
      <c r="G122" s="26" t="e">
        <f ca="1"/>
        <v>#N/A</v>
      </c>
      <c r="H122" s="26" t="e">
        <f ca="1"/>
        <v>#N/A</v>
      </c>
      <c r="I122" s="26" t="e">
        <f ca="1"/>
        <v>#N/A</v>
      </c>
      <c r="J122" s="26" t="e">
        <f ca="1"/>
        <v>#N/A</v>
      </c>
      <c r="K122" s="26" t="e">
        <f ca="1"/>
        <v>#N/A</v>
      </c>
      <c r="L122" s="26" t="e">
        <f ca="1"/>
        <v>#N/A</v>
      </c>
      <c r="M122" s="26" t="e">
        <f ca="1"/>
        <v>#N/A</v>
      </c>
      <c r="N122" s="26" t="e">
        <f ca="1"/>
        <v>#N/A</v>
      </c>
      <c r="O122" s="27" t="s">
        <v>208</v>
      </c>
      <c r="U122" s="26" t="e">
        <f>TEXT(EDATE('Input - Site'!$E$12,2), "mmmm yyyy")</f>
        <v>#VALUE!</v>
      </c>
      <c r="V122" s="26" t="e">
        <f ca="1"/>
        <v>#N/A</v>
      </c>
      <c r="W122" s="26" t="e">
        <f ca="1"/>
        <v>#N/A</v>
      </c>
      <c r="X122" s="26" t="e">
        <f ca="1"/>
        <v>#N/A</v>
      </c>
      <c r="Y122" s="26" t="e">
        <f ca="1"/>
        <v>#N/A</v>
      </c>
      <c r="Z122" s="26" t="e">
        <f ca="1"/>
        <v>#N/A</v>
      </c>
      <c r="AA122" s="26" t="e">
        <f ca="1"/>
        <v>#N/A</v>
      </c>
      <c r="AB122" s="26" t="e">
        <f ca="1"/>
        <v>#N/A</v>
      </c>
      <c r="AC122" s="26" t="e">
        <f ca="1"/>
        <v>#N/A</v>
      </c>
      <c r="AD122" s="26" t="e">
        <f ca="1"/>
        <v>#N/A</v>
      </c>
      <c r="AE122" s="26" t="e">
        <f ca="1"/>
        <v>#N/A</v>
      </c>
      <c r="AF122" s="27" t="s">
        <v>210</v>
      </c>
      <c r="AG122" s="27"/>
      <c r="AH122" s="27"/>
    </row>
    <row r="123" spans="4:35" ht="20.100000000000001" customHeight="1" x14ac:dyDescent="0.25">
      <c r="U123" s="26" t="e">
        <f>TEXT(EDATE('Input - Site'!$E$12,3), "mmmm yyyy")</f>
        <v>#VALUE!</v>
      </c>
      <c r="V123" s="26" t="e">
        <f ca="1"/>
        <v>#N/A</v>
      </c>
      <c r="W123" s="26" t="e">
        <f ca="1"/>
        <v>#N/A</v>
      </c>
      <c r="X123" s="26" t="e">
        <f ca="1"/>
        <v>#N/A</v>
      </c>
      <c r="Y123" s="26" t="e">
        <f ca="1"/>
        <v>#N/A</v>
      </c>
      <c r="Z123" s="26" t="e">
        <f ca="1"/>
        <v>#N/A</v>
      </c>
      <c r="AA123" s="26" t="e">
        <f ca="1"/>
        <v>#N/A</v>
      </c>
      <c r="AB123" s="26" t="e">
        <f ca="1"/>
        <v>#N/A</v>
      </c>
      <c r="AC123" s="26" t="e">
        <f ca="1"/>
        <v>#N/A</v>
      </c>
      <c r="AD123" s="26" t="e">
        <f ca="1"/>
        <v>#N/A</v>
      </c>
      <c r="AE123" s="26" t="e">
        <f ca="1"/>
        <v>#N/A</v>
      </c>
      <c r="AF123" s="27" t="s">
        <v>210</v>
      </c>
      <c r="AG123" s="27"/>
      <c r="AH123" s="27"/>
    </row>
    <row r="124" spans="4:35" ht="20.100000000000001" customHeight="1" x14ac:dyDescent="0.25">
      <c r="D124" s="113" t="s">
        <v>436</v>
      </c>
      <c r="U124" s="26" t="e">
        <f>TEXT(EDATE('Input - Site'!$E$12,4), "mmmm yyyy")</f>
        <v>#VALUE!</v>
      </c>
      <c r="V124" s="26" t="e">
        <f ca="1"/>
        <v>#N/A</v>
      </c>
      <c r="W124" s="26" t="e">
        <f ca="1"/>
        <v>#N/A</v>
      </c>
      <c r="X124" s="26" t="e">
        <f ca="1"/>
        <v>#N/A</v>
      </c>
      <c r="Y124" s="26" t="e">
        <f ca="1"/>
        <v>#N/A</v>
      </c>
      <c r="Z124" s="26" t="e">
        <f ca="1"/>
        <v>#N/A</v>
      </c>
      <c r="AA124" s="26" t="e">
        <f ca="1"/>
        <v>#N/A</v>
      </c>
      <c r="AB124" s="26" t="e">
        <f ca="1"/>
        <v>#N/A</v>
      </c>
      <c r="AC124" s="26" t="e">
        <f ca="1"/>
        <v>#N/A</v>
      </c>
      <c r="AD124" s="26" t="e">
        <f ca="1"/>
        <v>#N/A</v>
      </c>
      <c r="AE124" s="26" t="e">
        <f ca="1"/>
        <v>#N/A</v>
      </c>
      <c r="AF124" s="27" t="s">
        <v>210</v>
      </c>
      <c r="AG124" s="27"/>
      <c r="AH124" s="27"/>
    </row>
    <row r="125" spans="4:35" ht="20.100000000000001" customHeight="1" x14ac:dyDescent="0.25">
      <c r="D125" s="114" t="s">
        <v>437</v>
      </c>
      <c r="U125" s="26" t="e">
        <f>TEXT(EDATE('Input - Site'!$E$12,5), "mmmm yyyy")</f>
        <v>#VALUE!</v>
      </c>
      <c r="V125" s="26" t="e">
        <f ca="1"/>
        <v>#N/A</v>
      </c>
      <c r="W125" s="26" t="e">
        <f ca="1"/>
        <v>#N/A</v>
      </c>
      <c r="X125" s="26" t="e">
        <f ca="1"/>
        <v>#N/A</v>
      </c>
      <c r="Y125" s="26" t="e">
        <f ca="1"/>
        <v>#N/A</v>
      </c>
      <c r="Z125" s="26" t="e">
        <f ca="1"/>
        <v>#N/A</v>
      </c>
      <c r="AA125" s="26" t="e">
        <f ca="1"/>
        <v>#N/A</v>
      </c>
      <c r="AB125" s="26" t="e">
        <f ca="1"/>
        <v>#N/A</v>
      </c>
      <c r="AC125" s="26" t="e">
        <f ca="1"/>
        <v>#N/A</v>
      </c>
      <c r="AD125" s="26" t="e">
        <f ca="1"/>
        <v>#N/A</v>
      </c>
      <c r="AE125" s="26" t="e">
        <f ca="1"/>
        <v>#N/A</v>
      </c>
      <c r="AF125" s="27" t="s">
        <v>210</v>
      </c>
      <c r="AG125" s="27"/>
      <c r="AH125" s="27"/>
    </row>
    <row r="126" spans="4:35" ht="20.100000000000001" customHeight="1" x14ac:dyDescent="0.25">
      <c r="D126" s="115" t="s">
        <v>79</v>
      </c>
      <c r="E126" s="115" t="s">
        <v>189</v>
      </c>
      <c r="F126" s="115" t="s">
        <v>190</v>
      </c>
      <c r="G126" s="115" t="s">
        <v>191</v>
      </c>
      <c r="H126" s="115" t="s">
        <v>192</v>
      </c>
      <c r="I126" s="115" t="s">
        <v>193</v>
      </c>
      <c r="J126" s="115" t="s">
        <v>194</v>
      </c>
      <c r="K126" s="115" t="s">
        <v>195</v>
      </c>
      <c r="L126" s="115" t="s">
        <v>196</v>
      </c>
      <c r="M126" s="115" t="s">
        <v>197</v>
      </c>
      <c r="N126" s="115" t="s">
        <v>198</v>
      </c>
      <c r="U126" s="26" t="e">
        <f>TEXT(EDATE('Input - Site'!$E$12,6), "mmmm yyyy")</f>
        <v>#VALUE!</v>
      </c>
      <c r="V126" s="26" t="e">
        <f ca="1"/>
        <v>#N/A</v>
      </c>
      <c r="W126" s="26" t="e">
        <f ca="1"/>
        <v>#N/A</v>
      </c>
      <c r="X126" s="26" t="e">
        <f ca="1"/>
        <v>#N/A</v>
      </c>
      <c r="Y126" s="26" t="e">
        <f ca="1"/>
        <v>#N/A</v>
      </c>
      <c r="Z126" s="26" t="e">
        <f ca="1"/>
        <v>#N/A</v>
      </c>
      <c r="AA126" s="26" t="e">
        <f ca="1"/>
        <v>#N/A</v>
      </c>
      <c r="AB126" s="26" t="e">
        <f ca="1"/>
        <v>#N/A</v>
      </c>
      <c r="AC126" s="26" t="e">
        <f ca="1"/>
        <v>#N/A</v>
      </c>
      <c r="AD126" s="26" t="e">
        <f ca="1"/>
        <v>#N/A</v>
      </c>
      <c r="AE126" s="26" t="e">
        <f ca="1"/>
        <v>#N/A</v>
      </c>
      <c r="AF126" s="27" t="s">
        <v>210</v>
      </c>
      <c r="AG126" s="27"/>
      <c r="AH126" s="27"/>
    </row>
    <row r="127" spans="4:35" ht="20.100000000000001" customHeight="1" x14ac:dyDescent="0.25">
      <c r="D127" s="26" t="s">
        <v>199</v>
      </c>
      <c r="E127" s="26" t="e" cm="1">
        <f t="array" aca="1" ref="E127" ca="1">MMS_PastureBeef_Soil_N2ODirect_Equations.VEERG_4_2_1_3__4_NitrogenRetainedByBody(G95,E62,E33,E119)</f>
        <v>#N/A</v>
      </c>
      <c r="F127" s="26" t="e" cm="1">
        <f t="array" aca="1" ref="F127" ca="1">MMS_PastureBeef_Soil_N2ODirect_Equations.VEERG_4_2_1_3__4_NitrogenRetainedByBody(H95,F62,F33,F119)</f>
        <v>#N/A</v>
      </c>
      <c r="G127" s="26" t="e" cm="1">
        <f t="array" aca="1" ref="G127" ca="1">MMS_PastureBeef_Soil_N2ODirect_Equations.VEERG_4_2_1_3__4_NitrogenRetainedByBody(I95,G62,G33,G119)</f>
        <v>#N/A</v>
      </c>
      <c r="H127" s="26" t="e" cm="1">
        <f t="array" aca="1" ref="H127" ca="1">MMS_PastureBeef_Soil_N2ODirect_Equations.VEERG_4_2_1_3__4_NitrogenRetainedByBody(J95,H62,H33,H119)</f>
        <v>#N/A</v>
      </c>
      <c r="I127" s="26" t="e" cm="1">
        <f t="array" aca="1" ref="I127" ca="1">MMS_PastureBeef_Soil_N2ODirect_Equations.VEERG_4_2_1_3__4_NitrogenRetainedByBody(K95,I62,I33,I119)</f>
        <v>#N/A</v>
      </c>
      <c r="J127" s="26" t="e" cm="1">
        <f t="array" aca="1" ref="J127" ca="1">MMS_PastureBeef_Soil_N2ODirect_Equations.VEERG_4_2_1_3__4_NitrogenRetainedByBody(L95,J62,J33,J119)</f>
        <v>#N/A</v>
      </c>
      <c r="K127" s="26" t="e" cm="1">
        <f t="array" aca="1" ref="K127" ca="1">MMS_PastureBeef_Soil_N2ODirect_Equations.VEERG_4_2_1_3__4_NitrogenRetainedByBody(M95,K62,K33,K119)</f>
        <v>#N/A</v>
      </c>
      <c r="L127" s="26" t="e" cm="1">
        <f t="array" aca="1" ref="L127" ca="1">MMS_PastureBeef_Soil_N2ODirect_Equations.VEERG_4_2_1_3__4_NitrogenRetainedByBody(N95,L62,L33,L119)</f>
        <v>#N/A</v>
      </c>
      <c r="M127" s="26" t="e" cm="1">
        <f t="array" aca="1" ref="M127" ca="1">MMS_PastureBeef_Soil_N2ODirect_Equations.VEERG_4_2_1_3__4_NitrogenRetainedByBody(O95,M62,M33,M119)</f>
        <v>#N/A</v>
      </c>
      <c r="N127" s="26" t="e" cm="1">
        <f t="array" aca="1" ref="N127" ca="1">MMS_PastureBeef_Soil_N2ODirect_Equations.VEERG_4_2_1_3__4_NitrogenRetainedByBody(P95,N62,N33,N119)</f>
        <v>#N/A</v>
      </c>
      <c r="O127" s="27" t="str">
        <f>$E$109</f>
        <v>kg N/head/day</v>
      </c>
      <c r="U127" s="26" t="e">
        <f>TEXT(EDATE('Input - Site'!$E$12,7), "mmmm yyyy")</f>
        <v>#VALUE!</v>
      </c>
      <c r="V127" s="26" t="e">
        <f ca="1"/>
        <v>#N/A</v>
      </c>
      <c r="W127" s="26" t="e">
        <f ca="1"/>
        <v>#N/A</v>
      </c>
      <c r="X127" s="26" t="e">
        <f ca="1"/>
        <v>#N/A</v>
      </c>
      <c r="Y127" s="26" t="e">
        <f ca="1"/>
        <v>#N/A</v>
      </c>
      <c r="Z127" s="26" t="e">
        <f ca="1"/>
        <v>#N/A</v>
      </c>
      <c r="AA127" s="26" t="e">
        <f ca="1"/>
        <v>#N/A</v>
      </c>
      <c r="AB127" s="26" t="e">
        <f ca="1"/>
        <v>#N/A</v>
      </c>
      <c r="AC127" s="26" t="e">
        <f ca="1"/>
        <v>#N/A</v>
      </c>
      <c r="AD127" s="26" t="e">
        <f ca="1"/>
        <v>#N/A</v>
      </c>
      <c r="AE127" s="26" t="e">
        <f ca="1"/>
        <v>#N/A</v>
      </c>
      <c r="AF127" s="27" t="s">
        <v>210</v>
      </c>
      <c r="AG127" s="27"/>
      <c r="AH127" s="27"/>
    </row>
    <row r="128" spans="4:35" ht="20.100000000000001" customHeight="1" x14ac:dyDescent="0.25">
      <c r="D128" s="26" t="s">
        <v>200</v>
      </c>
      <c r="E128" s="26" t="e" cm="1">
        <f t="array" aca="1" ref="E128" ca="1">MMS_PastureBeef_Soil_N2ODirect_Equations.VEERG_4_2_1_3__4_NitrogenRetainedByBody(G96,E63,E34,E120)</f>
        <v>#N/A</v>
      </c>
      <c r="F128" s="26" t="e" cm="1">
        <f t="array" aca="1" ref="F128" ca="1">MMS_PastureBeef_Soil_N2ODirect_Equations.VEERG_4_2_1_3__4_NitrogenRetainedByBody(H96,F63,F34,F120)</f>
        <v>#N/A</v>
      </c>
      <c r="G128" s="26" t="e" cm="1">
        <f t="array" aca="1" ref="G128" ca="1">MMS_PastureBeef_Soil_N2ODirect_Equations.VEERG_4_2_1_3__4_NitrogenRetainedByBody(I96,G63,G34,G120)</f>
        <v>#N/A</v>
      </c>
      <c r="H128" s="26" t="e" cm="1">
        <f t="array" aca="1" ref="H128" ca="1">MMS_PastureBeef_Soil_N2ODirect_Equations.VEERG_4_2_1_3__4_NitrogenRetainedByBody(J96,H63,H34,H120)</f>
        <v>#N/A</v>
      </c>
      <c r="I128" s="26" t="e" cm="1">
        <f t="array" aca="1" ref="I128" ca="1">MMS_PastureBeef_Soil_N2ODirect_Equations.VEERG_4_2_1_3__4_NitrogenRetainedByBody(K96,I63,I34,I120)</f>
        <v>#N/A</v>
      </c>
      <c r="J128" s="26" t="e" cm="1">
        <f t="array" aca="1" ref="J128" ca="1">MMS_PastureBeef_Soil_N2ODirect_Equations.VEERG_4_2_1_3__4_NitrogenRetainedByBody(L96,J63,J34,J120)</f>
        <v>#N/A</v>
      </c>
      <c r="K128" s="26" t="e" cm="1">
        <f t="array" aca="1" ref="K128" ca="1">MMS_PastureBeef_Soil_N2ODirect_Equations.VEERG_4_2_1_3__4_NitrogenRetainedByBody(M96,K63,K34,K120)</f>
        <v>#N/A</v>
      </c>
      <c r="L128" s="26" t="e" cm="1">
        <f t="array" aca="1" ref="L128" ca="1">MMS_PastureBeef_Soil_N2ODirect_Equations.VEERG_4_2_1_3__4_NitrogenRetainedByBody(N96,L63,L34,L120)</f>
        <v>#N/A</v>
      </c>
      <c r="M128" s="26" t="e" cm="1">
        <f t="array" aca="1" ref="M128" ca="1">MMS_PastureBeef_Soil_N2ODirect_Equations.VEERG_4_2_1_3__4_NitrogenRetainedByBody(O96,M63,M34,M120)</f>
        <v>#N/A</v>
      </c>
      <c r="N128" s="26" t="e" cm="1">
        <f t="array" aca="1" ref="N128" ca="1">MMS_PastureBeef_Soil_N2ODirect_Equations.VEERG_4_2_1_3__4_NitrogenRetainedByBody(P96,N63,N34,N120)</f>
        <v>#N/A</v>
      </c>
      <c r="O128" s="27" t="str">
        <f t="shared" ref="O128:O130" si="6">$E$109</f>
        <v>kg N/head/day</v>
      </c>
      <c r="U128" s="26" t="e">
        <f>TEXT(EDATE('Input - Site'!$E$12,8), "mmmm yyyy")</f>
        <v>#VALUE!</v>
      </c>
      <c r="V128" s="26" t="e">
        <f ca="1"/>
        <v>#N/A</v>
      </c>
      <c r="W128" s="26" t="e">
        <f ca="1"/>
        <v>#N/A</v>
      </c>
      <c r="X128" s="26" t="e">
        <f ca="1"/>
        <v>#N/A</v>
      </c>
      <c r="Y128" s="26" t="e">
        <f ca="1"/>
        <v>#N/A</v>
      </c>
      <c r="Z128" s="26" t="e">
        <f ca="1"/>
        <v>#N/A</v>
      </c>
      <c r="AA128" s="26" t="e">
        <f ca="1"/>
        <v>#N/A</v>
      </c>
      <c r="AB128" s="26" t="e">
        <f ca="1"/>
        <v>#N/A</v>
      </c>
      <c r="AC128" s="26" t="e">
        <f ca="1"/>
        <v>#N/A</v>
      </c>
      <c r="AD128" s="26" t="e">
        <f ca="1"/>
        <v>#N/A</v>
      </c>
      <c r="AE128" s="26" t="e">
        <f ca="1"/>
        <v>#N/A</v>
      </c>
      <c r="AF128" s="27" t="s">
        <v>210</v>
      </c>
      <c r="AG128" s="27"/>
      <c r="AH128" s="27"/>
    </row>
    <row r="129" spans="3:34" ht="20.100000000000001" customHeight="1" x14ac:dyDescent="0.25">
      <c r="D129" s="26" t="s">
        <v>201</v>
      </c>
      <c r="E129" s="26" t="e" cm="1">
        <f t="array" aca="1" ref="E129" ca="1">MMS_PastureBeef_Soil_N2ODirect_Equations.VEERG_4_2_1_3__4_NitrogenRetainedByBody(G97,E64,E35,E121)</f>
        <v>#N/A</v>
      </c>
      <c r="F129" s="26" t="e" cm="1">
        <f t="array" aca="1" ref="F129" ca="1">MMS_PastureBeef_Soil_N2ODirect_Equations.VEERG_4_2_1_3__4_NitrogenRetainedByBody(H97,F64,F35,F121)</f>
        <v>#N/A</v>
      </c>
      <c r="G129" s="26" t="e" cm="1">
        <f t="array" aca="1" ref="G129" ca="1">MMS_PastureBeef_Soil_N2ODirect_Equations.VEERG_4_2_1_3__4_NitrogenRetainedByBody(I97,G64,G35,G121)</f>
        <v>#N/A</v>
      </c>
      <c r="H129" s="26" t="e" cm="1">
        <f t="array" aca="1" ref="H129" ca="1">MMS_PastureBeef_Soil_N2ODirect_Equations.VEERG_4_2_1_3__4_NitrogenRetainedByBody(J97,H64,H35,H121)</f>
        <v>#N/A</v>
      </c>
      <c r="I129" s="26" t="e" cm="1">
        <f t="array" aca="1" ref="I129" ca="1">MMS_PastureBeef_Soil_N2ODirect_Equations.VEERG_4_2_1_3__4_NitrogenRetainedByBody(K97,I64,I35,I121)</f>
        <v>#N/A</v>
      </c>
      <c r="J129" s="26" t="e" cm="1">
        <f t="array" aca="1" ref="J129" ca="1">MMS_PastureBeef_Soil_N2ODirect_Equations.VEERG_4_2_1_3__4_NitrogenRetainedByBody(L97,J64,J35,J121)</f>
        <v>#N/A</v>
      </c>
      <c r="K129" s="26" t="e" cm="1">
        <f t="array" aca="1" ref="K129" ca="1">MMS_PastureBeef_Soil_N2ODirect_Equations.VEERG_4_2_1_3__4_NitrogenRetainedByBody(M97,K64,K35,K121)</f>
        <v>#N/A</v>
      </c>
      <c r="L129" s="26" t="e" cm="1">
        <f t="array" aca="1" ref="L129" ca="1">MMS_PastureBeef_Soil_N2ODirect_Equations.VEERG_4_2_1_3__4_NitrogenRetainedByBody(N97,L64,L35,L121)</f>
        <v>#N/A</v>
      </c>
      <c r="M129" s="26" t="e" cm="1">
        <f t="array" aca="1" ref="M129" ca="1">MMS_PastureBeef_Soil_N2ODirect_Equations.VEERG_4_2_1_3__4_NitrogenRetainedByBody(O97,M64,M35,M121)</f>
        <v>#N/A</v>
      </c>
      <c r="N129" s="26" t="e" cm="1">
        <f t="array" aca="1" ref="N129" ca="1">MMS_PastureBeef_Soil_N2ODirect_Equations.VEERG_4_2_1_3__4_NitrogenRetainedByBody(P97,N64,N35,N121)</f>
        <v>#N/A</v>
      </c>
      <c r="O129" s="27" t="str">
        <f t="shared" si="6"/>
        <v>kg N/head/day</v>
      </c>
      <c r="U129" s="26" t="e">
        <f>TEXT(EDATE('Input - Site'!$E$12,9), "mmmm yyyy")</f>
        <v>#VALUE!</v>
      </c>
      <c r="V129" s="26" t="e">
        <f ca="1"/>
        <v>#N/A</v>
      </c>
      <c r="W129" s="26" t="e">
        <f ca="1"/>
        <v>#N/A</v>
      </c>
      <c r="X129" s="26" t="e">
        <f ca="1"/>
        <v>#N/A</v>
      </c>
      <c r="Y129" s="26" t="e">
        <f ca="1"/>
        <v>#N/A</v>
      </c>
      <c r="Z129" s="26" t="e">
        <f ca="1"/>
        <v>#N/A</v>
      </c>
      <c r="AA129" s="26" t="e">
        <f ca="1"/>
        <v>#N/A</v>
      </c>
      <c r="AB129" s="26" t="e">
        <f ca="1"/>
        <v>#N/A</v>
      </c>
      <c r="AC129" s="26" t="e">
        <f ca="1"/>
        <v>#N/A</v>
      </c>
      <c r="AD129" s="26" t="e">
        <f ca="1"/>
        <v>#N/A</v>
      </c>
      <c r="AE129" s="26" t="e">
        <f ca="1"/>
        <v>#N/A</v>
      </c>
      <c r="AF129" s="27" t="s">
        <v>210</v>
      </c>
      <c r="AG129" s="27"/>
      <c r="AH129" s="27"/>
    </row>
    <row r="130" spans="3:34" ht="20.100000000000001" customHeight="1" x14ac:dyDescent="0.25">
      <c r="D130" s="26" t="s">
        <v>202</v>
      </c>
      <c r="E130" s="26" t="e" cm="1">
        <f t="array" aca="1" ref="E130" ca="1">MMS_PastureBeef_Soil_N2ODirect_Equations.VEERG_4_2_1_3__4_NitrogenRetainedByBody(G98,E65,E36,E122)</f>
        <v>#N/A</v>
      </c>
      <c r="F130" s="26" t="e" cm="1">
        <f t="array" aca="1" ref="F130" ca="1">MMS_PastureBeef_Soil_N2ODirect_Equations.VEERG_4_2_1_3__4_NitrogenRetainedByBody(H98,F65,F36,F122)</f>
        <v>#N/A</v>
      </c>
      <c r="G130" s="26" t="e" cm="1">
        <f t="array" aca="1" ref="G130" ca="1">MMS_PastureBeef_Soil_N2ODirect_Equations.VEERG_4_2_1_3__4_NitrogenRetainedByBody(I98,G65,G36,G122)</f>
        <v>#N/A</v>
      </c>
      <c r="H130" s="26" t="e" cm="1">
        <f t="array" aca="1" ref="H130" ca="1">MMS_PastureBeef_Soil_N2ODirect_Equations.VEERG_4_2_1_3__4_NitrogenRetainedByBody(J98,H65,H36,H122)</f>
        <v>#N/A</v>
      </c>
      <c r="I130" s="26" t="e" cm="1">
        <f t="array" aca="1" ref="I130" ca="1">MMS_PastureBeef_Soil_N2ODirect_Equations.VEERG_4_2_1_3__4_NitrogenRetainedByBody(K98,I65,I36,I122)</f>
        <v>#N/A</v>
      </c>
      <c r="J130" s="26" t="e" cm="1">
        <f t="array" aca="1" ref="J130" ca="1">MMS_PastureBeef_Soil_N2ODirect_Equations.VEERG_4_2_1_3__4_NitrogenRetainedByBody(L98,J65,J36,J122)</f>
        <v>#N/A</v>
      </c>
      <c r="K130" s="26" t="e" cm="1">
        <f t="array" aca="1" ref="K130" ca="1">MMS_PastureBeef_Soil_N2ODirect_Equations.VEERG_4_2_1_3__4_NitrogenRetainedByBody(M98,K65,K36,K122)</f>
        <v>#N/A</v>
      </c>
      <c r="L130" s="26" t="e" cm="1">
        <f t="array" aca="1" ref="L130" ca="1">MMS_PastureBeef_Soil_N2ODirect_Equations.VEERG_4_2_1_3__4_NitrogenRetainedByBody(N98,L65,L36,L122)</f>
        <v>#N/A</v>
      </c>
      <c r="M130" s="26" t="e" cm="1">
        <f t="array" aca="1" ref="M130" ca="1">MMS_PastureBeef_Soil_N2ODirect_Equations.VEERG_4_2_1_3__4_NitrogenRetainedByBody(O98,M65,M36,M122)</f>
        <v>#N/A</v>
      </c>
      <c r="N130" s="26" t="e" cm="1">
        <f t="array" aca="1" ref="N130" ca="1">MMS_PastureBeef_Soil_N2ODirect_Equations.VEERG_4_2_1_3__4_NitrogenRetainedByBody(P98,N65,N36,N122)</f>
        <v>#N/A</v>
      </c>
      <c r="O130" s="27" t="str">
        <f t="shared" si="6"/>
        <v>kg N/head/day</v>
      </c>
      <c r="U130" s="26" t="e">
        <f>TEXT(EDATE('Input - Site'!$E$12,10), "mmmm yyyy")</f>
        <v>#VALUE!</v>
      </c>
      <c r="V130" s="26" t="e">
        <f ca="1"/>
        <v>#N/A</v>
      </c>
      <c r="W130" s="26" t="e">
        <f ca="1"/>
        <v>#N/A</v>
      </c>
      <c r="X130" s="26" t="e">
        <f ca="1"/>
        <v>#N/A</v>
      </c>
      <c r="Y130" s="26" t="e">
        <f ca="1"/>
        <v>#N/A</v>
      </c>
      <c r="Z130" s="26" t="e">
        <f ca="1"/>
        <v>#N/A</v>
      </c>
      <c r="AA130" s="26" t="e">
        <f ca="1"/>
        <v>#N/A</v>
      </c>
      <c r="AB130" s="26" t="e">
        <f ca="1"/>
        <v>#N/A</v>
      </c>
      <c r="AC130" s="26" t="e">
        <f ca="1"/>
        <v>#N/A</v>
      </c>
      <c r="AD130" s="26" t="e">
        <f ca="1"/>
        <v>#N/A</v>
      </c>
      <c r="AE130" s="26" t="e">
        <f ca="1"/>
        <v>#N/A</v>
      </c>
      <c r="AF130" s="27" t="s">
        <v>210</v>
      </c>
      <c r="AG130" s="27"/>
      <c r="AH130" s="27"/>
    </row>
    <row r="131" spans="3:34" ht="20.100000000000001" customHeight="1" x14ac:dyDescent="0.25">
      <c r="U131" s="26" t="e">
        <f>TEXT(EDATE('Input - Site'!$E$12,11), "mmmm yyyy")</f>
        <v>#VALUE!</v>
      </c>
      <c r="V131" s="26" t="e">
        <f ca="1"/>
        <v>#N/A</v>
      </c>
      <c r="W131" s="26" t="e">
        <f ca="1"/>
        <v>#N/A</v>
      </c>
      <c r="X131" s="26" t="e">
        <f ca="1"/>
        <v>#N/A</v>
      </c>
      <c r="Y131" s="26" t="e">
        <f ca="1"/>
        <v>#N/A</v>
      </c>
      <c r="Z131" s="26" t="e">
        <f ca="1"/>
        <v>#N/A</v>
      </c>
      <c r="AA131" s="26" t="e">
        <f ca="1"/>
        <v>#N/A</v>
      </c>
      <c r="AB131" s="26" t="e">
        <f ca="1"/>
        <v>#N/A</v>
      </c>
      <c r="AC131" s="26" t="e">
        <f ca="1"/>
        <v>#N/A</v>
      </c>
      <c r="AD131" s="26" t="e">
        <f ca="1"/>
        <v>#N/A</v>
      </c>
      <c r="AE131" s="26" t="e">
        <f ca="1"/>
        <v>#N/A</v>
      </c>
      <c r="AF131" s="27" t="s">
        <v>210</v>
      </c>
      <c r="AG131" s="27"/>
      <c r="AH131" s="27"/>
    </row>
    <row r="132" spans="3:34" ht="20.100000000000001" customHeight="1" x14ac:dyDescent="0.25"/>
    <row r="133" spans="3:34" ht="20.100000000000001" customHeight="1" x14ac:dyDescent="0.25">
      <c r="C133" s="117"/>
      <c r="D133" s="117"/>
      <c r="E133" s="117"/>
      <c r="F133" s="117"/>
      <c r="G133" s="117"/>
      <c r="H133" s="117"/>
      <c r="I133" s="117"/>
      <c r="J133" s="117"/>
      <c r="K133" s="117"/>
      <c r="L133" s="117"/>
      <c r="M133" s="117"/>
      <c r="N133" s="117"/>
      <c r="O133" s="117"/>
      <c r="P133" s="117"/>
      <c r="Q133" s="117"/>
      <c r="R133" s="117"/>
      <c r="U133" s="113" t="s">
        <v>438</v>
      </c>
    </row>
    <row r="134" spans="3:34" ht="20.100000000000001" customHeight="1" x14ac:dyDescent="0.25">
      <c r="D134" s="2" t="str" cm="1">
        <f t="array" ref="D134">MMS_PastureBeef_Soil_N2ODirect_Equations.VEERG_4_2_1_3__3_NitrogenExcreted_Title()</f>
        <v>Nitrogen excreted</v>
      </c>
      <c r="U134" s="114" t="s">
        <v>439</v>
      </c>
    </row>
    <row r="135" spans="3:34" ht="20.100000000000001" customHeight="1" x14ac:dyDescent="0.25">
      <c r="D135" s="28" t="str" cm="1">
        <f t="array" ref="D135">MMS_PastureBeef_Soil_N2ODirect_Equations.VEERG_4_2_1_3__3_NitrogenExcreted_Source()</f>
        <v>VEERG 2026: 4.2.1.3, Equation (3)</v>
      </c>
      <c r="U135" s="115" t="s">
        <v>78</v>
      </c>
      <c r="V135" s="115" t="s">
        <v>189</v>
      </c>
      <c r="W135" s="115" t="s">
        <v>190</v>
      </c>
      <c r="X135" s="115" t="s">
        <v>191</v>
      </c>
      <c r="Y135" s="115" t="s">
        <v>192</v>
      </c>
      <c r="Z135" s="115" t="s">
        <v>193</v>
      </c>
      <c r="AA135" s="115" t="s">
        <v>194</v>
      </c>
      <c r="AB135" s="115" t="s">
        <v>195</v>
      </c>
      <c r="AC135" s="115" t="s">
        <v>196</v>
      </c>
      <c r="AD135" s="115" t="s">
        <v>197</v>
      </c>
      <c r="AE135" s="115" t="s">
        <v>198</v>
      </c>
    </row>
    <row r="136" spans="3:34" ht="20.100000000000001" customHeight="1" x14ac:dyDescent="0.25">
      <c r="D136" s="104" t="s">
        <v>257</v>
      </c>
      <c r="E136" s="104" t="str" cm="1">
        <f t="array" aca="1" ref="E136" ca="1">Common_InputFunctions.Utility_DisplayFunctionName($E$169)</f>
        <v>=MMS_PastureBeef_Soil_N2ODirect_Equations.VEERG_4_2_1_3__3_NitrogenExcreted</v>
      </c>
      <c r="U136" s="26" t="str">
        <f>TEXT('Input - Site'!$E$12, "mmmm yyyy")</f>
        <v>NO - Not in leaching zone</v>
      </c>
      <c r="V136" s="26" t="e" cm="1">
        <f t="array" aca="1" ref="V136" ca="1">MMS_PastureBeef_Soil_N2ODirect_Equations.VEERG_4_2_1_3__4_NitrogenRetainedByBody(X100,V72,V36,V120)</f>
        <v>#N/A</v>
      </c>
      <c r="W136" s="26" t="e" cm="1">
        <f t="array" aca="1" ref="W136" ca="1">MMS_PastureBeef_Soil_N2ODirect_Equations.VEERG_4_2_1_3__4_NitrogenRetainedByBody(Y100,W72,W36,W120)</f>
        <v>#N/A</v>
      </c>
      <c r="X136" s="26" t="e" cm="1">
        <f t="array" aca="1" ref="X136" ca="1">MMS_PastureBeef_Soil_N2ODirect_Equations.VEERG_4_2_1_3__4_NitrogenRetainedByBody(Z100,X72,X36,X120)</f>
        <v>#N/A</v>
      </c>
      <c r="Y136" s="26" t="e" cm="1">
        <f t="array" aca="1" ref="Y136" ca="1">MMS_PastureBeef_Soil_N2ODirect_Equations.VEERG_4_2_1_3__4_NitrogenRetainedByBody(AA100,Y72,Y36,Y120)</f>
        <v>#N/A</v>
      </c>
      <c r="Z136" s="26" t="e" cm="1">
        <f t="array" aca="1" ref="Z136" ca="1">MMS_PastureBeef_Soil_N2ODirect_Equations.VEERG_4_2_1_3__4_NitrogenRetainedByBody(AB100,Z72,Z36,Z120)</f>
        <v>#N/A</v>
      </c>
      <c r="AA136" s="26" t="e" cm="1">
        <f t="array" aca="1" ref="AA136" ca="1">MMS_PastureBeef_Soil_N2ODirect_Equations.VEERG_4_2_1_3__4_NitrogenRetainedByBody(AC100,AA72,AA36,AA120)</f>
        <v>#N/A</v>
      </c>
      <c r="AB136" s="26" t="e" cm="1">
        <f t="array" aca="1" ref="AB136" ca="1">MMS_PastureBeef_Soil_N2ODirect_Equations.VEERG_4_2_1_3__4_NitrogenRetainedByBody(AD100,AB72,AB36,AB120)</f>
        <v>#N/A</v>
      </c>
      <c r="AC136" s="26" t="e" cm="1">
        <f t="array" aca="1" ref="AC136" ca="1">MMS_PastureBeef_Soil_N2ODirect_Equations.VEERG_4_2_1_3__4_NitrogenRetainedByBody(AE100,AC72,AC36,AC120)</f>
        <v>#N/A</v>
      </c>
      <c r="AD136" s="26" t="e" cm="1">
        <f t="array" aca="1" ref="AD136" ca="1">MMS_PastureBeef_Soil_N2ODirect_Equations.VEERG_4_2_1_3__4_NitrogenRetainedByBody(AF100,AD72,AD36,AD120)</f>
        <v>#N/A</v>
      </c>
      <c r="AE136" s="26" t="e" cm="1">
        <f t="array" aca="1" ref="AE136" ca="1">MMS_PastureBeef_Soil_N2ODirect_Equations.VEERG_4_2_1_3__4_NitrogenRetainedByBody(AG100,AE72,AE36,AE120)</f>
        <v>#N/A</v>
      </c>
      <c r="AF136" s="27" t="str">
        <f t="shared" ref="AF136:AF147" si="7">$E$109</f>
        <v>kg N/head/day</v>
      </c>
      <c r="AG136" s="27"/>
      <c r="AH136" s="27"/>
    </row>
    <row r="137" spans="3:34" ht="20.100000000000001" customHeight="1" x14ac:dyDescent="0.25">
      <c r="U137" s="26" t="e">
        <f>TEXT(EDATE('Input - Site'!$E$12,1), "mmmm yyyy")</f>
        <v>#VALUE!</v>
      </c>
      <c r="V137" s="26" t="e" cm="1">
        <f t="array" aca="1" ref="V137" ca="1">MMS_PastureBeef_Soil_N2ODirect_Equations.VEERG_4_2_1_3__4_NitrogenRetainedByBody(X101,V73,V37,V121)</f>
        <v>#N/A</v>
      </c>
      <c r="W137" s="26" t="e" cm="1">
        <f t="array" aca="1" ref="W137" ca="1">MMS_PastureBeef_Soil_N2ODirect_Equations.VEERG_4_2_1_3__4_NitrogenRetainedByBody(Y101,W73,W37,W121)</f>
        <v>#N/A</v>
      </c>
      <c r="X137" s="26" t="e" cm="1">
        <f t="array" aca="1" ref="X137" ca="1">MMS_PastureBeef_Soil_N2ODirect_Equations.VEERG_4_2_1_3__4_NitrogenRetainedByBody(Z101,X73,X37,X121)</f>
        <v>#N/A</v>
      </c>
      <c r="Y137" s="26" t="e" cm="1">
        <f t="array" aca="1" ref="Y137" ca="1">MMS_PastureBeef_Soil_N2ODirect_Equations.VEERG_4_2_1_3__4_NitrogenRetainedByBody(AA101,Y73,Y37,Y121)</f>
        <v>#N/A</v>
      </c>
      <c r="Z137" s="26" t="e" cm="1">
        <f t="array" aca="1" ref="Z137" ca="1">MMS_PastureBeef_Soil_N2ODirect_Equations.VEERG_4_2_1_3__4_NitrogenRetainedByBody(AB101,Z73,Z37,Z121)</f>
        <v>#N/A</v>
      </c>
      <c r="AA137" s="26" t="e" cm="1">
        <f t="array" aca="1" ref="AA137" ca="1">MMS_PastureBeef_Soil_N2ODirect_Equations.VEERG_4_2_1_3__4_NitrogenRetainedByBody(AC101,AA73,AA37,AA121)</f>
        <v>#N/A</v>
      </c>
      <c r="AB137" s="26" t="e" cm="1">
        <f t="array" aca="1" ref="AB137" ca="1">MMS_PastureBeef_Soil_N2ODirect_Equations.VEERG_4_2_1_3__4_NitrogenRetainedByBody(AD101,AB73,AB37,AB121)</f>
        <v>#N/A</v>
      </c>
      <c r="AC137" s="26" t="e" cm="1">
        <f t="array" aca="1" ref="AC137" ca="1">MMS_PastureBeef_Soil_N2ODirect_Equations.VEERG_4_2_1_3__4_NitrogenRetainedByBody(AE101,AC73,AC37,AC121)</f>
        <v>#N/A</v>
      </c>
      <c r="AD137" s="26" t="e" cm="1">
        <f t="array" aca="1" ref="AD137" ca="1">MMS_PastureBeef_Soil_N2ODirect_Equations.VEERG_4_2_1_3__4_NitrogenRetainedByBody(AF101,AD73,AD37,AD121)</f>
        <v>#N/A</v>
      </c>
      <c r="AE137" s="26" t="e" cm="1">
        <f t="array" aca="1" ref="AE137" ca="1">MMS_PastureBeef_Soil_N2ODirect_Equations.VEERG_4_2_1_3__4_NitrogenRetainedByBody(AG101,AE73,AE37,AE121)</f>
        <v>#N/A</v>
      </c>
      <c r="AF137" s="27" t="str">
        <f t="shared" si="7"/>
        <v>kg N/head/day</v>
      </c>
      <c r="AG137" s="27"/>
      <c r="AH137" s="27"/>
    </row>
    <row r="138" spans="3:34" ht="20.100000000000001" customHeight="1" x14ac:dyDescent="0.25">
      <c r="U138" s="26" t="e">
        <f>TEXT(EDATE('Input - Site'!$E$12,2), "mmmm yyyy")</f>
        <v>#VALUE!</v>
      </c>
      <c r="V138" s="26" t="e" cm="1">
        <f t="array" aca="1" ref="V138" ca="1">MMS_PastureBeef_Soil_N2ODirect_Equations.VEERG_4_2_1_3__4_NitrogenRetainedByBody(X102,V74,V38,V122)</f>
        <v>#N/A</v>
      </c>
      <c r="W138" s="26" t="e" cm="1">
        <f t="array" aca="1" ref="W138" ca="1">MMS_PastureBeef_Soil_N2ODirect_Equations.VEERG_4_2_1_3__4_NitrogenRetainedByBody(Y102,W74,W38,W122)</f>
        <v>#N/A</v>
      </c>
      <c r="X138" s="26" t="e" cm="1">
        <f t="array" aca="1" ref="X138" ca="1">MMS_PastureBeef_Soil_N2ODirect_Equations.VEERG_4_2_1_3__4_NitrogenRetainedByBody(Z102,X74,X38,X122)</f>
        <v>#N/A</v>
      </c>
      <c r="Y138" s="26" t="e" cm="1">
        <f t="array" aca="1" ref="Y138" ca="1">MMS_PastureBeef_Soil_N2ODirect_Equations.VEERG_4_2_1_3__4_NitrogenRetainedByBody(AA102,Y74,Y38,Y122)</f>
        <v>#N/A</v>
      </c>
      <c r="Z138" s="26" t="e" cm="1">
        <f t="array" aca="1" ref="Z138" ca="1">MMS_PastureBeef_Soil_N2ODirect_Equations.VEERG_4_2_1_3__4_NitrogenRetainedByBody(AB102,Z74,Z38,Z122)</f>
        <v>#N/A</v>
      </c>
      <c r="AA138" s="26" t="e" cm="1">
        <f t="array" aca="1" ref="AA138" ca="1">MMS_PastureBeef_Soil_N2ODirect_Equations.VEERG_4_2_1_3__4_NitrogenRetainedByBody(AC102,AA74,AA38,AA122)</f>
        <v>#N/A</v>
      </c>
      <c r="AB138" s="26" t="e" cm="1">
        <f t="array" aca="1" ref="AB138" ca="1">MMS_PastureBeef_Soil_N2ODirect_Equations.VEERG_4_2_1_3__4_NitrogenRetainedByBody(AD102,AB74,AB38,AB122)</f>
        <v>#N/A</v>
      </c>
      <c r="AC138" s="26" t="e" cm="1">
        <f t="array" aca="1" ref="AC138" ca="1">MMS_PastureBeef_Soil_N2ODirect_Equations.VEERG_4_2_1_3__4_NitrogenRetainedByBody(AE102,AC74,AC38,AC122)</f>
        <v>#N/A</v>
      </c>
      <c r="AD138" s="26" t="e" cm="1">
        <f t="array" aca="1" ref="AD138" ca="1">MMS_PastureBeef_Soil_N2ODirect_Equations.VEERG_4_2_1_3__4_NitrogenRetainedByBody(AF102,AD74,AD38,AD122)</f>
        <v>#N/A</v>
      </c>
      <c r="AE138" s="26" t="e" cm="1">
        <f t="array" aca="1" ref="AE138" ca="1">MMS_PastureBeef_Soil_N2ODirect_Equations.VEERG_4_2_1_3__4_NitrogenRetainedByBody(AG102,AE74,AE38,AE122)</f>
        <v>#N/A</v>
      </c>
      <c r="AF138" s="27" t="str">
        <f t="shared" si="7"/>
        <v>kg N/head/day</v>
      </c>
      <c r="AG138" s="27"/>
      <c r="AH138" s="27"/>
    </row>
    <row r="139" spans="3:34" ht="20.100000000000001" customHeight="1" x14ac:dyDescent="0.25">
      <c r="D139" s="89" t="s">
        <v>259</v>
      </c>
      <c r="E139" s="1" t="str" cm="1">
        <f t="array" ref="E139">MMS_PastureBeef_Soil_N2ODirect_Equations.VEERG_4_2_1_3__3_NitrogenExcreted_Variable()</f>
        <v>NE_jkl</v>
      </c>
      <c r="U139" s="26" t="e">
        <f>TEXT(EDATE('Input - Site'!$E$12,3), "mmmm yyyy")</f>
        <v>#VALUE!</v>
      </c>
      <c r="V139" s="26" t="e" cm="1">
        <f t="array" aca="1" ref="V139" ca="1">MMS_PastureBeef_Soil_N2ODirect_Equations.VEERG_4_2_1_3__4_NitrogenRetainedByBody(X103,V75,V39,V123)</f>
        <v>#N/A</v>
      </c>
      <c r="W139" s="26" t="e" cm="1">
        <f t="array" aca="1" ref="W139" ca="1">MMS_PastureBeef_Soil_N2ODirect_Equations.VEERG_4_2_1_3__4_NitrogenRetainedByBody(Y103,W75,W39,W123)</f>
        <v>#N/A</v>
      </c>
      <c r="X139" s="26" t="e" cm="1">
        <f t="array" aca="1" ref="X139" ca="1">MMS_PastureBeef_Soil_N2ODirect_Equations.VEERG_4_2_1_3__4_NitrogenRetainedByBody(Z103,X75,X39,X123)</f>
        <v>#N/A</v>
      </c>
      <c r="Y139" s="26" t="e" cm="1">
        <f t="array" aca="1" ref="Y139" ca="1">MMS_PastureBeef_Soil_N2ODirect_Equations.VEERG_4_2_1_3__4_NitrogenRetainedByBody(AA103,Y75,Y39,Y123)</f>
        <v>#N/A</v>
      </c>
      <c r="Z139" s="26" t="e" cm="1">
        <f t="array" aca="1" ref="Z139" ca="1">MMS_PastureBeef_Soil_N2ODirect_Equations.VEERG_4_2_1_3__4_NitrogenRetainedByBody(AB103,Z75,Z39,Z123)</f>
        <v>#N/A</v>
      </c>
      <c r="AA139" s="26" t="e" cm="1">
        <f t="array" aca="1" ref="AA139" ca="1">MMS_PastureBeef_Soil_N2ODirect_Equations.VEERG_4_2_1_3__4_NitrogenRetainedByBody(AC103,AA75,AA39,AA123)</f>
        <v>#N/A</v>
      </c>
      <c r="AB139" s="26" t="e" cm="1">
        <f t="array" aca="1" ref="AB139" ca="1">MMS_PastureBeef_Soil_N2ODirect_Equations.VEERG_4_2_1_3__4_NitrogenRetainedByBody(AD103,AB75,AB39,AB123)</f>
        <v>#N/A</v>
      </c>
      <c r="AC139" s="26" t="e" cm="1">
        <f t="array" aca="1" ref="AC139" ca="1">MMS_PastureBeef_Soil_N2ODirect_Equations.VEERG_4_2_1_3__4_NitrogenRetainedByBody(AE103,AC75,AC39,AC123)</f>
        <v>#N/A</v>
      </c>
      <c r="AD139" s="26" t="e" cm="1">
        <f t="array" aca="1" ref="AD139" ca="1">MMS_PastureBeef_Soil_N2ODirect_Equations.VEERG_4_2_1_3__4_NitrogenRetainedByBody(AF103,AD75,AD39,AD123)</f>
        <v>#N/A</v>
      </c>
      <c r="AE139" s="26" t="e" cm="1">
        <f t="array" aca="1" ref="AE139" ca="1">MMS_PastureBeef_Soil_N2ODirect_Equations.VEERG_4_2_1_3__4_NitrogenRetainedByBody(AG103,AE75,AE39,AE123)</f>
        <v>#N/A</v>
      </c>
      <c r="AF139" s="27" t="str">
        <f t="shared" si="7"/>
        <v>kg N/head/day</v>
      </c>
      <c r="AG139" s="27"/>
      <c r="AH139" s="27"/>
    </row>
    <row r="140" spans="3:34" ht="20.100000000000001" customHeight="1" x14ac:dyDescent="0.25">
      <c r="D140" s="89" t="s">
        <v>133</v>
      </c>
      <c r="E140" s="15" t="str" cm="1">
        <f t="array" ref="E140">MMS_PastureBeef_Soil_N2ODirect_Equations.VEERG_4_2_1_3__3_NitrogenExcreted_Unit()</f>
        <v>kg N/head/day</v>
      </c>
      <c r="U140" s="26" t="e">
        <f>TEXT(EDATE('Input - Site'!$E$12,4), "mmmm yyyy")</f>
        <v>#VALUE!</v>
      </c>
      <c r="V140" s="26" t="e" cm="1">
        <f t="array" aca="1" ref="V140" ca="1">MMS_PastureBeef_Soil_N2ODirect_Equations.VEERG_4_2_1_3__4_NitrogenRetainedByBody(X104,V76,V40,V124)</f>
        <v>#N/A</v>
      </c>
      <c r="W140" s="26" t="e" cm="1">
        <f t="array" aca="1" ref="W140" ca="1">MMS_PastureBeef_Soil_N2ODirect_Equations.VEERG_4_2_1_3__4_NitrogenRetainedByBody(Y104,W76,W40,W124)</f>
        <v>#N/A</v>
      </c>
      <c r="X140" s="26" t="e" cm="1">
        <f t="array" aca="1" ref="X140" ca="1">MMS_PastureBeef_Soil_N2ODirect_Equations.VEERG_4_2_1_3__4_NitrogenRetainedByBody(Z104,X76,X40,X124)</f>
        <v>#N/A</v>
      </c>
      <c r="Y140" s="26" t="e" cm="1">
        <f t="array" aca="1" ref="Y140" ca="1">MMS_PastureBeef_Soil_N2ODirect_Equations.VEERG_4_2_1_3__4_NitrogenRetainedByBody(AA104,Y76,Y40,Y124)</f>
        <v>#N/A</v>
      </c>
      <c r="Z140" s="26" t="e" cm="1">
        <f t="array" aca="1" ref="Z140" ca="1">MMS_PastureBeef_Soil_N2ODirect_Equations.VEERG_4_2_1_3__4_NitrogenRetainedByBody(AB104,Z76,Z40,Z124)</f>
        <v>#N/A</v>
      </c>
      <c r="AA140" s="26" t="e" cm="1">
        <f t="array" aca="1" ref="AA140" ca="1">MMS_PastureBeef_Soil_N2ODirect_Equations.VEERG_4_2_1_3__4_NitrogenRetainedByBody(AC104,AA76,AA40,AA124)</f>
        <v>#N/A</v>
      </c>
      <c r="AB140" s="26" t="e" cm="1">
        <f t="array" aca="1" ref="AB140" ca="1">MMS_PastureBeef_Soil_N2ODirect_Equations.VEERG_4_2_1_3__4_NitrogenRetainedByBody(AD104,AB76,AB40,AB124)</f>
        <v>#N/A</v>
      </c>
      <c r="AC140" s="26" t="e" cm="1">
        <f t="array" aca="1" ref="AC140" ca="1">MMS_PastureBeef_Soil_N2ODirect_Equations.VEERG_4_2_1_3__4_NitrogenRetainedByBody(AE104,AC76,AC40,AC124)</f>
        <v>#N/A</v>
      </c>
      <c r="AD140" s="26" t="e" cm="1">
        <f t="array" aca="1" ref="AD140" ca="1">MMS_PastureBeef_Soil_N2ODirect_Equations.VEERG_4_2_1_3__4_NitrogenRetainedByBody(AF104,AD76,AD40,AD124)</f>
        <v>#N/A</v>
      </c>
      <c r="AE140" s="26" t="e" cm="1">
        <f t="array" aca="1" ref="AE140" ca="1">MMS_PastureBeef_Soil_N2ODirect_Equations.VEERG_4_2_1_3__4_NitrogenRetainedByBody(AG104,AE76,AE40,AE124)</f>
        <v>#N/A</v>
      </c>
      <c r="AF140" s="27" t="str">
        <f t="shared" si="7"/>
        <v>kg N/head/day</v>
      </c>
      <c r="AG140" s="27"/>
      <c r="AH140" s="27"/>
    </row>
    <row r="141" spans="3:34" ht="20.100000000000001" customHeight="1" x14ac:dyDescent="0.25">
      <c r="U141" s="26" t="e">
        <f>TEXT(EDATE('Input - Site'!$E$12,5), "mmmm yyyy")</f>
        <v>#VALUE!</v>
      </c>
      <c r="V141" s="26" t="e" cm="1">
        <f t="array" aca="1" ref="V141" ca="1">MMS_PastureBeef_Soil_N2ODirect_Equations.VEERG_4_2_1_3__4_NitrogenRetainedByBody(X105,V77,V41,V125)</f>
        <v>#N/A</v>
      </c>
      <c r="W141" s="26" t="e" cm="1">
        <f t="array" aca="1" ref="W141" ca="1">MMS_PastureBeef_Soil_N2ODirect_Equations.VEERG_4_2_1_3__4_NitrogenRetainedByBody(Y105,W77,W41,W125)</f>
        <v>#N/A</v>
      </c>
      <c r="X141" s="26" t="e" cm="1">
        <f t="array" aca="1" ref="X141" ca="1">MMS_PastureBeef_Soil_N2ODirect_Equations.VEERG_4_2_1_3__4_NitrogenRetainedByBody(Z105,X77,X41,X125)</f>
        <v>#N/A</v>
      </c>
      <c r="Y141" s="26" t="e" cm="1">
        <f t="array" aca="1" ref="Y141" ca="1">MMS_PastureBeef_Soil_N2ODirect_Equations.VEERG_4_2_1_3__4_NitrogenRetainedByBody(AA105,Y77,Y41,Y125)</f>
        <v>#N/A</v>
      </c>
      <c r="Z141" s="26" t="e" cm="1">
        <f t="array" aca="1" ref="Z141" ca="1">MMS_PastureBeef_Soil_N2ODirect_Equations.VEERG_4_2_1_3__4_NitrogenRetainedByBody(AB105,Z77,Z41,Z125)</f>
        <v>#N/A</v>
      </c>
      <c r="AA141" s="26" t="e" cm="1">
        <f t="array" aca="1" ref="AA141" ca="1">MMS_PastureBeef_Soil_N2ODirect_Equations.VEERG_4_2_1_3__4_NitrogenRetainedByBody(AC105,AA77,AA41,AA125)</f>
        <v>#N/A</v>
      </c>
      <c r="AB141" s="26" t="e" cm="1">
        <f t="array" aca="1" ref="AB141" ca="1">MMS_PastureBeef_Soil_N2ODirect_Equations.VEERG_4_2_1_3__4_NitrogenRetainedByBody(AD105,AB77,AB41,AB125)</f>
        <v>#N/A</v>
      </c>
      <c r="AC141" s="26" t="e" cm="1">
        <f t="array" aca="1" ref="AC141" ca="1">MMS_PastureBeef_Soil_N2ODirect_Equations.VEERG_4_2_1_3__4_NitrogenRetainedByBody(AE105,AC77,AC41,AC125)</f>
        <v>#N/A</v>
      </c>
      <c r="AD141" s="26" t="e" cm="1">
        <f t="array" aca="1" ref="AD141" ca="1">MMS_PastureBeef_Soil_N2ODirect_Equations.VEERG_4_2_1_3__4_NitrogenRetainedByBody(AF105,AD77,AD41,AD125)</f>
        <v>#N/A</v>
      </c>
      <c r="AE141" s="26" t="e" cm="1">
        <f t="array" aca="1" ref="AE141" ca="1">MMS_PastureBeef_Soil_N2ODirect_Equations.VEERG_4_2_1_3__4_NitrogenRetainedByBody(AG105,AE77,AE41,AE125)</f>
        <v>#N/A</v>
      </c>
      <c r="AF141" s="27" t="str">
        <f t="shared" si="7"/>
        <v>kg N/head/day</v>
      </c>
      <c r="AG141" s="27"/>
      <c r="AH141" s="27"/>
    </row>
    <row r="142" spans="3:34" ht="20.100000000000001" customHeight="1" x14ac:dyDescent="0.25">
      <c r="D142" s="106" t="str" cm="1">
        <f t="array" ref="D142:E148">_xlfn.CHOOSECOLS(MMS_PastureBeef_Soil_N2ODirect_Equations.VEERG_4_2_1_3__3_NitrogenExcreted_Arguments(),1,2)</f>
        <v>I_jkl</v>
      </c>
      <c r="E142" s="107" t="str">
        <v>dry matter intake as calculated in Chapter 3 Section 3.2.1 (kg DM/head/day)</v>
      </c>
      <c r="F142" s="109"/>
      <c r="G142" s="106" t="str" cm="1">
        <f t="array" ref="G142:H148">_xlfn.CHOOSECOLS(MMS_PastureBeef_Soil_N2ODirect_Equations.VEERG_4_2_1_3__3_NitrogenExcreted_Arguments(),3,4)</f>
        <v>kg DM/head/day</v>
      </c>
      <c r="H142" s="111" t="str">
        <v>Calculated from 3.2.1.1 (3)</v>
      </c>
      <c r="I142" s="112" t="str" cm="1">
        <f t="array" aca="1" ref="I142" ca="1">HYPERLINK(Common_InputFunctions.Utility_SourceHyperlink($D$51),$D$51)</f>
        <v>M1_Table_I_j_k_l</v>
      </c>
      <c r="U142" s="26" t="e">
        <f>TEXT(EDATE('Input - Site'!$E$12,6), "mmmm yyyy")</f>
        <v>#VALUE!</v>
      </c>
      <c r="V142" s="26" t="e" cm="1">
        <f t="array" aca="1" ref="V142" ca="1">MMS_PastureBeef_Soil_N2ODirect_Equations.VEERG_4_2_1_3__4_NitrogenRetainedByBody(X106,V78,V42,V126)</f>
        <v>#N/A</v>
      </c>
      <c r="W142" s="26" t="e" cm="1">
        <f t="array" aca="1" ref="W142" ca="1">MMS_PastureBeef_Soil_N2ODirect_Equations.VEERG_4_2_1_3__4_NitrogenRetainedByBody(Y106,W78,W42,W126)</f>
        <v>#N/A</v>
      </c>
      <c r="X142" s="26" t="e" cm="1">
        <f t="array" aca="1" ref="X142" ca="1">MMS_PastureBeef_Soil_N2ODirect_Equations.VEERG_4_2_1_3__4_NitrogenRetainedByBody(Z106,X78,X42,X126)</f>
        <v>#N/A</v>
      </c>
      <c r="Y142" s="26" t="e" cm="1">
        <f t="array" aca="1" ref="Y142" ca="1">MMS_PastureBeef_Soil_N2ODirect_Equations.VEERG_4_2_1_3__4_NitrogenRetainedByBody(AA106,Y78,Y42,Y126)</f>
        <v>#N/A</v>
      </c>
      <c r="Z142" s="26" t="e" cm="1">
        <f t="array" aca="1" ref="Z142" ca="1">MMS_PastureBeef_Soil_N2ODirect_Equations.VEERG_4_2_1_3__4_NitrogenRetainedByBody(AB106,Z78,Z42,Z126)</f>
        <v>#N/A</v>
      </c>
      <c r="AA142" s="26" t="e" cm="1">
        <f t="array" aca="1" ref="AA142" ca="1">MMS_PastureBeef_Soil_N2ODirect_Equations.VEERG_4_2_1_3__4_NitrogenRetainedByBody(AC106,AA78,AA42,AA126)</f>
        <v>#N/A</v>
      </c>
      <c r="AB142" s="26" t="e" cm="1">
        <f t="array" aca="1" ref="AB142" ca="1">MMS_PastureBeef_Soil_N2ODirect_Equations.VEERG_4_2_1_3__4_NitrogenRetainedByBody(AD106,AB78,AB42,AB126)</f>
        <v>#N/A</v>
      </c>
      <c r="AC142" s="26" t="e" cm="1">
        <f t="array" aca="1" ref="AC142" ca="1">MMS_PastureBeef_Soil_N2ODirect_Equations.VEERG_4_2_1_3__4_NitrogenRetainedByBody(AE106,AC78,AC42,AC126)</f>
        <v>#N/A</v>
      </c>
      <c r="AD142" s="26" t="e" cm="1">
        <f t="array" aca="1" ref="AD142" ca="1">MMS_PastureBeef_Soil_N2ODirect_Equations.VEERG_4_2_1_3__4_NitrogenRetainedByBody(AF106,AD78,AD42,AD126)</f>
        <v>#N/A</v>
      </c>
      <c r="AE142" s="26" t="e" cm="1">
        <f t="array" aca="1" ref="AE142" ca="1">MMS_PastureBeef_Soil_N2ODirect_Equations.VEERG_4_2_1_3__4_NitrogenRetainedByBody(AG106,AE78,AE42,AE126)</f>
        <v>#N/A</v>
      </c>
      <c r="AF142" s="27" t="str">
        <f t="shared" si="7"/>
        <v>kg N/head/day</v>
      </c>
      <c r="AG142" s="27"/>
      <c r="AH142" s="27"/>
    </row>
    <row r="143" spans="3:34" ht="20.100000000000001" customHeight="1" x14ac:dyDescent="0.25">
      <c r="D143" s="106" t="str">
        <v>CP_j</v>
      </c>
      <c r="E143" s="107" t="str">
        <v>crude protein content of dry matter intake</v>
      </c>
      <c r="F143" s="109"/>
      <c r="G143" s="106" t="str">
        <v>fraction</v>
      </c>
      <c r="H143" s="110" t="str">
        <v>Input</v>
      </c>
      <c r="I143" s="112" t="str" cm="1">
        <f t="array" aca="1" ref="I143" ca="1">HYPERLINK(Common_InputFunctions.Utility_SourceHyperlink($D$150), $D$150)</f>
        <v>M1_Table_CP_j</v>
      </c>
      <c r="U143" s="26" t="e">
        <f>TEXT(EDATE('Input - Site'!$E$12,7), "mmmm yyyy")</f>
        <v>#VALUE!</v>
      </c>
      <c r="V143" s="26" t="e" cm="1">
        <f t="array" aca="1" ref="V143" ca="1">MMS_PastureBeef_Soil_N2ODirect_Equations.VEERG_4_2_1_3__4_NitrogenRetainedByBody(X107,V79,V43,V127)</f>
        <v>#N/A</v>
      </c>
      <c r="W143" s="26" t="e" cm="1">
        <f t="array" aca="1" ref="W143" ca="1">MMS_PastureBeef_Soil_N2ODirect_Equations.VEERG_4_2_1_3__4_NitrogenRetainedByBody(Y107,W79,W43,W127)</f>
        <v>#N/A</v>
      </c>
      <c r="X143" s="26" t="e" cm="1">
        <f t="array" aca="1" ref="X143" ca="1">MMS_PastureBeef_Soil_N2ODirect_Equations.VEERG_4_2_1_3__4_NitrogenRetainedByBody(Z107,X79,X43,X127)</f>
        <v>#N/A</v>
      </c>
      <c r="Y143" s="26" t="e" cm="1">
        <f t="array" aca="1" ref="Y143" ca="1">MMS_PastureBeef_Soil_N2ODirect_Equations.VEERG_4_2_1_3__4_NitrogenRetainedByBody(AA107,Y79,Y43,Y127)</f>
        <v>#N/A</v>
      </c>
      <c r="Z143" s="26" t="e" cm="1">
        <f t="array" aca="1" ref="Z143" ca="1">MMS_PastureBeef_Soil_N2ODirect_Equations.VEERG_4_2_1_3__4_NitrogenRetainedByBody(AB107,Z79,Z43,Z127)</f>
        <v>#N/A</v>
      </c>
      <c r="AA143" s="26" t="e" cm="1">
        <f t="array" aca="1" ref="AA143" ca="1">MMS_PastureBeef_Soil_N2ODirect_Equations.VEERG_4_2_1_3__4_NitrogenRetainedByBody(AC107,AA79,AA43,AA127)</f>
        <v>#N/A</v>
      </c>
      <c r="AB143" s="26" t="e" cm="1">
        <f t="array" aca="1" ref="AB143" ca="1">MMS_PastureBeef_Soil_N2ODirect_Equations.VEERG_4_2_1_3__4_NitrogenRetainedByBody(AD107,AB79,AB43,AB127)</f>
        <v>#N/A</v>
      </c>
      <c r="AC143" s="26" t="e" cm="1">
        <f t="array" aca="1" ref="AC143" ca="1">MMS_PastureBeef_Soil_N2ODirect_Equations.VEERG_4_2_1_3__4_NitrogenRetainedByBody(AE107,AC79,AC43,AC127)</f>
        <v>#N/A</v>
      </c>
      <c r="AD143" s="26" t="e" cm="1">
        <f t="array" aca="1" ref="AD143" ca="1">MMS_PastureBeef_Soil_N2ODirect_Equations.VEERG_4_2_1_3__4_NitrogenRetainedByBody(AF107,AD79,AD43,AD127)</f>
        <v>#N/A</v>
      </c>
      <c r="AE143" s="26" t="e" cm="1">
        <f t="array" aca="1" ref="AE143" ca="1">MMS_PastureBeef_Soil_N2ODirect_Equations.VEERG_4_2_1_3__4_NitrogenRetainedByBody(AG107,AE79,AE43,AE127)</f>
        <v>#N/A</v>
      </c>
      <c r="AF143" s="27" t="str">
        <f t="shared" si="7"/>
        <v>kg N/head/day</v>
      </c>
      <c r="AG143" s="27"/>
      <c r="AH143" s="27"/>
    </row>
    <row r="144" spans="3:34" ht="20.100000000000001" customHeight="1" x14ac:dyDescent="0.25">
      <c r="D144" s="106" t="str">
        <v>MC_jk136</v>
      </c>
      <c r="E144" s="107" t="str">
        <v>milk intake (kg/head/day)</v>
      </c>
      <c r="F144" s="109"/>
      <c r="G144" s="106" t="str">
        <v>kg/head/day</v>
      </c>
      <c r="H144" s="111" t="str">
        <v>Constant</v>
      </c>
      <c r="I144" s="112" t="str" cm="1">
        <f t="array" aca="1" ref="I144" ca="1">HYPERLINK(Common_InputFunctions.Utility_SourceHyperlink($D$158), $D$158)</f>
        <v>M1_Table_MC_j_k_1-3-6</v>
      </c>
      <c r="U144" s="26" t="e">
        <f>TEXT(EDATE('Input - Site'!$E$12,8), "mmmm yyyy")</f>
        <v>#VALUE!</v>
      </c>
      <c r="V144" s="26" t="e" cm="1">
        <f t="array" aca="1" ref="V144" ca="1">MMS_PastureBeef_Soil_N2ODirect_Equations.VEERG_4_2_1_3__4_NitrogenRetainedByBody(X108,V80,V44,V128)</f>
        <v>#N/A</v>
      </c>
      <c r="W144" s="26" t="e" cm="1">
        <f t="array" aca="1" ref="W144" ca="1">MMS_PastureBeef_Soil_N2ODirect_Equations.VEERG_4_2_1_3__4_NitrogenRetainedByBody(Y108,W80,W44,W128)</f>
        <v>#N/A</v>
      </c>
      <c r="X144" s="26" t="e" cm="1">
        <f t="array" aca="1" ref="X144" ca="1">MMS_PastureBeef_Soil_N2ODirect_Equations.VEERG_4_2_1_3__4_NitrogenRetainedByBody(Z108,X80,X44,X128)</f>
        <v>#N/A</v>
      </c>
      <c r="Y144" s="26" t="e" cm="1">
        <f t="array" aca="1" ref="Y144" ca="1">MMS_PastureBeef_Soil_N2ODirect_Equations.VEERG_4_2_1_3__4_NitrogenRetainedByBody(AA108,Y80,Y44,Y128)</f>
        <v>#N/A</v>
      </c>
      <c r="Z144" s="26" t="e" cm="1">
        <f t="array" aca="1" ref="Z144" ca="1">MMS_PastureBeef_Soil_N2ODirect_Equations.VEERG_4_2_1_3__4_NitrogenRetainedByBody(AB108,Z80,Z44,Z128)</f>
        <v>#N/A</v>
      </c>
      <c r="AA144" s="26" t="e" cm="1">
        <f t="array" aca="1" ref="AA144" ca="1">MMS_PastureBeef_Soil_N2ODirect_Equations.VEERG_4_2_1_3__4_NitrogenRetainedByBody(AC108,AA80,AA44,AA128)</f>
        <v>#N/A</v>
      </c>
      <c r="AB144" s="26" t="e" cm="1">
        <f t="array" aca="1" ref="AB144" ca="1">MMS_PastureBeef_Soil_N2ODirect_Equations.VEERG_4_2_1_3__4_NitrogenRetainedByBody(AD108,AB80,AB44,AB128)</f>
        <v>#N/A</v>
      </c>
      <c r="AC144" s="26" t="e" cm="1">
        <f t="array" aca="1" ref="AC144" ca="1">MMS_PastureBeef_Soil_N2ODirect_Equations.VEERG_4_2_1_3__4_NitrogenRetainedByBody(AE108,AC80,AC44,AC128)</f>
        <v>#N/A</v>
      </c>
      <c r="AD144" s="26" t="e" cm="1">
        <f t="array" aca="1" ref="AD144" ca="1">MMS_PastureBeef_Soil_N2ODirect_Equations.VEERG_4_2_1_3__4_NitrogenRetainedByBody(AF108,AD80,AD44,AD128)</f>
        <v>#N/A</v>
      </c>
      <c r="AE144" s="26" t="e" cm="1">
        <f t="array" aca="1" ref="AE144" ca="1">MMS_PastureBeef_Soil_N2ODirect_Equations.VEERG_4_2_1_3__4_NitrogenRetainedByBody(AG108,AE80,AE44,AE128)</f>
        <v>#N/A</v>
      </c>
      <c r="AF144" s="27" t="str">
        <f t="shared" si="7"/>
        <v>kg N/head/day</v>
      </c>
      <c r="AG144" s="27"/>
      <c r="AH144" s="27"/>
    </row>
    <row r="145" spans="4:35" ht="20.100000000000001" customHeight="1" x14ac:dyDescent="0.25">
      <c r="D145" s="106" t="str">
        <v>NR_jkl</v>
      </c>
      <c r="E145" s="107" t="str">
        <v>the amount of nitrogen retained by the body (kg N/head/day)</v>
      </c>
      <c r="F145" s="109"/>
      <c r="G145" s="106" t="str">
        <v>kg N/head/day</v>
      </c>
      <c r="H145" s="111" t="str">
        <v>Calculated from 4.2.1.3 (4)</v>
      </c>
      <c r="I145" s="112" t="str" cm="1">
        <f t="array" aca="1" ref="I145" ca="1">HYPERLINK(Common_InputFunctions.Utility_SourceHyperlink($D$124), $D$124)</f>
        <v>M1_Table_NR_j_k_l</v>
      </c>
      <c r="U145" s="26" t="e">
        <f>TEXT(EDATE('Input - Site'!$E$12,9), "mmmm yyyy")</f>
        <v>#VALUE!</v>
      </c>
      <c r="V145" s="26" t="e" cm="1">
        <f t="array" aca="1" ref="V145" ca="1">MMS_PastureBeef_Soil_N2ODirect_Equations.VEERG_4_2_1_3__4_NitrogenRetainedByBody(X109,V81,V45,V129)</f>
        <v>#N/A</v>
      </c>
      <c r="W145" s="26" t="e" cm="1">
        <f t="array" aca="1" ref="W145" ca="1">MMS_PastureBeef_Soil_N2ODirect_Equations.VEERG_4_2_1_3__4_NitrogenRetainedByBody(Y109,W81,W45,W129)</f>
        <v>#N/A</v>
      </c>
      <c r="X145" s="26" t="e" cm="1">
        <f t="array" aca="1" ref="X145" ca="1">MMS_PastureBeef_Soil_N2ODirect_Equations.VEERG_4_2_1_3__4_NitrogenRetainedByBody(Z109,X81,X45,X129)</f>
        <v>#N/A</v>
      </c>
      <c r="Y145" s="26" t="e" cm="1">
        <f t="array" aca="1" ref="Y145" ca="1">MMS_PastureBeef_Soil_N2ODirect_Equations.VEERG_4_2_1_3__4_NitrogenRetainedByBody(AA109,Y81,Y45,Y129)</f>
        <v>#N/A</v>
      </c>
      <c r="Z145" s="26" t="e" cm="1">
        <f t="array" aca="1" ref="Z145" ca="1">MMS_PastureBeef_Soil_N2ODirect_Equations.VEERG_4_2_1_3__4_NitrogenRetainedByBody(AB109,Z81,Z45,Z129)</f>
        <v>#N/A</v>
      </c>
      <c r="AA145" s="26" t="e" cm="1">
        <f t="array" aca="1" ref="AA145" ca="1">MMS_PastureBeef_Soil_N2ODirect_Equations.VEERG_4_2_1_3__4_NitrogenRetainedByBody(AC109,AA81,AA45,AA129)</f>
        <v>#N/A</v>
      </c>
      <c r="AB145" s="26" t="e" cm="1">
        <f t="array" aca="1" ref="AB145" ca="1">MMS_PastureBeef_Soil_N2ODirect_Equations.VEERG_4_2_1_3__4_NitrogenRetainedByBody(AD109,AB81,AB45,AB129)</f>
        <v>#N/A</v>
      </c>
      <c r="AC145" s="26" t="e" cm="1">
        <f t="array" aca="1" ref="AC145" ca="1">MMS_PastureBeef_Soil_N2ODirect_Equations.VEERG_4_2_1_3__4_NitrogenRetainedByBody(AE109,AC81,AC45,AC129)</f>
        <v>#N/A</v>
      </c>
      <c r="AD145" s="26" t="e" cm="1">
        <f t="array" aca="1" ref="AD145" ca="1">MMS_PastureBeef_Soil_N2ODirect_Equations.VEERG_4_2_1_3__4_NitrogenRetainedByBody(AF109,AD81,AD45,AD129)</f>
        <v>#N/A</v>
      </c>
      <c r="AE145" s="26" t="e" cm="1">
        <f t="array" aca="1" ref="AE145" ca="1">MMS_PastureBeef_Soil_N2ODirect_Equations.VEERG_4_2_1_3__4_NitrogenRetainedByBody(AG109,AE81,AE45,AE129)</f>
        <v>#N/A</v>
      </c>
      <c r="AF145" s="27" t="str">
        <f t="shared" si="7"/>
        <v>kg N/head/day</v>
      </c>
      <c r="AG145" s="27"/>
      <c r="AH145" s="27"/>
    </row>
    <row r="146" spans="4:35" ht="20.100000000000001" customHeight="1" x14ac:dyDescent="0.25">
      <c r="D146" s="106" t="str">
        <v>W_jkl</v>
      </c>
      <c r="E146" s="107" t="str">
        <v>liveweight (kg/head)</v>
      </c>
      <c r="F146" s="109"/>
      <c r="G146" s="106" t="str">
        <v>kg/head</v>
      </c>
      <c r="H146" s="110" t="str">
        <v>Input</v>
      </c>
      <c r="I146" s="112" t="str" cm="1">
        <f t="array" aca="1" ref="I146" ca="1">HYPERLINK(Common_InputFunctions.Utility_SourceHyperlink($D$17), $D$17)</f>
        <v>M1_Table_W_j_k_l</v>
      </c>
      <c r="U146" s="26" t="e">
        <f>TEXT(EDATE('Input - Site'!$E$12,10), "mmmm yyyy")</f>
        <v>#VALUE!</v>
      </c>
      <c r="V146" s="26" t="e" cm="1">
        <f t="array" aca="1" ref="V146" ca="1">MMS_PastureBeef_Soil_N2ODirect_Equations.VEERG_4_2_1_3__4_NitrogenRetainedByBody(X110,V82,V46,V130)</f>
        <v>#N/A</v>
      </c>
      <c r="W146" s="26" t="e" cm="1">
        <f t="array" aca="1" ref="W146" ca="1">MMS_PastureBeef_Soil_N2ODirect_Equations.VEERG_4_2_1_3__4_NitrogenRetainedByBody(Y110,W82,W46,W130)</f>
        <v>#N/A</v>
      </c>
      <c r="X146" s="26" t="e" cm="1">
        <f t="array" aca="1" ref="X146" ca="1">MMS_PastureBeef_Soil_N2ODirect_Equations.VEERG_4_2_1_3__4_NitrogenRetainedByBody(Z110,X82,X46,X130)</f>
        <v>#N/A</v>
      </c>
      <c r="Y146" s="26" t="e" cm="1">
        <f t="array" aca="1" ref="Y146" ca="1">MMS_PastureBeef_Soil_N2ODirect_Equations.VEERG_4_2_1_3__4_NitrogenRetainedByBody(AA110,Y82,Y46,Y130)</f>
        <v>#N/A</v>
      </c>
      <c r="Z146" s="26" t="e" cm="1">
        <f t="array" aca="1" ref="Z146" ca="1">MMS_PastureBeef_Soil_N2ODirect_Equations.VEERG_4_2_1_3__4_NitrogenRetainedByBody(AB110,Z82,Z46,Z130)</f>
        <v>#N/A</v>
      </c>
      <c r="AA146" s="26" t="e" cm="1">
        <f t="array" aca="1" ref="AA146" ca="1">MMS_PastureBeef_Soil_N2ODirect_Equations.VEERG_4_2_1_3__4_NitrogenRetainedByBody(AC110,AA82,AA46,AA130)</f>
        <v>#N/A</v>
      </c>
      <c r="AB146" s="26" t="e" cm="1">
        <f t="array" aca="1" ref="AB146" ca="1">MMS_PastureBeef_Soil_N2ODirect_Equations.VEERG_4_2_1_3__4_NitrogenRetainedByBody(AD110,AB82,AB46,AB130)</f>
        <v>#N/A</v>
      </c>
      <c r="AC146" s="26" t="e" cm="1">
        <f t="array" aca="1" ref="AC146" ca="1">MMS_PastureBeef_Soil_N2ODirect_Equations.VEERG_4_2_1_3__4_NitrogenRetainedByBody(AE110,AC82,AC46,AC130)</f>
        <v>#N/A</v>
      </c>
      <c r="AD146" s="26" t="e" cm="1">
        <f t="array" aca="1" ref="AD146" ca="1">MMS_PastureBeef_Soil_N2ODirect_Equations.VEERG_4_2_1_3__4_NitrogenRetainedByBody(AF110,AD82,AD46,AD130)</f>
        <v>#N/A</v>
      </c>
      <c r="AE146" s="26" t="e" cm="1">
        <f t="array" aca="1" ref="AE146" ca="1">MMS_PastureBeef_Soil_N2ODirect_Equations.VEERG_4_2_1_3__4_NitrogenRetainedByBody(AG110,AE82,AE46,AE130)</f>
        <v>#N/A</v>
      </c>
      <c r="AF146" s="27" t="str">
        <f t="shared" si="7"/>
        <v>kg N/head/day</v>
      </c>
      <c r="AG146" s="27"/>
      <c r="AH146" s="27"/>
    </row>
    <row r="147" spans="4:35" ht="20.100000000000001" customHeight="1" x14ac:dyDescent="0.25">
      <c r="D147" s="106" t="str">
        <v>b</v>
      </c>
      <c r="E147" s="107" t="str">
        <v>breed of cattle</v>
      </c>
      <c r="F147" s="109"/>
      <c r="G147" s="106" t="str">
        <v/>
      </c>
      <c r="H147" s="110" t="str">
        <v>Input</v>
      </c>
      <c r="I147" s="121" t="str">
        <f>X_Cell_PastureBeef_Breed</f>
        <v>Hereford or Shorthorn breeds</v>
      </c>
      <c r="U147" s="26" t="e">
        <f>TEXT(EDATE('Input - Site'!$E$12,11), "mmmm yyyy")</f>
        <v>#VALUE!</v>
      </c>
      <c r="V147" s="26" t="e" cm="1">
        <f t="array" aca="1" ref="V147" ca="1">MMS_PastureBeef_Soil_N2ODirect_Equations.VEERG_4_2_1_3__4_NitrogenRetainedByBody(X111,V83,V47,V131)</f>
        <v>#N/A</v>
      </c>
      <c r="W147" s="26" t="e" cm="1">
        <f t="array" aca="1" ref="W147" ca="1">MMS_PastureBeef_Soil_N2ODirect_Equations.VEERG_4_2_1_3__4_NitrogenRetainedByBody(Y111,W83,W47,W131)</f>
        <v>#N/A</v>
      </c>
      <c r="X147" s="26" t="e" cm="1">
        <f t="array" aca="1" ref="X147" ca="1">MMS_PastureBeef_Soil_N2ODirect_Equations.VEERG_4_2_1_3__4_NitrogenRetainedByBody(Z111,X83,X47,X131)</f>
        <v>#N/A</v>
      </c>
      <c r="Y147" s="26" t="e" cm="1">
        <f t="array" aca="1" ref="Y147" ca="1">MMS_PastureBeef_Soil_N2ODirect_Equations.VEERG_4_2_1_3__4_NitrogenRetainedByBody(AA111,Y83,Y47,Y131)</f>
        <v>#N/A</v>
      </c>
      <c r="Z147" s="26" t="e" cm="1">
        <f t="array" aca="1" ref="Z147" ca="1">MMS_PastureBeef_Soil_N2ODirect_Equations.VEERG_4_2_1_3__4_NitrogenRetainedByBody(AB111,Z83,Z47,Z131)</f>
        <v>#N/A</v>
      </c>
      <c r="AA147" s="26" t="e" cm="1">
        <f t="array" aca="1" ref="AA147" ca="1">MMS_PastureBeef_Soil_N2ODirect_Equations.VEERG_4_2_1_3__4_NitrogenRetainedByBody(AC111,AA83,AA47,AA131)</f>
        <v>#N/A</v>
      </c>
      <c r="AB147" s="26" t="e" cm="1">
        <f t="array" aca="1" ref="AB147" ca="1">MMS_PastureBeef_Soil_N2ODirect_Equations.VEERG_4_2_1_3__4_NitrogenRetainedByBody(AD111,AB83,AB47,AB131)</f>
        <v>#N/A</v>
      </c>
      <c r="AC147" s="26" t="e" cm="1">
        <f t="array" aca="1" ref="AC147" ca="1">MMS_PastureBeef_Soil_N2ODirect_Equations.VEERG_4_2_1_3__4_NitrogenRetainedByBody(AE111,AC83,AC47,AC131)</f>
        <v>#N/A</v>
      </c>
      <c r="AD147" s="26" t="e" cm="1">
        <f t="array" aca="1" ref="AD147" ca="1">MMS_PastureBeef_Soil_N2ODirect_Equations.VEERG_4_2_1_3__4_NitrogenRetainedByBody(AF111,AD83,AD47,AD131)</f>
        <v>#N/A</v>
      </c>
      <c r="AE147" s="26" t="e" cm="1">
        <f t="array" aca="1" ref="AE147" ca="1">MMS_PastureBeef_Soil_N2ODirect_Equations.VEERG_4_2_1_3__4_NitrogenRetainedByBody(AG111,AE83,AE47,AE131)</f>
        <v>#N/A</v>
      </c>
      <c r="AF147" s="27" t="str">
        <f t="shared" si="7"/>
        <v>kg N/head/day</v>
      </c>
      <c r="AG147" s="27"/>
      <c r="AH147" s="27"/>
    </row>
    <row r="148" spans="4:35" ht="20.100000000000001" customHeight="1" x14ac:dyDescent="0.25">
      <c r="D148" s="106" t="str">
        <v>s</v>
      </c>
      <c r="E148" s="107" t="str">
        <v>Calving season</v>
      </c>
      <c r="F148" s="109"/>
      <c r="G148" s="106" t="str">
        <v/>
      </c>
      <c r="H148" s="110" t="str">
        <v>Input</v>
      </c>
      <c r="I148" s="121" t="str">
        <f>'Input - Pasture Beef'!$E$105</f>
        <v>Winter</v>
      </c>
    </row>
    <row r="149" spans="4:35" ht="20.100000000000001" customHeight="1" x14ac:dyDescent="0.25"/>
    <row r="150" spans="4:35" ht="20.100000000000001" customHeight="1" x14ac:dyDescent="0.25">
      <c r="D150" s="113" t="s">
        <v>440</v>
      </c>
      <c r="T150" s="117"/>
      <c r="U150" s="117"/>
      <c r="V150" s="117"/>
      <c r="W150" s="117"/>
      <c r="X150" s="117"/>
      <c r="Y150" s="117"/>
      <c r="Z150" s="117"/>
      <c r="AA150" s="117"/>
      <c r="AB150" s="117"/>
      <c r="AC150" s="117"/>
      <c r="AD150" s="117"/>
      <c r="AE150" s="117"/>
      <c r="AF150" s="117"/>
      <c r="AG150" s="117"/>
      <c r="AH150" s="117"/>
      <c r="AI150" s="117"/>
    </row>
    <row r="151" spans="4:35" ht="20.100000000000001" customHeight="1" x14ac:dyDescent="0.25">
      <c r="D151" s="114" t="s">
        <v>441</v>
      </c>
      <c r="U151" s="2" t="str" cm="1">
        <f t="array" ref="U151">MMS_PastureBeef_Soil_N2ODirect_Equations.VEERG_4_2_1_3__3_NitrogenExcreted_Title()</f>
        <v>Nitrogen excreted</v>
      </c>
    </row>
    <row r="152" spans="4:35" ht="20.100000000000001" customHeight="1" x14ac:dyDescent="0.25">
      <c r="D152" s="115" t="s">
        <v>79</v>
      </c>
      <c r="E152" s="116" t="s">
        <v>189</v>
      </c>
      <c r="F152" s="116" t="s">
        <v>190</v>
      </c>
      <c r="G152" s="116" t="s">
        <v>191</v>
      </c>
      <c r="H152" s="116" t="s">
        <v>192</v>
      </c>
      <c r="I152" s="116" t="s">
        <v>193</v>
      </c>
      <c r="J152" s="116" t="s">
        <v>194</v>
      </c>
      <c r="K152" s="116" t="s">
        <v>195</v>
      </c>
      <c r="L152" s="116" t="s">
        <v>196</v>
      </c>
      <c r="M152" s="116" t="s">
        <v>197</v>
      </c>
      <c r="N152" s="116" t="s">
        <v>198</v>
      </c>
    </row>
    <row r="153" spans="4:35" ht="20.100000000000001" customHeight="1" x14ac:dyDescent="0.25">
      <c r="D153" s="26" t="s">
        <v>199</v>
      </c>
      <c r="E153" s="26" t="e" cm="1">
        <f t="array" aca="1" ref="E153:N156" ca="1">OFFSET(X_Table_PastureBeef_CrudeProtein_Method1, 1,1, 4,10)</f>
        <v>#N/A</v>
      </c>
      <c r="F153" s="26" t="e">
        <f ca="1"/>
        <v>#N/A</v>
      </c>
      <c r="G153" s="26" t="e">
        <f ca="1"/>
        <v>#N/A</v>
      </c>
      <c r="H153" s="26" t="e">
        <f ca="1"/>
        <v>#N/A</v>
      </c>
      <c r="I153" s="26" t="e">
        <f ca="1"/>
        <v>#N/A</v>
      </c>
      <c r="J153" s="26" t="e">
        <f ca="1"/>
        <v>#N/A</v>
      </c>
      <c r="K153" s="26" t="e">
        <f ca="1"/>
        <v>#N/A</v>
      </c>
      <c r="L153" s="26" t="e">
        <f ca="1"/>
        <v>#N/A</v>
      </c>
      <c r="M153" s="26" t="e">
        <f ca="1"/>
        <v>#N/A</v>
      </c>
      <c r="N153" s="26" t="e">
        <f ca="1"/>
        <v>#N/A</v>
      </c>
      <c r="O153" s="27" t="s">
        <v>229</v>
      </c>
    </row>
    <row r="154" spans="4:35" ht="20.100000000000001" customHeight="1" x14ac:dyDescent="0.25">
      <c r="D154" s="26" t="s">
        <v>200</v>
      </c>
      <c r="E154" s="26" t="e">
        <f ca="1"/>
        <v>#N/A</v>
      </c>
      <c r="F154" s="26" t="e">
        <f ca="1"/>
        <v>#N/A</v>
      </c>
      <c r="G154" s="26" t="e">
        <f ca="1"/>
        <v>#N/A</v>
      </c>
      <c r="H154" s="26" t="e">
        <f ca="1"/>
        <v>#N/A</v>
      </c>
      <c r="I154" s="26" t="e">
        <f ca="1"/>
        <v>#N/A</v>
      </c>
      <c r="J154" s="26" t="e">
        <f ca="1"/>
        <v>#N/A</v>
      </c>
      <c r="K154" s="26" t="e">
        <f ca="1"/>
        <v>#N/A</v>
      </c>
      <c r="L154" s="26" t="e">
        <f ca="1"/>
        <v>#N/A</v>
      </c>
      <c r="M154" s="26" t="e">
        <f ca="1"/>
        <v>#N/A</v>
      </c>
      <c r="N154" s="26" t="e">
        <f ca="1"/>
        <v>#N/A</v>
      </c>
      <c r="O154" s="27" t="s">
        <v>229</v>
      </c>
    </row>
    <row r="155" spans="4:35" ht="20.100000000000001" customHeight="1" x14ac:dyDescent="0.25">
      <c r="D155" s="26" t="s">
        <v>201</v>
      </c>
      <c r="E155" s="26" t="e">
        <f ca="1"/>
        <v>#N/A</v>
      </c>
      <c r="F155" s="26" t="e">
        <f ca="1"/>
        <v>#N/A</v>
      </c>
      <c r="G155" s="26" t="e">
        <f ca="1"/>
        <v>#N/A</v>
      </c>
      <c r="H155" s="26" t="e">
        <f ca="1"/>
        <v>#N/A</v>
      </c>
      <c r="I155" s="26" t="e">
        <f ca="1"/>
        <v>#N/A</v>
      </c>
      <c r="J155" s="26" t="e">
        <f ca="1"/>
        <v>#N/A</v>
      </c>
      <c r="K155" s="26" t="e">
        <f ca="1"/>
        <v>#N/A</v>
      </c>
      <c r="L155" s="26" t="e">
        <f ca="1"/>
        <v>#N/A</v>
      </c>
      <c r="M155" s="26" t="e">
        <f ca="1"/>
        <v>#N/A</v>
      </c>
      <c r="N155" s="26" t="e">
        <f ca="1"/>
        <v>#N/A</v>
      </c>
      <c r="O155" s="27" t="s">
        <v>229</v>
      </c>
    </row>
    <row r="156" spans="4:35" ht="20.100000000000001" customHeight="1" x14ac:dyDescent="0.25">
      <c r="D156" s="26" t="s">
        <v>202</v>
      </c>
      <c r="E156" s="26" t="e">
        <f ca="1"/>
        <v>#N/A</v>
      </c>
      <c r="F156" s="26" t="e">
        <f ca="1"/>
        <v>#N/A</v>
      </c>
      <c r="G156" s="26" t="e">
        <f ca="1"/>
        <v>#N/A</v>
      </c>
      <c r="H156" s="26" t="e">
        <f ca="1"/>
        <v>#N/A</v>
      </c>
      <c r="I156" s="26" t="e">
        <f ca="1"/>
        <v>#N/A</v>
      </c>
      <c r="J156" s="26" t="e">
        <f ca="1"/>
        <v>#N/A</v>
      </c>
      <c r="K156" s="26" t="e">
        <f ca="1"/>
        <v>#N/A</v>
      </c>
      <c r="L156" s="26" t="e">
        <f ca="1"/>
        <v>#N/A</v>
      </c>
      <c r="M156" s="26" t="e">
        <f ca="1"/>
        <v>#N/A</v>
      </c>
      <c r="N156" s="26" t="e">
        <f ca="1"/>
        <v>#N/A</v>
      </c>
      <c r="O156" s="27" t="s">
        <v>229</v>
      </c>
    </row>
    <row r="157" spans="4:35" ht="20.100000000000001" customHeight="1" x14ac:dyDescent="0.25"/>
    <row r="158" spans="4:35" ht="20.100000000000001" customHeight="1" x14ac:dyDescent="0.25">
      <c r="D158" s="113" t="s">
        <v>442</v>
      </c>
    </row>
    <row r="159" spans="4:35" ht="20.100000000000001" customHeight="1" x14ac:dyDescent="0.25">
      <c r="D159" s="114" t="s">
        <v>443</v>
      </c>
    </row>
    <row r="160" spans="4:35" ht="20.100000000000001" customHeight="1" x14ac:dyDescent="0.25">
      <c r="D160" s="115" t="s">
        <v>79</v>
      </c>
      <c r="E160" s="115" t="s">
        <v>212</v>
      </c>
      <c r="F160" s="115" t="s">
        <v>189</v>
      </c>
      <c r="G160" s="115" t="s">
        <v>190</v>
      </c>
      <c r="H160" s="115" t="s">
        <v>191</v>
      </c>
      <c r="I160" s="115" t="s">
        <v>192</v>
      </c>
      <c r="J160" s="115" t="s">
        <v>193</v>
      </c>
      <c r="K160" s="115" t="s">
        <v>194</v>
      </c>
      <c r="L160" s="115" t="s">
        <v>195</v>
      </c>
      <c r="M160" s="115" t="s">
        <v>196</v>
      </c>
      <c r="N160" s="115" t="s">
        <v>197</v>
      </c>
      <c r="O160" s="115" t="s">
        <v>198</v>
      </c>
    </row>
    <row r="161" spans="3:34" ht="20.100000000000001" customHeight="1" x14ac:dyDescent="0.25">
      <c r="D161" s="26" t="s">
        <v>199</v>
      </c>
      <c r="E161" s="26" t="str" cm="1">
        <f t="array" ref="E161">_xlfn.IFS($D$161=$I$148,"Calving season",$D$164=$I$148,"Season after calving",TRUE, "")</f>
        <v>Season after calving</v>
      </c>
      <c r="F161" s="26" cm="1">
        <f t="array" ref="F161">_xlfn.XLOOKUP(1, (Table_SourceData_PastureBeef_FeedIntakeAdjustment_Variation[Breed]=$I$147)*(Table_SourceData_PastureBeef_FeedIntakeAdjustment_Variation[Season]=$E161), Table_SourceData_PastureBeef_FeedIntakeAdjustment_Variation[Milk intake/production], 0)</f>
        <v>4</v>
      </c>
      <c r="G161" s="26">
        <v>0</v>
      </c>
      <c r="H161" s="26" cm="1">
        <f t="array" ref="H161">_xlfn.XLOOKUP(1, (Table_SourceData_PastureBeef_FeedIntakeAdjustment_Variation[Breed]=$I$147)*(Table_SourceData_PastureBeef_FeedIntakeAdjustment_Variation[Season]=$E161), Table_SourceData_PastureBeef_FeedIntakeAdjustment_Variation[Milk intake/production], 0)</f>
        <v>4</v>
      </c>
      <c r="I161" s="26">
        <v>0</v>
      </c>
      <c r="J161" s="26">
        <v>0</v>
      </c>
      <c r="K161" s="26">
        <v>0</v>
      </c>
      <c r="L161" s="26" cm="1">
        <f t="array" ref="L161">_xlfn.XLOOKUP(1, (Table_SourceData_PastureBeef_FeedIntakeAdjustment_Variation[Breed]=$I$147)*(Table_SourceData_PastureBeef_FeedIntakeAdjustment_Variation[Season]=$E161), Table_SourceData_PastureBeef_FeedIntakeAdjustment_Variation[Milk intake/production], 0)</f>
        <v>4</v>
      </c>
      <c r="M161" s="26">
        <v>0</v>
      </c>
      <c r="N161" s="26">
        <v>0</v>
      </c>
      <c r="O161" s="26">
        <v>0</v>
      </c>
      <c r="P161" s="27" t="s">
        <v>210</v>
      </c>
      <c r="Q161" s="27"/>
      <c r="U161" s="113" t="s">
        <v>444</v>
      </c>
    </row>
    <row r="162" spans="3:34" ht="20.100000000000001" customHeight="1" x14ac:dyDescent="0.25">
      <c r="D162" s="26" t="s">
        <v>200</v>
      </c>
      <c r="E162" s="26" t="str" cm="1">
        <f t="array" ref="E162">_xlfn.IFS($D$162=$I$148,"Calving season",$D$161=$I$148,"Season after calving",TRUE, "")</f>
        <v/>
      </c>
      <c r="F162" s="26" cm="1">
        <f t="array" ref="F162">_xlfn.XLOOKUP(1, (Table_SourceData_PastureBeef_FeedIntakeAdjustment_Variation[Breed]=$I$147)*(Table_SourceData_PastureBeef_FeedIntakeAdjustment_Variation[Season]=$E162), Table_SourceData_PastureBeef_FeedIntakeAdjustment_Variation[Milk intake/production], 0)</f>
        <v>0</v>
      </c>
      <c r="G162" s="26">
        <v>0</v>
      </c>
      <c r="H162" s="26" cm="1">
        <f t="array" ref="H162">_xlfn.XLOOKUP(1, (Table_SourceData_PastureBeef_FeedIntakeAdjustment_Variation[Breed]=$I$147)*(Table_SourceData_PastureBeef_FeedIntakeAdjustment_Variation[Season]=$E162), Table_SourceData_PastureBeef_FeedIntakeAdjustment_Variation[Milk intake/production], 0)</f>
        <v>0</v>
      </c>
      <c r="I162" s="26">
        <v>0</v>
      </c>
      <c r="J162" s="26">
        <v>0</v>
      </c>
      <c r="K162" s="26">
        <v>0</v>
      </c>
      <c r="L162" s="26" cm="1">
        <f t="array" ref="L162">_xlfn.XLOOKUP(1, (Table_SourceData_PastureBeef_FeedIntakeAdjustment_Variation[Breed]=$I$147)*(Table_SourceData_PastureBeef_FeedIntakeAdjustment_Variation[Season]=$E162), Table_SourceData_PastureBeef_FeedIntakeAdjustment_Variation[Milk intake/production], 0)</f>
        <v>0</v>
      </c>
      <c r="M162" s="26">
        <v>0</v>
      </c>
      <c r="N162" s="26">
        <v>0</v>
      </c>
      <c r="O162" s="26">
        <v>0</v>
      </c>
      <c r="P162" s="27" t="s">
        <v>210</v>
      </c>
      <c r="Q162" s="27"/>
      <c r="U162" s="114" t="s">
        <v>445</v>
      </c>
    </row>
    <row r="163" spans="3:34" ht="20.100000000000001" customHeight="1" x14ac:dyDescent="0.25">
      <c r="D163" s="26" t="s">
        <v>201</v>
      </c>
      <c r="E163" s="26" t="str" cm="1">
        <f t="array" ref="E163">_xlfn.IFS($D$163=$I$148,"Calving season",$D$162=$I$148,"Season after calving",TRUE, "")</f>
        <v/>
      </c>
      <c r="F163" s="26" cm="1">
        <f t="array" ref="F163">_xlfn.XLOOKUP(1, (Table_SourceData_PastureBeef_FeedIntakeAdjustment_Variation[Breed]=$I$147)*(Table_SourceData_PastureBeef_FeedIntakeAdjustment_Variation[Season]=$E163), Table_SourceData_PastureBeef_FeedIntakeAdjustment_Variation[Milk intake/production], 0)</f>
        <v>0</v>
      </c>
      <c r="G163" s="26">
        <v>0</v>
      </c>
      <c r="H163" s="26" cm="1">
        <f t="array" ref="H163">_xlfn.XLOOKUP(1, (Table_SourceData_PastureBeef_FeedIntakeAdjustment_Variation[Breed]=$I$147)*(Table_SourceData_PastureBeef_FeedIntakeAdjustment_Variation[Season]=$E163), Table_SourceData_PastureBeef_FeedIntakeAdjustment_Variation[Milk intake/production], 0)</f>
        <v>0</v>
      </c>
      <c r="I163" s="26">
        <v>0</v>
      </c>
      <c r="J163" s="26">
        <v>0</v>
      </c>
      <c r="K163" s="26">
        <v>0</v>
      </c>
      <c r="L163" s="26" cm="1">
        <f t="array" ref="L163">_xlfn.XLOOKUP(1, (Table_SourceData_PastureBeef_FeedIntakeAdjustment_Variation[Breed]=$I$147)*(Table_SourceData_PastureBeef_FeedIntakeAdjustment_Variation[Season]=$E163), Table_SourceData_PastureBeef_FeedIntakeAdjustment_Variation[Milk intake/production], 0)</f>
        <v>0</v>
      </c>
      <c r="M163" s="26">
        <v>0</v>
      </c>
      <c r="N163" s="26">
        <v>0</v>
      </c>
      <c r="O163" s="26">
        <v>0</v>
      </c>
      <c r="P163" s="27" t="s">
        <v>210</v>
      </c>
      <c r="Q163" s="27"/>
      <c r="U163" s="115" t="s">
        <v>78</v>
      </c>
      <c r="V163" s="116" t="s">
        <v>189</v>
      </c>
      <c r="W163" s="116" t="s">
        <v>190</v>
      </c>
      <c r="X163" s="116" t="s">
        <v>191</v>
      </c>
      <c r="Y163" s="116" t="s">
        <v>192</v>
      </c>
      <c r="Z163" s="116" t="s">
        <v>193</v>
      </c>
      <c r="AA163" s="116" t="s">
        <v>194</v>
      </c>
      <c r="AB163" s="116" t="s">
        <v>195</v>
      </c>
      <c r="AC163" s="116" t="s">
        <v>196</v>
      </c>
      <c r="AD163" s="116" t="s">
        <v>197</v>
      </c>
      <c r="AE163" s="116" t="s">
        <v>198</v>
      </c>
    </row>
    <row r="164" spans="3:34" ht="20.100000000000001" customHeight="1" x14ac:dyDescent="0.25">
      <c r="D164" s="26" t="s">
        <v>202</v>
      </c>
      <c r="E164" s="26" t="str" cm="1">
        <f t="array" ref="E164">_xlfn.IFS($D$164=$I$148,"Calving season",$D$163=$I$148,"Season after calving",TRUE, "")</f>
        <v>Calving season</v>
      </c>
      <c r="F164" s="26" cm="1">
        <f t="array" ref="F164">_xlfn.XLOOKUP(1, (Table_SourceData_PastureBeef_FeedIntakeAdjustment_Variation[Breed]=$I$147)*(Table_SourceData_PastureBeef_FeedIntakeAdjustment_Variation[Season]=$E164), Table_SourceData_PastureBeef_FeedIntakeAdjustment_Variation[Milk intake/production], 0)</f>
        <v>6</v>
      </c>
      <c r="G164" s="26">
        <v>0</v>
      </c>
      <c r="H164" s="26" cm="1">
        <f t="array" ref="H164">_xlfn.XLOOKUP(1, (Table_SourceData_PastureBeef_FeedIntakeAdjustment_Variation[Breed]=$I$147)*(Table_SourceData_PastureBeef_FeedIntakeAdjustment_Variation[Season]=$E164), Table_SourceData_PastureBeef_FeedIntakeAdjustment_Variation[Milk intake/production], 0)</f>
        <v>6</v>
      </c>
      <c r="I164" s="26">
        <v>0</v>
      </c>
      <c r="J164" s="26">
        <v>0</v>
      </c>
      <c r="K164" s="26">
        <v>0</v>
      </c>
      <c r="L164" s="26" cm="1">
        <f t="array" ref="L164">_xlfn.XLOOKUP(1, (Table_SourceData_PastureBeef_FeedIntakeAdjustment_Variation[Breed]=$I$147)*(Table_SourceData_PastureBeef_FeedIntakeAdjustment_Variation[Season]=$E164), Table_SourceData_PastureBeef_FeedIntakeAdjustment_Variation[Milk intake/production], 0)</f>
        <v>6</v>
      </c>
      <c r="M164" s="26">
        <v>0</v>
      </c>
      <c r="N164" s="26">
        <v>0</v>
      </c>
      <c r="O164" s="26">
        <v>0</v>
      </c>
      <c r="P164" s="27" t="s">
        <v>210</v>
      </c>
      <c r="Q164" s="27"/>
      <c r="U164" s="26" t="str">
        <f>TEXT('Input - Site'!$E$12, "mmmm yyyy")</f>
        <v>NO - Not in leaching zone</v>
      </c>
      <c r="V164" s="26" t="e" cm="1">
        <f t="array" aca="1" ref="V164:AE175" ca="1">OFFSET(X_Table_PastureBeef_CrudeProtein_Method2, 1,1, 12,10)</f>
        <v>#N/A</v>
      </c>
      <c r="W164" s="26" t="e">
        <f ca="1"/>
        <v>#N/A</v>
      </c>
      <c r="X164" s="26" t="e">
        <f ca="1"/>
        <v>#N/A</v>
      </c>
      <c r="Y164" s="26" t="e">
        <f ca="1"/>
        <v>#N/A</v>
      </c>
      <c r="Z164" s="26" t="e">
        <f ca="1"/>
        <v>#N/A</v>
      </c>
      <c r="AA164" s="26" t="e">
        <f ca="1"/>
        <v>#N/A</v>
      </c>
      <c r="AB164" s="26" t="e">
        <f ca="1"/>
        <v>#N/A</v>
      </c>
      <c r="AC164" s="26" t="e">
        <f ca="1"/>
        <v>#N/A</v>
      </c>
      <c r="AD164" s="26" t="e">
        <f ca="1"/>
        <v>#N/A</v>
      </c>
      <c r="AE164" s="26" t="e">
        <f ca="1"/>
        <v>#N/A</v>
      </c>
      <c r="AF164" s="27" t="s">
        <v>229</v>
      </c>
    </row>
    <row r="165" spans="3:34" ht="20.100000000000001" customHeight="1" x14ac:dyDescent="0.25">
      <c r="U165" s="26" t="e">
        <f>TEXT(EDATE('Input - Site'!$E$12,1), "mmmm yyyy")</f>
        <v>#VALUE!</v>
      </c>
      <c r="V165" s="26" t="e">
        <f ca="1"/>
        <v>#VALUE!</v>
      </c>
      <c r="W165" s="26" t="e">
        <f ca="1"/>
        <v>#VALUE!</v>
      </c>
      <c r="X165" s="26" t="e">
        <f ca="1"/>
        <v>#VALUE!</v>
      </c>
      <c r="Y165" s="26" t="e">
        <f ca="1"/>
        <v>#VALUE!</v>
      </c>
      <c r="Z165" s="26" t="e">
        <f ca="1"/>
        <v>#VALUE!</v>
      </c>
      <c r="AA165" s="26" t="e">
        <f ca="1"/>
        <v>#VALUE!</v>
      </c>
      <c r="AB165" s="26" t="e">
        <f ca="1"/>
        <v>#VALUE!</v>
      </c>
      <c r="AC165" s="26" t="e">
        <f ca="1"/>
        <v>#VALUE!</v>
      </c>
      <c r="AD165" s="26" t="e">
        <f ca="1"/>
        <v>#VALUE!</v>
      </c>
      <c r="AE165" s="26" t="e">
        <f ca="1"/>
        <v>#VALUE!</v>
      </c>
      <c r="AF165" s="27" t="s">
        <v>229</v>
      </c>
    </row>
    <row r="166" spans="3:34" ht="20.100000000000001" customHeight="1" x14ac:dyDescent="0.25">
      <c r="D166" s="113" t="s">
        <v>446</v>
      </c>
      <c r="U166" s="26" t="e">
        <f>TEXT(EDATE('Input - Site'!$E$12,2), "mmmm yyyy")</f>
        <v>#VALUE!</v>
      </c>
      <c r="V166" s="26" t="e">
        <f ca="1"/>
        <v>#VALUE!</v>
      </c>
      <c r="W166" s="26" t="e">
        <f ca="1"/>
        <v>#VALUE!</v>
      </c>
      <c r="X166" s="26" t="e">
        <f ca="1"/>
        <v>#VALUE!</v>
      </c>
      <c r="Y166" s="26" t="e">
        <f ca="1"/>
        <v>#VALUE!</v>
      </c>
      <c r="Z166" s="26" t="e">
        <f ca="1"/>
        <v>#VALUE!</v>
      </c>
      <c r="AA166" s="26" t="e">
        <f ca="1"/>
        <v>#VALUE!</v>
      </c>
      <c r="AB166" s="26" t="e">
        <f ca="1"/>
        <v>#VALUE!</v>
      </c>
      <c r="AC166" s="26" t="e">
        <f ca="1"/>
        <v>#VALUE!</v>
      </c>
      <c r="AD166" s="26" t="e">
        <f ca="1"/>
        <v>#VALUE!</v>
      </c>
      <c r="AE166" s="26" t="e">
        <f ca="1"/>
        <v>#VALUE!</v>
      </c>
      <c r="AF166" s="27" t="s">
        <v>229</v>
      </c>
    </row>
    <row r="167" spans="3:34" ht="20.100000000000001" customHeight="1" x14ac:dyDescent="0.25">
      <c r="D167" s="114" t="s">
        <v>447</v>
      </c>
      <c r="U167" s="26" t="e">
        <f>TEXT(EDATE('Input - Site'!$E$12,3), "mmmm yyyy")</f>
        <v>#VALUE!</v>
      </c>
      <c r="V167" s="26" t="e">
        <f ca="1"/>
        <v>#VALUE!</v>
      </c>
      <c r="W167" s="26" t="e">
        <f ca="1"/>
        <v>#VALUE!</v>
      </c>
      <c r="X167" s="26" t="e">
        <f ca="1"/>
        <v>#VALUE!</v>
      </c>
      <c r="Y167" s="26" t="e">
        <f ca="1"/>
        <v>#VALUE!</v>
      </c>
      <c r="Z167" s="26" t="e">
        <f ca="1"/>
        <v>#VALUE!</v>
      </c>
      <c r="AA167" s="26" t="e">
        <f ca="1"/>
        <v>#VALUE!</v>
      </c>
      <c r="AB167" s="26" t="e">
        <f ca="1"/>
        <v>#VALUE!</v>
      </c>
      <c r="AC167" s="26" t="e">
        <f ca="1"/>
        <v>#VALUE!</v>
      </c>
      <c r="AD167" s="26" t="e">
        <f ca="1"/>
        <v>#VALUE!</v>
      </c>
      <c r="AE167" s="26" t="e">
        <f ca="1"/>
        <v>#VALUE!</v>
      </c>
      <c r="AF167" s="27" t="s">
        <v>229</v>
      </c>
    </row>
    <row r="168" spans="3:34" ht="20.100000000000001" customHeight="1" x14ac:dyDescent="0.25">
      <c r="D168" s="115" t="s">
        <v>79</v>
      </c>
      <c r="E168" s="115" t="s">
        <v>189</v>
      </c>
      <c r="F168" s="115" t="s">
        <v>190</v>
      </c>
      <c r="G168" s="115" t="s">
        <v>191</v>
      </c>
      <c r="H168" s="115" t="s">
        <v>192</v>
      </c>
      <c r="I168" s="115" t="s">
        <v>193</v>
      </c>
      <c r="J168" s="115" t="s">
        <v>194</v>
      </c>
      <c r="K168" s="115" t="s">
        <v>195</v>
      </c>
      <c r="L168" s="115" t="s">
        <v>196</v>
      </c>
      <c r="M168" s="115" t="s">
        <v>197</v>
      </c>
      <c r="N168" s="115" t="s">
        <v>198</v>
      </c>
      <c r="U168" s="26" t="e">
        <f>TEXT(EDATE('Input - Site'!$E$12,4), "mmmm yyyy")</f>
        <v>#VALUE!</v>
      </c>
      <c r="V168" s="26" t="e">
        <f ca="1"/>
        <v>#VALUE!</v>
      </c>
      <c r="W168" s="26" t="e">
        <f ca="1"/>
        <v>#VALUE!</v>
      </c>
      <c r="X168" s="26" t="e">
        <f ca="1"/>
        <v>#VALUE!</v>
      </c>
      <c r="Y168" s="26" t="e">
        <f ca="1"/>
        <v>#VALUE!</v>
      </c>
      <c r="Z168" s="26" t="e">
        <f ca="1"/>
        <v>#VALUE!</v>
      </c>
      <c r="AA168" s="26" t="e">
        <f ca="1"/>
        <v>#VALUE!</v>
      </c>
      <c r="AB168" s="26" t="e">
        <f ca="1"/>
        <v>#VALUE!</v>
      </c>
      <c r="AC168" s="26" t="e">
        <f ca="1"/>
        <v>#VALUE!</v>
      </c>
      <c r="AD168" s="26" t="e">
        <f ca="1"/>
        <v>#VALUE!</v>
      </c>
      <c r="AE168" s="26" t="e">
        <f ca="1"/>
        <v>#VALUE!</v>
      </c>
      <c r="AF168" s="27" t="s">
        <v>229</v>
      </c>
      <c r="AG168" s="27"/>
      <c r="AH168" s="27"/>
    </row>
    <row r="169" spans="3:34" ht="20.100000000000001" customHeight="1" x14ac:dyDescent="0.25">
      <c r="D169" s="26" t="s">
        <v>199</v>
      </c>
      <c r="E169" s="26" t="e" cm="1">
        <f t="array" aca="1" ref="E169" ca="1">MMS_PastureBeef_Soil_N2ODirect_Equations.VEERG_4_2_1_3__3_NitrogenExcreted(E54,E153,F161,E127,E20)</f>
        <v>#N/A</v>
      </c>
      <c r="F169" s="26" t="e" cm="1">
        <f t="array" aca="1" ref="F169" ca="1">MMS_PastureBeef_Soil_N2ODirect_Equations.VEERG_4_2_1_3__3_NitrogenExcreted(F54,F153,G161,F127,F20)</f>
        <v>#N/A</v>
      </c>
      <c r="G169" s="26" t="e" cm="1">
        <f t="array" aca="1" ref="G169" ca="1">MMS_PastureBeef_Soil_N2ODirect_Equations.VEERG_4_2_1_3__3_NitrogenExcreted(G54,G153,H161,G127,G20)</f>
        <v>#N/A</v>
      </c>
      <c r="H169" s="26" t="e" cm="1">
        <f t="array" aca="1" ref="H169" ca="1">MMS_PastureBeef_Soil_N2ODirect_Equations.VEERG_4_2_1_3__3_NitrogenExcreted(H54,H153,I161,H127,H20)</f>
        <v>#N/A</v>
      </c>
      <c r="I169" s="26" t="e" cm="1">
        <f t="array" aca="1" ref="I169" ca="1">MMS_PastureBeef_Soil_N2ODirect_Equations.VEERG_4_2_1_3__3_NitrogenExcreted(I54,I153,J161,I127,I20)</f>
        <v>#N/A</v>
      </c>
      <c r="J169" s="26" t="e" cm="1">
        <f t="array" aca="1" ref="J169" ca="1">MMS_PastureBeef_Soil_N2ODirect_Equations.VEERG_4_2_1_3__3_NitrogenExcreted(J54,J153,K161,J127,J20)</f>
        <v>#N/A</v>
      </c>
      <c r="K169" s="26" t="e" cm="1">
        <f t="array" aca="1" ref="K169" ca="1">MMS_PastureBeef_Soil_N2ODirect_Equations.VEERG_4_2_1_3__3_NitrogenExcreted(K54,K153,L161,K127,K20)</f>
        <v>#N/A</v>
      </c>
      <c r="L169" s="26" t="e" cm="1">
        <f t="array" aca="1" ref="L169" ca="1">MMS_PastureBeef_Soil_N2ODirect_Equations.VEERG_4_2_1_3__3_NitrogenExcreted(L54,L153,M161,L127,L20)</f>
        <v>#N/A</v>
      </c>
      <c r="M169" s="26" t="e" cm="1">
        <f t="array" aca="1" ref="M169" ca="1">MMS_PastureBeef_Soil_N2ODirect_Equations.VEERG_4_2_1_3__3_NitrogenExcreted(M54,M153,N161,M127,M20)</f>
        <v>#N/A</v>
      </c>
      <c r="N169" s="26" t="e" cm="1">
        <f t="array" aca="1" ref="N169" ca="1">MMS_PastureBeef_Soil_N2ODirect_Equations.VEERG_4_2_1_3__3_NitrogenExcreted(N54,N153,O161,N127,N20)</f>
        <v>#N/A</v>
      </c>
      <c r="O169" s="27" t="str">
        <f>$E$140</f>
        <v>kg N/head/day</v>
      </c>
      <c r="U169" s="26" t="e">
        <f>TEXT(EDATE('Input - Site'!$E$12,5), "mmmm yyyy")</f>
        <v>#VALUE!</v>
      </c>
      <c r="V169" s="26" t="e">
        <f ca="1"/>
        <v>#VALUE!</v>
      </c>
      <c r="W169" s="26" t="e">
        <f ca="1"/>
        <v>#VALUE!</v>
      </c>
      <c r="X169" s="26" t="e">
        <f ca="1"/>
        <v>#VALUE!</v>
      </c>
      <c r="Y169" s="26" t="e">
        <f ca="1"/>
        <v>#VALUE!</v>
      </c>
      <c r="Z169" s="26" t="e">
        <f ca="1"/>
        <v>#VALUE!</v>
      </c>
      <c r="AA169" s="26" t="e">
        <f ca="1"/>
        <v>#VALUE!</v>
      </c>
      <c r="AB169" s="26" t="e">
        <f ca="1"/>
        <v>#VALUE!</v>
      </c>
      <c r="AC169" s="26" t="e">
        <f ca="1"/>
        <v>#VALUE!</v>
      </c>
      <c r="AD169" s="26" t="e">
        <f ca="1"/>
        <v>#VALUE!</v>
      </c>
      <c r="AE169" s="26" t="e">
        <f ca="1"/>
        <v>#VALUE!</v>
      </c>
      <c r="AF169" s="27" t="s">
        <v>229</v>
      </c>
      <c r="AG169" s="27"/>
      <c r="AH169" s="27"/>
    </row>
    <row r="170" spans="3:34" ht="20.100000000000001" customHeight="1" x14ac:dyDescent="0.25">
      <c r="D170" s="26" t="s">
        <v>200</v>
      </c>
      <c r="E170" s="26" t="e" cm="1">
        <f t="array" aca="1" ref="E170" ca="1">MMS_PastureBeef_Soil_N2ODirect_Equations.VEERG_4_2_1_3__3_NitrogenExcreted(E55,E154,F162,E128,E21)</f>
        <v>#N/A</v>
      </c>
      <c r="F170" s="26" t="e" cm="1">
        <f t="array" aca="1" ref="F170" ca="1">MMS_PastureBeef_Soil_N2ODirect_Equations.VEERG_4_2_1_3__3_NitrogenExcreted(F55,F154,G162,F128,F21)</f>
        <v>#N/A</v>
      </c>
      <c r="G170" s="26" t="e" cm="1">
        <f t="array" aca="1" ref="G170" ca="1">MMS_PastureBeef_Soil_N2ODirect_Equations.VEERG_4_2_1_3__3_NitrogenExcreted(G55,G154,H162,G128,G21)</f>
        <v>#N/A</v>
      </c>
      <c r="H170" s="26" t="e" cm="1">
        <f t="array" aca="1" ref="H170" ca="1">MMS_PastureBeef_Soil_N2ODirect_Equations.VEERG_4_2_1_3__3_NitrogenExcreted(H55,H154,I162,H128,H21)</f>
        <v>#N/A</v>
      </c>
      <c r="I170" s="26" t="e" cm="1">
        <f t="array" aca="1" ref="I170" ca="1">MMS_PastureBeef_Soil_N2ODirect_Equations.VEERG_4_2_1_3__3_NitrogenExcreted(I55,I154,J162,I128,I21)</f>
        <v>#N/A</v>
      </c>
      <c r="J170" s="26" t="e" cm="1">
        <f t="array" aca="1" ref="J170" ca="1">MMS_PastureBeef_Soil_N2ODirect_Equations.VEERG_4_2_1_3__3_NitrogenExcreted(J55,J154,K162,J128,J21)</f>
        <v>#N/A</v>
      </c>
      <c r="K170" s="26" t="e" cm="1">
        <f t="array" aca="1" ref="K170" ca="1">MMS_PastureBeef_Soil_N2ODirect_Equations.VEERG_4_2_1_3__3_NitrogenExcreted(K55,K154,L162,K128,K21)</f>
        <v>#N/A</v>
      </c>
      <c r="L170" s="26" t="e" cm="1">
        <f t="array" aca="1" ref="L170" ca="1">MMS_PastureBeef_Soil_N2ODirect_Equations.VEERG_4_2_1_3__3_NitrogenExcreted(L55,L154,M162,L128,L21)</f>
        <v>#N/A</v>
      </c>
      <c r="M170" s="26" t="e" cm="1">
        <f t="array" aca="1" ref="M170" ca="1">MMS_PastureBeef_Soil_N2ODirect_Equations.VEERG_4_2_1_3__3_NitrogenExcreted(M55,M154,N162,M128,M21)</f>
        <v>#N/A</v>
      </c>
      <c r="N170" s="26" t="e" cm="1">
        <f t="array" aca="1" ref="N170" ca="1">MMS_PastureBeef_Soil_N2ODirect_Equations.VEERG_4_2_1_3__3_NitrogenExcreted(N55,N154,O162,N128,N21)</f>
        <v>#N/A</v>
      </c>
      <c r="O170" s="27" t="str">
        <f t="shared" ref="O170:O172" si="8">$E$140</f>
        <v>kg N/head/day</v>
      </c>
      <c r="U170" s="26" t="e">
        <f>TEXT(EDATE('Input - Site'!$E$12,6), "mmmm yyyy")</f>
        <v>#VALUE!</v>
      </c>
      <c r="V170" s="26" t="e">
        <f ca="1"/>
        <v>#VALUE!</v>
      </c>
      <c r="W170" s="26" t="e">
        <f ca="1"/>
        <v>#VALUE!</v>
      </c>
      <c r="X170" s="26" t="e">
        <f ca="1"/>
        <v>#VALUE!</v>
      </c>
      <c r="Y170" s="26" t="e">
        <f ca="1"/>
        <v>#VALUE!</v>
      </c>
      <c r="Z170" s="26" t="e">
        <f ca="1"/>
        <v>#VALUE!</v>
      </c>
      <c r="AA170" s="26" t="e">
        <f ca="1"/>
        <v>#VALUE!</v>
      </c>
      <c r="AB170" s="26" t="e">
        <f ca="1"/>
        <v>#VALUE!</v>
      </c>
      <c r="AC170" s="26" t="e">
        <f ca="1"/>
        <v>#VALUE!</v>
      </c>
      <c r="AD170" s="26" t="e">
        <f ca="1"/>
        <v>#VALUE!</v>
      </c>
      <c r="AE170" s="26" t="e">
        <f ca="1"/>
        <v>#VALUE!</v>
      </c>
      <c r="AF170" s="27" t="s">
        <v>229</v>
      </c>
      <c r="AG170" s="27"/>
      <c r="AH170" s="27"/>
    </row>
    <row r="171" spans="3:34" ht="20.100000000000001" customHeight="1" x14ac:dyDescent="0.25">
      <c r="D171" s="26" t="s">
        <v>201</v>
      </c>
      <c r="E171" s="26" t="e" cm="1">
        <f t="array" aca="1" ref="E171" ca="1">MMS_PastureBeef_Soil_N2ODirect_Equations.VEERG_4_2_1_3__3_NitrogenExcreted(E56,E155,F163,E129,E22)</f>
        <v>#N/A</v>
      </c>
      <c r="F171" s="26" t="e" cm="1">
        <f t="array" aca="1" ref="F171" ca="1">MMS_PastureBeef_Soil_N2ODirect_Equations.VEERG_4_2_1_3__3_NitrogenExcreted(F56,F155,G163,F129,F22)</f>
        <v>#N/A</v>
      </c>
      <c r="G171" s="26" t="e" cm="1">
        <f t="array" aca="1" ref="G171" ca="1">MMS_PastureBeef_Soil_N2ODirect_Equations.VEERG_4_2_1_3__3_NitrogenExcreted(G56,G155,H163,G129,G22)</f>
        <v>#N/A</v>
      </c>
      <c r="H171" s="26" t="e" cm="1">
        <f t="array" aca="1" ref="H171" ca="1">MMS_PastureBeef_Soil_N2ODirect_Equations.VEERG_4_2_1_3__3_NitrogenExcreted(H56,H155,I163,H129,H22)</f>
        <v>#N/A</v>
      </c>
      <c r="I171" s="26" t="e" cm="1">
        <f t="array" aca="1" ref="I171" ca="1">MMS_PastureBeef_Soil_N2ODirect_Equations.VEERG_4_2_1_3__3_NitrogenExcreted(I56,I155,J163,I129,I22)</f>
        <v>#N/A</v>
      </c>
      <c r="J171" s="26" t="e" cm="1">
        <f t="array" aca="1" ref="J171" ca="1">MMS_PastureBeef_Soil_N2ODirect_Equations.VEERG_4_2_1_3__3_NitrogenExcreted(J56,J155,K163,J129,J22)</f>
        <v>#N/A</v>
      </c>
      <c r="K171" s="26" t="e" cm="1">
        <f t="array" aca="1" ref="K171" ca="1">MMS_PastureBeef_Soil_N2ODirect_Equations.VEERG_4_2_1_3__3_NitrogenExcreted(K56,K155,L163,K129,K22)</f>
        <v>#N/A</v>
      </c>
      <c r="L171" s="26" t="e" cm="1">
        <f t="array" aca="1" ref="L171" ca="1">MMS_PastureBeef_Soil_N2ODirect_Equations.VEERG_4_2_1_3__3_NitrogenExcreted(L56,L155,M163,L129,L22)</f>
        <v>#N/A</v>
      </c>
      <c r="M171" s="26" t="e" cm="1">
        <f t="array" aca="1" ref="M171" ca="1">MMS_PastureBeef_Soil_N2ODirect_Equations.VEERG_4_2_1_3__3_NitrogenExcreted(M56,M155,N163,M129,M22)</f>
        <v>#N/A</v>
      </c>
      <c r="N171" s="26" t="e" cm="1">
        <f t="array" aca="1" ref="N171" ca="1">MMS_PastureBeef_Soil_N2ODirect_Equations.VEERG_4_2_1_3__3_NitrogenExcreted(N56,N155,O163,N129,N22)</f>
        <v>#N/A</v>
      </c>
      <c r="O171" s="27" t="str">
        <f t="shared" si="8"/>
        <v>kg N/head/day</v>
      </c>
      <c r="U171" s="26" t="e">
        <f>TEXT(EDATE('Input - Site'!$E$12,7), "mmmm yyyy")</f>
        <v>#VALUE!</v>
      </c>
      <c r="V171" s="26" t="e">
        <f ca="1"/>
        <v>#VALUE!</v>
      </c>
      <c r="W171" s="26" t="e">
        <f ca="1"/>
        <v>#VALUE!</v>
      </c>
      <c r="X171" s="26" t="e">
        <f ca="1"/>
        <v>#VALUE!</v>
      </c>
      <c r="Y171" s="26" t="e">
        <f ca="1"/>
        <v>#VALUE!</v>
      </c>
      <c r="Z171" s="26" t="e">
        <f ca="1"/>
        <v>#VALUE!</v>
      </c>
      <c r="AA171" s="26" t="e">
        <f ca="1"/>
        <v>#VALUE!</v>
      </c>
      <c r="AB171" s="26" t="e">
        <f ca="1"/>
        <v>#VALUE!</v>
      </c>
      <c r="AC171" s="26" t="e">
        <f ca="1"/>
        <v>#VALUE!</v>
      </c>
      <c r="AD171" s="26" t="e">
        <f ca="1"/>
        <v>#VALUE!</v>
      </c>
      <c r="AE171" s="26" t="e">
        <f ca="1"/>
        <v>#VALUE!</v>
      </c>
      <c r="AF171" s="27" t="s">
        <v>229</v>
      </c>
      <c r="AG171" s="27"/>
      <c r="AH171" s="27"/>
    </row>
    <row r="172" spans="3:34" ht="20.100000000000001" customHeight="1" x14ac:dyDescent="0.25">
      <c r="D172" s="26" t="s">
        <v>202</v>
      </c>
      <c r="E172" s="26" t="e" cm="1">
        <f t="array" aca="1" ref="E172" ca="1">MMS_PastureBeef_Soil_N2ODirect_Equations.VEERG_4_2_1_3__3_NitrogenExcreted(E57,E156,F164,E130,E23)</f>
        <v>#N/A</v>
      </c>
      <c r="F172" s="26" t="e" cm="1">
        <f t="array" aca="1" ref="F172" ca="1">MMS_PastureBeef_Soil_N2ODirect_Equations.VEERG_4_2_1_3__3_NitrogenExcreted(F57,F156,G164,F130,F23)</f>
        <v>#N/A</v>
      </c>
      <c r="G172" s="26" t="e" cm="1">
        <f t="array" aca="1" ref="G172" ca="1">MMS_PastureBeef_Soil_N2ODirect_Equations.VEERG_4_2_1_3__3_NitrogenExcreted(G57,G156,H164,G130,G23)</f>
        <v>#N/A</v>
      </c>
      <c r="H172" s="26" t="e" cm="1">
        <f t="array" aca="1" ref="H172" ca="1">MMS_PastureBeef_Soil_N2ODirect_Equations.VEERG_4_2_1_3__3_NitrogenExcreted(H57,H156,I164,H130,H23)</f>
        <v>#N/A</v>
      </c>
      <c r="I172" s="26" t="e" cm="1">
        <f t="array" aca="1" ref="I172" ca="1">MMS_PastureBeef_Soil_N2ODirect_Equations.VEERG_4_2_1_3__3_NitrogenExcreted(I57,I156,J164,I130,I23)</f>
        <v>#N/A</v>
      </c>
      <c r="J172" s="26" t="e" cm="1">
        <f t="array" aca="1" ref="J172" ca="1">MMS_PastureBeef_Soil_N2ODirect_Equations.VEERG_4_2_1_3__3_NitrogenExcreted(J57,J156,K164,J130,J23)</f>
        <v>#N/A</v>
      </c>
      <c r="K172" s="26" t="e" cm="1">
        <f t="array" aca="1" ref="K172" ca="1">MMS_PastureBeef_Soil_N2ODirect_Equations.VEERG_4_2_1_3__3_NitrogenExcreted(K57,K156,L164,K130,K23)</f>
        <v>#N/A</v>
      </c>
      <c r="L172" s="26" t="e" cm="1">
        <f t="array" aca="1" ref="L172" ca="1">MMS_PastureBeef_Soil_N2ODirect_Equations.VEERG_4_2_1_3__3_NitrogenExcreted(L57,L156,M164,L130,L23)</f>
        <v>#N/A</v>
      </c>
      <c r="M172" s="26" t="e" cm="1">
        <f t="array" aca="1" ref="M172" ca="1">MMS_PastureBeef_Soil_N2ODirect_Equations.VEERG_4_2_1_3__3_NitrogenExcreted(M57,M156,N164,M130,M23)</f>
        <v>#N/A</v>
      </c>
      <c r="N172" s="26" t="e" cm="1">
        <f t="array" aca="1" ref="N172" ca="1">MMS_PastureBeef_Soil_N2ODirect_Equations.VEERG_4_2_1_3__3_NitrogenExcreted(N57,N156,O164,N130,N23)</f>
        <v>#N/A</v>
      </c>
      <c r="O172" s="27" t="str">
        <f t="shared" si="8"/>
        <v>kg N/head/day</v>
      </c>
      <c r="U172" s="26" t="e">
        <f>TEXT(EDATE('Input - Site'!$E$12,8), "mmmm yyyy")</f>
        <v>#VALUE!</v>
      </c>
      <c r="V172" s="26" t="e">
        <f ca="1"/>
        <v>#VALUE!</v>
      </c>
      <c r="W172" s="26" t="e">
        <f ca="1"/>
        <v>#VALUE!</v>
      </c>
      <c r="X172" s="26" t="e">
        <f ca="1"/>
        <v>#VALUE!</v>
      </c>
      <c r="Y172" s="26" t="e">
        <f ca="1"/>
        <v>#VALUE!</v>
      </c>
      <c r="Z172" s="26" t="e">
        <f ca="1"/>
        <v>#VALUE!</v>
      </c>
      <c r="AA172" s="26" t="e">
        <f ca="1"/>
        <v>#VALUE!</v>
      </c>
      <c r="AB172" s="26" t="e">
        <f ca="1"/>
        <v>#VALUE!</v>
      </c>
      <c r="AC172" s="26" t="e">
        <f ca="1"/>
        <v>#VALUE!</v>
      </c>
      <c r="AD172" s="26" t="e">
        <f ca="1"/>
        <v>#VALUE!</v>
      </c>
      <c r="AE172" s="26" t="e">
        <f ca="1"/>
        <v>#VALUE!</v>
      </c>
      <c r="AF172" s="27" t="s">
        <v>229</v>
      </c>
      <c r="AG172" s="27"/>
      <c r="AH172" s="27"/>
    </row>
    <row r="173" spans="3:34" ht="20.100000000000001" customHeight="1" x14ac:dyDescent="0.25">
      <c r="U173" s="26" t="e">
        <f>TEXT(EDATE('Input - Site'!$E$12,9), "mmmm yyyy")</f>
        <v>#VALUE!</v>
      </c>
      <c r="V173" s="26" t="e">
        <f ca="1"/>
        <v>#VALUE!</v>
      </c>
      <c r="W173" s="26" t="e">
        <f ca="1"/>
        <v>#VALUE!</v>
      </c>
      <c r="X173" s="26" t="e">
        <f ca="1"/>
        <v>#VALUE!</v>
      </c>
      <c r="Y173" s="26" t="e">
        <f ca="1"/>
        <v>#VALUE!</v>
      </c>
      <c r="Z173" s="26" t="e">
        <f ca="1"/>
        <v>#VALUE!</v>
      </c>
      <c r="AA173" s="26" t="e">
        <f ca="1"/>
        <v>#VALUE!</v>
      </c>
      <c r="AB173" s="26" t="e">
        <f ca="1"/>
        <v>#VALUE!</v>
      </c>
      <c r="AC173" s="26" t="e">
        <f ca="1"/>
        <v>#VALUE!</v>
      </c>
      <c r="AD173" s="26" t="e">
        <f ca="1"/>
        <v>#VALUE!</v>
      </c>
      <c r="AE173" s="26" t="e">
        <f ca="1"/>
        <v>#VALUE!</v>
      </c>
      <c r="AF173" s="27" t="s">
        <v>229</v>
      </c>
      <c r="AG173" s="27"/>
      <c r="AH173" s="27"/>
    </row>
    <row r="174" spans="3:34" ht="20.100000000000001" customHeight="1" x14ac:dyDescent="0.25">
      <c r="U174" s="26" t="e">
        <f>TEXT(EDATE('Input - Site'!$E$12,10), "mmmm yyyy")</f>
        <v>#VALUE!</v>
      </c>
      <c r="V174" s="26" t="e">
        <f ca="1"/>
        <v>#VALUE!</v>
      </c>
      <c r="W174" s="26" t="e">
        <f ca="1"/>
        <v>#VALUE!</v>
      </c>
      <c r="X174" s="26" t="e">
        <f ca="1"/>
        <v>#VALUE!</v>
      </c>
      <c r="Y174" s="26" t="e">
        <f ca="1"/>
        <v>#VALUE!</v>
      </c>
      <c r="Z174" s="26" t="e">
        <f ca="1"/>
        <v>#VALUE!</v>
      </c>
      <c r="AA174" s="26" t="e">
        <f ca="1"/>
        <v>#VALUE!</v>
      </c>
      <c r="AB174" s="26" t="e">
        <f ca="1"/>
        <v>#VALUE!</v>
      </c>
      <c r="AC174" s="26" t="e">
        <f ca="1"/>
        <v>#VALUE!</v>
      </c>
      <c r="AD174" s="26" t="e">
        <f ca="1"/>
        <v>#VALUE!</v>
      </c>
      <c r="AE174" s="26" t="e">
        <f ca="1"/>
        <v>#VALUE!</v>
      </c>
      <c r="AF174" s="27" t="s">
        <v>229</v>
      </c>
      <c r="AG174" s="27"/>
      <c r="AH174" s="27"/>
    </row>
    <row r="175" spans="3:34" ht="20.100000000000001" customHeight="1" x14ac:dyDescent="0.25">
      <c r="C175" s="117"/>
      <c r="D175" s="117"/>
      <c r="E175" s="117"/>
      <c r="F175" s="117"/>
      <c r="G175" s="117"/>
      <c r="H175" s="117"/>
      <c r="I175" s="117"/>
      <c r="J175" s="117"/>
      <c r="K175" s="117"/>
      <c r="L175" s="117"/>
      <c r="M175" s="117"/>
      <c r="N175" s="117"/>
      <c r="O175" s="117"/>
      <c r="P175" s="117"/>
      <c r="Q175" s="117"/>
      <c r="R175" s="117"/>
      <c r="U175" s="26" t="e">
        <f>TEXT(EDATE('Input - Site'!$E$12,11), "mmmm yyyy")</f>
        <v>#VALUE!</v>
      </c>
      <c r="V175" s="26" t="e">
        <f ca="1"/>
        <v>#VALUE!</v>
      </c>
      <c r="W175" s="26" t="e">
        <f ca="1"/>
        <v>#VALUE!</v>
      </c>
      <c r="X175" s="26" t="e">
        <f ca="1"/>
        <v>#VALUE!</v>
      </c>
      <c r="Y175" s="26" t="e">
        <f ca="1"/>
        <v>#VALUE!</v>
      </c>
      <c r="Z175" s="26" t="e">
        <f ca="1"/>
        <v>#VALUE!</v>
      </c>
      <c r="AA175" s="26" t="e">
        <f ca="1"/>
        <v>#VALUE!</v>
      </c>
      <c r="AB175" s="26" t="e">
        <f ca="1"/>
        <v>#VALUE!</v>
      </c>
      <c r="AC175" s="26" t="e">
        <f ca="1"/>
        <v>#VALUE!</v>
      </c>
      <c r="AD175" s="26" t="e">
        <f ca="1"/>
        <v>#VALUE!</v>
      </c>
      <c r="AE175" s="26" t="e">
        <f ca="1"/>
        <v>#VALUE!</v>
      </c>
      <c r="AF175" s="27" t="s">
        <v>229</v>
      </c>
      <c r="AG175" s="27"/>
      <c r="AH175" s="27"/>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7"/>
      <c r="AH176" s="27"/>
    </row>
    <row r="177" spans="4:34" ht="20.100000000000001" customHeight="1" x14ac:dyDescent="0.25">
      <c r="D177" s="28" t="str" cm="1">
        <f t="array" ref="D177">MMS_PastureBeef_Soil_N2ODirect_Equations.VEERG_4_2_1_3__2_TotalNitrogenExcretedToPastureRangeAndPaddock_Source()</f>
        <v>VEERG 2026: 4.2.1.3, Equation (2)</v>
      </c>
      <c r="U177" s="113" t="s">
        <v>448</v>
      </c>
      <c r="AH177" s="27"/>
    </row>
    <row r="178" spans="4:34" ht="20.100000000000001" customHeight="1" x14ac:dyDescent="0.25">
      <c r="D178" s="104" t="s">
        <v>257</v>
      </c>
      <c r="E178" s="104" t="str" cm="1">
        <f t="array" aca="1" ref="E178" ca="1">Common_InputFunctions.Utility_DisplayFunctionName($E$207)</f>
        <v>=MMS_PastureBeef_Soil_N2ODirect_Equations.VEERG_4_2_1_3__2_TotalNitrogenExcretedToPastureRangeAndPaddock</v>
      </c>
      <c r="U178" s="114" t="s">
        <v>449</v>
      </c>
      <c r="AH178" s="27"/>
    </row>
    <row r="179" spans="4:34" ht="20.100000000000001" customHeight="1" x14ac:dyDescent="0.25">
      <c r="U179" s="115" t="s">
        <v>78</v>
      </c>
      <c r="V179" s="115" t="s">
        <v>212</v>
      </c>
      <c r="W179" s="115" t="s">
        <v>189</v>
      </c>
      <c r="X179" s="115" t="s">
        <v>190</v>
      </c>
      <c r="Y179" s="115" t="s">
        <v>191</v>
      </c>
      <c r="Z179" s="115" t="s">
        <v>192</v>
      </c>
      <c r="AA179" s="115" t="s">
        <v>193</v>
      </c>
      <c r="AB179" s="115" t="s">
        <v>194</v>
      </c>
      <c r="AC179" s="115" t="s">
        <v>195</v>
      </c>
      <c r="AD179" s="115" t="s">
        <v>196</v>
      </c>
      <c r="AE179" s="115" t="s">
        <v>197</v>
      </c>
      <c r="AF179" s="115" t="s">
        <v>198</v>
      </c>
      <c r="AH179" s="27"/>
    </row>
    <row r="180" spans="4:34" ht="20.100000000000001" customHeight="1" x14ac:dyDescent="0.25">
      <c r="U180" s="26" t="str">
        <f>TEXT('Input - Site'!$E$12,"mmmm")</f>
        <v>NO - Not in leaching zone</v>
      </c>
      <c r="V180" s="26" t="str" cm="1">
        <f t="array" ref="V180">IFERROR(_xlfn.IFS(SUMPRODUCT(ISNUMBER(SEARCH(TRIM(_xlfn.TEXTSPLIT($U$92,",")),U180))*1)&gt;0,"Calving season",SUMPRODUCT(ISNUMBER(SEARCH(TRIM(_xlfn.TEXTSPLIT($U$93,",")),U180))*1)&gt;0,"Season after calving"), "")</f>
        <v/>
      </c>
      <c r="W180" s="26" cm="1">
        <f t="array" ref="W180">_xlfn.XLOOKUP(1, (Table_SourceData_PastureBeef_FeedIntakeAdjustment_Variation[Breed]=$Z$158)*(Table_SourceData_PastureBeef_FeedIntakeAdjustment_Variation[Season]=$V180), Table_SourceData_PastureBeef_FeedIntakeAdjustment_Variation[Milk intake/production], 0)</f>
        <v>0</v>
      </c>
      <c r="X180" s="26">
        <v>0</v>
      </c>
      <c r="Y180" s="26" cm="1">
        <f t="array" ref="Y180">_xlfn.XLOOKUP(1, (Table_SourceData_PastureBeef_FeedIntakeAdjustment_Variation[Breed]=$Z$158)*(Table_SourceData_PastureBeef_FeedIntakeAdjustment_Variation[Season]=$V180), Table_SourceData_PastureBeef_FeedIntakeAdjustment_Variation[Milk intake/production], 0)</f>
        <v>0</v>
      </c>
      <c r="Z180" s="26">
        <v>0</v>
      </c>
      <c r="AA180" s="26">
        <v>0</v>
      </c>
      <c r="AB180" s="26">
        <v>0</v>
      </c>
      <c r="AC180" s="26" cm="1">
        <f t="array" ref="AC180">_xlfn.XLOOKUP(1, (Table_SourceData_PastureBeef_FeedIntakeAdjustment_Variation[Breed]=$Z$158)*(Table_SourceData_PastureBeef_FeedIntakeAdjustment_Variation[Season]=$V180), Table_SourceData_PastureBeef_FeedIntakeAdjustment_Variation[Milk intake/production], 0)</f>
        <v>0</v>
      </c>
      <c r="AD180" s="26">
        <v>0</v>
      </c>
      <c r="AE180" s="26">
        <v>0</v>
      </c>
      <c r="AF180" s="26">
        <v>0</v>
      </c>
      <c r="AG180" s="27" t="s">
        <v>210</v>
      </c>
    </row>
    <row r="181" spans="4:34" ht="20.100000000000001" customHeight="1" x14ac:dyDescent="0.25">
      <c r="D181" s="89" t="s">
        <v>259</v>
      </c>
      <c r="E181" s="1" t="str" cm="1">
        <f t="array" ref="E181">MMS_PastureBeef_Soil_N2ODirect_Equations.VEERG_4_2_1_3__2_TotalNitrogenExcretedToPastureRangeAndPaddock_Variable()</f>
        <v>AE</v>
      </c>
      <c r="U181" s="26" t="e">
        <f>TEXT(EDATE('Input - Site'!$E$12,1), "mmmm")</f>
        <v>#VALUE!</v>
      </c>
      <c r="V181" s="26" t="str" cm="1">
        <f t="array" ref="V181">IFERROR(_xlfn.IFS(SUMPRODUCT(ISNUMBER(SEARCH(TRIM(_xlfn.TEXTSPLIT($U$92,",")),U181))*1)&gt;0,"Calving season",SUMPRODUCT(ISNUMBER(SEARCH(TRIM(_xlfn.TEXTSPLIT($U$93,",")),U181))*1)&gt;0,"Season after calving"), "")</f>
        <v/>
      </c>
      <c r="W181" s="26" cm="1">
        <f t="array" ref="W181">_xlfn.XLOOKUP(1, (Table_SourceData_PastureBeef_FeedIntakeAdjustment_Variation[Breed]=$Z$158)*(Table_SourceData_PastureBeef_FeedIntakeAdjustment_Variation[Season]=$V181), Table_SourceData_PastureBeef_FeedIntakeAdjustment_Variation[Milk intake/production], 0)</f>
        <v>0</v>
      </c>
      <c r="X181" s="26">
        <v>0</v>
      </c>
      <c r="Y181" s="26" cm="1">
        <f t="array" ref="Y181">_xlfn.XLOOKUP(1, (Table_SourceData_PastureBeef_FeedIntakeAdjustment_Variation[Breed]=$Z$158)*(Table_SourceData_PastureBeef_FeedIntakeAdjustment_Variation[Season]=$V181), Table_SourceData_PastureBeef_FeedIntakeAdjustment_Variation[Milk intake/production], 0)</f>
        <v>0</v>
      </c>
      <c r="Z181" s="26">
        <v>0</v>
      </c>
      <c r="AA181" s="26">
        <v>0</v>
      </c>
      <c r="AB181" s="26">
        <v>0</v>
      </c>
      <c r="AC181" s="26" cm="1">
        <f t="array" ref="AC181">_xlfn.XLOOKUP(1, (Table_SourceData_PastureBeef_FeedIntakeAdjustment_Variation[Breed]=$Z$158)*(Table_SourceData_PastureBeef_FeedIntakeAdjustment_Variation[Season]=$V181), Table_SourceData_PastureBeef_FeedIntakeAdjustment_Variation[Milk intake/production], 0)</f>
        <v>0</v>
      </c>
      <c r="AD181" s="26">
        <v>0</v>
      </c>
      <c r="AE181" s="26">
        <v>0</v>
      </c>
      <c r="AF181" s="26">
        <v>0</v>
      </c>
      <c r="AG181" s="27" t="s">
        <v>210</v>
      </c>
    </row>
    <row r="182" spans="4:34" ht="20.100000000000001" customHeight="1" x14ac:dyDescent="0.25">
      <c r="D182" s="89" t="s">
        <v>133</v>
      </c>
      <c r="E182" s="15" t="str" cm="1">
        <f t="array" ref="E182">MMS_PastureBeef_Soil_N2ODirect_Equations.VEERG_4_2_1_3__2_TotalNitrogenExcretedToPastureRangeAndPaddock_Unit()</f>
        <v>kg N</v>
      </c>
      <c r="U182" s="26" t="e">
        <f>TEXT(EDATE('Input - Site'!$E$12,2), "mmmm")</f>
        <v>#VALUE!</v>
      </c>
      <c r="V182" s="26" t="str" cm="1">
        <f t="array" ref="V182">IFERROR(_xlfn.IFS(SUMPRODUCT(ISNUMBER(SEARCH(TRIM(_xlfn.TEXTSPLIT($U$92,",")),U182))*1)&gt;0,"Calving season",SUMPRODUCT(ISNUMBER(SEARCH(TRIM(_xlfn.TEXTSPLIT($U$93,",")),U182))*1)&gt;0,"Season after calving"), "")</f>
        <v/>
      </c>
      <c r="W182" s="26" cm="1">
        <f t="array" ref="W182">_xlfn.XLOOKUP(1, (Table_SourceData_PastureBeef_FeedIntakeAdjustment_Variation[Breed]=$Z$158)*(Table_SourceData_PastureBeef_FeedIntakeAdjustment_Variation[Season]=$V182), Table_SourceData_PastureBeef_FeedIntakeAdjustment_Variation[Milk intake/production], 0)</f>
        <v>0</v>
      </c>
      <c r="X182" s="26">
        <v>0</v>
      </c>
      <c r="Y182" s="26" cm="1">
        <f t="array" ref="Y182">_xlfn.XLOOKUP(1, (Table_SourceData_PastureBeef_FeedIntakeAdjustment_Variation[Breed]=$Z$158)*(Table_SourceData_PastureBeef_FeedIntakeAdjustment_Variation[Season]=$V182), Table_SourceData_PastureBeef_FeedIntakeAdjustment_Variation[Milk intake/production], 0)</f>
        <v>0</v>
      </c>
      <c r="Z182" s="26">
        <v>0</v>
      </c>
      <c r="AA182" s="26">
        <v>0</v>
      </c>
      <c r="AB182" s="26">
        <v>0</v>
      </c>
      <c r="AC182" s="26" cm="1">
        <f t="array" ref="AC182">_xlfn.XLOOKUP(1, (Table_SourceData_PastureBeef_FeedIntakeAdjustment_Variation[Breed]=$Z$158)*(Table_SourceData_PastureBeef_FeedIntakeAdjustment_Variation[Season]=$V182), Table_SourceData_PastureBeef_FeedIntakeAdjustment_Variation[Milk intake/production], 0)</f>
        <v>0</v>
      </c>
      <c r="AD182" s="26">
        <v>0</v>
      </c>
      <c r="AE182" s="26">
        <v>0</v>
      </c>
      <c r="AF182" s="26">
        <v>0</v>
      </c>
      <c r="AG182" s="27" t="s">
        <v>210</v>
      </c>
    </row>
    <row r="183" spans="4:34" ht="20.100000000000001" customHeight="1" x14ac:dyDescent="0.25">
      <c r="U183" s="26" t="e">
        <f>TEXT(EDATE('Input - Site'!$E$12,3), "mmmm")</f>
        <v>#VALUE!</v>
      </c>
      <c r="V183" s="26" t="str" cm="1">
        <f t="array" ref="V183">IFERROR(_xlfn.IFS(SUMPRODUCT(ISNUMBER(SEARCH(TRIM(_xlfn.TEXTSPLIT($U$92,",")),U183))*1)&gt;0,"Calving season",SUMPRODUCT(ISNUMBER(SEARCH(TRIM(_xlfn.TEXTSPLIT($U$93,",")),U183))*1)&gt;0,"Season after calving"), "")</f>
        <v/>
      </c>
      <c r="W183" s="26" cm="1">
        <f t="array" ref="W183">_xlfn.XLOOKUP(1, (Table_SourceData_PastureBeef_FeedIntakeAdjustment_Variation[Breed]=$Z$158)*(Table_SourceData_PastureBeef_FeedIntakeAdjustment_Variation[Season]=$V183), Table_SourceData_PastureBeef_FeedIntakeAdjustment_Variation[Milk intake/production], 0)</f>
        <v>0</v>
      </c>
      <c r="X183" s="26">
        <v>0</v>
      </c>
      <c r="Y183" s="26" cm="1">
        <f t="array" ref="Y183">_xlfn.XLOOKUP(1, (Table_SourceData_PastureBeef_FeedIntakeAdjustment_Variation[Breed]=$Z$158)*(Table_SourceData_PastureBeef_FeedIntakeAdjustment_Variation[Season]=$V183), Table_SourceData_PastureBeef_FeedIntakeAdjustment_Variation[Milk intake/production], 0)</f>
        <v>0</v>
      </c>
      <c r="Z183" s="26">
        <v>0</v>
      </c>
      <c r="AA183" s="26">
        <v>0</v>
      </c>
      <c r="AB183" s="26">
        <v>0</v>
      </c>
      <c r="AC183" s="26" cm="1">
        <f t="array" ref="AC183">_xlfn.XLOOKUP(1, (Table_SourceData_PastureBeef_FeedIntakeAdjustment_Variation[Breed]=$Z$158)*(Table_SourceData_PastureBeef_FeedIntakeAdjustment_Variation[Season]=$V183), Table_SourceData_PastureBeef_FeedIntakeAdjustment_Variation[Milk intake/production], 0)</f>
        <v>0</v>
      </c>
      <c r="AD183" s="26">
        <v>0</v>
      </c>
      <c r="AE183" s="26">
        <v>0</v>
      </c>
      <c r="AF183" s="26">
        <v>0</v>
      </c>
      <c r="AG183" s="27" t="s">
        <v>210</v>
      </c>
    </row>
    <row r="184" spans="4:34" ht="20.100000000000001" customHeight="1" x14ac:dyDescent="0.25">
      <c r="D184" s="106" t="str" cm="1">
        <f t="array" ref="D184:E186">_xlfn.CHOOSECOLS(MMS_PastureBeef_Soil_N2ODirect_Equations.VEERG_4_2_1_3__2_TotalNitrogenExcretedToPastureRangeAndPaddock_Arguments(),1,2)</f>
        <v>N_jkl</v>
      </c>
      <c r="E184" s="107" t="str">
        <v>number of beef cattle by time-period, class and subclass</v>
      </c>
      <c r="F184" s="109"/>
      <c r="G184" s="106" t="str" cm="1">
        <f t="array" ref="G184:H186">_xlfn.CHOOSECOLS(MMS_PastureBeef_Soil_N2ODirect_Equations.VEERG_4_2_1_3__2_TotalNitrogenExcretedToPastureRangeAndPaddock_Arguments(),3,4)</f>
        <v>head</v>
      </c>
      <c r="H184" s="110" t="str">
        <v>Input</v>
      </c>
      <c r="I184" s="112" t="str" cm="1">
        <f t="array" aca="1" ref="I184" ca="1">HYPERLINK(Common_InputFunctions.Utility_SourceHyperlink($D$188), $D$188)</f>
        <v>M1_Table_N_j_k_l</v>
      </c>
      <c r="U184" s="26" t="e">
        <f>TEXT(EDATE('Input - Site'!$E$12,4), "mmmm")</f>
        <v>#VALUE!</v>
      </c>
      <c r="V184" s="26" t="str" cm="1">
        <f t="array" ref="V184">IFERROR(_xlfn.IFS(SUMPRODUCT(ISNUMBER(SEARCH(TRIM(_xlfn.TEXTSPLIT($U$92,",")),U184))*1)&gt;0,"Calving season",SUMPRODUCT(ISNUMBER(SEARCH(TRIM(_xlfn.TEXTSPLIT($U$93,",")),U184))*1)&gt;0,"Season after calving"), "")</f>
        <v/>
      </c>
      <c r="W184" s="26" cm="1">
        <f t="array" ref="W184">_xlfn.XLOOKUP(1, (Table_SourceData_PastureBeef_FeedIntakeAdjustment_Variation[Breed]=$Z$158)*(Table_SourceData_PastureBeef_FeedIntakeAdjustment_Variation[Season]=$V184), Table_SourceData_PastureBeef_FeedIntakeAdjustment_Variation[Milk intake/production], 0)</f>
        <v>0</v>
      </c>
      <c r="X184" s="26">
        <v>0</v>
      </c>
      <c r="Y184" s="26" cm="1">
        <f t="array" ref="Y184">_xlfn.XLOOKUP(1, (Table_SourceData_PastureBeef_FeedIntakeAdjustment_Variation[Breed]=$Z$158)*(Table_SourceData_PastureBeef_FeedIntakeAdjustment_Variation[Season]=$V184), Table_SourceData_PastureBeef_FeedIntakeAdjustment_Variation[Milk intake/production], 0)</f>
        <v>0</v>
      </c>
      <c r="Z184" s="26">
        <v>0</v>
      </c>
      <c r="AA184" s="26">
        <v>0</v>
      </c>
      <c r="AB184" s="26">
        <v>0</v>
      </c>
      <c r="AC184" s="26" cm="1">
        <f t="array" ref="AC184">_xlfn.XLOOKUP(1, (Table_SourceData_PastureBeef_FeedIntakeAdjustment_Variation[Breed]=$Z$158)*(Table_SourceData_PastureBeef_FeedIntakeAdjustment_Variation[Season]=$V184), Table_SourceData_PastureBeef_FeedIntakeAdjustment_Variation[Milk intake/production], 0)</f>
        <v>0</v>
      </c>
      <c r="AD184" s="26">
        <v>0</v>
      </c>
      <c r="AE184" s="26">
        <v>0</v>
      </c>
      <c r="AF184" s="26">
        <v>0</v>
      </c>
      <c r="AG184" s="27" t="s">
        <v>210</v>
      </c>
      <c r="AH184" s="27"/>
    </row>
    <row r="185" spans="4:34" ht="20.100000000000001" customHeight="1" x14ac:dyDescent="0.25">
      <c r="D185" s="106" t="str">
        <v>NE_jkl</v>
      </c>
      <c r="E185" s="107" t="str">
        <v>nitrogen excreted in each time-period, by each class and subclass</v>
      </c>
      <c r="F185" s="109"/>
      <c r="G185" s="106" t="str">
        <v>kg N/head/day</v>
      </c>
      <c r="H185" s="111" t="str">
        <v>Calculated from 4.2.1.3 (3)</v>
      </c>
      <c r="I185" s="112" t="str" cm="1">
        <f t="array" aca="1" ref="I185" ca="1">HYPERLINK(Common_InputFunctions.Utility_SourceHyperlink($D$166), $D$166)</f>
        <v>M1_Table_NE_j_k_l</v>
      </c>
      <c r="U185" s="26" t="e">
        <f>TEXT(EDATE('Input - Site'!$E$12,5), "mmmm")</f>
        <v>#VALUE!</v>
      </c>
      <c r="V185" s="26" t="str" cm="1">
        <f t="array" ref="V185">IFERROR(_xlfn.IFS(SUMPRODUCT(ISNUMBER(SEARCH(TRIM(_xlfn.TEXTSPLIT($U$92,",")),U185))*1)&gt;0,"Calving season",SUMPRODUCT(ISNUMBER(SEARCH(TRIM(_xlfn.TEXTSPLIT($U$93,",")),U185))*1)&gt;0,"Season after calving"), "")</f>
        <v/>
      </c>
      <c r="W185" s="26" cm="1">
        <f t="array" ref="W185">_xlfn.XLOOKUP(1, (Table_SourceData_PastureBeef_FeedIntakeAdjustment_Variation[Breed]=$Z$158)*(Table_SourceData_PastureBeef_FeedIntakeAdjustment_Variation[Season]=$V185), Table_SourceData_PastureBeef_FeedIntakeAdjustment_Variation[Milk intake/production], 0)</f>
        <v>0</v>
      </c>
      <c r="X185" s="26">
        <v>0</v>
      </c>
      <c r="Y185" s="26" cm="1">
        <f t="array" ref="Y185">_xlfn.XLOOKUP(1, (Table_SourceData_PastureBeef_FeedIntakeAdjustment_Variation[Breed]=$Z$158)*(Table_SourceData_PastureBeef_FeedIntakeAdjustment_Variation[Season]=$V185), Table_SourceData_PastureBeef_FeedIntakeAdjustment_Variation[Milk intake/production], 0)</f>
        <v>0</v>
      </c>
      <c r="Z185" s="26">
        <v>0</v>
      </c>
      <c r="AA185" s="26">
        <v>0</v>
      </c>
      <c r="AB185" s="26">
        <v>0</v>
      </c>
      <c r="AC185" s="26" cm="1">
        <f t="array" ref="AC185">_xlfn.XLOOKUP(1, (Table_SourceData_PastureBeef_FeedIntakeAdjustment_Variation[Breed]=$Z$158)*(Table_SourceData_PastureBeef_FeedIntakeAdjustment_Variation[Season]=$V185), Table_SourceData_PastureBeef_FeedIntakeAdjustment_Variation[Milk intake/production], 0)</f>
        <v>0</v>
      </c>
      <c r="AD185" s="26">
        <v>0</v>
      </c>
      <c r="AE185" s="26">
        <v>0</v>
      </c>
      <c r="AF185" s="26">
        <v>0</v>
      </c>
      <c r="AG185" s="27" t="s">
        <v>210</v>
      </c>
      <c r="AH185" s="27"/>
    </row>
    <row r="186" spans="4:34" ht="20.100000000000001" customHeight="1" x14ac:dyDescent="0.25">
      <c r="D186" s="106" t="str">
        <v>D_j</v>
      </c>
      <c r="E186" s="107" t="str">
        <v>number of days in each time-period (days)</v>
      </c>
      <c r="F186" s="109"/>
      <c r="G186" s="106" t="str">
        <v>days</v>
      </c>
      <c r="H186" s="110" t="str">
        <v>Input</v>
      </c>
      <c r="I186" s="112" t="str" cm="1">
        <f t="array" aca="1" ref="I186" ca="1">HYPERLINK(Common_InputFunctions.Utility_SourceHyperlink($D$196), $D$196)</f>
        <v>M1_Table_D_j</v>
      </c>
      <c r="U186" s="26" t="e">
        <f>TEXT(EDATE('Input - Site'!$E$12,6), "mmmm")</f>
        <v>#VALUE!</v>
      </c>
      <c r="V186" s="26" t="str" cm="1">
        <f t="array" ref="V186">IFERROR(_xlfn.IFS(SUMPRODUCT(ISNUMBER(SEARCH(TRIM(_xlfn.TEXTSPLIT($U$92,",")),U186))*1)&gt;0,"Calving season",SUMPRODUCT(ISNUMBER(SEARCH(TRIM(_xlfn.TEXTSPLIT($U$93,",")),U186))*1)&gt;0,"Season after calving"), "")</f>
        <v/>
      </c>
      <c r="W186" s="26" cm="1">
        <f t="array" ref="W186">_xlfn.XLOOKUP(1, (Table_SourceData_PastureBeef_FeedIntakeAdjustment_Variation[Breed]=$Z$158)*(Table_SourceData_PastureBeef_FeedIntakeAdjustment_Variation[Season]=$V186), Table_SourceData_PastureBeef_FeedIntakeAdjustment_Variation[Milk intake/production], 0)</f>
        <v>0</v>
      </c>
      <c r="X186" s="26">
        <v>0</v>
      </c>
      <c r="Y186" s="26" cm="1">
        <f t="array" ref="Y186">_xlfn.XLOOKUP(1, (Table_SourceData_PastureBeef_FeedIntakeAdjustment_Variation[Breed]=$Z$158)*(Table_SourceData_PastureBeef_FeedIntakeAdjustment_Variation[Season]=$V186), Table_SourceData_PastureBeef_FeedIntakeAdjustment_Variation[Milk intake/production], 0)</f>
        <v>0</v>
      </c>
      <c r="Z186" s="26">
        <v>0</v>
      </c>
      <c r="AA186" s="26">
        <v>0</v>
      </c>
      <c r="AB186" s="26">
        <v>0</v>
      </c>
      <c r="AC186" s="26" cm="1">
        <f t="array" ref="AC186">_xlfn.XLOOKUP(1, (Table_SourceData_PastureBeef_FeedIntakeAdjustment_Variation[Breed]=$Z$158)*(Table_SourceData_PastureBeef_FeedIntakeAdjustment_Variation[Season]=$V186), Table_SourceData_PastureBeef_FeedIntakeAdjustment_Variation[Milk intake/production], 0)</f>
        <v>0</v>
      </c>
      <c r="AD186" s="26">
        <v>0</v>
      </c>
      <c r="AE186" s="26">
        <v>0</v>
      </c>
      <c r="AF186" s="26">
        <v>0</v>
      </c>
      <c r="AG186" s="27" t="s">
        <v>210</v>
      </c>
      <c r="AH186" s="27"/>
    </row>
    <row r="187" spans="4:34" ht="20.100000000000001" customHeight="1" x14ac:dyDescent="0.25">
      <c r="U187" s="26" t="e">
        <f>TEXT(EDATE('Input - Site'!$E$12,7), "mmmm")</f>
        <v>#VALUE!</v>
      </c>
      <c r="V187" s="26" t="str" cm="1">
        <f t="array" ref="V187">IFERROR(_xlfn.IFS(SUMPRODUCT(ISNUMBER(SEARCH(TRIM(_xlfn.TEXTSPLIT($U$92,",")),U187))*1)&gt;0,"Calving season",SUMPRODUCT(ISNUMBER(SEARCH(TRIM(_xlfn.TEXTSPLIT($U$93,",")),U187))*1)&gt;0,"Season after calving"), "")</f>
        <v/>
      </c>
      <c r="W187" s="26" cm="1">
        <f t="array" ref="W187">_xlfn.XLOOKUP(1, (Table_SourceData_PastureBeef_FeedIntakeAdjustment_Variation[Breed]=$Z$158)*(Table_SourceData_PastureBeef_FeedIntakeAdjustment_Variation[Season]=$V187), Table_SourceData_PastureBeef_FeedIntakeAdjustment_Variation[Milk intake/production], 0)</f>
        <v>0</v>
      </c>
      <c r="X187" s="26">
        <v>0</v>
      </c>
      <c r="Y187" s="26" cm="1">
        <f t="array" ref="Y187">_xlfn.XLOOKUP(1, (Table_SourceData_PastureBeef_FeedIntakeAdjustment_Variation[Breed]=$Z$158)*(Table_SourceData_PastureBeef_FeedIntakeAdjustment_Variation[Season]=$V187), Table_SourceData_PastureBeef_FeedIntakeAdjustment_Variation[Milk intake/production], 0)</f>
        <v>0</v>
      </c>
      <c r="Z187" s="26">
        <v>0</v>
      </c>
      <c r="AA187" s="26">
        <v>0</v>
      </c>
      <c r="AB187" s="26">
        <v>0</v>
      </c>
      <c r="AC187" s="26" cm="1">
        <f t="array" ref="AC187">_xlfn.XLOOKUP(1, (Table_SourceData_PastureBeef_FeedIntakeAdjustment_Variation[Breed]=$Z$158)*(Table_SourceData_PastureBeef_FeedIntakeAdjustment_Variation[Season]=$V187), Table_SourceData_PastureBeef_FeedIntakeAdjustment_Variation[Milk intake/production], 0)</f>
        <v>0</v>
      </c>
      <c r="AD187" s="26">
        <v>0</v>
      </c>
      <c r="AE187" s="26">
        <v>0</v>
      </c>
      <c r="AF187" s="26">
        <v>0</v>
      </c>
      <c r="AG187" s="27" t="s">
        <v>210</v>
      </c>
      <c r="AH187" s="27"/>
    </row>
    <row r="188" spans="4:34" ht="20.100000000000001" customHeight="1" x14ac:dyDescent="0.25">
      <c r="D188" s="113" t="s">
        <v>286</v>
      </c>
      <c r="U188" s="26" t="e">
        <f>TEXT(EDATE('Input - Site'!$E$12,8), "mmmm")</f>
        <v>#VALUE!</v>
      </c>
      <c r="V188" s="26" t="str" cm="1">
        <f t="array" ref="V188">IFERROR(_xlfn.IFS(SUMPRODUCT(ISNUMBER(SEARCH(TRIM(_xlfn.TEXTSPLIT($U$92,",")),U188))*1)&gt;0,"Calving season",SUMPRODUCT(ISNUMBER(SEARCH(TRIM(_xlfn.TEXTSPLIT($U$93,",")),U188))*1)&gt;0,"Season after calving"), "")</f>
        <v/>
      </c>
      <c r="W188" s="26" cm="1">
        <f t="array" ref="W188">_xlfn.XLOOKUP(1, (Table_SourceData_PastureBeef_FeedIntakeAdjustment_Variation[Breed]=$Z$158)*(Table_SourceData_PastureBeef_FeedIntakeAdjustment_Variation[Season]=$V188), Table_SourceData_PastureBeef_FeedIntakeAdjustment_Variation[Milk intake/production], 0)</f>
        <v>0</v>
      </c>
      <c r="X188" s="26">
        <v>0</v>
      </c>
      <c r="Y188" s="26" cm="1">
        <f t="array" ref="Y188">_xlfn.XLOOKUP(1, (Table_SourceData_PastureBeef_FeedIntakeAdjustment_Variation[Breed]=$Z$158)*(Table_SourceData_PastureBeef_FeedIntakeAdjustment_Variation[Season]=$V188), Table_SourceData_PastureBeef_FeedIntakeAdjustment_Variation[Milk intake/production], 0)</f>
        <v>0</v>
      </c>
      <c r="Z188" s="26">
        <v>0</v>
      </c>
      <c r="AA188" s="26">
        <v>0</v>
      </c>
      <c r="AB188" s="26">
        <v>0</v>
      </c>
      <c r="AC188" s="26" cm="1">
        <f t="array" ref="AC188">_xlfn.XLOOKUP(1, (Table_SourceData_PastureBeef_FeedIntakeAdjustment_Variation[Breed]=$Z$158)*(Table_SourceData_PastureBeef_FeedIntakeAdjustment_Variation[Season]=$V188), Table_SourceData_PastureBeef_FeedIntakeAdjustment_Variation[Milk intake/production], 0)</f>
        <v>0</v>
      </c>
      <c r="AD188" s="26">
        <v>0</v>
      </c>
      <c r="AE188" s="26">
        <v>0</v>
      </c>
      <c r="AF188" s="26">
        <v>0</v>
      </c>
      <c r="AG188" s="27" t="s">
        <v>210</v>
      </c>
    </row>
    <row r="189" spans="4:34" ht="20.100000000000001" customHeight="1" x14ac:dyDescent="0.25">
      <c r="D189" s="114" t="s">
        <v>287</v>
      </c>
      <c r="U189" s="26" t="e">
        <f>TEXT(EDATE('Input - Site'!$E$12,9), "mmmm")</f>
        <v>#VALUE!</v>
      </c>
      <c r="V189" s="26" t="str" cm="1">
        <f t="array" ref="V189">IFERROR(_xlfn.IFS(SUMPRODUCT(ISNUMBER(SEARCH(TRIM(_xlfn.TEXTSPLIT($U$92,",")),U189))*1)&gt;0,"Calving season",SUMPRODUCT(ISNUMBER(SEARCH(TRIM(_xlfn.TEXTSPLIT($U$93,",")),U189))*1)&gt;0,"Season after calving"), "")</f>
        <v/>
      </c>
      <c r="W189" s="26" cm="1">
        <f t="array" ref="W189">_xlfn.XLOOKUP(1, (Table_SourceData_PastureBeef_FeedIntakeAdjustment_Variation[Breed]=$Z$158)*(Table_SourceData_PastureBeef_FeedIntakeAdjustment_Variation[Season]=$V189), Table_SourceData_PastureBeef_FeedIntakeAdjustment_Variation[Milk intake/production], 0)</f>
        <v>0</v>
      </c>
      <c r="X189" s="26">
        <v>0</v>
      </c>
      <c r="Y189" s="26" cm="1">
        <f t="array" ref="Y189">_xlfn.XLOOKUP(1, (Table_SourceData_PastureBeef_FeedIntakeAdjustment_Variation[Breed]=$Z$158)*(Table_SourceData_PastureBeef_FeedIntakeAdjustment_Variation[Season]=$V189), Table_SourceData_PastureBeef_FeedIntakeAdjustment_Variation[Milk intake/production], 0)</f>
        <v>0</v>
      </c>
      <c r="Z189" s="26">
        <v>0</v>
      </c>
      <c r="AA189" s="26">
        <v>0</v>
      </c>
      <c r="AB189" s="26">
        <v>0</v>
      </c>
      <c r="AC189" s="26" cm="1">
        <f t="array" ref="AC189">_xlfn.XLOOKUP(1, (Table_SourceData_PastureBeef_FeedIntakeAdjustment_Variation[Breed]=$Z$158)*(Table_SourceData_PastureBeef_FeedIntakeAdjustment_Variation[Season]=$V189), Table_SourceData_PastureBeef_FeedIntakeAdjustment_Variation[Milk intake/production], 0)</f>
        <v>0</v>
      </c>
      <c r="AD189" s="26">
        <v>0</v>
      </c>
      <c r="AE189" s="26">
        <v>0</v>
      </c>
      <c r="AF189" s="26">
        <v>0</v>
      </c>
      <c r="AG189" s="27" t="s">
        <v>210</v>
      </c>
    </row>
    <row r="190" spans="4:34" ht="20.100000000000001" customHeight="1" x14ac:dyDescent="0.25">
      <c r="D190" s="115" t="s">
        <v>79</v>
      </c>
      <c r="E190" s="116" t="s">
        <v>189</v>
      </c>
      <c r="F190" s="116" t="s">
        <v>190</v>
      </c>
      <c r="G190" s="116" t="s">
        <v>191</v>
      </c>
      <c r="H190" s="116" t="s">
        <v>192</v>
      </c>
      <c r="I190" s="116" t="s">
        <v>193</v>
      </c>
      <c r="J190" s="116" t="s">
        <v>194</v>
      </c>
      <c r="K190" s="116" t="s">
        <v>195</v>
      </c>
      <c r="L190" s="116" t="s">
        <v>196</v>
      </c>
      <c r="M190" s="116" t="s">
        <v>197</v>
      </c>
      <c r="N190" s="116" t="s">
        <v>198</v>
      </c>
      <c r="U190" s="26" t="e">
        <f>TEXT(EDATE('Input - Site'!$E$12,10), "mmmm")</f>
        <v>#VALUE!</v>
      </c>
      <c r="V190" s="26" t="str" cm="1">
        <f t="array" ref="V190">IFERROR(_xlfn.IFS(SUMPRODUCT(ISNUMBER(SEARCH(TRIM(_xlfn.TEXTSPLIT($U$92,",")),U190))*1)&gt;0,"Calving season",SUMPRODUCT(ISNUMBER(SEARCH(TRIM(_xlfn.TEXTSPLIT($U$93,",")),U190))*1)&gt;0,"Season after calving"), "")</f>
        <v/>
      </c>
      <c r="W190" s="26" cm="1">
        <f t="array" ref="W190">_xlfn.XLOOKUP(1, (Table_SourceData_PastureBeef_FeedIntakeAdjustment_Variation[Breed]=$Z$158)*(Table_SourceData_PastureBeef_FeedIntakeAdjustment_Variation[Season]=$V190), Table_SourceData_PastureBeef_FeedIntakeAdjustment_Variation[Milk intake/production], 0)</f>
        <v>0</v>
      </c>
      <c r="X190" s="26">
        <v>0</v>
      </c>
      <c r="Y190" s="26" cm="1">
        <f t="array" ref="Y190">_xlfn.XLOOKUP(1, (Table_SourceData_PastureBeef_FeedIntakeAdjustment_Variation[Breed]=$Z$158)*(Table_SourceData_PastureBeef_FeedIntakeAdjustment_Variation[Season]=$V190), Table_SourceData_PastureBeef_FeedIntakeAdjustment_Variation[Milk intake/production], 0)</f>
        <v>0</v>
      </c>
      <c r="Z190" s="26">
        <v>0</v>
      </c>
      <c r="AA190" s="26">
        <v>0</v>
      </c>
      <c r="AB190" s="26">
        <v>0</v>
      </c>
      <c r="AC190" s="26" cm="1">
        <f t="array" ref="AC190">_xlfn.XLOOKUP(1, (Table_SourceData_PastureBeef_FeedIntakeAdjustment_Variation[Breed]=$Z$158)*(Table_SourceData_PastureBeef_FeedIntakeAdjustment_Variation[Season]=$V190), Table_SourceData_PastureBeef_FeedIntakeAdjustment_Variation[Milk intake/production], 0)</f>
        <v>0</v>
      </c>
      <c r="AD190" s="26">
        <v>0</v>
      </c>
      <c r="AE190" s="26">
        <v>0</v>
      </c>
      <c r="AF190" s="26">
        <v>0</v>
      </c>
      <c r="AG190" s="27" t="s">
        <v>210</v>
      </c>
    </row>
    <row r="191" spans="4:34" ht="20.100000000000001" customHeight="1" x14ac:dyDescent="0.25">
      <c r="D191" s="26" t="s">
        <v>199</v>
      </c>
      <c r="E191" s="26" cm="1">
        <f t="array" aca="1" ref="E191:N194" ca="1">OFFSET(X_Table_PastureBeef_Head_Method1, 1,1, 4,10)</f>
        <v>100</v>
      </c>
      <c r="F191" s="26">
        <f ca="1"/>
        <v>100</v>
      </c>
      <c r="G191" s="26">
        <f ca="1"/>
        <v>100</v>
      </c>
      <c r="H191" s="26">
        <f ca="1"/>
        <v>100</v>
      </c>
      <c r="I191" s="26">
        <f ca="1"/>
        <v>100</v>
      </c>
      <c r="J191" s="26">
        <f ca="1"/>
        <v>100</v>
      </c>
      <c r="K191" s="26">
        <f ca="1"/>
        <v>100</v>
      </c>
      <c r="L191" s="26">
        <f ca="1"/>
        <v>100</v>
      </c>
      <c r="M191" s="26">
        <f ca="1"/>
        <v>100</v>
      </c>
      <c r="N191" s="26">
        <f ca="1"/>
        <v>100</v>
      </c>
      <c r="O191" s="27" t="s">
        <v>413</v>
      </c>
      <c r="U191" s="26" t="e">
        <f>TEXT(EDATE('Input - Site'!$E$12,11), "mmmm")</f>
        <v>#VALUE!</v>
      </c>
      <c r="V191" s="26" t="str" cm="1">
        <f t="array" ref="V191">IFERROR(_xlfn.IFS(SUMPRODUCT(ISNUMBER(SEARCH(TRIM(_xlfn.TEXTSPLIT($U$92,",")),U191))*1)&gt;0,"Calving season",SUMPRODUCT(ISNUMBER(SEARCH(TRIM(_xlfn.TEXTSPLIT($U$93,",")),U191))*1)&gt;0,"Season after calving"), "")</f>
        <v/>
      </c>
      <c r="W191" s="26" cm="1">
        <f t="array" ref="W191">_xlfn.XLOOKUP(1, (Table_SourceData_PastureBeef_FeedIntakeAdjustment_Variation[Breed]=$Z$158)*(Table_SourceData_PastureBeef_FeedIntakeAdjustment_Variation[Season]=$V191), Table_SourceData_PastureBeef_FeedIntakeAdjustment_Variation[Milk intake/production], 0)</f>
        <v>0</v>
      </c>
      <c r="X191" s="26">
        <v>0</v>
      </c>
      <c r="Y191" s="26" cm="1">
        <f t="array" ref="Y191">_xlfn.XLOOKUP(1, (Table_SourceData_PastureBeef_FeedIntakeAdjustment_Variation[Breed]=$Z$158)*(Table_SourceData_PastureBeef_FeedIntakeAdjustment_Variation[Season]=$V191), Table_SourceData_PastureBeef_FeedIntakeAdjustment_Variation[Milk intake/production], 0)</f>
        <v>0</v>
      </c>
      <c r="Z191" s="26">
        <v>0</v>
      </c>
      <c r="AA191" s="26">
        <v>0</v>
      </c>
      <c r="AB191" s="26">
        <v>0</v>
      </c>
      <c r="AC191" s="26" cm="1">
        <f t="array" ref="AC191">_xlfn.XLOOKUP(1, (Table_SourceData_PastureBeef_FeedIntakeAdjustment_Variation[Breed]=$Z$158)*(Table_SourceData_PastureBeef_FeedIntakeAdjustment_Variation[Season]=$V191), Table_SourceData_PastureBeef_FeedIntakeAdjustment_Variation[Milk intake/production], 0)</f>
        <v>0</v>
      </c>
      <c r="AD191" s="26">
        <v>0</v>
      </c>
      <c r="AE191" s="26">
        <v>0</v>
      </c>
      <c r="AF191" s="26">
        <v>0</v>
      </c>
      <c r="AG191" s="27" t="s">
        <v>210</v>
      </c>
    </row>
    <row r="192" spans="4:34" ht="20.100000000000001" customHeight="1" x14ac:dyDescent="0.25">
      <c r="D192" s="26" t="s">
        <v>200</v>
      </c>
      <c r="E192" s="26">
        <f ca="1"/>
        <v>100</v>
      </c>
      <c r="F192" s="26">
        <f ca="1"/>
        <v>100</v>
      </c>
      <c r="G192" s="26">
        <f ca="1"/>
        <v>100</v>
      </c>
      <c r="H192" s="26">
        <f ca="1"/>
        <v>100</v>
      </c>
      <c r="I192" s="26">
        <f ca="1"/>
        <v>100</v>
      </c>
      <c r="J192" s="26">
        <f ca="1"/>
        <v>100</v>
      </c>
      <c r="K192" s="26">
        <f ca="1"/>
        <v>100</v>
      </c>
      <c r="L192" s="26">
        <f ca="1"/>
        <v>100</v>
      </c>
      <c r="M192" s="26">
        <f ca="1"/>
        <v>100</v>
      </c>
      <c r="N192" s="26">
        <f ca="1"/>
        <v>100</v>
      </c>
      <c r="O192" s="27" t="s">
        <v>413</v>
      </c>
    </row>
    <row r="193" spans="4:34" ht="20.100000000000001" customHeight="1" x14ac:dyDescent="0.25">
      <c r="D193" s="26" t="s">
        <v>201</v>
      </c>
      <c r="E193" s="26">
        <f ca="1"/>
        <v>100</v>
      </c>
      <c r="F193" s="26">
        <f ca="1"/>
        <v>100</v>
      </c>
      <c r="G193" s="26">
        <f ca="1"/>
        <v>100</v>
      </c>
      <c r="H193" s="26">
        <f ca="1"/>
        <v>100</v>
      </c>
      <c r="I193" s="26">
        <f ca="1"/>
        <v>100</v>
      </c>
      <c r="J193" s="26">
        <f ca="1"/>
        <v>100</v>
      </c>
      <c r="K193" s="26">
        <f ca="1"/>
        <v>100</v>
      </c>
      <c r="L193" s="26">
        <f ca="1"/>
        <v>100</v>
      </c>
      <c r="M193" s="26">
        <f ca="1"/>
        <v>100</v>
      </c>
      <c r="N193" s="26">
        <f ca="1"/>
        <v>100</v>
      </c>
      <c r="O193" s="27" t="s">
        <v>413</v>
      </c>
      <c r="U193" s="113" t="s">
        <v>450</v>
      </c>
    </row>
    <row r="194" spans="4:34" ht="20.100000000000001" customHeight="1" x14ac:dyDescent="0.25">
      <c r="D194" s="26" t="s">
        <v>202</v>
      </c>
      <c r="E194" s="26">
        <f ca="1"/>
        <v>100</v>
      </c>
      <c r="F194" s="26">
        <f ca="1"/>
        <v>100</v>
      </c>
      <c r="G194" s="26">
        <f ca="1"/>
        <v>100</v>
      </c>
      <c r="H194" s="26">
        <f ca="1"/>
        <v>100</v>
      </c>
      <c r="I194" s="26">
        <f ca="1"/>
        <v>100</v>
      </c>
      <c r="J194" s="26">
        <f ca="1"/>
        <v>100</v>
      </c>
      <c r="K194" s="26">
        <f ca="1"/>
        <v>100</v>
      </c>
      <c r="L194" s="26">
        <f ca="1"/>
        <v>100</v>
      </c>
      <c r="M194" s="26">
        <f ca="1"/>
        <v>100</v>
      </c>
      <c r="N194" s="26">
        <f ca="1"/>
        <v>100</v>
      </c>
      <c r="O194" s="27" t="s">
        <v>413</v>
      </c>
      <c r="U194" s="114" t="s">
        <v>451</v>
      </c>
    </row>
    <row r="195" spans="4:34" ht="20.100000000000001" customHeight="1" x14ac:dyDescent="0.25">
      <c r="U195" s="115" t="s">
        <v>78</v>
      </c>
      <c r="V195" s="115" t="s">
        <v>189</v>
      </c>
      <c r="W195" s="115" t="s">
        <v>190</v>
      </c>
      <c r="X195" s="115" t="s">
        <v>191</v>
      </c>
      <c r="Y195" s="115" t="s">
        <v>192</v>
      </c>
      <c r="Z195" s="115" t="s">
        <v>193</v>
      </c>
      <c r="AA195" s="115" t="s">
        <v>194</v>
      </c>
      <c r="AB195" s="115" t="s">
        <v>195</v>
      </c>
      <c r="AC195" s="115" t="s">
        <v>196</v>
      </c>
      <c r="AD195" s="115" t="s">
        <v>197</v>
      </c>
      <c r="AE195" s="115" t="s">
        <v>198</v>
      </c>
    </row>
    <row r="196" spans="4:34" ht="20.100000000000001" customHeight="1" x14ac:dyDescent="0.25">
      <c r="D196" s="113" t="s">
        <v>288</v>
      </c>
      <c r="U196" s="26" t="str">
        <f>TEXT('Input - Site'!$E$12, "mmmm yyyy")</f>
        <v>NO - Not in leaching zone</v>
      </c>
      <c r="V196" s="26" t="e" cm="1">
        <f t="array" aca="1" ref="V196" ca="1">MMS_PastureBeef_Soil_N2ODirect_Equations.VEERG_4_2_1_3__3_NitrogenExcreted(V56,V164,W180,V136,V20)</f>
        <v>#N/A</v>
      </c>
      <c r="W196" s="26" t="e" cm="1">
        <f t="array" aca="1" ref="W196" ca="1">MMS_PastureBeef_Soil_N2ODirect_Equations.VEERG_4_2_1_3__3_NitrogenExcreted(W56,W164,X180,W136,W20)</f>
        <v>#N/A</v>
      </c>
      <c r="X196" s="26" t="e" cm="1">
        <f t="array" aca="1" ref="X196" ca="1">MMS_PastureBeef_Soil_N2ODirect_Equations.VEERG_4_2_1_3__3_NitrogenExcreted(X56,X164,Y180,X136,X20)</f>
        <v>#N/A</v>
      </c>
      <c r="Y196" s="26" t="e" cm="1">
        <f t="array" aca="1" ref="Y196" ca="1">MMS_PastureBeef_Soil_N2ODirect_Equations.VEERG_4_2_1_3__3_NitrogenExcreted(Y56,Y164,Z180,Y136,Y20)</f>
        <v>#N/A</v>
      </c>
      <c r="Z196" s="26" t="e" cm="1">
        <f t="array" aca="1" ref="Z196" ca="1">MMS_PastureBeef_Soil_N2ODirect_Equations.VEERG_4_2_1_3__3_NitrogenExcreted(Z56,Z164,AA180,Z136,Z20)</f>
        <v>#N/A</v>
      </c>
      <c r="AA196" s="26" t="e" cm="1">
        <f t="array" aca="1" ref="AA196" ca="1">MMS_PastureBeef_Soil_N2ODirect_Equations.VEERG_4_2_1_3__3_NitrogenExcreted(AA56,AA164,AB180,AA136,AA20)</f>
        <v>#N/A</v>
      </c>
      <c r="AB196" s="26" t="e" cm="1">
        <f t="array" aca="1" ref="AB196" ca="1">MMS_PastureBeef_Soil_N2ODirect_Equations.VEERG_4_2_1_3__3_NitrogenExcreted(AB56,AB164,AC180,AB136,AB20)</f>
        <v>#N/A</v>
      </c>
      <c r="AC196" s="26" t="e" cm="1">
        <f t="array" aca="1" ref="AC196" ca="1">MMS_PastureBeef_Soil_N2ODirect_Equations.VEERG_4_2_1_3__3_NitrogenExcreted(AC56,AC164,AD180,AC136,AC20)</f>
        <v>#N/A</v>
      </c>
      <c r="AD196" s="26" t="e" cm="1">
        <f t="array" aca="1" ref="AD196" ca="1">MMS_PastureBeef_Soil_N2ODirect_Equations.VEERG_4_2_1_3__3_NitrogenExcreted(AD56,AD164,AE180,AD136,AD20)</f>
        <v>#N/A</v>
      </c>
      <c r="AE196" s="26" t="e" cm="1">
        <f t="array" aca="1" ref="AE196" ca="1">MMS_PastureBeef_Soil_N2ODirect_Equations.VEERG_4_2_1_3__3_NitrogenExcreted(AE56,AE164,AF180,AE136,AE20)</f>
        <v>#N/A</v>
      </c>
      <c r="AF196" s="27" t="str">
        <f t="shared" ref="AF196:AF207" si="9">$E$140</f>
        <v>kg N/head/day</v>
      </c>
      <c r="AG196" s="27"/>
      <c r="AH196" s="27"/>
    </row>
    <row r="197" spans="4:34" ht="20.100000000000001" customHeight="1" x14ac:dyDescent="0.25">
      <c r="D197" s="114" t="s">
        <v>289</v>
      </c>
      <c r="U197" s="26" t="e">
        <f>TEXT(EDATE('Input - Site'!$E$12,1), "mmmm yyyy")</f>
        <v>#VALUE!</v>
      </c>
      <c r="V197" s="26" t="e" cm="1">
        <f t="array" aca="1" ref="V197" ca="1">MMS_PastureBeef_Soil_N2ODirect_Equations.VEERG_4_2_1_3__3_NitrogenExcreted(V57,V165,W181,V137,V21)</f>
        <v>#N/A</v>
      </c>
      <c r="W197" s="26" t="e" cm="1">
        <f t="array" aca="1" ref="W197" ca="1">MMS_PastureBeef_Soil_N2ODirect_Equations.VEERG_4_2_1_3__3_NitrogenExcreted(W57,W165,X181,W137,W21)</f>
        <v>#N/A</v>
      </c>
      <c r="X197" s="26" t="e" cm="1">
        <f t="array" aca="1" ref="X197" ca="1">MMS_PastureBeef_Soil_N2ODirect_Equations.VEERG_4_2_1_3__3_NitrogenExcreted(X57,X165,Y181,X137,X21)</f>
        <v>#N/A</v>
      </c>
      <c r="Y197" s="26" t="e" cm="1">
        <f t="array" aca="1" ref="Y197" ca="1">MMS_PastureBeef_Soil_N2ODirect_Equations.VEERG_4_2_1_3__3_NitrogenExcreted(Y57,Y165,Z181,Y137,Y21)</f>
        <v>#N/A</v>
      </c>
      <c r="Z197" s="26" t="e" cm="1">
        <f t="array" aca="1" ref="Z197" ca="1">MMS_PastureBeef_Soil_N2ODirect_Equations.VEERG_4_2_1_3__3_NitrogenExcreted(Z57,Z165,AA181,Z137,Z21)</f>
        <v>#N/A</v>
      </c>
      <c r="AA197" s="26" t="e" cm="1">
        <f t="array" aca="1" ref="AA197" ca="1">MMS_PastureBeef_Soil_N2ODirect_Equations.VEERG_4_2_1_3__3_NitrogenExcreted(AA57,AA165,AB181,AA137,AA21)</f>
        <v>#N/A</v>
      </c>
      <c r="AB197" s="26" t="e" cm="1">
        <f t="array" aca="1" ref="AB197" ca="1">MMS_PastureBeef_Soil_N2ODirect_Equations.VEERG_4_2_1_3__3_NitrogenExcreted(AB57,AB165,AC181,AB137,AB21)</f>
        <v>#N/A</v>
      </c>
      <c r="AC197" s="26" t="e" cm="1">
        <f t="array" aca="1" ref="AC197" ca="1">MMS_PastureBeef_Soil_N2ODirect_Equations.VEERG_4_2_1_3__3_NitrogenExcreted(AC57,AC165,AD181,AC137,AC21)</f>
        <v>#N/A</v>
      </c>
      <c r="AD197" s="26" t="e" cm="1">
        <f t="array" aca="1" ref="AD197" ca="1">MMS_PastureBeef_Soil_N2ODirect_Equations.VEERG_4_2_1_3__3_NitrogenExcreted(AD57,AD165,AE181,AD137,AD21)</f>
        <v>#N/A</v>
      </c>
      <c r="AE197" s="26" t="e" cm="1">
        <f t="array" aca="1" ref="AE197" ca="1">MMS_PastureBeef_Soil_N2ODirect_Equations.VEERG_4_2_1_3__3_NitrogenExcreted(AE57,AE165,AF181,AE137,AE21)</f>
        <v>#N/A</v>
      </c>
      <c r="AF197" s="27" t="str">
        <f t="shared" si="9"/>
        <v>kg N/head/day</v>
      </c>
      <c r="AG197" s="27"/>
      <c r="AH197" s="27"/>
    </row>
    <row r="198" spans="4:34" ht="20.100000000000001" customHeight="1" x14ac:dyDescent="0.25">
      <c r="D198" s="115" t="s">
        <v>79</v>
      </c>
      <c r="E198" s="116" t="s">
        <v>189</v>
      </c>
      <c r="F198" s="116" t="s">
        <v>190</v>
      </c>
      <c r="G198" s="116" t="s">
        <v>191</v>
      </c>
      <c r="H198" s="116" t="s">
        <v>192</v>
      </c>
      <c r="I198" s="116" t="s">
        <v>193</v>
      </c>
      <c r="J198" s="116" t="s">
        <v>194</v>
      </c>
      <c r="K198" s="116" t="s">
        <v>195</v>
      </c>
      <c r="L198" s="116" t="s">
        <v>196</v>
      </c>
      <c r="M198" s="116" t="s">
        <v>197</v>
      </c>
      <c r="N198" s="116" t="s">
        <v>198</v>
      </c>
      <c r="U198" s="26" t="e">
        <f>TEXT(EDATE('Input - Site'!$E$12,2), "mmmm yyyy")</f>
        <v>#VALUE!</v>
      </c>
      <c r="V198" s="26" t="e" cm="1">
        <f t="array" aca="1" ref="V198" ca="1">MMS_PastureBeef_Soil_N2ODirect_Equations.VEERG_4_2_1_3__3_NitrogenExcreted(V58,V166,W182,V138,V22)</f>
        <v>#N/A</v>
      </c>
      <c r="W198" s="26" t="e" cm="1">
        <f t="array" aca="1" ref="W198" ca="1">MMS_PastureBeef_Soil_N2ODirect_Equations.VEERG_4_2_1_3__3_NitrogenExcreted(W58,W166,X182,W138,W22)</f>
        <v>#N/A</v>
      </c>
      <c r="X198" s="26" t="e" cm="1">
        <f t="array" aca="1" ref="X198" ca="1">MMS_PastureBeef_Soil_N2ODirect_Equations.VEERG_4_2_1_3__3_NitrogenExcreted(X58,X166,Y182,X138,X22)</f>
        <v>#N/A</v>
      </c>
      <c r="Y198" s="26" t="e" cm="1">
        <f t="array" aca="1" ref="Y198" ca="1">MMS_PastureBeef_Soil_N2ODirect_Equations.VEERG_4_2_1_3__3_NitrogenExcreted(Y58,Y166,Z182,Y138,Y22)</f>
        <v>#N/A</v>
      </c>
      <c r="Z198" s="26" t="e" cm="1">
        <f t="array" aca="1" ref="Z198" ca="1">MMS_PastureBeef_Soil_N2ODirect_Equations.VEERG_4_2_1_3__3_NitrogenExcreted(Z58,Z166,AA182,Z138,Z22)</f>
        <v>#N/A</v>
      </c>
      <c r="AA198" s="26" t="e" cm="1">
        <f t="array" aca="1" ref="AA198" ca="1">MMS_PastureBeef_Soil_N2ODirect_Equations.VEERG_4_2_1_3__3_NitrogenExcreted(AA58,AA166,AB182,AA138,AA22)</f>
        <v>#N/A</v>
      </c>
      <c r="AB198" s="26" t="e" cm="1">
        <f t="array" aca="1" ref="AB198" ca="1">MMS_PastureBeef_Soil_N2ODirect_Equations.VEERG_4_2_1_3__3_NitrogenExcreted(AB58,AB166,AC182,AB138,AB22)</f>
        <v>#N/A</v>
      </c>
      <c r="AC198" s="26" t="e" cm="1">
        <f t="array" aca="1" ref="AC198" ca="1">MMS_PastureBeef_Soil_N2ODirect_Equations.VEERG_4_2_1_3__3_NitrogenExcreted(AC58,AC166,AD182,AC138,AC22)</f>
        <v>#N/A</v>
      </c>
      <c r="AD198" s="26" t="e" cm="1">
        <f t="array" aca="1" ref="AD198" ca="1">MMS_PastureBeef_Soil_N2ODirect_Equations.VEERG_4_2_1_3__3_NitrogenExcreted(AD58,AD166,AE182,AD138,AD22)</f>
        <v>#N/A</v>
      </c>
      <c r="AE198" s="26" t="e" cm="1">
        <f t="array" aca="1" ref="AE198" ca="1">MMS_PastureBeef_Soil_N2ODirect_Equations.VEERG_4_2_1_3__3_NitrogenExcreted(AE58,AE166,AF182,AE138,AE22)</f>
        <v>#N/A</v>
      </c>
      <c r="AF198" s="27" t="str">
        <f t="shared" si="9"/>
        <v>kg N/head/day</v>
      </c>
      <c r="AG198" s="27"/>
      <c r="AH198" s="27"/>
    </row>
    <row r="199" spans="4:34" ht="20.100000000000001" customHeight="1" x14ac:dyDescent="0.25">
      <c r="D199" s="26" t="s">
        <v>199</v>
      </c>
      <c r="E199" s="26" cm="1">
        <f t="array" aca="1" ref="E199:N202" ca="1">OFFSET(X_Table_PastureBeef_Duration_Method1, 1,1, 4,10)</f>
        <v>91.25</v>
      </c>
      <c r="F199" s="26">
        <f ca="1"/>
        <v>91.25</v>
      </c>
      <c r="G199" s="26">
        <f ca="1"/>
        <v>91.25</v>
      </c>
      <c r="H199" s="26">
        <f ca="1"/>
        <v>91.25</v>
      </c>
      <c r="I199" s="26">
        <f ca="1"/>
        <v>91.25</v>
      </c>
      <c r="J199" s="26">
        <f ca="1"/>
        <v>91.25</v>
      </c>
      <c r="K199" s="26">
        <f ca="1"/>
        <v>91.25</v>
      </c>
      <c r="L199" s="26">
        <f ca="1"/>
        <v>91.25</v>
      </c>
      <c r="M199" s="26">
        <f ca="1"/>
        <v>91.25</v>
      </c>
      <c r="N199" s="26">
        <f ca="1"/>
        <v>91.25</v>
      </c>
      <c r="O199" s="27" t="s">
        <v>414</v>
      </c>
      <c r="U199" s="26" t="e">
        <f>TEXT(EDATE('Input - Site'!$E$12,3), "mmmm yyyy")</f>
        <v>#VALUE!</v>
      </c>
      <c r="V199" s="26" t="e" cm="1">
        <f t="array" aca="1" ref="V199" ca="1">MMS_PastureBeef_Soil_N2ODirect_Equations.VEERG_4_2_1_3__3_NitrogenExcreted(V59,V167,W183,V139,V23)</f>
        <v>#N/A</v>
      </c>
      <c r="W199" s="26" t="e" cm="1">
        <f t="array" aca="1" ref="W199" ca="1">MMS_PastureBeef_Soil_N2ODirect_Equations.VEERG_4_2_1_3__3_NitrogenExcreted(W59,W167,X183,W139,W23)</f>
        <v>#N/A</v>
      </c>
      <c r="X199" s="26" t="e" cm="1">
        <f t="array" aca="1" ref="X199" ca="1">MMS_PastureBeef_Soil_N2ODirect_Equations.VEERG_4_2_1_3__3_NitrogenExcreted(X59,X167,Y183,X139,X23)</f>
        <v>#N/A</v>
      </c>
      <c r="Y199" s="26" t="e" cm="1">
        <f t="array" aca="1" ref="Y199" ca="1">MMS_PastureBeef_Soil_N2ODirect_Equations.VEERG_4_2_1_3__3_NitrogenExcreted(Y59,Y167,Z183,Y139,Y23)</f>
        <v>#N/A</v>
      </c>
      <c r="Z199" s="26" t="e" cm="1">
        <f t="array" aca="1" ref="Z199" ca="1">MMS_PastureBeef_Soil_N2ODirect_Equations.VEERG_4_2_1_3__3_NitrogenExcreted(Z59,Z167,AA183,Z139,Z23)</f>
        <v>#N/A</v>
      </c>
      <c r="AA199" s="26" t="e" cm="1">
        <f t="array" aca="1" ref="AA199" ca="1">MMS_PastureBeef_Soil_N2ODirect_Equations.VEERG_4_2_1_3__3_NitrogenExcreted(AA59,AA167,AB183,AA139,AA23)</f>
        <v>#N/A</v>
      </c>
      <c r="AB199" s="26" t="e" cm="1">
        <f t="array" aca="1" ref="AB199" ca="1">MMS_PastureBeef_Soil_N2ODirect_Equations.VEERG_4_2_1_3__3_NitrogenExcreted(AB59,AB167,AC183,AB139,AB23)</f>
        <v>#N/A</v>
      </c>
      <c r="AC199" s="26" t="e" cm="1">
        <f t="array" aca="1" ref="AC199" ca="1">MMS_PastureBeef_Soil_N2ODirect_Equations.VEERG_4_2_1_3__3_NitrogenExcreted(AC59,AC167,AD183,AC139,AC23)</f>
        <v>#N/A</v>
      </c>
      <c r="AD199" s="26" t="e" cm="1">
        <f t="array" aca="1" ref="AD199" ca="1">MMS_PastureBeef_Soil_N2ODirect_Equations.VEERG_4_2_1_3__3_NitrogenExcreted(AD59,AD167,AE183,AD139,AD23)</f>
        <v>#N/A</v>
      </c>
      <c r="AE199" s="26" t="e" cm="1">
        <f t="array" aca="1" ref="AE199" ca="1">MMS_PastureBeef_Soil_N2ODirect_Equations.VEERG_4_2_1_3__3_NitrogenExcreted(AE59,AE167,AF183,AE139,AE23)</f>
        <v>#N/A</v>
      </c>
      <c r="AF199" s="27" t="str">
        <f t="shared" si="9"/>
        <v>kg N/head/day</v>
      </c>
      <c r="AG199" s="27"/>
      <c r="AH199" s="27"/>
    </row>
    <row r="200" spans="4:34" ht="20.100000000000001" customHeight="1" x14ac:dyDescent="0.25">
      <c r="D200" s="26" t="s">
        <v>200</v>
      </c>
      <c r="E200" s="26">
        <f ca="1"/>
        <v>91.25</v>
      </c>
      <c r="F200" s="26">
        <f ca="1"/>
        <v>91.25</v>
      </c>
      <c r="G200" s="26">
        <f ca="1"/>
        <v>91.25</v>
      </c>
      <c r="H200" s="26">
        <f ca="1"/>
        <v>91.25</v>
      </c>
      <c r="I200" s="26">
        <f ca="1"/>
        <v>91.25</v>
      </c>
      <c r="J200" s="26">
        <f ca="1"/>
        <v>91.25</v>
      </c>
      <c r="K200" s="26">
        <f ca="1"/>
        <v>91.25</v>
      </c>
      <c r="L200" s="26">
        <f ca="1"/>
        <v>91.25</v>
      </c>
      <c r="M200" s="26">
        <f ca="1"/>
        <v>91.25</v>
      </c>
      <c r="N200" s="26">
        <f ca="1"/>
        <v>91.25</v>
      </c>
      <c r="O200" s="27" t="s">
        <v>414</v>
      </c>
      <c r="U200" s="26" t="e">
        <f>TEXT(EDATE('Input - Site'!$E$12,4), "mmmm yyyy")</f>
        <v>#VALUE!</v>
      </c>
      <c r="V200" s="26" t="e" cm="1">
        <f t="array" aca="1" ref="V200" ca="1">MMS_PastureBeef_Soil_N2ODirect_Equations.VEERG_4_2_1_3__3_NitrogenExcreted(V60,V168,W184,V140,V24)</f>
        <v>#N/A</v>
      </c>
      <c r="W200" s="26" t="e" cm="1">
        <f t="array" aca="1" ref="W200" ca="1">MMS_PastureBeef_Soil_N2ODirect_Equations.VEERG_4_2_1_3__3_NitrogenExcreted(W60,W168,X184,W140,W24)</f>
        <v>#N/A</v>
      </c>
      <c r="X200" s="26" t="e" cm="1">
        <f t="array" aca="1" ref="X200" ca="1">MMS_PastureBeef_Soil_N2ODirect_Equations.VEERG_4_2_1_3__3_NitrogenExcreted(X60,X168,Y184,X140,X24)</f>
        <v>#N/A</v>
      </c>
      <c r="Y200" s="26" t="e" cm="1">
        <f t="array" aca="1" ref="Y200" ca="1">MMS_PastureBeef_Soil_N2ODirect_Equations.VEERG_4_2_1_3__3_NitrogenExcreted(Y60,Y168,Z184,Y140,Y24)</f>
        <v>#N/A</v>
      </c>
      <c r="Z200" s="26" t="e" cm="1">
        <f t="array" aca="1" ref="Z200" ca="1">MMS_PastureBeef_Soil_N2ODirect_Equations.VEERG_4_2_1_3__3_NitrogenExcreted(Z60,Z168,AA184,Z140,Z24)</f>
        <v>#N/A</v>
      </c>
      <c r="AA200" s="26" t="e" cm="1">
        <f t="array" aca="1" ref="AA200" ca="1">MMS_PastureBeef_Soil_N2ODirect_Equations.VEERG_4_2_1_3__3_NitrogenExcreted(AA60,AA168,AB184,AA140,AA24)</f>
        <v>#N/A</v>
      </c>
      <c r="AB200" s="26" t="e" cm="1">
        <f t="array" aca="1" ref="AB200" ca="1">MMS_PastureBeef_Soil_N2ODirect_Equations.VEERG_4_2_1_3__3_NitrogenExcreted(AB60,AB168,AC184,AB140,AB24)</f>
        <v>#N/A</v>
      </c>
      <c r="AC200" s="26" t="e" cm="1">
        <f t="array" aca="1" ref="AC200" ca="1">MMS_PastureBeef_Soil_N2ODirect_Equations.VEERG_4_2_1_3__3_NitrogenExcreted(AC60,AC168,AD184,AC140,AC24)</f>
        <v>#N/A</v>
      </c>
      <c r="AD200" s="26" t="e" cm="1">
        <f t="array" aca="1" ref="AD200" ca="1">MMS_PastureBeef_Soil_N2ODirect_Equations.VEERG_4_2_1_3__3_NitrogenExcreted(AD60,AD168,AE184,AD140,AD24)</f>
        <v>#N/A</v>
      </c>
      <c r="AE200" s="26" t="e" cm="1">
        <f t="array" aca="1" ref="AE200" ca="1">MMS_PastureBeef_Soil_N2ODirect_Equations.VEERG_4_2_1_3__3_NitrogenExcreted(AE60,AE168,AF184,AE140,AE24)</f>
        <v>#N/A</v>
      </c>
      <c r="AF200" s="27" t="str">
        <f t="shared" si="9"/>
        <v>kg N/head/day</v>
      </c>
      <c r="AG200" s="27"/>
      <c r="AH200" s="27"/>
    </row>
    <row r="201" spans="4:34" ht="20.100000000000001" customHeight="1" x14ac:dyDescent="0.25">
      <c r="D201" s="26" t="s">
        <v>201</v>
      </c>
      <c r="E201" s="26">
        <f ca="1"/>
        <v>91.25</v>
      </c>
      <c r="F201" s="26">
        <f ca="1"/>
        <v>91.25</v>
      </c>
      <c r="G201" s="26">
        <f ca="1"/>
        <v>91.25</v>
      </c>
      <c r="H201" s="26">
        <f ca="1"/>
        <v>91.25</v>
      </c>
      <c r="I201" s="26">
        <f ca="1"/>
        <v>91.25</v>
      </c>
      <c r="J201" s="26">
        <f ca="1"/>
        <v>91.25</v>
      </c>
      <c r="K201" s="26">
        <f ca="1"/>
        <v>91.25</v>
      </c>
      <c r="L201" s="26">
        <f ca="1"/>
        <v>91.25</v>
      </c>
      <c r="M201" s="26">
        <f ca="1"/>
        <v>91.25</v>
      </c>
      <c r="N201" s="26">
        <f ca="1"/>
        <v>91.25</v>
      </c>
      <c r="O201" s="27" t="s">
        <v>414</v>
      </c>
      <c r="U201" s="26" t="e">
        <f>TEXT(EDATE('Input - Site'!$E$12,5), "mmmm yyyy")</f>
        <v>#VALUE!</v>
      </c>
      <c r="V201" s="26" t="e" cm="1">
        <f t="array" aca="1" ref="V201" ca="1">MMS_PastureBeef_Soil_N2ODirect_Equations.VEERG_4_2_1_3__3_NitrogenExcreted(V61,V169,W185,V141,V25)</f>
        <v>#N/A</v>
      </c>
      <c r="W201" s="26" t="e" cm="1">
        <f t="array" aca="1" ref="W201" ca="1">MMS_PastureBeef_Soil_N2ODirect_Equations.VEERG_4_2_1_3__3_NitrogenExcreted(W61,W169,X185,W141,W25)</f>
        <v>#N/A</v>
      </c>
      <c r="X201" s="26" t="e" cm="1">
        <f t="array" aca="1" ref="X201" ca="1">MMS_PastureBeef_Soil_N2ODirect_Equations.VEERG_4_2_1_3__3_NitrogenExcreted(X61,X169,Y185,X141,X25)</f>
        <v>#N/A</v>
      </c>
      <c r="Y201" s="26" t="e" cm="1">
        <f t="array" aca="1" ref="Y201" ca="1">MMS_PastureBeef_Soil_N2ODirect_Equations.VEERG_4_2_1_3__3_NitrogenExcreted(Y61,Y169,Z185,Y141,Y25)</f>
        <v>#N/A</v>
      </c>
      <c r="Z201" s="26" t="e" cm="1">
        <f t="array" aca="1" ref="Z201" ca="1">MMS_PastureBeef_Soil_N2ODirect_Equations.VEERG_4_2_1_3__3_NitrogenExcreted(Z61,Z169,AA185,Z141,Z25)</f>
        <v>#N/A</v>
      </c>
      <c r="AA201" s="26" t="e" cm="1">
        <f t="array" aca="1" ref="AA201" ca="1">MMS_PastureBeef_Soil_N2ODirect_Equations.VEERG_4_2_1_3__3_NitrogenExcreted(AA61,AA169,AB185,AA141,AA25)</f>
        <v>#N/A</v>
      </c>
      <c r="AB201" s="26" t="e" cm="1">
        <f t="array" aca="1" ref="AB201" ca="1">MMS_PastureBeef_Soil_N2ODirect_Equations.VEERG_4_2_1_3__3_NitrogenExcreted(AB61,AB169,AC185,AB141,AB25)</f>
        <v>#N/A</v>
      </c>
      <c r="AC201" s="26" t="e" cm="1">
        <f t="array" aca="1" ref="AC201" ca="1">MMS_PastureBeef_Soil_N2ODirect_Equations.VEERG_4_2_1_3__3_NitrogenExcreted(AC61,AC169,AD185,AC141,AC25)</f>
        <v>#N/A</v>
      </c>
      <c r="AD201" s="26" t="e" cm="1">
        <f t="array" aca="1" ref="AD201" ca="1">MMS_PastureBeef_Soil_N2ODirect_Equations.VEERG_4_2_1_3__3_NitrogenExcreted(AD61,AD169,AE185,AD141,AD25)</f>
        <v>#N/A</v>
      </c>
      <c r="AE201" s="26" t="e" cm="1">
        <f t="array" aca="1" ref="AE201" ca="1">MMS_PastureBeef_Soil_N2ODirect_Equations.VEERG_4_2_1_3__3_NitrogenExcreted(AE61,AE169,AF185,AE141,AE25)</f>
        <v>#N/A</v>
      </c>
      <c r="AF201" s="27" t="str">
        <f t="shared" si="9"/>
        <v>kg N/head/day</v>
      </c>
      <c r="AG201" s="27"/>
      <c r="AH201" s="27"/>
    </row>
    <row r="202" spans="4:34" ht="20.100000000000001" customHeight="1" x14ac:dyDescent="0.25">
      <c r="D202" s="26" t="s">
        <v>202</v>
      </c>
      <c r="E202" s="26">
        <f ca="1"/>
        <v>91.25</v>
      </c>
      <c r="F202" s="26">
        <f ca="1"/>
        <v>91.25</v>
      </c>
      <c r="G202" s="26">
        <f ca="1"/>
        <v>91.25</v>
      </c>
      <c r="H202" s="26">
        <f ca="1"/>
        <v>91.25</v>
      </c>
      <c r="I202" s="26">
        <f ca="1"/>
        <v>91.25</v>
      </c>
      <c r="J202" s="26">
        <f ca="1"/>
        <v>91.25</v>
      </c>
      <c r="K202" s="26">
        <f ca="1"/>
        <v>91.25</v>
      </c>
      <c r="L202" s="26">
        <f ca="1"/>
        <v>91.25</v>
      </c>
      <c r="M202" s="26">
        <f ca="1"/>
        <v>91.25</v>
      </c>
      <c r="N202" s="26">
        <f ca="1"/>
        <v>91.25</v>
      </c>
      <c r="O202" s="27" t="s">
        <v>414</v>
      </c>
      <c r="U202" s="26" t="e">
        <f>TEXT(EDATE('Input - Site'!$E$12,6), "mmmm yyyy")</f>
        <v>#VALUE!</v>
      </c>
      <c r="V202" s="26" t="e" cm="1">
        <f t="array" aca="1" ref="V202" ca="1">MMS_PastureBeef_Soil_N2ODirect_Equations.VEERG_4_2_1_3__3_NitrogenExcreted(V62,V170,W186,V142,V26)</f>
        <v>#N/A</v>
      </c>
      <c r="W202" s="26" t="e" cm="1">
        <f t="array" aca="1" ref="W202" ca="1">MMS_PastureBeef_Soil_N2ODirect_Equations.VEERG_4_2_1_3__3_NitrogenExcreted(W62,W170,X186,W142,W26)</f>
        <v>#N/A</v>
      </c>
      <c r="X202" s="26" t="e" cm="1">
        <f t="array" aca="1" ref="X202" ca="1">MMS_PastureBeef_Soil_N2ODirect_Equations.VEERG_4_2_1_3__3_NitrogenExcreted(X62,X170,Y186,X142,X26)</f>
        <v>#N/A</v>
      </c>
      <c r="Y202" s="26" t="e" cm="1">
        <f t="array" aca="1" ref="Y202" ca="1">MMS_PastureBeef_Soil_N2ODirect_Equations.VEERG_4_2_1_3__3_NitrogenExcreted(Y62,Y170,Z186,Y142,Y26)</f>
        <v>#N/A</v>
      </c>
      <c r="Z202" s="26" t="e" cm="1">
        <f t="array" aca="1" ref="Z202" ca="1">MMS_PastureBeef_Soil_N2ODirect_Equations.VEERG_4_2_1_3__3_NitrogenExcreted(Z62,Z170,AA186,Z142,Z26)</f>
        <v>#N/A</v>
      </c>
      <c r="AA202" s="26" t="e" cm="1">
        <f t="array" aca="1" ref="AA202" ca="1">MMS_PastureBeef_Soil_N2ODirect_Equations.VEERG_4_2_1_3__3_NitrogenExcreted(AA62,AA170,AB186,AA142,AA26)</f>
        <v>#N/A</v>
      </c>
      <c r="AB202" s="26" t="e" cm="1">
        <f t="array" aca="1" ref="AB202" ca="1">MMS_PastureBeef_Soil_N2ODirect_Equations.VEERG_4_2_1_3__3_NitrogenExcreted(AB62,AB170,AC186,AB142,AB26)</f>
        <v>#N/A</v>
      </c>
      <c r="AC202" s="26" t="e" cm="1">
        <f t="array" aca="1" ref="AC202" ca="1">MMS_PastureBeef_Soil_N2ODirect_Equations.VEERG_4_2_1_3__3_NitrogenExcreted(AC62,AC170,AD186,AC142,AC26)</f>
        <v>#N/A</v>
      </c>
      <c r="AD202" s="26" t="e" cm="1">
        <f t="array" aca="1" ref="AD202" ca="1">MMS_PastureBeef_Soil_N2ODirect_Equations.VEERG_4_2_1_3__3_NitrogenExcreted(AD62,AD170,AE186,AD142,AD26)</f>
        <v>#N/A</v>
      </c>
      <c r="AE202" s="26" t="e" cm="1">
        <f t="array" aca="1" ref="AE202" ca="1">MMS_PastureBeef_Soil_N2ODirect_Equations.VEERG_4_2_1_3__3_NitrogenExcreted(AE62,AE170,AF186,AE142,AE26)</f>
        <v>#N/A</v>
      </c>
      <c r="AF202" s="27" t="str">
        <f t="shared" si="9"/>
        <v>kg N/head/day</v>
      </c>
      <c r="AG202" s="27"/>
      <c r="AH202" s="27"/>
    </row>
    <row r="203" spans="4:34" ht="20.100000000000001" customHeight="1" x14ac:dyDescent="0.25">
      <c r="U203" s="26" t="e">
        <f>TEXT(EDATE('Input - Site'!$E$12,7), "mmmm yyyy")</f>
        <v>#VALUE!</v>
      </c>
      <c r="V203" s="26" t="e" cm="1">
        <f t="array" aca="1" ref="V203" ca="1">MMS_PastureBeef_Soil_N2ODirect_Equations.VEERG_4_2_1_3__3_NitrogenExcreted(V63,V171,W187,V143,V27)</f>
        <v>#N/A</v>
      </c>
      <c r="W203" s="26" t="e" cm="1">
        <f t="array" aca="1" ref="W203" ca="1">MMS_PastureBeef_Soil_N2ODirect_Equations.VEERG_4_2_1_3__3_NitrogenExcreted(W63,W171,X187,W143,W27)</f>
        <v>#N/A</v>
      </c>
      <c r="X203" s="26" t="e" cm="1">
        <f t="array" aca="1" ref="X203" ca="1">MMS_PastureBeef_Soil_N2ODirect_Equations.VEERG_4_2_1_3__3_NitrogenExcreted(X63,X171,Y187,X143,X27)</f>
        <v>#N/A</v>
      </c>
      <c r="Y203" s="26" t="e" cm="1">
        <f t="array" aca="1" ref="Y203" ca="1">MMS_PastureBeef_Soil_N2ODirect_Equations.VEERG_4_2_1_3__3_NitrogenExcreted(Y63,Y171,Z187,Y143,Y27)</f>
        <v>#N/A</v>
      </c>
      <c r="Z203" s="26" t="e" cm="1">
        <f t="array" aca="1" ref="Z203" ca="1">MMS_PastureBeef_Soil_N2ODirect_Equations.VEERG_4_2_1_3__3_NitrogenExcreted(Z63,Z171,AA187,Z143,Z27)</f>
        <v>#N/A</v>
      </c>
      <c r="AA203" s="26" t="e" cm="1">
        <f t="array" aca="1" ref="AA203" ca="1">MMS_PastureBeef_Soil_N2ODirect_Equations.VEERG_4_2_1_3__3_NitrogenExcreted(AA63,AA171,AB187,AA143,AA27)</f>
        <v>#N/A</v>
      </c>
      <c r="AB203" s="26" t="e" cm="1">
        <f t="array" aca="1" ref="AB203" ca="1">MMS_PastureBeef_Soil_N2ODirect_Equations.VEERG_4_2_1_3__3_NitrogenExcreted(AB63,AB171,AC187,AB143,AB27)</f>
        <v>#N/A</v>
      </c>
      <c r="AC203" s="26" t="e" cm="1">
        <f t="array" aca="1" ref="AC203" ca="1">MMS_PastureBeef_Soil_N2ODirect_Equations.VEERG_4_2_1_3__3_NitrogenExcreted(AC63,AC171,AD187,AC143,AC27)</f>
        <v>#N/A</v>
      </c>
      <c r="AD203" s="26" t="e" cm="1">
        <f t="array" aca="1" ref="AD203" ca="1">MMS_PastureBeef_Soil_N2ODirect_Equations.VEERG_4_2_1_3__3_NitrogenExcreted(AD63,AD171,AE187,AD143,AD27)</f>
        <v>#N/A</v>
      </c>
      <c r="AE203" s="26" t="e" cm="1">
        <f t="array" aca="1" ref="AE203" ca="1">MMS_PastureBeef_Soil_N2ODirect_Equations.VEERG_4_2_1_3__3_NitrogenExcreted(AE63,AE171,AF187,AE143,AE27)</f>
        <v>#N/A</v>
      </c>
      <c r="AF203" s="27" t="str">
        <f t="shared" si="9"/>
        <v>kg N/head/day</v>
      </c>
      <c r="AG203" s="27"/>
      <c r="AH203" s="27"/>
    </row>
    <row r="204" spans="4:34" ht="20.100000000000001" customHeight="1" x14ac:dyDescent="0.25">
      <c r="D204" s="113" t="s">
        <v>452</v>
      </c>
      <c r="U204" s="26" t="e">
        <f>TEXT(EDATE('Input - Site'!$E$12,8), "mmmm yyyy")</f>
        <v>#VALUE!</v>
      </c>
      <c r="V204" s="26" t="e" cm="1">
        <f t="array" aca="1" ref="V204" ca="1">MMS_PastureBeef_Soil_N2ODirect_Equations.VEERG_4_2_1_3__3_NitrogenExcreted(V64,V172,W188,V144,V28)</f>
        <v>#N/A</v>
      </c>
      <c r="W204" s="26" t="e" cm="1">
        <f t="array" aca="1" ref="W204" ca="1">MMS_PastureBeef_Soil_N2ODirect_Equations.VEERG_4_2_1_3__3_NitrogenExcreted(W64,W172,X188,W144,W28)</f>
        <v>#N/A</v>
      </c>
      <c r="X204" s="26" t="e" cm="1">
        <f t="array" aca="1" ref="X204" ca="1">MMS_PastureBeef_Soil_N2ODirect_Equations.VEERG_4_2_1_3__3_NitrogenExcreted(X64,X172,Y188,X144,X28)</f>
        <v>#N/A</v>
      </c>
      <c r="Y204" s="26" t="e" cm="1">
        <f t="array" aca="1" ref="Y204" ca="1">MMS_PastureBeef_Soil_N2ODirect_Equations.VEERG_4_2_1_3__3_NitrogenExcreted(Y64,Y172,Z188,Y144,Y28)</f>
        <v>#N/A</v>
      </c>
      <c r="Z204" s="26" t="e" cm="1">
        <f t="array" aca="1" ref="Z204" ca="1">MMS_PastureBeef_Soil_N2ODirect_Equations.VEERG_4_2_1_3__3_NitrogenExcreted(Z64,Z172,AA188,Z144,Z28)</f>
        <v>#N/A</v>
      </c>
      <c r="AA204" s="26" t="e" cm="1">
        <f t="array" aca="1" ref="AA204" ca="1">MMS_PastureBeef_Soil_N2ODirect_Equations.VEERG_4_2_1_3__3_NitrogenExcreted(AA64,AA172,AB188,AA144,AA28)</f>
        <v>#N/A</v>
      </c>
      <c r="AB204" s="26" t="e" cm="1">
        <f t="array" aca="1" ref="AB204" ca="1">MMS_PastureBeef_Soil_N2ODirect_Equations.VEERG_4_2_1_3__3_NitrogenExcreted(AB64,AB172,AC188,AB144,AB28)</f>
        <v>#N/A</v>
      </c>
      <c r="AC204" s="26" t="e" cm="1">
        <f t="array" aca="1" ref="AC204" ca="1">MMS_PastureBeef_Soil_N2ODirect_Equations.VEERG_4_2_1_3__3_NitrogenExcreted(AC64,AC172,AD188,AC144,AC28)</f>
        <v>#N/A</v>
      </c>
      <c r="AD204" s="26" t="e" cm="1">
        <f t="array" aca="1" ref="AD204" ca="1">MMS_PastureBeef_Soil_N2ODirect_Equations.VEERG_4_2_1_3__3_NitrogenExcreted(AD64,AD172,AE188,AD144,AD28)</f>
        <v>#N/A</v>
      </c>
      <c r="AE204" s="26" t="e" cm="1">
        <f t="array" aca="1" ref="AE204" ca="1">MMS_PastureBeef_Soil_N2ODirect_Equations.VEERG_4_2_1_3__3_NitrogenExcreted(AE64,AE172,AF188,AE144,AE28)</f>
        <v>#N/A</v>
      </c>
      <c r="AF204" s="27" t="str">
        <f t="shared" si="9"/>
        <v>kg N/head/day</v>
      </c>
      <c r="AG204" s="27"/>
      <c r="AH204" s="27"/>
    </row>
    <row r="205" spans="4:34" ht="20.100000000000001" customHeight="1" x14ac:dyDescent="0.25">
      <c r="D205" s="114" t="s">
        <v>453</v>
      </c>
      <c r="U205" s="26" t="e">
        <f>TEXT(EDATE('Input - Site'!$E$12,9), "mmmm yyyy")</f>
        <v>#VALUE!</v>
      </c>
      <c r="V205" s="26" t="e" cm="1">
        <f t="array" aca="1" ref="V205" ca="1">MMS_PastureBeef_Soil_N2ODirect_Equations.VEERG_4_2_1_3__3_NitrogenExcreted(V65,V173,W189,V145,V29)</f>
        <v>#N/A</v>
      </c>
      <c r="W205" s="26" t="e" cm="1">
        <f t="array" aca="1" ref="W205" ca="1">MMS_PastureBeef_Soil_N2ODirect_Equations.VEERG_4_2_1_3__3_NitrogenExcreted(W65,W173,X189,W145,W29)</f>
        <v>#N/A</v>
      </c>
      <c r="X205" s="26" t="e" cm="1">
        <f t="array" aca="1" ref="X205" ca="1">MMS_PastureBeef_Soil_N2ODirect_Equations.VEERG_4_2_1_3__3_NitrogenExcreted(X65,X173,Y189,X145,X29)</f>
        <v>#N/A</v>
      </c>
      <c r="Y205" s="26" t="e" cm="1">
        <f t="array" aca="1" ref="Y205" ca="1">MMS_PastureBeef_Soil_N2ODirect_Equations.VEERG_4_2_1_3__3_NitrogenExcreted(Y65,Y173,Z189,Y145,Y29)</f>
        <v>#N/A</v>
      </c>
      <c r="Z205" s="26" t="e" cm="1">
        <f t="array" aca="1" ref="Z205" ca="1">MMS_PastureBeef_Soil_N2ODirect_Equations.VEERG_4_2_1_3__3_NitrogenExcreted(Z65,Z173,AA189,Z145,Z29)</f>
        <v>#N/A</v>
      </c>
      <c r="AA205" s="26" t="e" cm="1">
        <f t="array" aca="1" ref="AA205" ca="1">MMS_PastureBeef_Soil_N2ODirect_Equations.VEERG_4_2_1_3__3_NitrogenExcreted(AA65,AA173,AB189,AA145,AA29)</f>
        <v>#N/A</v>
      </c>
      <c r="AB205" s="26" t="e" cm="1">
        <f t="array" aca="1" ref="AB205" ca="1">MMS_PastureBeef_Soil_N2ODirect_Equations.VEERG_4_2_1_3__3_NitrogenExcreted(AB65,AB173,AC189,AB145,AB29)</f>
        <v>#N/A</v>
      </c>
      <c r="AC205" s="26" t="e" cm="1">
        <f t="array" aca="1" ref="AC205" ca="1">MMS_PastureBeef_Soil_N2ODirect_Equations.VEERG_4_2_1_3__3_NitrogenExcreted(AC65,AC173,AD189,AC145,AC29)</f>
        <v>#N/A</v>
      </c>
      <c r="AD205" s="26" t="e" cm="1">
        <f t="array" aca="1" ref="AD205" ca="1">MMS_PastureBeef_Soil_N2ODirect_Equations.VEERG_4_2_1_3__3_NitrogenExcreted(AD65,AD173,AE189,AD145,AD29)</f>
        <v>#N/A</v>
      </c>
      <c r="AE205" s="26" t="e" cm="1">
        <f t="array" aca="1" ref="AE205" ca="1">MMS_PastureBeef_Soil_N2ODirect_Equations.VEERG_4_2_1_3__3_NitrogenExcreted(AE65,AE173,AF189,AE145,AE29)</f>
        <v>#N/A</v>
      </c>
      <c r="AF205" s="27" t="str">
        <f t="shared" si="9"/>
        <v>kg N/head/day</v>
      </c>
      <c r="AG205" s="27"/>
      <c r="AH205" s="27"/>
    </row>
    <row r="206" spans="4:34" ht="20.100000000000001" customHeight="1" x14ac:dyDescent="0.25">
      <c r="D206" s="115" t="s">
        <v>79</v>
      </c>
      <c r="E206" s="115" t="s">
        <v>189</v>
      </c>
      <c r="F206" s="115" t="s">
        <v>190</v>
      </c>
      <c r="G206" s="115" t="s">
        <v>191</v>
      </c>
      <c r="H206" s="115" t="s">
        <v>192</v>
      </c>
      <c r="I206" s="115" t="s">
        <v>193</v>
      </c>
      <c r="J206" s="115" t="s">
        <v>194</v>
      </c>
      <c r="K206" s="115" t="s">
        <v>195</v>
      </c>
      <c r="L206" s="115" t="s">
        <v>196</v>
      </c>
      <c r="M206" s="115" t="s">
        <v>197</v>
      </c>
      <c r="N206" s="115" t="s">
        <v>198</v>
      </c>
      <c r="U206" s="26" t="e">
        <f>TEXT(EDATE('Input - Site'!$E$12,10), "mmmm yyyy")</f>
        <v>#VALUE!</v>
      </c>
      <c r="V206" s="26" t="e" cm="1">
        <f t="array" aca="1" ref="V206" ca="1">MMS_PastureBeef_Soil_N2ODirect_Equations.VEERG_4_2_1_3__3_NitrogenExcreted(V66,V174,W190,V146,V30)</f>
        <v>#N/A</v>
      </c>
      <c r="W206" s="26" t="e" cm="1">
        <f t="array" aca="1" ref="W206" ca="1">MMS_PastureBeef_Soil_N2ODirect_Equations.VEERG_4_2_1_3__3_NitrogenExcreted(W66,W174,X190,W146,W30)</f>
        <v>#N/A</v>
      </c>
      <c r="X206" s="26" t="e" cm="1">
        <f t="array" aca="1" ref="X206" ca="1">MMS_PastureBeef_Soil_N2ODirect_Equations.VEERG_4_2_1_3__3_NitrogenExcreted(X66,X174,Y190,X146,X30)</f>
        <v>#N/A</v>
      </c>
      <c r="Y206" s="26" t="e" cm="1">
        <f t="array" aca="1" ref="Y206" ca="1">MMS_PastureBeef_Soil_N2ODirect_Equations.VEERG_4_2_1_3__3_NitrogenExcreted(Y66,Y174,Z190,Y146,Y30)</f>
        <v>#N/A</v>
      </c>
      <c r="Z206" s="26" t="e" cm="1">
        <f t="array" aca="1" ref="Z206" ca="1">MMS_PastureBeef_Soil_N2ODirect_Equations.VEERG_4_2_1_3__3_NitrogenExcreted(Z66,Z174,AA190,Z146,Z30)</f>
        <v>#N/A</v>
      </c>
      <c r="AA206" s="26" t="e" cm="1">
        <f t="array" aca="1" ref="AA206" ca="1">MMS_PastureBeef_Soil_N2ODirect_Equations.VEERG_4_2_1_3__3_NitrogenExcreted(AA66,AA174,AB190,AA146,AA30)</f>
        <v>#N/A</v>
      </c>
      <c r="AB206" s="26" t="e" cm="1">
        <f t="array" aca="1" ref="AB206" ca="1">MMS_PastureBeef_Soil_N2ODirect_Equations.VEERG_4_2_1_3__3_NitrogenExcreted(AB66,AB174,AC190,AB146,AB30)</f>
        <v>#N/A</v>
      </c>
      <c r="AC206" s="26" t="e" cm="1">
        <f t="array" aca="1" ref="AC206" ca="1">MMS_PastureBeef_Soil_N2ODirect_Equations.VEERG_4_2_1_3__3_NitrogenExcreted(AC66,AC174,AD190,AC146,AC30)</f>
        <v>#N/A</v>
      </c>
      <c r="AD206" s="26" t="e" cm="1">
        <f t="array" aca="1" ref="AD206" ca="1">MMS_PastureBeef_Soil_N2ODirect_Equations.VEERG_4_2_1_3__3_NitrogenExcreted(AD66,AD174,AE190,AD146,AD30)</f>
        <v>#N/A</v>
      </c>
      <c r="AE206" s="26" t="e" cm="1">
        <f t="array" aca="1" ref="AE206" ca="1">MMS_PastureBeef_Soil_N2ODirect_Equations.VEERG_4_2_1_3__3_NitrogenExcreted(AE66,AE174,AF190,AE146,AE30)</f>
        <v>#N/A</v>
      </c>
      <c r="AF206" s="27" t="str">
        <f t="shared" si="9"/>
        <v>kg N/head/day</v>
      </c>
      <c r="AG206" s="27"/>
      <c r="AH206" s="27"/>
    </row>
    <row r="207" spans="4:34" ht="20.100000000000001" customHeight="1" x14ac:dyDescent="0.25">
      <c r="D207" s="26" t="s">
        <v>199</v>
      </c>
      <c r="E207" s="26" t="e" cm="1">
        <f t="array" aca="1" ref="E207" ca="1">MMS_PastureBeef_Soil_N2ODirect_Equations.VEERG_4_2_1_3__2_TotalNitrogenExcretedToPastureRangeAndPaddock(E191,E169,E199)</f>
        <v>#N/A</v>
      </c>
      <c r="F207" s="26" t="e" cm="1">
        <f t="array" aca="1" ref="F207" ca="1">MMS_PastureBeef_Soil_N2ODirect_Equations.VEERG_4_2_1_3__2_TotalNitrogenExcretedToPastureRangeAndPaddock(F191,F169,F199)</f>
        <v>#N/A</v>
      </c>
      <c r="G207" s="26" t="e" cm="1">
        <f t="array" aca="1" ref="G207" ca="1">MMS_PastureBeef_Soil_N2ODirect_Equations.VEERG_4_2_1_3__2_TotalNitrogenExcretedToPastureRangeAndPaddock(G191,G169,G199)</f>
        <v>#N/A</v>
      </c>
      <c r="H207" s="26" t="e" cm="1">
        <f t="array" aca="1" ref="H207" ca="1">MMS_PastureBeef_Soil_N2ODirect_Equations.VEERG_4_2_1_3__2_TotalNitrogenExcretedToPastureRangeAndPaddock(H191,H169,H199)</f>
        <v>#N/A</v>
      </c>
      <c r="I207" s="26" t="e" cm="1">
        <f t="array" aca="1" ref="I207" ca="1">MMS_PastureBeef_Soil_N2ODirect_Equations.VEERG_4_2_1_3__2_TotalNitrogenExcretedToPastureRangeAndPaddock(I191,I169,I199)</f>
        <v>#N/A</v>
      </c>
      <c r="J207" s="26" t="e" cm="1">
        <f t="array" aca="1" ref="J207" ca="1">MMS_PastureBeef_Soil_N2ODirect_Equations.VEERG_4_2_1_3__2_TotalNitrogenExcretedToPastureRangeAndPaddock(J191,J169,J199)</f>
        <v>#N/A</v>
      </c>
      <c r="K207" s="26" t="e" cm="1">
        <f t="array" aca="1" ref="K207" ca="1">MMS_PastureBeef_Soil_N2ODirect_Equations.VEERG_4_2_1_3__2_TotalNitrogenExcretedToPastureRangeAndPaddock(K191,K169,K199)</f>
        <v>#N/A</v>
      </c>
      <c r="L207" s="26" t="e" cm="1">
        <f t="array" aca="1" ref="L207" ca="1">MMS_PastureBeef_Soil_N2ODirect_Equations.VEERG_4_2_1_3__2_TotalNitrogenExcretedToPastureRangeAndPaddock(L191,L169,L199)</f>
        <v>#N/A</v>
      </c>
      <c r="M207" s="26" t="e" cm="1">
        <f t="array" aca="1" ref="M207" ca="1">MMS_PastureBeef_Soil_N2ODirect_Equations.VEERG_4_2_1_3__2_TotalNitrogenExcretedToPastureRangeAndPaddock(M191,M169,M199)</f>
        <v>#N/A</v>
      </c>
      <c r="N207" s="26" t="e" cm="1">
        <f t="array" aca="1" ref="N207" ca="1">MMS_PastureBeef_Soil_N2ODirect_Equations.VEERG_4_2_1_3__2_TotalNitrogenExcretedToPastureRangeAndPaddock(N191,N169,N199)</f>
        <v>#N/A</v>
      </c>
      <c r="O207" s="27" t="str">
        <f>$E$182</f>
        <v>kg N</v>
      </c>
      <c r="U207" s="26" t="e">
        <f>TEXT(EDATE('Input - Site'!$E$12,11), "mmmm yyyy")</f>
        <v>#VALUE!</v>
      </c>
      <c r="V207" s="26" t="e" cm="1">
        <f t="array" aca="1" ref="V207" ca="1">MMS_PastureBeef_Soil_N2ODirect_Equations.VEERG_4_2_1_3__3_NitrogenExcreted(V67,V175,W191,V147,V31)</f>
        <v>#N/A</v>
      </c>
      <c r="W207" s="26" t="e" cm="1">
        <f t="array" aca="1" ref="W207" ca="1">MMS_PastureBeef_Soil_N2ODirect_Equations.VEERG_4_2_1_3__3_NitrogenExcreted(W67,W175,X191,W147,W31)</f>
        <v>#N/A</v>
      </c>
      <c r="X207" s="26" t="e" cm="1">
        <f t="array" aca="1" ref="X207" ca="1">MMS_PastureBeef_Soil_N2ODirect_Equations.VEERG_4_2_1_3__3_NitrogenExcreted(X67,X175,Y191,X147,X31)</f>
        <v>#N/A</v>
      </c>
      <c r="Y207" s="26" t="e" cm="1">
        <f t="array" aca="1" ref="Y207" ca="1">MMS_PastureBeef_Soil_N2ODirect_Equations.VEERG_4_2_1_3__3_NitrogenExcreted(Y67,Y175,Z191,Y147,Y31)</f>
        <v>#N/A</v>
      </c>
      <c r="Z207" s="26" t="e" cm="1">
        <f t="array" aca="1" ref="Z207" ca="1">MMS_PastureBeef_Soil_N2ODirect_Equations.VEERG_4_2_1_3__3_NitrogenExcreted(Z67,Z175,AA191,Z147,Z31)</f>
        <v>#N/A</v>
      </c>
      <c r="AA207" s="26" t="e" cm="1">
        <f t="array" aca="1" ref="AA207" ca="1">MMS_PastureBeef_Soil_N2ODirect_Equations.VEERG_4_2_1_3__3_NitrogenExcreted(AA67,AA175,AB191,AA147,AA31)</f>
        <v>#N/A</v>
      </c>
      <c r="AB207" s="26" t="e" cm="1">
        <f t="array" aca="1" ref="AB207" ca="1">MMS_PastureBeef_Soil_N2ODirect_Equations.VEERG_4_2_1_3__3_NitrogenExcreted(AB67,AB175,AC191,AB147,AB31)</f>
        <v>#N/A</v>
      </c>
      <c r="AC207" s="26" t="e" cm="1">
        <f t="array" aca="1" ref="AC207" ca="1">MMS_PastureBeef_Soil_N2ODirect_Equations.VEERG_4_2_1_3__3_NitrogenExcreted(AC67,AC175,AD191,AC147,AC31)</f>
        <v>#N/A</v>
      </c>
      <c r="AD207" s="26" t="e" cm="1">
        <f t="array" aca="1" ref="AD207" ca="1">MMS_PastureBeef_Soil_N2ODirect_Equations.VEERG_4_2_1_3__3_NitrogenExcreted(AD67,AD175,AE191,AD147,AD31)</f>
        <v>#N/A</v>
      </c>
      <c r="AE207" s="26" t="e" cm="1">
        <f t="array" aca="1" ref="AE207" ca="1">MMS_PastureBeef_Soil_N2ODirect_Equations.VEERG_4_2_1_3__3_NitrogenExcreted(AE67,AE175,AF191,AE147,AE31)</f>
        <v>#N/A</v>
      </c>
      <c r="AF207" s="27" t="str">
        <f t="shared" si="9"/>
        <v>kg N/head/day</v>
      </c>
      <c r="AG207" s="27"/>
      <c r="AH207" s="27"/>
    </row>
    <row r="208" spans="4:34" ht="20.100000000000001" customHeight="1" x14ac:dyDescent="0.25">
      <c r="D208" s="26" t="s">
        <v>200</v>
      </c>
      <c r="E208" s="26" t="e" cm="1">
        <f t="array" aca="1" ref="E208" ca="1">MMS_PastureBeef_Soil_N2ODirect_Equations.VEERG_4_2_1_3__2_TotalNitrogenExcretedToPastureRangeAndPaddock(E192,E170,E200)</f>
        <v>#N/A</v>
      </c>
      <c r="F208" s="26" t="e" cm="1">
        <f t="array" aca="1" ref="F208" ca="1">MMS_PastureBeef_Soil_N2ODirect_Equations.VEERG_4_2_1_3__2_TotalNitrogenExcretedToPastureRangeAndPaddock(F192,F170,F200)</f>
        <v>#N/A</v>
      </c>
      <c r="G208" s="26" t="e" cm="1">
        <f t="array" aca="1" ref="G208" ca="1">MMS_PastureBeef_Soil_N2ODirect_Equations.VEERG_4_2_1_3__2_TotalNitrogenExcretedToPastureRangeAndPaddock(G192,G170,G200)</f>
        <v>#N/A</v>
      </c>
      <c r="H208" s="26" t="e" cm="1">
        <f t="array" aca="1" ref="H208" ca="1">MMS_PastureBeef_Soil_N2ODirect_Equations.VEERG_4_2_1_3__2_TotalNitrogenExcretedToPastureRangeAndPaddock(H192,H170,H200)</f>
        <v>#N/A</v>
      </c>
      <c r="I208" s="26" t="e" cm="1">
        <f t="array" aca="1" ref="I208" ca="1">MMS_PastureBeef_Soil_N2ODirect_Equations.VEERG_4_2_1_3__2_TotalNitrogenExcretedToPastureRangeAndPaddock(I192,I170,I200)</f>
        <v>#N/A</v>
      </c>
      <c r="J208" s="26" t="e" cm="1">
        <f t="array" aca="1" ref="J208" ca="1">MMS_PastureBeef_Soil_N2ODirect_Equations.VEERG_4_2_1_3__2_TotalNitrogenExcretedToPastureRangeAndPaddock(J192,J170,J200)</f>
        <v>#N/A</v>
      </c>
      <c r="K208" s="26" t="e" cm="1">
        <f t="array" aca="1" ref="K208" ca="1">MMS_PastureBeef_Soil_N2ODirect_Equations.VEERG_4_2_1_3__2_TotalNitrogenExcretedToPastureRangeAndPaddock(K192,K170,K200)</f>
        <v>#N/A</v>
      </c>
      <c r="L208" s="26" t="e" cm="1">
        <f t="array" aca="1" ref="L208" ca="1">MMS_PastureBeef_Soil_N2ODirect_Equations.VEERG_4_2_1_3__2_TotalNitrogenExcretedToPastureRangeAndPaddock(L192,L170,L200)</f>
        <v>#N/A</v>
      </c>
      <c r="M208" s="26" t="e" cm="1">
        <f t="array" aca="1" ref="M208" ca="1">MMS_PastureBeef_Soil_N2ODirect_Equations.VEERG_4_2_1_3__2_TotalNitrogenExcretedToPastureRangeAndPaddock(M192,M170,M200)</f>
        <v>#N/A</v>
      </c>
      <c r="N208" s="26" t="e" cm="1">
        <f t="array" aca="1" ref="N208" ca="1">MMS_PastureBeef_Soil_N2ODirect_Equations.VEERG_4_2_1_3__2_TotalNitrogenExcretedToPastureRangeAndPaddock(N192,N170,N200)</f>
        <v>#N/A</v>
      </c>
      <c r="O208" s="27" t="str">
        <f>$E$182</f>
        <v>kg N</v>
      </c>
    </row>
    <row r="209" spans="3:35" ht="20.100000000000001" customHeight="1" x14ac:dyDescent="0.25">
      <c r="D209" s="26" t="s">
        <v>201</v>
      </c>
      <c r="E209" s="26" t="e" cm="1">
        <f t="array" aca="1" ref="E209" ca="1">MMS_PastureBeef_Soil_N2ODirect_Equations.VEERG_4_2_1_3__2_TotalNitrogenExcretedToPastureRangeAndPaddock(E193,E171,E201)</f>
        <v>#N/A</v>
      </c>
      <c r="F209" s="26" t="e" cm="1">
        <f t="array" aca="1" ref="F209" ca="1">MMS_PastureBeef_Soil_N2ODirect_Equations.VEERG_4_2_1_3__2_TotalNitrogenExcretedToPastureRangeAndPaddock(F193,F171,F201)</f>
        <v>#N/A</v>
      </c>
      <c r="G209" s="26" t="e" cm="1">
        <f t="array" aca="1" ref="G209" ca="1">MMS_PastureBeef_Soil_N2ODirect_Equations.VEERG_4_2_1_3__2_TotalNitrogenExcretedToPastureRangeAndPaddock(G193,G171,G201)</f>
        <v>#N/A</v>
      </c>
      <c r="H209" s="26" t="e" cm="1">
        <f t="array" aca="1" ref="H209" ca="1">MMS_PastureBeef_Soil_N2ODirect_Equations.VEERG_4_2_1_3__2_TotalNitrogenExcretedToPastureRangeAndPaddock(H193,H171,H201)</f>
        <v>#N/A</v>
      </c>
      <c r="I209" s="26" t="e" cm="1">
        <f t="array" aca="1" ref="I209" ca="1">MMS_PastureBeef_Soil_N2ODirect_Equations.VEERG_4_2_1_3__2_TotalNitrogenExcretedToPastureRangeAndPaddock(I193,I171,I201)</f>
        <v>#N/A</v>
      </c>
      <c r="J209" s="26" t="e" cm="1">
        <f t="array" aca="1" ref="J209" ca="1">MMS_PastureBeef_Soil_N2ODirect_Equations.VEERG_4_2_1_3__2_TotalNitrogenExcretedToPastureRangeAndPaddock(J193,J171,J201)</f>
        <v>#N/A</v>
      </c>
      <c r="K209" s="26" t="e" cm="1">
        <f t="array" aca="1" ref="K209" ca="1">MMS_PastureBeef_Soil_N2ODirect_Equations.VEERG_4_2_1_3__2_TotalNitrogenExcretedToPastureRangeAndPaddock(K193,K171,K201)</f>
        <v>#N/A</v>
      </c>
      <c r="L209" s="26" t="e" cm="1">
        <f t="array" aca="1" ref="L209" ca="1">MMS_PastureBeef_Soil_N2ODirect_Equations.VEERG_4_2_1_3__2_TotalNitrogenExcretedToPastureRangeAndPaddock(L193,L171,L201)</f>
        <v>#N/A</v>
      </c>
      <c r="M209" s="26" t="e" cm="1">
        <f t="array" aca="1" ref="M209" ca="1">MMS_PastureBeef_Soil_N2ODirect_Equations.VEERG_4_2_1_3__2_TotalNitrogenExcretedToPastureRangeAndPaddock(M193,M171,M201)</f>
        <v>#N/A</v>
      </c>
      <c r="N209" s="26" t="e" cm="1">
        <f t="array" aca="1" ref="N209" ca="1">MMS_PastureBeef_Soil_N2ODirect_Equations.VEERG_4_2_1_3__2_TotalNitrogenExcretedToPastureRangeAndPaddock(N193,N171,N201)</f>
        <v>#N/A</v>
      </c>
      <c r="O209" s="27" t="str">
        <f>$E$182</f>
        <v>kg N</v>
      </c>
    </row>
    <row r="210" spans="3:35" ht="20.100000000000001" customHeight="1" x14ac:dyDescent="0.25">
      <c r="D210" s="26" t="s">
        <v>202</v>
      </c>
      <c r="E210" s="26" t="e" cm="1">
        <f t="array" aca="1" ref="E210" ca="1">MMS_PastureBeef_Soil_N2ODirect_Equations.VEERG_4_2_1_3__2_TotalNitrogenExcretedToPastureRangeAndPaddock(E194,E172,E202)</f>
        <v>#N/A</v>
      </c>
      <c r="F210" s="26" t="e" cm="1">
        <f t="array" aca="1" ref="F210" ca="1">MMS_PastureBeef_Soil_N2ODirect_Equations.VEERG_4_2_1_3__2_TotalNitrogenExcretedToPastureRangeAndPaddock(F194,F172,F202)</f>
        <v>#N/A</v>
      </c>
      <c r="G210" s="26" t="e" cm="1">
        <f t="array" aca="1" ref="G210" ca="1">MMS_PastureBeef_Soil_N2ODirect_Equations.VEERG_4_2_1_3__2_TotalNitrogenExcretedToPastureRangeAndPaddock(G194,G172,G202)</f>
        <v>#N/A</v>
      </c>
      <c r="H210" s="26" t="e" cm="1">
        <f t="array" aca="1" ref="H210" ca="1">MMS_PastureBeef_Soil_N2ODirect_Equations.VEERG_4_2_1_3__2_TotalNitrogenExcretedToPastureRangeAndPaddock(H194,H172,H202)</f>
        <v>#N/A</v>
      </c>
      <c r="I210" s="26" t="e" cm="1">
        <f t="array" aca="1" ref="I210" ca="1">MMS_PastureBeef_Soil_N2ODirect_Equations.VEERG_4_2_1_3__2_TotalNitrogenExcretedToPastureRangeAndPaddock(I194,I172,I202)</f>
        <v>#N/A</v>
      </c>
      <c r="J210" s="26" t="e" cm="1">
        <f t="array" aca="1" ref="J210" ca="1">MMS_PastureBeef_Soil_N2ODirect_Equations.VEERG_4_2_1_3__2_TotalNitrogenExcretedToPastureRangeAndPaddock(J194,J172,J202)</f>
        <v>#N/A</v>
      </c>
      <c r="K210" s="26" t="e" cm="1">
        <f t="array" aca="1" ref="K210" ca="1">MMS_PastureBeef_Soil_N2ODirect_Equations.VEERG_4_2_1_3__2_TotalNitrogenExcretedToPastureRangeAndPaddock(K194,K172,K202)</f>
        <v>#N/A</v>
      </c>
      <c r="L210" s="26" t="e" cm="1">
        <f t="array" aca="1" ref="L210" ca="1">MMS_PastureBeef_Soil_N2ODirect_Equations.VEERG_4_2_1_3__2_TotalNitrogenExcretedToPastureRangeAndPaddock(L194,L172,L202)</f>
        <v>#N/A</v>
      </c>
      <c r="M210" s="26" t="e" cm="1">
        <f t="array" aca="1" ref="M210" ca="1">MMS_PastureBeef_Soil_N2ODirect_Equations.VEERG_4_2_1_3__2_TotalNitrogenExcretedToPastureRangeAndPaddock(M194,M172,M202)</f>
        <v>#N/A</v>
      </c>
      <c r="N210" s="26" t="e" cm="1">
        <f t="array" aca="1" ref="N210" ca="1">MMS_PastureBeef_Soil_N2ODirect_Equations.VEERG_4_2_1_3__2_TotalNitrogenExcretedToPastureRangeAndPaddock(N194,N172,N202)</f>
        <v>#N/A</v>
      </c>
      <c r="O210" s="27" t="str">
        <f>$E$182</f>
        <v>kg N</v>
      </c>
      <c r="T210" s="117"/>
      <c r="U210" s="117"/>
      <c r="V210" s="117"/>
      <c r="W210" s="117"/>
      <c r="X210" s="117"/>
      <c r="Y210" s="117"/>
      <c r="Z210" s="117"/>
      <c r="AA210" s="117"/>
      <c r="AB210" s="117"/>
      <c r="AC210" s="117"/>
      <c r="AD210" s="117"/>
      <c r="AE210" s="117"/>
      <c r="AF210" s="117"/>
      <c r="AG210" s="117"/>
      <c r="AH210" s="117"/>
      <c r="AI210" s="117"/>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9" t="s">
        <v>454</v>
      </c>
      <c r="E212" s="117" t="e">
        <f ca="1">SUM(E207:N210)</f>
        <v>#N/A</v>
      </c>
      <c r="F212" s="124" t="str">
        <f>E182</f>
        <v>kg N</v>
      </c>
    </row>
    <row r="213" spans="3:35" ht="20.100000000000001" customHeight="1" x14ac:dyDescent="0.25">
      <c r="U213" s="113" t="s">
        <v>290</v>
      </c>
    </row>
    <row r="214" spans="3:35" ht="20.100000000000001" customHeight="1" x14ac:dyDescent="0.25">
      <c r="U214" s="114" t="s">
        <v>291</v>
      </c>
    </row>
    <row r="215" spans="3:35" ht="20.100000000000001" customHeight="1" x14ac:dyDescent="0.25">
      <c r="C215" s="117"/>
      <c r="D215" s="117"/>
      <c r="E215" s="117"/>
      <c r="F215" s="117"/>
      <c r="G215" s="117"/>
      <c r="H215" s="117"/>
      <c r="I215" s="117"/>
      <c r="J215" s="117"/>
      <c r="K215" s="117"/>
      <c r="L215" s="117"/>
      <c r="M215" s="117"/>
      <c r="N215" s="117"/>
      <c r="O215" s="117"/>
      <c r="P215" s="117"/>
      <c r="Q215" s="117"/>
      <c r="R215" s="117"/>
      <c r="U215" s="115" t="s">
        <v>78</v>
      </c>
      <c r="V215" s="116" t="s">
        <v>189</v>
      </c>
      <c r="W215" s="116" t="s">
        <v>190</v>
      </c>
      <c r="X215" s="116" t="s">
        <v>191</v>
      </c>
      <c r="Y215" s="116" t="s">
        <v>192</v>
      </c>
      <c r="Z215" s="116" t="s">
        <v>193</v>
      </c>
      <c r="AA215" s="116" t="s">
        <v>194</v>
      </c>
      <c r="AB215" s="116" t="s">
        <v>195</v>
      </c>
      <c r="AC215" s="116" t="s">
        <v>196</v>
      </c>
      <c r="AD215" s="116" t="s">
        <v>197</v>
      </c>
      <c r="AE215" s="116" t="s">
        <v>198</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6" t="str">
        <f>TEXT('Input - Site'!$E$12, "mmmm yyyy")</f>
        <v>NO - Not in leaching zone</v>
      </c>
      <c r="V216" s="26" cm="1">
        <f t="array" aca="1" ref="V216:AE227" ca="1">OFFSET(X_Table_PastureBeef_Head_Method2, 1,1, 12,10)</f>
        <v>100</v>
      </c>
      <c r="W216" s="26">
        <f ca="1"/>
        <v>100</v>
      </c>
      <c r="X216" s="26">
        <f ca="1"/>
        <v>100</v>
      </c>
      <c r="Y216" s="26">
        <f ca="1"/>
        <v>100</v>
      </c>
      <c r="Z216" s="26">
        <f ca="1"/>
        <v>100</v>
      </c>
      <c r="AA216" s="26">
        <f ca="1"/>
        <v>100</v>
      </c>
      <c r="AB216" s="26">
        <f ca="1"/>
        <v>100</v>
      </c>
      <c r="AC216" s="26">
        <f ca="1"/>
        <v>100</v>
      </c>
      <c r="AD216" s="26">
        <f ca="1"/>
        <v>100</v>
      </c>
      <c r="AE216" s="26">
        <f ca="1"/>
        <v>100</v>
      </c>
      <c r="AF216" s="27" t="s">
        <v>413</v>
      </c>
      <c r="AG216" s="27"/>
      <c r="AH216" s="27"/>
    </row>
    <row r="217" spans="3:35" ht="20.100000000000001" customHeight="1" x14ac:dyDescent="0.25">
      <c r="D217" s="28" t="str" cm="1">
        <f t="array" ref="D217">MMS_PastureBeef_Soil_N2ODirect_Equations.VEERG_4_2_1_3__1_DirectNitrousOxideEmissionsOnPasture_Source()</f>
        <v>VEERG 2026: 4.2.1.3, Equation (1)</v>
      </c>
      <c r="U217" s="26" t="e">
        <f>TEXT(EDATE('Input - Site'!$E$12,1), "mmmm yyyy")</f>
        <v>#VALUE!</v>
      </c>
      <c r="V217" s="26">
        <f ca="1"/>
        <v>100</v>
      </c>
      <c r="W217" s="26">
        <f ca="1"/>
        <v>100</v>
      </c>
      <c r="X217" s="26">
        <f ca="1"/>
        <v>100</v>
      </c>
      <c r="Y217" s="26">
        <f ca="1"/>
        <v>100</v>
      </c>
      <c r="Z217" s="26">
        <f ca="1"/>
        <v>100</v>
      </c>
      <c r="AA217" s="26">
        <f ca="1"/>
        <v>100</v>
      </c>
      <c r="AB217" s="26">
        <f ca="1"/>
        <v>100</v>
      </c>
      <c r="AC217" s="26">
        <f ca="1"/>
        <v>100</v>
      </c>
      <c r="AD217" s="26">
        <f ca="1"/>
        <v>100</v>
      </c>
      <c r="AE217" s="26">
        <f ca="1"/>
        <v>100</v>
      </c>
      <c r="AF217" s="27" t="s">
        <v>413</v>
      </c>
      <c r="AG217" s="27"/>
      <c r="AH217" s="27"/>
    </row>
    <row r="218" spans="3:35" ht="20.100000000000001" customHeight="1" x14ac:dyDescent="0.25">
      <c r="D218" s="104" t="s">
        <v>257</v>
      </c>
      <c r="E218" s="104" t="str" cm="1">
        <f t="array" aca="1" ref="E218" ca="1">Common_InputFunctions.Utility_DisplayFunctionName(E229)</f>
        <v>=MMS_PastureBeef_Soil_N2ODirect_Equations.VEERG_4_2_1_3__1_DirectNitrousOxideEmissionsOnPasture</v>
      </c>
      <c r="U218" s="26" t="e">
        <f>TEXT(EDATE('Input - Site'!$E$12,2), "mmmm yyyy")</f>
        <v>#VALUE!</v>
      </c>
      <c r="V218" s="26">
        <f ca="1"/>
        <v>100</v>
      </c>
      <c r="W218" s="26">
        <f ca="1"/>
        <v>100</v>
      </c>
      <c r="X218" s="26">
        <f ca="1"/>
        <v>100</v>
      </c>
      <c r="Y218" s="26">
        <f ca="1"/>
        <v>100</v>
      </c>
      <c r="Z218" s="26">
        <f ca="1"/>
        <v>100</v>
      </c>
      <c r="AA218" s="26">
        <f ca="1"/>
        <v>100</v>
      </c>
      <c r="AB218" s="26">
        <f ca="1"/>
        <v>100</v>
      </c>
      <c r="AC218" s="26">
        <f ca="1"/>
        <v>100</v>
      </c>
      <c r="AD218" s="26">
        <f ca="1"/>
        <v>100</v>
      </c>
      <c r="AE218" s="26">
        <f ca="1"/>
        <v>100</v>
      </c>
      <c r="AF218" s="27" t="s">
        <v>413</v>
      </c>
      <c r="AG218" s="27"/>
      <c r="AH218" s="27"/>
    </row>
    <row r="219" spans="3:35" ht="20.100000000000001" customHeight="1" x14ac:dyDescent="0.25">
      <c r="U219" s="26" t="e">
        <f>TEXT(EDATE('Input - Site'!$E$12,3), "mmmm yyyy")</f>
        <v>#VALUE!</v>
      </c>
      <c r="V219" s="26">
        <f ca="1"/>
        <v>100</v>
      </c>
      <c r="W219" s="26">
        <f ca="1"/>
        <v>100</v>
      </c>
      <c r="X219" s="26">
        <f ca="1"/>
        <v>100</v>
      </c>
      <c r="Y219" s="26">
        <f ca="1"/>
        <v>100</v>
      </c>
      <c r="Z219" s="26">
        <f ca="1"/>
        <v>100</v>
      </c>
      <c r="AA219" s="26">
        <f ca="1"/>
        <v>100</v>
      </c>
      <c r="AB219" s="26">
        <f ca="1"/>
        <v>100</v>
      </c>
      <c r="AC219" s="26">
        <f ca="1"/>
        <v>100</v>
      </c>
      <c r="AD219" s="26">
        <f ca="1"/>
        <v>100</v>
      </c>
      <c r="AE219" s="26">
        <f ca="1"/>
        <v>100</v>
      </c>
      <c r="AF219" s="27" t="s">
        <v>413</v>
      </c>
      <c r="AG219" s="27"/>
      <c r="AH219" s="27"/>
    </row>
    <row r="220" spans="3:35" ht="20.100000000000001" customHeight="1" x14ac:dyDescent="0.25">
      <c r="U220" s="26" t="e">
        <f>TEXT(EDATE('Input - Site'!$E$12,4), "mmmm yyyy")</f>
        <v>#VALUE!</v>
      </c>
      <c r="V220" s="26">
        <f ca="1"/>
        <v>100</v>
      </c>
      <c r="W220" s="26">
        <f ca="1"/>
        <v>100</v>
      </c>
      <c r="X220" s="26">
        <f ca="1"/>
        <v>100</v>
      </c>
      <c r="Y220" s="26">
        <f ca="1"/>
        <v>100</v>
      </c>
      <c r="Z220" s="26">
        <f ca="1"/>
        <v>100</v>
      </c>
      <c r="AA220" s="26">
        <f ca="1"/>
        <v>100</v>
      </c>
      <c r="AB220" s="26">
        <f ca="1"/>
        <v>100</v>
      </c>
      <c r="AC220" s="26">
        <f ca="1"/>
        <v>100</v>
      </c>
      <c r="AD220" s="26">
        <f ca="1"/>
        <v>100</v>
      </c>
      <c r="AE220" s="26">
        <f ca="1"/>
        <v>100</v>
      </c>
      <c r="AF220" s="27" t="s">
        <v>413</v>
      </c>
      <c r="AG220" s="27"/>
      <c r="AH220" s="27"/>
    </row>
    <row r="221" spans="3:35" ht="20.100000000000001" customHeight="1" x14ac:dyDescent="0.25">
      <c r="D221" s="89" t="s">
        <v>259</v>
      </c>
      <c r="E221" s="1" t="str" cm="1">
        <f t="array" ref="E221">MMS_PastureBeef_Soil_N2ODirect_Equations.VEERG_4_2_1_3__1_DirectNitrousOxideEmissionsOnPasture_Variable()</f>
        <v>E_N2Odir</v>
      </c>
      <c r="U221" s="26" t="e">
        <f>TEXT(EDATE('Input - Site'!$E$12,5), "mmmm yyyy")</f>
        <v>#VALUE!</v>
      </c>
      <c r="V221" s="26">
        <f ca="1"/>
        <v>100</v>
      </c>
      <c r="W221" s="26">
        <f ca="1"/>
        <v>100</v>
      </c>
      <c r="X221" s="26">
        <f ca="1"/>
        <v>100</v>
      </c>
      <c r="Y221" s="26">
        <f ca="1"/>
        <v>100</v>
      </c>
      <c r="Z221" s="26">
        <f ca="1"/>
        <v>100</v>
      </c>
      <c r="AA221" s="26">
        <f ca="1"/>
        <v>100</v>
      </c>
      <c r="AB221" s="26">
        <f ca="1"/>
        <v>100</v>
      </c>
      <c r="AC221" s="26">
        <f ca="1"/>
        <v>100</v>
      </c>
      <c r="AD221" s="26">
        <f ca="1"/>
        <v>100</v>
      </c>
      <c r="AE221" s="26">
        <f ca="1"/>
        <v>100</v>
      </c>
      <c r="AF221" s="27" t="s">
        <v>413</v>
      </c>
      <c r="AG221" s="27"/>
      <c r="AH221" s="27"/>
    </row>
    <row r="222" spans="3:35" ht="20.100000000000001" customHeight="1" x14ac:dyDescent="0.25">
      <c r="D222" s="89" t="s">
        <v>133</v>
      </c>
      <c r="E222" s="15" t="str" cm="1">
        <f t="array" ref="E222">MMS_PastureBeef_Soil_N2ODirect_Equations.VEERG_4_2_1_3__1_DirectNitrousOxideEmissionsOnPasture_Unit()</f>
        <v>t N2O</v>
      </c>
      <c r="U222" s="26" t="e">
        <f>TEXT(EDATE('Input - Site'!$E$12,6), "mmmm yyyy")</f>
        <v>#VALUE!</v>
      </c>
      <c r="V222" s="26">
        <f ca="1"/>
        <v>100</v>
      </c>
      <c r="W222" s="26">
        <f ca="1"/>
        <v>100</v>
      </c>
      <c r="X222" s="26">
        <f ca="1"/>
        <v>100</v>
      </c>
      <c r="Y222" s="26">
        <f ca="1"/>
        <v>100</v>
      </c>
      <c r="Z222" s="26">
        <f ca="1"/>
        <v>100</v>
      </c>
      <c r="AA222" s="26">
        <f ca="1"/>
        <v>100</v>
      </c>
      <c r="AB222" s="26">
        <f ca="1"/>
        <v>100</v>
      </c>
      <c r="AC222" s="26">
        <f ca="1"/>
        <v>100</v>
      </c>
      <c r="AD222" s="26">
        <f ca="1"/>
        <v>100</v>
      </c>
      <c r="AE222" s="26">
        <f ca="1"/>
        <v>100</v>
      </c>
      <c r="AF222" s="27" t="s">
        <v>413</v>
      </c>
      <c r="AG222" s="27"/>
      <c r="AH222" s="27"/>
    </row>
    <row r="223" spans="3:35" ht="20.100000000000001" customHeight="1" x14ac:dyDescent="0.25">
      <c r="U223" s="26" t="e">
        <f>TEXT(EDATE('Input - Site'!$E$12,7), "mmmm yyyy")</f>
        <v>#VALUE!</v>
      </c>
      <c r="V223" s="26">
        <f ca="1"/>
        <v>100</v>
      </c>
      <c r="W223" s="26">
        <f ca="1"/>
        <v>100</v>
      </c>
      <c r="X223" s="26">
        <f ca="1"/>
        <v>100</v>
      </c>
      <c r="Y223" s="26">
        <f ca="1"/>
        <v>100</v>
      </c>
      <c r="Z223" s="26">
        <f ca="1"/>
        <v>100</v>
      </c>
      <c r="AA223" s="26">
        <f ca="1"/>
        <v>100</v>
      </c>
      <c r="AB223" s="26">
        <f ca="1"/>
        <v>100</v>
      </c>
      <c r="AC223" s="26">
        <f ca="1"/>
        <v>100</v>
      </c>
      <c r="AD223" s="26">
        <f ca="1"/>
        <v>100</v>
      </c>
      <c r="AE223" s="26">
        <f ca="1"/>
        <v>100</v>
      </c>
      <c r="AF223" s="27" t="s">
        <v>413</v>
      </c>
      <c r="AG223" s="27"/>
      <c r="AH223" s="27"/>
    </row>
    <row r="224" spans="3:35" ht="20.100000000000001" customHeight="1" x14ac:dyDescent="0.25">
      <c r="D224" s="130" t="str" cm="1">
        <f t="array" ref="D224:G227">MMS_PastureBeef_Soil_N2ODirect_Equations.VEERG_4_2_1_3__1_DirectNitrousOxideEmissionsOnPasture_Arguments()</f>
        <v>AE</v>
      </c>
      <c r="E224" s="131" t="str">
        <v>total mass of nitrogen excreted on PRP for beef cattle</v>
      </c>
      <c r="F224" s="132" t="str">
        <v>kg N</v>
      </c>
      <c r="G224" s="133" t="str">
        <v>Calculated from 4.2.1.3 (2)</v>
      </c>
      <c r="H224" s="130" t="str">
        <f>"See " &amp; D204</f>
        <v>See M1_Table_AE</v>
      </c>
      <c r="U224" s="26" t="e">
        <f>TEXT(EDATE('Input - Site'!$E$12,8), "mmmm yyyy")</f>
        <v>#VALUE!</v>
      </c>
      <c r="V224" s="26">
        <f ca="1"/>
        <v>100</v>
      </c>
      <c r="W224" s="26">
        <f ca="1"/>
        <v>100</v>
      </c>
      <c r="X224" s="26">
        <f ca="1"/>
        <v>100</v>
      </c>
      <c r="Y224" s="26">
        <f ca="1"/>
        <v>100</v>
      </c>
      <c r="Z224" s="26">
        <f ca="1"/>
        <v>100</v>
      </c>
      <c r="AA224" s="26">
        <f ca="1"/>
        <v>100</v>
      </c>
      <c r="AB224" s="26">
        <f ca="1"/>
        <v>100</v>
      </c>
      <c r="AC224" s="26">
        <f ca="1"/>
        <v>100</v>
      </c>
      <c r="AD224" s="26">
        <f ca="1"/>
        <v>100</v>
      </c>
      <c r="AE224" s="26">
        <f ca="1"/>
        <v>100</v>
      </c>
      <c r="AF224" s="27" t="s">
        <v>413</v>
      </c>
      <c r="AG224" s="27"/>
      <c r="AH224" s="27"/>
    </row>
    <row r="225" spans="4:34" ht="20.100000000000001" customHeight="1" x14ac:dyDescent="0.25">
      <c r="D225" s="130" t="str">
        <v>EF_PRP</v>
      </c>
      <c r="E225" s="131" t="str">
        <v>emission factor for nitrous oxide from urine and dung deposited to soil</v>
      </c>
      <c r="F225" s="132" t="str">
        <v>kg N2O-N/kg N deposited</v>
      </c>
      <c r="G225" s="133" t="str">
        <v>Constant</v>
      </c>
      <c r="H225" s="121" t="e">
        <f>_xlfn.XLOOKUP(H227,Table_SourceData_EFPastureRangeAndPaddock[Climate zone],Table_SourceData_EFPastureRangeAndPaddock[EFPRP])</f>
        <v>#N/A</v>
      </c>
      <c r="U225" s="26" t="e">
        <f>TEXT(EDATE('Input - Site'!$E$12,9), "mmmm yyyy")</f>
        <v>#VALUE!</v>
      </c>
      <c r="V225" s="26">
        <f ca="1"/>
        <v>100</v>
      </c>
      <c r="W225" s="26">
        <f ca="1"/>
        <v>100</v>
      </c>
      <c r="X225" s="26">
        <f ca="1"/>
        <v>100</v>
      </c>
      <c r="Y225" s="26">
        <f ca="1"/>
        <v>100</v>
      </c>
      <c r="Z225" s="26">
        <f ca="1"/>
        <v>100</v>
      </c>
      <c r="AA225" s="26">
        <f ca="1"/>
        <v>100</v>
      </c>
      <c r="AB225" s="26">
        <f ca="1"/>
        <v>100</v>
      </c>
      <c r="AC225" s="26">
        <f ca="1"/>
        <v>100</v>
      </c>
      <c r="AD225" s="26">
        <f ca="1"/>
        <v>100</v>
      </c>
      <c r="AE225" s="26">
        <f ca="1"/>
        <v>100</v>
      </c>
      <c r="AF225" s="27" t="s">
        <v>413</v>
      </c>
      <c r="AG225" s="27"/>
      <c r="AH225" s="27"/>
    </row>
    <row r="226" spans="4:34" ht="20.100000000000001" customHeight="1" x14ac:dyDescent="0.25">
      <c r="D226" s="130" t="str">
        <v>C_N2O</v>
      </c>
      <c r="E226" s="131" t="str">
        <v>factor to convert elemental mass of nitrous oxide to molecular mass</v>
      </c>
      <c r="F226" s="132" t="str">
        <v/>
      </c>
      <c r="G226" s="133" t="str">
        <v>Constant</v>
      </c>
      <c r="H226" s="121">
        <f>Common_InputFunctions.Utility_LookupValueInTableNumber("N2O",Table_GasToMolecularConversionFactor[Gas],Table_GasToMolecularConversionFactor[Conversion factor combined])</f>
        <v>1.5714285714285714</v>
      </c>
      <c r="U226" s="26" t="e">
        <f>TEXT(EDATE('Input - Site'!$E$12,10), "mmmm yyyy")</f>
        <v>#VALUE!</v>
      </c>
      <c r="V226" s="26">
        <f ca="1"/>
        <v>100</v>
      </c>
      <c r="W226" s="26">
        <f ca="1"/>
        <v>100</v>
      </c>
      <c r="X226" s="26">
        <f ca="1"/>
        <v>100</v>
      </c>
      <c r="Y226" s="26">
        <f ca="1"/>
        <v>100</v>
      </c>
      <c r="Z226" s="26">
        <f ca="1"/>
        <v>100</v>
      </c>
      <c r="AA226" s="26">
        <f ca="1"/>
        <v>100</v>
      </c>
      <c r="AB226" s="26">
        <f ca="1"/>
        <v>100</v>
      </c>
      <c r="AC226" s="26">
        <f ca="1"/>
        <v>100</v>
      </c>
      <c r="AD226" s="26">
        <f ca="1"/>
        <v>100</v>
      </c>
      <c r="AE226" s="26">
        <f ca="1"/>
        <v>100</v>
      </c>
      <c r="AF226" s="27" t="s">
        <v>413</v>
      </c>
      <c r="AG226" s="27"/>
      <c r="AH226" s="27"/>
    </row>
    <row r="227" spans="4:34" ht="20.100000000000001" customHeight="1" x14ac:dyDescent="0.25">
      <c r="D227" s="130" t="str">
        <v>z</v>
      </c>
      <c r="E227" s="131" t="str">
        <v>wet or dry climate zone</v>
      </c>
      <c r="F227" s="132" t="str">
        <v/>
      </c>
      <c r="G227" s="133" t="str">
        <v>Input</v>
      </c>
      <c r="H227" s="130">
        <f>X_Cell_Site_WetOrDryClimateZone</f>
        <v>0</v>
      </c>
      <c r="U227" s="26" t="e">
        <f>TEXT(EDATE('Input - Site'!$E$12,11), "mmmm yyyy")</f>
        <v>#VALUE!</v>
      </c>
      <c r="V227" s="26">
        <f ca="1"/>
        <v>100</v>
      </c>
      <c r="W227" s="26">
        <f ca="1"/>
        <v>100</v>
      </c>
      <c r="X227" s="26">
        <f ca="1"/>
        <v>100</v>
      </c>
      <c r="Y227" s="26">
        <f ca="1"/>
        <v>100</v>
      </c>
      <c r="Z227" s="26">
        <f ca="1"/>
        <v>100</v>
      </c>
      <c r="AA227" s="26">
        <f ca="1"/>
        <v>100</v>
      </c>
      <c r="AB227" s="26">
        <f ca="1"/>
        <v>100</v>
      </c>
      <c r="AC227" s="26">
        <f ca="1"/>
        <v>100</v>
      </c>
      <c r="AD227" s="26">
        <f ca="1"/>
        <v>100</v>
      </c>
      <c r="AE227" s="26">
        <f ca="1"/>
        <v>100</v>
      </c>
      <c r="AF227" s="27" t="s">
        <v>413</v>
      </c>
      <c r="AG227" s="27"/>
      <c r="AH227" s="27"/>
    </row>
    <row r="228" spans="4:34" ht="20.100000000000001" customHeight="1" x14ac:dyDescent="0.25"/>
    <row r="229" spans="4:34" ht="20.100000000000001" customHeight="1" x14ac:dyDescent="0.25">
      <c r="D229" s="118" t="s">
        <v>455</v>
      </c>
      <c r="E229" s="119" t="e" cm="1">
        <f t="array" aca="1" ref="E229" ca="1">MMS_PastureBeef_Soil_N2ODirect_Equations.VEERG_4_2_1_3__1_DirectNitrousOxideEmissionsOnPasture($E$212,$H$225,$H$226)</f>
        <v>#N/A</v>
      </c>
      <c r="F229" s="120" t="str">
        <f>$E$222</f>
        <v>t N2O</v>
      </c>
      <c r="U229" s="113" t="s">
        <v>295</v>
      </c>
    </row>
    <row r="230" spans="4:34" ht="20.100000000000001" customHeight="1" x14ac:dyDescent="0.25">
      <c r="U230" s="114" t="s">
        <v>296</v>
      </c>
    </row>
    <row r="231" spans="4:34" ht="20.100000000000001" customHeight="1" x14ac:dyDescent="0.25">
      <c r="D231" s="121" t="str" cm="1">
        <f t="array" ref="D231:E232">Common_Equations.Common_ConvertN2OToCO2e_Arguments()</f>
        <v>EN2O</v>
      </c>
      <c r="E231" s="122" t="str">
        <v>Nitrous oxide emissions (t N2O)</v>
      </c>
      <c r="F231" s="123"/>
      <c r="G231" s="26" t="e">
        <f ca="1">E229</f>
        <v>#N/A</v>
      </c>
      <c r="U231" s="115" t="s">
        <v>78</v>
      </c>
      <c r="V231" s="116" t="s">
        <v>189</v>
      </c>
      <c r="W231" s="116" t="s">
        <v>190</v>
      </c>
      <c r="X231" s="116" t="s">
        <v>191</v>
      </c>
      <c r="Y231" s="116" t="s">
        <v>192</v>
      </c>
      <c r="Z231" s="116" t="s">
        <v>193</v>
      </c>
      <c r="AA231" s="116" t="s">
        <v>194</v>
      </c>
      <c r="AB231" s="116" t="s">
        <v>195</v>
      </c>
      <c r="AC231" s="116" t="s">
        <v>196</v>
      </c>
      <c r="AD231" s="116" t="s">
        <v>197</v>
      </c>
      <c r="AE231" s="116" t="s">
        <v>198</v>
      </c>
    </row>
    <row r="232" spans="4:34" ht="20.100000000000001" customHeight="1" x14ac:dyDescent="0.25">
      <c r="D232" s="121" t="str">
        <v>GWPN2O</v>
      </c>
      <c r="E232" s="122" t="str">
        <v>Global warming potential for nitrous oxide (t CO2-e / t N2O)</v>
      </c>
      <c r="F232" s="123"/>
      <c r="G232" s="26">
        <f>Common_InputFunctions.Utility_LookupValueInTableNumber("N2O",Table_GWPData[Gas],Table_GWPData[CO2-e factor])</f>
        <v>265</v>
      </c>
      <c r="U232" s="26" t="str">
        <f>TEXT('Input - Site'!$E$12, "mmmm yyyy")</f>
        <v>NO - Not in leaching zone</v>
      </c>
      <c r="V232" s="26" t="e" cm="1">
        <f t="array" aca="1" ref="V232:AE243" ca="1">OFFSET(X_Table_PastureBeef_Duration_Method2, 1,1, 12,10)</f>
        <v>#VALUE!</v>
      </c>
      <c r="W232" s="26" t="e">
        <f ca="1"/>
        <v>#VALUE!</v>
      </c>
      <c r="X232" s="26" t="e">
        <f ca="1"/>
        <v>#VALUE!</v>
      </c>
      <c r="Y232" s="26" t="e">
        <f ca="1"/>
        <v>#VALUE!</v>
      </c>
      <c r="Z232" s="26" t="e">
        <f ca="1"/>
        <v>#VALUE!</v>
      </c>
      <c r="AA232" s="26" t="e">
        <f ca="1"/>
        <v>#VALUE!</v>
      </c>
      <c r="AB232" s="26" t="e">
        <f ca="1"/>
        <v>#VALUE!</v>
      </c>
      <c r="AC232" s="26" t="e">
        <f ca="1"/>
        <v>#VALUE!</v>
      </c>
      <c r="AD232" s="26" t="e">
        <f ca="1"/>
        <v>#VALUE!</v>
      </c>
      <c r="AE232" s="26" t="e">
        <f ca="1"/>
        <v>#VALUE!</v>
      </c>
      <c r="AF232" s="27" t="s">
        <v>414</v>
      </c>
      <c r="AG232" s="27"/>
      <c r="AH232" s="27"/>
    </row>
    <row r="233" spans="4:34" ht="20.100000000000001" customHeight="1" x14ac:dyDescent="0.25">
      <c r="U233" s="26" t="e">
        <f>TEXT(EDATE('Input - Site'!$E$12,1), "mmmm yyyy")</f>
        <v>#VALUE!</v>
      </c>
      <c r="V233" s="26" t="e">
        <f ca="1"/>
        <v>#VALUE!</v>
      </c>
      <c r="W233" s="26" t="e">
        <f ca="1"/>
        <v>#VALUE!</v>
      </c>
      <c r="X233" s="26" t="e">
        <f ca="1"/>
        <v>#VALUE!</v>
      </c>
      <c r="Y233" s="26" t="e">
        <f ca="1"/>
        <v>#VALUE!</v>
      </c>
      <c r="Z233" s="26" t="e">
        <f ca="1"/>
        <v>#VALUE!</v>
      </c>
      <c r="AA233" s="26" t="e">
        <f ca="1"/>
        <v>#VALUE!</v>
      </c>
      <c r="AB233" s="26" t="e">
        <f ca="1"/>
        <v>#VALUE!</v>
      </c>
      <c r="AC233" s="26" t="e">
        <f ca="1"/>
        <v>#VALUE!</v>
      </c>
      <c r="AD233" s="26" t="e">
        <f ca="1"/>
        <v>#VALUE!</v>
      </c>
      <c r="AE233" s="26" t="e">
        <f ca="1"/>
        <v>#VALUE!</v>
      </c>
      <c r="AF233" s="27" t="s">
        <v>414</v>
      </c>
      <c r="AG233" s="27"/>
      <c r="AH233" s="27"/>
    </row>
    <row r="234" spans="4:34" ht="20.100000000000001" customHeight="1" x14ac:dyDescent="0.25">
      <c r="D234" s="117" t="s">
        <v>297</v>
      </c>
      <c r="E234" s="117" t="e" cm="1">
        <f t="array" aca="1" ref="E234" ca="1">Common_Equations.Common_ConvertN2OToCO2e(G231,G232)</f>
        <v>#N/A</v>
      </c>
      <c r="F234" s="124" t="str" cm="1">
        <f t="array" ref="F234">Common_Equations.Common_ConvertN2OToCO2e_Unit()</f>
        <v>t CO2e</v>
      </c>
      <c r="U234" s="26" t="e">
        <f>TEXT(EDATE('Input - Site'!$E$12,2), "mmmm yyyy")</f>
        <v>#VALUE!</v>
      </c>
      <c r="V234" s="26" t="e">
        <f ca="1"/>
        <v>#VALUE!</v>
      </c>
      <c r="W234" s="26" t="e">
        <f ca="1"/>
        <v>#VALUE!</v>
      </c>
      <c r="X234" s="26" t="e">
        <f ca="1"/>
        <v>#VALUE!</v>
      </c>
      <c r="Y234" s="26" t="e">
        <f ca="1"/>
        <v>#VALUE!</v>
      </c>
      <c r="Z234" s="26" t="e">
        <f ca="1"/>
        <v>#VALUE!</v>
      </c>
      <c r="AA234" s="26" t="e">
        <f ca="1"/>
        <v>#VALUE!</v>
      </c>
      <c r="AB234" s="26" t="e">
        <f ca="1"/>
        <v>#VALUE!</v>
      </c>
      <c r="AC234" s="26" t="e">
        <f ca="1"/>
        <v>#VALUE!</v>
      </c>
      <c r="AD234" s="26" t="e">
        <f ca="1"/>
        <v>#VALUE!</v>
      </c>
      <c r="AE234" s="26" t="e">
        <f ca="1"/>
        <v>#VALUE!</v>
      </c>
      <c r="AF234" s="27" t="s">
        <v>414</v>
      </c>
      <c r="AG234" s="27"/>
      <c r="AH234" s="27"/>
    </row>
    <row r="235" spans="4:34" ht="20.100000000000001" customHeight="1" x14ac:dyDescent="0.25">
      <c r="U235" s="26" t="e">
        <f>TEXT(EDATE('Input - Site'!$E$12,3), "mmmm yyyy")</f>
        <v>#VALUE!</v>
      </c>
      <c r="V235" s="26" t="e">
        <f ca="1"/>
        <v>#VALUE!</v>
      </c>
      <c r="W235" s="26" t="e">
        <f ca="1"/>
        <v>#VALUE!</v>
      </c>
      <c r="X235" s="26" t="e">
        <f ca="1"/>
        <v>#VALUE!</v>
      </c>
      <c r="Y235" s="26" t="e">
        <f ca="1"/>
        <v>#VALUE!</v>
      </c>
      <c r="Z235" s="26" t="e">
        <f ca="1"/>
        <v>#VALUE!</v>
      </c>
      <c r="AA235" s="26" t="e">
        <f ca="1"/>
        <v>#VALUE!</v>
      </c>
      <c r="AB235" s="26" t="e">
        <f ca="1"/>
        <v>#VALUE!</v>
      </c>
      <c r="AC235" s="26" t="e">
        <f ca="1"/>
        <v>#VALUE!</v>
      </c>
      <c r="AD235" s="26" t="e">
        <f ca="1"/>
        <v>#VALUE!</v>
      </c>
      <c r="AE235" s="26" t="e">
        <f ca="1"/>
        <v>#VALUE!</v>
      </c>
      <c r="AF235" s="27" t="s">
        <v>414</v>
      </c>
      <c r="AG235" s="27"/>
      <c r="AH235" s="27"/>
    </row>
    <row r="236" spans="4:34" ht="20.100000000000001" customHeight="1" x14ac:dyDescent="0.25">
      <c r="U236" s="26" t="e">
        <f>TEXT(EDATE('Input - Site'!$E$12,4), "mmmm yyyy")</f>
        <v>#VALUE!</v>
      </c>
      <c r="V236" s="26" t="e">
        <f ca="1"/>
        <v>#VALUE!</v>
      </c>
      <c r="W236" s="26" t="e">
        <f ca="1"/>
        <v>#VALUE!</v>
      </c>
      <c r="X236" s="26" t="e">
        <f ca="1"/>
        <v>#VALUE!</v>
      </c>
      <c r="Y236" s="26" t="e">
        <f ca="1"/>
        <v>#VALUE!</v>
      </c>
      <c r="Z236" s="26" t="e">
        <f ca="1"/>
        <v>#VALUE!</v>
      </c>
      <c r="AA236" s="26" t="e">
        <f ca="1"/>
        <v>#VALUE!</v>
      </c>
      <c r="AB236" s="26" t="e">
        <f ca="1"/>
        <v>#VALUE!</v>
      </c>
      <c r="AC236" s="26" t="e">
        <f ca="1"/>
        <v>#VALUE!</v>
      </c>
      <c r="AD236" s="26" t="e">
        <f ca="1"/>
        <v>#VALUE!</v>
      </c>
      <c r="AE236" s="26" t="e">
        <f ca="1"/>
        <v>#VALUE!</v>
      </c>
      <c r="AF236" s="27" t="s">
        <v>414</v>
      </c>
      <c r="AG236" s="27"/>
      <c r="AH236" s="27"/>
    </row>
    <row r="237" spans="4:34" ht="20.100000000000001" customHeight="1" x14ac:dyDescent="0.25">
      <c r="U237" s="26" t="e">
        <f>TEXT(EDATE('Input - Site'!$E$12,5), "mmmm yyyy")</f>
        <v>#VALUE!</v>
      </c>
      <c r="V237" s="26" t="e">
        <f ca="1"/>
        <v>#VALUE!</v>
      </c>
      <c r="W237" s="26" t="e">
        <f ca="1"/>
        <v>#VALUE!</v>
      </c>
      <c r="X237" s="26" t="e">
        <f ca="1"/>
        <v>#VALUE!</v>
      </c>
      <c r="Y237" s="26" t="e">
        <f ca="1"/>
        <v>#VALUE!</v>
      </c>
      <c r="Z237" s="26" t="e">
        <f ca="1"/>
        <v>#VALUE!</v>
      </c>
      <c r="AA237" s="26" t="e">
        <f ca="1"/>
        <v>#VALUE!</v>
      </c>
      <c r="AB237" s="26" t="e">
        <f ca="1"/>
        <v>#VALUE!</v>
      </c>
      <c r="AC237" s="26" t="e">
        <f ca="1"/>
        <v>#VALUE!</v>
      </c>
      <c r="AD237" s="26" t="e">
        <f ca="1"/>
        <v>#VALUE!</v>
      </c>
      <c r="AE237" s="26" t="e">
        <f ca="1"/>
        <v>#VALUE!</v>
      </c>
      <c r="AF237" s="27" t="s">
        <v>414</v>
      </c>
      <c r="AG237" s="27"/>
      <c r="AH237" s="27"/>
    </row>
    <row r="238" spans="4:34" ht="20.100000000000001" customHeight="1" x14ac:dyDescent="0.25">
      <c r="U238" s="26" t="e">
        <f>TEXT(EDATE('Input - Site'!$E$12,6), "mmmm yyyy")</f>
        <v>#VALUE!</v>
      </c>
      <c r="V238" s="26" t="e">
        <f ca="1"/>
        <v>#VALUE!</v>
      </c>
      <c r="W238" s="26" t="e">
        <f ca="1"/>
        <v>#VALUE!</v>
      </c>
      <c r="X238" s="26" t="e">
        <f ca="1"/>
        <v>#VALUE!</v>
      </c>
      <c r="Y238" s="26" t="e">
        <f ca="1"/>
        <v>#VALUE!</v>
      </c>
      <c r="Z238" s="26" t="e">
        <f ca="1"/>
        <v>#VALUE!</v>
      </c>
      <c r="AA238" s="26" t="e">
        <f ca="1"/>
        <v>#VALUE!</v>
      </c>
      <c r="AB238" s="26" t="e">
        <f ca="1"/>
        <v>#VALUE!</v>
      </c>
      <c r="AC238" s="26" t="e">
        <f ca="1"/>
        <v>#VALUE!</v>
      </c>
      <c r="AD238" s="26" t="e">
        <f ca="1"/>
        <v>#VALUE!</v>
      </c>
      <c r="AE238" s="26" t="e">
        <f ca="1"/>
        <v>#VALUE!</v>
      </c>
      <c r="AF238" s="27" t="s">
        <v>414</v>
      </c>
      <c r="AG238" s="27"/>
      <c r="AH238" s="27"/>
    </row>
    <row r="239" spans="4:34" ht="20.100000000000001" customHeight="1" x14ac:dyDescent="0.25">
      <c r="U239" s="26" t="e">
        <f>TEXT(EDATE('Input - Site'!$E$12,7), "mmmm yyyy")</f>
        <v>#VALUE!</v>
      </c>
      <c r="V239" s="26" t="e">
        <f ca="1"/>
        <v>#VALUE!</v>
      </c>
      <c r="W239" s="26" t="e">
        <f ca="1"/>
        <v>#VALUE!</v>
      </c>
      <c r="X239" s="26" t="e">
        <f ca="1"/>
        <v>#VALUE!</v>
      </c>
      <c r="Y239" s="26" t="e">
        <f ca="1"/>
        <v>#VALUE!</v>
      </c>
      <c r="Z239" s="26" t="e">
        <f ca="1"/>
        <v>#VALUE!</v>
      </c>
      <c r="AA239" s="26" t="e">
        <f ca="1"/>
        <v>#VALUE!</v>
      </c>
      <c r="AB239" s="26" t="e">
        <f ca="1"/>
        <v>#VALUE!</v>
      </c>
      <c r="AC239" s="26" t="e">
        <f ca="1"/>
        <v>#VALUE!</v>
      </c>
      <c r="AD239" s="26" t="e">
        <f ca="1"/>
        <v>#VALUE!</v>
      </c>
      <c r="AE239" s="26" t="e">
        <f ca="1"/>
        <v>#VALUE!</v>
      </c>
      <c r="AF239" s="27" t="s">
        <v>414</v>
      </c>
      <c r="AG239" s="27"/>
      <c r="AH239" s="27"/>
    </row>
    <row r="240" spans="4:34" ht="20.100000000000001" customHeight="1" x14ac:dyDescent="0.25">
      <c r="U240" s="26" t="e">
        <f>TEXT(EDATE('Input - Site'!$E$12,8), "mmmm yyyy")</f>
        <v>#VALUE!</v>
      </c>
      <c r="V240" s="26" t="e">
        <f ca="1"/>
        <v>#VALUE!</v>
      </c>
      <c r="W240" s="26" t="e">
        <f ca="1"/>
        <v>#VALUE!</v>
      </c>
      <c r="X240" s="26" t="e">
        <f ca="1"/>
        <v>#VALUE!</v>
      </c>
      <c r="Y240" s="26" t="e">
        <f ca="1"/>
        <v>#VALUE!</v>
      </c>
      <c r="Z240" s="26" t="e">
        <f ca="1"/>
        <v>#VALUE!</v>
      </c>
      <c r="AA240" s="26" t="e">
        <f ca="1"/>
        <v>#VALUE!</v>
      </c>
      <c r="AB240" s="26" t="e">
        <f ca="1"/>
        <v>#VALUE!</v>
      </c>
      <c r="AC240" s="26" t="e">
        <f ca="1"/>
        <v>#VALUE!</v>
      </c>
      <c r="AD240" s="26" t="e">
        <f ca="1"/>
        <v>#VALUE!</v>
      </c>
      <c r="AE240" s="26" t="e">
        <f ca="1"/>
        <v>#VALUE!</v>
      </c>
      <c r="AF240" s="27" t="s">
        <v>414</v>
      </c>
      <c r="AG240" s="27"/>
      <c r="AH240" s="27"/>
    </row>
    <row r="241" spans="21:34" ht="20.100000000000001" customHeight="1" x14ac:dyDescent="0.25">
      <c r="U241" s="26" t="e">
        <f>TEXT(EDATE('Input - Site'!$E$12,9), "mmmm yyyy")</f>
        <v>#VALUE!</v>
      </c>
      <c r="V241" s="26" t="e">
        <f ca="1"/>
        <v>#VALUE!</v>
      </c>
      <c r="W241" s="26" t="e">
        <f ca="1"/>
        <v>#VALUE!</v>
      </c>
      <c r="X241" s="26" t="e">
        <f ca="1"/>
        <v>#VALUE!</v>
      </c>
      <c r="Y241" s="26" t="e">
        <f ca="1"/>
        <v>#VALUE!</v>
      </c>
      <c r="Z241" s="26" t="e">
        <f ca="1"/>
        <v>#VALUE!</v>
      </c>
      <c r="AA241" s="26" t="e">
        <f ca="1"/>
        <v>#VALUE!</v>
      </c>
      <c r="AB241" s="26" t="e">
        <f ca="1"/>
        <v>#VALUE!</v>
      </c>
      <c r="AC241" s="26" t="e">
        <f ca="1"/>
        <v>#VALUE!</v>
      </c>
      <c r="AD241" s="26" t="e">
        <f ca="1"/>
        <v>#VALUE!</v>
      </c>
      <c r="AE241" s="26" t="e">
        <f ca="1"/>
        <v>#VALUE!</v>
      </c>
      <c r="AF241" s="27" t="s">
        <v>414</v>
      </c>
      <c r="AG241" s="27"/>
      <c r="AH241" s="27"/>
    </row>
    <row r="242" spans="21:34" ht="20.100000000000001" customHeight="1" x14ac:dyDescent="0.25">
      <c r="U242" s="26" t="e">
        <f>TEXT(EDATE('Input - Site'!$E$12,10), "mmmm yyyy")</f>
        <v>#VALUE!</v>
      </c>
      <c r="V242" s="26" t="e">
        <f ca="1"/>
        <v>#VALUE!</v>
      </c>
      <c r="W242" s="26" t="e">
        <f ca="1"/>
        <v>#VALUE!</v>
      </c>
      <c r="X242" s="26" t="e">
        <f ca="1"/>
        <v>#VALUE!</v>
      </c>
      <c r="Y242" s="26" t="e">
        <f ca="1"/>
        <v>#VALUE!</v>
      </c>
      <c r="Z242" s="26" t="e">
        <f ca="1"/>
        <v>#VALUE!</v>
      </c>
      <c r="AA242" s="26" t="e">
        <f ca="1"/>
        <v>#VALUE!</v>
      </c>
      <c r="AB242" s="26" t="e">
        <f ca="1"/>
        <v>#VALUE!</v>
      </c>
      <c r="AC242" s="26" t="e">
        <f ca="1"/>
        <v>#VALUE!</v>
      </c>
      <c r="AD242" s="26" t="e">
        <f ca="1"/>
        <v>#VALUE!</v>
      </c>
      <c r="AE242" s="26" t="e">
        <f ca="1"/>
        <v>#VALUE!</v>
      </c>
      <c r="AF242" s="27" t="s">
        <v>414</v>
      </c>
      <c r="AG242" s="27"/>
      <c r="AH242" s="27"/>
    </row>
    <row r="243" spans="21:34" ht="20.100000000000001" customHeight="1" x14ac:dyDescent="0.25">
      <c r="U243" s="26" t="e">
        <f>TEXT(EDATE('Input - Site'!$E$12,11), "mmmm yyyy")</f>
        <v>#VALUE!</v>
      </c>
      <c r="V243" s="26" t="e">
        <f ca="1"/>
        <v>#VALUE!</v>
      </c>
      <c r="W243" s="26" t="e">
        <f ca="1"/>
        <v>#VALUE!</v>
      </c>
      <c r="X243" s="26" t="e">
        <f ca="1"/>
        <v>#VALUE!</v>
      </c>
      <c r="Y243" s="26" t="e">
        <f ca="1"/>
        <v>#VALUE!</v>
      </c>
      <c r="Z243" s="26" t="e">
        <f ca="1"/>
        <v>#VALUE!</v>
      </c>
      <c r="AA243" s="26" t="e">
        <f ca="1"/>
        <v>#VALUE!</v>
      </c>
      <c r="AB243" s="26" t="e">
        <f ca="1"/>
        <v>#VALUE!</v>
      </c>
      <c r="AC243" s="26" t="e">
        <f ca="1"/>
        <v>#VALUE!</v>
      </c>
      <c r="AD243" s="26" t="e">
        <f ca="1"/>
        <v>#VALUE!</v>
      </c>
      <c r="AE243" s="26" t="e">
        <f ca="1"/>
        <v>#VALUE!</v>
      </c>
      <c r="AF243" s="27" t="s">
        <v>414</v>
      </c>
      <c r="AG243" s="27"/>
      <c r="AH243" s="27"/>
    </row>
    <row r="244" spans="21:34" ht="20.100000000000001" customHeight="1" x14ac:dyDescent="0.25"/>
    <row r="245" spans="21:34" ht="20.100000000000001" customHeight="1" x14ac:dyDescent="0.25">
      <c r="U245" s="113" t="s">
        <v>456</v>
      </c>
    </row>
    <row r="246" spans="21:34" ht="20.100000000000001" customHeight="1" x14ac:dyDescent="0.25">
      <c r="U246" s="114" t="s">
        <v>457</v>
      </c>
    </row>
    <row r="247" spans="21:34" ht="20.100000000000001" customHeight="1" x14ac:dyDescent="0.25">
      <c r="U247" s="115" t="s">
        <v>78</v>
      </c>
      <c r="V247" s="115" t="s">
        <v>189</v>
      </c>
      <c r="W247" s="115" t="s">
        <v>190</v>
      </c>
      <c r="X247" s="115" t="s">
        <v>191</v>
      </c>
      <c r="Y247" s="115" t="s">
        <v>192</v>
      </c>
      <c r="Z247" s="115" t="s">
        <v>193</v>
      </c>
      <c r="AA247" s="115" t="s">
        <v>194</v>
      </c>
      <c r="AB247" s="115" t="s">
        <v>195</v>
      </c>
      <c r="AC247" s="115" t="s">
        <v>196</v>
      </c>
      <c r="AD247" s="115" t="s">
        <v>197</v>
      </c>
      <c r="AE247" s="115" t="s">
        <v>198</v>
      </c>
    </row>
    <row r="248" spans="21:34" ht="20.100000000000001" customHeight="1" x14ac:dyDescent="0.25">
      <c r="U248" s="26" t="str">
        <f>TEXT('Input - Site'!$E$12, "mmmm yyyy")</f>
        <v>NO - Not in leaching zone</v>
      </c>
      <c r="V248" s="26" t="e" cm="1">
        <f t="array" aca="1" ref="V248" ca="1">MMS_PastureBeef_Soil_N2ODirect_Equations.VEERG_4_2_1_3__2_TotalNitrogenExcretedToPastureRangeAndPaddock(V216,V196,V232)</f>
        <v>#N/A</v>
      </c>
      <c r="W248" s="26" t="e" cm="1">
        <f t="array" aca="1" ref="W248" ca="1">MMS_PastureBeef_Soil_N2ODirect_Equations.VEERG_4_2_1_3__2_TotalNitrogenExcretedToPastureRangeAndPaddock(W216,W196,W232)</f>
        <v>#N/A</v>
      </c>
      <c r="X248" s="26" t="e" cm="1">
        <f t="array" aca="1" ref="X248" ca="1">MMS_PastureBeef_Soil_N2ODirect_Equations.VEERG_4_2_1_3__2_TotalNitrogenExcretedToPastureRangeAndPaddock(X216,X196,X232)</f>
        <v>#N/A</v>
      </c>
      <c r="Y248" s="26" t="e" cm="1">
        <f t="array" aca="1" ref="Y248" ca="1">MMS_PastureBeef_Soil_N2ODirect_Equations.VEERG_4_2_1_3__2_TotalNitrogenExcretedToPastureRangeAndPaddock(Y216,Y196,Y232)</f>
        <v>#N/A</v>
      </c>
      <c r="Z248" s="26" t="e" cm="1">
        <f t="array" aca="1" ref="Z248" ca="1">MMS_PastureBeef_Soil_N2ODirect_Equations.VEERG_4_2_1_3__2_TotalNitrogenExcretedToPastureRangeAndPaddock(Z216,Z196,Z232)</f>
        <v>#N/A</v>
      </c>
      <c r="AA248" s="26" t="e" cm="1">
        <f t="array" aca="1" ref="AA248" ca="1">MMS_PastureBeef_Soil_N2ODirect_Equations.VEERG_4_2_1_3__2_TotalNitrogenExcretedToPastureRangeAndPaddock(AA216,AA196,AA232)</f>
        <v>#N/A</v>
      </c>
      <c r="AB248" s="26" t="e" cm="1">
        <f t="array" aca="1" ref="AB248" ca="1">MMS_PastureBeef_Soil_N2ODirect_Equations.VEERG_4_2_1_3__2_TotalNitrogenExcretedToPastureRangeAndPaddock(AB216,AB196,AB232)</f>
        <v>#N/A</v>
      </c>
      <c r="AC248" s="26" t="e" cm="1">
        <f t="array" aca="1" ref="AC248" ca="1">MMS_PastureBeef_Soil_N2ODirect_Equations.VEERG_4_2_1_3__2_TotalNitrogenExcretedToPastureRangeAndPaddock(AC216,AC196,AC232)</f>
        <v>#N/A</v>
      </c>
      <c r="AD248" s="26" t="e" cm="1">
        <f t="array" aca="1" ref="AD248" ca="1">MMS_PastureBeef_Soil_N2ODirect_Equations.VEERG_4_2_1_3__2_TotalNitrogenExcretedToPastureRangeAndPaddock(AD216,AD196,AD232)</f>
        <v>#N/A</v>
      </c>
      <c r="AE248" s="26" t="e" cm="1">
        <f t="array" aca="1" ref="AE248" ca="1">MMS_PastureBeef_Soil_N2ODirect_Equations.VEERG_4_2_1_3__2_TotalNitrogenExcretedToPastureRangeAndPaddock(AE216,AE196,AE232)</f>
        <v>#N/A</v>
      </c>
      <c r="AF248" s="27" t="str">
        <f t="shared" ref="AF248:AF259" si="10">$E$182</f>
        <v>kg N</v>
      </c>
      <c r="AG248" s="27"/>
      <c r="AH248" s="27"/>
    </row>
    <row r="249" spans="21:34" ht="20.100000000000001" customHeight="1" x14ac:dyDescent="0.25">
      <c r="U249" s="26" t="e">
        <f>TEXT(EDATE('Input - Site'!$E$12,1), "mmmm yyyy")</f>
        <v>#VALUE!</v>
      </c>
      <c r="V249" s="26" t="e" cm="1">
        <f t="array" aca="1" ref="V249" ca="1">MMS_PastureBeef_Soil_N2ODirect_Equations.VEERG_4_2_1_3__2_TotalNitrogenExcretedToPastureRangeAndPaddock(V217,V197,V233)</f>
        <v>#N/A</v>
      </c>
      <c r="W249" s="26" t="e" cm="1">
        <f t="array" aca="1" ref="W249" ca="1">MMS_PastureBeef_Soil_N2ODirect_Equations.VEERG_4_2_1_3__2_TotalNitrogenExcretedToPastureRangeAndPaddock(W217,W197,W233)</f>
        <v>#N/A</v>
      </c>
      <c r="X249" s="26" t="e" cm="1">
        <f t="array" aca="1" ref="X249" ca="1">MMS_PastureBeef_Soil_N2ODirect_Equations.VEERG_4_2_1_3__2_TotalNitrogenExcretedToPastureRangeAndPaddock(X217,X197,X233)</f>
        <v>#N/A</v>
      </c>
      <c r="Y249" s="26" t="e" cm="1">
        <f t="array" aca="1" ref="Y249" ca="1">MMS_PastureBeef_Soil_N2ODirect_Equations.VEERG_4_2_1_3__2_TotalNitrogenExcretedToPastureRangeAndPaddock(Y217,Y197,Y233)</f>
        <v>#N/A</v>
      </c>
      <c r="Z249" s="26" t="e" cm="1">
        <f t="array" aca="1" ref="Z249" ca="1">MMS_PastureBeef_Soil_N2ODirect_Equations.VEERG_4_2_1_3__2_TotalNitrogenExcretedToPastureRangeAndPaddock(Z217,Z197,Z233)</f>
        <v>#N/A</v>
      </c>
      <c r="AA249" s="26" t="e" cm="1">
        <f t="array" aca="1" ref="AA249" ca="1">MMS_PastureBeef_Soil_N2ODirect_Equations.VEERG_4_2_1_3__2_TotalNitrogenExcretedToPastureRangeAndPaddock(AA217,AA197,AA233)</f>
        <v>#N/A</v>
      </c>
      <c r="AB249" s="26" t="e" cm="1">
        <f t="array" aca="1" ref="AB249" ca="1">MMS_PastureBeef_Soil_N2ODirect_Equations.VEERG_4_2_1_3__2_TotalNitrogenExcretedToPastureRangeAndPaddock(AB217,AB197,AB233)</f>
        <v>#N/A</v>
      </c>
      <c r="AC249" s="26" t="e" cm="1">
        <f t="array" aca="1" ref="AC249" ca="1">MMS_PastureBeef_Soil_N2ODirect_Equations.VEERG_4_2_1_3__2_TotalNitrogenExcretedToPastureRangeAndPaddock(AC217,AC197,AC233)</f>
        <v>#N/A</v>
      </c>
      <c r="AD249" s="26" t="e" cm="1">
        <f t="array" aca="1" ref="AD249" ca="1">MMS_PastureBeef_Soil_N2ODirect_Equations.VEERG_4_2_1_3__2_TotalNitrogenExcretedToPastureRangeAndPaddock(AD217,AD197,AD233)</f>
        <v>#N/A</v>
      </c>
      <c r="AE249" s="26" t="e" cm="1">
        <f t="array" aca="1" ref="AE249" ca="1">MMS_PastureBeef_Soil_N2ODirect_Equations.VEERG_4_2_1_3__2_TotalNitrogenExcretedToPastureRangeAndPaddock(AE217,AE197,AE233)</f>
        <v>#N/A</v>
      </c>
      <c r="AF249" s="27" t="str">
        <f t="shared" si="10"/>
        <v>kg N</v>
      </c>
      <c r="AG249" s="27"/>
      <c r="AH249" s="27"/>
    </row>
    <row r="250" spans="21:34" ht="20.100000000000001" customHeight="1" x14ac:dyDescent="0.25">
      <c r="U250" s="26" t="e">
        <f>TEXT(EDATE('Input - Site'!$E$12,2), "mmmm yyyy")</f>
        <v>#VALUE!</v>
      </c>
      <c r="V250" s="26" t="e" cm="1">
        <f t="array" aca="1" ref="V250" ca="1">MMS_PastureBeef_Soil_N2ODirect_Equations.VEERG_4_2_1_3__2_TotalNitrogenExcretedToPastureRangeAndPaddock(V218,V198,V234)</f>
        <v>#N/A</v>
      </c>
      <c r="W250" s="26" t="e" cm="1">
        <f t="array" aca="1" ref="W250" ca="1">MMS_PastureBeef_Soil_N2ODirect_Equations.VEERG_4_2_1_3__2_TotalNitrogenExcretedToPastureRangeAndPaddock(W218,W198,W234)</f>
        <v>#N/A</v>
      </c>
      <c r="X250" s="26" t="e" cm="1">
        <f t="array" aca="1" ref="X250" ca="1">MMS_PastureBeef_Soil_N2ODirect_Equations.VEERG_4_2_1_3__2_TotalNitrogenExcretedToPastureRangeAndPaddock(X218,X198,X234)</f>
        <v>#N/A</v>
      </c>
      <c r="Y250" s="26" t="e" cm="1">
        <f t="array" aca="1" ref="Y250" ca="1">MMS_PastureBeef_Soil_N2ODirect_Equations.VEERG_4_2_1_3__2_TotalNitrogenExcretedToPastureRangeAndPaddock(Y218,Y198,Y234)</f>
        <v>#N/A</v>
      </c>
      <c r="Z250" s="26" t="e" cm="1">
        <f t="array" aca="1" ref="Z250" ca="1">MMS_PastureBeef_Soil_N2ODirect_Equations.VEERG_4_2_1_3__2_TotalNitrogenExcretedToPastureRangeAndPaddock(Z218,Z198,Z234)</f>
        <v>#N/A</v>
      </c>
      <c r="AA250" s="26" t="e" cm="1">
        <f t="array" aca="1" ref="AA250" ca="1">MMS_PastureBeef_Soil_N2ODirect_Equations.VEERG_4_2_1_3__2_TotalNitrogenExcretedToPastureRangeAndPaddock(AA218,AA198,AA234)</f>
        <v>#N/A</v>
      </c>
      <c r="AB250" s="26" t="e" cm="1">
        <f t="array" aca="1" ref="AB250" ca="1">MMS_PastureBeef_Soil_N2ODirect_Equations.VEERG_4_2_1_3__2_TotalNitrogenExcretedToPastureRangeAndPaddock(AB218,AB198,AB234)</f>
        <v>#N/A</v>
      </c>
      <c r="AC250" s="26" t="e" cm="1">
        <f t="array" aca="1" ref="AC250" ca="1">MMS_PastureBeef_Soil_N2ODirect_Equations.VEERG_4_2_1_3__2_TotalNitrogenExcretedToPastureRangeAndPaddock(AC218,AC198,AC234)</f>
        <v>#N/A</v>
      </c>
      <c r="AD250" s="26" t="e" cm="1">
        <f t="array" aca="1" ref="AD250" ca="1">MMS_PastureBeef_Soil_N2ODirect_Equations.VEERG_4_2_1_3__2_TotalNitrogenExcretedToPastureRangeAndPaddock(AD218,AD198,AD234)</f>
        <v>#N/A</v>
      </c>
      <c r="AE250" s="26" t="e" cm="1">
        <f t="array" aca="1" ref="AE250" ca="1">MMS_PastureBeef_Soil_N2ODirect_Equations.VEERG_4_2_1_3__2_TotalNitrogenExcretedToPastureRangeAndPaddock(AE218,AE198,AE234)</f>
        <v>#N/A</v>
      </c>
      <c r="AF250" s="27" t="str">
        <f t="shared" si="10"/>
        <v>kg N</v>
      </c>
      <c r="AG250" s="27"/>
      <c r="AH250" s="27"/>
    </row>
    <row r="251" spans="21:34" ht="20.100000000000001" customHeight="1" x14ac:dyDescent="0.25">
      <c r="U251" s="26" t="e">
        <f>TEXT(EDATE('Input - Site'!$E$12,3), "mmmm yyyy")</f>
        <v>#VALUE!</v>
      </c>
      <c r="V251" s="26" t="e" cm="1">
        <f t="array" aca="1" ref="V251" ca="1">MMS_PastureBeef_Soil_N2ODirect_Equations.VEERG_4_2_1_3__2_TotalNitrogenExcretedToPastureRangeAndPaddock(V219,V199,V235)</f>
        <v>#N/A</v>
      </c>
      <c r="W251" s="26" t="e" cm="1">
        <f t="array" aca="1" ref="W251" ca="1">MMS_PastureBeef_Soil_N2ODirect_Equations.VEERG_4_2_1_3__2_TotalNitrogenExcretedToPastureRangeAndPaddock(W219,W199,W235)</f>
        <v>#N/A</v>
      </c>
      <c r="X251" s="26" t="e" cm="1">
        <f t="array" aca="1" ref="X251" ca="1">MMS_PastureBeef_Soil_N2ODirect_Equations.VEERG_4_2_1_3__2_TotalNitrogenExcretedToPastureRangeAndPaddock(X219,X199,X235)</f>
        <v>#N/A</v>
      </c>
      <c r="Y251" s="26" t="e" cm="1">
        <f t="array" aca="1" ref="Y251" ca="1">MMS_PastureBeef_Soil_N2ODirect_Equations.VEERG_4_2_1_3__2_TotalNitrogenExcretedToPastureRangeAndPaddock(Y219,Y199,Y235)</f>
        <v>#N/A</v>
      </c>
      <c r="Z251" s="26" t="e" cm="1">
        <f t="array" aca="1" ref="Z251" ca="1">MMS_PastureBeef_Soil_N2ODirect_Equations.VEERG_4_2_1_3__2_TotalNitrogenExcretedToPastureRangeAndPaddock(Z219,Z199,Z235)</f>
        <v>#N/A</v>
      </c>
      <c r="AA251" s="26" t="e" cm="1">
        <f t="array" aca="1" ref="AA251" ca="1">MMS_PastureBeef_Soil_N2ODirect_Equations.VEERG_4_2_1_3__2_TotalNitrogenExcretedToPastureRangeAndPaddock(AA219,AA199,AA235)</f>
        <v>#N/A</v>
      </c>
      <c r="AB251" s="26" t="e" cm="1">
        <f t="array" aca="1" ref="AB251" ca="1">MMS_PastureBeef_Soil_N2ODirect_Equations.VEERG_4_2_1_3__2_TotalNitrogenExcretedToPastureRangeAndPaddock(AB219,AB199,AB235)</f>
        <v>#N/A</v>
      </c>
      <c r="AC251" s="26" t="e" cm="1">
        <f t="array" aca="1" ref="AC251" ca="1">MMS_PastureBeef_Soil_N2ODirect_Equations.VEERG_4_2_1_3__2_TotalNitrogenExcretedToPastureRangeAndPaddock(AC219,AC199,AC235)</f>
        <v>#N/A</v>
      </c>
      <c r="AD251" s="26" t="e" cm="1">
        <f t="array" aca="1" ref="AD251" ca="1">MMS_PastureBeef_Soil_N2ODirect_Equations.VEERG_4_2_1_3__2_TotalNitrogenExcretedToPastureRangeAndPaddock(AD219,AD199,AD235)</f>
        <v>#N/A</v>
      </c>
      <c r="AE251" s="26" t="e" cm="1">
        <f t="array" aca="1" ref="AE251" ca="1">MMS_PastureBeef_Soil_N2ODirect_Equations.VEERG_4_2_1_3__2_TotalNitrogenExcretedToPastureRangeAndPaddock(AE219,AE199,AE235)</f>
        <v>#N/A</v>
      </c>
      <c r="AF251" s="27" t="str">
        <f t="shared" si="10"/>
        <v>kg N</v>
      </c>
      <c r="AG251" s="27"/>
      <c r="AH251" s="27"/>
    </row>
    <row r="252" spans="21:34" ht="20.100000000000001" customHeight="1" x14ac:dyDescent="0.25">
      <c r="U252" s="26" t="e">
        <f>TEXT(EDATE('Input - Site'!$E$12,4), "mmmm yyyy")</f>
        <v>#VALUE!</v>
      </c>
      <c r="V252" s="26" t="e" cm="1">
        <f t="array" aca="1" ref="V252" ca="1">MMS_PastureBeef_Soil_N2ODirect_Equations.VEERG_4_2_1_3__2_TotalNitrogenExcretedToPastureRangeAndPaddock(V220,V200,V236)</f>
        <v>#N/A</v>
      </c>
      <c r="W252" s="26" t="e" cm="1">
        <f t="array" aca="1" ref="W252" ca="1">MMS_PastureBeef_Soil_N2ODirect_Equations.VEERG_4_2_1_3__2_TotalNitrogenExcretedToPastureRangeAndPaddock(W220,W200,W236)</f>
        <v>#N/A</v>
      </c>
      <c r="X252" s="26" t="e" cm="1">
        <f t="array" aca="1" ref="X252" ca="1">MMS_PastureBeef_Soil_N2ODirect_Equations.VEERG_4_2_1_3__2_TotalNitrogenExcretedToPastureRangeAndPaddock(X220,X200,X236)</f>
        <v>#N/A</v>
      </c>
      <c r="Y252" s="26" t="e" cm="1">
        <f t="array" aca="1" ref="Y252" ca="1">MMS_PastureBeef_Soil_N2ODirect_Equations.VEERG_4_2_1_3__2_TotalNitrogenExcretedToPastureRangeAndPaddock(Y220,Y200,Y236)</f>
        <v>#N/A</v>
      </c>
      <c r="Z252" s="26" t="e" cm="1">
        <f t="array" aca="1" ref="Z252" ca="1">MMS_PastureBeef_Soil_N2ODirect_Equations.VEERG_4_2_1_3__2_TotalNitrogenExcretedToPastureRangeAndPaddock(Z220,Z200,Z236)</f>
        <v>#N/A</v>
      </c>
      <c r="AA252" s="26" t="e" cm="1">
        <f t="array" aca="1" ref="AA252" ca="1">MMS_PastureBeef_Soil_N2ODirect_Equations.VEERG_4_2_1_3__2_TotalNitrogenExcretedToPastureRangeAndPaddock(AA220,AA200,AA236)</f>
        <v>#N/A</v>
      </c>
      <c r="AB252" s="26" t="e" cm="1">
        <f t="array" aca="1" ref="AB252" ca="1">MMS_PastureBeef_Soil_N2ODirect_Equations.VEERG_4_2_1_3__2_TotalNitrogenExcretedToPastureRangeAndPaddock(AB220,AB200,AB236)</f>
        <v>#N/A</v>
      </c>
      <c r="AC252" s="26" t="e" cm="1">
        <f t="array" aca="1" ref="AC252" ca="1">MMS_PastureBeef_Soil_N2ODirect_Equations.VEERG_4_2_1_3__2_TotalNitrogenExcretedToPastureRangeAndPaddock(AC220,AC200,AC236)</f>
        <v>#N/A</v>
      </c>
      <c r="AD252" s="26" t="e" cm="1">
        <f t="array" aca="1" ref="AD252" ca="1">MMS_PastureBeef_Soil_N2ODirect_Equations.VEERG_4_2_1_3__2_TotalNitrogenExcretedToPastureRangeAndPaddock(AD220,AD200,AD236)</f>
        <v>#N/A</v>
      </c>
      <c r="AE252" s="26" t="e" cm="1">
        <f t="array" aca="1" ref="AE252" ca="1">MMS_PastureBeef_Soil_N2ODirect_Equations.VEERG_4_2_1_3__2_TotalNitrogenExcretedToPastureRangeAndPaddock(AE220,AE200,AE236)</f>
        <v>#N/A</v>
      </c>
      <c r="AF252" s="27" t="str">
        <f t="shared" si="10"/>
        <v>kg N</v>
      </c>
      <c r="AG252" s="27"/>
      <c r="AH252" s="27"/>
    </row>
    <row r="253" spans="21:34" ht="20.100000000000001" customHeight="1" x14ac:dyDescent="0.25">
      <c r="U253" s="26" t="e">
        <f>TEXT(EDATE('Input - Site'!$E$12,5), "mmmm yyyy")</f>
        <v>#VALUE!</v>
      </c>
      <c r="V253" s="26" t="e" cm="1">
        <f t="array" aca="1" ref="V253" ca="1">MMS_PastureBeef_Soil_N2ODirect_Equations.VEERG_4_2_1_3__2_TotalNitrogenExcretedToPastureRangeAndPaddock(V221,V201,V237)</f>
        <v>#N/A</v>
      </c>
      <c r="W253" s="26" t="e" cm="1">
        <f t="array" aca="1" ref="W253" ca="1">MMS_PastureBeef_Soil_N2ODirect_Equations.VEERG_4_2_1_3__2_TotalNitrogenExcretedToPastureRangeAndPaddock(W221,W201,W237)</f>
        <v>#N/A</v>
      </c>
      <c r="X253" s="26" t="e" cm="1">
        <f t="array" aca="1" ref="X253" ca="1">MMS_PastureBeef_Soil_N2ODirect_Equations.VEERG_4_2_1_3__2_TotalNitrogenExcretedToPastureRangeAndPaddock(X221,X201,X237)</f>
        <v>#N/A</v>
      </c>
      <c r="Y253" s="26" t="e" cm="1">
        <f t="array" aca="1" ref="Y253" ca="1">MMS_PastureBeef_Soil_N2ODirect_Equations.VEERG_4_2_1_3__2_TotalNitrogenExcretedToPastureRangeAndPaddock(Y221,Y201,Y237)</f>
        <v>#N/A</v>
      </c>
      <c r="Z253" s="26" t="e" cm="1">
        <f t="array" aca="1" ref="Z253" ca="1">MMS_PastureBeef_Soil_N2ODirect_Equations.VEERG_4_2_1_3__2_TotalNitrogenExcretedToPastureRangeAndPaddock(Z221,Z201,Z237)</f>
        <v>#N/A</v>
      </c>
      <c r="AA253" s="26" t="e" cm="1">
        <f t="array" aca="1" ref="AA253" ca="1">MMS_PastureBeef_Soil_N2ODirect_Equations.VEERG_4_2_1_3__2_TotalNitrogenExcretedToPastureRangeAndPaddock(AA221,AA201,AA237)</f>
        <v>#N/A</v>
      </c>
      <c r="AB253" s="26" t="e" cm="1">
        <f t="array" aca="1" ref="AB253" ca="1">MMS_PastureBeef_Soil_N2ODirect_Equations.VEERG_4_2_1_3__2_TotalNitrogenExcretedToPastureRangeAndPaddock(AB221,AB201,AB237)</f>
        <v>#N/A</v>
      </c>
      <c r="AC253" s="26" t="e" cm="1">
        <f t="array" aca="1" ref="AC253" ca="1">MMS_PastureBeef_Soil_N2ODirect_Equations.VEERG_4_2_1_3__2_TotalNitrogenExcretedToPastureRangeAndPaddock(AC221,AC201,AC237)</f>
        <v>#N/A</v>
      </c>
      <c r="AD253" s="26" t="e" cm="1">
        <f t="array" aca="1" ref="AD253" ca="1">MMS_PastureBeef_Soil_N2ODirect_Equations.VEERG_4_2_1_3__2_TotalNitrogenExcretedToPastureRangeAndPaddock(AD221,AD201,AD237)</f>
        <v>#N/A</v>
      </c>
      <c r="AE253" s="26" t="e" cm="1">
        <f t="array" aca="1" ref="AE253" ca="1">MMS_PastureBeef_Soil_N2ODirect_Equations.VEERG_4_2_1_3__2_TotalNitrogenExcretedToPastureRangeAndPaddock(AE221,AE201,AE237)</f>
        <v>#N/A</v>
      </c>
      <c r="AF253" s="27" t="str">
        <f t="shared" si="10"/>
        <v>kg N</v>
      </c>
      <c r="AG253" s="27"/>
      <c r="AH253" s="27"/>
    </row>
    <row r="254" spans="21:34" ht="20.100000000000001" customHeight="1" x14ac:dyDescent="0.25">
      <c r="U254" s="26" t="e">
        <f>TEXT(EDATE('Input - Site'!$E$12,6), "mmmm yyyy")</f>
        <v>#VALUE!</v>
      </c>
      <c r="V254" s="26" t="e" cm="1">
        <f t="array" aca="1" ref="V254" ca="1">MMS_PastureBeef_Soil_N2ODirect_Equations.VEERG_4_2_1_3__2_TotalNitrogenExcretedToPastureRangeAndPaddock(V222,V202,V238)</f>
        <v>#N/A</v>
      </c>
      <c r="W254" s="26" t="e" cm="1">
        <f t="array" aca="1" ref="W254" ca="1">MMS_PastureBeef_Soil_N2ODirect_Equations.VEERG_4_2_1_3__2_TotalNitrogenExcretedToPastureRangeAndPaddock(W222,W202,W238)</f>
        <v>#N/A</v>
      </c>
      <c r="X254" s="26" t="e" cm="1">
        <f t="array" aca="1" ref="X254" ca="1">MMS_PastureBeef_Soil_N2ODirect_Equations.VEERG_4_2_1_3__2_TotalNitrogenExcretedToPastureRangeAndPaddock(X222,X202,X238)</f>
        <v>#N/A</v>
      </c>
      <c r="Y254" s="26" t="e" cm="1">
        <f t="array" aca="1" ref="Y254" ca="1">MMS_PastureBeef_Soil_N2ODirect_Equations.VEERG_4_2_1_3__2_TotalNitrogenExcretedToPastureRangeAndPaddock(Y222,Y202,Y238)</f>
        <v>#N/A</v>
      </c>
      <c r="Z254" s="26" t="e" cm="1">
        <f t="array" aca="1" ref="Z254" ca="1">MMS_PastureBeef_Soil_N2ODirect_Equations.VEERG_4_2_1_3__2_TotalNitrogenExcretedToPastureRangeAndPaddock(Z222,Z202,Z238)</f>
        <v>#N/A</v>
      </c>
      <c r="AA254" s="26" t="e" cm="1">
        <f t="array" aca="1" ref="AA254" ca="1">MMS_PastureBeef_Soil_N2ODirect_Equations.VEERG_4_2_1_3__2_TotalNitrogenExcretedToPastureRangeAndPaddock(AA222,AA202,AA238)</f>
        <v>#N/A</v>
      </c>
      <c r="AB254" s="26" t="e" cm="1">
        <f t="array" aca="1" ref="AB254" ca="1">MMS_PastureBeef_Soil_N2ODirect_Equations.VEERG_4_2_1_3__2_TotalNitrogenExcretedToPastureRangeAndPaddock(AB222,AB202,AB238)</f>
        <v>#N/A</v>
      </c>
      <c r="AC254" s="26" t="e" cm="1">
        <f t="array" aca="1" ref="AC254" ca="1">MMS_PastureBeef_Soil_N2ODirect_Equations.VEERG_4_2_1_3__2_TotalNitrogenExcretedToPastureRangeAndPaddock(AC222,AC202,AC238)</f>
        <v>#N/A</v>
      </c>
      <c r="AD254" s="26" t="e" cm="1">
        <f t="array" aca="1" ref="AD254" ca="1">MMS_PastureBeef_Soil_N2ODirect_Equations.VEERG_4_2_1_3__2_TotalNitrogenExcretedToPastureRangeAndPaddock(AD222,AD202,AD238)</f>
        <v>#N/A</v>
      </c>
      <c r="AE254" s="26" t="e" cm="1">
        <f t="array" aca="1" ref="AE254" ca="1">MMS_PastureBeef_Soil_N2ODirect_Equations.VEERG_4_2_1_3__2_TotalNitrogenExcretedToPastureRangeAndPaddock(AE222,AE202,AE238)</f>
        <v>#N/A</v>
      </c>
      <c r="AF254" s="27" t="str">
        <f t="shared" si="10"/>
        <v>kg N</v>
      </c>
      <c r="AG254" s="27"/>
      <c r="AH254" s="27"/>
    </row>
    <row r="255" spans="21:34" ht="20.100000000000001" customHeight="1" x14ac:dyDescent="0.25">
      <c r="U255" s="26" t="e">
        <f>TEXT(EDATE('Input - Site'!$E$12,7), "mmmm yyyy")</f>
        <v>#VALUE!</v>
      </c>
      <c r="V255" s="26" t="e" cm="1">
        <f t="array" aca="1" ref="V255" ca="1">MMS_PastureBeef_Soil_N2ODirect_Equations.VEERG_4_2_1_3__2_TotalNitrogenExcretedToPastureRangeAndPaddock(V223,V203,V239)</f>
        <v>#N/A</v>
      </c>
      <c r="W255" s="26" t="e" cm="1">
        <f t="array" aca="1" ref="W255" ca="1">MMS_PastureBeef_Soil_N2ODirect_Equations.VEERG_4_2_1_3__2_TotalNitrogenExcretedToPastureRangeAndPaddock(W223,W203,W239)</f>
        <v>#N/A</v>
      </c>
      <c r="X255" s="26" t="e" cm="1">
        <f t="array" aca="1" ref="X255" ca="1">MMS_PastureBeef_Soil_N2ODirect_Equations.VEERG_4_2_1_3__2_TotalNitrogenExcretedToPastureRangeAndPaddock(X223,X203,X239)</f>
        <v>#N/A</v>
      </c>
      <c r="Y255" s="26" t="e" cm="1">
        <f t="array" aca="1" ref="Y255" ca="1">MMS_PastureBeef_Soil_N2ODirect_Equations.VEERG_4_2_1_3__2_TotalNitrogenExcretedToPastureRangeAndPaddock(Y223,Y203,Y239)</f>
        <v>#N/A</v>
      </c>
      <c r="Z255" s="26" t="e" cm="1">
        <f t="array" aca="1" ref="Z255" ca="1">MMS_PastureBeef_Soil_N2ODirect_Equations.VEERG_4_2_1_3__2_TotalNitrogenExcretedToPastureRangeAndPaddock(Z223,Z203,Z239)</f>
        <v>#N/A</v>
      </c>
      <c r="AA255" s="26" t="e" cm="1">
        <f t="array" aca="1" ref="AA255" ca="1">MMS_PastureBeef_Soil_N2ODirect_Equations.VEERG_4_2_1_3__2_TotalNitrogenExcretedToPastureRangeAndPaddock(AA223,AA203,AA239)</f>
        <v>#N/A</v>
      </c>
      <c r="AB255" s="26" t="e" cm="1">
        <f t="array" aca="1" ref="AB255" ca="1">MMS_PastureBeef_Soil_N2ODirect_Equations.VEERG_4_2_1_3__2_TotalNitrogenExcretedToPastureRangeAndPaddock(AB223,AB203,AB239)</f>
        <v>#N/A</v>
      </c>
      <c r="AC255" s="26" t="e" cm="1">
        <f t="array" aca="1" ref="AC255" ca="1">MMS_PastureBeef_Soil_N2ODirect_Equations.VEERG_4_2_1_3__2_TotalNitrogenExcretedToPastureRangeAndPaddock(AC223,AC203,AC239)</f>
        <v>#N/A</v>
      </c>
      <c r="AD255" s="26" t="e" cm="1">
        <f t="array" aca="1" ref="AD255" ca="1">MMS_PastureBeef_Soil_N2ODirect_Equations.VEERG_4_2_1_3__2_TotalNitrogenExcretedToPastureRangeAndPaddock(AD223,AD203,AD239)</f>
        <v>#N/A</v>
      </c>
      <c r="AE255" s="26" t="e" cm="1">
        <f t="array" aca="1" ref="AE255" ca="1">MMS_PastureBeef_Soil_N2ODirect_Equations.VEERG_4_2_1_3__2_TotalNitrogenExcretedToPastureRangeAndPaddock(AE223,AE203,AE239)</f>
        <v>#N/A</v>
      </c>
      <c r="AF255" s="27" t="str">
        <f t="shared" si="10"/>
        <v>kg N</v>
      </c>
      <c r="AG255" s="27"/>
      <c r="AH255" s="27"/>
    </row>
    <row r="256" spans="21:34" ht="20.100000000000001" customHeight="1" x14ac:dyDescent="0.25">
      <c r="U256" s="26" t="e">
        <f>TEXT(EDATE('Input - Site'!$E$12,8), "mmmm yyyy")</f>
        <v>#VALUE!</v>
      </c>
      <c r="V256" s="26" t="e" cm="1">
        <f t="array" aca="1" ref="V256" ca="1">MMS_PastureBeef_Soil_N2ODirect_Equations.VEERG_4_2_1_3__2_TotalNitrogenExcretedToPastureRangeAndPaddock(V224,V204,V240)</f>
        <v>#N/A</v>
      </c>
      <c r="W256" s="26" t="e" cm="1">
        <f t="array" aca="1" ref="W256" ca="1">MMS_PastureBeef_Soil_N2ODirect_Equations.VEERG_4_2_1_3__2_TotalNitrogenExcretedToPastureRangeAndPaddock(W224,W204,W240)</f>
        <v>#N/A</v>
      </c>
      <c r="X256" s="26" t="e" cm="1">
        <f t="array" aca="1" ref="X256" ca="1">MMS_PastureBeef_Soil_N2ODirect_Equations.VEERG_4_2_1_3__2_TotalNitrogenExcretedToPastureRangeAndPaddock(X224,X204,X240)</f>
        <v>#N/A</v>
      </c>
      <c r="Y256" s="26" t="e" cm="1">
        <f t="array" aca="1" ref="Y256" ca="1">MMS_PastureBeef_Soil_N2ODirect_Equations.VEERG_4_2_1_3__2_TotalNitrogenExcretedToPastureRangeAndPaddock(Y224,Y204,Y240)</f>
        <v>#N/A</v>
      </c>
      <c r="Z256" s="26" t="e" cm="1">
        <f t="array" aca="1" ref="Z256" ca="1">MMS_PastureBeef_Soil_N2ODirect_Equations.VEERG_4_2_1_3__2_TotalNitrogenExcretedToPastureRangeAndPaddock(Z224,Z204,Z240)</f>
        <v>#N/A</v>
      </c>
      <c r="AA256" s="26" t="e" cm="1">
        <f t="array" aca="1" ref="AA256" ca="1">MMS_PastureBeef_Soil_N2ODirect_Equations.VEERG_4_2_1_3__2_TotalNitrogenExcretedToPastureRangeAndPaddock(AA224,AA204,AA240)</f>
        <v>#N/A</v>
      </c>
      <c r="AB256" s="26" t="e" cm="1">
        <f t="array" aca="1" ref="AB256" ca="1">MMS_PastureBeef_Soil_N2ODirect_Equations.VEERG_4_2_1_3__2_TotalNitrogenExcretedToPastureRangeAndPaddock(AB224,AB204,AB240)</f>
        <v>#N/A</v>
      </c>
      <c r="AC256" s="26" t="e" cm="1">
        <f t="array" aca="1" ref="AC256" ca="1">MMS_PastureBeef_Soil_N2ODirect_Equations.VEERG_4_2_1_3__2_TotalNitrogenExcretedToPastureRangeAndPaddock(AC224,AC204,AC240)</f>
        <v>#N/A</v>
      </c>
      <c r="AD256" s="26" t="e" cm="1">
        <f t="array" aca="1" ref="AD256" ca="1">MMS_PastureBeef_Soil_N2ODirect_Equations.VEERG_4_2_1_3__2_TotalNitrogenExcretedToPastureRangeAndPaddock(AD224,AD204,AD240)</f>
        <v>#N/A</v>
      </c>
      <c r="AE256" s="26" t="e" cm="1">
        <f t="array" aca="1" ref="AE256" ca="1">MMS_PastureBeef_Soil_N2ODirect_Equations.VEERG_4_2_1_3__2_TotalNitrogenExcretedToPastureRangeAndPaddock(AE224,AE204,AE240)</f>
        <v>#N/A</v>
      </c>
      <c r="AF256" s="27" t="str">
        <f t="shared" si="10"/>
        <v>kg N</v>
      </c>
      <c r="AG256" s="27"/>
      <c r="AH256" s="27"/>
    </row>
    <row r="257" spans="20:35" ht="20.100000000000001" customHeight="1" x14ac:dyDescent="0.25">
      <c r="U257" s="26" t="e">
        <f>TEXT(EDATE('Input - Site'!$E$12,9), "mmmm yyyy")</f>
        <v>#VALUE!</v>
      </c>
      <c r="V257" s="26" t="e" cm="1">
        <f t="array" aca="1" ref="V257" ca="1">MMS_PastureBeef_Soil_N2ODirect_Equations.VEERG_4_2_1_3__2_TotalNitrogenExcretedToPastureRangeAndPaddock(V225,V205,V241)</f>
        <v>#N/A</v>
      </c>
      <c r="W257" s="26" t="e" cm="1">
        <f t="array" aca="1" ref="W257" ca="1">MMS_PastureBeef_Soil_N2ODirect_Equations.VEERG_4_2_1_3__2_TotalNitrogenExcretedToPastureRangeAndPaddock(W225,W205,W241)</f>
        <v>#N/A</v>
      </c>
      <c r="X257" s="26" t="e" cm="1">
        <f t="array" aca="1" ref="X257" ca="1">MMS_PastureBeef_Soil_N2ODirect_Equations.VEERG_4_2_1_3__2_TotalNitrogenExcretedToPastureRangeAndPaddock(X225,X205,X241)</f>
        <v>#N/A</v>
      </c>
      <c r="Y257" s="26" t="e" cm="1">
        <f t="array" aca="1" ref="Y257" ca="1">MMS_PastureBeef_Soil_N2ODirect_Equations.VEERG_4_2_1_3__2_TotalNitrogenExcretedToPastureRangeAndPaddock(Y225,Y205,Y241)</f>
        <v>#N/A</v>
      </c>
      <c r="Z257" s="26" t="e" cm="1">
        <f t="array" aca="1" ref="Z257" ca="1">MMS_PastureBeef_Soil_N2ODirect_Equations.VEERG_4_2_1_3__2_TotalNitrogenExcretedToPastureRangeAndPaddock(Z225,Z205,Z241)</f>
        <v>#N/A</v>
      </c>
      <c r="AA257" s="26" t="e" cm="1">
        <f t="array" aca="1" ref="AA257" ca="1">MMS_PastureBeef_Soil_N2ODirect_Equations.VEERG_4_2_1_3__2_TotalNitrogenExcretedToPastureRangeAndPaddock(AA225,AA205,AA241)</f>
        <v>#N/A</v>
      </c>
      <c r="AB257" s="26" t="e" cm="1">
        <f t="array" aca="1" ref="AB257" ca="1">MMS_PastureBeef_Soil_N2ODirect_Equations.VEERG_4_2_1_3__2_TotalNitrogenExcretedToPastureRangeAndPaddock(AB225,AB205,AB241)</f>
        <v>#N/A</v>
      </c>
      <c r="AC257" s="26" t="e" cm="1">
        <f t="array" aca="1" ref="AC257" ca="1">MMS_PastureBeef_Soil_N2ODirect_Equations.VEERG_4_2_1_3__2_TotalNitrogenExcretedToPastureRangeAndPaddock(AC225,AC205,AC241)</f>
        <v>#N/A</v>
      </c>
      <c r="AD257" s="26" t="e" cm="1">
        <f t="array" aca="1" ref="AD257" ca="1">MMS_PastureBeef_Soil_N2ODirect_Equations.VEERG_4_2_1_3__2_TotalNitrogenExcretedToPastureRangeAndPaddock(AD225,AD205,AD241)</f>
        <v>#N/A</v>
      </c>
      <c r="AE257" s="26" t="e" cm="1">
        <f t="array" aca="1" ref="AE257" ca="1">MMS_PastureBeef_Soil_N2ODirect_Equations.VEERG_4_2_1_3__2_TotalNitrogenExcretedToPastureRangeAndPaddock(AE225,AE205,AE241)</f>
        <v>#N/A</v>
      </c>
      <c r="AF257" s="27" t="str">
        <f t="shared" si="10"/>
        <v>kg N</v>
      </c>
      <c r="AG257" s="27"/>
      <c r="AH257" s="27"/>
    </row>
    <row r="258" spans="20:35" ht="20.100000000000001" customHeight="1" x14ac:dyDescent="0.25">
      <c r="U258" s="26" t="e">
        <f>TEXT(EDATE('Input - Site'!$E$12,10), "mmmm yyyy")</f>
        <v>#VALUE!</v>
      </c>
      <c r="V258" s="26" t="e" cm="1">
        <f t="array" aca="1" ref="V258" ca="1">MMS_PastureBeef_Soil_N2ODirect_Equations.VEERG_4_2_1_3__2_TotalNitrogenExcretedToPastureRangeAndPaddock(V226,V206,V242)</f>
        <v>#N/A</v>
      </c>
      <c r="W258" s="26" t="e" cm="1">
        <f t="array" aca="1" ref="W258" ca="1">MMS_PastureBeef_Soil_N2ODirect_Equations.VEERG_4_2_1_3__2_TotalNitrogenExcretedToPastureRangeAndPaddock(W226,W206,W242)</f>
        <v>#N/A</v>
      </c>
      <c r="X258" s="26" t="e" cm="1">
        <f t="array" aca="1" ref="X258" ca="1">MMS_PastureBeef_Soil_N2ODirect_Equations.VEERG_4_2_1_3__2_TotalNitrogenExcretedToPastureRangeAndPaddock(X226,X206,X242)</f>
        <v>#N/A</v>
      </c>
      <c r="Y258" s="26" t="e" cm="1">
        <f t="array" aca="1" ref="Y258" ca="1">MMS_PastureBeef_Soil_N2ODirect_Equations.VEERG_4_2_1_3__2_TotalNitrogenExcretedToPastureRangeAndPaddock(Y226,Y206,Y242)</f>
        <v>#N/A</v>
      </c>
      <c r="Z258" s="26" t="e" cm="1">
        <f t="array" aca="1" ref="Z258" ca="1">MMS_PastureBeef_Soil_N2ODirect_Equations.VEERG_4_2_1_3__2_TotalNitrogenExcretedToPastureRangeAndPaddock(Z226,Z206,Z242)</f>
        <v>#N/A</v>
      </c>
      <c r="AA258" s="26" t="e" cm="1">
        <f t="array" aca="1" ref="AA258" ca="1">MMS_PastureBeef_Soil_N2ODirect_Equations.VEERG_4_2_1_3__2_TotalNitrogenExcretedToPastureRangeAndPaddock(AA226,AA206,AA242)</f>
        <v>#N/A</v>
      </c>
      <c r="AB258" s="26" t="e" cm="1">
        <f t="array" aca="1" ref="AB258" ca="1">MMS_PastureBeef_Soil_N2ODirect_Equations.VEERG_4_2_1_3__2_TotalNitrogenExcretedToPastureRangeAndPaddock(AB226,AB206,AB242)</f>
        <v>#N/A</v>
      </c>
      <c r="AC258" s="26" t="e" cm="1">
        <f t="array" aca="1" ref="AC258" ca="1">MMS_PastureBeef_Soil_N2ODirect_Equations.VEERG_4_2_1_3__2_TotalNitrogenExcretedToPastureRangeAndPaddock(AC226,AC206,AC242)</f>
        <v>#N/A</v>
      </c>
      <c r="AD258" s="26" t="e" cm="1">
        <f t="array" aca="1" ref="AD258" ca="1">MMS_PastureBeef_Soil_N2ODirect_Equations.VEERG_4_2_1_3__2_TotalNitrogenExcretedToPastureRangeAndPaddock(AD226,AD206,AD242)</f>
        <v>#N/A</v>
      </c>
      <c r="AE258" s="26" t="e" cm="1">
        <f t="array" aca="1" ref="AE258" ca="1">MMS_PastureBeef_Soil_N2ODirect_Equations.VEERG_4_2_1_3__2_TotalNitrogenExcretedToPastureRangeAndPaddock(AE226,AE206,AE242)</f>
        <v>#N/A</v>
      </c>
      <c r="AF258" s="27" t="str">
        <f t="shared" si="10"/>
        <v>kg N</v>
      </c>
      <c r="AG258" s="27"/>
      <c r="AH258" s="27"/>
    </row>
    <row r="259" spans="20:35" ht="20.100000000000001" customHeight="1" x14ac:dyDescent="0.25">
      <c r="U259" s="26" t="e">
        <f>TEXT(EDATE('Input - Site'!$E$12,11), "mmmm yyyy")</f>
        <v>#VALUE!</v>
      </c>
      <c r="V259" s="26" t="e" cm="1">
        <f t="array" aca="1" ref="V259" ca="1">MMS_PastureBeef_Soil_N2ODirect_Equations.VEERG_4_2_1_3__2_TotalNitrogenExcretedToPastureRangeAndPaddock(V227,V207,V243)</f>
        <v>#N/A</v>
      </c>
      <c r="W259" s="26" t="e" cm="1">
        <f t="array" aca="1" ref="W259" ca="1">MMS_PastureBeef_Soil_N2ODirect_Equations.VEERG_4_2_1_3__2_TotalNitrogenExcretedToPastureRangeAndPaddock(W227,W207,W243)</f>
        <v>#N/A</v>
      </c>
      <c r="X259" s="26" t="e" cm="1">
        <f t="array" aca="1" ref="X259" ca="1">MMS_PastureBeef_Soil_N2ODirect_Equations.VEERG_4_2_1_3__2_TotalNitrogenExcretedToPastureRangeAndPaddock(X227,X207,X243)</f>
        <v>#N/A</v>
      </c>
      <c r="Y259" s="26" t="e" cm="1">
        <f t="array" aca="1" ref="Y259" ca="1">MMS_PastureBeef_Soil_N2ODirect_Equations.VEERG_4_2_1_3__2_TotalNitrogenExcretedToPastureRangeAndPaddock(Y227,Y207,Y243)</f>
        <v>#N/A</v>
      </c>
      <c r="Z259" s="26" t="e" cm="1">
        <f t="array" aca="1" ref="Z259" ca="1">MMS_PastureBeef_Soil_N2ODirect_Equations.VEERG_4_2_1_3__2_TotalNitrogenExcretedToPastureRangeAndPaddock(Z227,Z207,Z243)</f>
        <v>#N/A</v>
      </c>
      <c r="AA259" s="26" t="e" cm="1">
        <f t="array" aca="1" ref="AA259" ca="1">MMS_PastureBeef_Soil_N2ODirect_Equations.VEERG_4_2_1_3__2_TotalNitrogenExcretedToPastureRangeAndPaddock(AA227,AA207,AA243)</f>
        <v>#N/A</v>
      </c>
      <c r="AB259" s="26" t="e" cm="1">
        <f t="array" aca="1" ref="AB259" ca="1">MMS_PastureBeef_Soil_N2ODirect_Equations.VEERG_4_2_1_3__2_TotalNitrogenExcretedToPastureRangeAndPaddock(AB227,AB207,AB243)</f>
        <v>#N/A</v>
      </c>
      <c r="AC259" s="26" t="e" cm="1">
        <f t="array" aca="1" ref="AC259" ca="1">MMS_PastureBeef_Soil_N2ODirect_Equations.VEERG_4_2_1_3__2_TotalNitrogenExcretedToPastureRangeAndPaddock(AC227,AC207,AC243)</f>
        <v>#N/A</v>
      </c>
      <c r="AD259" s="26" t="e" cm="1">
        <f t="array" aca="1" ref="AD259" ca="1">MMS_PastureBeef_Soil_N2ODirect_Equations.VEERG_4_2_1_3__2_TotalNitrogenExcretedToPastureRangeAndPaddock(AD227,AD207,AD243)</f>
        <v>#N/A</v>
      </c>
      <c r="AE259" s="26" t="e" cm="1">
        <f t="array" aca="1" ref="AE259" ca="1">MMS_PastureBeef_Soil_N2ODirect_Equations.VEERG_4_2_1_3__2_TotalNitrogenExcretedToPastureRangeAndPaddock(AE227,AE207,AE243)</f>
        <v>#N/A</v>
      </c>
      <c r="AF259" s="27" t="str">
        <f t="shared" si="10"/>
        <v>kg N</v>
      </c>
      <c r="AG259" s="27"/>
      <c r="AH259" s="27"/>
    </row>
    <row r="260" spans="20:35" ht="20.100000000000001" customHeight="1" x14ac:dyDescent="0.25"/>
    <row r="261" spans="20:35" ht="20.100000000000001" customHeight="1" x14ac:dyDescent="0.25">
      <c r="U261" s="129" t="s">
        <v>454</v>
      </c>
      <c r="V261" s="117"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7"/>
      <c r="U264" s="117"/>
      <c r="V264" s="117"/>
      <c r="W264" s="117"/>
      <c r="X264" s="117"/>
      <c r="Y264" s="117"/>
      <c r="Z264" s="117"/>
      <c r="AA264" s="117"/>
      <c r="AB264" s="117"/>
      <c r="AC264" s="117"/>
      <c r="AD264" s="117"/>
      <c r="AE264" s="117"/>
      <c r="AF264" s="117"/>
      <c r="AG264" s="117"/>
      <c r="AH264" s="117"/>
      <c r="AI264" s="117"/>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8" t="s">
        <v>455</v>
      </c>
      <c r="V267" s="119" t="e" cm="1">
        <f t="array" aca="1" ref="V267" ca="1">MMS_PastureBeef_Soil_N2ODirect_Equations.VEERG_4_2_1_3__1_DirectNitrousOxideEmissionsOnPasture($V$261,$H$225,$H$226)</f>
        <v>#N/A</v>
      </c>
      <c r="W267" s="120" t="str">
        <f>$E$222</f>
        <v>t N2O</v>
      </c>
    </row>
    <row r="268" spans="20:35" ht="20.100000000000001" customHeight="1" x14ac:dyDescent="0.25"/>
    <row r="269" spans="20:35" ht="20.100000000000001" customHeight="1" x14ac:dyDescent="0.25">
      <c r="U269" s="121" t="str" cm="1">
        <f t="array" ref="U269:V270">Common_Equations.Common_ConvertN2OToCO2e_Arguments()</f>
        <v>EN2O</v>
      </c>
      <c r="V269" s="122" t="str">
        <v>Nitrous oxide emissions (t N2O)</v>
      </c>
      <c r="W269" s="123"/>
      <c r="X269" s="26" t="e">
        <f ca="1">V267</f>
        <v>#N/A</v>
      </c>
    </row>
    <row r="270" spans="20:35" ht="20.100000000000001" customHeight="1" x14ac:dyDescent="0.25">
      <c r="U270" s="121" t="str">
        <v>GWPN2O</v>
      </c>
      <c r="V270" s="122" t="str">
        <v>Global warming potential for nitrous oxide (t CO2-e / t N2O)</v>
      </c>
      <c r="W270" s="123"/>
      <c r="X270" s="26">
        <f>Common_InputFunctions.Utility_LookupValueInTableNumber("N2O",Table_GWPData[Gas],Table_GWPData[CO2-e factor])</f>
        <v>265</v>
      </c>
    </row>
    <row r="271" spans="20:35" ht="20.100000000000001" customHeight="1" x14ac:dyDescent="0.25"/>
    <row r="272" spans="20:35" ht="20.100000000000001" customHeight="1" x14ac:dyDescent="0.25">
      <c r="U272" s="117" t="s">
        <v>297</v>
      </c>
      <c r="V272" s="117" t="e" cm="1">
        <f t="array" aca="1" ref="V272" ca="1">Common_Equations.Common_ConvertN2OToCO2e(X269,X270)</f>
        <v>#N/A</v>
      </c>
      <c r="W272" s="124"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928FAAB-6717-4719-B59D-13081E297C60}"/>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BE81F-7078-4743-B6F2-A720FC4C519D}">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2" customFormat="1" ht="30" customHeight="1" x14ac:dyDescent="0.35">
      <c r="A1" s="16" t="e" vm="1">
        <v>#VALUE!</v>
      </c>
      <c r="C1" s="32" t="s">
        <v>458</v>
      </c>
    </row>
    <row r="2" spans="1:22" s="3" customFormat="1" ht="20.100000000000001" customHeight="1" x14ac:dyDescent="0.25">
      <c r="A2"/>
    </row>
    <row r="3" spans="1:22" ht="20.100000000000001" customHeight="1" x14ac:dyDescent="0.25">
      <c r="A3" s="5" t="str">
        <f>HYPERLINK("#'Home'!A1", "Home")</f>
        <v>Home</v>
      </c>
      <c r="C3" s="34"/>
      <c r="D3" s="34" t="s">
        <v>152</v>
      </c>
      <c r="E3" s="34"/>
      <c r="F3" s="34"/>
      <c r="G3" s="34"/>
      <c r="H3" s="34"/>
      <c r="I3" s="34"/>
      <c r="J3" s="34"/>
      <c r="K3" s="34"/>
      <c r="M3" s="34"/>
      <c r="N3" s="34" t="s">
        <v>153</v>
      </c>
      <c r="O3" s="34"/>
      <c r="P3" s="34"/>
      <c r="Q3" s="34"/>
      <c r="R3" s="34"/>
      <c r="S3" s="34"/>
      <c r="T3" s="34"/>
      <c r="U3" s="34"/>
      <c r="V3" s="34"/>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8" t="str" cm="1">
        <f t="array" ref="D6">MMS_PastureBeef_Soil_AtmosphericDeposition_Equations.VEERG_4_2_1_5__2_MassOfNitrogenVolatilisedOnPasture_Source()</f>
        <v>VEERG 2026: 4.2.1.5, Equation (2)</v>
      </c>
    </row>
    <row r="7" spans="1:22" ht="20.100000000000001" customHeight="1" x14ac:dyDescent="0.25">
      <c r="A7" s="7" t="s">
        <v>0</v>
      </c>
      <c r="D7" s="104" t="s">
        <v>257</v>
      </c>
      <c r="E7" s="104"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9" t="s">
        <v>259</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9" t="s">
        <v>133</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6" t="str" cm="1">
        <f t="array" ref="D13:E14">_xlfn.CHOOSECOLS(MMS_PastureBeef_Soil_AtmosphericDeposition_Equations.VEERG_4_2_1_5__2_MassOfNitrogenVolatilisedOnPasture_Arguments(),1,2)</f>
        <v>AE</v>
      </c>
      <c r="E13" s="107" t="str">
        <v>total mass of nitrogen excreted on PRP for beef cattle</v>
      </c>
      <c r="F13" s="108"/>
      <c r="G13" s="109"/>
      <c r="H13" s="106" t="str" cm="1">
        <f t="array" ref="H13:I14">_xlfn.CHOOSECOLS(MMS_PastureBeef_Soil_AtmosphericDeposition_Equations.VEERG_4_2_1_5__2_MassOfNitrogenVolatilisedOnPasture_Arguments(),3,4)</f>
        <v>kg N</v>
      </c>
      <c r="I13" s="111" t="str">
        <v>Calculated from 4.2.1.3 (2)</v>
      </c>
      <c r="J13" s="106" t="e">
        <f ca="1">'4.2.1.3-4 Soil direct N20'!$E$212</f>
        <v>#N/A</v>
      </c>
      <c r="N13" s="106" t="str" cm="1">
        <f t="array" ref="N13:O14">_xlfn.CHOOSECOLS(MMS_PastureBeef_Soil_AtmosphericDeposition_Equations.VEERG_4_2_1_5__2_MassOfNitrogenVolatilisedOnPasture_Arguments(),1,2)</f>
        <v>AE</v>
      </c>
      <c r="O13" s="107" t="str">
        <v>total mass of nitrogen excreted on PRP for beef cattle</v>
      </c>
      <c r="P13" s="108"/>
      <c r="Q13" s="109"/>
      <c r="R13" s="106" t="str" cm="1">
        <f t="array" ref="R13:S14">_xlfn.CHOOSECOLS(MMS_PastureBeef_Soil_AtmosphericDeposition_Equations.VEERG_4_2_1_5__2_MassOfNitrogenVolatilisedOnPasture_Arguments(),3,4)</f>
        <v>kg N</v>
      </c>
      <c r="S13" s="111" t="str">
        <v>Calculated from 4.2.1.3 (2)</v>
      </c>
      <c r="T13" s="121" t="e">
        <f ca="1">'4.2.1.3-4 Soil direct N20'!$V$261</f>
        <v>#N/A</v>
      </c>
    </row>
    <row r="14" spans="1:22" ht="20.100000000000001" customHeight="1" x14ac:dyDescent="0.25">
      <c r="A14" s="5" t="str">
        <f>HYPERLINK("#'Input - Fuel'!A1", "Fuel")</f>
        <v>Fuel</v>
      </c>
      <c r="D14" s="106" t="str">
        <v>FracGASMsoil</v>
      </c>
      <c r="E14" s="107" t="str">
        <v>fraction of nitrogen volatilised from urine and faeces deposited on pasture ((kg NH3-N + NOx-N)/kg N)</v>
      </c>
      <c r="F14" s="108"/>
      <c r="G14" s="109"/>
      <c r="H14" s="106" t="str">
        <v>fraction</v>
      </c>
      <c r="I14" s="111" t="str">
        <v>Constant</v>
      </c>
      <c r="J14" s="106">
        <f>'Constants - Pasture Beef'!$D$434</f>
        <v>0.21</v>
      </c>
      <c r="N14" s="106" t="str">
        <v>FracGASMsoil</v>
      </c>
      <c r="O14" s="107" t="str">
        <v>fraction of nitrogen volatilised from urine and faeces deposited on pasture ((kg NH3-N + NOx-N)/kg N)</v>
      </c>
      <c r="P14" s="108"/>
      <c r="Q14" s="109"/>
      <c r="R14" s="106" t="str">
        <v>fraction</v>
      </c>
      <c r="S14" s="111" t="str">
        <v>Constant</v>
      </c>
      <c r="T14" s="121"/>
    </row>
    <row r="15" spans="1:22" ht="20.100000000000001" customHeight="1" x14ac:dyDescent="0.25">
      <c r="A15" s="5" t="str">
        <f>HYPERLINK("#'Input - Electricity'!A1", "Electricity")</f>
        <v>Electricity</v>
      </c>
    </row>
    <row r="16" spans="1:22" ht="20.100000000000001" customHeight="1" x14ac:dyDescent="0.25">
      <c r="D16" s="129" t="s">
        <v>459</v>
      </c>
      <c r="E16" s="117" t="e" cm="1">
        <f t="array" aca="1" ref="E16" ca="1">MMS_PastureBeef_Soil_AtmosphericDeposition_Equations.VEERG_4_2_1_5__2_MassOfNitrogenVolatilisedOnPasture(J13,J14)</f>
        <v>#N/A</v>
      </c>
      <c r="F16" s="124" t="str">
        <f>E11</f>
        <v>kg N</v>
      </c>
      <c r="L16" s="91"/>
      <c r="N16" s="129" t="s">
        <v>459</v>
      </c>
      <c r="O16" s="117" t="e" cm="1">
        <f t="array" aca="1" ref="O16" ca="1">MMS_PastureBeef_Soil_AtmosphericDeposition_Equations.VEERG_4_2_1_5__2_MassOfNitrogenVolatilisedOnPasture(T13,$J$14)</f>
        <v>#N/A</v>
      </c>
      <c r="P16" s="124">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7"/>
      <c r="D19" s="117"/>
      <c r="E19" s="117"/>
      <c r="F19" s="117"/>
      <c r="G19" s="117"/>
      <c r="H19" s="117"/>
      <c r="I19" s="117"/>
      <c r="J19" s="117"/>
      <c r="K19" s="117"/>
      <c r="L19" s="91"/>
      <c r="M19" s="117"/>
      <c r="N19" s="117"/>
      <c r="O19" s="117"/>
      <c r="P19" s="117"/>
      <c r="Q19" s="117"/>
      <c r="R19" s="117"/>
      <c r="S19" s="117"/>
      <c r="T19" s="117"/>
      <c r="U19" s="117"/>
      <c r="V19" s="117"/>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8" t="str" cm="1">
        <f t="array" ref="D21">MMS_PastureBeef_Soil_AtmosphericDeposition_Equations.VEERG_4_2_1_5__1_AtmosphericDepositionEmissionsFromUrineAndDungOnPasture_Source()</f>
        <v>VEERG 2026: 4.2.1.5, Equation (1)</v>
      </c>
    </row>
    <row r="22" spans="1:22" ht="20.100000000000001" customHeight="1" x14ac:dyDescent="0.25">
      <c r="A22" s="105" t="str">
        <f>HYPERLINK("#'4.2.1.5-6 Soil Atmos Dep'!A1", "4.2.1.5-6 Soil atm. deposition")</f>
        <v>4.2.1.5-6 Soil atm. deposition</v>
      </c>
      <c r="D22" s="104" t="s">
        <v>257</v>
      </c>
      <c r="E22" s="104"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9" t="s">
        <v>259</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9" t="s">
        <v>133</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6" t="str" cm="1">
        <f t="array" ref="D28:E33">_xlfn.CHOOSECOLS(MMS_PastureBeef_Soil_AtmosphericDeposition_Equations.VEERG_4_2_1_5__1_AtmosphericDepositionEmissionsFromUrineAndDungOnPasture_Arguments(),1,2)</f>
        <v>M_vol</v>
      </c>
      <c r="E28" s="107" t="str">
        <v>mass of nitrogen volatilised from urine and faeces deposited on pasture</v>
      </c>
      <c r="F28" s="109"/>
      <c r="G28" s="106" t="str" cm="1">
        <f t="array" ref="G28:H33">_xlfn.CHOOSECOLS(MMS_PastureBeef_Soil_AtmosphericDeposition_Equations.VEERG_4_2_1_5__1_AtmosphericDepositionEmissionsFromUrineAndDungOnPasture_Arguments(),3,4)</f>
        <v>kg N</v>
      </c>
      <c r="H28" s="111" t="str">
        <v>Calculated from 4.2.1.5 (2)</v>
      </c>
      <c r="I28" s="106" t="e">
        <f ca="1">E16</f>
        <v>#N/A</v>
      </c>
      <c r="N28" s="106" t="str" cm="1">
        <f t="array" ref="N28:O33">_xlfn.CHOOSECOLS(MMS_PastureBeef_Soil_AtmosphericDeposition_Equations.VEERG_4_2_1_5__1_AtmosphericDepositionEmissionsFromUrineAndDungOnPasture_Arguments(),1,2)</f>
        <v>M_vol</v>
      </c>
      <c r="O28" s="107" t="str">
        <v>mass of nitrogen volatilised from urine and faeces deposited on pasture</v>
      </c>
      <c r="P28" s="109"/>
      <c r="Q28" s="106" t="str" cm="1">
        <f t="array" ref="Q28:R33">_xlfn.CHOOSECOLS(MMS_PastureBeef_Soil_AtmosphericDeposition_Equations.VEERG_4_2_1_5__1_AtmosphericDepositionEmissionsFromUrineAndDungOnPasture_Arguments(),3,4)</f>
        <v>kg N</v>
      </c>
      <c r="R28" s="111" t="str">
        <v>Calculated from 4.2.1.5 (2)</v>
      </c>
      <c r="S28" s="121" t="e">
        <f ca="1">O16</f>
        <v>#N/A</v>
      </c>
    </row>
    <row r="29" spans="1:22" ht="20.100000000000001" customHeight="1" x14ac:dyDescent="0.25">
      <c r="A29" s="5" t="str">
        <f>HYPERLINK("#'5.5.1.1-2 Leaching and runoff'!A1", "5.5.1.1-2 Leaching &amp; runoff")</f>
        <v>5.5.1.1-2 Leaching &amp; runoff</v>
      </c>
      <c r="D29" s="106" t="str">
        <v>EF_N2O</v>
      </c>
      <c r="E29" s="107" t="str">
        <v>nitrous oxide emission factor for atmospheric deposition</v>
      </c>
      <c r="F29" s="109"/>
      <c r="G29" s="106" t="str">
        <v>kg N2O-N/kg N</v>
      </c>
      <c r="H29" s="111" t="str">
        <v>Constant</v>
      </c>
      <c r="I29" s="106">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6" t="str">
        <v>EF_N2O</v>
      </c>
      <c r="O29" s="107" t="str">
        <v>nitrous oxide emission factor for atmospheric deposition</v>
      </c>
      <c r="P29" s="109"/>
      <c r="Q29" s="106" t="str">
        <v>kg N2O-N/kg N</v>
      </c>
      <c r="R29" s="111" t="str">
        <v>Constant</v>
      </c>
      <c r="S29" s="121"/>
    </row>
    <row r="30" spans="1:22" ht="20.100000000000001" customHeight="1" x14ac:dyDescent="0.25">
      <c r="A30" s="5" t="str">
        <f>HYPERLINK("#'6.2.1.1-2 Pasture residue N2O'!A1", "6.2.1.1-2 Pasture residue N2O")</f>
        <v>6.2.1.1-2 Pasture residue N2O</v>
      </c>
      <c r="D30" s="106" t="str">
        <v>C_N2O</v>
      </c>
      <c r="E30" s="107" t="str">
        <v>factor to convert elemental mass of N2O to molecular mass</v>
      </c>
      <c r="F30" s="109"/>
      <c r="G30" s="106" t="str">
        <v/>
      </c>
      <c r="H30" s="111" t="str">
        <v>Constant</v>
      </c>
      <c r="I30" s="106">
        <f>Common_InputFunctions.Utility_LookupValueInTableNumber("N2O",Table_GasToMolecularConversionFactor[Gas],Table_GasToMolecularConversionFactor[Conversion factor combined])</f>
        <v>1.5714285714285714</v>
      </c>
      <c r="N30" s="106" t="str">
        <v>C_N2O</v>
      </c>
      <c r="O30" s="107" t="str">
        <v>factor to convert elemental mass of N2O to molecular mass</v>
      </c>
      <c r="P30" s="109"/>
      <c r="Q30" s="106" t="str">
        <v/>
      </c>
      <c r="R30" s="111" t="str">
        <v>Constant</v>
      </c>
      <c r="S30" s="121"/>
    </row>
    <row r="31" spans="1:22" ht="20.100000000000001" customHeight="1" x14ac:dyDescent="0.25">
      <c r="A31" s="5" t="str">
        <f>HYPERLINK("#'6.3.1.1-2 Leach runoff pasture'!A1", "6.3.1.1-2 Leach &amp; runoff (pasture)")</f>
        <v>6.3.1.1-2 Leach &amp; runoff (pasture)</v>
      </c>
      <c r="D31" s="106" t="str">
        <v>j</v>
      </c>
      <c r="E31" s="107" t="str">
        <v>production system</v>
      </c>
      <c r="F31" s="109"/>
      <c r="G31" s="106" t="str">
        <v/>
      </c>
      <c r="H31" s="110" t="str">
        <v>Input</v>
      </c>
      <c r="I31" s="106" t="str">
        <f>X_Cell_PastureBeef_GrazingProductionSystem</f>
        <v>Pasture</v>
      </c>
      <c r="N31" s="106" t="str">
        <v>j</v>
      </c>
      <c r="O31" s="107" t="str">
        <v>production system</v>
      </c>
      <c r="P31" s="109"/>
      <c r="Q31" s="106" t="str">
        <v/>
      </c>
      <c r="R31" s="110" t="str">
        <v>Input</v>
      </c>
      <c r="S31" s="121"/>
    </row>
    <row r="32" spans="1:22" ht="20.100000000000001" customHeight="1" x14ac:dyDescent="0.25">
      <c r="A32" s="5" t="str">
        <f>HYPERLINK("#'8.1.1.1-2 Transport fuel'!A1", "8.1.1.1-2 Transport fuel")</f>
        <v>8.1.1.1-2 Transport fuel</v>
      </c>
      <c r="D32" s="106" t="str">
        <v>i</v>
      </c>
      <c r="E32" s="107" t="str">
        <v>irrigation method</v>
      </c>
      <c r="F32" s="109"/>
      <c r="G32" s="106" t="str">
        <v/>
      </c>
      <c r="H32" s="110" t="str">
        <v>Input</v>
      </c>
      <c r="I32" s="106" t="str">
        <f>X_Cell_PastureBeef_GrazingIrrigationMethod</f>
        <v>Sprinkler irrigation</v>
      </c>
      <c r="N32" s="106" t="str">
        <v>i</v>
      </c>
      <c r="O32" s="107" t="str">
        <v>irrigation method</v>
      </c>
      <c r="P32" s="109"/>
      <c r="Q32" s="106" t="str">
        <v/>
      </c>
      <c r="R32" s="110" t="str">
        <v>Input</v>
      </c>
      <c r="S32" s="121"/>
    </row>
    <row r="33" spans="1:19" ht="20.100000000000001" customHeight="1" x14ac:dyDescent="0.25">
      <c r="A33" s="5" t="str">
        <f>HYPERLINK("#'8.2.1.1-2 Stationary fuel'!A1", "8.2.1.1-2 Stationary fuel")</f>
        <v>8.2.1.1-2 Stationary fuel</v>
      </c>
      <c r="D33" s="106" t="str">
        <v>r</v>
      </c>
      <c r="E33" s="107" t="str">
        <v>rainfall zone</v>
      </c>
      <c r="F33" s="109"/>
      <c r="G33" s="106" t="str">
        <v/>
      </c>
      <c r="H33" s="110" t="str">
        <v>Input</v>
      </c>
      <c r="I33" s="106">
        <f>X_Cell_Site_RainfallZone</f>
        <v>0</v>
      </c>
      <c r="N33" s="106" t="str">
        <v>r</v>
      </c>
      <c r="O33" s="107" t="str">
        <v>rainfall zone</v>
      </c>
      <c r="P33" s="109"/>
      <c r="Q33" s="106" t="str">
        <v/>
      </c>
      <c r="R33" s="110" t="str">
        <v>Input</v>
      </c>
      <c r="S33" s="121"/>
    </row>
    <row r="34" spans="1:19" ht="20.100000000000001" customHeight="1" x14ac:dyDescent="0.25">
      <c r="A34" s="5" t="str">
        <f>HYPERLINK("#'14.1.1-2 Purchased electricity'!A1", "14.1.1-2 Purchased electricity")</f>
        <v>14.1.1-2 Purchased electricity</v>
      </c>
    </row>
    <row r="35" spans="1:19" ht="20.100000000000001" customHeight="1" x14ac:dyDescent="0.25">
      <c r="D35" s="129" t="s">
        <v>460</v>
      </c>
      <c r="E35" s="117" t="e" cm="1">
        <f t="array" aca="1" ref="E35" ca="1">MMS_PastureBeef_Soil_AtmosphericDeposition_Equations.VEERG_4_2_1_5__1_AtmosphericDepositionEmissionsFromUrineAndDungOnPasture(I28,I29,I30)</f>
        <v>#N/A</v>
      </c>
      <c r="F35" s="124" t="str">
        <f>$E$26</f>
        <v>t N2O</v>
      </c>
      <c r="N35" s="129" t="s">
        <v>460</v>
      </c>
      <c r="O35" s="117" t="e" cm="1">
        <f t="array" aca="1" ref="O35" ca="1">MMS_PastureBeef_Soil_AtmosphericDeposition_Equations.VEERG_4_2_1_5__1_AtmosphericDepositionEmissionsFromUrineAndDungOnPasture(S28,I29,I30)</f>
        <v>#N/A</v>
      </c>
      <c r="P35" s="124" t="str">
        <f>$E$26</f>
        <v>t N2O</v>
      </c>
    </row>
    <row r="36" spans="1:19" ht="20.100000000000001" customHeight="1" x14ac:dyDescent="0.25"/>
    <row r="37" spans="1:19" ht="20.100000000000001" customHeight="1" x14ac:dyDescent="0.25">
      <c r="A37" s="250" t="s">
        <v>1</v>
      </c>
      <c r="D37" s="121" t="str" cm="1">
        <f t="array" ref="D37:E38">Common_Equations.Common_ConvertN2OToCO2e_Arguments()</f>
        <v>EN2O</v>
      </c>
      <c r="E37" s="122" t="str">
        <v>Nitrous oxide emissions (t N2O)</v>
      </c>
      <c r="F37" s="123"/>
      <c r="G37" s="26" t="e">
        <f ca="1">E35</f>
        <v>#N/A</v>
      </c>
      <c r="N37" s="121" t="str" cm="1">
        <f t="array" ref="N37:O38">Common_Equations.Common_ConvertN2OToCO2e_Arguments()</f>
        <v>EN2O</v>
      </c>
      <c r="O37" s="122" t="str">
        <v>Nitrous oxide emissions (t N2O)</v>
      </c>
      <c r="P37" s="123"/>
      <c r="Q37" s="26" t="e">
        <f ca="1">O35</f>
        <v>#N/A</v>
      </c>
    </row>
    <row r="38" spans="1:19" ht="20.100000000000001" customHeight="1" x14ac:dyDescent="0.25">
      <c r="A38" s="5" t="str">
        <f>HYPERLINK("#'Constants - Pasture Beef'!A1", "Constants - Pasture Beef")</f>
        <v>Constants - Pasture Beef</v>
      </c>
      <c r="D38" s="121" t="str">
        <v>GWPN2O</v>
      </c>
      <c r="E38" s="122" t="str">
        <v>Global warming potential for nitrous oxide (t CO2-e / t N2O)</v>
      </c>
      <c r="F38" s="123"/>
      <c r="G38" s="26">
        <f>Common_InputFunctions.Utility_LookupValueInTableNumber("N2O",Table_GWPData[Gas],Table_GWPData[CO2-e factor])</f>
        <v>265</v>
      </c>
      <c r="N38" s="121" t="str">
        <v>GWPN2O</v>
      </c>
      <c r="O38" s="122" t="str">
        <v>Global warming potential for nitrous oxide (t CO2-e / t N2O)</v>
      </c>
      <c r="P38" s="123"/>
      <c r="Q38" s="26">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7" t="s">
        <v>297</v>
      </c>
      <c r="E40" s="117" t="e" cm="1">
        <f t="array" aca="1" ref="E40" ca="1">Common_Equations.Common_ConvertN2OToCO2e(G37,G38)</f>
        <v>#N/A</v>
      </c>
      <c r="F40" s="124" t="str" cm="1">
        <f t="array" ref="F40">Common_Equations.Common_ConvertN2OToCO2e_Unit()</f>
        <v>t CO2e</v>
      </c>
      <c r="N40" s="117" t="s">
        <v>297</v>
      </c>
      <c r="O40" s="117" t="e" cm="1">
        <f t="array" aca="1" ref="O40" ca="1">Common_Equations.Common_ConvertN2OToCO2e(Q37,Q38)</f>
        <v>#N/A</v>
      </c>
      <c r="P40" s="124"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BF94C13-1318-4845-A802-58BA2DE6B6BE}"/>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4243-7C78-41F7-972B-8F06B11F1066}">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2" customFormat="1" ht="30" customHeight="1" x14ac:dyDescent="0.35">
      <c r="A1" s="16" t="e" vm="1">
        <v>#VALUE!</v>
      </c>
      <c r="C1" s="32" t="s">
        <v>461</v>
      </c>
    </row>
    <row r="2" spans="1:19" s="3" customFormat="1" ht="20.100000000000001" customHeight="1" x14ac:dyDescent="0.25">
      <c r="A2"/>
    </row>
    <row r="3" spans="1:19" ht="20.100000000000001" customHeight="1" x14ac:dyDescent="0.25">
      <c r="A3" s="5" t="str">
        <f>HYPERLINK("#'Home'!A1", "Home")</f>
        <v>Home</v>
      </c>
      <c r="C3" s="34"/>
      <c r="D3" s="34" t="s">
        <v>152</v>
      </c>
      <c r="E3" s="34"/>
      <c r="F3" s="34"/>
      <c r="G3" s="34"/>
      <c r="H3" s="34"/>
      <c r="I3" s="34"/>
      <c r="J3" s="34"/>
      <c r="L3" s="34"/>
      <c r="M3" s="34" t="s">
        <v>153</v>
      </c>
      <c r="N3" s="34"/>
      <c r="O3" s="34"/>
      <c r="P3" s="34"/>
      <c r="Q3" s="34"/>
      <c r="R3" s="34"/>
      <c r="S3" s="34"/>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8" t="str" cm="1">
        <f t="array" ref="D6">MMS_PastureBeef_Soil_LeachingAndRunoff.VEERG_4_2_1_7__2_MassOfNitrogenLostToLeachingAndRunoffOnPasture_Source()</f>
        <v>VEERG 2026: 4.2.1.7, Equation (2)</v>
      </c>
    </row>
    <row r="7" spans="1:19" ht="20.100000000000001" customHeight="1" x14ac:dyDescent="0.25">
      <c r="A7" s="7" t="s">
        <v>0</v>
      </c>
      <c r="D7" s="104" t="s">
        <v>257</v>
      </c>
      <c r="E7" s="104"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9" t="s">
        <v>259</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9" t="s">
        <v>133</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6" t="str" cm="1">
        <f t="array" ref="D13:E18">_xlfn.CHOOSECOLS(MMS_PastureBeef_Soil_LeachingAndRunoff.VEERG_4_2_1_7__2_MassOfNitrogenLostToLeachingAndRunoffOnPasture_Arguments(),1,2)</f>
        <v>AE</v>
      </c>
      <c r="E13" s="107" t="str">
        <v>total mass of nitrogen excreted on PRP for beef cattle</v>
      </c>
      <c r="F13" s="109"/>
      <c r="G13" s="106" t="str" cm="1">
        <f t="array" ref="G13:H18">_xlfn.CHOOSECOLS(MMS_PastureBeef_Soil_LeachingAndRunoff.VEERG_4_2_1_7__2_MassOfNitrogenLostToLeachingAndRunoffOnPasture_Arguments(),3,4)</f>
        <v>kg N</v>
      </c>
      <c r="H13" s="111" t="str">
        <v>Calculated from 4.2.1.3 (2)</v>
      </c>
      <c r="I13" s="106" t="e">
        <f ca="1">'4.2.1.3-4 Soil direct N20'!$E$212</f>
        <v>#N/A</v>
      </c>
      <c r="M13" s="106" t="str" cm="1">
        <f t="array" ref="M13:N18">_xlfn.CHOOSECOLS(MMS_PastureBeef_Soil_LeachingAndRunoff.VEERG_4_2_1_7__2_MassOfNitrogenLostToLeachingAndRunoffOnPasture_Arguments(),1,2)</f>
        <v>AE</v>
      </c>
      <c r="N13" s="107" t="str">
        <v>total mass of nitrogen excreted on PRP for beef cattle</v>
      </c>
      <c r="O13" s="109"/>
      <c r="P13" s="106" t="str" cm="1">
        <f t="array" ref="P13:Q18">_xlfn.CHOOSECOLS(MMS_PastureBeef_Soil_LeachingAndRunoff.VEERG_4_2_1_7__2_MassOfNitrogenLostToLeachingAndRunoffOnPasture_Arguments(),3,4)</f>
        <v>kg N</v>
      </c>
      <c r="Q13" s="111" t="str">
        <v>Calculated from 4.2.1.3 (2)</v>
      </c>
      <c r="R13" s="106" t="e">
        <f ca="1">'4.2.1.3-4 Soil direct N20'!$V$261</f>
        <v>#N/A</v>
      </c>
    </row>
    <row r="14" spans="1:19" ht="20.100000000000001" customHeight="1" x14ac:dyDescent="0.25">
      <c r="A14" s="5" t="str">
        <f>HYPERLINK("#'Input - Fuel'!A1", "Fuel")</f>
        <v>Fuel</v>
      </c>
      <c r="D14" s="106" t="str">
        <v>FracWet</v>
      </c>
      <c r="E14" s="107" t="str">
        <v>fraction of N available for leaching and runoff</v>
      </c>
      <c r="F14" s="109"/>
      <c r="G14" s="106" t="str">
        <v>fraction</v>
      </c>
      <c r="H14" s="111" t="str">
        <v>Constant</v>
      </c>
      <c r="I14" s="106">
        <f>Common_InputFunctions.CommonCropping_GetFracWET(I16,I18,#REF!,#REF!,Table_SourceData_FracWETIrrigation[Irrigation type i],Table_SourceData_FracWETIrrigation[FracWET])</f>
        <v>1</v>
      </c>
      <c r="M14" s="106" t="str">
        <v>FracWet</v>
      </c>
      <c r="N14" s="107" t="str">
        <v>fraction of N available for leaching and runoff</v>
      </c>
      <c r="O14" s="109"/>
      <c r="P14" s="106" t="str">
        <v>fraction</v>
      </c>
      <c r="Q14" s="111" t="str">
        <v>Constant</v>
      </c>
      <c r="R14" s="106"/>
    </row>
    <row r="15" spans="1:19" ht="20.100000000000001" customHeight="1" x14ac:dyDescent="0.25">
      <c r="A15" s="5" t="str">
        <f>HYPERLINK("#'Input - Electricity'!A1", "Electricity")</f>
        <v>Electricity</v>
      </c>
      <c r="D15" s="106" t="str">
        <v>FracLEACH</v>
      </c>
      <c r="E15" s="107" t="str">
        <v>fraction of all N that is lost through leaching and runoff</v>
      </c>
      <c r="F15" s="109"/>
      <c r="G15" s="106" t="str">
        <v>fraction</v>
      </c>
      <c r="H15" s="111" t="str">
        <v>Constant</v>
      </c>
      <c r="I15" s="106">
        <f>'Constants - Pasture Beef'!$D$440</f>
        <v>0.24</v>
      </c>
      <c r="M15" s="106" t="str">
        <v>FracLEACH</v>
      </c>
      <c r="N15" s="107" t="str">
        <v>fraction of all N that is lost through leaching and runoff</v>
      </c>
      <c r="O15" s="109"/>
      <c r="P15" s="106" t="str">
        <v>fraction</v>
      </c>
      <c r="Q15" s="111" t="str">
        <v>Constant</v>
      </c>
      <c r="R15" s="106"/>
    </row>
    <row r="16" spans="1:19" ht="20.100000000000001" customHeight="1" x14ac:dyDescent="0.25">
      <c r="D16" s="106" t="str">
        <v>z</v>
      </c>
      <c r="E16" s="107" t="str">
        <v>location in leaching zone</v>
      </c>
      <c r="F16" s="109"/>
      <c r="G16" s="106" t="str">
        <v/>
      </c>
      <c r="H16" s="110" t="str">
        <v>Input</v>
      </c>
      <c r="I16" s="106">
        <f>X_Cell_Site_LeachingZone</f>
        <v>0</v>
      </c>
      <c r="M16" s="106" t="str">
        <v>z</v>
      </c>
      <c r="N16" s="107" t="str">
        <v>location in leaching zone</v>
      </c>
      <c r="O16" s="109"/>
      <c r="P16" s="106" t="str">
        <v/>
      </c>
      <c r="Q16" s="110" t="str">
        <v>Input</v>
      </c>
      <c r="R16" s="106"/>
    </row>
    <row r="17" spans="1:19" ht="20.100000000000001" customHeight="1" x14ac:dyDescent="0.25">
      <c r="D17" s="106" t="str">
        <v>j</v>
      </c>
      <c r="E17" s="107" t="str">
        <v>production system</v>
      </c>
      <c r="F17" s="109"/>
      <c r="G17" s="106" t="str">
        <v/>
      </c>
      <c r="H17" s="110" t="str">
        <v>Input</v>
      </c>
      <c r="I17" s="106" t="str">
        <f>X_Cell_PastureBeef_GrazingProductionSystem</f>
        <v>Pasture</v>
      </c>
      <c r="M17" s="106" t="str">
        <v>j</v>
      </c>
      <c r="N17" s="107" t="str">
        <v>production system</v>
      </c>
      <c r="O17" s="109"/>
      <c r="P17" s="106" t="str">
        <v/>
      </c>
      <c r="Q17" s="110" t="str">
        <v>Input</v>
      </c>
      <c r="R17" s="106"/>
    </row>
    <row r="18" spans="1:19" ht="20.100000000000001" customHeight="1" x14ac:dyDescent="0.25">
      <c r="A18" s="6" t="s">
        <v>2</v>
      </c>
      <c r="D18" s="106" t="str">
        <v>ir</v>
      </c>
      <c r="E18" s="107" t="str">
        <v>irrigation method</v>
      </c>
      <c r="F18" s="109"/>
      <c r="G18" s="106" t="str">
        <v/>
      </c>
      <c r="H18" s="110" t="str">
        <v>Input</v>
      </c>
      <c r="I18" s="106" t="str">
        <f>X_Cell_PastureBeef_GrazingIrrigationMethod</f>
        <v>Sprinkler irrigation</v>
      </c>
      <c r="M18" s="106" t="str">
        <v>ir</v>
      </c>
      <c r="N18" s="107" t="str">
        <v>irrigation method</v>
      </c>
      <c r="O18" s="109"/>
      <c r="P18" s="106" t="str">
        <v/>
      </c>
      <c r="Q18" s="110" t="str">
        <v>Input</v>
      </c>
      <c r="R18" s="106"/>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29" t="s">
        <v>462</v>
      </c>
      <c r="E20" s="117" t="e" cm="1">
        <f t="array" aca="1" ref="E20" ca="1">MMS_PastureBeef_Soil_LeachingAndRunoff.VEERG_4_2_1_7__2_MassOfNitrogenLostToLeachingAndRunoffOnPasture($I$13,$I$14,$I$15)</f>
        <v>#N/A</v>
      </c>
      <c r="F20" s="124" t="str">
        <f>$E$11</f>
        <v>kg N</v>
      </c>
      <c r="K20" s="91"/>
      <c r="M20" s="129" t="s">
        <v>462</v>
      </c>
      <c r="N20" s="117" t="e" cm="1">
        <f t="array" aca="1" ref="N20" ca="1">MMS_PastureBeef_Soil_LeachingAndRunoff.VEERG_4_2_1_7__2_MassOfNitrogenLostToLeachingAndRunoffOnPasture($R$13,$I$14,$I$15)</f>
        <v>#N/A</v>
      </c>
      <c r="O20" s="124"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5" t="str">
        <f>HYPERLINK("#'4.2.1.7-8 Soil leach runoff'!A1", "4.2.1.7-8 Soil leach &amp; runoff")</f>
        <v>4.2.1.7-8 Soil leach &amp; runoff</v>
      </c>
      <c r="C23" s="117"/>
      <c r="D23" s="117"/>
      <c r="E23" s="117"/>
      <c r="F23" s="117"/>
      <c r="G23" s="117"/>
      <c r="H23" s="117"/>
      <c r="I23" s="117"/>
      <c r="J23" s="117"/>
      <c r="K23" s="91"/>
      <c r="L23" s="117"/>
      <c r="M23" s="117"/>
      <c r="N23" s="117"/>
      <c r="O23" s="117"/>
      <c r="P23" s="117"/>
      <c r="Q23" s="117"/>
      <c r="R23" s="117"/>
      <c r="S23" s="117"/>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8"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4" t="s">
        <v>257</v>
      </c>
      <c r="E26" s="104"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9" t="s">
        <v>259</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9" t="s">
        <v>133</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6" t="str" cm="1">
        <f t="array" ref="D32:E34">_xlfn.CHOOSECOLS(MMS_PastureBeef_Soil_LeachingAndRunoff.VEERG_4_2_1_7__1_LeachingAndRunoffEmissionsFromUrineAndDungOnPasture_Arguments(),1,2)</f>
        <v>M_leach</v>
      </c>
      <c r="E32" s="107" t="str">
        <v>mass of nitrogen lost to leaching and runoff</v>
      </c>
      <c r="F32" s="109"/>
      <c r="G32" s="106" t="str" cm="1">
        <f t="array" ref="G32:H34">_xlfn.CHOOSECOLS(MMS_PastureBeef_Soil_LeachingAndRunoff.VEERG_4_2_1_7__1_LeachingAndRunoffEmissionsFromUrineAndDungOnPasture_Arguments(),3,4)</f>
        <v>kg N</v>
      </c>
      <c r="H32" s="111" t="str">
        <v>Calculated from 4.2.1.7 (2)</v>
      </c>
      <c r="I32" s="106" t="e">
        <f ca="1">$E$20</f>
        <v>#N/A</v>
      </c>
      <c r="M32" s="106" t="str" cm="1">
        <f t="array" ref="M32:N34">_xlfn.CHOOSECOLS(MMS_PastureBeef_Soil_LeachingAndRunoff.VEERG_4_2_1_7__1_LeachingAndRunoffEmissionsFromUrineAndDungOnPasture_Arguments(),1,2)</f>
        <v>M_leach</v>
      </c>
      <c r="N32" s="107" t="str">
        <v>mass of nitrogen lost to leaching and runoff</v>
      </c>
      <c r="O32" s="109"/>
      <c r="P32" s="106" t="str" cm="1">
        <f t="array" ref="P32:Q34">_xlfn.CHOOSECOLS(MMS_PastureBeef_Soil_LeachingAndRunoff.VEERG_4_2_1_7__1_LeachingAndRunoffEmissionsFromUrineAndDungOnPasture_Arguments(),3,4)</f>
        <v>kg N</v>
      </c>
      <c r="Q32" s="111" t="str">
        <v>Calculated from 4.2.1.7 (2)</v>
      </c>
      <c r="R32" s="106" t="e">
        <f ca="1">$N$20</f>
        <v>#N/A</v>
      </c>
    </row>
    <row r="33" spans="1:18" ht="20.100000000000001" customHeight="1" x14ac:dyDescent="0.25">
      <c r="A33" s="5" t="str">
        <f>HYPERLINK("#'8.2.1.1-2 Stationary fuel'!A1", "8.2.1.1-2 Stationary fuel")</f>
        <v>8.2.1.1-2 Stationary fuel</v>
      </c>
      <c r="D33" s="106" t="str">
        <v>EF_leach</v>
      </c>
      <c r="E33" s="107" t="str">
        <v>emission factor for leaching and runoff</v>
      </c>
      <c r="F33" s="109"/>
      <c r="G33" s="106" t="str">
        <v>kg N2O-N/kg N</v>
      </c>
      <c r="H33" s="111" t="str">
        <v>Constant</v>
      </c>
      <c r="I33" s="106">
        <f>'Constants - Common'!$E$170</f>
        <v>1.0999999999999999E-2</v>
      </c>
      <c r="M33" s="106" t="str">
        <v>EF_leach</v>
      </c>
      <c r="N33" s="107" t="str">
        <v>emission factor for leaching and runoff</v>
      </c>
      <c r="O33" s="109"/>
      <c r="P33" s="106" t="str">
        <v>kg N2O-N/kg N</v>
      </c>
      <c r="Q33" s="111" t="str">
        <v>Constant</v>
      </c>
      <c r="R33" s="106"/>
    </row>
    <row r="34" spans="1:18" ht="20.100000000000001" customHeight="1" x14ac:dyDescent="0.25">
      <c r="A34" s="5" t="str">
        <f>HYPERLINK("#'14.1.1-2 Purchased electricity'!A1", "14.1.1-2 Purchased electricity")</f>
        <v>14.1.1-2 Purchased electricity</v>
      </c>
      <c r="D34" s="106" t="str">
        <v>C_N2O</v>
      </c>
      <c r="E34" s="107" t="str">
        <v>factor to convert elemental mass of N2O to molecular mass</v>
      </c>
      <c r="F34" s="109"/>
      <c r="G34" s="106" t="str">
        <v/>
      </c>
      <c r="H34" s="111" t="str">
        <v>Constant</v>
      </c>
      <c r="I34" s="106">
        <f>Common_InputFunctions.Utility_LookupValueInTableNumber("N2O",Table_GasToMolecularConversionFactor[Gas],Table_GasToMolecularConversionFactor[Conversion factor combined])</f>
        <v>1.5714285714285714</v>
      </c>
      <c r="M34" s="106" t="str">
        <v>C_N2O</v>
      </c>
      <c r="N34" s="107" t="str">
        <v>factor to convert elemental mass of N2O to molecular mass</v>
      </c>
      <c r="O34" s="109"/>
      <c r="P34" s="106" t="str">
        <v/>
      </c>
      <c r="Q34" s="111" t="str">
        <v>Constant</v>
      </c>
      <c r="R34" s="106"/>
    </row>
    <row r="35" spans="1:18" ht="20.100000000000001" customHeight="1" x14ac:dyDescent="0.25"/>
    <row r="36" spans="1:18" ht="20.100000000000001" customHeight="1" x14ac:dyDescent="0.25">
      <c r="D36" s="129" t="s">
        <v>463</v>
      </c>
      <c r="E36" s="117" t="e" cm="1">
        <f t="array" aca="1" ref="E36" ca="1">MMS_PastureBeef_Soil_LeachingAndRunoff.VEERG_4_2_1_7__1_LeachingAndRunoffEmissionsFromUrineAndDungOnPasture(I32,I33,I34)</f>
        <v>#N/A</v>
      </c>
      <c r="F36" s="124" t="str">
        <f>$E$30</f>
        <v>t N2O</v>
      </c>
      <c r="M36" s="129" t="s">
        <v>463</v>
      </c>
      <c r="N36" s="117" t="e" cm="1">
        <f t="array" aca="1" ref="N36" ca="1">MMS_PastureBeef_Soil_LeachingAndRunoff.VEERG_4_2_1_7__1_LeachingAndRunoffEmissionsFromUrineAndDungOnPasture(R32,I33,I34)</f>
        <v>#N/A</v>
      </c>
      <c r="O36" s="124" t="str">
        <f>$E$30</f>
        <v>t N2O</v>
      </c>
    </row>
    <row r="37" spans="1:18" ht="20.100000000000001" customHeight="1" x14ac:dyDescent="0.25">
      <c r="A37" s="250" t="s">
        <v>1</v>
      </c>
    </row>
    <row r="38" spans="1:18" ht="20.100000000000001" customHeight="1" x14ac:dyDescent="0.25">
      <c r="A38" s="5" t="str">
        <f>HYPERLINK("#'Constants - Pasture Beef'!A1", "Constants - Pasture Beef")</f>
        <v>Constants - Pasture Beef</v>
      </c>
      <c r="D38" s="121" t="str" cm="1">
        <f t="array" ref="D38:E39">Common_Equations.Common_ConvertN2OToCO2e_Arguments()</f>
        <v>EN2O</v>
      </c>
      <c r="E38" s="122" t="str">
        <v>Nitrous oxide emissions (t N2O)</v>
      </c>
      <c r="F38" s="123"/>
      <c r="G38" s="26" t="e">
        <f ca="1">E36</f>
        <v>#N/A</v>
      </c>
      <c r="M38" s="121" t="str" cm="1">
        <f t="array" ref="M38:N39">Common_Equations.Common_ConvertN2OToCO2e_Arguments()</f>
        <v>EN2O</v>
      </c>
      <c r="N38" s="122" t="str">
        <v>Nitrous oxide emissions (t N2O)</v>
      </c>
      <c r="O38" s="123"/>
      <c r="P38" s="26" t="e">
        <f ca="1">N36</f>
        <v>#N/A</v>
      </c>
    </row>
    <row r="39" spans="1:18" ht="20.100000000000001" customHeight="1" x14ac:dyDescent="0.25">
      <c r="A39" s="5" t="str">
        <f>HYPERLINK("#'Constants - Ag Residue'!A1", "Constants - Ag residue")</f>
        <v>Constants - Ag residue</v>
      </c>
      <c r="D39" s="121" t="str">
        <v>GWPN2O</v>
      </c>
      <c r="E39" s="122" t="str">
        <v>Global warming potential for nitrous oxide (t CO2-e / t N2O)</v>
      </c>
      <c r="F39" s="123"/>
      <c r="G39" s="26">
        <f>Common_InputFunctions.Utility_LookupValueInTableNumber("N2O",Table_GWPData[Gas],Table_GWPData[CO2-e factor])</f>
        <v>265</v>
      </c>
      <c r="M39" s="121" t="str">
        <v>GWPN2O</v>
      </c>
      <c r="N39" s="122" t="str">
        <v>Global warming potential for nitrous oxide (t CO2-e / t N2O)</v>
      </c>
      <c r="O39" s="123"/>
      <c r="P39" s="26">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7" t="s">
        <v>297</v>
      </c>
      <c r="E41" s="117" t="e" cm="1">
        <f t="array" aca="1" ref="E41" ca="1">Common_Equations.Common_ConvertN2OToCO2e(G38,G39)</f>
        <v>#N/A</v>
      </c>
      <c r="F41" s="124" t="str" cm="1">
        <f t="array" ref="F41">Common_Equations.Common_ConvertN2OToCO2e_Unit()</f>
        <v>t CO2e</v>
      </c>
      <c r="M41" s="117" t="s">
        <v>297</v>
      </c>
      <c r="N41" s="117" t="e" cm="1">
        <f t="array" aca="1" ref="N41" ca="1">Common_Equations.Common_ConvertN2OToCO2e(P38,P39)</f>
        <v>#N/A</v>
      </c>
      <c r="O41" s="124"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F5F91A28-6744-44D1-B3AA-93C08B89A738}"/>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1C0BA-0877-4CF2-9273-59A856FFB5B1}">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2" customFormat="1" ht="30" customHeight="1" x14ac:dyDescent="0.35">
      <c r="A1" s="16" t="e" vm="1">
        <v>#VALUE!</v>
      </c>
      <c r="C1" s="32" t="s">
        <v>535</v>
      </c>
      <c r="K1"/>
    </row>
    <row r="2" spans="1:24" s="3" customFormat="1" ht="20.100000000000001" customHeight="1" x14ac:dyDescent="0.25">
      <c r="A2"/>
      <c r="K2"/>
    </row>
    <row r="3" spans="1:24" ht="20.100000000000001" customHeight="1" x14ac:dyDescent="0.25">
      <c r="A3" s="5" t="str">
        <f>HYPERLINK("#'Home'!A1", "Home")</f>
        <v>Home</v>
      </c>
      <c r="C3" s="34"/>
      <c r="D3" s="34" t="s">
        <v>152</v>
      </c>
      <c r="E3" s="34"/>
      <c r="F3" s="34"/>
      <c r="G3" s="34"/>
      <c r="H3" s="34"/>
      <c r="I3" s="34"/>
      <c r="J3" s="34"/>
      <c r="L3" s="34"/>
      <c r="M3" s="34" t="s">
        <v>153</v>
      </c>
      <c r="N3" s="34"/>
      <c r="O3" s="34"/>
      <c r="P3" s="34"/>
      <c r="Q3" s="34"/>
      <c r="R3" s="34"/>
      <c r="S3" s="34"/>
      <c r="T3" s="34"/>
      <c r="U3" s="34"/>
      <c r="V3" s="34"/>
      <c r="W3" s="34"/>
      <c r="X3" s="34"/>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8" t="str" cm="1">
        <f t="array" ref="D6">Fertiliser_Equations_InorganicN2O.VEERG_5_1_1_1__2_MassOfNitrogenInInorganicFertiliser_Source()</f>
        <v>VEERG 2026: 5.1.1.1, Equation (2)</v>
      </c>
      <c r="M6" s="28" t="str" cm="1">
        <f t="array" ref="M6">Fertiliser_Equations_InorganicN2O.VEERG_5_1_1_2__1_EmissionFactorIrrigatedMaize_Source()</f>
        <v>VEERG 2026: 5.1.1.2, Equation (1)</v>
      </c>
    </row>
    <row r="7" spans="1:24" ht="20.100000000000001" customHeight="1" x14ac:dyDescent="0.25">
      <c r="A7" s="7" t="s">
        <v>0</v>
      </c>
      <c r="D7" s="104" t="s">
        <v>257</v>
      </c>
      <c r="E7" s="104"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9" t="s">
        <v>259</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9" t="s">
        <v>259</v>
      </c>
      <c r="E10" s="1" t="str" cm="1">
        <f t="array" ref="E10">Fertiliser_Equations_InorganicN2O.VEERG_5_1_1_1__2_MassOfNitrogenInInorganicFertiliser_Variable()</f>
        <v>MN_jf</v>
      </c>
      <c r="M10" s="89" t="s">
        <v>133</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9" t="s">
        <v>133</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1" t="str" cm="1">
        <f t="array" ref="M12:N13">_xlfn.CHOOSECOLS(Fertiliser_Equations_InorganicN2O.VEERG_5_1_1_2__1_EmissionFactorIrrigatedMaize_Arguments(), 1, 2)</f>
        <v>N_fjIrrigatedMaize</v>
      </c>
      <c r="N12" s="122" t="str">
        <v>application rate of inorganic fertiliser type f in the irrigated maize crop</v>
      </c>
      <c r="O12" s="168"/>
      <c r="P12" s="121" t="str" cm="1">
        <f t="array" ref="P12:Q13">_xlfn.CHOOSECOLS(Fertiliser_Equations_InorganicN2O.VEERG_5_1_1_2__1_EmissionFactorIrrigatedMaize_Arguments(), 3,4)</f>
        <v>kg N/ha</v>
      </c>
      <c r="Q12" s="110" t="str">
        <v>Input</v>
      </c>
      <c r="R12" s="169" t="str" cm="1">
        <f t="array" aca="1" ref="R12" ca="1">HYPERLINK(Common_InputFunctions.Utility_SourceHyperlink($M$41), $M$41)</f>
        <v>M2_Table_FertApplications</v>
      </c>
      <c r="S12" s="170"/>
    </row>
    <row r="13" spans="1:24" ht="20.100000000000001" customHeight="1" x14ac:dyDescent="0.25">
      <c r="A13" s="5" t="str">
        <f>HYPERLINK("#'Input - Fertiliser'!A1", "Fertiliser")</f>
        <v>Fertiliser</v>
      </c>
      <c r="D13" s="121" t="str" cm="1">
        <f t="array" ref="D13:E14">_xlfn.CHOOSECOLS(Fertiliser_Equations_InorganicN2O.VEERG_5_1_1_1__2_MassOfNitrogenInInorganicFertiliser_Arguments(), 1,2)</f>
        <v>TM_jf</v>
      </c>
      <c r="E13" s="121" t="str">
        <v>total mass of inorganic fertiliser type f applied to production system j</v>
      </c>
      <c r="F13" s="121"/>
      <c r="G13" s="121" t="str" cm="1">
        <f t="array" ref="G13:H14">_xlfn.CHOOSECOLS(Fertiliser_Equations_InorganicN2O.VEERG_5_1_1_1__2_MassOfNitrogenInInorganicFertiliser_Arguments(), 3,4)</f>
        <v>kg</v>
      </c>
      <c r="H13" s="110" t="str">
        <v>Input</v>
      </c>
      <c r="I13" s="112" t="str" cm="1">
        <f t="array" aca="1" ref="I13" ca="1">HYPERLINK(Common_InputFunctions.Utility_SourceHyperlink($D$16), $D$16)</f>
        <v>Table_MN_j_f</v>
      </c>
      <c r="M13" s="121" t="str">
        <v>f</v>
      </c>
      <c r="N13" s="122" t="str">
        <v>Inorganic fertiliser type</v>
      </c>
      <c r="O13" s="168"/>
      <c r="P13" s="121" t="str">
        <v/>
      </c>
      <c r="Q13" s="111" t="str">
        <v>Constant</v>
      </c>
      <c r="R13" s="122" t="s">
        <v>536</v>
      </c>
      <c r="S13" s="170"/>
    </row>
    <row r="14" spans="1:24" ht="20.100000000000001" customHeight="1" x14ac:dyDescent="0.25">
      <c r="A14" s="5" t="str">
        <f>HYPERLINK("#'Input - Fuel'!A1", "Fuel")</f>
        <v>Fuel</v>
      </c>
      <c r="D14" s="121" t="str">
        <v>FN_inorganicf</v>
      </c>
      <c r="E14" s="122" t="str">
        <v xml:space="preserve">fraction of nitrogen in inorganic fertiliser type f </v>
      </c>
      <c r="F14" s="171"/>
      <c r="G14" s="121" t="str">
        <v>kg N/kg</v>
      </c>
      <c r="H14" s="111" t="str">
        <v>Constant</v>
      </c>
      <c r="I14" s="112"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3" t="s">
        <v>537</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4" t="s">
        <v>538</v>
      </c>
      <c r="M17" s="28" t="str" cm="1">
        <f t="array" ref="M17">Fertiliser_Equations_InorganicN2O.VEERG_5_1_1_2__2_EmissionFactorNonIrrigatedGrainsHighRainfall_Source()</f>
        <v>VEERG 2026: 5.1.1.2, Equation (2)</v>
      </c>
    </row>
    <row r="18" spans="1:19" ht="20.100000000000001" customHeight="1" x14ac:dyDescent="0.25">
      <c r="A18" s="6" t="s">
        <v>2</v>
      </c>
      <c r="D18" s="115" t="s">
        <v>539</v>
      </c>
      <c r="E18" s="116" t="s">
        <v>540</v>
      </c>
      <c r="F18" s="115" t="s">
        <v>541</v>
      </c>
      <c r="G18" s="115" t="s">
        <v>542</v>
      </c>
    </row>
    <row r="19" spans="1:19"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6" cm="1">
        <f t="array" ref="F19">Common_InputFunctions.Utility_LookupValueInTableNumber(D19,Table_Fertiliser_ChemicalCompounds[Fertiliser type f],Table_Fertiliser_ChemicalCompounds[FNinorganic f])</f>
        <v>0.1</v>
      </c>
      <c r="G19" s="26"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6" t="str">
        <v>Diammonium phosphate (DAP)</v>
      </c>
      <c r="E20" s="26"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6" cm="1">
        <f t="array" ref="F20">Common_InputFunctions.Utility_LookupValueInTableNumber(D20,Table_Fertiliser_ChemicalCompounds[Fertiliser type f],Table_Fertiliser_ChemicalCompounds[FNinorganic f])</f>
        <v>0.18</v>
      </c>
      <c r="G20" s="26" cm="1">
        <f t="array" ref="G20">Fertiliser_Equations_InorganicN2O.VEERG_5_1_1_1__2_MassOfNitrogenInInorganicFertiliser(E20,F20)</f>
        <v>0</v>
      </c>
      <c r="M20" s="89" t="s">
        <v>259</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6" t="str">
        <v>Urea</v>
      </c>
      <c r="E21" s="26"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6" cm="1">
        <f t="array" ref="F21">Common_InputFunctions.Utility_LookupValueInTableNumber(D21,Table_Fertiliser_ChemicalCompounds[Fertiliser type f],Table_Fertiliser_ChemicalCompounds[FNinorganic f])</f>
        <v>0.46</v>
      </c>
      <c r="G21" s="26" cm="1">
        <f t="array" ref="G21">Fertiliser_Equations_InorganicN2O.VEERG_5_1_1_1__2_MassOfNitrogenInInorganicFertiliser(E21,F21)</f>
        <v>4600</v>
      </c>
      <c r="M21" s="89" t="s">
        <v>133</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6" t="str">
        <v>Sulphate of ammonia (SOA)</v>
      </c>
      <c r="E22" s="26"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6" cm="1">
        <f t="array" ref="F22">Common_InputFunctions.Utility_LookupValueInTableNumber(D22,Table_Fertiliser_ChemicalCompounds[Fertiliser type f],Table_Fertiliser_ChemicalCompounds[FNinorganic f])</f>
        <v>0.21</v>
      </c>
      <c r="G22" s="26"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6" t="str">
        <v>Urea-ammonium nitrate (UAN)</v>
      </c>
      <c r="E23" s="26"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6" cm="1">
        <f t="array" ref="F23">Common_InputFunctions.Utility_LookupValueInTableNumber(D23,Table_Fertiliser_ChemicalCompounds[Fertiliser type f],Table_Fertiliser_ChemicalCompounds[FNinorganic f])</f>
        <v>0.32</v>
      </c>
      <c r="G23" s="26" cm="1">
        <f t="array" ref="G23">Fertiliser_Equations_InorganicN2O.VEERG_5_1_1_1__2_MassOfNitrogenInInorganicFertiliser(E23,F23)</f>
        <v>0</v>
      </c>
      <c r="M23" s="121" t="str" cm="1">
        <f t="array" ref="M23:N24">_xlfn.CHOOSECOLS(Fertiliser_Equations_InorganicN2O.VEERG_5_1_1_2__2_EmissionFactorNonIrrigatedGrainsHighRainfall_Arguments(), 1, 2)</f>
        <v>N_fjNonIrrigatedGrains</v>
      </c>
      <c r="N23" s="122" t="str">
        <v>application rate of inorganic fertiliser type f in the grains crop</v>
      </c>
      <c r="O23" s="168"/>
      <c r="P23" s="121" t="str" cm="1">
        <f t="array" ref="P23:Q24">_xlfn.CHOOSECOLS(Fertiliser_Equations_InorganicN2O.VEERG_5_1_1_2__2_EmissionFactorNonIrrigatedGrainsHighRainfall_Arguments(), 3,4)</f>
        <v>kg N/ha</v>
      </c>
      <c r="Q23" s="110" t="str">
        <v>Input</v>
      </c>
      <c r="R23" s="169" t="str" cm="1">
        <f t="array" aca="1" ref="R23" ca="1">HYPERLINK(Common_InputFunctions.Utility_SourceHyperlink($M$41), $M$41)</f>
        <v>M2_Table_FertApplications</v>
      </c>
      <c r="S23" s="171"/>
    </row>
    <row r="24" spans="1:19" ht="20.100000000000001" customHeight="1" x14ac:dyDescent="0.25">
      <c r="A24" s="105" t="str">
        <f>HYPERLINK("#'5.1.1.1-2 Inorganic fert N2O'!A1", "5.1.1.1-2 Inorganic fert N2O")</f>
        <v>5.1.1.1-2 Inorganic fert N2O</v>
      </c>
      <c r="D24" s="26" t="str">
        <v>Ammonium nitrate (AN)</v>
      </c>
      <c r="E24" s="26"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6" cm="1">
        <f t="array" ref="F24">Common_InputFunctions.Utility_LookupValueInTableNumber(D24,Table_Fertiliser_ChemicalCompounds[Fertiliser type f],Table_Fertiliser_ChemicalCompounds[FNinorganic f])</f>
        <v>0.33700000000000002</v>
      </c>
      <c r="G24" s="26" cm="1">
        <f t="array" ref="G24">Fertiliser_Equations_InorganicN2O.VEERG_5_1_1_1__2_MassOfNitrogenInInorganicFertiliser(E24,F24)</f>
        <v>0</v>
      </c>
      <c r="I24" s="27"/>
      <c r="M24" s="121" t="str">
        <v>f</v>
      </c>
      <c r="N24" s="122" t="str">
        <v>Inorganic fertiliser type</v>
      </c>
      <c r="O24" s="168"/>
      <c r="P24" s="121" t="str">
        <v/>
      </c>
      <c r="Q24" s="111" t="str">
        <v>Constant</v>
      </c>
      <c r="R24" s="122" t="s">
        <v>536</v>
      </c>
      <c r="S24" s="171"/>
    </row>
    <row r="25" spans="1:19" ht="20.100000000000001" customHeight="1" x14ac:dyDescent="0.25">
      <c r="A25" s="5" t="str">
        <f>HYPERLINK("#'5.1.1.3-4 Inorganic fert CO2'!A1", "5.1.1.3-4 Inorganic fert CO2")</f>
        <v>5.1.1.3-4 Inorganic fert CO2</v>
      </c>
      <c r="D25" s="26" t="str">
        <v>Calcium ammonium nitrate (CAN)</v>
      </c>
      <c r="E25" s="26"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6" cm="1">
        <f t="array" ref="F25">Common_InputFunctions.Utility_LookupValueInTableNumber(D25,Table_Fertiliser_ChemicalCompounds[Fertiliser type f],Table_Fertiliser_ChemicalCompounds[FNinorganic f])</f>
        <v>0.27</v>
      </c>
      <c r="G25" s="26" cm="1">
        <f t="array" ref="G25">Fertiliser_Equations_InorganicN2O.VEERG_5_1_1_1__2_MassOfNitrogenInInorganicFertiliser(E25,F25)</f>
        <v>0</v>
      </c>
      <c r="I25" s="27"/>
    </row>
    <row r="26" spans="1:19" ht="20.100000000000001" customHeight="1" x14ac:dyDescent="0.25">
      <c r="A26" s="5" t="str">
        <f>HYPERLINK("#'5.2.1.1-2 Organic Fert N2O'!A1", "5.2.1.1-2 Organic fert N2O")</f>
        <v>5.2.1.1-2 Organic fert N2O</v>
      </c>
      <c r="D26" s="26" t="str">
        <v>Nitrogen - Ammoniacal</v>
      </c>
      <c r="E26" s="26"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6" cm="1">
        <f t="array" ref="F26">Common_InputFunctions.Utility_LookupValueInTableNumber(D26,Table_Fertiliser_ChemicalCompounds[Fertiliser type f],Table_Fertiliser_ChemicalCompounds[FNinorganic f])</f>
        <v>1</v>
      </c>
      <c r="G26" s="26" cm="1">
        <f t="array" ref="G26">Fertiliser_Equations_InorganicN2O.VEERG_5_1_1_1__2_MassOfNitrogenInInorganicFertiliser(E26,F26)</f>
        <v>0</v>
      </c>
      <c r="I26" s="27"/>
    </row>
    <row r="27" spans="1:19" ht="20.100000000000001" customHeight="1" x14ac:dyDescent="0.25">
      <c r="A27" s="5" t="str">
        <f>HYPERLINK("#'5.3.1.1-2 Lime CO2'!A1", "5.3.1.1-2 Lime CO2")</f>
        <v>5.3.1.1-2 Lime CO2</v>
      </c>
      <c r="D27" s="26" t="str">
        <v>Nitrogen - Nitrate</v>
      </c>
      <c r="E27" s="26"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6" cm="1">
        <f t="array" ref="F27">Common_InputFunctions.Utility_LookupValueInTableNumber(D27,Table_Fertiliser_ChemicalCompounds[Fertiliser type f],Table_Fertiliser_ChemicalCompounds[FNinorganic f])</f>
        <v>1</v>
      </c>
      <c r="G27" s="26" cm="1">
        <f t="array" ref="G27">Fertiliser_Equations_InorganicN2O.VEERG_5_1_1_1__2_MassOfNitrogenInInorganicFertiliser(E27,F27)</f>
        <v>1980</v>
      </c>
      <c r="I27" s="27"/>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6" t="str">
        <v>Nitrogen - Generic</v>
      </c>
      <c r="E28" s="26"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6" cm="1">
        <f t="array" ref="F28">Common_InputFunctions.Utility_LookupValueInTableNumber(D28,Table_Fertiliser_ChemicalCompounds[Fertiliser type f],Table_Fertiliser_ChemicalCompounds[FNinorganic f])</f>
        <v>1</v>
      </c>
      <c r="G28" s="26" cm="1">
        <f t="array" ref="G28">Fertiliser_Equations_InorganicN2O.VEERG_5_1_1_1__2_MassOfNitrogenInInorganicFertiliser(E28,F28)</f>
        <v>1537.2</v>
      </c>
      <c r="I28" s="27"/>
      <c r="M28" s="28"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6" t="str">
        <v>Phosphorus - Generic</v>
      </c>
      <c r="E29" s="26"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6" cm="1">
        <f t="array" ref="F29">Common_InputFunctions.Utility_LookupValueInTableNumber(D29,Table_Fertiliser_ChemicalCompounds[Fertiliser type f],Table_Fertiliser_ChemicalCompounds[FNinorganic f])</f>
        <v>0</v>
      </c>
      <c r="G29" s="26" cm="1">
        <f t="array" ref="G29">Fertiliser_Equations_InorganicN2O.VEERG_5_1_1_1__2_MassOfNitrogenInInorganicFertiliser(E29,F29)</f>
        <v>0</v>
      </c>
      <c r="I29" s="27"/>
    </row>
    <row r="30" spans="1:19" ht="20.100000000000001" customHeight="1" x14ac:dyDescent="0.25">
      <c r="A30" s="5" t="str">
        <f>HYPERLINK("#'6.2.1.1-2 Pasture residue N2O'!A1", "6.2.1.1-2 Pasture residue N2O")</f>
        <v>6.2.1.1-2 Pasture residue N2O</v>
      </c>
      <c r="D30" s="26" t="str">
        <v>Potassium - Generic</v>
      </c>
      <c r="E30" s="26"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6" cm="1">
        <f t="array" ref="F30">Common_InputFunctions.Utility_LookupValueInTableNumber(D30,Table_Fertiliser_ChemicalCompounds[Fertiliser type f],Table_Fertiliser_ChemicalCompounds[FNinorganic f])</f>
        <v>0</v>
      </c>
      <c r="G30" s="26" cm="1">
        <f t="array" ref="G30">Fertiliser_Equations_InorganicN2O.VEERG_5_1_1_1__2_MassOfNitrogenInInorganicFertiliser(E30,F30)</f>
        <v>0</v>
      </c>
      <c r="I30" s="27"/>
    </row>
    <row r="31" spans="1:19" ht="20.100000000000001" customHeight="1" x14ac:dyDescent="0.25">
      <c r="A31" s="5" t="str">
        <f>HYPERLINK("#'6.3.1.1-2 Leach runoff pasture'!A1", "6.3.1.1-2 Leach &amp; runoff (pasture)")</f>
        <v>6.3.1.1-2 Leach &amp; runoff (pasture)</v>
      </c>
      <c r="D31" s="26" t="str">
        <v>Sulfur - Generic</v>
      </c>
      <c r="E31" s="26"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6" cm="1">
        <f t="array" ref="F31">Common_InputFunctions.Utility_LookupValueInTableNumber(D31,Table_Fertiliser_ChemicalCompounds[Fertiliser type f],Table_Fertiliser_ChemicalCompounds[FNinorganic f])</f>
        <v>0</v>
      </c>
      <c r="G31" s="26" cm="1">
        <f t="array" ref="G31">Fertiliser_Equations_InorganicN2O.VEERG_5_1_1_1__2_MassOfNitrogenInInorganicFertiliser(E31,F31)</f>
        <v>0</v>
      </c>
      <c r="I31" s="27"/>
    </row>
    <row r="32" spans="1:19" ht="20.100000000000001" customHeight="1" x14ac:dyDescent="0.25">
      <c r="A32" s="5" t="str">
        <f>HYPERLINK("#'8.1.1.1-2 Transport fuel'!A1", "8.1.1.1-2 Transport fuel")</f>
        <v>8.1.1.1-2 Transport fuel</v>
      </c>
      <c r="D32" s="26" t="str">
        <v>Zinc - Generic</v>
      </c>
      <c r="E32" s="26"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6" cm="1">
        <f t="array" ref="F32">Common_InputFunctions.Utility_LookupValueInTableNumber(D32,Table_Fertiliser_ChemicalCompounds[Fertiliser type f],Table_Fertiliser_ChemicalCompounds[FNinorganic f])</f>
        <v>0</v>
      </c>
      <c r="G32" s="26" cm="1">
        <f t="array" ref="G32">Fertiliser_Equations_InorganicN2O.VEERG_5_1_1_1__2_MassOfNitrogenInInorganicFertiliser(E32,F32)</f>
        <v>0</v>
      </c>
      <c r="I32" s="27"/>
      <c r="M32" s="89" t="s">
        <v>259</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6" t="str">
        <v>Muriate of potash (MOP)</v>
      </c>
      <c r="E33" s="26"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6" cm="1">
        <f t="array" ref="F33">Common_InputFunctions.Utility_LookupValueInTableNumber(D33,Table_Fertiliser_ChemicalCompounds[Fertiliser type f],Table_Fertiliser_ChemicalCompounds[FNinorganic f])</f>
        <v>0</v>
      </c>
      <c r="G33" s="26" cm="1">
        <f t="array" ref="G33">Fertiliser_Equations_InorganicN2O.VEERG_5_1_1_1__2_MassOfNitrogenInInorganicFertiliser(E33,F33)</f>
        <v>0</v>
      </c>
      <c r="I33" s="27"/>
      <c r="M33" s="89" t="s">
        <v>133</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6" t="str">
        <v>Double superphosphate</v>
      </c>
      <c r="E34" s="26"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6" cm="1">
        <f t="array" ref="F34">Common_InputFunctions.Utility_LookupValueInTableNumber(D34,Table_Fertiliser_ChemicalCompounds[Fertiliser type f],Table_Fertiliser_ChemicalCompounds[FNinorganic f])</f>
        <v>0</v>
      </c>
      <c r="G34" s="26" cm="1">
        <f t="array" ref="G34">Fertiliser_Equations_InorganicN2O.VEERG_5_1_1_1__2_MassOfNitrogenInInorganicFertiliser(E34,F34)</f>
        <v>0</v>
      </c>
      <c r="I34" s="27"/>
    </row>
    <row r="35" spans="1:23" ht="20.100000000000001" customHeight="1" x14ac:dyDescent="0.25">
      <c r="D35" s="26" t="str">
        <v>Single superphosphate (SSP)</v>
      </c>
      <c r="E35" s="26"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6" cm="1">
        <f t="array" ref="F35">Common_InputFunctions.Utility_LookupValueInTableNumber(D35,Table_Fertiliser_ChemicalCompounds[Fertiliser type f],Table_Fertiliser_ChemicalCompounds[FNinorganic f])</f>
        <v>0</v>
      </c>
      <c r="G35" s="26" cm="1">
        <f t="array" ref="G35">Fertiliser_Equations_InorganicN2O.VEERG_5_1_1_1__2_MassOfNitrogenInInorganicFertiliser(E35,F35)</f>
        <v>0</v>
      </c>
      <c r="I35" s="27"/>
      <c r="M35" s="121" t="str" cm="1">
        <f t="array" ref="M35:N36">_xlfn.CHOOSECOLS(Fertiliser_Equations_InorganicN2O.VEERG_5_1_1_2__3_EmissionFactorCotton_Arguments(), 1, 2)</f>
        <v>N_fjCotton</v>
      </c>
      <c r="N35" s="122" t="str">
        <v>application rate of inorganic fertiliser type f in the cotton crop</v>
      </c>
      <c r="O35" s="168"/>
      <c r="P35" s="122" t="str" cm="1">
        <f t="array" ref="P35:Q36">_xlfn.CHOOSECOLS(Fertiliser_Equations_InorganicN2O.VEERG_5_1_1_2__3_EmissionFactorCotton_Arguments(), 3,4)</f>
        <v>kg N/ha</v>
      </c>
      <c r="Q35" s="110" t="str">
        <v>Input</v>
      </c>
      <c r="R35" s="169" t="str" cm="1">
        <f t="array" aca="1" ref="R35" ca="1">HYPERLINK(Common_InputFunctions.Utility_SourceHyperlink($M$41), $M$41)</f>
        <v>M2_Table_FertApplications</v>
      </c>
      <c r="S35" s="171"/>
    </row>
    <row r="36" spans="1:23" ht="20.100000000000001" customHeight="1" x14ac:dyDescent="0.25">
      <c r="D36" s="26" t="str">
        <v>Ammonia</v>
      </c>
      <c r="E36" s="26"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6" cm="1">
        <f t="array" ref="F36">Common_InputFunctions.Utility_LookupValueInTableNumber(D36,Table_Fertiliser_ChemicalCompounds[Fertiliser type f],Table_Fertiliser_ChemicalCompounds[FNinorganic f])</f>
        <v>0.82350000000000001</v>
      </c>
      <c r="G36" s="26" cm="1">
        <f t="array" ref="G36">Fertiliser_Equations_InorganicN2O.VEERG_5_1_1_1__2_MassOfNitrogenInInorganicFertiliser(E36,F36)</f>
        <v>4117.5</v>
      </c>
      <c r="I36" s="27"/>
      <c r="M36" s="121" t="str">
        <v>f</v>
      </c>
      <c r="N36" s="122" t="str">
        <v>Inorganic fertiliser type</v>
      </c>
      <c r="O36" s="168"/>
      <c r="P36" s="122" t="str">
        <v/>
      </c>
      <c r="Q36" s="111" t="str">
        <v>Constant</v>
      </c>
      <c r="R36" s="122" t="s">
        <v>536</v>
      </c>
      <c r="S36" s="171"/>
    </row>
    <row r="37" spans="1:23" ht="20.100000000000001" customHeight="1" x14ac:dyDescent="0.25">
      <c r="A37" s="250" t="s">
        <v>1</v>
      </c>
      <c r="D37" s="26" t="str">
        <v>Calcium nitrate</v>
      </c>
      <c r="E37" s="26"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6" cm="1">
        <f t="array" ref="F37">Common_InputFunctions.Utility_LookupValueInTableNumber(D37,Table_Fertiliser_ChemicalCompounds[Fertiliser type f],Table_Fertiliser_ChemicalCompounds[FNinorganic f])</f>
        <v>0.155</v>
      </c>
      <c r="G37" s="26" cm="1">
        <f t="array" ref="G37">Fertiliser_Equations_InorganicN2O.VEERG_5_1_1_1__2_MassOfNitrogenInInorganicFertiliser(E37,F37)</f>
        <v>775</v>
      </c>
      <c r="H37" s="89"/>
      <c r="I37" s="27"/>
    </row>
    <row r="38" spans="1:23" ht="20.100000000000001" customHeight="1" x14ac:dyDescent="0.25">
      <c r="A38" s="5" t="str">
        <f>HYPERLINK("#'Constants - Pasture Beef'!A1", "Constants - Pasture Beef")</f>
        <v>Constants - Pasture Beef</v>
      </c>
      <c r="N38" s="24"/>
      <c r="O38" s="24"/>
      <c r="P38" s="24"/>
    </row>
    <row r="39" spans="1:23" ht="20.100000000000001" customHeight="1" x14ac:dyDescent="0.25">
      <c r="A39" s="5" t="str">
        <f>HYPERLINK("#'Constants - Ag Residue'!A1", "Constants - Ag residue")</f>
        <v>Constants - Ag residue</v>
      </c>
      <c r="C39" s="117"/>
      <c r="D39" s="117"/>
      <c r="E39" s="117"/>
      <c r="F39" s="117"/>
      <c r="G39" s="117"/>
      <c r="H39" s="117"/>
      <c r="I39" s="117"/>
      <c r="J39" s="117"/>
      <c r="M39" s="24" t="s">
        <v>543</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8" t="str" cm="1">
        <f t="array" ref="D41">Fertiliser_Equations_InorganicN2O.VEERG_5_1_1_1__1_InorganicFertiliserApplicationN2OEmissions_Source()</f>
        <v>VEERG 2026: 5.1.1.1, Equation (1)</v>
      </c>
      <c r="M41" s="113" t="s">
        <v>544</v>
      </c>
      <c r="T41" s="127" t="s">
        <v>545</v>
      </c>
    </row>
    <row r="42" spans="1:23" ht="20.100000000000001" customHeight="1" x14ac:dyDescent="0.25">
      <c r="A42" s="5" t="str">
        <f>HYPERLINK("#'Constants - Fertiliser'!A1", "Constants - Fertiliser")</f>
        <v>Constants - Fertiliser</v>
      </c>
      <c r="D42" s="104" t="s">
        <v>257</v>
      </c>
      <c r="E42" s="104" t="str" cm="1">
        <f t="array" aca="1" ref="E42" ca="1">Common_InputFunctions.Utility_DisplayFunctionName($E$60)</f>
        <v>=Fertiliser_Equations_InorganicN2O.VEERG_5_1_1_1__1_InorganicFertiliserApplicationN2OEmissions</v>
      </c>
      <c r="F42" s="27"/>
      <c r="M42" s="114" t="s">
        <v>546</v>
      </c>
    </row>
    <row r="43" spans="1:23" ht="20.100000000000001" customHeight="1" x14ac:dyDescent="0.25">
      <c r="A43" s="5" t="str">
        <f>HYPERLINK("#'Constants - Fuel'!A1", "Constants - Fuel")</f>
        <v>Constants - Fuel</v>
      </c>
      <c r="F43" s="27"/>
      <c r="O43" s="172" t="s">
        <v>547</v>
      </c>
      <c r="P43" s="172" t="s">
        <v>469</v>
      </c>
      <c r="Q43" s="172" t="s">
        <v>548</v>
      </c>
      <c r="R43" s="172" t="str">
        <f>$N$10</f>
        <v>kg N2O-N/kg N applied</v>
      </c>
      <c r="S43" s="172" t="str">
        <f>$N$21</f>
        <v>kg N2O-N/kg N applied</v>
      </c>
      <c r="T43" s="172" t="s">
        <v>547</v>
      </c>
      <c r="U43" s="172" t="s">
        <v>548</v>
      </c>
      <c r="V43" s="172" t="str">
        <f>$N$33</f>
        <v>kg N2O-N/kg N applied</v>
      </c>
      <c r="W43" s="172" t="s">
        <v>549</v>
      </c>
    </row>
    <row r="44" spans="1:23" ht="20.100000000000001" customHeight="1" x14ac:dyDescent="0.25">
      <c r="A44" s="5" t="str">
        <f>HYPERLINK("#'Constants - Common'!A1", "Constants - Common")</f>
        <v>Constants - Common</v>
      </c>
      <c r="F44" s="27"/>
      <c r="M44" s="115" t="s">
        <v>550</v>
      </c>
      <c r="N44" s="116" t="s">
        <v>550</v>
      </c>
      <c r="O44" s="116" t="s">
        <v>551</v>
      </c>
      <c r="P44" s="116" t="s">
        <v>552</v>
      </c>
      <c r="Q44" s="115" t="s">
        <v>553</v>
      </c>
      <c r="R44" s="115" t="str">
        <f>N9</f>
        <v>EF_fjIrrigatedMaizeN2O</v>
      </c>
      <c r="S44" s="115" t="str">
        <f>N20</f>
        <v>EF_fjNonIrrigatedGrainsN2O</v>
      </c>
      <c r="T44" s="115" t="s">
        <v>554</v>
      </c>
      <c r="U44" s="115" t="s">
        <v>555</v>
      </c>
      <c r="V44" s="115" t="str">
        <f>N32</f>
        <v>EF_fjCottonN2O</v>
      </c>
      <c r="W44" s="115" t="s">
        <v>556</v>
      </c>
    </row>
    <row r="45" spans="1:23" ht="20.100000000000001" customHeight="1" x14ac:dyDescent="0.25">
      <c r="A45" s="5" t="str">
        <f>HYPERLINK("#'Acknowledgements'!A1", "Acknowledgements")</f>
        <v>Acknowledgements</v>
      </c>
      <c r="F45" s="27"/>
      <c r="M45" s="26" t="s">
        <v>557</v>
      </c>
      <c r="N45" s="26" t="str" cm="1">
        <f t="array" ref="N45:N49">Table_Input_InorganicFertiliser_Brands[Product (select)]</f>
        <v>Aqua Finish</v>
      </c>
      <c r="O45" s="26" cm="1">
        <f t="array" ref="O45:O49">Table_Input_InorganicFertiliser_Brands[N application rate (kg/ha)]</f>
        <v>3.2759999999999998</v>
      </c>
      <c r="P45" s="26" cm="1">
        <f t="array" ref="P45:P49">Table_Input_InorganicFertiliser_Brands[Application area (ha)]</f>
        <v>100</v>
      </c>
      <c r="Q45" s="26">
        <f>O45*P45</f>
        <v>327.59999999999997</v>
      </c>
      <c r="R45" s="26" cm="1">
        <f t="array" ref="R45">IF(O45&gt;0, Fertiliser_Equations_InorganicN2O.VEERG_5_1_1_2__1_EmissionFactorIrrigatedMaize(O45), 0)</f>
        <v>-1.2741640000000002E-3</v>
      </c>
      <c r="S45" s="26" cm="1">
        <f t="array" ref="S45">IF(O45&gt;0, Fertiliser_Equations_InorganicN2O.VEERG_5_1_1_2__2_EmissionFactorNonIrrigatedGrainsHighRainfall(O45), 0)</f>
        <v>1.0267E-3</v>
      </c>
      <c r="T45" s="26">
        <f>IF(O45&gt;0, MIN(300, O45), 0)</f>
        <v>3.2759999999999998</v>
      </c>
      <c r="U45" s="26">
        <f>P45*T45</f>
        <v>327.59999999999997</v>
      </c>
      <c r="V45" s="26" cm="1">
        <f t="array" ref="V45">IF(O45&gt;0, Fertiliser_Equations_InorganicN2O.VEERG_5_1_1_2__3_EmissionFactorCotton(T45), 0)</f>
        <v>2.902753508679765E-5</v>
      </c>
      <c r="W45" s="26">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9" t="s">
        <v>259</v>
      </c>
      <c r="E46" s="1" t="str" cm="1">
        <f t="array" ref="E46">Fertiliser_Equations_InorganicN2O.VEERG_5_1_1_1__1_InorganicFertiliserApplicationN2OEmissions_Variable()</f>
        <v>E_N2O</v>
      </c>
      <c r="F46" s="27"/>
      <c r="M46" s="26" t="s">
        <v>557</v>
      </c>
      <c r="N46" s="26" t="str">
        <v>CalPhos</v>
      </c>
      <c r="O46" s="26">
        <v>0</v>
      </c>
      <c r="P46" s="26">
        <v>100</v>
      </c>
      <c r="Q46" s="26">
        <f>O46*P46</f>
        <v>0</v>
      </c>
      <c r="R46" s="26" cm="1">
        <f t="array" ref="R46">IF(O46&gt;0, Fertiliser_Equations_InorganicN2O.VEERG_5_1_1_2__1_EmissionFactorIrrigatedMaize(O46), 0)</f>
        <v>0</v>
      </c>
      <c r="S46" s="26" cm="1">
        <f t="array" ref="S46">IF(O46&gt;0, Fertiliser_Equations_InorganicN2O.VEERG_5_1_1_2__2_EmissionFactorNonIrrigatedGrainsHighRainfall(O46), 0)</f>
        <v>0</v>
      </c>
      <c r="T46" s="26">
        <f t="shared" ref="T46:T54" si="0">IF(O46&gt;0, MIN(300, O46), 0)</f>
        <v>0</v>
      </c>
      <c r="U46" s="26">
        <f t="shared" ref="U46:U54" si="1">P46*T46</f>
        <v>0</v>
      </c>
      <c r="V46" s="26" cm="1">
        <f t="array" ref="V46">IF(O46&gt;0, Fertiliser_Equations_InorganicN2O.VEERG_5_1_1_2__3_EmissionFactorCotton(T46), 0)</f>
        <v>0</v>
      </c>
      <c r="W46" s="26">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9" t="s">
        <v>133</v>
      </c>
      <c r="E47" s="15" t="str" cm="1">
        <f t="array" ref="E47">Fertiliser_Equations_InorganicN2O.VEERG_5_1_1_1__1_InorganicFertiliserApplicationN2OEmissions_Unit()</f>
        <v>t N2O</v>
      </c>
      <c r="F47" s="27"/>
      <c r="M47" s="26" t="s">
        <v>557</v>
      </c>
      <c r="N47" s="26" t="str">
        <v>CalPhos</v>
      </c>
      <c r="O47" s="26">
        <v>0</v>
      </c>
      <c r="P47" s="26">
        <v>100</v>
      </c>
      <c r="Q47" s="26">
        <f t="shared" ref="Q47:Q54" si="2">O47*P47</f>
        <v>0</v>
      </c>
      <c r="R47" s="26" cm="1">
        <f t="array" ref="R47">IF(O47&gt;0, Fertiliser_Equations_InorganicN2O.VEERG_5_1_1_2__1_EmissionFactorIrrigatedMaize(O47), 0)</f>
        <v>0</v>
      </c>
      <c r="S47" s="26" cm="1">
        <f t="array" ref="S47">IF(O47&gt;0, Fertiliser_Equations_InorganicN2O.VEERG_5_1_1_2__2_EmissionFactorNonIrrigatedGrainsHighRainfall(O47), 0)</f>
        <v>0</v>
      </c>
      <c r="T47" s="26">
        <f t="shared" si="0"/>
        <v>0</v>
      </c>
      <c r="U47" s="26">
        <f t="shared" si="1"/>
        <v>0</v>
      </c>
      <c r="V47" s="26" cm="1">
        <f t="array" ref="V47">IF(O47&gt;0, Fertiliser_Equations_InorganicN2O.VEERG_5_1_1_2__3_EmissionFactorCotton(T47), 0)</f>
        <v>0</v>
      </c>
      <c r="W47" s="26">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7"/>
      <c r="M48" s="26" t="s">
        <v>557</v>
      </c>
      <c r="N48" s="26" t="str">
        <v>Aqua Grow</v>
      </c>
      <c r="O48" s="26">
        <v>12.096</v>
      </c>
      <c r="P48" s="26">
        <v>100</v>
      </c>
      <c r="Q48" s="26">
        <f t="shared" si="2"/>
        <v>1209.5999999999999</v>
      </c>
      <c r="R48" s="26" cm="1">
        <f t="array" ref="R48">IF(O48&gt;0, Fertiliser_Equations_InorganicN2O.VEERG_5_1_1_2__1_EmissionFactorIrrigatedMaize(O48), 0)</f>
        <v>-7.3614399999999999E-4</v>
      </c>
      <c r="S48" s="26" cm="1">
        <f t="array" ref="S48">IF(O48&gt;0, Fertiliser_Equations_InorganicN2O.VEERG_5_1_1_2__2_EmissionFactorNonIrrigatedGrainsHighRainfall(O48), 0)</f>
        <v>1.6881999999999999E-3</v>
      </c>
      <c r="T48" s="26">
        <f t="shared" si="0"/>
        <v>12.096</v>
      </c>
      <c r="U48" s="26">
        <f t="shared" si="1"/>
        <v>1209.5999999999999</v>
      </c>
      <c r="V48" s="26" cm="1">
        <f t="array" ref="V48">IF(O48&gt;0, Fertiliser_Equations_InorganicN2O.VEERG_5_1_1_2__3_EmissionFactorCotton(T48), 0)</f>
        <v>2.903266653082426E-5</v>
      </c>
      <c r="W48" s="26">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1" t="str" cm="1">
        <f t="array" ref="D49:E55">_xlfn.CHOOSECOLS(Fertiliser_Equations_InorganicN2O.VEERG_5_1_1_1__1_InorganicFertiliserApplicationN2OEmissions_Arguments(), 1, 2)</f>
        <v>MN_jf</v>
      </c>
      <c r="E49" s="122" t="str">
        <v>mass of nitrogen in inorganic fertiliser type f applied to production system j</v>
      </c>
      <c r="F49" s="168"/>
      <c r="G49" s="121" t="str" cm="1">
        <f t="array" ref="G49:H55">_xlfn.CHOOSECOLS(Fertiliser_Equations_InorganicN2O.VEERG_5_1_1_1__1_InorganicFertiliserApplicationN2OEmissions_Arguments(), 3,4)</f>
        <v>kg N</v>
      </c>
      <c r="H49" s="111" t="str">
        <v>Calculated from 5.1.1.1 (2)</v>
      </c>
      <c r="I49" s="112" t="str" cm="1">
        <f t="array" aca="1" ref="I49" ca="1">HYPERLINK(Common_InputFunctions.Utility_SourceHyperlink(D16), D16)</f>
        <v>Table_MN_j_f</v>
      </c>
      <c r="M49" s="26" t="s">
        <v>557</v>
      </c>
      <c r="N49" s="26" t="str">
        <v>Aqua NitroCal</v>
      </c>
      <c r="O49" s="26">
        <v>19.8</v>
      </c>
      <c r="P49" s="26">
        <v>100</v>
      </c>
      <c r="Q49" s="26">
        <f t="shared" si="2"/>
        <v>1980</v>
      </c>
      <c r="R49" s="26" cm="1">
        <f t="array" ref="R49">IF(O49&gt;0, Fertiliser_Equations_InorganicN2O.VEERG_5_1_1_2__1_EmissionFactorIrrigatedMaize(O49), 0)</f>
        <v>-2.6619999999999991E-4</v>
      </c>
      <c r="S49" s="26" cm="1">
        <f t="array" ref="S49">IF(O49&gt;0, Fertiliser_Equations_InorganicN2O.VEERG_5_1_1_2__2_EmissionFactorNonIrrigatedGrainsHighRainfall(O49), 0)</f>
        <v>2.2660000000000002E-3</v>
      </c>
      <c r="T49" s="26">
        <f t="shared" si="0"/>
        <v>19.8</v>
      </c>
      <c r="U49" s="26">
        <f t="shared" si="1"/>
        <v>1980</v>
      </c>
      <c r="V49" s="26" cm="1">
        <f t="array" ref="V49">IF(O49&gt;0, Fertiliser_Equations_InorganicN2O.VEERG_5_1_1_2__3_EmissionFactorCotton(T49), 0)</f>
        <v>2.9038198888180622E-5</v>
      </c>
      <c r="W49" s="26">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1" t="str">
        <v>EF_jN2O</v>
      </c>
      <c r="E50" s="122" t="str">
        <v>emission factor for nitrous oxide for inorganic fertilisers</v>
      </c>
      <c r="F50" s="168"/>
      <c r="G50" s="121" t="str">
        <v>kg N2O-N/kg N applied</v>
      </c>
      <c r="H50" s="111" t="str">
        <v>Constant</v>
      </c>
      <c r="I50" s="121">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6" t="s">
        <v>558</v>
      </c>
      <c r="N50" s="26" t="str" cm="1">
        <f t="array" ref="N50:N52">Table_Input_InorganicFertiliser_Custom[Custom blend name]</f>
        <v>My first custom blend</v>
      </c>
      <c r="O50" s="26" cm="1">
        <f t="array" ref="O50:O52">Table_Input_InorganicFertiliser_Custom[N application rate (kg/ha)]</f>
        <v>7.75</v>
      </c>
      <c r="P50" s="26" cm="1">
        <f t="array" ref="P50:P52">Table_Input_InorganicFertiliser_Custom[Application area (ha)]</f>
        <v>100</v>
      </c>
      <c r="Q50" s="26">
        <f t="shared" si="2"/>
        <v>775</v>
      </c>
      <c r="R50" s="26" cm="1">
        <f t="array" ref="R50">IF(O50&gt;0, Fertiliser_Equations_InorganicN2O.VEERG_5_1_1_2__1_EmissionFactorIrrigatedMaize(O50), 0)</f>
        <v>-1.00125E-3</v>
      </c>
      <c r="S50" s="26" cm="1">
        <f t="array" ref="S50">IF(O50&gt;0, Fertiliser_Equations_InorganicN2O.VEERG_5_1_1_2__2_EmissionFactorNonIrrigatedGrainsHighRainfall(O50), 0)</f>
        <v>1.36225E-3</v>
      </c>
      <c r="T50" s="26">
        <f t="shared" si="0"/>
        <v>7.75</v>
      </c>
      <c r="U50" s="26">
        <f t="shared" si="1"/>
        <v>775</v>
      </c>
      <c r="V50" s="26" cm="1">
        <f t="array" ref="V50">IF(O50&gt;0, Fertiliser_Equations_InorganicN2O.VEERG_5_1_1_2__3_EmissionFactorCotton(T50), 0)</f>
        <v>2.9029995329592254E-5</v>
      </c>
      <c r="W50" s="26">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1" t="str">
        <v>C_N2O</v>
      </c>
      <c r="E51" s="122" t="str">
        <v>factor to convert elemental mass of nitrous oxide to molecular mass</v>
      </c>
      <c r="F51" s="168"/>
      <c r="G51" s="121" t="str">
        <v/>
      </c>
      <c r="H51" s="111" t="str">
        <v>Constant</v>
      </c>
      <c r="I51" s="121">
        <f>Common_InputFunctions.Utility_LookupValueInTableNumber("N2O",Table_GasToMolecularConversionFactor[Gas],Table_GasToMolecularConversionFactor[Conversion factor combined])</f>
        <v>1.5714285714285714</v>
      </c>
      <c r="M51" s="26" t="s">
        <v>558</v>
      </c>
      <c r="N51" s="26" t="str">
        <v>My second custom blend</v>
      </c>
      <c r="O51" s="26">
        <v>46</v>
      </c>
      <c r="P51" s="26">
        <v>100</v>
      </c>
      <c r="Q51" s="26">
        <f t="shared" si="2"/>
        <v>4600</v>
      </c>
      <c r="R51" s="26" cm="1">
        <f t="array" ref="R51">IF(O51&gt;0, Fertiliser_Equations_InorganicN2O.VEERG_5_1_1_2__1_EmissionFactorIrrigatedMaize(O51), 0)</f>
        <v>1.3320000000000001E-3</v>
      </c>
      <c r="S51" s="26" cm="1">
        <f t="array" ref="S51">IF(O51&gt;0, Fertiliser_Equations_InorganicN2O.VEERG_5_1_1_2__2_EmissionFactorNonIrrigatedGrainsHighRainfall(O51), 0)</f>
        <v>4.2309999999999995E-3</v>
      </c>
      <c r="T51" s="26">
        <f t="shared" si="0"/>
        <v>46</v>
      </c>
      <c r="U51" s="26">
        <f t="shared" si="1"/>
        <v>4600</v>
      </c>
      <c r="V51" s="26" cm="1">
        <f t="array" ref="V51">IF(O51&gt;0, Fertiliser_Equations_InorganicN2O.VEERG_5_1_1_2__3_EmissionFactorCotton(T51), 0)</f>
        <v>2.9068248573243379E-5</v>
      </c>
      <c r="W51" s="26">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1" t="str">
        <v>j</v>
      </c>
      <c r="E52" s="122" t="str">
        <v>Production system</v>
      </c>
      <c r="F52" s="168"/>
      <c r="G52" s="121" t="str">
        <v/>
      </c>
      <c r="H52" s="110" t="str">
        <v>Input</v>
      </c>
      <c r="I52" s="121" t="str">
        <f>X_Cell_Fertiliser_ProductionSystem</f>
        <v>Crop</v>
      </c>
      <c r="M52" s="26" t="s">
        <v>558</v>
      </c>
      <c r="N52" s="26" t="str">
        <v>My third custom blend</v>
      </c>
      <c r="O52" s="26">
        <v>41.174999999999997</v>
      </c>
      <c r="P52" s="26">
        <v>100</v>
      </c>
      <c r="Q52" s="26">
        <f t="shared" si="2"/>
        <v>4117.5</v>
      </c>
      <c r="R52" s="26" cm="1">
        <f t="array" ref="R52">IF(O52&gt;0, Fertiliser_Equations_InorganicN2O.VEERG_5_1_1_2__1_EmissionFactorIrrigatedMaize(O52), 0)</f>
        <v>1.0376749999999998E-3</v>
      </c>
      <c r="S52" s="26" cm="1">
        <f t="array" ref="S52">IF(O52&gt;0, Fertiliser_Equations_InorganicN2O.VEERG_5_1_1_2__2_EmissionFactorNonIrrigatedGrainsHighRainfall(O52), 0)</f>
        <v>3.8691250000000002E-3</v>
      </c>
      <c r="T52" s="26">
        <f t="shared" si="0"/>
        <v>41.174999999999997</v>
      </c>
      <c r="U52" s="26">
        <f t="shared" si="1"/>
        <v>4117.5</v>
      </c>
      <c r="V52" s="26" cm="1">
        <f t="array" ref="V52">IF(O52&gt;0, Fertiliser_Equations_InorganicN2O.VEERG_5_1_1_2__3_EmissionFactorCotton(T52), 0)</f>
        <v>2.9061000580963132E-5</v>
      </c>
      <c r="W52" s="26">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1" t="str">
        <v>f</v>
      </c>
      <c r="E53" s="122" t="str">
        <v>Inorganic fertiliser type</v>
      </c>
      <c r="F53" s="168"/>
      <c r="G53" s="121" t="str">
        <v/>
      </c>
      <c r="H53" s="111" t="str">
        <v>Constant</v>
      </c>
      <c r="I53" s="121" t="str">
        <f>"See " &amp; D57</f>
        <v>See M1_Table_E_N2O</v>
      </c>
      <c r="M53" s="26" t="s">
        <v>558</v>
      </c>
      <c r="N53" s="26"/>
      <c r="O53" s="26"/>
      <c r="P53" s="26"/>
      <c r="Q53" s="26">
        <f t="shared" si="2"/>
        <v>0</v>
      </c>
      <c r="R53" s="26" cm="1">
        <f t="array" ref="R53">IF(O53&gt;0, Fertiliser_Equations_InorganicN2O.VEERG_5_1_1_2__1_EmissionFactorIrrigatedMaize(O53), 0)</f>
        <v>0</v>
      </c>
      <c r="S53" s="26" cm="1">
        <f t="array" ref="S53">IF(O53&gt;0, Fertiliser_Equations_InorganicN2O.VEERG_5_1_1_2__2_EmissionFactorNonIrrigatedGrainsHighRainfall(O53), 0)</f>
        <v>0</v>
      </c>
      <c r="T53" s="26">
        <f t="shared" si="0"/>
        <v>0</v>
      </c>
      <c r="U53" s="26">
        <f t="shared" si="1"/>
        <v>0</v>
      </c>
      <c r="V53" s="26" cm="1">
        <f t="array" ref="V53">IF(O53&gt;0, Fertiliser_Equations_InorganicN2O.VEERG_5_1_1_2__3_EmissionFactorCotton(T53), 0)</f>
        <v>0</v>
      </c>
      <c r="W53" s="26">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1" t="str">
        <v>ir</v>
      </c>
      <c r="E54" s="122" t="str">
        <v>irrigation method</v>
      </c>
      <c r="F54" s="168"/>
      <c r="G54" s="121" t="str">
        <v/>
      </c>
      <c r="H54" s="110" t="str">
        <v>Input</v>
      </c>
      <c r="I54" s="121" t="str">
        <f>X_Cell_Fertiliser_IrrigationMethod</f>
        <v>Sprinkler irrigation</v>
      </c>
      <c r="M54" s="26" t="s">
        <v>558</v>
      </c>
      <c r="N54" s="26"/>
      <c r="O54" s="26"/>
      <c r="P54" s="26"/>
      <c r="Q54" s="26">
        <f t="shared" si="2"/>
        <v>0</v>
      </c>
      <c r="R54" s="26" cm="1">
        <f t="array" ref="R54">IF(O54&gt;0, Fertiliser_Equations_InorganicN2O.VEERG_5_1_1_2__1_EmissionFactorIrrigatedMaize(O54), 0)</f>
        <v>0</v>
      </c>
      <c r="S54" s="26" cm="1">
        <f t="array" ref="S54">IF(O54&gt;0, Fertiliser_Equations_InorganicN2O.VEERG_5_1_1_2__2_EmissionFactorNonIrrigatedGrainsHighRainfall(O54), 0)</f>
        <v>0</v>
      </c>
      <c r="T54" s="26">
        <f t="shared" si="0"/>
        <v>0</v>
      </c>
      <c r="U54" s="26">
        <f t="shared" si="1"/>
        <v>0</v>
      </c>
      <c r="V54" s="26" cm="1">
        <f t="array" ref="V54">IF(O54&gt;0, Fertiliser_Equations_InorganicN2O.VEERG_5_1_1_2__3_EmissionFactorCotton(T54), 0)</f>
        <v>0</v>
      </c>
      <c r="W54" s="26">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1" t="str">
        <v>z</v>
      </c>
      <c r="E55" s="122" t="str">
        <v>rainfall zone</v>
      </c>
      <c r="F55" s="168"/>
      <c r="G55" s="121" t="str">
        <v/>
      </c>
      <c r="H55" s="110" t="str">
        <v>Input</v>
      </c>
      <c r="I55" s="121">
        <f>X_Cell_Site_RainfallZone</f>
        <v>0</v>
      </c>
    </row>
    <row r="56" spans="4:24" ht="20.100000000000001" customHeight="1" x14ac:dyDescent="0.25">
      <c r="F56" s="27"/>
    </row>
    <row r="57" spans="4:24" ht="20.100000000000001" customHeight="1" x14ac:dyDescent="0.25">
      <c r="D57" s="113" t="s">
        <v>559</v>
      </c>
      <c r="F57" s="27"/>
      <c r="L57" s="117"/>
      <c r="M57" s="117"/>
      <c r="N57" s="117"/>
      <c r="O57" s="117"/>
      <c r="P57" s="117"/>
      <c r="Q57" s="117"/>
      <c r="R57" s="117"/>
      <c r="S57" s="117"/>
      <c r="T57" s="117"/>
      <c r="U57" s="117"/>
      <c r="V57" s="117"/>
      <c r="W57" s="117"/>
      <c r="X57" s="117"/>
    </row>
    <row r="58" spans="4:24" ht="20.100000000000001" customHeight="1" x14ac:dyDescent="0.25">
      <c r="D58" s="114" t="s">
        <v>560</v>
      </c>
      <c r="F58" s="27"/>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5" t="s">
        <v>539</v>
      </c>
      <c r="E59" s="115" t="s">
        <v>561</v>
      </c>
      <c r="M59" s="28" t="str" cm="1">
        <f t="array" ref="M59">Fertiliser_Equations_InorganicN2O.VEERG_5_1_1_1__1_InorganicFertiliserApplicationN2OEmissions_Source()</f>
        <v>VEERG 2026: 5.1.1.1, Equation (1)</v>
      </c>
    </row>
    <row r="60" spans="4:24" ht="20.100000000000001" customHeight="1" x14ac:dyDescent="0.25">
      <c r="D60" s="26" t="str" cm="1">
        <f t="array" ref="D60:D78">Table_Fertiliser_ChemicalCompounds[Fertiliser type f]</f>
        <v>Monoammonium phosphate (MAP)</v>
      </c>
      <c r="E60" s="26" cm="1">
        <f t="array" ref="E60">Fertiliser_Equations_InorganicN2O.VEERG_5_1_1_1__1_InorganicFertiliserApplicationN2OEmissions(G19,$I$50,$I$51)</f>
        <v>0</v>
      </c>
      <c r="F60" s="27" t="str">
        <f>E47</f>
        <v>t N2O</v>
      </c>
      <c r="M60" s="104" t="s">
        <v>257</v>
      </c>
      <c r="N60" s="104" t="str" cm="1">
        <f t="array" aca="1" ref="N60" ca="1">Common_InputFunctions.Utility_DisplayFunctionName($E$60)</f>
        <v>=Fertiliser_Equations_InorganicN2O.VEERG_5_1_1_1__1_InorganicFertiliserApplicationN2OEmissions</v>
      </c>
    </row>
    <row r="61" spans="4:24" ht="20.100000000000001" customHeight="1" x14ac:dyDescent="0.25">
      <c r="D61" s="26" t="str">
        <v>Diammonium phosphate (DAP)</v>
      </c>
      <c r="E61" s="26" cm="1">
        <f t="array" ref="E61">Fertiliser_Equations_InorganicN2O.VEERG_5_1_1_1__1_InorganicFertiliserApplicationN2OEmissions(G20,$I$50,$I$51)</f>
        <v>0</v>
      </c>
    </row>
    <row r="62" spans="4:24" ht="20.100000000000001" customHeight="1" x14ac:dyDescent="0.25">
      <c r="D62" s="26" t="str">
        <v>Urea</v>
      </c>
      <c r="E62" s="26" cm="1">
        <f t="array" ref="E62">Fertiliser_Equations_InorganicN2O.VEERG_5_1_1_1__1_InorganicFertiliserApplicationN2OEmissions(G21,$I$50,$I$51)</f>
        <v>5.0599999999999999E-2</v>
      </c>
    </row>
    <row r="63" spans="4:24" ht="20.100000000000001" customHeight="1" x14ac:dyDescent="0.25">
      <c r="D63" s="26" t="str">
        <v>Sulphate of ammonia (SOA)</v>
      </c>
      <c r="E63" s="26" cm="1">
        <f t="array" ref="E63">Fertiliser_Equations_InorganicN2O.VEERG_5_1_1_1__1_InorganicFertiliserApplicationN2OEmissions(G22,$I$50,$I$51)</f>
        <v>0</v>
      </c>
    </row>
    <row r="64" spans="4:24" ht="20.100000000000001" customHeight="1" x14ac:dyDescent="0.25">
      <c r="D64" s="26" t="str">
        <v>Urea-ammonium nitrate (UAN)</v>
      </c>
      <c r="E64" s="26" cm="1">
        <f t="array" ref="E64">Fertiliser_Equations_InorganicN2O.VEERG_5_1_1_1__1_InorganicFertiliserApplicationN2OEmissions(G23,$I$50,$I$51)</f>
        <v>0</v>
      </c>
      <c r="M64" s="89" t="s">
        <v>259</v>
      </c>
      <c r="N64" s="1" t="str" cm="1">
        <f t="array" ref="N64">Fertiliser_Equations_InorganicN2O.VEERG_5_1_1_1__1_InorganicFertiliserApplicationN2OEmissions_Variable()</f>
        <v>E_N2O</v>
      </c>
    </row>
    <row r="65" spans="4:19" ht="20.100000000000001" customHeight="1" x14ac:dyDescent="0.25">
      <c r="D65" s="26" t="str">
        <v>Ammonium nitrate (AN)</v>
      </c>
      <c r="E65" s="26" cm="1">
        <f t="array" ref="E65">Fertiliser_Equations_InorganicN2O.VEERG_5_1_1_1__1_InorganicFertiliserApplicationN2OEmissions(G24,$I$50,$I$51)</f>
        <v>0</v>
      </c>
      <c r="M65" s="89" t="s">
        <v>133</v>
      </c>
      <c r="N65" s="15" t="str" cm="1">
        <f t="array" ref="N65">Fertiliser_Equations_InorganicN2O.VEERG_5_1_1_1__1_InorganicFertiliserApplicationN2OEmissions_Unit()</f>
        <v>t N2O</v>
      </c>
    </row>
    <row r="66" spans="4:19" ht="20.100000000000001" customHeight="1" x14ac:dyDescent="0.25">
      <c r="D66" s="26" t="str">
        <v>Calcium ammonium nitrate (CAN)</v>
      </c>
      <c r="E66" s="26" cm="1">
        <f t="array" ref="E66">Fertiliser_Equations_InorganicN2O.VEERG_5_1_1_1__1_InorganicFertiliserApplicationN2OEmissions(G25,$I$50,$I$51)</f>
        <v>0</v>
      </c>
    </row>
    <row r="67" spans="4:19" ht="20.100000000000001" customHeight="1" x14ac:dyDescent="0.25">
      <c r="D67" s="26" t="str">
        <v>Nitrogen - Ammoniacal</v>
      </c>
      <c r="E67" s="26" cm="1">
        <f t="array" ref="E67">Fertiliser_Equations_InorganicN2O.VEERG_5_1_1_1__1_InorganicFertiliserApplicationN2OEmissions(G26,$I$50,$I$51)</f>
        <v>0</v>
      </c>
      <c r="M67" s="121" t="str" cm="1">
        <f t="array" ref="M67:N74">_xlfn.CHOOSECOLS(Fertiliser_Equations_InorganicN2O.VEERG_5_1_1_1__1_InorganicFertiliserApplicationN2OEmissions_Arguments_Method2(), 1, 2)</f>
        <v>MN_jf</v>
      </c>
      <c r="N67" s="122" t="str">
        <v>mass of nitrogen in inorganic fertiliser type f applied to production system j</v>
      </c>
      <c r="O67" s="168"/>
      <c r="P67" s="171"/>
      <c r="Q67" s="121" t="str" cm="1">
        <f t="array" ref="Q67:R74">_xlfn.CHOOSECOLS(Fertiliser_Equations_InorganicN2O.VEERG_5_1_1_1__1_InorganicFertiliserApplicationN2OEmissions_Arguments_Method2(), 3,4)</f>
        <v>kg N</v>
      </c>
      <c r="R67" s="111" t="str">
        <v>Calculated from 5.1.1.1 (2)</v>
      </c>
      <c r="S67" s="112" t="str" cm="1">
        <f t="array" aca="1" ref="S67" ca="1">HYPERLINK(Common_InputFunctions.Utility_SourceHyperlink(M41), M41)</f>
        <v>M2_Table_FertApplications</v>
      </c>
    </row>
    <row r="68" spans="4:19" ht="20.100000000000001" customHeight="1" x14ac:dyDescent="0.25">
      <c r="D68" s="26" t="str">
        <v>Nitrogen - Nitrate</v>
      </c>
      <c r="E68" s="26" cm="1">
        <f t="array" ref="E68">Fertiliser_Equations_InorganicN2O.VEERG_5_1_1_1__1_InorganicFertiliserApplicationN2OEmissions(G27,$I$50,$I$51)</f>
        <v>2.1779999999999997E-2</v>
      </c>
      <c r="M68" s="121" t="str">
        <v>EF_jN2O</v>
      </c>
      <c r="N68" s="122" t="str">
        <v>emission factor for nitrous oxide for inorganic fertilisers</v>
      </c>
      <c r="O68" s="168"/>
      <c r="P68" s="171"/>
      <c r="Q68" s="121" t="str">
        <v>kg N2O-N/kg N applied</v>
      </c>
      <c r="R68" s="111" t="str">
        <v>Calculated from 5.1.1.2 (1)(2)(3)</v>
      </c>
      <c r="S68" s="121" t="str" cm="1">
        <f t="array" ref="S68">_xlfn.IFS(
  AND(S70="crop", S71="grains", S73="not irrigated", S74="high rainfall"), $S$44,
  AND(S70="Crop", S71="maize", S73&lt;&gt;"not irrigated"), $R$44,
  AND(S70="Crop", S71="cotton"), $V$44,
  TRUE, $W$44
)</f>
        <v>EF_jN2O</v>
      </c>
    </row>
    <row r="69" spans="4:19" ht="20.100000000000001" customHeight="1" x14ac:dyDescent="0.25">
      <c r="D69" s="26" t="str">
        <v>Nitrogen - Generic</v>
      </c>
      <c r="E69" s="26" cm="1">
        <f t="array" ref="E69">Fertiliser_Equations_InorganicN2O.VEERG_5_1_1_1__1_InorganicFertiliserApplicationN2OEmissions(G28,$I$50,$I$51)</f>
        <v>1.6909200000000003E-2</v>
      </c>
      <c r="M69" s="121" t="str">
        <v>C_N2O</v>
      </c>
      <c r="N69" s="122" t="str">
        <v>factor to convert elemental mass of nitrous oxide to molecular mass</v>
      </c>
      <c r="O69" s="168"/>
      <c r="P69" s="171"/>
      <c r="Q69" s="121" t="str">
        <v/>
      </c>
      <c r="R69" s="111" t="str">
        <v>Constant</v>
      </c>
      <c r="S69" s="121">
        <f>Common_InputFunctions.Utility_LookupValueInTableNumber("N2O",Table_GasToMolecularConversionFactor[Gas],Table_GasToMolecularConversionFactor[Conversion factor combined])</f>
        <v>1.5714285714285714</v>
      </c>
    </row>
    <row r="70" spans="4:19" ht="20.100000000000001" customHeight="1" x14ac:dyDescent="0.25">
      <c r="D70" s="26" t="str">
        <v>Phosphorus - Generic</v>
      </c>
      <c r="E70" s="26" cm="1">
        <f t="array" ref="E70">Fertiliser_Equations_InorganicN2O.VEERG_5_1_1_1__1_InorganicFertiliserApplicationN2OEmissions(G29,$I$50,$I$51)</f>
        <v>0</v>
      </c>
      <c r="M70" s="121" t="str">
        <v>j</v>
      </c>
      <c r="N70" s="122" t="str">
        <v>Production system</v>
      </c>
      <c r="O70" s="168"/>
      <c r="P70" s="171"/>
      <c r="Q70" s="121" t="str">
        <v/>
      </c>
      <c r="R70" s="110" t="str">
        <v>Input</v>
      </c>
      <c r="S70" s="121" t="str">
        <f>X_Cell_Fertiliser_ProductionSystem</f>
        <v>Crop</v>
      </c>
    </row>
    <row r="71" spans="4:19" ht="20.100000000000001" customHeight="1" x14ac:dyDescent="0.25">
      <c r="D71" s="26" t="str">
        <v>Potassium - Generic</v>
      </c>
      <c r="E71" s="26" cm="1">
        <f t="array" ref="E71">Fertiliser_Equations_InorganicN2O.VEERG_5_1_1_1__1_InorganicFertiliserApplicationN2OEmissions(G30,$I$50,$I$51)</f>
        <v>0</v>
      </c>
      <c r="M71" s="121" t="str">
        <v>c</v>
      </c>
      <c r="N71" s="122" t="str">
        <v>Crop type</v>
      </c>
      <c r="O71" s="168"/>
      <c r="P71" s="171"/>
      <c r="Q71" s="121" t="str">
        <v/>
      </c>
      <c r="R71" s="110" t="str">
        <v>Input</v>
      </c>
      <c r="S71" s="121" t="str">
        <f>X_Cell_Fertiliser_CropType</f>
        <v>Grains</v>
      </c>
    </row>
    <row r="72" spans="4:19" ht="20.100000000000001" customHeight="1" x14ac:dyDescent="0.25">
      <c r="D72" s="26" t="str">
        <v>Sulfur - Generic</v>
      </c>
      <c r="E72" s="26" cm="1">
        <f t="array" ref="E72">Fertiliser_Equations_InorganicN2O.VEERG_5_1_1_1__1_InorganicFertiliserApplicationN2OEmissions(G31,$I$50,$I$51)</f>
        <v>0</v>
      </c>
      <c r="M72" s="121" t="str">
        <v>f</v>
      </c>
      <c r="N72" s="122" t="str">
        <v>Inorganic fertiliser type</v>
      </c>
      <c r="O72" s="168"/>
      <c r="P72" s="171"/>
      <c r="Q72" s="121" t="str">
        <v/>
      </c>
      <c r="R72" s="111" t="str">
        <v>Constant</v>
      </c>
      <c r="S72" s="121" t="s">
        <v>562</v>
      </c>
    </row>
    <row r="73" spans="4:19" ht="20.100000000000001" customHeight="1" x14ac:dyDescent="0.25">
      <c r="D73" s="26" t="str">
        <v>Zinc - Generic</v>
      </c>
      <c r="E73" s="26" cm="1">
        <f t="array" ref="E73">Fertiliser_Equations_InorganicN2O.VEERG_5_1_1_1__1_InorganicFertiliserApplicationN2OEmissions(G32,$I$50,$I$51)</f>
        <v>0</v>
      </c>
      <c r="M73" s="121" t="str">
        <v>ir</v>
      </c>
      <c r="N73" s="122" t="str">
        <v>irrigation method</v>
      </c>
      <c r="O73" s="168"/>
      <c r="P73" s="171"/>
      <c r="Q73" s="121" t="str">
        <v/>
      </c>
      <c r="R73" s="110" t="str">
        <v>Input</v>
      </c>
      <c r="S73" s="121" t="str">
        <f>X_Cell_Fertiliser_IrrigationMethod</f>
        <v>Sprinkler irrigation</v>
      </c>
    </row>
    <row r="74" spans="4:19" ht="20.100000000000001" customHeight="1" x14ac:dyDescent="0.25">
      <c r="D74" s="26" t="str">
        <v>Muriate of potash (MOP)</v>
      </c>
      <c r="E74" s="26" cm="1">
        <f t="array" ref="E74">Fertiliser_Equations_InorganicN2O.VEERG_5_1_1_1__1_InorganicFertiliserApplicationN2OEmissions(G33,$I$50,$I$51)</f>
        <v>0</v>
      </c>
      <c r="M74" s="122" t="str">
        <v>z</v>
      </c>
      <c r="N74" s="122" t="str">
        <v>rainfall zone</v>
      </c>
      <c r="O74" s="168"/>
      <c r="P74" s="168"/>
      <c r="Q74" s="121" t="str">
        <v/>
      </c>
      <c r="R74" s="110" t="str">
        <v>Input</v>
      </c>
      <c r="S74" s="121">
        <f>X_Cell_Site_RainfallZone</f>
        <v>0</v>
      </c>
    </row>
    <row r="75" spans="4:19" ht="20.100000000000001" customHeight="1" x14ac:dyDescent="0.25">
      <c r="D75" s="26" t="str">
        <v>Double superphosphate</v>
      </c>
      <c r="E75" s="26" cm="1">
        <f t="array" ref="E75">Fertiliser_Equations_InorganicN2O.VEERG_5_1_1_1__1_InorganicFertiliserApplicationN2OEmissions(G34,$I$50,$I$51)</f>
        <v>0</v>
      </c>
    </row>
    <row r="76" spans="4:19" ht="20.100000000000001" customHeight="1" x14ac:dyDescent="0.25">
      <c r="D76" s="26" t="str">
        <v>Single superphosphate (SSP)</v>
      </c>
      <c r="E76" s="26" cm="1">
        <f t="array" ref="E76">Fertiliser_Equations_InorganicN2O.VEERG_5_1_1_1__1_InorganicFertiliserApplicationN2OEmissions(G35,$I$50,$I$51)</f>
        <v>0</v>
      </c>
      <c r="M76" s="115" t="s">
        <v>550</v>
      </c>
      <c r="N76" s="115" t="s">
        <v>550</v>
      </c>
      <c r="O76" s="115" t="s">
        <v>563</v>
      </c>
      <c r="P76" s="115" t="s">
        <v>561</v>
      </c>
    </row>
    <row r="77" spans="4:19" ht="20.100000000000001" customHeight="1" x14ac:dyDescent="0.25">
      <c r="D77" s="26" t="str">
        <v>Ammonia</v>
      </c>
      <c r="E77" s="26" cm="1">
        <f t="array" ref="E77">Fertiliser_Equations_InorganicN2O.VEERG_5_1_1_1__1_InorganicFertiliserApplicationN2OEmissions(G36,$I$50,$I$51)</f>
        <v>4.5292500000000006E-2</v>
      </c>
      <c r="M77" s="26" t="s">
        <v>557</v>
      </c>
      <c r="N77" s="26" t="str" cm="1">
        <f t="array" ref="N77:N81">Table_Input_InorganicFertiliser_Brands[Product (select)]</f>
        <v>Aqua Finish</v>
      </c>
      <c r="O77" s="26" cm="1">
        <f t="array" ref="O77">_xlfn.XLOOKUP(N77,$N$45:$N$54,_xlfn.XLOOKUP($S$68,$R$44:$W$44,$R$45:$W$54), "")</f>
        <v>7.0000000000000001E-3</v>
      </c>
      <c r="P77" s="26" cm="1">
        <f t="array" ref="P77">Fertiliser_Equations_InorganicN2O.VEERG_5_1_1_1__1_InorganicFertiliserApplicationN2OEmissions(Q45,O77,$S$69)</f>
        <v>3.6035999999999993E-3</v>
      </c>
    </row>
    <row r="78" spans="4:19" ht="20.100000000000001" customHeight="1" x14ac:dyDescent="0.25">
      <c r="D78" s="26" t="str">
        <v>Calcium nitrate</v>
      </c>
      <c r="E78" s="26" cm="1">
        <f t="array" ref="E78">Fertiliser_Equations_InorganicN2O.VEERG_5_1_1_1__1_InorganicFertiliserApplicationN2OEmissions(G37,$I$50,$I$51)</f>
        <v>8.5250000000000013E-3</v>
      </c>
      <c r="M78" s="26" t="s">
        <v>557</v>
      </c>
      <c r="N78" s="26" t="str">
        <v>CalPhos</v>
      </c>
      <c r="O78" s="26" cm="1">
        <f t="array" ref="O78">_xlfn.XLOOKUP(N78,$N$45:$N$54,_xlfn.XLOOKUP($S$68,$R$44:$W$44,$R$45:$W$54), FALSE)</f>
        <v>0</v>
      </c>
      <c r="P78" s="26" cm="1">
        <f t="array" ref="P78">Fertiliser_Equations_InorganicN2O.VEERG_5_1_1_1__1_InorganicFertiliserApplicationN2OEmissions(Q46,O78,$S$69)</f>
        <v>0</v>
      </c>
    </row>
    <row r="79" spans="4:19" ht="20.100000000000001" customHeight="1" x14ac:dyDescent="0.25">
      <c r="M79" s="26" t="s">
        <v>557</v>
      </c>
      <c r="N79" s="26" t="str">
        <v>CalPhos</v>
      </c>
      <c r="O79" s="26" cm="1">
        <f t="array" ref="O79">_xlfn.XLOOKUP(N79,$N$45:$N$54,_xlfn.XLOOKUP($S$68,$R$44:$W$44,$R$45:$W$54))</f>
        <v>0</v>
      </c>
      <c r="P79" s="26" cm="1">
        <f t="array" ref="P79">Fertiliser_Equations_InorganicN2O.VEERG_5_1_1_1__1_InorganicFertiliserApplicationN2OEmissions(Q47,O79,$S$69)</f>
        <v>0</v>
      </c>
    </row>
    <row r="80" spans="4:19" ht="20.100000000000001" customHeight="1" x14ac:dyDescent="0.25">
      <c r="D80" s="118" t="s">
        <v>564</v>
      </c>
      <c r="E80" s="119">
        <f>SUM(E60:E78)</f>
        <v>0.1431067</v>
      </c>
      <c r="F80" s="120" t="str">
        <f>$E$47</f>
        <v>t N2O</v>
      </c>
      <c r="M80" s="26" t="s">
        <v>557</v>
      </c>
      <c r="N80" s="26" t="str">
        <v>Aqua Grow</v>
      </c>
      <c r="O80" s="26" cm="1">
        <f t="array" ref="O80">_xlfn.XLOOKUP(N80,$N$45:$N$54,_xlfn.XLOOKUP($S$68,$R$44:$W$44,$R$45:$W$54))</f>
        <v>7.0000000000000001E-3</v>
      </c>
      <c r="P80" s="26" cm="1">
        <f t="array" ref="P80">Fertiliser_Equations_InorganicN2O.VEERG_5_1_1_1__1_InorganicFertiliserApplicationN2OEmissions(Q48,O80,$S$69)</f>
        <v>1.3305600000000001E-2</v>
      </c>
    </row>
    <row r="81" spans="4:16" ht="20.100000000000001" customHeight="1" x14ac:dyDescent="0.25">
      <c r="M81" s="26" t="s">
        <v>557</v>
      </c>
      <c r="N81" s="26" t="str">
        <v>Aqua NitroCal</v>
      </c>
      <c r="O81" s="26" cm="1">
        <f t="array" ref="O81">_xlfn.XLOOKUP(N81,$N$45:$N$54,_xlfn.XLOOKUP($S$68,$R$44:$W$44,$R$45:$W$54))</f>
        <v>7.0000000000000001E-3</v>
      </c>
      <c r="P81" s="26" cm="1">
        <f t="array" ref="P81">Fertiliser_Equations_InorganicN2O.VEERG_5_1_1_1__1_InorganicFertiliserApplicationN2OEmissions(Q49,O81,$S$69)</f>
        <v>2.1779999999999997E-2</v>
      </c>
    </row>
    <row r="82" spans="4:16" ht="20.100000000000001" customHeight="1" x14ac:dyDescent="0.25">
      <c r="D82" s="121" t="str" cm="1">
        <f t="array" ref="D82:E83">Common_Equations.Common_ConvertN2OToCO2e_Arguments()</f>
        <v>EN2O</v>
      </c>
      <c r="E82" s="122" t="str">
        <v>Nitrous oxide emissions (t N2O)</v>
      </c>
      <c r="F82" s="123"/>
      <c r="G82" s="26">
        <f>E80</f>
        <v>0.1431067</v>
      </c>
      <c r="M82" s="26" t="s">
        <v>558</v>
      </c>
      <c r="N82" s="26" t="str" cm="1">
        <f t="array" ref="N82:N84">Table_Input_InorganicFertiliser_Custom[Custom blend name]</f>
        <v>My first custom blend</v>
      </c>
      <c r="O82" s="26" cm="1">
        <f t="array" ref="O82">_xlfn.XLOOKUP(N82,$N$45:$N$54,_xlfn.XLOOKUP($S$68,$R$44:$W$44,$R$45:$W$54))</f>
        <v>7.0000000000000001E-3</v>
      </c>
      <c r="P82" s="26" cm="1">
        <f t="array" ref="P82">Fertiliser_Equations_InorganicN2O.VEERG_5_1_1_1__1_InorganicFertiliserApplicationN2OEmissions(Q50,O82,$S$69)</f>
        <v>8.5250000000000013E-3</v>
      </c>
    </row>
    <row r="83" spans="4:16" ht="20.100000000000001" customHeight="1" x14ac:dyDescent="0.25">
      <c r="D83" s="121" t="str">
        <v>GWPN2O</v>
      </c>
      <c r="E83" s="122" t="str">
        <v>Global warming potential for nitrous oxide (t CO2-e / t N2O)</v>
      </c>
      <c r="F83" s="123"/>
      <c r="G83" s="26">
        <f>Common_InputFunctions.Utility_LookupValueInTableNumber("N2O",Table_GWPData[Gas],Table_GWPData[CO2-e factor])</f>
        <v>265</v>
      </c>
      <c r="M83" s="26" t="s">
        <v>558</v>
      </c>
      <c r="N83" s="26" t="str">
        <v>My second custom blend</v>
      </c>
      <c r="O83" s="26" cm="1">
        <f t="array" ref="O83">_xlfn.XLOOKUP(N83,$N$45:$N$54,_xlfn.XLOOKUP($S$68,$R$44:$W$44,$R$45:$W$54))</f>
        <v>7.0000000000000001E-3</v>
      </c>
      <c r="P83" s="26" cm="1">
        <f t="array" ref="P83">Fertiliser_Equations_InorganicN2O.VEERG_5_1_1_1__1_InorganicFertiliserApplicationN2OEmissions(Q51,O83,$S$69)</f>
        <v>5.0599999999999999E-2</v>
      </c>
    </row>
    <row r="84" spans="4:16" ht="20.100000000000001" customHeight="1" x14ac:dyDescent="0.25">
      <c r="M84" s="26" t="s">
        <v>558</v>
      </c>
      <c r="N84" s="26" t="str">
        <v>My third custom blend</v>
      </c>
      <c r="O84" s="26" cm="1">
        <f t="array" ref="O84">_xlfn.XLOOKUP(N84,$N$45:$N$54,_xlfn.XLOOKUP($S$68,$R$44:$W$44,$R$45:$W$54))</f>
        <v>7.0000000000000001E-3</v>
      </c>
      <c r="P84" s="26" cm="1">
        <f t="array" ref="P84">Fertiliser_Equations_InorganicN2O.VEERG_5_1_1_1__1_InorganicFertiliserApplicationN2OEmissions(Q52,O84,$S$69)</f>
        <v>4.5292500000000006E-2</v>
      </c>
    </row>
    <row r="85" spans="4:16" ht="20.100000000000001" customHeight="1" x14ac:dyDescent="0.25">
      <c r="D85" s="117" t="s">
        <v>297</v>
      </c>
      <c r="E85" s="117" cm="1">
        <f t="array" ref="E85">Common_Equations.Common_ConvertN2OToCO2e(G82,G83)</f>
        <v>37.923275500000003</v>
      </c>
      <c r="F85" s="124" t="str" cm="1">
        <f t="array" ref="F85">Common_Equations.Common_ConvertN2OToCO2e_Unit()</f>
        <v>t CO2e</v>
      </c>
      <c r="M85" s="26" t="s">
        <v>558</v>
      </c>
      <c r="N85" s="26"/>
      <c r="O85" s="26" cm="1">
        <f t="array" ref="O85">_xlfn.XLOOKUP(N85,$N$45:$N$54,_xlfn.XLOOKUP($S$68,$R$44:$W$44,$R$45:$W$54))</f>
        <v>0</v>
      </c>
      <c r="P85" s="26" cm="1">
        <f t="array" ref="P85">Fertiliser_Equations_InorganicN2O.VEERG_5_1_1_1__1_InorganicFertiliserApplicationN2OEmissions(Q53,O85,$S$69)</f>
        <v>0</v>
      </c>
    </row>
    <row r="86" spans="4:16" ht="20.100000000000001" customHeight="1" x14ac:dyDescent="0.25">
      <c r="M86" s="26" t="s">
        <v>558</v>
      </c>
      <c r="N86" s="26"/>
      <c r="O86" s="26" cm="1">
        <f t="array" ref="O86">_xlfn.XLOOKUP(N86,$N$45:$N$54,_xlfn.XLOOKUP($S$68,$R$44:$W$44,$R$45:$W$54))</f>
        <v>0</v>
      </c>
      <c r="P86" s="26"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8" t="s">
        <v>564</v>
      </c>
      <c r="N88" s="119">
        <f>SUM(P77:P86)</f>
        <v>0.1431067</v>
      </c>
      <c r="O88" s="120" t="str">
        <f>$E$47</f>
        <v>t N2O</v>
      </c>
    </row>
    <row r="89" spans="4:16" ht="20.100000000000001" customHeight="1" x14ac:dyDescent="0.25"/>
    <row r="90" spans="4:16" ht="20.100000000000001" customHeight="1" x14ac:dyDescent="0.25">
      <c r="M90" s="121" t="str" cm="1">
        <f t="array" ref="M90:N91">Common_Equations.Common_ConvertN2OToCO2e_Arguments()</f>
        <v>EN2O</v>
      </c>
      <c r="N90" s="122" t="str">
        <v>Nitrous oxide emissions (t N2O)</v>
      </c>
      <c r="O90" s="123"/>
      <c r="P90" s="26">
        <f>N88</f>
        <v>0.1431067</v>
      </c>
    </row>
    <row r="91" spans="4:16" ht="20.100000000000001" customHeight="1" x14ac:dyDescent="0.25">
      <c r="M91" s="121" t="str">
        <v>GWPN2O</v>
      </c>
      <c r="N91" s="122" t="str">
        <v>Global warming potential for nitrous oxide (t CO2-e / t N2O)</v>
      </c>
      <c r="O91" s="123"/>
      <c r="P91" s="26">
        <f>Common_InputFunctions.Utility_LookupValueInTableNumber("N2O",Table_GWPData[Gas],Table_GWPData[CO2-e factor])</f>
        <v>265</v>
      </c>
    </row>
    <row r="92" spans="4:16" ht="20.100000000000001" customHeight="1" x14ac:dyDescent="0.25"/>
    <row r="93" spans="4:16" ht="20.100000000000001" customHeight="1" x14ac:dyDescent="0.25">
      <c r="M93" s="117" t="s">
        <v>297</v>
      </c>
      <c r="N93" s="117" cm="1">
        <f t="array" ref="N93">Common_Equations.Common_ConvertN2OToCO2e(P90,P91)</f>
        <v>37.923275500000003</v>
      </c>
      <c r="O93" s="124"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40302082-14DE-4115-8621-AD63A4AA2982}"/>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B7985-9CE1-4ECC-BE12-C8728236440E}">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565</v>
      </c>
    </row>
    <row r="2" spans="1:21" s="3" customFormat="1" ht="20.100000000000001" customHeight="1" x14ac:dyDescent="0.25">
      <c r="A2"/>
    </row>
    <row r="3" spans="1:21" ht="20.100000000000001" customHeight="1" x14ac:dyDescent="0.25">
      <c r="A3" s="5" t="str">
        <f>HYPERLINK("#'Home'!A1", "Home")</f>
        <v>Home</v>
      </c>
      <c r="C3" s="34"/>
      <c r="D3" s="34" t="s">
        <v>152</v>
      </c>
      <c r="E3" s="34"/>
      <c r="F3" s="34"/>
      <c r="G3" s="34"/>
      <c r="H3" s="34"/>
      <c r="I3" s="34"/>
      <c r="J3" s="34"/>
      <c r="K3" s="34"/>
      <c r="L3" s="34"/>
      <c r="N3" s="34"/>
      <c r="O3" s="34" t="s">
        <v>153</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8" t="str" cm="1">
        <f t="array" ref="D6">Fertiliser_Equations_InorganicCO2.VEERG_5_1_1_3__2_MassOfUreaInInorganicFertiliser_Source()</f>
        <v>VEERG 2026: 5.1.1.3, Equation (2)</v>
      </c>
    </row>
    <row r="7" spans="1:21" ht="20.100000000000001" customHeight="1" x14ac:dyDescent="0.25">
      <c r="A7" s="7" t="s">
        <v>0</v>
      </c>
      <c r="D7" s="104" t="s">
        <v>257</v>
      </c>
      <c r="E7" s="104"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259</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9" t="s">
        <v>133</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1" t="str" cm="1">
        <f t="array" ref="D13:E14">_xlfn.CHOOSECOLS(Fertiliser_Equations_InorganicCO2.VEERG_5_1_1_3__2_MassOfUreaInInorganicFertiliser_Arguments(), 1, 2)</f>
        <v>TM_jf</v>
      </c>
      <c r="E13" s="122" t="str">
        <v>total mass of inorganic fertiliser type f applied to production system j</v>
      </c>
      <c r="F13" s="171"/>
      <c r="G13" s="121" t="str" cm="1">
        <f t="array" ref="G13:H14">_xlfn.CHOOSECOLS(Fertiliser_Equations_InorganicCO2.VEERG_5_1_1_3__2_MassOfUreaInInorganicFertiliser_Arguments(), 3, 4)</f>
        <v>kg</v>
      </c>
      <c r="H13" s="110" t="str">
        <v>Input</v>
      </c>
      <c r="I13" s="112" t="str" cm="1">
        <f t="array" aca="1" ref="I13" ca="1">HYPERLINK(Common_InputFunctions.Utility_SourceHyperlink($D$16), $D$16)</f>
        <v>Table_MU_j_f</v>
      </c>
    </row>
    <row r="14" spans="1:21" ht="20.100000000000001" customHeight="1" x14ac:dyDescent="0.25">
      <c r="A14" s="5" t="str">
        <f>HYPERLINK("#'Input - Fuel'!A1", "Fuel")</f>
        <v>Fuel</v>
      </c>
      <c r="D14" s="121" t="str">
        <v>FU_f</v>
      </c>
      <c r="E14" s="122" t="str">
        <v>fraction of urea in fertiliser type f</v>
      </c>
      <c r="F14" s="171"/>
      <c r="G14" s="121" t="str">
        <v>kg urea/kg</v>
      </c>
      <c r="H14" s="111" t="str">
        <v>Lookup</v>
      </c>
      <c r="I14" s="112"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3" t="s">
        <v>566</v>
      </c>
    </row>
    <row r="17" spans="1:7" ht="20.100000000000001" customHeight="1" x14ac:dyDescent="0.25">
      <c r="D17" s="114" t="s">
        <v>567</v>
      </c>
    </row>
    <row r="18" spans="1:7" ht="20.100000000000001" customHeight="1" x14ac:dyDescent="0.25">
      <c r="A18" s="6" t="s">
        <v>2</v>
      </c>
      <c r="D18" s="115" t="s">
        <v>539</v>
      </c>
      <c r="E18" s="116" t="s">
        <v>540</v>
      </c>
      <c r="F18" s="115" t="s">
        <v>568</v>
      </c>
      <c r="G18" s="115" t="s">
        <v>569</v>
      </c>
    </row>
    <row r="19" spans="1:7"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6" cm="1">
        <f t="array" ref="F19">Common_InputFunctions.Utility_LookupValueInTableNumber(D19,Table_Fertiliser_ChemicalCompounds[Fertiliser type f],Table_Fertiliser_ChemicalCompounds[FU f])</f>
        <v>0</v>
      </c>
      <c r="G19" s="26"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6" t="str">
        <v>Diammonium phosphate (DAP)</v>
      </c>
      <c r="E20" s="26"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6" cm="1">
        <f t="array" ref="F20">Common_InputFunctions.Utility_LookupValueInTableNumber(D20,Table_Fertiliser_ChemicalCompounds[Fertiliser type f],Table_Fertiliser_ChemicalCompounds[FU f])</f>
        <v>0</v>
      </c>
      <c r="G20" s="26"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6" t="str">
        <v>Urea</v>
      </c>
      <c r="E21" s="26"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6" cm="1">
        <f t="array" ref="F21">Common_InputFunctions.Utility_LookupValueInTableNumber(D21,Table_Fertiliser_ChemicalCompounds[Fertiliser type f],Table_Fertiliser_ChemicalCompounds[FU f])</f>
        <v>1</v>
      </c>
      <c r="G21" s="26"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6" t="str">
        <v>Sulphate of ammonia (SOA)</v>
      </c>
      <c r="E22" s="26"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6" cm="1">
        <f t="array" ref="F22">Common_InputFunctions.Utility_LookupValueInTableNumber(D22,Table_Fertiliser_ChemicalCompounds[Fertiliser type f],Table_Fertiliser_ChemicalCompounds[FU f])</f>
        <v>0</v>
      </c>
      <c r="G22" s="26"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6" t="str">
        <v>Urea-ammonium nitrate (UAN)</v>
      </c>
      <c r="E23" s="26"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6" cm="1">
        <f t="array" ref="F23">Common_InputFunctions.Utility_LookupValueInTableNumber(D23,Table_Fertiliser_ChemicalCompounds[Fertiliser type f],Table_Fertiliser_ChemicalCompounds[FU f])</f>
        <v>0.35</v>
      </c>
      <c r="G23" s="26"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6" t="str">
        <v>Ammonium nitrate (AN)</v>
      </c>
      <c r="E24" s="26"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6" cm="1">
        <f t="array" ref="F24">Common_InputFunctions.Utility_LookupValueInTableNumber(D24,Table_Fertiliser_ChemicalCompounds[Fertiliser type f],Table_Fertiliser_ChemicalCompounds[FU f])</f>
        <v>0</v>
      </c>
      <c r="G24" s="26" cm="1">
        <f t="array" ref="G24">Fertiliser_Equations_InorganicCO2.VEERG_5_1_1_3__2_MassOfUreaInInorganicFertiliser(E24,F24)</f>
        <v>0</v>
      </c>
    </row>
    <row r="25" spans="1:7" ht="20.100000000000001" customHeight="1" x14ac:dyDescent="0.25">
      <c r="A25" s="105" t="str">
        <f>HYPERLINK("#'5.1.1.3-4 Inorganic fert CO2'!A1", "5.1.1.3-4 Inorganic fert CO2")</f>
        <v>5.1.1.3-4 Inorganic fert CO2</v>
      </c>
      <c r="D25" s="26" t="str">
        <v>Calcium ammonium nitrate (CAN)</v>
      </c>
      <c r="E25" s="26"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6" cm="1">
        <f t="array" ref="F25">Common_InputFunctions.Utility_LookupValueInTableNumber(D25,Table_Fertiliser_ChemicalCompounds[Fertiliser type f],Table_Fertiliser_ChemicalCompounds[FU f])</f>
        <v>0</v>
      </c>
      <c r="G25" s="26"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6" t="str">
        <v>Nitrogen - Ammoniacal</v>
      </c>
      <c r="E26" s="26"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6" cm="1">
        <f t="array" ref="F26">Common_InputFunctions.Utility_LookupValueInTableNumber(D26,Table_Fertiliser_ChemicalCompounds[Fertiliser type f],Table_Fertiliser_ChemicalCompounds[FU f])</f>
        <v>0</v>
      </c>
      <c r="G26" s="26" cm="1">
        <f t="array" ref="G26">Fertiliser_Equations_InorganicCO2.VEERG_5_1_1_3__2_MassOfUreaInInorganicFertiliser(E26,F26)</f>
        <v>0</v>
      </c>
    </row>
    <row r="27" spans="1:7" ht="20.100000000000001" customHeight="1" x14ac:dyDescent="0.25">
      <c r="A27" s="5" t="str">
        <f>HYPERLINK("#'5.3.1.1-2 Lime CO2'!A1", "5.3.1.1-2 Lime CO2")</f>
        <v>5.3.1.1-2 Lime CO2</v>
      </c>
      <c r="D27" s="26" t="str">
        <v>Nitrogen - Nitrate</v>
      </c>
      <c r="E27" s="26"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6" cm="1">
        <f t="array" ref="F27">Common_InputFunctions.Utility_LookupValueInTableNumber(D27,Table_Fertiliser_ChemicalCompounds[Fertiliser type f],Table_Fertiliser_ChemicalCompounds[FU f])</f>
        <v>0</v>
      </c>
      <c r="G27" s="26"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6" t="str">
        <v>Nitrogen - Generic</v>
      </c>
      <c r="E28" s="26"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6" cm="1">
        <f t="array" ref="F28">Common_InputFunctions.Utility_LookupValueInTableNumber(D28,Table_Fertiliser_ChemicalCompounds[Fertiliser type f],Table_Fertiliser_ChemicalCompounds[FU f])</f>
        <v>0</v>
      </c>
      <c r="G28" s="26"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6" t="str">
        <v>Phosphorus - Generic</v>
      </c>
      <c r="E29" s="26"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6" cm="1">
        <f t="array" ref="F29">Common_InputFunctions.Utility_LookupValueInTableNumber(D29,Table_Fertiliser_ChemicalCompounds[Fertiliser type f],Table_Fertiliser_ChemicalCompounds[FU f])</f>
        <v>0</v>
      </c>
      <c r="G29" s="26"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6" t="str">
        <v>Potassium - Generic</v>
      </c>
      <c r="E30" s="26"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6" cm="1">
        <f t="array" ref="F30">Common_InputFunctions.Utility_LookupValueInTableNumber(D30,Table_Fertiliser_ChemicalCompounds[Fertiliser type f],Table_Fertiliser_ChemicalCompounds[FU f])</f>
        <v>0</v>
      </c>
      <c r="G30" s="26"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6" t="str">
        <v>Sulfur - Generic</v>
      </c>
      <c r="E31" s="26"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6" cm="1">
        <f t="array" ref="F31">Common_InputFunctions.Utility_LookupValueInTableNumber(D31,Table_Fertiliser_ChemicalCompounds[Fertiliser type f],Table_Fertiliser_ChemicalCompounds[FU f])</f>
        <v>0</v>
      </c>
      <c r="G31" s="26"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6" t="str">
        <v>Zinc - Generic</v>
      </c>
      <c r="E32" s="26"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6" cm="1">
        <f t="array" ref="F32">Common_InputFunctions.Utility_LookupValueInTableNumber(D32,Table_Fertiliser_ChemicalCompounds[Fertiliser type f],Table_Fertiliser_ChemicalCompounds[FU f])</f>
        <v>0</v>
      </c>
      <c r="G32" s="26"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6" t="str">
        <v>Muriate of potash (MOP)</v>
      </c>
      <c r="E33" s="26"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6" cm="1">
        <f t="array" ref="F33">Common_InputFunctions.Utility_LookupValueInTableNumber(D33,Table_Fertiliser_ChemicalCompounds[Fertiliser type f],Table_Fertiliser_ChemicalCompounds[FU f])</f>
        <v>0</v>
      </c>
      <c r="G33" s="26"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6" t="str">
        <v>Double superphosphate</v>
      </c>
      <c r="E34" s="26"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6" cm="1">
        <f t="array" ref="F34">Common_InputFunctions.Utility_LookupValueInTableNumber(D34,Table_Fertiliser_ChemicalCompounds[Fertiliser type f],Table_Fertiliser_ChemicalCompounds[FU f])</f>
        <v>0</v>
      </c>
      <c r="G34" s="26" cm="1">
        <f t="array" ref="G34">Fertiliser_Equations_InorganicCO2.VEERG_5_1_1_3__2_MassOfUreaInInorganicFertiliser(E34,F34)</f>
        <v>0</v>
      </c>
    </row>
    <row r="35" spans="1:12" ht="20.100000000000001" customHeight="1" x14ac:dyDescent="0.25">
      <c r="D35" s="26" t="str">
        <v>Single superphosphate (SSP)</v>
      </c>
      <c r="E35" s="26"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6" cm="1">
        <f t="array" ref="F35">Common_InputFunctions.Utility_LookupValueInTableNumber(D35,Table_Fertiliser_ChemicalCompounds[Fertiliser type f],Table_Fertiliser_ChemicalCompounds[FU f])</f>
        <v>0</v>
      </c>
      <c r="G35" s="26" cm="1">
        <f t="array" ref="G35">Fertiliser_Equations_InorganicCO2.VEERG_5_1_1_3__2_MassOfUreaInInorganicFertiliser(E35,F35)</f>
        <v>0</v>
      </c>
    </row>
    <row r="36" spans="1:12" ht="20.100000000000001" customHeight="1" x14ac:dyDescent="0.25">
      <c r="D36" s="26" t="str">
        <v>Ammonia</v>
      </c>
      <c r="E36" s="26"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6" cm="1">
        <f t="array" ref="F36">Common_InputFunctions.Utility_LookupValueInTableNumber(D36,Table_Fertiliser_ChemicalCompounds[Fertiliser type f],Table_Fertiliser_ChemicalCompounds[FU f])</f>
        <v>0</v>
      </c>
      <c r="G36" s="26" cm="1">
        <f t="array" ref="G36">Fertiliser_Equations_InorganicCO2.VEERG_5_1_1_3__2_MassOfUreaInInorganicFertiliser(E36,F36)</f>
        <v>0</v>
      </c>
    </row>
    <row r="37" spans="1:12" ht="20.100000000000001" customHeight="1" x14ac:dyDescent="0.25">
      <c r="A37" s="250" t="s">
        <v>1</v>
      </c>
      <c r="D37" s="26" t="str">
        <v>Calcium nitrate</v>
      </c>
      <c r="E37" s="26"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6" cm="1">
        <f t="array" ref="F37">Common_InputFunctions.Utility_LookupValueInTableNumber(D37,Table_Fertiliser_ChemicalCompounds[Fertiliser type f],Table_Fertiliser_ChemicalCompounds[FU f])</f>
        <v>0</v>
      </c>
      <c r="G37" s="26"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7"/>
      <c r="D40" s="117"/>
      <c r="E40" s="117"/>
      <c r="F40" s="117"/>
      <c r="G40" s="117"/>
      <c r="H40" s="117"/>
      <c r="I40" s="117"/>
      <c r="J40" s="117"/>
      <c r="K40" s="117"/>
      <c r="L40" s="117"/>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8"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4" t="s">
        <v>257</v>
      </c>
      <c r="E43" s="104"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9" t="s">
        <v>259</v>
      </c>
      <c r="E46" s="1" t="str" cm="1">
        <f t="array" ref="E46">Fertiliser_Equations_InorganicCO2.VEERG_5_1_1_3__1_InorganicFertiliserApplicationCO2Emissions_Variable()</f>
        <v>E_CO2</v>
      </c>
    </row>
    <row r="47" spans="1:12" ht="20.100000000000001" customHeight="1" x14ac:dyDescent="0.25">
      <c r="D47" s="89" t="s">
        <v>133</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1" t="str" cm="1">
        <f t="array" ref="D49:E53">_xlfn.CHOOSECOLS(Fertiliser_Equations_InorganicCO2.VEERG_5_1_1_3__1_InorganicFertiliserApplicationCO2Emissions_Arguments(), 1, 2)</f>
        <v>MU_jf</v>
      </c>
      <c r="E49" s="122" t="str">
        <v>mass of urea of inorganic fertiliser type f applied to production system j</v>
      </c>
      <c r="F49" s="171"/>
      <c r="G49" s="121" t="str" cm="1">
        <f t="array" ref="G49:H53">_xlfn.CHOOSECOLS(Fertiliser_Equations_InorganicCO2.VEERG_5_1_1_3__1_InorganicFertiliserApplicationCO2Emissions_Arguments(), 3,4)</f>
        <v>kg urea</v>
      </c>
      <c r="H49" s="111" t="str">
        <v>Calculated</v>
      </c>
      <c r="I49" s="112" t="str" cm="1">
        <f t="array" aca="1" ref="I49" ca="1">HYPERLINK(Common_InputFunctions.Utility_SourceHyperlink($D$16), $D$16)</f>
        <v>Table_MU_j_f</v>
      </c>
    </row>
    <row r="50" spans="4:9" ht="20.100000000000001" customHeight="1" x14ac:dyDescent="0.25">
      <c r="D50" s="121" t="str">
        <v>EF_ureaCO2</v>
      </c>
      <c r="E50" s="122" t="str">
        <v>emission factor for carbon emissions from urea-based fertilisers</v>
      </c>
      <c r="F50" s="171"/>
      <c r="G50" s="121" t="str">
        <v>kg C/kg urea</v>
      </c>
      <c r="H50" s="111" t="str">
        <v>Constant</v>
      </c>
      <c r="I50" s="121">
        <f>'Constants - Fertiliser'!$E$60</f>
        <v>0.2</v>
      </c>
    </row>
    <row r="51" spans="4:9" ht="20.100000000000001" customHeight="1" x14ac:dyDescent="0.25">
      <c r="D51" s="121" t="str">
        <v>C_CO2</v>
      </c>
      <c r="E51" s="122" t="str">
        <v>factor to convert elemental mass of carbon to molecular mass of carbon dioxide</v>
      </c>
      <c r="F51" s="171"/>
      <c r="G51" s="121" t="str">
        <v/>
      </c>
      <c r="H51" s="111" t="str">
        <v>Constant</v>
      </c>
      <c r="I51" s="121">
        <f>Common_InputFunctions.Utility_LookupValueInTableNumber("CO2",Table_GasToMolecularConversionFactor[Gas], Table_GasToMolecularConversionFactor[Conversion factor combined])</f>
        <v>3.6666666666666665</v>
      </c>
    </row>
    <row r="52" spans="4:9" ht="20.100000000000001" customHeight="1" x14ac:dyDescent="0.25">
      <c r="D52" s="121" t="str">
        <v>j</v>
      </c>
      <c r="E52" s="122" t="str">
        <v>Production system</v>
      </c>
      <c r="F52" s="171"/>
      <c r="G52" s="121" t="str">
        <v/>
      </c>
      <c r="H52" s="110" t="str">
        <v>Input</v>
      </c>
      <c r="I52" s="121" t="str">
        <f>X_Cell_Fertiliser_ProductionSystem</f>
        <v>Crop</v>
      </c>
    </row>
    <row r="53" spans="4:9" ht="20.100000000000001" customHeight="1" x14ac:dyDescent="0.25">
      <c r="D53" s="121" t="str">
        <v>f</v>
      </c>
      <c r="E53" s="122" t="str">
        <v>Inorganic fertiliser type</v>
      </c>
      <c r="F53" s="171"/>
      <c r="G53" s="121" t="str">
        <v/>
      </c>
      <c r="H53" s="111" t="str">
        <v>Lookup</v>
      </c>
      <c r="I53" s="112" t="str" cm="1">
        <f t="array" aca="1" ref="I53" ca="1">HYPERLINK(Common_InputFunctions.Utility_SourceHyperlink($D$16), $D$16)</f>
        <v>Table_MU_j_f</v>
      </c>
    </row>
    <row r="54" spans="4:9" ht="20.100000000000001" customHeight="1" x14ac:dyDescent="0.25"/>
    <row r="55" spans="4:9" ht="20.100000000000001" customHeight="1" x14ac:dyDescent="0.25">
      <c r="D55" s="113" t="s">
        <v>570</v>
      </c>
    </row>
    <row r="56" spans="4:9" ht="20.100000000000001" customHeight="1" x14ac:dyDescent="0.25">
      <c r="D56" s="114" t="s">
        <v>571</v>
      </c>
    </row>
    <row r="57" spans="4:9" ht="20.100000000000001" customHeight="1" x14ac:dyDescent="0.25">
      <c r="D57" s="115" t="s">
        <v>539</v>
      </c>
      <c r="E57" s="115" t="s">
        <v>561</v>
      </c>
    </row>
    <row r="58" spans="4:9" ht="20.100000000000001" customHeight="1" x14ac:dyDescent="0.25">
      <c r="D58" s="26" t="str" cm="1">
        <f t="array" ref="D58:D76">Table_Fertiliser_ChemicalCompounds[Fertiliser type f]</f>
        <v>Monoammonium phosphate (MAP)</v>
      </c>
      <c r="E58" s="26" cm="1">
        <f t="array" ref="E58">Fertiliser_Equations_InorganicCO2.VEERG_5_1_1_3__1_InorganicFertiliserApplicationCO2Emissions(G19,$I$50,$I$51)</f>
        <v>0</v>
      </c>
      <c r="F58" s="27" t="str">
        <f>$E$47</f>
        <v>t CO2</v>
      </c>
    </row>
    <row r="59" spans="4:9" ht="20.100000000000001" customHeight="1" x14ac:dyDescent="0.25">
      <c r="D59" s="26" t="str">
        <v>Diammonium phosphate (DAP)</v>
      </c>
      <c r="E59" s="26" cm="1">
        <f t="array" ref="E59">Fertiliser_Equations_InorganicCO2.VEERG_5_1_1_3__1_InorganicFertiliserApplicationCO2Emissions(G20,$I$50,$I$51)</f>
        <v>0</v>
      </c>
    </row>
    <row r="60" spans="4:9" ht="20.100000000000001" customHeight="1" x14ac:dyDescent="0.25">
      <c r="D60" s="26" t="str">
        <v>Urea</v>
      </c>
      <c r="E60" s="26" cm="1">
        <f t="array" ref="E60">Fertiliser_Equations_InorganicCO2.VEERG_5_1_1_3__1_InorganicFertiliserApplicationCO2Emissions(G21,$I$50,$I$51)</f>
        <v>7.333333333333333</v>
      </c>
    </row>
    <row r="61" spans="4:9" ht="20.100000000000001" customHeight="1" x14ac:dyDescent="0.25">
      <c r="D61" s="26" t="str">
        <v>Sulphate of ammonia (SOA)</v>
      </c>
      <c r="E61" s="26" cm="1">
        <f t="array" ref="E61">Fertiliser_Equations_InorganicCO2.VEERG_5_1_1_3__1_InorganicFertiliserApplicationCO2Emissions(G22,$I$50,$I$51)</f>
        <v>0</v>
      </c>
    </row>
    <row r="62" spans="4:9" ht="20.100000000000001" customHeight="1" x14ac:dyDescent="0.25">
      <c r="D62" s="26" t="str">
        <v>Urea-ammonium nitrate (UAN)</v>
      </c>
      <c r="E62" s="26" cm="1">
        <f t="array" ref="E62">Fertiliser_Equations_InorganicCO2.VEERG_5_1_1_3__1_InorganicFertiliserApplicationCO2Emissions(G23,$I$50,$I$51)</f>
        <v>0</v>
      </c>
    </row>
    <row r="63" spans="4:9" ht="20.100000000000001" customHeight="1" x14ac:dyDescent="0.25">
      <c r="D63" s="26" t="str">
        <v>Ammonium nitrate (AN)</v>
      </c>
      <c r="E63" s="26" cm="1">
        <f t="array" ref="E63">Fertiliser_Equations_InorganicCO2.VEERG_5_1_1_3__1_InorganicFertiliserApplicationCO2Emissions(G24,$I$50,$I$51)</f>
        <v>0</v>
      </c>
    </row>
    <row r="64" spans="4:9" ht="20.100000000000001" customHeight="1" x14ac:dyDescent="0.25">
      <c r="D64" s="26" t="str">
        <v>Calcium ammonium nitrate (CAN)</v>
      </c>
      <c r="E64" s="26" cm="1">
        <f t="array" ref="E64">Fertiliser_Equations_InorganicCO2.VEERG_5_1_1_3__1_InorganicFertiliserApplicationCO2Emissions(G25,$I$50,$I$51)</f>
        <v>0</v>
      </c>
    </row>
    <row r="65" spans="4:6" ht="20.100000000000001" customHeight="1" x14ac:dyDescent="0.25">
      <c r="D65" s="26" t="str">
        <v>Nitrogen - Ammoniacal</v>
      </c>
      <c r="E65" s="26" cm="1">
        <f t="array" ref="E65">Fertiliser_Equations_InorganicCO2.VEERG_5_1_1_3__1_InorganicFertiliserApplicationCO2Emissions(G26,$I$50,$I$51)</f>
        <v>0</v>
      </c>
    </row>
    <row r="66" spans="4:6" ht="20.100000000000001" customHeight="1" x14ac:dyDescent="0.25">
      <c r="D66" s="26" t="str">
        <v>Nitrogen - Nitrate</v>
      </c>
      <c r="E66" s="26" cm="1">
        <f t="array" ref="E66">Fertiliser_Equations_InorganicCO2.VEERG_5_1_1_3__1_InorganicFertiliserApplicationCO2Emissions(G27,$I$50,$I$51)</f>
        <v>0</v>
      </c>
    </row>
    <row r="67" spans="4:6" ht="20.100000000000001" customHeight="1" x14ac:dyDescent="0.25">
      <c r="D67" s="26" t="str">
        <v>Nitrogen - Generic</v>
      </c>
      <c r="E67" s="26" cm="1">
        <f t="array" ref="E67">Fertiliser_Equations_InorganicCO2.VEERG_5_1_1_3__1_InorganicFertiliserApplicationCO2Emissions(G28,$I$50,$I$51)</f>
        <v>0</v>
      </c>
    </row>
    <row r="68" spans="4:6" ht="20.100000000000001" customHeight="1" x14ac:dyDescent="0.25">
      <c r="D68" s="26" t="str">
        <v>Phosphorus - Generic</v>
      </c>
      <c r="E68" s="26" cm="1">
        <f t="array" ref="E68">Fertiliser_Equations_InorganicCO2.VEERG_5_1_1_3__1_InorganicFertiliserApplicationCO2Emissions(G29,$I$50,$I$51)</f>
        <v>0</v>
      </c>
    </row>
    <row r="69" spans="4:6" ht="20.100000000000001" customHeight="1" x14ac:dyDescent="0.25">
      <c r="D69" s="26" t="str">
        <v>Potassium - Generic</v>
      </c>
      <c r="E69" s="26" cm="1">
        <f t="array" ref="E69">Fertiliser_Equations_InorganicCO2.VEERG_5_1_1_3__1_InorganicFertiliserApplicationCO2Emissions(G30,$I$50,$I$51)</f>
        <v>0</v>
      </c>
    </row>
    <row r="70" spans="4:6" ht="20.100000000000001" customHeight="1" x14ac:dyDescent="0.25">
      <c r="D70" s="26" t="str">
        <v>Sulfur - Generic</v>
      </c>
      <c r="E70" s="26" cm="1">
        <f t="array" ref="E70">Fertiliser_Equations_InorganicCO2.VEERG_5_1_1_3__1_InorganicFertiliserApplicationCO2Emissions(G31,$I$50,$I$51)</f>
        <v>0</v>
      </c>
    </row>
    <row r="71" spans="4:6" ht="20.100000000000001" customHeight="1" x14ac:dyDescent="0.25">
      <c r="D71" s="26" t="str">
        <v>Zinc - Generic</v>
      </c>
      <c r="E71" s="26" cm="1">
        <f t="array" ref="E71">Fertiliser_Equations_InorganicCO2.VEERG_5_1_1_3__1_InorganicFertiliserApplicationCO2Emissions(G32,$I$50,$I$51)</f>
        <v>0</v>
      </c>
    </row>
    <row r="72" spans="4:6" ht="20.100000000000001" customHeight="1" x14ac:dyDescent="0.25">
      <c r="D72" s="26" t="str">
        <v>Muriate of potash (MOP)</v>
      </c>
      <c r="E72" s="26" cm="1">
        <f t="array" ref="E72">Fertiliser_Equations_InorganicCO2.VEERG_5_1_1_3__1_InorganicFertiliserApplicationCO2Emissions(G33,$I$50,$I$51)</f>
        <v>0</v>
      </c>
    </row>
    <row r="73" spans="4:6" ht="20.100000000000001" customHeight="1" x14ac:dyDescent="0.25">
      <c r="D73" s="26" t="str">
        <v>Double superphosphate</v>
      </c>
      <c r="E73" s="26" cm="1">
        <f t="array" ref="E73">Fertiliser_Equations_InorganicCO2.VEERG_5_1_1_3__1_InorganicFertiliserApplicationCO2Emissions(G34,$I$50,$I$51)</f>
        <v>0</v>
      </c>
    </row>
    <row r="74" spans="4:6" ht="20.100000000000001" customHeight="1" x14ac:dyDescent="0.25">
      <c r="D74" s="26" t="str">
        <v>Single superphosphate (SSP)</v>
      </c>
      <c r="E74" s="26" cm="1">
        <f t="array" ref="E74">Fertiliser_Equations_InorganicCO2.VEERG_5_1_1_3__1_InorganicFertiliserApplicationCO2Emissions(G35,$I$50,$I$51)</f>
        <v>0</v>
      </c>
    </row>
    <row r="75" spans="4:6" ht="20.100000000000001" customHeight="1" x14ac:dyDescent="0.25">
      <c r="D75" s="26" t="str">
        <v>Ammonia</v>
      </c>
      <c r="E75" s="26" cm="1">
        <f t="array" ref="E75">Fertiliser_Equations_InorganicCO2.VEERG_5_1_1_3__1_InorganicFertiliserApplicationCO2Emissions(G36,$I$50,$I$51)</f>
        <v>0</v>
      </c>
    </row>
    <row r="76" spans="4:6" ht="20.100000000000001" customHeight="1" x14ac:dyDescent="0.25">
      <c r="D76" s="26" t="str">
        <v>Calcium nitrate</v>
      </c>
      <c r="E76" s="26" cm="1">
        <f t="array" ref="E76">Fertiliser_Equations_InorganicCO2.VEERG_5_1_1_3__1_InorganicFertiliserApplicationCO2Emissions(G37,$I$50,$I$51)</f>
        <v>0</v>
      </c>
    </row>
    <row r="77" spans="4:6" ht="20.100000000000001" customHeight="1" x14ac:dyDescent="0.25"/>
    <row r="78" spans="4:6" ht="20.100000000000001" customHeight="1" x14ac:dyDescent="0.25">
      <c r="D78" s="118" t="s">
        <v>572</v>
      </c>
      <c r="E78" s="119">
        <f>SUM(E58:E76)</f>
        <v>7.333333333333333</v>
      </c>
      <c r="F78" s="120"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1B524-5111-4ADC-9DE7-770B16B2B190}">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573</v>
      </c>
    </row>
    <row r="2" spans="1:21" s="3" customFormat="1" ht="20.100000000000001" customHeight="1" x14ac:dyDescent="0.25">
      <c r="A2"/>
    </row>
    <row r="3" spans="1:21" ht="20.100000000000001" customHeight="1" x14ac:dyDescent="0.25">
      <c r="A3" s="5" t="str">
        <f>HYPERLINK("#'Home'!A1", "Home")</f>
        <v>Home</v>
      </c>
      <c r="C3" s="34"/>
      <c r="D3" s="34" t="s">
        <v>152</v>
      </c>
      <c r="E3" s="34"/>
      <c r="F3" s="34"/>
      <c r="G3" s="34"/>
      <c r="H3" s="34"/>
      <c r="I3" s="34"/>
      <c r="J3" s="34"/>
      <c r="K3" s="34"/>
      <c r="L3" s="34"/>
      <c r="N3" s="34"/>
      <c r="O3" s="34" t="s">
        <v>153</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8" t="str" cm="1">
        <f t="array" ref="D6">Fertiliser_Equations_OrganicN2O.VEERG_5_2_1_1__2_MassOfNitrogenInOrganicFertiliser_Source()</f>
        <v>VEERG 2026: 5.2.1.1, Equation (2)</v>
      </c>
    </row>
    <row r="7" spans="1:21" ht="20.100000000000001" customHeight="1" x14ac:dyDescent="0.25">
      <c r="A7" s="7" t="s">
        <v>0</v>
      </c>
      <c r="D7" s="104" t="s">
        <v>257</v>
      </c>
      <c r="E7" s="104"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259</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9" t="s">
        <v>133</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1" t="str" cm="1">
        <f t="array" ref="D13:E15">_xlfn.CHOOSECOLS(Fertiliser_Equations_OrganicN2O.VEERG_5_2_1_1__2_MassOfNitrogenInOrganicFertiliser_Arguments(), 1, 2)</f>
        <v>M_organicjf</v>
      </c>
      <c r="E13" s="122" t="str">
        <v>mass of organic fertiliser type f applied to production system j</v>
      </c>
      <c r="F13" s="171"/>
      <c r="G13" s="106" t="str" cm="1">
        <f t="array" ref="G13:H15">_xlfn.CHOOSECOLS(Fertiliser_Equations_OrganicN2O.VEERG_5_2_1_1__2_MassOfNitrogenInOrganicFertiliser_Arguments(), 3,4)</f>
        <v>kg</v>
      </c>
      <c r="H13" s="110" t="str">
        <v>Input</v>
      </c>
      <c r="I13" s="112" t="str" cm="1">
        <f t="array" aca="1" ref="I13" ca="1">HYPERLINK(Common_InputFunctions.Utility_SourceHyperlink($D$17), $D$17)</f>
        <v>Table_MNSoil_j_f</v>
      </c>
    </row>
    <row r="14" spans="1:21" ht="20.100000000000001" customHeight="1" x14ac:dyDescent="0.25">
      <c r="A14" s="5" t="str">
        <f>HYPERLINK("#'Input - Fuel'!A1", "Fuel")</f>
        <v>Fuel</v>
      </c>
      <c r="D14" s="121" t="str">
        <v>FN_organicf</v>
      </c>
      <c r="E14" s="122" t="str">
        <v>nitrogen fraction of organic fertiliser type f</v>
      </c>
      <c r="F14" s="171"/>
      <c r="G14" s="106" t="str">
        <v>kg N/kg</v>
      </c>
      <c r="H14" s="110" t="str">
        <v>Input</v>
      </c>
      <c r="I14" s="112" t="str" cm="1">
        <f t="array" aca="1" ref="I14" ca="1">HYPERLINK(Common_InputFunctions.Utility_SourceHyperlink($D$17), $D$17)</f>
        <v>Table_MNSoil_j_f</v>
      </c>
    </row>
    <row r="15" spans="1:21" ht="20.100000000000001" customHeight="1" x14ac:dyDescent="0.25">
      <c r="A15" s="5" t="str">
        <f>HYPERLINK("#'Input - Electricity'!A1", "Electricity")</f>
        <v>Electricity</v>
      </c>
      <c r="D15" s="121" t="str">
        <v>f</v>
      </c>
      <c r="E15" s="122" t="str">
        <v>Organic fertiliser type</v>
      </c>
      <c r="F15" s="171"/>
      <c r="G15" s="106" t="str">
        <v/>
      </c>
      <c r="H15" s="110" t="str">
        <v>Input</v>
      </c>
      <c r="I15" s="112" t="str" cm="1">
        <f t="array" aca="1" ref="I15" ca="1">HYPERLINK(Common_InputFunctions.Utility_SourceHyperlink($D$17), $D$17)</f>
        <v>Table_MNSoil_j_f</v>
      </c>
    </row>
    <row r="16" spans="1:21" ht="20.100000000000001" customHeight="1" x14ac:dyDescent="0.25"/>
    <row r="17" spans="1:10" ht="20.100000000000001" customHeight="1" x14ac:dyDescent="0.25">
      <c r="D17" s="113" t="s">
        <v>574</v>
      </c>
    </row>
    <row r="18" spans="1:10" ht="20.100000000000001" customHeight="1" x14ac:dyDescent="0.25">
      <c r="A18" s="6" t="s">
        <v>2</v>
      </c>
      <c r="D18" s="114" t="s">
        <v>575</v>
      </c>
    </row>
    <row r="19" spans="1:10" ht="20.100000000000001" customHeight="1" x14ac:dyDescent="0.25">
      <c r="A19" s="5" t="str">
        <f>HYPERLINK("#'3.2.1.1-2 Enteric Methane'!A1", "3.2.1.1-2 Enteric methane")</f>
        <v>3.2.1.1-2 Enteric methane</v>
      </c>
      <c r="D19" s="116" t="s">
        <v>576</v>
      </c>
      <c r="E19" s="116" t="s">
        <v>577</v>
      </c>
      <c r="F19" s="116" t="s">
        <v>478</v>
      </c>
      <c r="G19" s="173" t="s">
        <v>578</v>
      </c>
      <c r="H19" s="173" t="s">
        <v>579</v>
      </c>
      <c r="I19" s="173" t="s">
        <v>580</v>
      </c>
    </row>
    <row r="20" spans="1:10" ht="20.100000000000001" customHeight="1" x14ac:dyDescent="0.25">
      <c r="A20" s="5" t="str">
        <f>HYPERLINK("#'4.2.1.1-2 Methane'!A1", "4.2.1.1-2 Manure methane")</f>
        <v>4.2.1.1-2 Manure methane</v>
      </c>
      <c r="D20" s="26" t="str" cm="1">
        <f t="array" ref="D20:D22">Table_Input_OrganicFertiliser[Organic fertiliser type (select)]</f>
        <v>Manure - Other</v>
      </c>
      <c r="E20" s="174" cm="1">
        <f t="array" ref="E20:E22">Table_Input_OrganicFertiliser[Amount applied (kg/hectare)]</f>
        <v>10</v>
      </c>
      <c r="F20" s="174" cm="1">
        <f t="array" ref="F20:F22">Table_Input_OrganicFertiliser[Application area (ha)]</f>
        <v>100</v>
      </c>
      <c r="G20" s="26" cm="1">
        <f t="array" ref="G20:G22">Table_Input_OrganicFertiliser[Amount applied (kg/hectare)]*Table_Input_OrganicFertiliser[Application area (ha)]</f>
        <v>1000</v>
      </c>
      <c r="H20" s="175" cm="1">
        <f t="array" ref="H20:H22">Table_Input_OrganicFertiliser[Percentage of N in fertiliser]</f>
        <v>0.3</v>
      </c>
      <c r="I20" s="26"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6" t="str">
        <v>Manure - Poultry</v>
      </c>
      <c r="E21" s="26">
        <v>10</v>
      </c>
      <c r="F21" s="26">
        <v>100</v>
      </c>
      <c r="G21" s="26">
        <v>1000</v>
      </c>
      <c r="H21" s="26">
        <v>0.25</v>
      </c>
      <c r="I21" s="26"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6" t="str">
        <v>Other organic fertiliser</v>
      </c>
      <c r="E22" s="26">
        <v>10</v>
      </c>
      <c r="F22" s="26">
        <v>100</v>
      </c>
      <c r="G22" s="26">
        <v>1000</v>
      </c>
      <c r="H22" s="26">
        <v>0.16</v>
      </c>
      <c r="I22" s="26"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6"/>
      <c r="E23" s="26"/>
      <c r="F23" s="26"/>
      <c r="G23" s="26"/>
      <c r="H23" s="26"/>
      <c r="I23" s="26"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6"/>
      <c r="E24" s="26"/>
      <c r="F24" s="26"/>
      <c r="G24" s="26"/>
      <c r="H24" s="26"/>
      <c r="I24" s="26"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6"/>
      <c r="E25" s="26"/>
      <c r="F25" s="26"/>
      <c r="G25" s="26"/>
      <c r="H25" s="26"/>
      <c r="I25" s="26" cm="1">
        <f t="array" ref="I25">Fertiliser_Equations_Organic.VEERG_5_2_1_1__2_MassOfNitrogenInOrganicFertiliser(G25,H25)</f>
        <v>0</v>
      </c>
    </row>
    <row r="26" spans="1:10" ht="20.100000000000001" customHeight="1" x14ac:dyDescent="0.25">
      <c r="A26" s="105" t="str">
        <f>HYPERLINK("#'5.2.1.1-2 Organic Fert N2O'!A1", "5.2.1.1-2 Organic fert N2O")</f>
        <v>5.2.1.1-2 Organic fert N2O</v>
      </c>
      <c r="D26" s="26"/>
      <c r="E26" s="26"/>
      <c r="F26" s="26"/>
      <c r="G26" s="26"/>
      <c r="H26" s="26"/>
      <c r="I26" s="26" cm="1">
        <f t="array" ref="I26">Fertiliser_Equations_Organic.VEERG_5_2_1_1__2_MassOfNitrogenInOrganicFertiliser(G26,H26)</f>
        <v>0</v>
      </c>
    </row>
    <row r="27" spans="1:10" ht="20.100000000000001" customHeight="1" x14ac:dyDescent="0.25">
      <c r="A27" s="5" t="str">
        <f>HYPERLINK("#'5.3.1.1-2 Lime CO2'!A1", "5.3.1.1-2 Lime CO2")</f>
        <v>5.3.1.1-2 Lime CO2</v>
      </c>
      <c r="D27" s="26"/>
      <c r="E27" s="26"/>
      <c r="F27" s="26"/>
      <c r="G27" s="26"/>
      <c r="H27" s="26"/>
      <c r="I27" s="26"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6"/>
      <c r="E28" s="26"/>
      <c r="F28" s="26"/>
      <c r="G28" s="26"/>
      <c r="H28" s="26"/>
      <c r="I28" s="26"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6"/>
      <c r="E29" s="26"/>
      <c r="F29" s="26"/>
      <c r="G29" s="26"/>
      <c r="H29" s="26"/>
      <c r="I29" s="26"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6"/>
      <c r="E30" s="26"/>
      <c r="F30" s="26"/>
      <c r="G30" s="26"/>
      <c r="H30" s="26"/>
      <c r="I30" s="26"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6"/>
      <c r="E31" s="176"/>
      <c r="F31" s="176"/>
      <c r="G31" s="176"/>
      <c r="H31" s="176"/>
      <c r="I31" s="176"/>
      <c r="J31" s="176"/>
    </row>
    <row r="32" spans="1:10" ht="20.100000000000001" customHeight="1" x14ac:dyDescent="0.25">
      <c r="A32" s="5" t="str">
        <f>HYPERLINK("#'8.1.1.1-2 Transport fuel'!A1", "8.1.1.1-2 Transport fuel")</f>
        <v>8.1.1.1-2 Transport fuel</v>
      </c>
      <c r="D32" s="129" t="s">
        <v>581</v>
      </c>
      <c r="E32" s="129">
        <f>SUM(I20:I30)</f>
        <v>710</v>
      </c>
      <c r="F32" s="177" t="str">
        <f>$E$11</f>
        <v>kg N</v>
      </c>
      <c r="G32" s="176"/>
      <c r="H32" s="176"/>
      <c r="I32" s="176"/>
      <c r="J32" s="176"/>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8"/>
      <c r="D35" s="178"/>
      <c r="E35" s="178"/>
      <c r="F35" s="178"/>
      <c r="G35" s="178"/>
      <c r="H35" s="178"/>
      <c r="I35" s="178"/>
      <c r="J35" s="178"/>
      <c r="K35" s="178"/>
      <c r="L35" s="178"/>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0" t="s">
        <v>1</v>
      </c>
      <c r="D37" s="28"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4" t="s">
        <v>257</v>
      </c>
      <c r="E38" s="104"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9" t="s">
        <v>259</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9" t="s">
        <v>133</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6"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106" t="str" cm="1">
        <f t="array" ref="I44:J48">_xlfn.CHOOSECOLS(Fertiliser_Equations_OrganicN2O.VEERG_5_2_1_1__1_OrganicFertiliserApplicationN2OEmissions_Arguments(), 3,4)</f>
        <v>kg N</v>
      </c>
      <c r="J44" s="111" t="str">
        <v>Calculated from 5.2.1.1 (2)</v>
      </c>
      <c r="K44" s="106">
        <f>$E$32</f>
        <v>710</v>
      </c>
    </row>
    <row r="45" spans="1:12" ht="20.100000000000001" customHeight="1" x14ac:dyDescent="0.25">
      <c r="A45" s="5" t="str">
        <f>HYPERLINK("#'Acknowledgements'!A1", "Acknowledgements")</f>
        <v>Acknowledgements</v>
      </c>
      <c r="D45" s="106" t="str">
        <v>EF_N2Oi</v>
      </c>
      <c r="E45" s="107" t="str">
        <v>emission factor for direct nitrous oxide emissions from organic fertiliser applied to soils and aquatic systems in climate zone i</v>
      </c>
      <c r="F45" s="108"/>
      <c r="G45" s="108"/>
      <c r="H45" s="109"/>
      <c r="I45" s="106" t="str">
        <v>kg N2O-N/kg N</v>
      </c>
      <c r="J45" s="111" t="str">
        <v>Lookup</v>
      </c>
      <c r="K45" s="106">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6" t="str">
        <v>C_N2O</v>
      </c>
      <c r="E46" s="107" t="str">
        <v>factor to convert elemental mass of nitrous oxide to molecular mass</v>
      </c>
      <c r="F46" s="108"/>
      <c r="G46" s="108"/>
      <c r="H46" s="109"/>
      <c r="I46" s="106" t="str">
        <v/>
      </c>
      <c r="J46" s="111" t="str">
        <v>Constant</v>
      </c>
      <c r="K46" s="121">
        <f>Common_InputFunctions.Utility_LookupValueInTableNumber("N2O",Table_GasToMolecularConversionFactor[Gas],Table_GasToMolecularConversionFactor[Conversion factor combined])</f>
        <v>1.5714285714285714</v>
      </c>
    </row>
    <row r="47" spans="1:12" ht="20.100000000000001" customHeight="1" x14ac:dyDescent="0.25">
      <c r="D47" s="106" t="str">
        <v>j</v>
      </c>
      <c r="E47" s="107" t="str">
        <v>Production system</v>
      </c>
      <c r="F47" s="108"/>
      <c r="G47" s="108"/>
      <c r="H47" s="109"/>
      <c r="I47" s="106" t="str">
        <v/>
      </c>
      <c r="J47" s="110" t="str">
        <v>Input</v>
      </c>
      <c r="K47" s="106" t="str">
        <f>X_Cell_Fertiliser_ProductionSystem</f>
        <v>Crop</v>
      </c>
    </row>
    <row r="48" spans="1:12" ht="20.100000000000001" customHeight="1" x14ac:dyDescent="0.25">
      <c r="D48" s="106" t="str">
        <v>i</v>
      </c>
      <c r="E48" s="107" t="str">
        <v>Wet or dry climate zone</v>
      </c>
      <c r="F48" s="108"/>
      <c r="G48" s="108"/>
      <c r="H48" s="109"/>
      <c r="I48" s="106" t="str">
        <v/>
      </c>
      <c r="J48" s="110" t="str">
        <v>Input</v>
      </c>
      <c r="K48" s="106">
        <f>X_Cell_Site_WetOrDryClimateZone</f>
        <v>0</v>
      </c>
    </row>
    <row r="49" spans="4:7" ht="20.100000000000001" customHeight="1" x14ac:dyDescent="0.25"/>
    <row r="50" spans="4:7" ht="20.100000000000001" customHeight="1" x14ac:dyDescent="0.25">
      <c r="D50" s="118" t="s">
        <v>564</v>
      </c>
      <c r="E50" s="119" cm="1">
        <f t="array" ref="E50">Fertiliser_Equations_OrganicN2O.VEERG_5_2_1_1__1_OrganicFertiliserApplicationN2OEmissions(K44,K45,K46)</f>
        <v>0</v>
      </c>
      <c r="F50" s="120" t="str">
        <f>$E$42</f>
        <v>t N2O</v>
      </c>
    </row>
    <row r="51" spans="4:7" ht="20.100000000000001" customHeight="1" x14ac:dyDescent="0.25"/>
    <row r="52" spans="4:7" ht="20.100000000000001" customHeight="1" x14ac:dyDescent="0.25">
      <c r="D52" s="121" t="str" cm="1">
        <f t="array" ref="D52:E53">Common_Equations.Common_ConvertN2OToCO2e_Arguments()</f>
        <v>EN2O</v>
      </c>
      <c r="E52" s="122" t="str">
        <v>Nitrous oxide emissions (t N2O)</v>
      </c>
      <c r="F52" s="123"/>
      <c r="G52" s="26">
        <f>E50</f>
        <v>0</v>
      </c>
    </row>
    <row r="53" spans="4:7" ht="20.100000000000001" customHeight="1" x14ac:dyDescent="0.25">
      <c r="D53" s="121" t="str">
        <v>GWPN2O</v>
      </c>
      <c r="E53" s="122" t="str">
        <v>Global warming potential for nitrous oxide (t CO2-e / t N2O)</v>
      </c>
      <c r="F53" s="123"/>
      <c r="G53" s="26">
        <f>Common_InputFunctions.Utility_LookupValueInTableNumber("N2O",Table_GWPData[Gas],Table_GWPData[CO2-e factor])</f>
        <v>265</v>
      </c>
    </row>
    <row r="54" spans="4:7" ht="20.100000000000001" customHeight="1" x14ac:dyDescent="0.25"/>
    <row r="55" spans="4:7" ht="20.100000000000001" customHeight="1" x14ac:dyDescent="0.25">
      <c r="D55" s="117" t="s">
        <v>297</v>
      </c>
      <c r="E55" s="117" cm="1">
        <f t="array" ref="E55">Common_Equations.Common_ConvertN2OToCO2e(G52,G53)</f>
        <v>0</v>
      </c>
      <c r="F55" s="124"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D28EC-FA00-4509-9DBF-D20AB34044CB}">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582</v>
      </c>
    </row>
    <row r="2" spans="1:21" s="3" customFormat="1" ht="20.100000000000001" customHeight="1" x14ac:dyDescent="0.25">
      <c r="A2"/>
    </row>
    <row r="3" spans="1:21" ht="20.100000000000001" customHeight="1" x14ac:dyDescent="0.25">
      <c r="A3" s="5" t="str">
        <f>HYPERLINK("#'Home'!A1", "Home")</f>
        <v>Home</v>
      </c>
      <c r="C3" s="34"/>
      <c r="D3" s="34" t="s">
        <v>152</v>
      </c>
      <c r="E3" s="34"/>
      <c r="F3" s="34"/>
      <c r="G3" s="34"/>
      <c r="H3" s="34"/>
      <c r="I3" s="34"/>
      <c r="J3" s="34"/>
      <c r="K3" s="34"/>
      <c r="L3" s="34"/>
      <c r="N3" s="34"/>
      <c r="O3" s="34" t="s">
        <v>153</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8" t="str" cm="1">
        <f t="array" ref="D6">Fertiliser_Equations_Lime.VEERG_5_3_1_1__1_LimeApplicationCO2Emissions_Source()</f>
        <v>VEERG 2026: 5.3.1.1, Equation (1)</v>
      </c>
    </row>
    <row r="7" spans="1:21" ht="20.100000000000001" customHeight="1" x14ac:dyDescent="0.25">
      <c r="A7" s="7" t="s">
        <v>0</v>
      </c>
      <c r="D7" s="104" t="s">
        <v>257</v>
      </c>
      <c r="E7" s="104"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259</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9" t="s">
        <v>133</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6" t="str" cm="1">
        <f t="array" ref="D13:E20">_xlfn.CHOOSECOLS(Fertiliser_Equations_Lime.VEERG_5_3_1_1__1_LimeApplicationCO2Emissions_Arguments(), 1, 2)</f>
        <v>M_lime</v>
      </c>
      <c r="E13" s="107" t="str">
        <v>total mass of lime applied to production system</v>
      </c>
      <c r="F13" s="109"/>
      <c r="G13" s="106" t="str" cm="1">
        <f t="array" ref="G13:H20">_xlfn.CHOOSECOLS(Fertiliser_Equations_Lime.VEERG_5_3_1_1__1_LimeApplicationCO2Emissions_Arguments(), 3,4)</f>
        <v>kg</v>
      </c>
      <c r="H13" s="110" t="str">
        <v>Input</v>
      </c>
      <c r="I13" s="112" t="str" cm="1">
        <f t="array" aca="1" ref="I13" ca="1">HYPERLINK(Common_InputFunctions.Utility_SourceHyperlink($D$22), $D$22)</f>
        <v>Table_E_lime</v>
      </c>
    </row>
    <row r="14" spans="1:21" ht="20.100000000000001" customHeight="1" x14ac:dyDescent="0.25">
      <c r="A14" s="5" t="str">
        <f>HYPERLINK("#'Input - Fuel'!A1", "Fuel")</f>
        <v>Fuel</v>
      </c>
      <c r="D14" s="106" t="str">
        <v>FracLime</v>
      </c>
      <c r="E14" s="107" t="str">
        <v>fraction of lime as limestone (CaCO3)</v>
      </c>
      <c r="F14" s="109"/>
      <c r="G14" s="106" t="str">
        <v>fraction</v>
      </c>
      <c r="H14" s="110" t="str">
        <v>Input</v>
      </c>
      <c r="I14" s="112" t="str" cm="1">
        <f t="array" aca="1" ref="I14" ca="1">HYPERLINK(Common_InputFunctions.Utility_SourceHyperlink($D$22), $D$22)</f>
        <v>Table_E_lime</v>
      </c>
    </row>
    <row r="15" spans="1:21" ht="20.100000000000001" customHeight="1" x14ac:dyDescent="0.25">
      <c r="A15" s="5" t="str">
        <f>HYPERLINK("#'Input - Electricity'!A1", "Electricity")</f>
        <v>Electricity</v>
      </c>
      <c r="D15" s="106" t="str">
        <v>P_lime</v>
      </c>
      <c r="E15" s="107" t="str">
        <v>fractional purity of limestone</v>
      </c>
      <c r="F15" s="109"/>
      <c r="G15" s="106" t="str">
        <v>fraction</v>
      </c>
      <c r="H15" s="111" t="str">
        <v>Constant</v>
      </c>
      <c r="I15" s="106">
        <f>'Constants - Fertiliser'!$E$66</f>
        <v>0.9</v>
      </c>
    </row>
    <row r="16" spans="1:21" ht="20.100000000000001" customHeight="1" x14ac:dyDescent="0.25">
      <c r="D16" s="106" t="str">
        <v>EF_lime</v>
      </c>
      <c r="E16" s="107" t="str">
        <v>emission factor for limestone fraction of lime</v>
      </c>
      <c r="F16" s="109"/>
      <c r="G16" s="106" t="str">
        <v>kg C/kg</v>
      </c>
      <c r="H16" s="111" t="str">
        <v>Constant</v>
      </c>
      <c r="I16" s="106">
        <f>'Constants - Fertiliser'!$F$66</f>
        <v>0.12</v>
      </c>
    </row>
    <row r="17" spans="1:9" ht="20.100000000000001" customHeight="1" x14ac:dyDescent="0.25">
      <c r="D17" s="106" t="str">
        <v>FracDol</v>
      </c>
      <c r="E17" s="107" t="str">
        <v>fraction of lime as dolomite</v>
      </c>
      <c r="F17" s="109"/>
      <c r="G17" s="106" t="str">
        <v>fraction</v>
      </c>
      <c r="H17" s="110" t="str">
        <v>Input</v>
      </c>
      <c r="I17" s="112" t="str" cm="1">
        <f t="array" aca="1" ref="I17" ca="1">HYPERLINK(Common_InputFunctions.Utility_SourceHyperlink($D$22), $D$22)</f>
        <v>Table_E_lime</v>
      </c>
    </row>
    <row r="18" spans="1:9" ht="20.100000000000001" customHeight="1" x14ac:dyDescent="0.25">
      <c r="A18" s="6" t="s">
        <v>2</v>
      </c>
      <c r="D18" s="106" t="str">
        <v>P_dol</v>
      </c>
      <c r="E18" s="107" t="str">
        <v>fractional purity of dolomite</v>
      </c>
      <c r="F18" s="109"/>
      <c r="G18" s="106" t="str">
        <v>fraction</v>
      </c>
      <c r="H18" s="111" t="str">
        <v>Constant</v>
      </c>
      <c r="I18" s="106">
        <f>'Constants - Fertiliser'!$E$67</f>
        <v>0.95</v>
      </c>
    </row>
    <row r="19" spans="1:9" ht="20.100000000000001" customHeight="1" x14ac:dyDescent="0.25">
      <c r="A19" s="5" t="str">
        <f>HYPERLINK("#'3.2.1.1-2 Enteric Methane'!A1", "3.2.1.1-2 Enteric methane")</f>
        <v>3.2.1.1-2 Enteric methane</v>
      </c>
      <c r="D19" s="106" t="str">
        <v>EF_dol</v>
      </c>
      <c r="E19" s="107" t="str">
        <v>emission factor for dolomite fraction of lime</v>
      </c>
      <c r="F19" s="109"/>
      <c r="G19" s="106" t="str">
        <v>kg C/kg</v>
      </c>
      <c r="H19" s="111" t="str">
        <v>Constant</v>
      </c>
      <c r="I19" s="106">
        <f>'Constants - Fertiliser'!$F$67</f>
        <v>0.13</v>
      </c>
    </row>
    <row r="20" spans="1:9" ht="20.100000000000001" customHeight="1" x14ac:dyDescent="0.25">
      <c r="A20" s="5" t="str">
        <f>HYPERLINK("#'4.2.1.1-2 Methane'!A1", "4.2.1.1-2 Manure methane")</f>
        <v>4.2.1.1-2 Manure methane</v>
      </c>
      <c r="D20" s="106" t="str">
        <v>C_CO2</v>
      </c>
      <c r="E20" s="107" t="str">
        <v>factor to convert elemental mass of carbon dioxide to molecular mass</v>
      </c>
      <c r="F20" s="109"/>
      <c r="G20" s="106" t="str">
        <v/>
      </c>
      <c r="H20" s="111" t="str">
        <v>Constant</v>
      </c>
      <c r="I20" s="121">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3" t="s">
        <v>583</v>
      </c>
    </row>
    <row r="23" spans="1:9" ht="20.100000000000001" customHeight="1" x14ac:dyDescent="0.25">
      <c r="A23" s="5" t="str">
        <f>HYPERLINK("#'4.2.1.7-8 Soil leach runoff'!A1", "4.2.1.7-8 Soil leach &amp; runoff")</f>
        <v>4.2.1.7-8 Soil leach &amp; runoff</v>
      </c>
      <c r="D23" s="114" t="s">
        <v>584</v>
      </c>
    </row>
    <row r="24" spans="1:9" ht="20.100000000000001" customHeight="1" x14ac:dyDescent="0.25">
      <c r="A24" s="5" t="str">
        <f>HYPERLINK("#'5.1.1.1-2 Inorganic fert N2O'!A1", "5.1.1.1-2 Inorganic fert N2O")</f>
        <v>5.1.1.1-2 Inorganic fert N2O</v>
      </c>
      <c r="D24" s="116" t="s">
        <v>585</v>
      </c>
      <c r="E24" s="116" t="s">
        <v>586</v>
      </c>
      <c r="F24" s="116" t="s">
        <v>587</v>
      </c>
      <c r="G24" s="116" t="s">
        <v>588</v>
      </c>
      <c r="H24" s="115" t="s">
        <v>589</v>
      </c>
    </row>
    <row r="25" spans="1:9" ht="20.100000000000001" customHeight="1" x14ac:dyDescent="0.25">
      <c r="A25" s="5" t="str">
        <f>HYPERLINK("#'5.1.1.3-4 Inorganic fert CO2'!A1", "5.1.1.3-4 Inorganic fert CO2")</f>
        <v>5.1.1.3-4 Inorganic fert CO2</v>
      </c>
      <c r="D25" s="26" t="str" cm="1">
        <f t="array" ref="D25:D27">Table_Input_Lime[Product]</f>
        <v>Lime product 1</v>
      </c>
      <c r="E25" s="179" cm="1">
        <f t="array" ref="E25:E27">Table_Input_Lime[Total amount applied (t)]*10^3</f>
        <v>100000</v>
      </c>
      <c r="F25" s="180" cm="1">
        <f t="array" ref="F25:F27">Table_Input_Lime[Percent Lime CaCO3]</f>
        <v>0.8</v>
      </c>
      <c r="G25" s="180" cm="1">
        <f t="array" ref="G25:G27">Table_Input_Lime[Percent Dolomite CaMg(CO3)2]</f>
        <v>0.1</v>
      </c>
      <c r="H25" s="26"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6" t="str">
        <v>Lime product 2</v>
      </c>
      <c r="E26" s="26">
        <v>100000</v>
      </c>
      <c r="F26" s="26">
        <v>1</v>
      </c>
      <c r="G26" s="26">
        <v>0</v>
      </c>
      <c r="H26" s="26" cm="1">
        <f t="array" ref="H26">Fertiliser_Equations_Lime.VEERG_5_3_1_1__1_LimeApplicationCO2Emissions(E26,F26,$I$15,$I$16,G26,$I$18,$I$19,$I$20)</f>
        <v>39.6</v>
      </c>
    </row>
    <row r="27" spans="1:9" ht="20.100000000000001" customHeight="1" x14ac:dyDescent="0.25">
      <c r="A27" s="105" t="str">
        <f>HYPERLINK("#'5.3.1.1-2 Lime CO2'!A1", "5.3.1.1-2 Lime CO2")</f>
        <v>5.3.1.1-2 Lime CO2</v>
      </c>
      <c r="D27" s="26" t="str">
        <v>Lime product 3</v>
      </c>
      <c r="E27" s="26">
        <v>100000</v>
      </c>
      <c r="F27" s="26">
        <v>0</v>
      </c>
      <c r="G27" s="26">
        <v>0</v>
      </c>
      <c r="H27" s="26"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6"/>
      <c r="E28" s="26"/>
      <c r="F28" s="26"/>
      <c r="G28" s="26"/>
      <c r="H28" s="26"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6"/>
      <c r="E29" s="26"/>
      <c r="F29" s="26"/>
      <c r="G29" s="26"/>
      <c r="H29" s="26"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8" t="s">
        <v>590</v>
      </c>
      <c r="E31" s="119">
        <f>SUM(H25:H29)</f>
        <v>75.808333333333337</v>
      </c>
      <c r="F31" s="181" t="s">
        <v>148</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0"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D4EA9-65E4-4EF9-92DB-ABE8775B648D}">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2" customFormat="1" ht="30" customHeight="1" x14ac:dyDescent="0.35">
      <c r="A1" s="16" t="e" vm="1">
        <v>#VALUE!</v>
      </c>
      <c r="C1" s="32" t="s">
        <v>591</v>
      </c>
    </row>
    <row r="2" spans="1:21" s="3" customFormat="1" ht="20.100000000000001" customHeight="1" x14ac:dyDescent="0.25">
      <c r="A2"/>
    </row>
    <row r="3" spans="1:21" ht="20.100000000000001" customHeight="1" x14ac:dyDescent="0.25">
      <c r="A3" s="5" t="str">
        <f>HYPERLINK("#'Home'!A1", "Home")</f>
        <v>Home</v>
      </c>
      <c r="C3" s="34"/>
      <c r="D3" s="34" t="s">
        <v>152</v>
      </c>
      <c r="E3" s="34"/>
      <c r="F3" s="34"/>
      <c r="G3" s="34"/>
      <c r="H3" s="34"/>
      <c r="I3" s="34"/>
      <c r="J3" s="34"/>
      <c r="K3" s="34"/>
      <c r="L3" s="34"/>
      <c r="N3" s="34"/>
      <c r="O3" s="34" t="s">
        <v>153</v>
      </c>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8" t="str" cm="1">
        <f t="array" ref="D6">Fertiliser_Equations_AtmosphericDeposition.VEERG_5_4_1_1__2_MassOfNitrogenVolatilisedFromInorganicFertiliser_Source()</f>
        <v>VEERG 2026: 5.4.1.1, Equation (2)</v>
      </c>
    </row>
    <row r="7" spans="1:21" ht="20.100000000000001" customHeight="1" x14ac:dyDescent="0.25">
      <c r="A7" s="7" t="s">
        <v>0</v>
      </c>
      <c r="D7" s="104" t="s">
        <v>257</v>
      </c>
      <c r="E7" s="104"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9" t="s">
        <v>259</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9" t="s">
        <v>133</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6" t="str" cm="1">
        <f t="array" ref="D13:E14">_xlfn.CHOOSECOLS(Fertiliser_Equations_AtmosphericDeposition.VEERG_5_4_1_1__2_MassOfNitrogenVolatilisedFromInorganicFertiliser_Arguments(), 1, 2)</f>
        <v>MN_jf</v>
      </c>
      <c r="E13" s="107" t="str">
        <v>mass of nitrogen in inorganic fertiliser applied</v>
      </c>
      <c r="F13" s="109"/>
      <c r="G13" s="106" t="str" cm="1">
        <f t="array" ref="G13:H14">_xlfn.CHOOSECOLS(Fertiliser_Equations_AtmosphericDeposition.VEERG_5_4_1_1__2_MassOfNitrogenVolatilisedFromInorganicFertiliser_Arguments(), 3,4)</f>
        <v>kg N</v>
      </c>
      <c r="H13" s="111" t="str">
        <v>Calculated from 5.1.1.1 (2)</v>
      </c>
      <c r="I13" s="112" t="str" cm="1">
        <f t="array" aca="1" ref="I13" ca="1">HYPERLINK(Common_InputFunctions.Utility_SourceHyperlink($D$16),$D$16)</f>
        <v>Table_M_vol_inorganic_j_f</v>
      </c>
    </row>
    <row r="14" spans="1:21" ht="20.100000000000001" customHeight="1" x14ac:dyDescent="0.25">
      <c r="A14" s="5" t="str">
        <f>HYPERLINK("#'Input - Fuel'!A1", "Fuel")</f>
        <v>Fuel</v>
      </c>
      <c r="D14" s="106" t="str">
        <v>FracGASF_f</v>
      </c>
      <c r="E14" s="107" t="str">
        <v>fraction of inorganic fertiliser that volatilises</v>
      </c>
      <c r="F14" s="109"/>
      <c r="G14" s="106" t="str">
        <v>(kg NH3-N + NOx-N)/kg N</v>
      </c>
      <c r="H14" s="111" t="str">
        <v>Constant</v>
      </c>
      <c r="I14" s="112"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3" t="s">
        <v>592</v>
      </c>
    </row>
    <row r="17" spans="1:8" ht="20.100000000000001" customHeight="1" x14ac:dyDescent="0.25">
      <c r="D17" s="114" t="s">
        <v>593</v>
      </c>
    </row>
    <row r="18" spans="1:8" ht="20.100000000000001" customHeight="1" x14ac:dyDescent="0.25">
      <c r="A18" s="6" t="s">
        <v>2</v>
      </c>
      <c r="D18" s="115" t="s">
        <v>594</v>
      </c>
      <c r="E18" s="115" t="s">
        <v>595</v>
      </c>
      <c r="F18" s="115" t="s">
        <v>596</v>
      </c>
      <c r="G18" s="182" t="s">
        <v>597</v>
      </c>
      <c r="H18" s="182" t="s">
        <v>598</v>
      </c>
    </row>
    <row r="19" spans="1:8" ht="20.100000000000001" customHeight="1" x14ac:dyDescent="0.25">
      <c r="A19" s="5" t="str">
        <f>HYPERLINK("#'3.2.1.1-2 Enteric Methane'!A1", "3.2.1.1-2 Enteric methane")</f>
        <v>3.2.1.1-2 Enteric methane</v>
      </c>
      <c r="D19" s="26" t="str" cm="1">
        <f t="array" ref="D19:D37">Table_Fertiliser_ChemicalCompounds[Fertiliser type f]</f>
        <v>Monoammonium phosphate (MAP)</v>
      </c>
      <c r="E19" s="26">
        <f>INDEX(Table_MN_j_f,2,4)</f>
        <v>0</v>
      </c>
      <c r="F19" s="26" t="str" cm="1">
        <f t="array" ref="F19">Common_InputFunctions.Utility_LookupValueInTable(D19, Table_Fertiliser_ChemicalCompounds[Fertiliser type f],Table_Fertiliser_ChemicalCompounds[Basis])</f>
        <v>Ammonium-based fertilisers</v>
      </c>
      <c r="G19" s="26" cm="1">
        <f t="array" ref="G19">Common_InputFunctions.Utility_LookupValueInTableNumber(F19, Table_SourceData_Fertiliser_FracGASF[Fertiliser type f],Table_SourceData_Fertiliser_FracGASF[FracGASF f])</f>
        <v>0.08</v>
      </c>
      <c r="H19" s="26"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6" t="str">
        <v>Diammonium phosphate (DAP)</v>
      </c>
      <c r="E20" s="26">
        <f>INDEX(Table_MN_j_f,3,4)</f>
        <v>0</v>
      </c>
      <c r="F20" s="26" t="str" cm="1">
        <f t="array" ref="F20">Common_InputFunctions.Utility_LookupValueInTable(D20, Table_Fertiliser_ChemicalCompounds[Fertiliser type f],Table_Fertiliser_ChemicalCompounds[Basis])</f>
        <v>Ammonium-based fertilisers</v>
      </c>
      <c r="G20" s="26" cm="1">
        <f t="array" ref="G20">Common_InputFunctions.Utility_LookupValueInTableNumber(F20, Table_SourceData_Fertiliser_FracGASF[Fertiliser type f],Table_SourceData_Fertiliser_FracGASF[FracGASF f])</f>
        <v>0.08</v>
      </c>
      <c r="H20" s="26"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6" t="str">
        <v>Urea</v>
      </c>
      <c r="E21" s="26">
        <f>INDEX(Table_MN_j_f,4,4)</f>
        <v>4600</v>
      </c>
      <c r="F21" s="26" t="str" cm="1">
        <f t="array" ref="F21">Common_InputFunctions.Utility_LookupValueInTable(D21, Table_Fertiliser_ChemicalCompounds[Fertiliser type f],Table_Fertiliser_ChemicalCompounds[Basis])</f>
        <v>Urea-based fertilisers</v>
      </c>
      <c r="G21" s="26" cm="1">
        <f t="array" ref="G21">Common_InputFunctions.Utility_LookupValueInTableNumber(F21, Table_SourceData_Fertiliser_FracGASF[Fertiliser type f],Table_SourceData_Fertiliser_FracGASF[FracGASF f])</f>
        <v>0.15</v>
      </c>
      <c r="H21" s="26"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6" t="str">
        <v>Sulphate of ammonia (SOA)</v>
      </c>
      <c r="E22" s="26">
        <f>INDEX(Table_MN_j_f,5,4)</f>
        <v>0</v>
      </c>
      <c r="F22" s="26" t="str" cm="1">
        <f t="array" ref="F22">Common_InputFunctions.Utility_LookupValueInTable(D22, Table_Fertiliser_ChemicalCompounds[Fertiliser type f],Table_Fertiliser_ChemicalCompounds[Basis])</f>
        <v>Ammonium-based fertilisers</v>
      </c>
      <c r="G22" s="26" cm="1">
        <f t="array" ref="G22">Common_InputFunctions.Utility_LookupValueInTableNumber(F22, Table_SourceData_Fertiliser_FracGASF[Fertiliser type f],Table_SourceData_Fertiliser_FracGASF[FracGASF f])</f>
        <v>0.08</v>
      </c>
      <c r="H22" s="26"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6" t="str">
        <v>Urea-ammonium nitrate (UAN)</v>
      </c>
      <c r="E23" s="26">
        <f>INDEX(Table_MN_j_f,6,4)</f>
        <v>0</v>
      </c>
      <c r="F23" s="26" t="str" cm="1">
        <f t="array" ref="F23">Common_InputFunctions.Utility_LookupValueInTable(D23, Table_Fertiliser_ChemicalCompounds[Fertiliser type f],Table_Fertiliser_ChemicalCompounds[Basis])</f>
        <v>Urea-based fertilisers</v>
      </c>
      <c r="G23" s="26" cm="1">
        <f t="array" ref="G23">Common_InputFunctions.Utility_LookupValueInTableNumber(F23, Table_SourceData_Fertiliser_FracGASF[Fertiliser type f],Table_SourceData_Fertiliser_FracGASF[FracGASF f])</f>
        <v>0.15</v>
      </c>
      <c r="H23" s="26"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6" t="str">
        <v>Ammonium nitrate (AN)</v>
      </c>
      <c r="E24" s="26">
        <f>INDEX(Table_MN_j_f,7,4)</f>
        <v>0</v>
      </c>
      <c r="F24" s="26" t="str" cm="1">
        <f t="array" ref="F24">Common_InputFunctions.Utility_LookupValueInTable(D24, Table_Fertiliser_ChemicalCompounds[Fertiliser type f],Table_Fertiliser_ChemicalCompounds[Basis])</f>
        <v>Ammonium-nitrate based fertilisers</v>
      </c>
      <c r="G24" s="26" cm="1">
        <f t="array" ref="G24">Common_InputFunctions.Utility_LookupValueInTableNumber(F24, Table_SourceData_Fertiliser_FracGASF[Fertiliser type f],Table_SourceData_Fertiliser_FracGASF[FracGASF f])</f>
        <v>0.05</v>
      </c>
      <c r="H24" s="26"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6" t="str">
        <v>Calcium ammonium nitrate (CAN)</v>
      </c>
      <c r="E25" s="26">
        <f>INDEX(Table_MN_j_f,8,4)</f>
        <v>0</v>
      </c>
      <c r="F25" s="26" t="str" cm="1">
        <f t="array" ref="F25">Common_InputFunctions.Utility_LookupValueInTable(D25, Table_Fertiliser_ChemicalCompounds[Fertiliser type f],Table_Fertiliser_ChemicalCompounds[Basis])</f>
        <v>Ammonium-nitrate based fertilisers</v>
      </c>
      <c r="G25" s="26" cm="1">
        <f t="array" ref="G25">Common_InputFunctions.Utility_LookupValueInTableNumber(F25, Table_SourceData_Fertiliser_FracGASF[Fertiliser type f],Table_SourceData_Fertiliser_FracGASF[FracGASF f])</f>
        <v>0.05</v>
      </c>
      <c r="H25" s="26"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6" t="str">
        <v>Nitrogen - Ammoniacal</v>
      </c>
      <c r="E26" s="26">
        <f>INDEX(Table_MN_j_f,9,4)</f>
        <v>0</v>
      </c>
      <c r="F26" s="26" t="str" cm="1">
        <f t="array" ref="F26">Common_InputFunctions.Utility_LookupValueInTable(D26, Table_Fertiliser_ChemicalCompounds[Fertiliser type f],Table_Fertiliser_ChemicalCompounds[Basis])</f>
        <v>Ammonium-based fertilisers</v>
      </c>
      <c r="G26" s="26" cm="1">
        <f t="array" ref="G26">Common_InputFunctions.Utility_LookupValueInTableNumber(F26, Table_SourceData_Fertiliser_FracGASF[Fertiliser type f],Table_SourceData_Fertiliser_FracGASF[FracGASF f])</f>
        <v>0.08</v>
      </c>
      <c r="H26" s="26"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6" t="str">
        <v>Nitrogen - Nitrate</v>
      </c>
      <c r="E27" s="26">
        <f>INDEX(Table_MN_j_f,10,4)</f>
        <v>1980</v>
      </c>
      <c r="F27" s="26" t="str" cm="1">
        <f t="array" ref="F27">Common_InputFunctions.Utility_LookupValueInTable(D27, Table_Fertiliser_ChemicalCompounds[Fertiliser type f],Table_Fertiliser_ChemicalCompounds[Basis])</f>
        <v>Nitrate-based fertilisers</v>
      </c>
      <c r="G27" s="26" cm="1">
        <f t="array" ref="G27">Common_InputFunctions.Utility_LookupValueInTableNumber(F27, Table_SourceData_Fertiliser_FracGASF[Fertiliser type f],Table_SourceData_Fertiliser_FracGASF[FracGASF f])</f>
        <v>0.01</v>
      </c>
      <c r="H27" s="26" cm="1">
        <f t="array" ref="H27">Fertiliser_Equations_AtmosphericDeposition.VEERG_5_4_1_1__2_MassOfNitrogenVolatilisedFromInorganicFertiliser(E27,G27)</f>
        <v>19.8</v>
      </c>
    </row>
    <row r="28" spans="1:8" ht="20.100000000000001" customHeight="1" x14ac:dyDescent="0.25">
      <c r="A28" s="105" t="str">
        <f>HYPERLINK("#'5.4.1.1-4 Atmos deposition'!A1", "5.4.1.1-4 Atmos. deposition")</f>
        <v>5.4.1.1-4 Atmos. deposition</v>
      </c>
      <c r="D28" s="26" t="str">
        <v>Nitrogen - Generic</v>
      </c>
      <c r="E28" s="26">
        <f>INDEX(Table_MN_j_f,11,4)</f>
        <v>1537.2</v>
      </c>
      <c r="F28" s="26" t="str" cm="1">
        <f t="array" ref="F28">Common_InputFunctions.Utility_LookupValueInTable(D28, Table_Fertiliser_ChemicalCompounds[Fertiliser type f],Table_Fertiliser_ChemicalCompounds[Basis])</f>
        <v>Urea-based fertilisers</v>
      </c>
      <c r="G28" s="26" cm="1">
        <f t="array" ref="G28">Common_InputFunctions.Utility_LookupValueInTableNumber(F28, Table_SourceData_Fertiliser_FracGASF[Fertiliser type f],Table_SourceData_Fertiliser_FracGASF[FracGASF f])</f>
        <v>0.15</v>
      </c>
      <c r="H28" s="26"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6" t="str">
        <v>Phosphorus - Generic</v>
      </c>
      <c r="E29" s="26">
        <f>INDEX(Table_MN_j_f,12,4)</f>
        <v>0</v>
      </c>
      <c r="F29" s="26" t="str" cm="1">
        <f t="array" ref="F29">Common_InputFunctions.Utility_LookupValueInTable(D29, Table_Fertiliser_ChemicalCompounds[Fertiliser type f],Table_Fertiliser_ChemicalCompounds[Basis])</f>
        <v>Other fertilisers</v>
      </c>
      <c r="G29" s="26" cm="1">
        <f t="array" ref="G29">Common_InputFunctions.Utility_LookupValueInTableNumber(F29, Table_SourceData_Fertiliser_FracGASF[Fertiliser type f],Table_SourceData_Fertiliser_FracGASF[FracGASF f])</f>
        <v>0.11</v>
      </c>
      <c r="H29" s="26"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6" t="str">
        <v>Potassium - Generic</v>
      </c>
      <c r="E30" s="26">
        <f>INDEX(Table_MN_j_f,13,4)</f>
        <v>0</v>
      </c>
      <c r="F30" s="26" t="str" cm="1">
        <f t="array" ref="F30">Common_InputFunctions.Utility_LookupValueInTable(D30, Table_Fertiliser_ChemicalCompounds[Fertiliser type f],Table_Fertiliser_ChemicalCompounds[Basis])</f>
        <v>Other fertilisers</v>
      </c>
      <c r="G30" s="26" cm="1">
        <f t="array" ref="G30">Common_InputFunctions.Utility_LookupValueInTableNumber(F30, Table_SourceData_Fertiliser_FracGASF[Fertiliser type f],Table_SourceData_Fertiliser_FracGASF[FracGASF f])</f>
        <v>0.11</v>
      </c>
      <c r="H30" s="26"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6" t="str">
        <v>Sulfur - Generic</v>
      </c>
      <c r="E31" s="26">
        <f>INDEX(Table_MN_j_f,14,4)</f>
        <v>0</v>
      </c>
      <c r="F31" s="26" t="str" cm="1">
        <f t="array" ref="F31">Common_InputFunctions.Utility_LookupValueInTable(D31, Table_Fertiliser_ChemicalCompounds[Fertiliser type f],Table_Fertiliser_ChemicalCompounds[Basis])</f>
        <v>Other fertilisers</v>
      </c>
      <c r="G31" s="26" cm="1">
        <f t="array" ref="G31">Common_InputFunctions.Utility_LookupValueInTableNumber(F31, Table_SourceData_Fertiliser_FracGASF[Fertiliser type f],Table_SourceData_Fertiliser_FracGASF[FracGASF f])</f>
        <v>0.11</v>
      </c>
      <c r="H31" s="26"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6" t="str">
        <v>Zinc - Generic</v>
      </c>
      <c r="E32" s="26">
        <f>INDEX(Table_MN_j_f,15,4)</f>
        <v>0</v>
      </c>
      <c r="F32" s="26" t="str" cm="1">
        <f t="array" ref="F32">Common_InputFunctions.Utility_LookupValueInTable(D32, Table_Fertiliser_ChemicalCompounds[Fertiliser type f],Table_Fertiliser_ChemicalCompounds[Basis])</f>
        <v>Other fertilisers</v>
      </c>
      <c r="G32" s="26" cm="1">
        <f t="array" ref="G32">Common_InputFunctions.Utility_LookupValueInTableNumber(F32, Table_SourceData_Fertiliser_FracGASF[Fertiliser type f],Table_SourceData_Fertiliser_FracGASF[FracGASF f])</f>
        <v>0.11</v>
      </c>
      <c r="H32" s="26"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6" t="str">
        <v>Muriate of potash (MOP)</v>
      </c>
      <c r="E33" s="26">
        <f>INDEX(Table_MN_j_f,16,4)</f>
        <v>0</v>
      </c>
      <c r="F33" s="26" t="str" cm="1">
        <f t="array" ref="F33">Common_InputFunctions.Utility_LookupValueInTable(D33, Table_Fertiliser_ChemicalCompounds[Fertiliser type f],Table_Fertiliser_ChemicalCompounds[Basis])</f>
        <v>Other fertilisers</v>
      </c>
      <c r="G33" s="26" cm="1">
        <f t="array" ref="G33">Common_InputFunctions.Utility_LookupValueInTableNumber(F33, Table_SourceData_Fertiliser_FracGASF[Fertiliser type f],Table_SourceData_Fertiliser_FracGASF[FracGASF f])</f>
        <v>0.11</v>
      </c>
      <c r="H33" s="26"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6" t="str">
        <v>Double superphosphate</v>
      </c>
      <c r="E34" s="26">
        <f>INDEX(Table_MN_j_f,17,4)</f>
        <v>0</v>
      </c>
      <c r="F34" s="26" t="str" cm="1">
        <f t="array" ref="F34">Common_InputFunctions.Utility_LookupValueInTable(D34, Table_Fertiliser_ChemicalCompounds[Fertiliser type f],Table_Fertiliser_ChemicalCompounds[Basis])</f>
        <v>Other fertilisers</v>
      </c>
      <c r="G34" s="26" cm="1">
        <f t="array" ref="G34">Common_InputFunctions.Utility_LookupValueInTableNumber(F34, Table_SourceData_Fertiliser_FracGASF[Fertiliser type f],Table_SourceData_Fertiliser_FracGASF[FracGASF f])</f>
        <v>0.11</v>
      </c>
      <c r="H34" s="26" cm="1">
        <f t="array" ref="H34">Fertiliser_Equations_AtmosphericDeposition.VEERG_5_4_1_1__2_MassOfNitrogenVolatilisedFromInorganicFertiliser(E34,G34)</f>
        <v>0</v>
      </c>
    </row>
    <row r="35" spans="1:12" ht="20.100000000000001" customHeight="1" x14ac:dyDescent="0.25">
      <c r="D35" s="26" t="str">
        <v>Single superphosphate (SSP)</v>
      </c>
      <c r="E35" s="26">
        <f>INDEX(Table_MN_j_f,18,4)</f>
        <v>0</v>
      </c>
      <c r="F35" s="26" t="str" cm="1">
        <f t="array" ref="F35">Common_InputFunctions.Utility_LookupValueInTable(D35, Table_Fertiliser_ChemicalCompounds[Fertiliser type f],Table_Fertiliser_ChemicalCompounds[Basis])</f>
        <v>Other fertilisers</v>
      </c>
      <c r="G35" s="26" cm="1">
        <f t="array" ref="G35">Common_InputFunctions.Utility_LookupValueInTableNumber(F35, Table_SourceData_Fertiliser_FracGASF[Fertiliser type f],Table_SourceData_Fertiliser_FracGASF[FracGASF f])</f>
        <v>0.11</v>
      </c>
      <c r="H35" s="26" cm="1">
        <f t="array" ref="H35">Fertiliser_Equations_AtmosphericDeposition.VEERG_5_4_1_1__2_MassOfNitrogenVolatilisedFromInorganicFertiliser(E35,G35)</f>
        <v>0</v>
      </c>
    </row>
    <row r="36" spans="1:12" ht="20.100000000000001" customHeight="1" x14ac:dyDescent="0.25">
      <c r="D36" s="26" t="str">
        <v>Ammonia</v>
      </c>
      <c r="E36" s="26">
        <f>INDEX(Table_MN_j_f,19,4)</f>
        <v>4117.5</v>
      </c>
      <c r="F36" s="26" t="str" cm="1">
        <f t="array" ref="F36">Common_InputFunctions.Utility_LookupValueInTable(D36, Table_Fertiliser_ChemicalCompounds[Fertiliser type f],Table_Fertiliser_ChemicalCompounds[Basis])</f>
        <v>Ammonium-based fertilisers</v>
      </c>
      <c r="G36" s="26" cm="1">
        <f t="array" ref="G36">Common_InputFunctions.Utility_LookupValueInTableNumber(F36, Table_SourceData_Fertiliser_FracGASF[Fertiliser type f],Table_SourceData_Fertiliser_FracGASF[FracGASF f])</f>
        <v>0.08</v>
      </c>
      <c r="H36" s="26" cm="1">
        <f t="array" ref="H36">Fertiliser_Equations_AtmosphericDeposition.VEERG_5_4_1_1__2_MassOfNitrogenVolatilisedFromInorganicFertiliser(E36,G36)</f>
        <v>329.40000000000003</v>
      </c>
    </row>
    <row r="37" spans="1:12" ht="20.100000000000001" customHeight="1" x14ac:dyDescent="0.25">
      <c r="A37" s="250" t="s">
        <v>1</v>
      </c>
      <c r="D37" s="26" t="str">
        <v>Calcium nitrate</v>
      </c>
      <c r="E37" s="26">
        <f>INDEX(Table_MN_j_f,20,4)</f>
        <v>775</v>
      </c>
      <c r="F37" s="26" t="str" cm="1">
        <f t="array" ref="F37">Common_InputFunctions.Utility_LookupValueInTable(D37, Table_Fertiliser_ChemicalCompounds[Fertiliser type f],Table_Fertiliser_ChemicalCompounds[Basis])</f>
        <v>Nitrate-based fertilisers</v>
      </c>
      <c r="G37" s="26" cm="1">
        <f t="array" ref="G37">Common_InputFunctions.Utility_LookupValueInTableNumber(F37, Table_SourceData_Fertiliser_FracGASF[Fertiliser type f],Table_SourceData_Fertiliser_FracGASF[FracGASF f])</f>
        <v>0.01</v>
      </c>
      <c r="H37" s="26"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8"/>
      <c r="D40" s="178"/>
      <c r="E40" s="178"/>
      <c r="F40" s="178"/>
      <c r="G40" s="178"/>
      <c r="H40" s="178"/>
      <c r="I40" s="178"/>
      <c r="J40" s="178"/>
      <c r="K40" s="178"/>
      <c r="L40" s="178"/>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8"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4" t="s">
        <v>257</v>
      </c>
      <c r="E43" s="104"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9" t="s">
        <v>259</v>
      </c>
      <c r="E46" s="1" t="str" cm="1">
        <f t="array" ref="E46">Fertiliser_Equations_AtmosphericDeposition.VEERG_5_4_1_1__1_InorganicFertiliserAtmosphericDepositionN2OEmissions_Variable()</f>
        <v>E_adinorganic</v>
      </c>
    </row>
    <row r="47" spans="1:12" ht="20.100000000000001" customHeight="1" x14ac:dyDescent="0.25">
      <c r="D47" s="89" t="s">
        <v>133</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6"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106" t="str" cm="1">
        <f t="array" ref="H49:I54">_xlfn.CHOOSECOLS(Fertiliser_Equations_AtmosphericDeposition.VEERG_5_4_1_1__1_InorganicFertiliserAtmosphericDepositionN2OEmissions_Arguments(), 3,4)</f>
        <v>kg N</v>
      </c>
      <c r="I49" s="111" t="str">
        <v>Calculated from 5.4.1.1 (2)</v>
      </c>
      <c r="J49" s="112" t="str" cm="1">
        <f t="array" aca="1" ref="J49" ca="1">HYPERLINK(Common_InputFunctions.Utility_SourceHyperlink($D$16),$D$16)</f>
        <v>Table_M_vol_inorganic_j_f</v>
      </c>
    </row>
    <row r="50" spans="4:10" ht="20.100000000000001" customHeight="1" x14ac:dyDescent="0.25">
      <c r="D50" s="106" t="str">
        <v>EF_N2Oj</v>
      </c>
      <c r="E50" s="107" t="str">
        <v>emission factor for atmospheric deposition</v>
      </c>
      <c r="F50" s="108"/>
      <c r="G50" s="109"/>
      <c r="H50" s="106" t="str">
        <v>kg N2O-N/kg N</v>
      </c>
      <c r="I50" s="111" t="str">
        <v>Constant</v>
      </c>
      <c r="J50" s="106">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6" t="str">
        <v>C_N2O</v>
      </c>
      <c r="E51" s="107" t="str">
        <v>factor to convert elemental mass of nitrous oxide to molecular mass</v>
      </c>
      <c r="F51" s="108"/>
      <c r="G51" s="109"/>
      <c r="H51" s="106" t="str">
        <v/>
      </c>
      <c r="I51" s="111" t="str">
        <v>Constant</v>
      </c>
      <c r="J51" s="121">
        <f>Common_InputFunctions.Utility_LookupValueInTableNumber("N2O",Table_GasToMolecularConversionFactor[Gas],Table_GasToMolecularConversionFactor[Conversion factor combined])</f>
        <v>1.5714285714285714</v>
      </c>
    </row>
    <row r="52" spans="4:10" ht="20.100000000000001" customHeight="1" x14ac:dyDescent="0.25">
      <c r="D52" s="106" t="str">
        <v>j</v>
      </c>
      <c r="E52" s="107" t="str">
        <v>Production system</v>
      </c>
      <c r="F52" s="108"/>
      <c r="G52" s="109"/>
      <c r="H52" s="106" t="str">
        <v/>
      </c>
      <c r="I52" s="110" t="str">
        <v>Input</v>
      </c>
      <c r="J52" s="106" t="str">
        <f>X_Cell_Fertiliser_ProductionSystem</f>
        <v>Crop</v>
      </c>
    </row>
    <row r="53" spans="4:10" ht="20.100000000000001" customHeight="1" x14ac:dyDescent="0.25">
      <c r="D53" s="106" t="str">
        <v>ir</v>
      </c>
      <c r="E53" s="107" t="str">
        <v>irrigation method</v>
      </c>
      <c r="F53" s="108"/>
      <c r="G53" s="109"/>
      <c r="H53" s="106" t="str">
        <v/>
      </c>
      <c r="I53" s="110" t="str">
        <v>Input</v>
      </c>
      <c r="J53" s="106" t="str">
        <f>X_Cell_Fertiliser_IrrigationMethod</f>
        <v>Sprinkler irrigation</v>
      </c>
    </row>
    <row r="54" spans="4:10" ht="20.100000000000001" customHeight="1" x14ac:dyDescent="0.25">
      <c r="D54" s="106" t="str">
        <v>r</v>
      </c>
      <c r="E54" s="107" t="str">
        <v>rainfall region</v>
      </c>
      <c r="F54" s="108"/>
      <c r="G54" s="109"/>
      <c r="H54" s="106" t="str">
        <v/>
      </c>
      <c r="I54" s="110" t="str">
        <v>Input</v>
      </c>
      <c r="J54" s="106">
        <f>X_Cell_Site_RainfallZone</f>
        <v>0</v>
      </c>
    </row>
    <row r="55" spans="4:10" ht="20.100000000000001" customHeight="1" x14ac:dyDescent="0.25"/>
    <row r="56" spans="4:10" ht="20.100000000000001" customHeight="1" x14ac:dyDescent="0.25">
      <c r="D56" s="113" t="s">
        <v>599</v>
      </c>
    </row>
    <row r="57" spans="4:10" ht="20.100000000000001" customHeight="1" x14ac:dyDescent="0.25">
      <c r="D57" s="114" t="s">
        <v>600</v>
      </c>
    </row>
    <row r="58" spans="4:10" ht="20.100000000000001" customHeight="1" x14ac:dyDescent="0.25">
      <c r="D58" s="115" t="s">
        <v>594</v>
      </c>
      <c r="E58" s="182" t="s">
        <v>598</v>
      </c>
      <c r="F58" s="182" t="s">
        <v>601</v>
      </c>
    </row>
    <row r="59" spans="4:10" ht="20.100000000000001" customHeight="1" x14ac:dyDescent="0.25">
      <c r="D59" s="26" t="str" cm="1">
        <f t="array" ref="D59:D77">Table_Fertiliser_ChemicalCompounds[Fertiliser type f]</f>
        <v>Monoammonium phosphate (MAP)</v>
      </c>
      <c r="E59" s="26">
        <f t="shared" ref="E59:E77" si="0">H19</f>
        <v>0</v>
      </c>
      <c r="F59" s="26" cm="1">
        <f t="array" ref="F59">Fertiliser_Equations_AtmosphericDeposition.VEERG_5_4_1_1__1_InorganicFertiliserAtmosphericDepositionN2OEmissions(E59,$J$50,$J$51)</f>
        <v>0</v>
      </c>
      <c r="G59" s="27" t="str">
        <f>E47</f>
        <v>t N2O</v>
      </c>
    </row>
    <row r="60" spans="4:10" ht="20.100000000000001" customHeight="1" x14ac:dyDescent="0.25">
      <c r="D60" s="26" t="str">
        <v>Diammonium phosphate (DAP)</v>
      </c>
      <c r="E60" s="26">
        <f t="shared" si="0"/>
        <v>0</v>
      </c>
      <c r="F60" s="26" cm="1">
        <f t="array" ref="F60">Fertiliser_Equations_AtmosphericDeposition.VEERG_5_4_1_1__1_InorganicFertiliserAtmosphericDepositionN2OEmissions(E60,$J$50,$J$51)</f>
        <v>0</v>
      </c>
    </row>
    <row r="61" spans="4:10" ht="20.100000000000001" customHeight="1" x14ac:dyDescent="0.25">
      <c r="D61" s="26" t="str">
        <v>Urea</v>
      </c>
      <c r="E61" s="26">
        <f t="shared" si="0"/>
        <v>690</v>
      </c>
      <c r="F61" s="26" cm="1">
        <f t="array" ref="F61">Fertiliser_Equations_AtmosphericDeposition.VEERG_5_4_1_1__1_InorganicFertiliserAtmosphericDepositionN2OEmissions(E61,$J$50,$J$51)</f>
        <v>7.5900000000000004E-3</v>
      </c>
    </row>
    <row r="62" spans="4:10" ht="20.100000000000001" customHeight="1" x14ac:dyDescent="0.25">
      <c r="D62" s="26" t="str">
        <v>Sulphate of ammonia (SOA)</v>
      </c>
      <c r="E62" s="26">
        <f t="shared" si="0"/>
        <v>0</v>
      </c>
      <c r="F62" s="26" cm="1">
        <f t="array" ref="F62">Fertiliser_Equations_AtmosphericDeposition.VEERG_5_4_1_1__1_InorganicFertiliserAtmosphericDepositionN2OEmissions(E62,$J$50,$J$51)</f>
        <v>0</v>
      </c>
    </row>
    <row r="63" spans="4:10" ht="20.100000000000001" customHeight="1" x14ac:dyDescent="0.25">
      <c r="D63" s="26" t="str">
        <v>Urea-ammonium nitrate (UAN)</v>
      </c>
      <c r="E63" s="26">
        <f t="shared" si="0"/>
        <v>0</v>
      </c>
      <c r="F63" s="26" cm="1">
        <f t="array" ref="F63">Fertiliser_Equations_AtmosphericDeposition.VEERG_5_4_1_1__1_InorganicFertiliserAtmosphericDepositionN2OEmissions(E63,$J$50,$J$51)</f>
        <v>0</v>
      </c>
    </row>
    <row r="64" spans="4:10" ht="20.100000000000001" customHeight="1" x14ac:dyDescent="0.25">
      <c r="D64" s="26" t="str">
        <v>Ammonium nitrate (AN)</v>
      </c>
      <c r="E64" s="26">
        <f t="shared" si="0"/>
        <v>0</v>
      </c>
      <c r="F64" s="26" cm="1">
        <f t="array" ref="F64">Fertiliser_Equations_AtmosphericDeposition.VEERG_5_4_1_1__1_InorganicFertiliserAtmosphericDepositionN2OEmissions(E64,$J$50,$J$51)</f>
        <v>0</v>
      </c>
    </row>
    <row r="65" spans="4:6" ht="20.100000000000001" customHeight="1" x14ac:dyDescent="0.25">
      <c r="D65" s="26" t="str">
        <v>Calcium ammonium nitrate (CAN)</v>
      </c>
      <c r="E65" s="26">
        <f t="shared" si="0"/>
        <v>0</v>
      </c>
      <c r="F65" s="26" cm="1">
        <f t="array" ref="F65">Fertiliser_Equations_AtmosphericDeposition.VEERG_5_4_1_1__1_InorganicFertiliserAtmosphericDepositionN2OEmissions(E65,$J$50,$J$51)</f>
        <v>0</v>
      </c>
    </row>
    <row r="66" spans="4:6" ht="20.100000000000001" customHeight="1" x14ac:dyDescent="0.25">
      <c r="D66" s="26" t="str">
        <v>Nitrogen - Ammoniacal</v>
      </c>
      <c r="E66" s="26">
        <f t="shared" si="0"/>
        <v>0</v>
      </c>
      <c r="F66" s="26" cm="1">
        <f t="array" ref="F66">Fertiliser_Equations_AtmosphericDeposition.VEERG_5_4_1_1__1_InorganicFertiliserAtmosphericDepositionN2OEmissions(E66,$J$50,$J$51)</f>
        <v>0</v>
      </c>
    </row>
    <row r="67" spans="4:6" ht="20.100000000000001" customHeight="1" x14ac:dyDescent="0.25">
      <c r="D67" s="26" t="str">
        <v>Nitrogen - Nitrate</v>
      </c>
      <c r="E67" s="26">
        <f t="shared" si="0"/>
        <v>19.8</v>
      </c>
      <c r="F67" s="26" cm="1">
        <f t="array" ref="F67">Fertiliser_Equations_AtmosphericDeposition.VEERG_5_4_1_1__1_InorganicFertiliserAtmosphericDepositionN2OEmissions(E67,$J$50,$J$51)</f>
        <v>2.1780000000000001E-4</v>
      </c>
    </row>
    <row r="68" spans="4:6" ht="20.100000000000001" customHeight="1" x14ac:dyDescent="0.25">
      <c r="D68" s="26" t="str">
        <v>Nitrogen - Generic</v>
      </c>
      <c r="E68" s="26">
        <f t="shared" si="0"/>
        <v>230.57999999999998</v>
      </c>
      <c r="F68" s="26" cm="1">
        <f t="array" ref="F68">Fertiliser_Equations_AtmosphericDeposition.VEERG_5_4_1_1__1_InorganicFertiliserAtmosphericDepositionN2OEmissions(E68,$J$50,$J$51)</f>
        <v>2.53638E-3</v>
      </c>
    </row>
    <row r="69" spans="4:6" ht="20.100000000000001" customHeight="1" x14ac:dyDescent="0.25">
      <c r="D69" s="26" t="str">
        <v>Phosphorus - Generic</v>
      </c>
      <c r="E69" s="26">
        <f t="shared" si="0"/>
        <v>0</v>
      </c>
      <c r="F69" s="26" cm="1">
        <f t="array" ref="F69">Fertiliser_Equations_AtmosphericDeposition.VEERG_5_4_1_1__1_InorganicFertiliserAtmosphericDepositionN2OEmissions(E69,$J$50,$J$51)</f>
        <v>0</v>
      </c>
    </row>
    <row r="70" spans="4:6" ht="20.100000000000001" customHeight="1" x14ac:dyDescent="0.25">
      <c r="D70" s="26" t="str">
        <v>Potassium - Generic</v>
      </c>
      <c r="E70" s="26">
        <f t="shared" si="0"/>
        <v>0</v>
      </c>
      <c r="F70" s="26" cm="1">
        <f t="array" ref="F70">Fertiliser_Equations_AtmosphericDeposition.VEERG_5_4_1_1__1_InorganicFertiliserAtmosphericDepositionN2OEmissions(E70,$J$50,$J$51)</f>
        <v>0</v>
      </c>
    </row>
    <row r="71" spans="4:6" ht="20.100000000000001" customHeight="1" x14ac:dyDescent="0.25">
      <c r="D71" s="26" t="str">
        <v>Sulfur - Generic</v>
      </c>
      <c r="E71" s="26">
        <f t="shared" si="0"/>
        <v>0</v>
      </c>
      <c r="F71" s="26" cm="1">
        <f t="array" ref="F71">Fertiliser_Equations_AtmosphericDeposition.VEERG_5_4_1_1__1_InorganicFertiliserAtmosphericDepositionN2OEmissions(E71,$J$50,$J$51)</f>
        <v>0</v>
      </c>
    </row>
    <row r="72" spans="4:6" ht="20.100000000000001" customHeight="1" x14ac:dyDescent="0.25">
      <c r="D72" s="26" t="str">
        <v>Zinc - Generic</v>
      </c>
      <c r="E72" s="26">
        <f t="shared" si="0"/>
        <v>0</v>
      </c>
      <c r="F72" s="26" cm="1">
        <f t="array" ref="F72">Fertiliser_Equations_AtmosphericDeposition.VEERG_5_4_1_1__1_InorganicFertiliserAtmosphericDepositionN2OEmissions(E72,$J$50,$J$51)</f>
        <v>0</v>
      </c>
    </row>
    <row r="73" spans="4:6" ht="20.100000000000001" customHeight="1" x14ac:dyDescent="0.25">
      <c r="D73" s="26" t="str">
        <v>Muriate of potash (MOP)</v>
      </c>
      <c r="E73" s="26">
        <f t="shared" si="0"/>
        <v>0</v>
      </c>
      <c r="F73" s="26" cm="1">
        <f t="array" ref="F73">Fertiliser_Equations_AtmosphericDeposition.VEERG_5_4_1_1__1_InorganicFertiliserAtmosphericDepositionN2OEmissions(E73,$J$50,$J$51)</f>
        <v>0</v>
      </c>
    </row>
    <row r="74" spans="4:6" ht="20.100000000000001" customHeight="1" x14ac:dyDescent="0.25">
      <c r="D74" s="26" t="str">
        <v>Double superphosphate</v>
      </c>
      <c r="E74" s="26">
        <f t="shared" si="0"/>
        <v>0</v>
      </c>
      <c r="F74" s="26" cm="1">
        <f t="array" ref="F74">Fertiliser_Equations_AtmosphericDeposition.VEERG_5_4_1_1__1_InorganicFertiliserAtmosphericDepositionN2OEmissions(E74,$J$50,$J$51)</f>
        <v>0</v>
      </c>
    </row>
    <row r="75" spans="4:6" ht="20.100000000000001" customHeight="1" x14ac:dyDescent="0.25">
      <c r="D75" s="26" t="str">
        <v>Single superphosphate (SSP)</v>
      </c>
      <c r="E75" s="26">
        <f t="shared" si="0"/>
        <v>0</v>
      </c>
      <c r="F75" s="26" cm="1">
        <f t="array" ref="F75">Fertiliser_Equations_AtmosphericDeposition.VEERG_5_4_1_1__1_InorganicFertiliserAtmosphericDepositionN2OEmissions(E75,$J$50,$J$51)</f>
        <v>0</v>
      </c>
    </row>
    <row r="76" spans="4:6" ht="20.100000000000001" customHeight="1" x14ac:dyDescent="0.25">
      <c r="D76" s="26" t="str">
        <v>Ammonia</v>
      </c>
      <c r="E76" s="26">
        <f t="shared" si="0"/>
        <v>329.40000000000003</v>
      </c>
      <c r="F76" s="26" cm="1">
        <f t="array" ref="F76">Fertiliser_Equations_AtmosphericDeposition.VEERG_5_4_1_1__1_InorganicFertiliserAtmosphericDepositionN2OEmissions(E76,$J$50,$J$51)</f>
        <v>3.6234000000000001E-3</v>
      </c>
    </row>
    <row r="77" spans="4:6" ht="20.100000000000001" customHeight="1" x14ac:dyDescent="0.25">
      <c r="D77" s="26" t="str">
        <v>Calcium nitrate</v>
      </c>
      <c r="E77" s="26">
        <f t="shared" si="0"/>
        <v>7.75</v>
      </c>
      <c r="F77" s="26"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8" t="s">
        <v>602</v>
      </c>
      <c r="E79" s="119">
        <f>SUM(F59:F77)</f>
        <v>1.4052830000000001E-2</v>
      </c>
      <c r="F79" s="120" t="str">
        <f>$E$47</f>
        <v>t N2O</v>
      </c>
    </row>
    <row r="80" spans="4:6" ht="20.100000000000001" customHeight="1" x14ac:dyDescent="0.25"/>
    <row r="81" spans="3:12" ht="20.100000000000001" customHeight="1" x14ac:dyDescent="0.25">
      <c r="D81" s="121" t="str" cm="1">
        <f t="array" ref="D81:E82">Common_Equations.Common_ConvertN2OToCO2e_Arguments()</f>
        <v>EN2O</v>
      </c>
      <c r="E81" s="122" t="str">
        <v>Nitrous oxide emissions (t N2O)</v>
      </c>
      <c r="F81" s="123"/>
      <c r="G81" s="26">
        <f>E79</f>
        <v>1.4052830000000001E-2</v>
      </c>
    </row>
    <row r="82" spans="3:12" ht="20.100000000000001" customHeight="1" x14ac:dyDescent="0.25">
      <c r="D82" s="121" t="str">
        <v>GWPN2O</v>
      </c>
      <c r="E82" s="122" t="str">
        <v>Global warming potential for nitrous oxide (t CO2-e / t N2O)</v>
      </c>
      <c r="F82" s="123"/>
      <c r="G82" s="26">
        <f>Common_InputFunctions.Utility_LookupValueInTableNumber("N2O",Table_GWPData[Gas],Table_GWPData[CO2-e factor])</f>
        <v>265</v>
      </c>
    </row>
    <row r="83" spans="3:12" ht="20.100000000000001" customHeight="1" x14ac:dyDescent="0.25"/>
    <row r="84" spans="3:12" ht="20.100000000000001" customHeight="1" x14ac:dyDescent="0.25">
      <c r="D84" s="117" t="s">
        <v>297</v>
      </c>
      <c r="E84" s="117" cm="1">
        <f t="array" ref="E84">Common_Equations.Common_ConvertN2OToCO2e(G81,G82)</f>
        <v>3.7239999500000001</v>
      </c>
      <c r="F84" s="124"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8"/>
      <c r="D87" s="178"/>
      <c r="E87" s="178"/>
      <c r="F87" s="178"/>
      <c r="G87" s="178"/>
      <c r="H87" s="178"/>
      <c r="I87" s="178"/>
      <c r="J87" s="178"/>
      <c r="K87" s="178"/>
      <c r="L87" s="178"/>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8" t="str" cm="1">
        <f t="array" ref="D89">Fertiliser_Equations_AtmosphericDeposition.VEERG_5_4_1_3__2_MassOfNitrogenVolatilisedFromOrganicFertiliser_Source()</f>
        <v>VEERG 2026: 5.4.1.3, Equation (2)</v>
      </c>
    </row>
    <row r="90" spans="3:12" ht="20.100000000000001" customHeight="1" x14ac:dyDescent="0.25">
      <c r="D90" s="104" t="s">
        <v>257</v>
      </c>
      <c r="E90" s="104"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9" t="s">
        <v>259</v>
      </c>
      <c r="E93" s="1" t="str" cm="1">
        <f t="array" ref="E93">Fertiliser_Equations_AtmosphericDeposition.VEERG_5_4_1_3__2_MassOfNitrogenVolatilisedFromOrganicFertiliser_Variable()</f>
        <v>M_volorganicjf</v>
      </c>
    </row>
    <row r="94" spans="3:12" ht="20.100000000000001" customHeight="1" x14ac:dyDescent="0.25">
      <c r="D94" s="89" t="s">
        <v>133</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6" t="str" cm="1">
        <f t="array" ref="D96:E97">_xlfn.CHOOSECOLS(Fertiliser_Equations_AtmosphericDeposition.VEERG_5_4_1_3__2_MassOfNitrogenVolatilisedFromOrganicFertiliser_Arguments(), 1, 2)</f>
        <v>MNSoil_jf</v>
      </c>
      <c r="E96" s="106" t="str">
        <v>mass of nitrogen in organic fertiliser type f applied to production system j</v>
      </c>
      <c r="F96" s="106"/>
      <c r="G96" s="106" t="str" cm="1">
        <f t="array" ref="G96:H97">_xlfn.CHOOSECOLS(Fertiliser_Equations_AtmosphericDeposition.VEERG_5_4_1_3__2_MassOfNitrogenVolatilisedFromOrganicFertiliser_Arguments(), 3,4)</f>
        <v>kg N</v>
      </c>
      <c r="H96" s="111" t="str">
        <v>Calculated from 5.2.1.1 (2)</v>
      </c>
      <c r="I96" s="112" t="str" cm="1">
        <f t="array" aca="1" ref="I96" ca="1">HYPERLINK(Common_InputFunctions.Utility_SourceHyperlink($D$99), $D$99)</f>
        <v>Table_M_vol_organic_j_f</v>
      </c>
    </row>
    <row r="97" spans="4:9" ht="20.100000000000001" customHeight="1" x14ac:dyDescent="0.25">
      <c r="D97" s="106" t="str">
        <v>FracGASM_soil</v>
      </c>
      <c r="E97" s="106" t="str">
        <v>fraction of organic fertiliser N that volatilises</v>
      </c>
      <c r="F97" s="106"/>
      <c r="G97" s="106" t="str">
        <v>(kg NH3-N + NOx-N)/kg N</v>
      </c>
      <c r="H97" s="111" t="str">
        <v>Constant</v>
      </c>
      <c r="I97" s="106">
        <f>'Constants - Fertiliser'!$E$73</f>
        <v>0.21</v>
      </c>
    </row>
    <row r="98" spans="4:9" ht="20.100000000000001" customHeight="1" x14ac:dyDescent="0.25"/>
    <row r="99" spans="4:9" ht="20.100000000000001" customHeight="1" x14ac:dyDescent="0.25">
      <c r="D99" s="113" t="s">
        <v>603</v>
      </c>
    </row>
    <row r="100" spans="4:9" ht="20.100000000000001" customHeight="1" x14ac:dyDescent="0.25">
      <c r="D100" s="114" t="s">
        <v>604</v>
      </c>
    </row>
    <row r="101" spans="4:9" ht="20.100000000000001" customHeight="1" x14ac:dyDescent="0.25">
      <c r="D101" s="116" t="s">
        <v>576</v>
      </c>
      <c r="E101" s="173" t="s">
        <v>580</v>
      </c>
      <c r="F101" s="173" t="s">
        <v>605</v>
      </c>
    </row>
    <row r="102" spans="4:9" ht="20.100000000000001" customHeight="1" x14ac:dyDescent="0.25">
      <c r="D102" s="26" t="str" cm="1">
        <f t="array" ref="D102:D104">Table_Input_OrganicFertiliser[Organic fertiliser type (select)]</f>
        <v>Manure - Other</v>
      </c>
      <c r="E102" s="26">
        <f>INDEX(Table_MNSoil_j_f,2,6)</f>
        <v>300</v>
      </c>
      <c r="F102" s="26" cm="1">
        <f t="array" ref="F102">Fertiliser_Equations_AtmosphericDeposition.VEERG_5_4_1_3__2_MassOfNitrogenVolatilisedFromOrganicFertiliser(E102,$I$97)</f>
        <v>63</v>
      </c>
      <c r="G102" s="27" t="str">
        <f>$E$94</f>
        <v>kg N</v>
      </c>
    </row>
    <row r="103" spans="4:9" ht="20.100000000000001" customHeight="1" x14ac:dyDescent="0.25">
      <c r="D103" s="26" t="str">
        <v>Manure - Poultry</v>
      </c>
      <c r="E103" s="26">
        <f>INDEX(Table_MNSoil_j_f,3,6)</f>
        <v>250</v>
      </c>
      <c r="F103" s="26" cm="1">
        <f t="array" ref="F103">Fertiliser_Equations_AtmosphericDeposition.VEERG_5_4_1_3__2_MassOfNitrogenVolatilisedFromOrganicFertiliser(E103,$I$97)</f>
        <v>52.5</v>
      </c>
    </row>
    <row r="104" spans="4:9" ht="20.100000000000001" customHeight="1" x14ac:dyDescent="0.25">
      <c r="D104" s="26" t="str">
        <v>Other organic fertiliser</v>
      </c>
      <c r="E104" s="26">
        <f>INDEX(Table_MNSoil_j_f,4,6)</f>
        <v>160</v>
      </c>
      <c r="F104" s="26" cm="1">
        <f t="array" ref="F104">Fertiliser_Equations_AtmosphericDeposition.VEERG_5_4_1_3__2_MassOfNitrogenVolatilisedFromOrganicFertiliser(E104,$I$97)</f>
        <v>33.6</v>
      </c>
    </row>
    <row r="105" spans="4:9" ht="20.100000000000001" customHeight="1" x14ac:dyDescent="0.25">
      <c r="D105" s="26"/>
      <c r="E105" s="26">
        <f>'5.2.1.1-2 Organic Fert N2O'!I23</f>
        <v>0</v>
      </c>
      <c r="F105" s="26" cm="1">
        <f t="array" ref="F105">Fertiliser_Equations_AtmosphericDeposition.VEERG_5_4_1_3__2_MassOfNitrogenVolatilisedFromOrganicFertiliser(E105,$I$97)</f>
        <v>0</v>
      </c>
    </row>
    <row r="106" spans="4:9" ht="20.100000000000001" customHeight="1" x14ac:dyDescent="0.25">
      <c r="D106" s="26"/>
      <c r="E106" s="26">
        <f>'5.2.1.1-2 Organic Fert N2O'!I24</f>
        <v>0</v>
      </c>
      <c r="F106" s="26" cm="1">
        <f t="array" ref="F106">Fertiliser_Equations_AtmosphericDeposition.VEERG_5_4_1_3__2_MassOfNitrogenVolatilisedFromOrganicFertiliser(E106,$I$97)</f>
        <v>0</v>
      </c>
    </row>
    <row r="107" spans="4:9" ht="20.100000000000001" customHeight="1" x14ac:dyDescent="0.25">
      <c r="D107" s="26"/>
      <c r="E107" s="26">
        <f>'5.2.1.1-2 Organic Fert N2O'!I25</f>
        <v>0</v>
      </c>
      <c r="F107" s="26" cm="1">
        <f t="array" ref="F107">Fertiliser_Equations_AtmosphericDeposition.VEERG_5_4_1_3__2_MassOfNitrogenVolatilisedFromOrganicFertiliser(E107,$I$97)</f>
        <v>0</v>
      </c>
    </row>
    <row r="108" spans="4:9" ht="20.100000000000001" customHeight="1" x14ac:dyDescent="0.25">
      <c r="D108" s="26"/>
      <c r="E108" s="26">
        <f>'5.2.1.1-2 Organic Fert N2O'!I26</f>
        <v>0</v>
      </c>
      <c r="F108" s="26" cm="1">
        <f t="array" ref="F108">Fertiliser_Equations_AtmosphericDeposition.VEERG_5_4_1_3__2_MassOfNitrogenVolatilisedFromOrganicFertiliser(E108,$I$97)</f>
        <v>0</v>
      </c>
    </row>
    <row r="109" spans="4:9" ht="20.100000000000001" customHeight="1" x14ac:dyDescent="0.25">
      <c r="D109" s="26"/>
      <c r="E109" s="26">
        <f>'5.2.1.1-2 Organic Fert N2O'!I27</f>
        <v>0</v>
      </c>
      <c r="F109" s="26" cm="1">
        <f t="array" ref="F109">Fertiliser_Equations_AtmosphericDeposition.VEERG_5_4_1_3__2_MassOfNitrogenVolatilisedFromOrganicFertiliser(E109,$I$97)</f>
        <v>0</v>
      </c>
    </row>
    <row r="110" spans="4:9" ht="20.100000000000001" customHeight="1" x14ac:dyDescent="0.25">
      <c r="D110" s="26"/>
      <c r="E110" s="26">
        <f>'5.2.1.1-2 Organic Fert N2O'!I28</f>
        <v>0</v>
      </c>
      <c r="F110" s="26" cm="1">
        <f t="array" ref="F110">Fertiliser_Equations_AtmosphericDeposition.VEERG_5_4_1_3__2_MassOfNitrogenVolatilisedFromOrganicFertiliser(E110,$I$97)</f>
        <v>0</v>
      </c>
    </row>
    <row r="111" spans="4:9" ht="20.100000000000001" customHeight="1" x14ac:dyDescent="0.25">
      <c r="D111" s="26"/>
      <c r="E111" s="26">
        <f>'5.2.1.1-2 Organic Fert N2O'!I29</f>
        <v>0</v>
      </c>
      <c r="F111" s="26" cm="1">
        <f t="array" ref="F111">Fertiliser_Equations_AtmosphericDeposition.VEERG_5_4_1_3__2_MassOfNitrogenVolatilisedFromOrganicFertiliser(E111,$I$97)</f>
        <v>0</v>
      </c>
    </row>
    <row r="112" spans="4:9" ht="20.100000000000001" customHeight="1" x14ac:dyDescent="0.25">
      <c r="D112" s="26"/>
      <c r="E112" s="26">
        <f>'5.2.1.1-2 Organic Fert N2O'!I30</f>
        <v>0</v>
      </c>
      <c r="F112" s="26"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8"/>
      <c r="D115" s="178"/>
      <c r="E115" s="178"/>
      <c r="F115" s="178"/>
      <c r="G115" s="178"/>
      <c r="H115" s="178"/>
      <c r="I115" s="178"/>
      <c r="J115" s="178"/>
      <c r="K115" s="178"/>
      <c r="L115" s="178"/>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8" t="str" cm="1">
        <f t="array" ref="D117">Fertiliser_Equations_AtmosphericDeposition.VEERG_5_4_1_3__1_OrganicFertiliserAtmosphericDepositionN2OEmissions_Source()</f>
        <v>VEERG 2026: 5.4.1.3, Equation (1)</v>
      </c>
    </row>
    <row r="118" spans="3:12" ht="20.100000000000001" customHeight="1" x14ac:dyDescent="0.25">
      <c r="D118" s="104" t="s">
        <v>257</v>
      </c>
      <c r="E118" s="104"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9" t="s">
        <v>259</v>
      </c>
      <c r="E121" s="1" t="str" cm="1">
        <f t="array" ref="E121">Fertiliser_Equations_AtmosphericDeposition.VEERG_5_4_1_3__1_OrganicFertiliserAtmosphericDepositionN2OEmissions_Variable()</f>
        <v>E_adorganic</v>
      </c>
    </row>
    <row r="122" spans="3:12" ht="20.100000000000001" customHeight="1" x14ac:dyDescent="0.25">
      <c r="D122" s="89" t="s">
        <v>133</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6"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106" t="str" cm="1">
        <f t="array" ref="G124:H129">_xlfn.CHOOSECOLS(Fertiliser_Equations_AtmosphericDeposition.VEERG_5_4_1_3__1_OrganicFertiliserAtmosphericDepositionN2OEmissions_Arguments(), 3,4)</f>
        <v>kg N</v>
      </c>
      <c r="H124" s="111" t="str">
        <v>Calculated from 5.4.1.3 (2)</v>
      </c>
      <c r="I124" s="112" t="str" cm="1">
        <f t="array" aca="1" ref="I124" ca="1">HYPERLINK(Common_InputFunctions.Utility_SourceHyperlink($D$99), $D$99)</f>
        <v>Table_M_vol_organic_j_f</v>
      </c>
    </row>
    <row r="125" spans="3:12" ht="20.100000000000001" customHeight="1" x14ac:dyDescent="0.25">
      <c r="D125" s="106" t="str">
        <v>EF_N2Oj</v>
      </c>
      <c r="E125" s="107" t="str">
        <v>emission factor for atmospheric deposition in production system j</v>
      </c>
      <c r="F125" s="109"/>
      <c r="G125" s="106" t="str">
        <v>kg N2O-N/kg N</v>
      </c>
      <c r="H125" s="111" t="str">
        <v>Constant</v>
      </c>
      <c r="I125" s="106">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6" t="str">
        <v>C_N2O</v>
      </c>
      <c r="E126" s="107" t="str">
        <v>factor to convert elemental mass of nitrous oxide to molecular mass</v>
      </c>
      <c r="F126" s="109"/>
      <c r="G126" s="106" t="str">
        <v/>
      </c>
      <c r="H126" s="111" t="str">
        <v>Constant</v>
      </c>
      <c r="I126" s="121">
        <f>Common_InputFunctions.Utility_LookupValueInTableNumber("N2O",Table_GasToMolecularConversionFactor[Gas],Table_GasToMolecularConversionFactor[Conversion factor combined])</f>
        <v>1.5714285714285714</v>
      </c>
    </row>
    <row r="127" spans="3:12" ht="20.100000000000001" customHeight="1" x14ac:dyDescent="0.25">
      <c r="D127" s="106" t="str">
        <v>j</v>
      </c>
      <c r="E127" s="107" t="str">
        <v>Production system</v>
      </c>
      <c r="F127" s="109"/>
      <c r="G127" s="106" t="str">
        <v/>
      </c>
      <c r="H127" s="110" t="str">
        <v>Input</v>
      </c>
      <c r="I127" s="106" t="str">
        <f>X_Cell_Fertiliser_ProductionSystem</f>
        <v>Crop</v>
      </c>
    </row>
    <row r="128" spans="3:12" ht="20.100000000000001" customHeight="1" x14ac:dyDescent="0.25">
      <c r="D128" s="106" t="str">
        <v>ir</v>
      </c>
      <c r="E128" s="107" t="str">
        <v>irrigation method</v>
      </c>
      <c r="F128" s="109"/>
      <c r="G128" s="106" t="str">
        <v/>
      </c>
      <c r="H128" s="110" t="str">
        <v>Input</v>
      </c>
      <c r="I128" s="106" t="str">
        <f>X_Cell_Fertiliser_IrrigationMethod</f>
        <v>Sprinkler irrigation</v>
      </c>
    </row>
    <row r="129" spans="4:9" ht="20.100000000000001" customHeight="1" x14ac:dyDescent="0.25">
      <c r="D129" s="106" t="str">
        <v>r</v>
      </c>
      <c r="E129" s="107" t="str">
        <v>rainfall region</v>
      </c>
      <c r="F129" s="109"/>
      <c r="G129" s="106" t="str">
        <v/>
      </c>
      <c r="H129" s="110" t="str">
        <v>Input</v>
      </c>
      <c r="I129" s="106">
        <f>X_Cell_Site_RainfallZone</f>
        <v>0</v>
      </c>
    </row>
    <row r="130" spans="4:9" ht="20.100000000000001" customHeight="1" x14ac:dyDescent="0.25"/>
    <row r="131" spans="4:9" ht="20.100000000000001" customHeight="1" x14ac:dyDescent="0.25">
      <c r="D131" s="113" t="s">
        <v>606</v>
      </c>
    </row>
    <row r="132" spans="4:9" ht="20.100000000000001" customHeight="1" x14ac:dyDescent="0.25">
      <c r="D132" s="114" t="s">
        <v>607</v>
      </c>
    </row>
    <row r="133" spans="4:9" ht="20.100000000000001" customHeight="1" x14ac:dyDescent="0.25">
      <c r="D133" s="116" t="s">
        <v>576</v>
      </c>
      <c r="E133" s="173" t="s">
        <v>605</v>
      </c>
      <c r="F133" s="173" t="s">
        <v>608</v>
      </c>
    </row>
    <row r="134" spans="4:9" ht="20.100000000000001" customHeight="1" x14ac:dyDescent="0.25">
      <c r="D134" s="26" t="str" cm="1">
        <f t="array" ref="D134:D136">Table_Input_OrganicFertiliser[Organic fertiliser type (select)]</f>
        <v>Manure - Other</v>
      </c>
      <c r="E134" s="26">
        <f>F102</f>
        <v>63</v>
      </c>
      <c r="F134" s="26" cm="1">
        <f t="array" ref="F134">Fertiliser_Equations_AtmosphericDeposition.VEERG_5_4_1_3__1_OrganicFertiliserAtmosphericDepositionN2OEmissions(E134,$I$125,$I$126)</f>
        <v>6.9299999999999993E-4</v>
      </c>
    </row>
    <row r="135" spans="4:9" ht="20.100000000000001" customHeight="1" x14ac:dyDescent="0.25">
      <c r="D135" s="26" t="str">
        <v>Manure - Poultry</v>
      </c>
      <c r="E135" s="26">
        <f t="shared" ref="E135:E144" si="1">F103</f>
        <v>52.5</v>
      </c>
      <c r="F135" s="26" cm="1">
        <f t="array" ref="F135">Fertiliser_Equations_AtmosphericDeposition.VEERG_5_4_1_3__1_OrganicFertiliserAtmosphericDepositionN2OEmissions(E135,$I$125,$I$126)</f>
        <v>5.775E-4</v>
      </c>
    </row>
    <row r="136" spans="4:9" ht="20.100000000000001" customHeight="1" x14ac:dyDescent="0.25">
      <c r="D136" s="26" t="str">
        <v>Other organic fertiliser</v>
      </c>
      <c r="E136" s="26">
        <f t="shared" si="1"/>
        <v>33.6</v>
      </c>
      <c r="F136" s="26" cm="1">
        <f t="array" ref="F136">Fertiliser_Equations_AtmosphericDeposition.VEERG_5_4_1_3__1_OrganicFertiliserAtmosphericDepositionN2OEmissions(E136,$I$125,$I$126)</f>
        <v>3.6960000000000004E-4</v>
      </c>
    </row>
    <row r="137" spans="4:9" ht="20.100000000000001" customHeight="1" x14ac:dyDescent="0.25">
      <c r="D137" s="26"/>
      <c r="E137" s="26">
        <f t="shared" si="1"/>
        <v>0</v>
      </c>
      <c r="F137" s="26" cm="1">
        <f t="array" ref="F137">Fertiliser_Equations_AtmosphericDeposition.VEERG_5_4_1_3__1_OrganicFertiliserAtmosphericDepositionN2OEmissions(E137,$I$125,$I$126)</f>
        <v>0</v>
      </c>
    </row>
    <row r="138" spans="4:9" ht="20.100000000000001" customHeight="1" x14ac:dyDescent="0.25">
      <c r="D138" s="26"/>
      <c r="E138" s="26">
        <f t="shared" si="1"/>
        <v>0</v>
      </c>
      <c r="F138" s="26" cm="1">
        <f t="array" ref="F138">Fertiliser_Equations_AtmosphericDeposition.VEERG_5_4_1_3__1_OrganicFertiliserAtmosphericDepositionN2OEmissions(E138,$I$125,$I$126)</f>
        <v>0</v>
      </c>
    </row>
    <row r="139" spans="4:9" ht="20.100000000000001" customHeight="1" x14ac:dyDescent="0.25">
      <c r="D139" s="26"/>
      <c r="E139" s="26">
        <f t="shared" si="1"/>
        <v>0</v>
      </c>
      <c r="F139" s="26" cm="1">
        <f t="array" ref="F139">Fertiliser_Equations_AtmosphericDeposition.VEERG_5_4_1_3__1_OrganicFertiliserAtmosphericDepositionN2OEmissions(E139,$I$125,$I$126)</f>
        <v>0</v>
      </c>
    </row>
    <row r="140" spans="4:9" ht="20.100000000000001" customHeight="1" x14ac:dyDescent="0.25">
      <c r="D140" s="26"/>
      <c r="E140" s="26">
        <f t="shared" si="1"/>
        <v>0</v>
      </c>
      <c r="F140" s="26" cm="1">
        <f t="array" ref="F140">Fertiliser_Equations_AtmosphericDeposition.VEERG_5_4_1_3__1_OrganicFertiliserAtmosphericDepositionN2OEmissions(E140,$I$125,$I$126)</f>
        <v>0</v>
      </c>
    </row>
    <row r="141" spans="4:9" ht="20.100000000000001" customHeight="1" x14ac:dyDescent="0.25">
      <c r="D141" s="26"/>
      <c r="E141" s="26">
        <f t="shared" si="1"/>
        <v>0</v>
      </c>
      <c r="F141" s="26" cm="1">
        <f t="array" ref="F141">Fertiliser_Equations_AtmosphericDeposition.VEERG_5_4_1_3__1_OrganicFertiliserAtmosphericDepositionN2OEmissions(E141,$I$125,$I$126)</f>
        <v>0</v>
      </c>
    </row>
    <row r="142" spans="4:9" ht="20.100000000000001" customHeight="1" x14ac:dyDescent="0.25">
      <c r="D142" s="26"/>
      <c r="E142" s="26">
        <f t="shared" si="1"/>
        <v>0</v>
      </c>
      <c r="F142" s="26" cm="1">
        <f t="array" ref="F142">Fertiliser_Equations_AtmosphericDeposition.VEERG_5_4_1_3__1_OrganicFertiliserAtmosphericDepositionN2OEmissions(E142,$I$125,$I$126)</f>
        <v>0</v>
      </c>
    </row>
    <row r="143" spans="4:9" ht="20.100000000000001" customHeight="1" x14ac:dyDescent="0.25">
      <c r="D143" s="26"/>
      <c r="E143" s="26">
        <f t="shared" si="1"/>
        <v>0</v>
      </c>
      <c r="F143" s="26" cm="1">
        <f t="array" ref="F143">Fertiliser_Equations_AtmosphericDeposition.VEERG_5_4_1_3__1_OrganicFertiliserAtmosphericDepositionN2OEmissions(E143,$I$125,$I$126)</f>
        <v>0</v>
      </c>
    </row>
    <row r="144" spans="4:9" ht="20.100000000000001" customHeight="1" x14ac:dyDescent="0.25">
      <c r="D144" s="26"/>
      <c r="E144" s="26">
        <f t="shared" si="1"/>
        <v>0</v>
      </c>
      <c r="F144" s="26"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8" t="s">
        <v>609</v>
      </c>
      <c r="E146" s="119">
        <f>SUM(F134:F144)</f>
        <v>1.6401E-3</v>
      </c>
      <c r="F146" s="120" t="str">
        <f>$E$122</f>
        <v>t N2O</v>
      </c>
    </row>
    <row r="147" spans="4:7" ht="20.100000000000001" customHeight="1" x14ac:dyDescent="0.25"/>
    <row r="148" spans="4:7" ht="20.100000000000001" customHeight="1" x14ac:dyDescent="0.25">
      <c r="D148" s="121" t="str" cm="1">
        <f t="array" ref="D148:E149">Common_Equations.Common_ConvertN2OToCO2e_Arguments()</f>
        <v>EN2O</v>
      </c>
      <c r="E148" s="122" t="str">
        <v>Nitrous oxide emissions (t N2O)</v>
      </c>
      <c r="F148" s="123"/>
      <c r="G148" s="26">
        <f>E146</f>
        <v>1.6401E-3</v>
      </c>
    </row>
    <row r="149" spans="4:7" ht="20.100000000000001" customHeight="1" x14ac:dyDescent="0.25">
      <c r="D149" s="121" t="str">
        <v>GWPN2O</v>
      </c>
      <c r="E149" s="122" t="str">
        <v>Global warming potential for nitrous oxide (t CO2-e / t N2O)</v>
      </c>
      <c r="F149" s="123"/>
      <c r="G149" s="26">
        <f>Common_InputFunctions.Utility_LookupValueInTableNumber("N2O",Table_GWPData[Gas],Table_GWPData[CO2-e factor])</f>
        <v>265</v>
      </c>
    </row>
    <row r="150" spans="4:7" ht="20.100000000000001" customHeight="1" x14ac:dyDescent="0.25"/>
    <row r="151" spans="4:7" ht="20.100000000000001" customHeight="1" x14ac:dyDescent="0.25">
      <c r="D151" s="117" t="s">
        <v>297</v>
      </c>
      <c r="E151" s="117" cm="1">
        <f t="array" ref="E151">Common_Equations.Common_ConvertN2OToCO2e(G148,G149)</f>
        <v>0.43462650000000003</v>
      </c>
      <c r="F151" s="124"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A1DF-0C5C-4E1A-B7C6-471B7D0053B0}">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2" customFormat="1" ht="30" customHeight="1" x14ac:dyDescent="0.35">
      <c r="A1" s="16" t="e" vm="1">
        <v>#VALUE!</v>
      </c>
      <c r="C1" s="32" t="s">
        <v>610</v>
      </c>
    </row>
    <row r="2" spans="1:20" s="3" customFormat="1" ht="20.100000000000001" customHeight="1" x14ac:dyDescent="0.25">
      <c r="A2"/>
    </row>
    <row r="3" spans="1:20" ht="20.100000000000001" customHeight="1" x14ac:dyDescent="0.25">
      <c r="A3" s="5" t="str">
        <f>HYPERLINK("#'Home'!A1", "Home")</f>
        <v>Home</v>
      </c>
      <c r="C3" s="34"/>
      <c r="D3" s="34" t="s">
        <v>152</v>
      </c>
      <c r="E3" s="34"/>
      <c r="F3" s="34"/>
      <c r="G3" s="34"/>
      <c r="H3" s="34"/>
      <c r="I3" s="34"/>
      <c r="J3" s="34"/>
      <c r="K3" s="34"/>
      <c r="M3" s="34"/>
      <c r="N3" s="34" t="s">
        <v>153</v>
      </c>
      <c r="O3" s="34"/>
      <c r="P3" s="34"/>
      <c r="Q3" s="34"/>
      <c r="R3" s="34"/>
      <c r="S3" s="34"/>
      <c r="T3" s="34"/>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8" t="str" cm="1">
        <f t="array" ref="D6">Fertiliser_Equations_LeachingAndRunoff.VEERG_5_5_1_1__2_MassOfNitrogenLeachedFromInorganicFertiliser_Source()</f>
        <v>VEERG 2026: 5.5, Equation (2)</v>
      </c>
    </row>
    <row r="7" spans="1:20" ht="20.100000000000001" customHeight="1" x14ac:dyDescent="0.25">
      <c r="A7" s="7" t="s">
        <v>0</v>
      </c>
      <c r="D7" s="104" t="s">
        <v>257</v>
      </c>
      <c r="E7" s="104"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9" t="s">
        <v>259</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9" t="s">
        <v>133</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6" t="str" cm="1">
        <f t="array" ref="D13:E18">_xlfn.CHOOSECOLS(Fertiliser_Equations_LeachingAndRunoff.VEERG_5_5_1_1__2_MassOfNitrogenLeachedFromInorganicFertiliser_Arguments(), 1, 2)</f>
        <v>MN_jf</v>
      </c>
      <c r="E13" s="107" t="str">
        <v>mass of nitrogen in inorganic fertiliser</v>
      </c>
      <c r="F13" s="109"/>
      <c r="G13" s="106" t="str" cm="1">
        <f t="array" ref="G13:H18">_xlfn.CHOOSECOLS(Fertiliser_Equations_LeachingAndRunoff.VEERG_5_5_1_1__2_MassOfNitrogenLeachedFromInorganicFertiliser_Arguments(), 3,4)</f>
        <v>kg N</v>
      </c>
      <c r="H13" s="111" t="str">
        <v>Calculated from 5.1.1.1 (2)</v>
      </c>
      <c r="I13" s="112" t="str" cm="1">
        <f t="array" aca="1" ref="I13" ca="1">HYPERLINK(Common_InputFunctions.Utility_SourceHyperlink(D20), D20)</f>
        <v>Table_M_leach_inorganic_j</v>
      </c>
    </row>
    <row r="14" spans="1:20" ht="20.100000000000001" customHeight="1" x14ac:dyDescent="0.25">
      <c r="A14" s="5" t="str">
        <f>HYPERLINK("#'Input - Fuel'!A1", "Fuel")</f>
        <v>Fuel</v>
      </c>
      <c r="D14" s="106" t="str">
        <v>FracWETj</v>
      </c>
      <c r="E14" s="107" t="str">
        <v>fraction of N available for leaching and runoff</v>
      </c>
      <c r="F14" s="109"/>
      <c r="G14" s="106" t="str">
        <v>fraction</v>
      </c>
      <c r="H14" s="111" t="str">
        <v>Constant</v>
      </c>
      <c r="I14" s="106">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6" t="str">
        <v>FracLEACH</v>
      </c>
      <c r="E15" s="107" t="str">
        <v>fraction of N that is lost through leaching and runoff</v>
      </c>
      <c r="F15" s="109"/>
      <c r="G15" s="106" t="str">
        <v>fraction</v>
      </c>
      <c r="H15" s="111" t="str">
        <v>Constant</v>
      </c>
      <c r="I15" s="106">
        <f>'Constants - Fertiliser'!$E$78</f>
        <v>0.24</v>
      </c>
    </row>
    <row r="16" spans="1:20" ht="20.100000000000001" customHeight="1" x14ac:dyDescent="0.25">
      <c r="D16" s="106" t="str">
        <v>z</v>
      </c>
      <c r="E16" s="107" t="str">
        <v>location in leaching zone</v>
      </c>
      <c r="F16" s="109"/>
      <c r="G16" s="106" t="str">
        <v/>
      </c>
      <c r="H16" s="110" t="str">
        <v>Input</v>
      </c>
      <c r="I16" s="106">
        <f>X_Cell_Site_LeachingZone</f>
        <v>0</v>
      </c>
    </row>
    <row r="17" spans="1:9" ht="20.100000000000001" customHeight="1" x14ac:dyDescent="0.25">
      <c r="D17" s="106" t="str">
        <v>j</v>
      </c>
      <c r="E17" s="107" t="str">
        <v>production system</v>
      </c>
      <c r="F17" s="109"/>
      <c r="G17" s="106" t="str">
        <v/>
      </c>
      <c r="H17" s="110" t="str">
        <v>Input</v>
      </c>
      <c r="I17" s="106" t="str">
        <f>X_Cell_Fertiliser_ProductionSystem</f>
        <v>Crop</v>
      </c>
    </row>
    <row r="18" spans="1:9" ht="20.100000000000001" customHeight="1" x14ac:dyDescent="0.25">
      <c r="A18" s="6" t="s">
        <v>2</v>
      </c>
      <c r="D18" s="106" t="str">
        <v>ir</v>
      </c>
      <c r="E18" s="107" t="str">
        <v>irrigation method</v>
      </c>
      <c r="F18" s="109"/>
      <c r="G18" s="106" t="str">
        <v/>
      </c>
      <c r="H18" s="110" t="str">
        <v>Input</v>
      </c>
      <c r="I18" s="106"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3" t="s">
        <v>611</v>
      </c>
    </row>
    <row r="21" spans="1:9" ht="20.100000000000001" customHeight="1" x14ac:dyDescent="0.25">
      <c r="A21" s="5" t="str">
        <f>HYPERLINK("#'4.2.1.3-4 Soil direct N20'!A1", "4.2.1.3-4 Soil direct N2O")</f>
        <v>4.2.1.3-4 Soil direct N2O</v>
      </c>
      <c r="D21" s="114" t="s">
        <v>612</v>
      </c>
    </row>
    <row r="22" spans="1:9" ht="20.100000000000001" customHeight="1" x14ac:dyDescent="0.25">
      <c r="A22" s="5" t="str">
        <f>HYPERLINK("#'4.2.1.5-6 Soil Atmos Dep'!A1", "4.2.1.5-6 Soil atm. deposition")</f>
        <v>4.2.1.5-6 Soil atm. deposition</v>
      </c>
      <c r="D22" s="115" t="s">
        <v>539</v>
      </c>
      <c r="E22" s="115" t="s">
        <v>595</v>
      </c>
      <c r="F22" s="115" t="s">
        <v>613</v>
      </c>
    </row>
    <row r="23" spans="1:9" ht="20.100000000000001" customHeight="1" x14ac:dyDescent="0.25">
      <c r="A23" s="5" t="str">
        <f>HYPERLINK("#'4.2.1.7-8 Soil leach runoff'!A1", "4.2.1.7-8 Soil leach &amp; runoff")</f>
        <v>4.2.1.7-8 Soil leach &amp; runoff</v>
      </c>
      <c r="D23" s="26" t="str" cm="1">
        <f t="array" ref="D23:D41">Table_Fertiliser_ChemicalCompounds[Fertiliser type f]</f>
        <v>Monoammonium phosphate (MAP)</v>
      </c>
      <c r="E23" s="26">
        <f>INDEX(Table_MN_j_f,2,4)</f>
        <v>0</v>
      </c>
      <c r="F23" s="26"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6" t="str">
        <v>Diammonium phosphate (DAP)</v>
      </c>
      <c r="E24" s="26">
        <f>INDEX(Table_MN_j_f,3,4)</f>
        <v>0</v>
      </c>
      <c r="F24" s="26"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6" t="str">
        <v>Urea</v>
      </c>
      <c r="E25" s="26">
        <f>INDEX(Table_MN_j_f,4,4)</f>
        <v>4600</v>
      </c>
      <c r="F25" s="26"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6" t="str">
        <v>Sulphate of ammonia (SOA)</v>
      </c>
      <c r="E26" s="26">
        <f>INDEX(Table_MN_j_f,5,4)</f>
        <v>0</v>
      </c>
      <c r="F26" s="26"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6" t="str">
        <v>Urea-ammonium nitrate (UAN)</v>
      </c>
      <c r="E27" s="26">
        <f>INDEX(Table_MN_j_f,6,4)</f>
        <v>0</v>
      </c>
      <c r="F27" s="26"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6" t="str">
        <v>Ammonium nitrate (AN)</v>
      </c>
      <c r="E28" s="26">
        <f>INDEX(Table_MN_j_f,7,4)</f>
        <v>0</v>
      </c>
      <c r="F28" s="26" cm="1">
        <f t="array" ref="F28">Fertiliser_Equations_LeachingAndRunoff.VEERG_5_5_1_1__2_MassOfNitrogenLeachedFromInorganicFertiliser(E28, $I$14, $I$15)</f>
        <v>0</v>
      </c>
    </row>
    <row r="29" spans="1:9" ht="20.100000000000001" customHeight="1" x14ac:dyDescent="0.25">
      <c r="A29" s="105" t="str">
        <f>HYPERLINK("#'5.5.1.1-2 Leaching and runoff'!A1", "5.5.1.1-2 Leaching &amp; runoff")</f>
        <v>5.5.1.1-2 Leaching &amp; runoff</v>
      </c>
      <c r="D29" s="26" t="str">
        <v>Calcium ammonium nitrate (CAN)</v>
      </c>
      <c r="E29" s="26">
        <f>INDEX(Table_MN_j_f,8,4)</f>
        <v>0</v>
      </c>
      <c r="F29" s="26"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6" t="str">
        <v>Nitrogen - Ammoniacal</v>
      </c>
      <c r="E30" s="26">
        <f>INDEX(Table_MN_j_f,9,4)</f>
        <v>0</v>
      </c>
      <c r="F30" s="26"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6" t="str">
        <v>Nitrogen - Nitrate</v>
      </c>
      <c r="E31" s="26">
        <f>INDEX(Table_MN_j_f,10,4)</f>
        <v>1980</v>
      </c>
      <c r="F31" s="26"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6" t="str">
        <v>Nitrogen - Generic</v>
      </c>
      <c r="E32" s="26">
        <f>INDEX(Table_MN_j_f,11,4)</f>
        <v>1537.2</v>
      </c>
      <c r="F32" s="26"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6" t="str">
        <v>Phosphorus - Generic</v>
      </c>
      <c r="E33" s="26">
        <f>INDEX(Table_MN_j_f,12,4)</f>
        <v>0</v>
      </c>
      <c r="F33" s="26"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6" t="str">
        <v>Potassium - Generic</v>
      </c>
      <c r="E34" s="26">
        <f>INDEX(Table_MN_j_f,13,4)</f>
        <v>0</v>
      </c>
      <c r="F34" s="26" cm="1">
        <f t="array" ref="F34">Fertiliser_Equations_LeachingAndRunoff.VEERG_5_5_1_1__2_MassOfNitrogenLeachedFromInorganicFertiliser(E34, $I$14, $I$15)</f>
        <v>0</v>
      </c>
    </row>
    <row r="35" spans="1:11" ht="20.100000000000001" customHeight="1" x14ac:dyDescent="0.25">
      <c r="D35" s="26" t="str">
        <v>Sulfur - Generic</v>
      </c>
      <c r="E35" s="26">
        <f>INDEX(Table_MN_j_f,14,4)</f>
        <v>0</v>
      </c>
      <c r="F35" s="26" cm="1">
        <f t="array" ref="F35">Fertiliser_Equations_LeachingAndRunoff.VEERG_5_5_1_1__2_MassOfNitrogenLeachedFromInorganicFertiliser(E35, $I$14, $I$15)</f>
        <v>0</v>
      </c>
    </row>
    <row r="36" spans="1:11" ht="20.100000000000001" customHeight="1" x14ac:dyDescent="0.25">
      <c r="D36" s="26" t="str">
        <v>Zinc - Generic</v>
      </c>
      <c r="E36" s="26">
        <f>INDEX(Table_MN_j_f,15,4)</f>
        <v>0</v>
      </c>
      <c r="F36" s="26" cm="1">
        <f t="array" ref="F36">Fertiliser_Equations_LeachingAndRunoff.VEERG_5_5_1_1__2_MassOfNitrogenLeachedFromInorganicFertiliser(E36, $I$14, $I$15)</f>
        <v>0</v>
      </c>
    </row>
    <row r="37" spans="1:11" ht="20.100000000000001" customHeight="1" x14ac:dyDescent="0.25">
      <c r="A37" s="250" t="s">
        <v>1</v>
      </c>
      <c r="D37" s="26" t="str">
        <v>Muriate of potash (MOP)</v>
      </c>
      <c r="E37" s="26">
        <f>INDEX(Table_MN_j_f,16,4)</f>
        <v>0</v>
      </c>
      <c r="F37" s="26"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6" t="str">
        <v>Double superphosphate</v>
      </c>
      <c r="E38" s="26">
        <f>INDEX(Table_MN_j_f,17,4)</f>
        <v>0</v>
      </c>
      <c r="F38" s="26"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6" t="str">
        <v>Single superphosphate (SSP)</v>
      </c>
      <c r="E39" s="26">
        <f>INDEX(Table_MN_j_f,18,4)</f>
        <v>0</v>
      </c>
      <c r="F39" s="26"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6" t="str">
        <v>Ammonia</v>
      </c>
      <c r="E40" s="26">
        <f>INDEX(Table_MN_j_f,19,4)</f>
        <v>4117.5</v>
      </c>
      <c r="F40" s="26"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6" t="str">
        <v>Calcium nitrate</v>
      </c>
      <c r="E41" s="26">
        <f>INDEX(Table_MN_j_f,20,4)</f>
        <v>775</v>
      </c>
      <c r="F41" s="26"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29" t="s">
        <v>614</v>
      </c>
      <c r="E43" s="117">
        <f>SUM(F23:F41)</f>
        <v>3122.328</v>
      </c>
      <c r="F43" s="124"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3"/>
      <c r="D45" s="183"/>
      <c r="E45" s="183"/>
      <c r="F45" s="183"/>
      <c r="G45" s="183"/>
      <c r="H45" s="183"/>
      <c r="I45" s="183"/>
      <c r="J45" s="183"/>
      <c r="K45" s="183"/>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8" t="str" cm="1">
        <f t="array" ref="D48">Fertiliser_Equations_LeachingAndRunoff.VEERG_5_5_1_1__3_MassOfNitrogenLeachedFromOrganicFertiliser_Source()</f>
        <v>VEERG 2026: 5.5, Equation (3)</v>
      </c>
    </row>
    <row r="49" spans="4:9" ht="20.100000000000001" customHeight="1" x14ac:dyDescent="0.25">
      <c r="D49" s="104" t="s">
        <v>257</v>
      </c>
      <c r="E49" s="104"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9" t="s">
        <v>259</v>
      </c>
      <c r="E52" s="1" t="str" cm="1">
        <f t="array" ref="E52">Fertiliser_Equations_LeachingAndRunoff.VEERG_5_5_1_1__3_MassOfNitrogenLeachedFromOrganicFertiliser_Variable()</f>
        <v>M_leachorganicj</v>
      </c>
    </row>
    <row r="53" spans="4:9" ht="20.100000000000001" customHeight="1" x14ac:dyDescent="0.25">
      <c r="D53" s="89" t="s">
        <v>133</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6" t="str" cm="1">
        <f t="array" ref="D55:E60">_xlfn.CHOOSECOLS(Fertiliser_Equations_LeachingAndRunoff.VEERG_5_5_1_1__3_MassOfNitrogenLeachedFromOrganicFertiliser_Arguments(), 1, 2)</f>
        <v>MNSoil_jf</v>
      </c>
      <c r="E55" s="107" t="str">
        <v>mass of nitrogen in organic fertiliser</v>
      </c>
      <c r="F55" s="109"/>
      <c r="G55" s="106" t="str" cm="1">
        <f t="array" ref="G55:H60">_xlfn.CHOOSECOLS(Fertiliser_Equations_LeachingAndRunoff.VEERG_5_5_1_1__3_MassOfNitrogenLeachedFromOrganicFertiliser_Arguments(), 3,4)</f>
        <v>kg N</v>
      </c>
      <c r="H55" s="111" t="str">
        <v>Calculated from 5.2.1.1 (2)</v>
      </c>
      <c r="I55" s="112" t="str" cm="1">
        <f t="array" aca="1" ref="I55" ca="1">HYPERLINK(Common_InputFunctions.Utility_SourceHyperlink(D62), D62)</f>
        <v>Table_M_leach_organic_j</v>
      </c>
    </row>
    <row r="56" spans="4:9" ht="20.100000000000001" customHeight="1" x14ac:dyDescent="0.25">
      <c r="D56" s="106" t="str">
        <v>FracWETj</v>
      </c>
      <c r="E56" s="107" t="str">
        <v>fraction of N available for leaching and runoff</v>
      </c>
      <c r="F56" s="109"/>
      <c r="G56" s="106" t="str">
        <v>fraction</v>
      </c>
      <c r="H56" s="111" t="str">
        <v>Constant</v>
      </c>
      <c r="I56" s="106">
        <f>Common_InputFunctions.CommonCropping_GetFracWET(I58,I60,#REF!,#REF!,Table_SourceData_FracWETIrrigation[Irrigation type i],Table_SourceData_FracWETIrrigation[FracWET])</f>
        <v>1</v>
      </c>
    </row>
    <row r="57" spans="4:9" ht="20.100000000000001" customHeight="1" x14ac:dyDescent="0.25">
      <c r="D57" s="106" t="str">
        <v>FracLEACH</v>
      </c>
      <c r="E57" s="107" t="str">
        <v>fraction of N that is lost through leaching and runoff</v>
      </c>
      <c r="F57" s="109"/>
      <c r="G57" s="106" t="str">
        <v>fraction</v>
      </c>
      <c r="H57" s="111" t="str">
        <v>Constant</v>
      </c>
      <c r="I57" s="106">
        <f>'Constants - Fertiliser'!$E$78</f>
        <v>0.24</v>
      </c>
    </row>
    <row r="58" spans="4:9" ht="20.100000000000001" customHeight="1" x14ac:dyDescent="0.25">
      <c r="D58" s="106" t="str">
        <v>z</v>
      </c>
      <c r="E58" s="107" t="str">
        <v>location in leaching zone</v>
      </c>
      <c r="F58" s="109"/>
      <c r="G58" s="106" t="str">
        <v/>
      </c>
      <c r="H58" s="110" t="str">
        <v>Input</v>
      </c>
      <c r="I58" s="106">
        <f>X_Cell_Site_LeachingZone</f>
        <v>0</v>
      </c>
    </row>
    <row r="59" spans="4:9" ht="20.100000000000001" customHeight="1" x14ac:dyDescent="0.25">
      <c r="D59" s="106" t="str">
        <v>j</v>
      </c>
      <c r="E59" s="107" t="str">
        <v>production system</v>
      </c>
      <c r="F59" s="109"/>
      <c r="G59" s="106" t="str">
        <v/>
      </c>
      <c r="H59" s="110" t="str">
        <v>Input</v>
      </c>
      <c r="I59" s="106" t="str">
        <f>X_Cell_Fertiliser_ProductionSystem</f>
        <v>Crop</v>
      </c>
    </row>
    <row r="60" spans="4:9" ht="20.100000000000001" customHeight="1" x14ac:dyDescent="0.25">
      <c r="D60" s="106" t="str">
        <v>ir</v>
      </c>
      <c r="E60" s="107" t="str">
        <v>irrigation method</v>
      </c>
      <c r="F60" s="109"/>
      <c r="G60" s="106" t="str">
        <v/>
      </c>
      <c r="H60" s="110" t="str">
        <v>Input</v>
      </c>
      <c r="I60" s="106" t="str">
        <f>X_Cell_Fertiliser_IrrigationMethod</f>
        <v>Sprinkler irrigation</v>
      </c>
    </row>
    <row r="61" spans="4:9" ht="20.100000000000001" customHeight="1" x14ac:dyDescent="0.25"/>
    <row r="62" spans="4:9" ht="20.100000000000001" customHeight="1" x14ac:dyDescent="0.25">
      <c r="D62" s="113" t="s">
        <v>615</v>
      </c>
    </row>
    <row r="63" spans="4:9" ht="20.100000000000001" customHeight="1" x14ac:dyDescent="0.25">
      <c r="D63" s="114" t="s">
        <v>616</v>
      </c>
    </row>
    <row r="64" spans="4:9" ht="20.100000000000001" customHeight="1" x14ac:dyDescent="0.25">
      <c r="D64" s="116" t="s">
        <v>576</v>
      </c>
      <c r="E64" s="184" t="s">
        <v>580</v>
      </c>
      <c r="F64" s="115" t="s">
        <v>617</v>
      </c>
    </row>
    <row r="65" spans="3:11" ht="20.100000000000001" customHeight="1" x14ac:dyDescent="0.25">
      <c r="D65" s="26" t="str">
        <f>INDEX(Table_MNSoil_j_f,2,1)</f>
        <v>Manure - Other</v>
      </c>
      <c r="E65" s="26">
        <f>INDEX(Table_MNSoil_j_f,2,6)</f>
        <v>300</v>
      </c>
      <c r="F65" s="26" cm="1">
        <f t="array" ref="F65">Fertiliser_Equations_LeachingAndRunoff.VEERG_5_5_1_1__3_MassOfNitrogenLeachedFromOrganicFertiliser(E65,$I$56, $I$57)</f>
        <v>72</v>
      </c>
    </row>
    <row r="66" spans="3:11" ht="20.100000000000001" customHeight="1" x14ac:dyDescent="0.25">
      <c r="D66" s="26" t="str">
        <f>INDEX(Table_MNSoil_j_f,3,1)</f>
        <v>Manure - Poultry</v>
      </c>
      <c r="E66" s="26">
        <f>INDEX(Table_MNSoil_j_f,3,6)</f>
        <v>250</v>
      </c>
      <c r="F66" s="26" cm="1">
        <f t="array" ref="F66">Fertiliser_Equations_LeachingAndRunoff.VEERG_5_5_1_1__3_MassOfNitrogenLeachedFromOrganicFertiliser(E66,$I$56, $I$57)</f>
        <v>60</v>
      </c>
    </row>
    <row r="67" spans="3:11" ht="20.100000000000001" customHeight="1" x14ac:dyDescent="0.25">
      <c r="D67" s="26" t="str">
        <f>INDEX(Table_MNSoil_j_f,4,1)</f>
        <v>Other organic fertiliser</v>
      </c>
      <c r="E67" s="26">
        <f>INDEX(Table_MNSoil_j_f,4,6)</f>
        <v>160</v>
      </c>
      <c r="F67" s="26" cm="1">
        <f t="array" ref="F67">Fertiliser_Equations_LeachingAndRunoff.VEERG_5_5_1_1__3_MassOfNitrogenLeachedFromOrganicFertiliser(E67,$I$56, $I$57)</f>
        <v>38.4</v>
      </c>
    </row>
    <row r="68" spans="3:11" ht="20.100000000000001" customHeight="1" x14ac:dyDescent="0.25">
      <c r="D68" s="26">
        <f>'5.2.1.1-2 Organic Fert N2O'!D23</f>
        <v>0</v>
      </c>
      <c r="E68" s="26">
        <f>'5.2.1.1-2 Organic Fert N2O'!I23</f>
        <v>0</v>
      </c>
      <c r="F68" s="26" cm="1">
        <f t="array" ref="F68">Fertiliser_Equations_LeachingAndRunoff.VEERG_5_5_1_1__3_MassOfNitrogenLeachedFromOrganicFertiliser(E68,$I$56, $I$57)</f>
        <v>0</v>
      </c>
    </row>
    <row r="69" spans="3:11" ht="20.100000000000001" customHeight="1" x14ac:dyDescent="0.25">
      <c r="D69" s="26">
        <f>'5.2.1.1-2 Organic Fert N2O'!D24</f>
        <v>0</v>
      </c>
      <c r="E69" s="26">
        <f>'5.2.1.1-2 Organic Fert N2O'!I24</f>
        <v>0</v>
      </c>
      <c r="F69" s="26" cm="1">
        <f t="array" ref="F69">Fertiliser_Equations_LeachingAndRunoff.VEERG_5_5_1_1__3_MassOfNitrogenLeachedFromOrganicFertiliser(E69,$I$56, $I$57)</f>
        <v>0</v>
      </c>
    </row>
    <row r="70" spans="3:11" ht="20.100000000000001" customHeight="1" x14ac:dyDescent="0.25">
      <c r="D70" s="26">
        <f>'5.2.1.1-2 Organic Fert N2O'!D25</f>
        <v>0</v>
      </c>
      <c r="E70" s="26">
        <f>'5.2.1.1-2 Organic Fert N2O'!I25</f>
        <v>0</v>
      </c>
      <c r="F70" s="26" cm="1">
        <f t="array" ref="F70">Fertiliser_Equations_LeachingAndRunoff.VEERG_5_5_1_1__3_MassOfNitrogenLeachedFromOrganicFertiliser(E70,$I$56, $I$57)</f>
        <v>0</v>
      </c>
    </row>
    <row r="71" spans="3:11" ht="20.100000000000001" customHeight="1" x14ac:dyDescent="0.25">
      <c r="D71" s="26">
        <f>'5.2.1.1-2 Organic Fert N2O'!D26</f>
        <v>0</v>
      </c>
      <c r="E71" s="26">
        <f>'5.2.1.1-2 Organic Fert N2O'!I26</f>
        <v>0</v>
      </c>
      <c r="F71" s="26" cm="1">
        <f t="array" ref="F71">Fertiliser_Equations_LeachingAndRunoff.VEERG_5_5_1_1__3_MassOfNitrogenLeachedFromOrganicFertiliser(E71,$I$56, $I$57)</f>
        <v>0</v>
      </c>
    </row>
    <row r="72" spans="3:11" ht="20.100000000000001" customHeight="1" x14ac:dyDescent="0.25">
      <c r="D72" s="26">
        <f>'5.2.1.1-2 Organic Fert N2O'!D27</f>
        <v>0</v>
      </c>
      <c r="E72" s="26">
        <f>'5.2.1.1-2 Organic Fert N2O'!I27</f>
        <v>0</v>
      </c>
      <c r="F72" s="26" cm="1">
        <f t="array" ref="F72">Fertiliser_Equations_LeachingAndRunoff.VEERG_5_5_1_1__3_MassOfNitrogenLeachedFromOrganicFertiliser(E72,$I$56, $I$57)</f>
        <v>0</v>
      </c>
    </row>
    <row r="73" spans="3:11" ht="20.100000000000001" customHeight="1" x14ac:dyDescent="0.25">
      <c r="D73" s="26">
        <f>'5.2.1.1-2 Organic Fert N2O'!D28</f>
        <v>0</v>
      </c>
      <c r="E73" s="26">
        <f>'5.2.1.1-2 Organic Fert N2O'!I28</f>
        <v>0</v>
      </c>
      <c r="F73" s="26" cm="1">
        <f t="array" ref="F73">Fertiliser_Equations_LeachingAndRunoff.VEERG_5_5_1_1__3_MassOfNitrogenLeachedFromOrganicFertiliser(E73,$I$56, $I$57)</f>
        <v>0</v>
      </c>
    </row>
    <row r="74" spans="3:11" ht="20.100000000000001" customHeight="1" x14ac:dyDescent="0.25">
      <c r="D74" s="26">
        <f>'5.2.1.1-2 Organic Fert N2O'!D29</f>
        <v>0</v>
      </c>
      <c r="E74" s="26">
        <f>'5.2.1.1-2 Organic Fert N2O'!I29</f>
        <v>0</v>
      </c>
      <c r="F74" s="26" cm="1">
        <f t="array" ref="F74">Fertiliser_Equations_LeachingAndRunoff.VEERG_5_5_1_1__3_MassOfNitrogenLeachedFromOrganicFertiliser(E74,$I$56, $I$57)</f>
        <v>0</v>
      </c>
    </row>
    <row r="75" spans="3:11" ht="20.100000000000001" customHeight="1" x14ac:dyDescent="0.25">
      <c r="D75" s="26">
        <f>'5.2.1.1-2 Organic Fert N2O'!D30</f>
        <v>0</v>
      </c>
      <c r="E75" s="26">
        <f>'5.2.1.1-2 Organic Fert N2O'!I30</f>
        <v>0</v>
      </c>
      <c r="F75" s="26"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9" t="s">
        <v>618</v>
      </c>
      <c r="E77" s="117">
        <f>SUM(F65:F75)</f>
        <v>170.4</v>
      </c>
      <c r="F77" s="124" t="str">
        <f>$E$53</f>
        <v>kg N</v>
      </c>
    </row>
    <row r="78" spans="3:11" ht="20.100000000000001" customHeight="1" x14ac:dyDescent="0.25"/>
    <row r="79" spans="3:11" ht="20.100000000000001" customHeight="1" x14ac:dyDescent="0.25">
      <c r="C79" s="183"/>
      <c r="D79" s="183"/>
      <c r="E79" s="183"/>
      <c r="F79" s="183"/>
      <c r="G79" s="183"/>
      <c r="H79" s="183"/>
      <c r="I79" s="183"/>
      <c r="J79" s="183"/>
      <c r="K79" s="183"/>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8" t="str" cm="1">
        <f t="array" ref="D82">Fertiliser_Equations_LeachingAndRunoff.VEERG_5_5_1_1__1_FertiliserLeachingAndRunoffN2OEmissions_Source()</f>
        <v>VEERG 2026: 5.5, Equation (1)</v>
      </c>
    </row>
    <row r="83" spans="4:10" ht="20.100000000000001" customHeight="1" x14ac:dyDescent="0.25">
      <c r="D83" s="104" t="s">
        <v>257</v>
      </c>
      <c r="E83" s="104"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9" t="s">
        <v>259</v>
      </c>
      <c r="E86" s="1" t="str" cm="1">
        <f t="array" ref="E86">Fertiliser_Equations_LeachingAndRunoff.VEERG_5_5_1_1__1_FertiliserLeachingAndRunoffN2OEmissions_Variable()</f>
        <v>E_fertleach</v>
      </c>
    </row>
    <row r="87" spans="4:10" ht="20.100000000000001" customHeight="1" x14ac:dyDescent="0.25">
      <c r="D87" s="89" t="s">
        <v>133</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6"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106" t="str" cm="1">
        <f t="array" ref="H89:I92">_xlfn.CHOOSECOLS(Fertiliser_Equations_LeachingAndRunoff.VEERG_5_5_1_1__1_FertiliserLeachingAndRunoffN2OEmissions_Arguments(), 3,4)</f>
        <v>kg N</v>
      </c>
      <c r="I89" s="111" t="str">
        <v>Calculated from 5.5.1.1 (2)</v>
      </c>
      <c r="J89" s="106">
        <f>$E$43</f>
        <v>3122.328</v>
      </c>
    </row>
    <row r="90" spans="4:10" ht="20.100000000000001" customHeight="1" x14ac:dyDescent="0.25">
      <c r="D90" s="106" t="str">
        <v>M_leachorganicj</v>
      </c>
      <c r="E90" s="107" t="str">
        <v>mass of nitrogen lost through leaching and runoff from organic fertiliser application</v>
      </c>
      <c r="F90" s="108"/>
      <c r="G90" s="109"/>
      <c r="H90" s="106" t="str">
        <v>kg N</v>
      </c>
      <c r="I90" s="111" t="str">
        <v>Calculated from 5.5.1.1 (3)</v>
      </c>
      <c r="J90" s="106">
        <f>$E$77</f>
        <v>170.4</v>
      </c>
    </row>
    <row r="91" spans="4:10" ht="20.100000000000001" customHeight="1" x14ac:dyDescent="0.25">
      <c r="D91" s="106" t="str">
        <v>EF_leach</v>
      </c>
      <c r="E91" s="107" t="str">
        <v>emission factor for nitrogen leaching and runoff</v>
      </c>
      <c r="F91" s="108"/>
      <c r="G91" s="109"/>
      <c r="H91" s="106" t="str">
        <v>kg N2O-N/kg N</v>
      </c>
      <c r="I91" s="111" t="str">
        <v>Constant</v>
      </c>
      <c r="J91" s="106">
        <f>'Constants - Fertiliser'!$E$83</f>
        <v>1.0999999999999999E-2</v>
      </c>
    </row>
    <row r="92" spans="4:10" ht="20.100000000000001" customHeight="1" x14ac:dyDescent="0.25">
      <c r="D92" s="106" t="str">
        <v>C_N2O</v>
      </c>
      <c r="E92" s="107" t="str">
        <v>factor to convert elemental mass of nitrous oxide to molecular mass</v>
      </c>
      <c r="F92" s="108"/>
      <c r="G92" s="109"/>
      <c r="H92" s="106" t="str">
        <v/>
      </c>
      <c r="I92" s="111" t="str">
        <v>Constant</v>
      </c>
      <c r="J92" s="121">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8" t="s">
        <v>619</v>
      </c>
      <c r="E94" s="119" cm="1">
        <f t="array" ref="E94">Fertiliser_Equations_LeachingAndRunoff.VEERG_5_5_1_1__1_FertiliserLeachingAndRunoffN2OEmissions(J89,J90,J91,J92)</f>
        <v>5.6917155428571425E-2</v>
      </c>
      <c r="F94" s="120" t="str">
        <f>$E$87</f>
        <v>t N2O</v>
      </c>
    </row>
    <row r="95" spans="4:10" ht="20.100000000000001" customHeight="1" x14ac:dyDescent="0.25"/>
    <row r="96" spans="4:10" ht="20.100000000000001" customHeight="1" x14ac:dyDescent="0.25">
      <c r="D96" s="121" t="str" cm="1">
        <f t="array" ref="D96:E97">Common_Equations.Common_ConvertN2OToCO2e_Arguments()</f>
        <v>EN2O</v>
      </c>
      <c r="E96" s="122" t="str">
        <v>Nitrous oxide emissions (t N2O)</v>
      </c>
      <c r="F96" s="123"/>
      <c r="G96" s="26">
        <f>E94</f>
        <v>5.6917155428571425E-2</v>
      </c>
    </row>
    <row r="97" spans="4:7" ht="20.100000000000001" customHeight="1" x14ac:dyDescent="0.25">
      <c r="D97" s="121" t="str">
        <v>GWPN2O</v>
      </c>
      <c r="E97" s="122" t="str">
        <v>Global warming potential for nitrous oxide (t CO2-e / t N2O)</v>
      </c>
      <c r="F97" s="123"/>
      <c r="G97" s="26">
        <f>Common_InputFunctions.Utility_LookupValueInTableNumber("N2O",Table_GWPData[Gas],Table_GWPData[CO2-e factor])</f>
        <v>265</v>
      </c>
    </row>
    <row r="98" spans="4:7" ht="20.100000000000001" customHeight="1" x14ac:dyDescent="0.25"/>
    <row r="99" spans="4:7" ht="20.100000000000001" customHeight="1" x14ac:dyDescent="0.25">
      <c r="D99" s="117" t="s">
        <v>297</v>
      </c>
      <c r="E99" s="117" cm="1">
        <f t="array" ref="E99">Common_Equations.Common_ConvertN2OToCO2e(G96,G97)</f>
        <v>15.083046188571428</v>
      </c>
      <c r="F99" s="124"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A864D-CF7A-4596-88B5-8FDC9CEF0757}">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2" customFormat="1" ht="30" customHeight="1" x14ac:dyDescent="0.35">
      <c r="A1" s="16" t="e" vm="1">
        <v>#VALUE!</v>
      </c>
      <c r="C1" s="32" t="s">
        <v>811</v>
      </c>
    </row>
    <row r="2" spans="1:21" s="3" customFormat="1" ht="20.100000000000001" customHeight="1" x14ac:dyDescent="0.25">
      <c r="A2"/>
    </row>
    <row r="3" spans="1:21" ht="20.100000000000001" customHeight="1" x14ac:dyDescent="0.25">
      <c r="A3" s="5" t="str">
        <f>HYPERLINK("#'Home'!A1", "Home")</f>
        <v>Home</v>
      </c>
      <c r="C3" s="34"/>
      <c r="D3" s="34" t="s">
        <v>152</v>
      </c>
      <c r="E3" s="34"/>
      <c r="F3" s="34"/>
      <c r="G3" s="34"/>
      <c r="H3" s="34"/>
      <c r="I3" s="34"/>
      <c r="J3" s="34"/>
      <c r="K3" s="34"/>
      <c r="M3" s="34"/>
      <c r="N3" s="34" t="s">
        <v>153</v>
      </c>
      <c r="O3" s="34"/>
      <c r="P3" s="34"/>
      <c r="Q3" s="34"/>
      <c r="R3" s="34"/>
      <c r="S3" s="34"/>
      <c r="T3" s="34"/>
      <c r="U3" s="34"/>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8" t="str" cm="1">
        <f t="array" ref="D6">AgResidue_Equations_PastureResidue.VEERG_6_2_1_1__2__MassOfNitrogenInPastureResidues_Source()</f>
        <v>VEERG 2026: 6.2.1.1, Equation (2)</v>
      </c>
    </row>
    <row r="7" spans="1:21" ht="20.100000000000001" customHeight="1" x14ac:dyDescent="0.25">
      <c r="A7" s="7" t="s">
        <v>0</v>
      </c>
      <c r="D7" s="104" t="s">
        <v>257</v>
      </c>
      <c r="E7" s="104"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6" t="s">
        <v>259</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6" t="s">
        <v>133</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6" t="str" cm="1">
        <f t="array" ref="D13:E19">_xlfn.CHOOSECOLS(AgResidue_Equations_PastureResidue.VEERG_6_2_1_1__2__MassOfNitrogenInPastureResidues_Arguments(), 1, 2)</f>
        <v>A_p</v>
      </c>
      <c r="E13" s="107" t="str">
        <v>area of pasture renewed or removed</v>
      </c>
      <c r="F13" s="108"/>
      <c r="G13" s="109"/>
      <c r="H13" s="106" t="str" cm="1">
        <f t="array" ref="H13:I19">_xlfn.CHOOSECOLS(AgResidue_Equations_PastureResidue.VEERG_6_2_1_1__2__MassOfNitrogenInPastureResidues_Arguments(), 3,4)</f>
        <v>ha</v>
      </c>
      <c r="I13" s="110" t="str">
        <v>Input</v>
      </c>
      <c r="J13" s="106">
        <f>X_Cell_Pasture_AreaRemovedOrRenewed</f>
        <v>500</v>
      </c>
      <c r="N13" s="106" t="str" cm="1">
        <f t="array" ref="N13:O19">_xlfn.CHOOSECOLS(AgResidue_Equations_PastureResidue.VEERG_6_2_1_1__2__MassOfNitrogenInPastureResidues_Arguments_Method2(), 1, 2)</f>
        <v>A_p</v>
      </c>
      <c r="O13" s="107" t="str">
        <v>area of pasture renewed or removed</v>
      </c>
      <c r="P13" s="108"/>
      <c r="Q13" s="109"/>
      <c r="R13" s="106" t="str" cm="1">
        <f t="array" ref="R13:S19">_xlfn.CHOOSECOLS(AgResidue_Equations_PastureResidue.VEERG_6_2_1_1__2__MassOfNitrogenInPastureResidues_Arguments_Method2(), 3,4)</f>
        <v>ha</v>
      </c>
      <c r="S13" s="110" t="str">
        <v>Input</v>
      </c>
      <c r="T13" s="106"/>
    </row>
    <row r="14" spans="1:21" ht="20.100000000000001" customHeight="1" x14ac:dyDescent="0.25">
      <c r="A14" s="5" t="str">
        <f>HYPERLINK("#'Input - Fuel'!A1", "Fuel")</f>
        <v>Fuel</v>
      </c>
      <c r="D14" s="106" t="str">
        <v>Y_p</v>
      </c>
      <c r="E14" s="107" t="str">
        <v>average yield of pasture crop</v>
      </c>
      <c r="F14" s="108"/>
      <c r="G14" s="109"/>
      <c r="H14" s="106" t="str">
        <v>t DM/ha</v>
      </c>
      <c r="I14" s="111" t="str">
        <v>Constant</v>
      </c>
      <c r="J14" s="106" cm="1">
        <f t="array" ref="J14">Common_InputFunctions.Utility_LookupValueInTableNumber($J$19,Table_SourceData_PastureAttributes[Pasture type],Table_SourceData_PastureAttributes[Average Yield (t DM ha) Yp])</f>
        <v>8.34</v>
      </c>
      <c r="N14" s="106" t="str">
        <v>Y_p</v>
      </c>
      <c r="O14" s="107" t="str">
        <v>average yield of pasture crop</v>
      </c>
      <c r="P14" s="108"/>
      <c r="Q14" s="109"/>
      <c r="R14" s="106" t="str">
        <v>t DM/ha</v>
      </c>
      <c r="S14" s="110" t="str">
        <v>Input</v>
      </c>
      <c r="T14" s="106">
        <f>X_Cell_Pasture_YieldPerHectare</f>
        <v>8.34</v>
      </c>
    </row>
    <row r="15" spans="1:21" ht="20.100000000000001" customHeight="1" x14ac:dyDescent="0.25">
      <c r="A15" s="5" t="str">
        <f>HYPERLINK("#'Input - Electricity'!A1", "Electricity")</f>
        <v>Electricity</v>
      </c>
      <c r="D15" s="106" t="str">
        <v>NC_AGp</v>
      </c>
      <c r="E15" s="107" t="str">
        <v>N content of above-ground pasture residue</v>
      </c>
      <c r="F15" s="108"/>
      <c r="G15" s="109"/>
      <c r="H15" s="106" t="str">
        <v>kg N/kg DM</v>
      </c>
      <c r="I15" s="111" t="str">
        <v>Constant</v>
      </c>
      <c r="J15" s="106" cm="1">
        <f t="array" ref="J15">Common_InputFunctions.Utility_LookupValueInTableNumber($J$19,Table_SourceData_PastureAttributes[Pasture type],Table_SourceData_PastureAttributes[N content Above-ground NCAGp])</f>
        <v>2.5000000000000001E-2</v>
      </c>
      <c r="N15" s="106" t="str">
        <v>NC_AGp</v>
      </c>
      <c r="O15" s="107" t="str">
        <v>N content of above-ground pasture residue</v>
      </c>
      <c r="P15" s="108"/>
      <c r="Q15" s="109"/>
      <c r="R15" s="106" t="str">
        <v>kg N/kg DM</v>
      </c>
      <c r="S15" s="111" t="str">
        <v>Constant</v>
      </c>
      <c r="T15" s="106"/>
    </row>
    <row r="16" spans="1:21" ht="20.100000000000001" customHeight="1" x14ac:dyDescent="0.25">
      <c r="D16" s="106" t="str">
        <v>R_BGp</v>
      </c>
      <c r="E16" s="107" t="str">
        <v>below-ground residue to above-ground residue ratio for pasture crop</v>
      </c>
      <c r="F16" s="108"/>
      <c r="G16" s="109"/>
      <c r="H16" s="106" t="str">
        <v/>
      </c>
      <c r="I16" s="111" t="str">
        <v>Constant</v>
      </c>
      <c r="J16" s="106" cm="1">
        <f t="array" ref="J16">Common_InputFunctions.Utility_LookupValueInTableNumber($J$19,Table_SourceData_PastureAttributes[Pasture type],Table_SourceData_PastureAttributes[Below-ground: above-ground residue ratio RBGp])</f>
        <v>0.8</v>
      </c>
      <c r="N16" s="106" t="str">
        <v>R_BGp</v>
      </c>
      <c r="O16" s="107" t="str">
        <v>below-ground residue to above-ground residue ratio for pasture crop</v>
      </c>
      <c r="P16" s="108"/>
      <c r="Q16" s="109"/>
      <c r="R16" s="106" t="str">
        <v/>
      </c>
      <c r="S16" s="111" t="str">
        <v>Constant</v>
      </c>
      <c r="T16" s="106"/>
    </row>
    <row r="17" spans="1:21" ht="20.100000000000001" customHeight="1" x14ac:dyDescent="0.25">
      <c r="D17" s="106" t="str">
        <v>NC_BGp</v>
      </c>
      <c r="E17" s="107" t="str">
        <v>N content of below-ground pasture crop residue</v>
      </c>
      <c r="F17" s="108"/>
      <c r="G17" s="109"/>
      <c r="H17" s="106" t="str">
        <v>kg N/kg DM</v>
      </c>
      <c r="I17" s="111" t="str">
        <v>Constant</v>
      </c>
      <c r="J17" s="106" cm="1">
        <f t="array" ref="J17">Common_InputFunctions.Utility_LookupValueInTableNumber($J$19,Table_SourceData_PastureAttributes[Pasture type],Table_SourceData_PastureAttributes[N content Below-ground NCBGp])</f>
        <v>1.6E-2</v>
      </c>
      <c r="N17" s="106" t="str">
        <v>NC_BGp</v>
      </c>
      <c r="O17" s="107" t="str">
        <v>N content of below-ground pasture crop residue</v>
      </c>
      <c r="P17" s="108"/>
      <c r="Q17" s="109"/>
      <c r="R17" s="106" t="str">
        <v>kg N/kg DM</v>
      </c>
      <c r="S17" s="111" t="str">
        <v>Constant</v>
      </c>
      <c r="T17" s="106"/>
    </row>
    <row r="18" spans="1:21" ht="20.100000000000001" customHeight="1" x14ac:dyDescent="0.25">
      <c r="A18" s="6" t="s">
        <v>2</v>
      </c>
      <c r="D18" s="106" t="str">
        <v>FFOD_p</v>
      </c>
      <c r="E18" s="107" t="str">
        <v>fraction of pasture yield that is removed</v>
      </c>
      <c r="F18" s="108"/>
      <c r="G18" s="109"/>
      <c r="H18" s="106" t="str">
        <v>fraction</v>
      </c>
      <c r="I18" s="111" t="str">
        <v>Constant</v>
      </c>
      <c r="J18" s="106" cm="1">
        <f t="array" ref="J18">Common_InputFunctions.Utility_LookupValueInTableNumber($J$19,Table_SourceData_PastureAttributes[Pasture type],Table_SourceData_PastureAttributes[Fraction of pasture yield that is removed FFODp])</f>
        <v>0.8</v>
      </c>
      <c r="N18" s="106" t="str">
        <v>FFOD_p</v>
      </c>
      <c r="O18" s="107" t="str">
        <v>fraction of pasture yield that is removed</v>
      </c>
      <c r="P18" s="108"/>
      <c r="Q18" s="109"/>
      <c r="R18" s="106" t="str">
        <v>fraction</v>
      </c>
      <c r="S18" s="111" t="str">
        <v>Constant</v>
      </c>
      <c r="T18" s="106"/>
    </row>
    <row r="19" spans="1:21" ht="20.100000000000001" customHeight="1" x14ac:dyDescent="0.25">
      <c r="A19" s="5" t="str">
        <f>HYPERLINK("#'3.2.1.1-2 Enteric Methane'!A1", "3.2.1.1-2 Enteric methane")</f>
        <v>3.2.1.1-2 Enteric methane</v>
      </c>
      <c r="D19" s="106" t="str">
        <v>p</v>
      </c>
      <c r="E19" s="107" t="str">
        <v>Pasture type</v>
      </c>
      <c r="F19" s="108"/>
      <c r="G19" s="109"/>
      <c r="H19" s="106" t="str">
        <v/>
      </c>
      <c r="I19" s="110" t="str">
        <v>Input</v>
      </c>
      <c r="J19" s="106" t="str">
        <f>X_Cell_Pasture_PastureType</f>
        <v>Grass clover mixture</v>
      </c>
      <c r="N19" s="106" t="str">
        <v>p</v>
      </c>
      <c r="O19" s="107" t="str">
        <v>Pasture type</v>
      </c>
      <c r="P19" s="108"/>
      <c r="Q19" s="109"/>
      <c r="R19" s="106" t="str">
        <v/>
      </c>
      <c r="S19" s="110" t="str">
        <v>Input</v>
      </c>
      <c r="T19" s="106"/>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29" t="s">
        <v>812</v>
      </c>
      <c r="E21" s="117" cm="1">
        <f t="array" ref="E21">AgResidue_Equations_PastureResidue.VEERG_6_2_1_1__2__MassOfNitrogenInPastureResidues(J13,J14,J18,J15,J16,J17)</f>
        <v>7.4226E-2</v>
      </c>
      <c r="F21" s="124" t="str" cm="1">
        <f t="array" ref="F21">AgResidue_Equations_PastureResidue.VEERG_6_2_1_1__2__MassOfNitrogenInPastureResidues_Unit()</f>
        <v>kg N</v>
      </c>
      <c r="N21" s="129" t="s">
        <v>812</v>
      </c>
      <c r="O21" s="117" cm="1">
        <f t="array" ref="O21">AgResidue_Equations_PastureResidue.VEERG_6_2_1_1__2__MassOfNitrogenInPastureResidues(J13,T14,J18,J15,J16,J17)</f>
        <v>7.4226E-2</v>
      </c>
      <c r="P21" s="124"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7"/>
      <c r="D24" s="117"/>
      <c r="E24" s="117"/>
      <c r="F24" s="117"/>
      <c r="G24" s="117"/>
      <c r="H24" s="117"/>
      <c r="I24" s="117"/>
      <c r="J24" s="117"/>
      <c r="K24" s="117"/>
      <c r="M24" s="117"/>
      <c r="N24" s="117"/>
      <c r="O24" s="117"/>
      <c r="P24" s="117"/>
      <c r="Q24" s="117"/>
      <c r="R24" s="117"/>
      <c r="S24" s="117"/>
      <c r="T24" s="117"/>
      <c r="U24" s="117"/>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8" t="str" cm="1">
        <f t="array" ref="D26">AgResidue_Equations_PastureResidue.VEERG_6_2_1_1__1__NitrousOxideEmissionsFromPastureResidues_Source()</f>
        <v>VEERG 2026: 6.2.1.1, Equation (1)</v>
      </c>
      <c r="N26" s="28"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4" t="s">
        <v>257</v>
      </c>
      <c r="E27" s="104" t="str" cm="1">
        <f t="array" aca="1" ref="E27" ca="1">Common_InputFunctions.Utility_DisplayFunctionName(E40)</f>
        <v>=AgResidue_Equations_PastureResidue.VEERG_6_2_1_1__1__NitrousOxideEmissionsFromPastureResidues</v>
      </c>
      <c r="N27" s="104" t="s">
        <v>257</v>
      </c>
      <c r="O27" s="104"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5" t="str">
        <f>HYPERLINK("#'6.2.1.1-2 Pasture residue N2O'!A1", "6.2.1.1-2 Pasture residue N2O")</f>
        <v>6.2.1.1-2 Pasture residue N2O</v>
      </c>
      <c r="D30" s="36" t="s">
        <v>259</v>
      </c>
      <c r="E30" s="1" t="str" cm="1">
        <f t="array" ref="E30">AgResidue_Equations_PastureResidue.VEERG_6_2_1_1__1__NitrousOxideEmissionsFromPastureResidues_Variable()</f>
        <v>EN2O</v>
      </c>
      <c r="N30" s="36" t="s">
        <v>259</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6" t="s">
        <v>133</v>
      </c>
      <c r="E31" s="15" t="str" cm="1">
        <f t="array" ref="E31">AgResidue_Equations_PastureResidue.VEERG_6_2_1_1__1__NitrousOxideEmissionsFromPastureResidues_Unit()</f>
        <v>t N2O</v>
      </c>
      <c r="N31" s="36" t="s">
        <v>133</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6" t="str" cm="1">
        <f t="array" ref="D33:E37">_xlfn.CHOOSECOLS(AgResidue_Equations_PastureResidue.VEERG_6_2_1_1__1__NitrousOxideEmissionsFromPastureResidues_Arguments(), 1, 2)</f>
        <v>M_p</v>
      </c>
      <c r="E33" s="107" t="str">
        <v>mass of nitrogen in pasture p residues returned to the soil</v>
      </c>
      <c r="F33" s="108"/>
      <c r="G33" s="109"/>
      <c r="H33" s="106" t="str" cm="1">
        <f t="array" ref="H33:I37">_xlfn.CHOOSECOLS(AgResidue_Equations_PastureResidue.VEERG_6_2_1_1__1__NitrousOxideEmissionsFromPastureResidues_Arguments(), 3,4)</f>
        <v>kg N</v>
      </c>
      <c r="I33" s="111" t="str">
        <v>Calculated from 6.2.1.1 (2)</v>
      </c>
      <c r="J33" s="106">
        <f>$E$21</f>
        <v>7.4226E-2</v>
      </c>
      <c r="N33" s="106" t="str" cm="1">
        <f t="array" ref="N33:O37">_xlfn.CHOOSECOLS(AgResidue_Equations_PastureResidue.VEERG_6_2_1_1__1__NitrousOxideEmissionsFromPastureResidues_Arguments(), 1, 2)</f>
        <v>M_p</v>
      </c>
      <c r="O33" s="107" t="str">
        <v>mass of nitrogen in pasture p residues returned to the soil</v>
      </c>
      <c r="P33" s="108"/>
      <c r="Q33" s="109"/>
      <c r="R33" s="106" t="str" cm="1">
        <f t="array" ref="R33:S37">_xlfn.CHOOSECOLS(AgResidue_Equations_PastureResidue.VEERG_6_2_1_1__1__NitrousOxideEmissionsFromPastureResidues_Arguments(), 3,4)</f>
        <v>kg N</v>
      </c>
      <c r="S33" s="111" t="str">
        <v>Calculated from 6.2.1.1 (2)</v>
      </c>
      <c r="T33" s="106">
        <f>$O$21</f>
        <v>7.4226E-2</v>
      </c>
    </row>
    <row r="34" spans="1:20" ht="20.100000000000001" customHeight="1" x14ac:dyDescent="0.25">
      <c r="A34" s="5" t="str">
        <f>HYPERLINK("#'14.1.1-2 Purchased electricity'!A1", "14.1.1-2 Purchased electricity")</f>
        <v>14.1.1-2 Purchased electricity</v>
      </c>
      <c r="D34" s="106" t="str">
        <v>EF_Ni</v>
      </c>
      <c r="E34" s="107" t="str">
        <v>emission factor for crop residues returned to the soil in climate zone i</v>
      </c>
      <c r="F34" s="108"/>
      <c r="G34" s="109"/>
      <c r="H34" s="106" t="str">
        <v>kg N2O-N/kg N</v>
      </c>
      <c r="I34" s="111" t="str">
        <v>Constant</v>
      </c>
      <c r="J34" s="106" cm="1">
        <f t="array" ref="J34">Common_InputFunctions.Utility_LookupValueInTableNumber(J37,Table_SourceData_N2OEFOrganicFert[Climate zone type i],Table_SourceData_N2OEFOrganicFert[EF i N2O])</f>
        <v>0</v>
      </c>
      <c r="N34" s="106" t="str">
        <v>EF_Ni</v>
      </c>
      <c r="O34" s="107" t="str">
        <v>emission factor for crop residues returned to the soil in climate zone i</v>
      </c>
      <c r="P34" s="108"/>
      <c r="Q34" s="109"/>
      <c r="R34" s="106" t="str">
        <v>kg N2O-N/kg N</v>
      </c>
      <c r="S34" s="111" t="str">
        <v>Constant</v>
      </c>
      <c r="T34" s="106"/>
    </row>
    <row r="35" spans="1:20" ht="20.100000000000001" customHeight="1" x14ac:dyDescent="0.25">
      <c r="D35" s="106" t="str">
        <v>C_N2O</v>
      </c>
      <c r="E35" s="107" t="str">
        <v>factor to convert elemental mass of nitrous oxide to molecular mass</v>
      </c>
      <c r="F35" s="108"/>
      <c r="G35" s="109"/>
      <c r="H35" s="106" t="str">
        <v>dimensionless</v>
      </c>
      <c r="I35" s="111" t="str">
        <v>Constant</v>
      </c>
      <c r="J35" s="106">
        <f>Common_InputFunctions.Utility_LookupValueInTableNumber("N2O",Table_GasToMolecularConversionFactor[Gas],Table_GasToMolecularConversionFactor[Conversion factor combined])</f>
        <v>1.5714285714285714</v>
      </c>
      <c r="N35" s="106" t="str">
        <v>C_N2O</v>
      </c>
      <c r="O35" s="107" t="str">
        <v>factor to convert elemental mass of nitrous oxide to molecular mass</v>
      </c>
      <c r="P35" s="108"/>
      <c r="Q35" s="109"/>
      <c r="R35" s="106" t="str">
        <v>dimensionless</v>
      </c>
      <c r="S35" s="111" t="str">
        <v>Constant</v>
      </c>
      <c r="T35" s="106"/>
    </row>
    <row r="36" spans="1:20" ht="20.100000000000001" customHeight="1" x14ac:dyDescent="0.25">
      <c r="D36" s="106" t="str">
        <v>p</v>
      </c>
      <c r="E36" s="107" t="str">
        <v>Pasture type</v>
      </c>
      <c r="F36" s="108"/>
      <c r="G36" s="109"/>
      <c r="H36" s="106" t="str">
        <v/>
      </c>
      <c r="I36" s="110" t="str">
        <v>Input</v>
      </c>
      <c r="J36" s="106" t="str">
        <f>X_Cell_Pasture_PastureType</f>
        <v>Grass clover mixture</v>
      </c>
      <c r="N36" s="106" t="str">
        <v>p</v>
      </c>
      <c r="O36" s="107" t="str">
        <v>Pasture type</v>
      </c>
      <c r="P36" s="108"/>
      <c r="Q36" s="109"/>
      <c r="R36" s="106" t="str">
        <v/>
      </c>
      <c r="S36" s="110" t="str">
        <v>Input</v>
      </c>
      <c r="T36" s="106"/>
    </row>
    <row r="37" spans="1:20" ht="20.100000000000001" customHeight="1" x14ac:dyDescent="0.25">
      <c r="A37" s="250" t="s">
        <v>1</v>
      </c>
      <c r="D37" s="106" t="str">
        <v>i</v>
      </c>
      <c r="E37" s="107" t="str">
        <v>Wet or dry climate zone</v>
      </c>
      <c r="F37" s="108"/>
      <c r="G37" s="109"/>
      <c r="H37" s="106" t="str">
        <v/>
      </c>
      <c r="I37" s="110" t="str">
        <v>Input</v>
      </c>
      <c r="J37" s="106">
        <f>X_Cell_Site_WetOrDryClimateZone</f>
        <v>0</v>
      </c>
      <c r="N37" s="106" t="str">
        <v>i</v>
      </c>
      <c r="O37" s="107" t="str">
        <v>Wet or dry climate zone</v>
      </c>
      <c r="P37" s="108"/>
      <c r="Q37" s="109"/>
      <c r="R37" s="106" t="str">
        <v/>
      </c>
      <c r="S37" s="110" t="str">
        <v>Input</v>
      </c>
      <c r="T37" s="106"/>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8" t="s">
        <v>564</v>
      </c>
      <c r="E40" s="119" cm="1">
        <f t="array" ref="E40">AgResidue_Equations_PastureResidue.VEERG_6_2_1_1__1__NitrousOxideEmissionsFromPastureResidues(J33,J34,J35)</f>
        <v>0</v>
      </c>
      <c r="F40" s="120" t="str" cm="1">
        <f t="array" ref="F40">AgResidue_Equations_PastureResidue.VEERG_6_2_1_1__1__NitrousOxideEmissionsFromPastureResidues_Unit()</f>
        <v>t N2O</v>
      </c>
      <c r="N40" s="118" t="s">
        <v>564</v>
      </c>
      <c r="O40" s="119" cm="1">
        <f t="array" ref="O40">AgResidue_Equations_PastureResidue.VEERG_6_2_1_1__1__NitrousOxideEmissionsFromPastureResidues(T33,J34,J35)</f>
        <v>0</v>
      </c>
      <c r="P40" s="120"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1" t="str" cm="1">
        <f t="array" ref="D42:E43">Common_Equations.Common_ConvertN2OToCO2e_Arguments()</f>
        <v>EN2O</v>
      </c>
      <c r="E42" s="122" t="str">
        <v>Nitrous oxide emissions (t N2O)</v>
      </c>
      <c r="F42" s="171"/>
      <c r="G42" s="121">
        <f>E40</f>
        <v>0</v>
      </c>
      <c r="N42" s="121" t="str" cm="1">
        <f t="array" ref="N42:O43">Common_Equations.Common_ConvertN2OToCO2e_Arguments()</f>
        <v>EN2O</v>
      </c>
      <c r="O42" s="122" t="str">
        <v>Nitrous oxide emissions (t N2O)</v>
      </c>
      <c r="P42" s="171"/>
      <c r="Q42" s="121">
        <f>O40</f>
        <v>0</v>
      </c>
    </row>
    <row r="43" spans="1:20" ht="20.100000000000001" customHeight="1" x14ac:dyDescent="0.25">
      <c r="A43" s="5" t="str">
        <f>HYPERLINK("#'Constants - Fuel'!A1", "Constants - Fuel")</f>
        <v>Constants - Fuel</v>
      </c>
      <c r="D43" s="121" t="str">
        <v>GWPN2O</v>
      </c>
      <c r="E43" s="122" t="str">
        <v>Global warming potential for nitrous oxide (t CO2-e / t N2O)</v>
      </c>
      <c r="F43" s="171"/>
      <c r="G43" s="26">
        <f>Common_InputFunctions.Utility_LookupValueInTableNumber("N2O",Table_GWPData[Gas],Table_GWPData[CO2-e factor])</f>
        <v>265</v>
      </c>
      <c r="N43" s="121" t="str">
        <v>GWPN2O</v>
      </c>
      <c r="O43" s="122" t="str">
        <v>Global warming potential for nitrous oxide (t CO2-e / t N2O)</v>
      </c>
      <c r="P43" s="171"/>
      <c r="Q43" s="26">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813</v>
      </c>
      <c r="E45" s="1" cm="1">
        <f t="array" ref="E45">Common_Equations.Common_ConvertN2OToCO2e(G42,G43)</f>
        <v>0</v>
      </c>
      <c r="F45" s="15" t="str" cm="1">
        <f t="array" ref="F45">Common_Equations.Common_ConvertN2OToCO2e_Unit()</f>
        <v>t CO2e</v>
      </c>
      <c r="N45" s="1" t="s">
        <v>813</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A48E2-1C4B-422E-A155-A35E88E78CFC}">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2" customFormat="1" ht="30" customHeight="1" x14ac:dyDescent="0.35">
      <c r="A1" s="16" t="e" vm="1">
        <v>#VALUE!</v>
      </c>
      <c r="C1" s="32" t="s">
        <v>814</v>
      </c>
    </row>
    <row r="2" spans="1:20" s="3" customFormat="1" ht="20.100000000000001" customHeight="1" x14ac:dyDescent="0.25">
      <c r="A2"/>
    </row>
    <row r="3" spans="1:20" ht="20.100000000000001" customHeight="1" x14ac:dyDescent="0.25">
      <c r="A3" s="5" t="str">
        <f>HYPERLINK("#'Home'!A1", "Home")</f>
        <v>Home</v>
      </c>
      <c r="C3" s="34"/>
      <c r="D3" s="34" t="s">
        <v>152</v>
      </c>
      <c r="E3" s="34"/>
      <c r="F3" s="34"/>
      <c r="G3" s="34"/>
      <c r="H3" s="34"/>
      <c r="I3" s="34"/>
      <c r="J3" s="34"/>
      <c r="K3" s="34"/>
      <c r="M3" s="34"/>
      <c r="N3" s="34" t="s">
        <v>153</v>
      </c>
      <c r="O3" s="34"/>
      <c r="P3" s="34"/>
      <c r="Q3" s="34"/>
      <c r="R3" s="34"/>
      <c r="S3" s="34"/>
      <c r="T3" s="34"/>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8"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4" t="s">
        <v>257</v>
      </c>
      <c r="E7" s="104" t="str" cm="1">
        <f t="array" aca="1" ref="E7" ca="1">Common_InputFunctions.Utility_DisplayFunctionName(I25)</f>
        <v>=AgResidue_Equations_Leaching.VEERG_6_3_1_1__2__MassOfNitrogenLostThroughLeachingAndRunoff</v>
      </c>
      <c r="F7" s="104"/>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259</v>
      </c>
      <c r="E10" s="8" t="str" cm="1">
        <f t="array" ref="E10">AgResidue_Equations_Leaching.VEERG_6_3_1_1__2__MassOfNitrogenLostThroughLeachingAndRunoff_Variable()</f>
        <v>M_leachcp</v>
      </c>
      <c r="F10" s="8"/>
      <c r="G10" s="28"/>
      <c r="H10" s="8"/>
      <c r="I10" s="8"/>
      <c r="J10" s="8"/>
      <c r="K10" s="8"/>
    </row>
    <row r="11" spans="1:20" ht="20.100000000000001" customHeight="1" x14ac:dyDescent="0.25">
      <c r="A11" s="5" t="str">
        <f>HYPERLINK("#'Input - Pasture Beef (Enteric)'!A1", "Pasture Beef (Enteric)")</f>
        <v>Pasture Beef (Enteric)</v>
      </c>
      <c r="C11" s="8"/>
      <c r="D11" s="12" t="s">
        <v>133</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6" t="str" cm="1">
        <f t="array" ref="D13:E19">_xlfn.CHOOSECOLS(AgResidue_Equations_Leaching.VEERG_6_3_1_1__2__MassOfNitrogenLostThroughLeachingAndRunoff_Arguments(), 1,2)</f>
        <v>M_cp</v>
      </c>
      <c r="E13" s="107" t="str">
        <v>mass of nitrogen in crop residues c or pasture residues p applied to soils</v>
      </c>
      <c r="F13" s="108"/>
      <c r="G13" s="109"/>
      <c r="H13" s="106" t="str" cm="1">
        <f t="array" ref="H13:I19">_xlfn.CHOOSECOLS(AgResidue_Equations_Leaching.VEERG_6_3_1_1__2__MassOfNitrogenLostThroughLeachingAndRunoff_Arguments(), 3,4)</f>
        <v>kg N</v>
      </c>
      <c r="I13" s="111" t="str">
        <v>Calc from 6.1.1.1 (2) and 6.2.1.1 (2)</v>
      </c>
      <c r="J13" s="112" t="str" cm="1">
        <f t="array" aca="1" ref="J13" ca="1">HYPERLINK(Common_InputFunctions.Utility_SourceHyperlink($D$21), $D$21)</f>
        <v>M1_Table_M_leach_cp</v>
      </c>
      <c r="K13" s="8"/>
    </row>
    <row r="14" spans="1:20" ht="20.100000000000001" customHeight="1" x14ac:dyDescent="0.25">
      <c r="A14" s="5" t="str">
        <f>HYPERLINK("#'Input - Fuel'!A1", "Fuel")</f>
        <v>Fuel</v>
      </c>
      <c r="C14" s="8"/>
      <c r="D14" s="106" t="str">
        <v>FracWET_j</v>
      </c>
      <c r="E14" s="107" t="str">
        <v>fraction of N that is available for leaching and runoff from the leaching zone z and irrigation type ir</v>
      </c>
      <c r="F14" s="108"/>
      <c r="G14" s="109"/>
      <c r="H14" s="106" t="str">
        <v>fraction</v>
      </c>
      <c r="I14" s="111" t="str">
        <v>Constant</v>
      </c>
      <c r="J14" s="112"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6" t="str">
        <v>FracLEACH</v>
      </c>
      <c r="E15" s="107" t="str">
        <v>fraction of N that is lost through leaching and runoff</v>
      </c>
      <c r="F15" s="108"/>
      <c r="G15" s="109"/>
      <c r="H15" s="106" t="str">
        <v>fraction</v>
      </c>
      <c r="I15" s="111" t="str">
        <v>Constant</v>
      </c>
      <c r="J15" s="106">
        <f>'Constants - Common'!$E$164</f>
        <v>0.24</v>
      </c>
      <c r="K15" s="8"/>
    </row>
    <row r="16" spans="1:20" ht="20.100000000000001" customHeight="1" x14ac:dyDescent="0.25">
      <c r="C16" s="8"/>
      <c r="D16" s="106" t="str">
        <v>z</v>
      </c>
      <c r="E16" s="107" t="str">
        <v>Location in leaching zone</v>
      </c>
      <c r="F16" s="108"/>
      <c r="G16" s="109"/>
      <c r="H16" s="106" t="str">
        <v/>
      </c>
      <c r="I16" s="110" t="str">
        <v>Input</v>
      </c>
      <c r="J16" s="112" t="str" cm="1">
        <f t="array" aca="1" ref="J16" ca="1">HYPERLINK(Common_InputFunctions.Utility_SourceHyperlink($D$21), $D$21)</f>
        <v>M1_Table_M_leach_cp</v>
      </c>
      <c r="K16" s="8"/>
    </row>
    <row r="17" spans="1:20" ht="20.100000000000001" customHeight="1" x14ac:dyDescent="0.25">
      <c r="C17" s="8"/>
      <c r="D17" s="106" t="str">
        <v>c</v>
      </c>
      <c r="E17" s="107" t="str">
        <v>Crop residue type</v>
      </c>
      <c r="F17" s="108"/>
      <c r="G17" s="109"/>
      <c r="H17" s="106" t="str">
        <v/>
      </c>
      <c r="I17" s="110" t="str">
        <v>Input</v>
      </c>
      <c r="J17" s="106" t="s">
        <v>144</v>
      </c>
      <c r="K17" s="8"/>
    </row>
    <row r="18" spans="1:20" ht="20.100000000000001" customHeight="1" x14ac:dyDescent="0.25">
      <c r="A18" s="6" t="s">
        <v>2</v>
      </c>
      <c r="C18" s="8"/>
      <c r="D18" s="106" t="str">
        <v>p</v>
      </c>
      <c r="E18" s="107" t="str">
        <v>Pasture residue type</v>
      </c>
      <c r="F18" s="108"/>
      <c r="G18" s="109"/>
      <c r="H18" s="106" t="str">
        <v/>
      </c>
      <c r="I18" s="110" t="str">
        <v>Input</v>
      </c>
      <c r="J18" s="106" t="str">
        <f>X_Cell_Pasture_PastureType</f>
        <v>Grass clover mixture</v>
      </c>
      <c r="K18" s="8"/>
    </row>
    <row r="19" spans="1:20" ht="20.100000000000001" customHeight="1" x14ac:dyDescent="0.25">
      <c r="A19" s="5" t="str">
        <f>HYPERLINK("#'3.2.1.1-2 Enteric Methane'!A1", "3.2.1.1-2 Enteric methane")</f>
        <v>3.2.1.1-2 Enteric methane</v>
      </c>
      <c r="C19" s="8"/>
      <c r="D19" s="106" t="str">
        <v>ir</v>
      </c>
      <c r="E19" s="107" t="str">
        <v>Irrigation type</v>
      </c>
      <c r="F19" s="108"/>
      <c r="G19" s="109"/>
      <c r="H19" s="106" t="str">
        <v/>
      </c>
      <c r="I19" s="110" t="str">
        <v>Input</v>
      </c>
      <c r="J19" s="112"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3" t="s">
        <v>815</v>
      </c>
      <c r="E21" s="8"/>
      <c r="F21" s="8"/>
      <c r="G21" s="8"/>
      <c r="H21" s="8"/>
      <c r="I21" s="8"/>
      <c r="J21" s="8"/>
      <c r="K21" s="8"/>
      <c r="N21" s="113" t="s">
        <v>816</v>
      </c>
      <c r="O21" s="8"/>
      <c r="P21" s="8"/>
      <c r="Q21" s="8"/>
      <c r="R21" s="8"/>
      <c r="S21" s="8"/>
    </row>
    <row r="22" spans="1:20" ht="20.100000000000001" customHeight="1" x14ac:dyDescent="0.25">
      <c r="A22" s="5" t="str">
        <f>HYPERLINK("#'4.2.1.5-6 Soil Atmos Dep'!A1", "4.2.1.5-6 Soil atm. deposition")</f>
        <v>4.2.1.5-6 Soil atm. deposition</v>
      </c>
      <c r="C22" s="8"/>
      <c r="D22" s="114" t="s">
        <v>817</v>
      </c>
      <c r="E22" s="8"/>
      <c r="F22" s="8"/>
      <c r="G22" s="8"/>
      <c r="H22" s="8"/>
      <c r="I22" s="8"/>
      <c r="J22" s="8"/>
      <c r="K22" s="8"/>
      <c r="N22" s="114" t="s">
        <v>818</v>
      </c>
      <c r="O22" s="8"/>
      <c r="P22" s="8"/>
      <c r="Q22" s="8"/>
      <c r="R22" s="8"/>
      <c r="S22" s="8"/>
    </row>
    <row r="23" spans="1:20" ht="20.100000000000001" customHeight="1" x14ac:dyDescent="0.25">
      <c r="A23" s="5" t="str">
        <f>HYPERLINK("#'4.2.1.7-8 Soil leach runoff'!A1", "4.2.1.7-8 Soil leach &amp; runoff")</f>
        <v>4.2.1.7-8 Soil leach &amp; runoff</v>
      </c>
      <c r="C23" s="8"/>
      <c r="D23" s="116" t="s">
        <v>819</v>
      </c>
      <c r="E23" s="115" t="s">
        <v>820</v>
      </c>
      <c r="F23" s="116" t="s">
        <v>821</v>
      </c>
      <c r="G23" s="116" t="s">
        <v>115</v>
      </c>
      <c r="H23" s="115" t="s">
        <v>822</v>
      </c>
      <c r="I23" s="115" t="s">
        <v>823</v>
      </c>
      <c r="J23" s="8"/>
      <c r="K23" s="8"/>
      <c r="N23" s="116" t="s">
        <v>819</v>
      </c>
      <c r="O23" s="115" t="s">
        <v>820</v>
      </c>
      <c r="P23" s="116" t="s">
        <v>821</v>
      </c>
      <c r="Q23" s="116" t="s">
        <v>115</v>
      </c>
      <c r="R23" s="115" t="s">
        <v>822</v>
      </c>
      <c r="S23" s="115" t="s">
        <v>823</v>
      </c>
    </row>
    <row r="24" spans="1:20" ht="20.100000000000001" customHeight="1" x14ac:dyDescent="0.25">
      <c r="A24" s="5" t="str">
        <f>HYPERLINK("#'5.1.1.1-2 Inorganic fert N2O'!A1", "5.1.1.1-2 Inorganic fert N2O")</f>
        <v>5.1.1.1-2 Inorganic fert N2O</v>
      </c>
      <c r="D24" s="26" t="s">
        <v>465</v>
      </c>
      <c r="E24" s="26" t="s">
        <v>144</v>
      </c>
      <c r="F24" s="26" t="s">
        <v>144</v>
      </c>
      <c r="G24" s="26" t="s">
        <v>144</v>
      </c>
      <c r="H24" s="26" t="s">
        <v>144</v>
      </c>
      <c r="I24" s="26" t="s">
        <v>144</v>
      </c>
      <c r="N24" s="26"/>
      <c r="O24" s="26" t="s">
        <v>144</v>
      </c>
      <c r="P24" s="26"/>
      <c r="Q24" s="26"/>
      <c r="R24" s="26"/>
      <c r="S24" s="26" t="s">
        <v>144</v>
      </c>
    </row>
    <row r="25" spans="1:20" ht="20.100000000000001" customHeight="1" x14ac:dyDescent="0.25">
      <c r="A25" s="5" t="str">
        <f>HYPERLINK("#'5.1.1.3-4 Inorganic fert CO2'!A1", "5.1.1.3-4 Inorganic fert CO2")</f>
        <v>5.1.1.3-4 Inorganic fert CO2</v>
      </c>
      <c r="D25" s="26" t="s">
        <v>236</v>
      </c>
      <c r="E25" s="26">
        <f>'6.2.1.1-2 Pasture residue N2O'!$E$21</f>
        <v>7.4226E-2</v>
      </c>
      <c r="F25" s="26" t="str">
        <f>X_Cell_Pasture_IrrigationMethod</f>
        <v>Surface irrigation</v>
      </c>
      <c r="G25" s="26">
        <f>X_Cell_Site_LeachingZone</f>
        <v>0</v>
      </c>
      <c r="H25" s="26">
        <f>CommonCropping_InputFunctions.CommonCropping_GetFracWET(G25,F25,Table_SourceData_FracWET[Is in leaching zone],Table_SourceData_FracWET[FracWET], Table_SourceData_FracWETIrrigation[Irrigation type i],Table_SourceData_FracWETIrrigation[FracWET])</f>
        <v>1</v>
      </c>
      <c r="I25" s="26" cm="1">
        <f t="array" ref="I25">AgResidue_Equations_Leaching.VEERG_6_3_1_1__2__MassOfNitrogenLostThroughLeachingAndRunoff(E25,H25,$J$15)</f>
        <v>1.7814239999999999E-2</v>
      </c>
      <c r="N25" s="26"/>
      <c r="O25" s="26">
        <f>'6.2.1.1-2 Pasture residue N2O'!$O$21</f>
        <v>7.4226E-2</v>
      </c>
      <c r="P25" s="26"/>
      <c r="Q25" s="26"/>
      <c r="R25" s="26"/>
      <c r="S25" s="26"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39"/>
      <c r="D27" s="239"/>
      <c r="E27" s="239"/>
      <c r="F27" s="239"/>
      <c r="G27" s="239"/>
      <c r="H27" s="239"/>
      <c r="I27" s="239"/>
      <c r="J27" s="239"/>
      <c r="K27" s="239"/>
      <c r="M27" s="239"/>
      <c r="N27" s="239"/>
      <c r="O27" s="239"/>
      <c r="P27" s="239"/>
      <c r="Q27" s="239"/>
      <c r="R27" s="239"/>
      <c r="S27" s="239"/>
      <c r="T27" s="239"/>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0"/>
      <c r="G28" s="8"/>
      <c r="H28" s="8"/>
      <c r="I28" s="8"/>
      <c r="J28" s="8"/>
      <c r="K28" s="8"/>
    </row>
    <row r="29" spans="1:20" ht="20.100000000000001" customHeight="1" x14ac:dyDescent="0.25">
      <c r="A29" s="5" t="str">
        <f>HYPERLINK("#'5.5.1.1-2 Leaching and runoff'!A1", "5.5.1.1-2 Leaching &amp; runoff")</f>
        <v>5.5.1.1-2 Leaching &amp; runoff</v>
      </c>
      <c r="C29" s="8"/>
      <c r="D29" s="28"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4" t="s">
        <v>257</v>
      </c>
      <c r="E30" s="104"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5"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8"/>
      <c r="G32" s="8"/>
      <c r="H32" s="8"/>
      <c r="I32" s="8"/>
      <c r="J32" s="8"/>
      <c r="K32" s="8"/>
    </row>
    <row r="33" spans="1:17" ht="20.100000000000001" customHeight="1" x14ac:dyDescent="0.25">
      <c r="A33" s="5" t="str">
        <f>HYPERLINK("#'8.2.1.1-2 Stationary fuel'!A1", "8.2.1.1-2 Stationary fuel")</f>
        <v>8.2.1.1-2 Stationary fuel</v>
      </c>
      <c r="C33" s="8"/>
      <c r="D33" s="12" t="s">
        <v>259</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133</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6" t="str" cm="1">
        <f t="array" ref="D36:E40">_xlfn.CHOOSECOLS(AgResidue_Equations_Leaching.VEERG_6_3_1_1__1__LeachingAndRunoffEmissionsCropAndPastureResidue_Arguments(),1,2)</f>
        <v>M_leachcp</v>
      </c>
      <c r="E36" s="107" t="str">
        <v>mass of nitrogen lost through leaching and runoff from the crop residue c or pasture residue p</v>
      </c>
      <c r="F36" s="108"/>
      <c r="G36" s="109"/>
      <c r="H36" s="106" t="str" cm="1">
        <f t="array" ref="H36:I40">_xlfn.CHOOSECOLS(AgResidue_Equations_Leaching.VEERG_6_3_1_1__1__LeachingAndRunoffEmissionsCropAndPastureResidue_Arguments(),3,4)</f>
        <v>kg N</v>
      </c>
      <c r="I36" s="111" t="str">
        <v>Calculated from 6.3.1.1 (2)</v>
      </c>
      <c r="J36" s="106" t="str" cm="1">
        <f t="array" aca="1" ref="J36" ca="1">HYPERLINK(Common_InputFunctions.Utility_SourceHyperlink($D$21), $D$21)</f>
        <v>M1_Table_M_leach_cp</v>
      </c>
      <c r="K36" s="8"/>
    </row>
    <row r="37" spans="1:17" ht="20.100000000000001" customHeight="1" x14ac:dyDescent="0.25">
      <c r="A37" s="250" t="s">
        <v>1</v>
      </c>
      <c r="C37" s="8"/>
      <c r="D37" s="106" t="str">
        <v>EF_leach</v>
      </c>
      <c r="E37" s="107" t="str">
        <v>emission factor for leaching and runoff</v>
      </c>
      <c r="F37" s="108"/>
      <c r="G37" s="109"/>
      <c r="H37" s="106" t="str">
        <v>kg N2O-N/kg N</v>
      </c>
      <c r="I37" s="111" t="str">
        <v>Constant</v>
      </c>
      <c r="J37" s="106">
        <f>'Constants - Common'!$E$170</f>
        <v>1.0999999999999999E-2</v>
      </c>
      <c r="K37" s="8"/>
    </row>
    <row r="38" spans="1:17" ht="20.100000000000001" customHeight="1" x14ac:dyDescent="0.25">
      <c r="A38" s="5" t="str">
        <f>HYPERLINK("#'Constants - Pasture Beef'!A1", "Constants - Pasture Beef")</f>
        <v>Constants - Pasture Beef</v>
      </c>
      <c r="C38" s="8"/>
      <c r="D38" s="106" t="str">
        <v>C_N2O</v>
      </c>
      <c r="E38" s="107" t="str">
        <v>factor to convert elemental mass of nitrous oxide to molecular mass</v>
      </c>
      <c r="F38" s="108"/>
      <c r="G38" s="109"/>
      <c r="H38" s="106" t="str">
        <v>dimensionless</v>
      </c>
      <c r="I38" s="111" t="str">
        <v>Constant</v>
      </c>
      <c r="J38" s="106">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6" t="str">
        <v>c</v>
      </c>
      <c r="E39" s="107" t="str">
        <v>Crop residue type</v>
      </c>
      <c r="F39" s="108"/>
      <c r="G39" s="109"/>
      <c r="H39" s="106" t="str">
        <v/>
      </c>
      <c r="I39" s="110" t="str">
        <v>Input</v>
      </c>
      <c r="J39" s="106" t="s">
        <v>144</v>
      </c>
      <c r="K39" s="8"/>
    </row>
    <row r="40" spans="1:17" ht="20.100000000000001" customHeight="1" x14ac:dyDescent="0.25">
      <c r="A40" s="5" t="str">
        <f>HYPERLINK("#'Constants - Common Livestock'!A1", "Constants - Common Livestock")</f>
        <v>Constants - Common Livestock</v>
      </c>
      <c r="C40" s="8"/>
      <c r="D40" s="106" t="str">
        <v>p</v>
      </c>
      <c r="E40" s="107" t="str">
        <v>Pasture residue type</v>
      </c>
      <c r="F40" s="108"/>
      <c r="G40" s="109"/>
      <c r="H40" s="106" t="str">
        <v/>
      </c>
      <c r="I40" s="110" t="str">
        <v>Input</v>
      </c>
      <c r="J40" s="106"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3" t="s">
        <v>559</v>
      </c>
      <c r="E42" s="8"/>
      <c r="F42" s="8"/>
      <c r="G42" s="8"/>
      <c r="H42" s="8"/>
      <c r="I42" s="8"/>
      <c r="J42" s="8"/>
      <c r="K42" s="8"/>
      <c r="N42" s="113" t="s">
        <v>559</v>
      </c>
      <c r="O42" s="8"/>
      <c r="P42" s="8"/>
      <c r="Q42" s="8"/>
    </row>
    <row r="43" spans="1:17" ht="20.100000000000001" customHeight="1" x14ac:dyDescent="0.25">
      <c r="A43" s="5" t="str">
        <f>HYPERLINK("#'Constants - Fuel'!A1", "Constants - Fuel")</f>
        <v>Constants - Fuel</v>
      </c>
      <c r="C43" s="8"/>
      <c r="D43" s="114" t="s">
        <v>824</v>
      </c>
      <c r="E43" s="8"/>
      <c r="F43" s="8"/>
      <c r="G43" s="8"/>
      <c r="H43" s="8"/>
      <c r="I43" s="8"/>
      <c r="J43" s="8"/>
      <c r="K43" s="8"/>
      <c r="N43" s="114" t="s">
        <v>824</v>
      </c>
      <c r="O43" s="8"/>
      <c r="P43" s="8"/>
      <c r="Q43" s="8"/>
    </row>
    <row r="44" spans="1:17" ht="20.100000000000001" customHeight="1" x14ac:dyDescent="0.25">
      <c r="A44" s="5" t="str">
        <f>HYPERLINK("#'Constants - Common'!A1", "Constants - Common")</f>
        <v>Constants - Common</v>
      </c>
      <c r="C44" s="8"/>
      <c r="D44" s="115" t="s">
        <v>823</v>
      </c>
      <c r="E44" s="115" t="s">
        <v>825</v>
      </c>
      <c r="F44" s="8"/>
      <c r="G44" s="8"/>
      <c r="H44" s="8"/>
      <c r="I44" s="8"/>
      <c r="J44" s="8"/>
      <c r="K44" s="8"/>
      <c r="N44" s="115" t="s">
        <v>823</v>
      </c>
      <c r="O44" s="115" t="s">
        <v>825</v>
      </c>
      <c r="P44" s="8"/>
      <c r="Q44" s="8"/>
    </row>
    <row r="45" spans="1:17" ht="20.100000000000001" customHeight="1" x14ac:dyDescent="0.25">
      <c r="A45" s="5" t="str">
        <f>HYPERLINK("#'Acknowledgements'!A1", "Acknowledgements")</f>
        <v>Acknowledgements</v>
      </c>
      <c r="C45" s="8"/>
      <c r="D45" s="26" t="str">
        <f>I24</f>
        <v>N/A</v>
      </c>
      <c r="E45" s="26" t="s">
        <v>144</v>
      </c>
      <c r="F45" s="8"/>
      <c r="G45" s="8"/>
      <c r="H45" s="8"/>
      <c r="I45" s="8"/>
      <c r="J45" s="8"/>
      <c r="K45" s="8"/>
      <c r="N45" s="26" t="str">
        <f>S24</f>
        <v>N/A</v>
      </c>
      <c r="O45" s="26" t="s">
        <v>144</v>
      </c>
      <c r="P45" s="8"/>
      <c r="Q45" s="8"/>
    </row>
    <row r="46" spans="1:17" ht="20.100000000000001" customHeight="1" x14ac:dyDescent="0.25">
      <c r="A46" s="5" t="str">
        <f>HYPERLINK("#'Overview'!A1", "Overview")</f>
        <v>Overview</v>
      </c>
      <c r="C46" s="8"/>
      <c r="D46" s="26">
        <f>I25</f>
        <v>1.7814239999999999E-2</v>
      </c>
      <c r="E46" s="26" cm="1">
        <f t="array" ref="E46">AgResidue_Equations_Leaching.VEERG_6_3_1_1__1__LeachingAndRunoffEmissionsCropAndPastureResidue(D46,$J$37,$J$38)</f>
        <v>3.0793186285714277E-7</v>
      </c>
      <c r="F46" s="8"/>
      <c r="G46" s="8"/>
      <c r="H46" s="8"/>
      <c r="I46" s="8"/>
      <c r="J46" s="8"/>
      <c r="K46" s="8"/>
      <c r="N46" s="26">
        <f>S25</f>
        <v>1.7814239999999999E-2</v>
      </c>
      <c r="O46" s="26"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1" t="s">
        <v>826</v>
      </c>
      <c r="E48" s="242">
        <f>SUM(E45:E46)</f>
        <v>3.0793186285714277E-7</v>
      </c>
      <c r="F48" s="120" t="str">
        <f>$E$34</f>
        <v>t N2O</v>
      </c>
      <c r="G48" s="8"/>
      <c r="H48" s="8"/>
      <c r="I48" s="8"/>
      <c r="J48" s="8"/>
      <c r="K48" s="8"/>
      <c r="N48" s="241" t="s">
        <v>826</v>
      </c>
      <c r="O48" s="242">
        <f>SUM(O45:O46)</f>
        <v>3.0793186285714277E-7</v>
      </c>
      <c r="P48" s="120" t="str">
        <f>$E$34</f>
        <v>t N2O</v>
      </c>
      <c r="Q48" s="8"/>
    </row>
    <row r="49" spans="4:17" ht="20.100000000000001" customHeight="1" x14ac:dyDescent="0.25">
      <c r="D49" s="8"/>
      <c r="E49" s="8"/>
      <c r="F49" s="8"/>
      <c r="G49" s="8"/>
      <c r="N49" s="8"/>
      <c r="O49" s="8"/>
      <c r="P49" s="8"/>
      <c r="Q49" s="8"/>
    </row>
    <row r="50" spans="4:17" ht="20.100000000000001" customHeight="1" x14ac:dyDescent="0.25">
      <c r="D50" s="121" t="str" cm="1">
        <f t="array" ref="D50:E51">Common_Equations.Common_ConvertN2OToCO2e_Arguments()</f>
        <v>EN2O</v>
      </c>
      <c r="E50" s="122" t="str">
        <v>Nitrous oxide emissions (t N2O)</v>
      </c>
      <c r="F50" s="123"/>
      <c r="G50" s="26">
        <f>E48</f>
        <v>3.0793186285714277E-7</v>
      </c>
      <c r="N50" s="121" t="str" cm="1">
        <f t="array" ref="N50:O51">Common_Equations.Common_ConvertN2OToCO2e_Arguments()</f>
        <v>EN2O</v>
      </c>
      <c r="O50" s="122" t="str">
        <v>Nitrous oxide emissions (t N2O)</v>
      </c>
      <c r="P50" s="123"/>
      <c r="Q50" s="26">
        <f>O48</f>
        <v>3.0793186285714277E-7</v>
      </c>
    </row>
    <row r="51" spans="4:17" ht="20.100000000000001" customHeight="1" x14ac:dyDescent="0.25">
      <c r="D51" s="121" t="str">
        <v>GWPN2O</v>
      </c>
      <c r="E51" s="122" t="str">
        <v>Global warming potential for nitrous oxide (t CO2-e / t N2O)</v>
      </c>
      <c r="F51" s="123"/>
      <c r="G51" s="26">
        <f>Common_InputFunctions.Utility_LookupValueInTableNumber("N2O",Table_GWPData[Gas],Table_GWPData[CO2-e factor])</f>
        <v>265</v>
      </c>
      <c r="H51" s="8"/>
      <c r="I51" s="8"/>
      <c r="N51" s="121" t="str">
        <v>GWPN2O</v>
      </c>
      <c r="O51" s="122" t="str">
        <v>Global warming potential for nitrous oxide (t CO2-e / t N2O)</v>
      </c>
      <c r="P51" s="123"/>
      <c r="Q51" s="26">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7" t="s">
        <v>297</v>
      </c>
      <c r="E53" s="117" cm="1">
        <f t="array" ref="E53">Common_Equations.Common_ConvertN2OToCO2e(G50,G51)</f>
        <v>8.1601943657142831E-5</v>
      </c>
      <c r="F53" s="124" t="str" cm="1">
        <f t="array" ref="F53">Common_Equations.Common_ConvertN2OToCO2e_Unit()</f>
        <v>t CO2e</v>
      </c>
      <c r="I53" s="8"/>
      <c r="N53" s="117" t="s">
        <v>297</v>
      </c>
      <c r="O53" s="117" cm="1">
        <f t="array" ref="O53">Common_Equations.Common_ConvertN2OToCO2e(Q50,Q51)</f>
        <v>8.1601943657142831E-5</v>
      </c>
      <c r="P53" s="124"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119D2-D2BE-4401-A2DA-C0ED2E094F56}">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2" customFormat="1" ht="30" customHeight="1" x14ac:dyDescent="0.35">
      <c r="A1" s="16" t="e" vm="1">
        <v>#VALUE!</v>
      </c>
      <c r="C1" s="32" t="s">
        <v>719</v>
      </c>
    </row>
    <row r="2" spans="1:18" s="3" customFormat="1" ht="20.100000000000001" customHeight="1" x14ac:dyDescent="0.25">
      <c r="A2"/>
    </row>
    <row r="3" spans="1:18" ht="20.100000000000001" customHeight="1" x14ac:dyDescent="0.25">
      <c r="A3" s="5" t="str">
        <f>HYPERLINK("#'Home'!A1", "Home")</f>
        <v>Home</v>
      </c>
      <c r="C3" s="34"/>
      <c r="D3" s="34" t="s">
        <v>152</v>
      </c>
      <c r="E3" s="34"/>
      <c r="F3" s="34"/>
      <c r="G3" s="34"/>
      <c r="H3" s="34"/>
      <c r="I3" s="34"/>
      <c r="J3" s="34"/>
      <c r="K3" s="34"/>
      <c r="L3" s="34"/>
      <c r="M3" s="34"/>
      <c r="N3" s="34"/>
      <c r="O3" s="34"/>
      <c r="P3" s="34"/>
      <c r="Q3" s="34"/>
      <c r="R3" s="34"/>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6"/>
      <c r="P5" s="176"/>
      <c r="Q5" s="176"/>
    </row>
    <row r="6" spans="1:18" ht="20.100000000000001" customHeight="1" x14ac:dyDescent="0.25">
      <c r="D6" s="28" t="str" cm="1">
        <f t="array" ref="D6">Fuel_Equations.VEERG_8_1_1_1__1_FuelCombustionTransport_Source()</f>
        <v>VEERG 2026: 8.1.1.1, Equation (1)</v>
      </c>
      <c r="K6" s="28" t="str" cm="1">
        <f t="array" ref="K6">Scope3_Equations.VEERG_15_11_1_1__2_UpstreamTransportFuelEmissions_Source()</f>
        <v>VEERG 2026: 15.11.1.1, Equation (2)</v>
      </c>
      <c r="O6" s="176"/>
      <c r="P6" s="176"/>
      <c r="Q6" s="176"/>
    </row>
    <row r="7" spans="1:18" ht="20.100000000000001" customHeight="1" x14ac:dyDescent="0.25">
      <c r="A7" s="7" t="s">
        <v>0</v>
      </c>
      <c r="D7" s="104" t="s">
        <v>257</v>
      </c>
      <c r="E7" s="104" t="str" cm="1">
        <f t="array" aca="1" ref="E7" ca="1">Common_InputFunctions.Utility_DisplayFunctionName(N25)</f>
        <v>=Fuel_Equations.VEERG_8_1_1_1__1_FuelCombustionTransport</v>
      </c>
      <c r="K7" s="104" t="s">
        <v>257</v>
      </c>
      <c r="L7" s="104" t="str" cm="1">
        <f t="array" aca="1" ref="L7" ca="1">Common_InputFunctions.Utility_DisplayFunctionName(Q25)</f>
        <v>=Scope3_Equations.VEERG_15_11_1_1__2_UpstreamTransportFuelEmissions</v>
      </c>
      <c r="O7" s="176"/>
      <c r="P7" s="176"/>
      <c r="Q7" s="176"/>
    </row>
    <row r="8" spans="1:18" ht="20.100000000000001" customHeight="1" x14ac:dyDescent="0.25">
      <c r="A8" s="5" t="str">
        <f>HYPERLINK("#'Input - Enterprise'!A1", "Enterprise")</f>
        <v>Enterprise</v>
      </c>
      <c r="E8" s="104"/>
      <c r="L8" s="104"/>
      <c r="O8" s="176"/>
      <c r="P8" s="176"/>
      <c r="Q8" s="176"/>
    </row>
    <row r="9" spans="1:18" ht="20.100000000000001" customHeight="1" x14ac:dyDescent="0.25">
      <c r="A9" s="5" t="str">
        <f>HYPERLINK("#'Input - Site'!A1", "Site")</f>
        <v>Site</v>
      </c>
      <c r="G9" s="28"/>
      <c r="O9" s="176"/>
      <c r="P9" s="176"/>
      <c r="Q9" s="176"/>
    </row>
    <row r="10" spans="1:18" ht="20.100000000000001" customHeight="1" x14ac:dyDescent="0.25">
      <c r="A10" s="5" t="str">
        <f>HYPERLINK("#'Input - Pasture Beef'!A1", "Pasture Beef")</f>
        <v>Pasture Beef</v>
      </c>
      <c r="O10" s="176"/>
      <c r="P10" s="176"/>
      <c r="Q10" s="176"/>
    </row>
    <row r="11" spans="1:18" ht="20.100000000000001" customHeight="1" x14ac:dyDescent="0.25">
      <c r="A11" s="5" t="str">
        <f>HYPERLINK("#'Input - Pasture Beef (Enteric)'!A1", "Pasture Beef (Enteric)")</f>
        <v>Pasture Beef (Enteric)</v>
      </c>
      <c r="D11" s="89" t="s">
        <v>259</v>
      </c>
      <c r="E11" s="1" t="str" cm="1">
        <f t="array" ref="E11">Fuel_Equations.VEERG_8_1_1_1__1_FuelCombustionTransport_Variable()</f>
        <v>E_g</v>
      </c>
      <c r="K11" s="89" t="s">
        <v>259</v>
      </c>
      <c r="L11" s="1" t="str" cm="1">
        <f t="array" ref="L11">Scope3_Equations.VEERG_15_11_1_1__2_UpstreamTransportFuelEmissions_Variable()</f>
        <v>E_WTTtransq</v>
      </c>
      <c r="O11" s="176"/>
      <c r="P11" s="176"/>
      <c r="Q11" s="176"/>
    </row>
    <row r="12" spans="1:18" ht="20.100000000000001" customHeight="1" x14ac:dyDescent="0.25">
      <c r="A12" s="5" t="str">
        <f>HYPERLINK("#'Input - Pasture'!A1", "Pasture")</f>
        <v>Pasture</v>
      </c>
      <c r="D12" s="89" t="s">
        <v>133</v>
      </c>
      <c r="E12" s="15" t="str" cm="1">
        <f t="array" ref="E12">Fuel_Equations.VEERG_8_1_1_1__1_FuelCombustionTransport_Unit()</f>
        <v>t CO2-e</v>
      </c>
      <c r="K12" s="89" t="s">
        <v>133</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6" t="str" cm="1">
        <f t="array" ref="D14:E20">_xlfn.CHOOSECOLS(Fuel_Equations.VEERG_8_1_1_1__1_FuelCombustionTransport_Arguments(), 1,2)</f>
        <v>Q_Transtq</v>
      </c>
      <c r="E14" s="107" t="str">
        <v>Amount of fuel type q combusted for transport energy purposes</v>
      </c>
      <c r="F14" s="109"/>
      <c r="G14" s="106" t="str" cm="1">
        <f t="array" ref="G14:H20">_xlfn.CHOOSECOLS(Fuel_Equations.VEERG_8_1_1_1__1_FuelCombustionTransport_Arguments(), 3,4)</f>
        <v>Varies based on fuel type: kL, m3, GJ</v>
      </c>
      <c r="H14" s="110" t="str">
        <v>Input</v>
      </c>
      <c r="I14" s="112" t="str" cm="1">
        <f t="array" aca="1" ref="I14" ca="1">HYPERLINK(Common_InputFunctions.Utility_SourceHyperlink($D$22), $D$22)</f>
        <v>Table_E_g</v>
      </c>
      <c r="K14" s="106" t="str" cm="1">
        <f t="array" ref="K14:L16">_xlfn.CHOOSECOLS(Scope3_Equations.VEERG_15_11_1_1__2_UpstreamTransportFuelEmissions_Arguments(),1,2)</f>
        <v>Q_Transq</v>
      </c>
      <c r="L14" s="106" t="str">
        <v>amount of fuel q combusted for transport energy purposes</v>
      </c>
      <c r="M14" s="106"/>
      <c r="N14" s="106" t="str" cm="1">
        <f t="array" ref="N14:O16">_xlfn.CHOOSECOLS(Scope3_Equations.VEERG_15_11_1_1__2_UpstreamTransportFuelEmissions_Arguments(),3,4)</f>
        <v>kL</v>
      </c>
      <c r="O14" s="110" t="str">
        <v>Input</v>
      </c>
      <c r="P14" s="112" t="str" cm="1">
        <f t="array" aca="1" ref="P14" ca="1">HYPERLINK(Common_InputFunctions.Utility_SourceHyperlink($D$22), $D$22)</f>
        <v>Table_E_g</v>
      </c>
      <c r="Q14" s="176"/>
    </row>
    <row r="15" spans="1:18" ht="20.100000000000001" customHeight="1" x14ac:dyDescent="0.25">
      <c r="A15" s="5" t="str">
        <f>HYPERLINK("#'Input - Electricity'!A1", "Electricity")</f>
        <v>Electricity</v>
      </c>
      <c r="D15" s="106" t="str">
        <v>EC_Transq</v>
      </c>
      <c r="E15" s="107" t="str">
        <v>Energy content factor for transport energy purposes</v>
      </c>
      <c r="F15" s="109"/>
      <c r="G15" s="106" t="str">
        <v>GJ / unit of fuel</v>
      </c>
      <c r="H15" s="111" t="str">
        <v>Constant</v>
      </c>
      <c r="I15" s="112" t="str" cm="1">
        <f t="array" aca="1" ref="I15" ca="1">HYPERLINK(Common_InputFunctions.Utility_SourceHyperlink($D$22), $D$22)</f>
        <v>Table_E_g</v>
      </c>
      <c r="K15" s="106" t="str">
        <v>EC_Transq</v>
      </c>
      <c r="L15" s="106" t="str">
        <v>energy content factor for transport energy purposes</v>
      </c>
      <c r="M15" s="106"/>
      <c r="N15" s="106" t="str">
        <v>GJ/kL or GJ/m3</v>
      </c>
      <c r="O15" s="111" t="str">
        <v>Constant</v>
      </c>
      <c r="P15" s="112" t="str" cm="1">
        <f t="array" aca="1" ref="P15" ca="1">HYPERLINK(Common_InputFunctions.Utility_SourceHyperlink($D$22), $D$22)</f>
        <v>Table_E_g</v>
      </c>
      <c r="Q15" s="176"/>
    </row>
    <row r="16" spans="1:18" ht="20.100000000000001" customHeight="1" x14ac:dyDescent="0.25">
      <c r="D16" s="106" t="str">
        <v>EF_Trans1tqg</v>
      </c>
      <c r="E16" s="107" t="str">
        <v>Scope 1 emission factor for transport energy purposes for each greenhouse gas</v>
      </c>
      <c r="F16" s="109"/>
      <c r="G16" s="106" t="str">
        <v>kg CO2e / GJ</v>
      </c>
      <c r="H16" s="111" t="str">
        <v>Constant</v>
      </c>
      <c r="I16" s="112" t="str" cm="1">
        <f t="array" aca="1" ref="I16" ca="1">HYPERLINK(Common_InputFunctions.Utility_SourceHyperlink($D$22), $D$22)</f>
        <v>Table_E_g</v>
      </c>
      <c r="K16" s="106" t="str">
        <v>EF_Trans3q</v>
      </c>
      <c r="L16" s="106" t="str">
        <v>scope 3 emission factor for transport energy purposes</v>
      </c>
      <c r="M16" s="106"/>
      <c r="N16" s="106" t="str">
        <v>kg CO2e/GJ</v>
      </c>
      <c r="O16" s="111" t="str">
        <v>Constant</v>
      </c>
      <c r="P16" s="112" t="str" cm="1">
        <f t="array" aca="1" ref="P16" ca="1">HYPERLINK(Common_InputFunctions.Utility_SourceHyperlink($D$22), $D$22)</f>
        <v>Table_E_g</v>
      </c>
      <c r="Q16" s="176"/>
    </row>
    <row r="17" spans="1:17" ht="20.100000000000001" customHeight="1" x14ac:dyDescent="0.25">
      <c r="D17" s="106" t="str">
        <v>q</v>
      </c>
      <c r="E17" s="107" t="str">
        <v>Fuel type</v>
      </c>
      <c r="F17" s="109"/>
      <c r="G17" s="106" t="str">
        <v/>
      </c>
      <c r="H17" s="111" t="str">
        <v>Constant</v>
      </c>
      <c r="I17" s="112"/>
      <c r="J17" s="176"/>
      <c r="P17" s="176"/>
      <c r="Q17" s="176"/>
    </row>
    <row r="18" spans="1:17" ht="20.100000000000001" customHeight="1" x14ac:dyDescent="0.25">
      <c r="A18" s="6" t="s">
        <v>2</v>
      </c>
      <c r="D18" s="106" t="str">
        <v>Trans</v>
      </c>
      <c r="E18" s="107" t="str">
        <v>Transport combustion</v>
      </c>
      <c r="F18" s="109"/>
      <c r="G18" s="106" t="str">
        <v/>
      </c>
      <c r="H18" s="111" t="str">
        <v>Constant</v>
      </c>
      <c r="I18" s="112"/>
      <c r="J18" s="176"/>
      <c r="L18" s="176"/>
      <c r="M18" s="176"/>
      <c r="N18" s="176"/>
      <c r="O18" s="176"/>
      <c r="P18" s="176"/>
      <c r="Q18" s="176"/>
    </row>
    <row r="19" spans="1:17" ht="20.100000000000001" customHeight="1" x14ac:dyDescent="0.25">
      <c r="A19" s="5" t="str">
        <f>HYPERLINK("#'3.2.1.1-2 Enteric Methane'!A1", "3.2.1.1-2 Enteric methane")</f>
        <v>3.2.1.1-2 Enteric methane</v>
      </c>
      <c r="D19" s="106" t="str">
        <v>g</v>
      </c>
      <c r="E19" s="107" t="str">
        <v>Greenhouse gas</v>
      </c>
      <c r="F19" s="109"/>
      <c r="G19" s="106" t="str">
        <v/>
      </c>
      <c r="H19" s="111" t="str">
        <v>Constant</v>
      </c>
      <c r="I19" s="112"/>
      <c r="J19" s="176"/>
      <c r="L19" s="176"/>
      <c r="M19" s="176"/>
      <c r="N19" s="176"/>
      <c r="O19" s="176"/>
      <c r="P19" s="176"/>
      <c r="Q19" s="176"/>
    </row>
    <row r="20" spans="1:17" ht="20.100000000000001" customHeight="1" x14ac:dyDescent="0.25">
      <c r="A20" s="5" t="str">
        <f>HYPERLINK("#'4.2.1.1-2 Methane'!A1", "4.2.1.1-2 Manure methane")</f>
        <v>4.2.1.1-2 Manure methane</v>
      </c>
      <c r="D20" s="106" t="str">
        <v>1</v>
      </c>
      <c r="E20" s="107" t="str">
        <v>Scope 1</v>
      </c>
      <c r="F20" s="109"/>
      <c r="G20" s="106" t="str">
        <v/>
      </c>
      <c r="H20" s="111" t="str">
        <v>Constant</v>
      </c>
      <c r="I20" s="112"/>
      <c r="J20" s="176"/>
      <c r="L20" s="176"/>
      <c r="M20" s="176"/>
      <c r="N20" s="176"/>
      <c r="O20" s="176"/>
      <c r="P20" s="176"/>
      <c r="Q20" s="176"/>
    </row>
    <row r="21" spans="1:17" ht="20.100000000000001" customHeight="1" x14ac:dyDescent="0.25">
      <c r="A21" s="5" t="str">
        <f>HYPERLINK("#'4.2.1.3-4 Soil direct N20'!A1", "4.2.1.3-4 Soil direct N2O")</f>
        <v>4.2.1.3-4 Soil direct N2O</v>
      </c>
      <c r="O21" s="176"/>
      <c r="P21" s="176"/>
      <c r="Q21" s="176"/>
    </row>
    <row r="22" spans="1:17" ht="20.100000000000001" customHeight="1" x14ac:dyDescent="0.25">
      <c r="A22" s="5" t="str">
        <f>HYPERLINK("#'4.2.1.5-6 Soil Atmos Dep'!A1", "4.2.1.5-6 Soil atm. deposition")</f>
        <v>4.2.1.5-6 Soil atm. deposition</v>
      </c>
      <c r="D22" s="113" t="s">
        <v>720</v>
      </c>
    </row>
    <row r="23" spans="1:17" ht="20.100000000000001" customHeight="1" x14ac:dyDescent="0.25">
      <c r="A23" s="5" t="str">
        <f>HYPERLINK("#'4.2.1.7-8 Soil leach runoff'!A1", "4.2.1.7-8 Soil leach &amp; runoff")</f>
        <v>4.2.1.7-8 Soil leach &amp; runoff</v>
      </c>
      <c r="D23" s="114" t="s">
        <v>721</v>
      </c>
    </row>
    <row r="24" spans="1:17" ht="20.100000000000001" customHeight="1" x14ac:dyDescent="0.25">
      <c r="A24" s="5" t="str">
        <f>HYPERLINK("#'5.1.1.1-2 Inorganic fert N2O'!A1", "5.1.1.1-2 Inorganic fert N2O")</f>
        <v>5.1.1.1-2 Inorganic fert N2O</v>
      </c>
      <c r="D24" s="115" t="s">
        <v>722</v>
      </c>
      <c r="E24" s="115" t="s">
        <v>723</v>
      </c>
      <c r="F24" s="115" t="s">
        <v>724</v>
      </c>
      <c r="G24" s="115" t="s">
        <v>725</v>
      </c>
      <c r="H24" s="115" t="s">
        <v>726</v>
      </c>
      <c r="I24" s="115" t="s">
        <v>727</v>
      </c>
      <c r="J24" s="115" t="s">
        <v>728</v>
      </c>
      <c r="K24" s="115" t="s">
        <v>729</v>
      </c>
      <c r="L24" s="116" t="s">
        <v>730</v>
      </c>
      <c r="M24" s="115" t="s">
        <v>731</v>
      </c>
      <c r="N24" s="115" t="s">
        <v>732</v>
      </c>
      <c r="O24" s="115" t="s">
        <v>733</v>
      </c>
      <c r="P24" s="115" t="s">
        <v>734</v>
      </c>
      <c r="Q24" s="115" t="s">
        <v>735</v>
      </c>
    </row>
    <row r="25" spans="1:17" ht="20.100000000000001" customHeight="1" x14ac:dyDescent="0.25">
      <c r="A25" s="5" t="str">
        <f>HYPERLINK("#'5.1.1.3-4 Inorganic fert CO2'!A1", "5.1.1.3-4 Inorganic fert CO2")</f>
        <v>5.1.1.3-4 Inorganic fert CO2</v>
      </c>
      <c r="D25" s="36" t="str">
        <f>Table_FuelTypesPerUse[[#Headers],[Cars and light commercial vehicles]]</f>
        <v>Cars and light commercial vehicles</v>
      </c>
      <c r="E25" s="200" t="str">
        <f>'Constants - Fuel'!$E$10</f>
        <v>Gasoline</v>
      </c>
      <c r="F25" s="200" t="str">
        <f>'Constants - Fuel'!G131</f>
        <v>Petrol</v>
      </c>
      <c r="G25" s="26" cm="1">
        <f t="array" ref="G25">IFERROR(_xlfn.XLOOKUP(1, (Table_Fuel_EFs_Transport[Fuel combusted]=$E25)*(Table_Fuel_EFs_Transport[Transport type]=$D$25), Table_Fuel_EFs_Transport[Energy Content Factor (GJ per unit of fuel)]), 0)</f>
        <v>34.200000000000003</v>
      </c>
      <c r="H25" s="26" cm="1">
        <f t="array" ref="H25">IFERROR(_xlfn.XLOOKUP(1, (Table_Fuel_EFs_Transport[Fuel combusted]=$E25)*(Table_Fuel_EFs_Transport[Transport type]=$D$25), Table_Fuel_EFs_Transport[Scope 1 Emission Factor (kg CO2 - e / GJ) CO2]), 0)</f>
        <v>67.400000000000006</v>
      </c>
      <c r="I25" s="26" cm="1">
        <f t="array" ref="I25">IFERROR(_xlfn.XLOOKUP(1, (Table_Fuel_EFs_Transport[Fuel combusted]=$E25)*(Table_Fuel_EFs_Transport[Transport type]=$D$25), Table_Fuel_EFs_Transport[Scope 1 Emission Factor (kg CO2 - e / GJ) CH4]), 0)</f>
        <v>0.02</v>
      </c>
      <c r="J25" s="26" cm="1">
        <f t="array" ref="J25">IFERROR(_xlfn.XLOOKUP(1, (Table_Fuel_EFs_Transport[Fuel combusted]=$E25)*(Table_Fuel_EFs_Transport[Transport type]=$D$25), Table_Fuel_EFs_Transport[Scope 1 Emission Factor (kg CO2 - e / GJ) N2O]), 0)</f>
        <v>0.2</v>
      </c>
      <c r="K25" s="26"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201" cm="1">
        <f t="array" ref="N25">Fuel_Equations.VEERG_8_1_1_1__1_FuelCombustionTransport($L25,$G25,$H25)</f>
        <v>0</v>
      </c>
      <c r="O25" s="201" cm="1">
        <f t="array" ref="O25">Fuel_Equations.VEERG_8_1_1_1__1_FuelCombustionTransport($L25,$G25,$I25)</f>
        <v>0</v>
      </c>
      <c r="P25" s="201" cm="1">
        <f t="array" ref="P25">Fuel_Equations.VEERG_8_1_1_1__1_FuelCombustionTransport($L25,$G25,$J25)</f>
        <v>0</v>
      </c>
      <c r="Q25" s="201"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2" t="str">
        <f t="shared" ref="D26:D32" si="0">$D$25</f>
        <v>Cars and light commercial vehicles</v>
      </c>
      <c r="E26" s="200" t="str">
        <f>'Constants - Fuel'!$E$11</f>
        <v>Diesel oil</v>
      </c>
      <c r="F26" s="200" t="str">
        <f>'Constants - Fuel'!G132</f>
        <v>Diesel</v>
      </c>
      <c r="G26" s="26" cm="1">
        <f t="array" ref="G26">IFERROR(_xlfn.XLOOKUP(1, (Table_Fuel_EFs_Transport[Fuel combusted]=$E26)*(Table_Fuel_EFs_Transport[Transport type]=$D$25), Table_Fuel_EFs_Transport[Energy Content Factor (GJ per unit of fuel)]), 0)</f>
        <v>38.6</v>
      </c>
      <c r="H26" s="26" cm="1">
        <f t="array" ref="H26">IFERROR(_xlfn.XLOOKUP(1, (Table_Fuel_EFs_Transport[Fuel combusted]=$E26)*(Table_Fuel_EFs_Transport[Transport type]=$D$25), Table_Fuel_EFs_Transport[Scope 1 Emission Factor (kg CO2 - e / GJ) CO2]), 0)</f>
        <v>69.900000000000006</v>
      </c>
      <c r="I26" s="26" cm="1">
        <f t="array" ref="I26">IFERROR(_xlfn.XLOOKUP(1, (Table_Fuel_EFs_Transport[Fuel combusted]=$E26)*(Table_Fuel_EFs_Transport[Transport type]=$D$25), Table_Fuel_EFs_Transport[Scope 1 Emission Factor (kg CO2 - e / GJ) CH4]), 0)</f>
        <v>0.01</v>
      </c>
      <c r="J26" s="26" cm="1">
        <f t="array" ref="J26">IFERROR(_xlfn.XLOOKUP(1, (Table_Fuel_EFs_Transport[Fuel combusted]=$E26)*(Table_Fuel_EFs_Transport[Transport type]=$D$25), Table_Fuel_EFs_Transport[Scope 1 Emission Factor (kg CO2 - e / GJ) N2O]), 0)</f>
        <v>0.5</v>
      </c>
      <c r="K26" s="26"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201" cm="1">
        <f t="array" ref="N26">Fuel_Equations.VEERG_8_1_1_1__1_FuelCombustionTransport($L26,$G26,$H26)</f>
        <v>26.981400000000001</v>
      </c>
      <c r="O26" s="201" cm="1">
        <f t="array" ref="O26">Fuel_Equations.VEERG_8_1_1_1__1_FuelCombustionTransport($L26,$G26,$I26)</f>
        <v>3.8600000000000001E-3</v>
      </c>
      <c r="P26" s="201" cm="1">
        <f t="array" ref="P26">Fuel_Equations.VEERG_8_1_1_1__1_FuelCombustionTransport($L26,$G26,$J26)</f>
        <v>0.193</v>
      </c>
      <c r="Q26" s="201" cm="1">
        <f t="array" ref="Q26">Scope3_Equations.VEERG_15_11_1_1__2_UpstreamTransportFuelEmissions(L26,G26,K26)</f>
        <v>6.6778000000000004</v>
      </c>
    </row>
    <row r="27" spans="1:17" ht="20.100000000000001" customHeight="1" x14ac:dyDescent="0.25">
      <c r="A27" s="5" t="str">
        <f>HYPERLINK("#'5.3.1.1-2 Lime CO2'!A1", "5.3.1.1-2 Lime CO2")</f>
        <v>5.3.1.1-2 Lime CO2</v>
      </c>
      <c r="D27" s="202" t="str">
        <f t="shared" si="0"/>
        <v>Cars and light commercial vehicles</v>
      </c>
      <c r="E27" s="200" t="str">
        <f>'Constants - Fuel'!$E$12</f>
        <v>Liquefied petroleum gas (LPG)</v>
      </c>
      <c r="F27" s="200" t="str">
        <f>'Constants - Fuel'!G133</f>
        <v>Liquefied petroleum gas (LPG)</v>
      </c>
      <c r="G27" s="26" cm="1">
        <f t="array" ref="G27">IFERROR(_xlfn.XLOOKUP(1, (Table_Fuel_EFs_Transport[Fuel combusted]=$E27)*(Table_Fuel_EFs_Transport[Transport type]=$D$25), Table_Fuel_EFs_Transport[Energy Content Factor (GJ per unit of fuel)]), 0)</f>
        <v>26.2</v>
      </c>
      <c r="H27" s="26" cm="1">
        <f t="array" ref="H27">IFERROR(_xlfn.XLOOKUP(1, (Table_Fuel_EFs_Transport[Fuel combusted]=$E27)*(Table_Fuel_EFs_Transport[Transport type]=$D$25), Table_Fuel_EFs_Transport[Scope 1 Emission Factor (kg CO2 - e / GJ) CO2]), 0)</f>
        <v>60.2</v>
      </c>
      <c r="I27" s="26" cm="1">
        <f t="array" ref="I27">IFERROR(_xlfn.XLOOKUP(1, (Table_Fuel_EFs_Transport[Fuel combusted]=$E27)*(Table_Fuel_EFs_Transport[Transport type]=$D$25), Table_Fuel_EFs_Transport[Scope 1 Emission Factor (kg CO2 - e / GJ) CH4]), 0)</f>
        <v>0.5</v>
      </c>
      <c r="J27" s="26" cm="1">
        <f t="array" ref="J27">IFERROR(_xlfn.XLOOKUP(1, (Table_Fuel_EFs_Transport[Fuel combusted]=$E27)*(Table_Fuel_EFs_Transport[Transport type]=$D$25), Table_Fuel_EFs_Transport[Scope 1 Emission Factor (kg CO2 - e / GJ) N2O]), 0)</f>
        <v>0.3</v>
      </c>
      <c r="K27" s="26"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201" cm="1">
        <f t="array" ref="N27">Fuel_Equations.VEERG_8_1_1_1__1_FuelCombustionTransport($L27,$G27,$H27)</f>
        <v>0</v>
      </c>
      <c r="O27" s="201" cm="1">
        <f t="array" ref="O27">Fuel_Equations.VEERG_8_1_1_1__1_FuelCombustionTransport($L27,$G27,$I27)</f>
        <v>0</v>
      </c>
      <c r="P27" s="201" cm="1">
        <f t="array" ref="P27">Fuel_Equations.VEERG_8_1_1_1__1_FuelCombustionTransport($L27,$G27,$J27)</f>
        <v>0</v>
      </c>
      <c r="Q27" s="201"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2" t="str">
        <f t="shared" si="0"/>
        <v>Cars and light commercial vehicles</v>
      </c>
      <c r="E28" s="200" t="str">
        <f>'Constants - Fuel'!$E$13</f>
        <v>Fuel oil</v>
      </c>
      <c r="F28" s="200" t="str">
        <f>'Constants - Fuel'!G134</f>
        <v>Fuel oil</v>
      </c>
      <c r="G28" s="26" cm="1">
        <f t="array" ref="G28">IFERROR(_xlfn.XLOOKUP(1, (Table_Fuel_EFs_Transport[Fuel combusted]=$E28)*(Table_Fuel_EFs_Transport[Transport type]=$D$25), Table_Fuel_EFs_Transport[Energy Content Factor (GJ per unit of fuel)]), 0)</f>
        <v>39.700000000000003</v>
      </c>
      <c r="H28" s="26" cm="1">
        <f t="array" ref="H28">IFERROR(_xlfn.XLOOKUP(1, (Table_Fuel_EFs_Transport[Fuel combusted]=$E28)*(Table_Fuel_EFs_Transport[Transport type]=$D$25), Table_Fuel_EFs_Transport[Scope 1 Emission Factor (kg CO2 - e / GJ) CO2]), 0)</f>
        <v>73.599999999999994</v>
      </c>
      <c r="I28" s="26" cm="1">
        <f t="array" ref="I28">IFERROR(_xlfn.XLOOKUP(1, (Table_Fuel_EFs_Transport[Fuel combusted]=$E28)*(Table_Fuel_EFs_Transport[Transport type]=$D$25), Table_Fuel_EFs_Transport[Scope 1 Emission Factor (kg CO2 - e / GJ) CH4]), 0)</f>
        <v>0.08</v>
      </c>
      <c r="J28" s="26" cm="1">
        <f t="array" ref="J28">IFERROR(_xlfn.XLOOKUP(1, (Table_Fuel_EFs_Transport[Fuel combusted]=$E28)*(Table_Fuel_EFs_Transport[Transport type]=$D$25), Table_Fuel_EFs_Transport[Scope 1 Emission Factor (kg CO2 - e / GJ) N2O]), 0)</f>
        <v>0.5</v>
      </c>
      <c r="K28" s="26"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201" cm="1">
        <f t="array" ref="N28">Fuel_Equations.VEERG_8_1_1_1__1_FuelCombustionTransport($L28,$G28,$H28)</f>
        <v>0</v>
      </c>
      <c r="O28" s="201" cm="1">
        <f t="array" ref="O28">Fuel_Equations.VEERG_8_1_1_1__1_FuelCombustionTransport($L28,$G28,$I28)</f>
        <v>0</v>
      </c>
      <c r="P28" s="201" cm="1">
        <f t="array" ref="P28">Fuel_Equations.VEERG_8_1_1_1__1_FuelCombustionTransport($L28,$G28,$J28)</f>
        <v>0</v>
      </c>
      <c r="Q28" s="201"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2" t="str">
        <f t="shared" si="0"/>
        <v>Cars and light commercial vehicles</v>
      </c>
      <c r="E29" s="200" t="str">
        <f>'Constants - Fuel'!$E$14</f>
        <v>Ethanol</v>
      </c>
      <c r="F29" s="200" t="str">
        <f>'Constants - Fuel'!G135</f>
        <v>Ethanol</v>
      </c>
      <c r="G29" s="26" cm="1">
        <f t="array" ref="G29">IFERROR(_xlfn.XLOOKUP(1, (Table_Fuel_EFs_Transport[Fuel combusted]=$E29)*(Table_Fuel_EFs_Transport[Transport type]=$D$25), Table_Fuel_EFs_Transport[Energy Content Factor (GJ per unit of fuel)]), 0)</f>
        <v>23.4</v>
      </c>
      <c r="H29" s="26" cm="1">
        <f t="array" ref="H29">IFERROR(_xlfn.XLOOKUP(1, (Table_Fuel_EFs_Transport[Fuel combusted]=$E29)*(Table_Fuel_EFs_Transport[Transport type]=$D$25), Table_Fuel_EFs_Transport[Scope 1 Emission Factor (kg CO2 - e / GJ) CO2]), 0)</f>
        <v>0</v>
      </c>
      <c r="I29" s="26" cm="1">
        <f t="array" ref="I29">IFERROR(_xlfn.XLOOKUP(1, (Table_Fuel_EFs_Transport[Fuel combusted]=$E29)*(Table_Fuel_EFs_Transport[Transport type]=$D$25), Table_Fuel_EFs_Transport[Scope 1 Emission Factor (kg CO2 - e / GJ) CH4]), 0)</f>
        <v>0.2</v>
      </c>
      <c r="J29" s="26" cm="1">
        <f t="array" ref="J29">IFERROR(_xlfn.XLOOKUP(1, (Table_Fuel_EFs_Transport[Fuel combusted]=$E29)*(Table_Fuel_EFs_Transport[Transport type]=$D$25), Table_Fuel_EFs_Transport[Scope 1 Emission Factor (kg CO2 - e / GJ) N2O]), 0)</f>
        <v>0.2</v>
      </c>
      <c r="K29" s="26"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201" cm="1">
        <f t="array" ref="N29">Fuel_Equations.VEERG_8_1_1_1__1_FuelCombustionTransport($L29,$G29,$H29)</f>
        <v>0</v>
      </c>
      <c r="O29" s="201" cm="1">
        <f t="array" ref="O29">Fuel_Equations.VEERG_8_1_1_1__1_FuelCombustionTransport($L29,$G29,$I29)</f>
        <v>0</v>
      </c>
      <c r="P29" s="201" cm="1">
        <f t="array" ref="P29">Fuel_Equations.VEERG_8_1_1_1__1_FuelCombustionTransport($L29,$G29,$J29)</f>
        <v>0</v>
      </c>
      <c r="Q29" s="201"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2" t="str">
        <f t="shared" si="0"/>
        <v>Cars and light commercial vehicles</v>
      </c>
      <c r="E30" s="200" t="str">
        <f>'Constants - Fuel'!$E$15</f>
        <v>Biodiesel</v>
      </c>
      <c r="F30" s="200" t="str">
        <f>'Constants - Fuel'!G136</f>
        <v>Biodiesel</v>
      </c>
      <c r="G30" s="26" cm="1">
        <f t="array" ref="G30">IFERROR(_xlfn.XLOOKUP(1, (Table_Fuel_EFs_Transport[Fuel combusted]=$E30)*(Table_Fuel_EFs_Transport[Transport type]=$D$25), Table_Fuel_EFs_Transport[Energy Content Factor (GJ per unit of fuel)]), 0)</f>
        <v>34.6</v>
      </c>
      <c r="H30" s="26" cm="1">
        <f t="array" ref="H30">IFERROR(_xlfn.XLOOKUP(1, (Table_Fuel_EFs_Transport[Fuel combusted]=$E30)*(Table_Fuel_EFs_Transport[Transport type]=$D$25), Table_Fuel_EFs_Transport[Scope 1 Emission Factor (kg CO2 - e / GJ) CO2]), 0)</f>
        <v>0</v>
      </c>
      <c r="I30" s="26" cm="1">
        <f t="array" ref="I30">IFERROR(_xlfn.XLOOKUP(1, (Table_Fuel_EFs_Transport[Fuel combusted]=$E30)*(Table_Fuel_EFs_Transport[Transport type]=$D$25), Table_Fuel_EFs_Transport[Scope 1 Emission Factor (kg CO2 - e / GJ) CH4]), 0)</f>
        <v>0.8</v>
      </c>
      <c r="J30" s="26" cm="1">
        <f t="array" ref="J30">IFERROR(_xlfn.XLOOKUP(1, (Table_Fuel_EFs_Transport[Fuel combusted]=$E30)*(Table_Fuel_EFs_Transport[Transport type]=$D$25), Table_Fuel_EFs_Transport[Scope 1 Emission Factor (kg CO2 - e / GJ) N2O]), 0)</f>
        <v>1.7</v>
      </c>
      <c r="K30" s="26"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201" cm="1">
        <f t="array" ref="N30">Fuel_Equations.VEERG_8_1_1_1__1_FuelCombustionTransport($L30,$G30,$H30)</f>
        <v>0</v>
      </c>
      <c r="O30" s="201" cm="1">
        <f t="array" ref="O30">Fuel_Equations.VEERG_8_1_1_1__1_FuelCombustionTransport($L30,$G30,$I30)</f>
        <v>0</v>
      </c>
      <c r="P30" s="201" cm="1">
        <f t="array" ref="P30">Fuel_Equations.VEERG_8_1_1_1__1_FuelCombustionTransport($L30,$G30,$J30)</f>
        <v>0</v>
      </c>
      <c r="Q30" s="201"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2" t="str">
        <f t="shared" si="0"/>
        <v>Cars and light commercial vehicles</v>
      </c>
      <c r="E31" s="200" t="str">
        <f>'Constants - Fuel'!$E$16</f>
        <v>Renewable diesel</v>
      </c>
      <c r="F31" s="200" t="str">
        <f>'Constants - Fuel'!G137</f>
        <v>Renewable diesel</v>
      </c>
      <c r="G31" s="26" cm="1">
        <f t="array" ref="G31">IFERROR(_xlfn.XLOOKUP(1, (Table_Fuel_EFs_Transport[Fuel combusted]=$E31)*(Table_Fuel_EFs_Transport[Transport type]=$D$25), Table_Fuel_EFs_Transport[Energy Content Factor (GJ per unit of fuel)]), 0)</f>
        <v>38.6</v>
      </c>
      <c r="H31" s="26" cm="1">
        <f t="array" ref="H31">IFERROR(_xlfn.XLOOKUP(1, (Table_Fuel_EFs_Transport[Fuel combusted]=$E31)*(Table_Fuel_EFs_Transport[Transport type]=$D$25), Table_Fuel_EFs_Transport[Scope 1 Emission Factor (kg CO2 - e / GJ) CO2]), 0)</f>
        <v>0</v>
      </c>
      <c r="I31" s="26" cm="1">
        <f t="array" ref="I31">IFERROR(_xlfn.XLOOKUP(1, (Table_Fuel_EFs_Transport[Fuel combusted]=$E31)*(Table_Fuel_EFs_Transport[Transport type]=$D$25), Table_Fuel_EFs_Transport[Scope 1 Emission Factor (kg CO2 - e / GJ) CH4]), 0)</f>
        <v>0.01</v>
      </c>
      <c r="J31" s="26" cm="1">
        <f t="array" ref="J31">IFERROR(_xlfn.XLOOKUP(1, (Table_Fuel_EFs_Transport[Fuel combusted]=$E31)*(Table_Fuel_EFs_Transport[Transport type]=$D$25), Table_Fuel_EFs_Transport[Scope 1 Emission Factor (kg CO2 - e / GJ) N2O]), 0)</f>
        <v>0.5</v>
      </c>
      <c r="K31" s="26"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201" cm="1">
        <f t="array" ref="N31">Fuel_Equations.VEERG_8_1_1_1__1_FuelCombustionTransport($L31,$G31,$H31)</f>
        <v>0</v>
      </c>
      <c r="O31" s="201" cm="1">
        <f t="array" ref="O31">Fuel_Equations.VEERG_8_1_1_1__1_FuelCombustionTransport($L31,$G31,$I31)</f>
        <v>0</v>
      </c>
      <c r="P31" s="201" cm="1">
        <f t="array" ref="P31">Fuel_Equations.VEERG_8_1_1_1__1_FuelCombustionTransport($L31,$G31,$J31)</f>
        <v>0</v>
      </c>
      <c r="Q31" s="201" cm="1">
        <f t="array" ref="Q31">Scope3_Equations.VEERG_15_11_1_1__2_UpstreamTransportFuelEmissions(L31,G31,IF(ISNUMBER(K31),K31,0))</f>
        <v>0</v>
      </c>
    </row>
    <row r="32" spans="1:17" ht="20.100000000000001" customHeight="1" x14ac:dyDescent="0.25">
      <c r="A32" s="105" t="str">
        <f>HYPERLINK("#'8.1.1.1-2 Transport fuel'!A1", "8.1.1.1-2 Transport fuel")</f>
        <v>8.1.1.1-2 Transport fuel</v>
      </c>
      <c r="D32" s="202" t="str">
        <f t="shared" si="0"/>
        <v>Cars and light commercial vehicles</v>
      </c>
      <c r="E32" s="200" t="str">
        <f>'Constants - Fuel'!$E$17</f>
        <v>Other biofuels</v>
      </c>
      <c r="F32" s="200" t="str">
        <f>'Constants - Fuel'!G138</f>
        <v>Other biofuels</v>
      </c>
      <c r="G32" s="26" cm="1">
        <f t="array" ref="G32">IFERROR(_xlfn.XLOOKUP(1, (Table_Fuel_EFs_Transport[Fuel combusted]=$E32)*(Table_Fuel_EFs_Transport[Transport type]=$D$25), Table_Fuel_EFs_Transport[Energy Content Factor (GJ per unit of fuel)]), 0)</f>
        <v>23.4</v>
      </c>
      <c r="H32" s="26" cm="1">
        <f t="array" ref="H32">IFERROR(_xlfn.XLOOKUP(1, (Table_Fuel_EFs_Transport[Fuel combusted]=$E32)*(Table_Fuel_EFs_Transport[Transport type]=$D$25), Table_Fuel_EFs_Transport[Scope 1 Emission Factor (kg CO2 - e / GJ) CO2]), 0)</f>
        <v>0</v>
      </c>
      <c r="I32" s="26" cm="1">
        <f t="array" ref="I32">IFERROR(_xlfn.XLOOKUP(1, (Table_Fuel_EFs_Transport[Fuel combusted]=$E32)*(Table_Fuel_EFs_Transport[Transport type]=$D$25), Table_Fuel_EFs_Transport[Scope 1 Emission Factor (kg CO2 - e / GJ) CH4]), 0)</f>
        <v>0.8</v>
      </c>
      <c r="J32" s="26" cm="1">
        <f t="array" ref="J32">IFERROR(_xlfn.XLOOKUP(1, (Table_Fuel_EFs_Transport[Fuel combusted]=$E32)*(Table_Fuel_EFs_Transport[Transport type]=$D$25), Table_Fuel_EFs_Transport[Scope 1 Emission Factor (kg CO2 - e / GJ) N2O]), 0)</f>
        <v>1.7</v>
      </c>
      <c r="K32" s="198" t="str" cm="1">
        <f t="array" ref="K32">IFERROR(_xlfn.XLOOKUP(1, (Table_Fuel_EFs_Transport[Fuel combusted]=$E32)*(Table_Fuel_EFs_Transport[Transport type]=$D$25), Table_Fuel_EFs_Transport[Scope 3 Emission Factor (kg CO2 - e / GJ)]), 0)</f>
        <v>NE</v>
      </c>
      <c r="L32" s="203"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204" cm="1">
        <f t="array" ref="N32">Fuel_Equations.VEERG_8_1_1_1__1_FuelCombustionTransport($L32,$G32,$H32)</f>
        <v>0</v>
      </c>
      <c r="O32" s="204" cm="1">
        <f t="array" ref="O32">Fuel_Equations.VEERG_8_1_1_1__1_FuelCombustionTransport($L32,$G32,$I32)</f>
        <v>0</v>
      </c>
      <c r="P32" s="204" cm="1">
        <f t="array" ref="P32">Fuel_Equations.VEERG_8_1_1_1__1_FuelCombustionTransport($L32,$G32,$J32)</f>
        <v>0</v>
      </c>
      <c r="Q32" s="201"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5" t="str">
        <f>Table_FuelTypesPerUse[[#Headers],[Off-road Agriculture and forestry equipment]]</f>
        <v>Off-road Agriculture and forestry equipment</v>
      </c>
      <c r="E33" s="206" t="str">
        <f>'Constants - Fuel'!$E$11</f>
        <v>Diesel oil</v>
      </c>
      <c r="F33" s="206" t="str">
        <f>'Constants - Fuel'!H131</f>
        <v>Diesel</v>
      </c>
      <c r="G33" s="207" cm="1">
        <f t="array" ref="G33">IFERROR(_xlfn.XLOOKUP(1, (Table_Fuel_EFs_Transport[Fuel combusted]=$E33)*(Table_Fuel_EFs_Transport[Transport type]=$D$33), Table_Fuel_EFs_Transport[Energy Content Factor (GJ per unit of fuel)]), 0)</f>
        <v>38.6</v>
      </c>
      <c r="H33" s="207" cm="1">
        <f t="array" ref="H33">IFERROR(_xlfn.XLOOKUP(1, (Table_Fuel_EFs_Transport[Fuel combusted]=$E33)*(Table_Fuel_EFs_Transport[Transport type]=$D$33), Table_Fuel_EFs_Transport[Scope 1 Emission Factor (kg CO2 - e / GJ) CO2]), 0)</f>
        <v>69.900000000000006</v>
      </c>
      <c r="I33" s="207" cm="1">
        <f t="array" ref="I33">IFERROR(_xlfn.XLOOKUP(1, (Table_Fuel_EFs_Transport[Fuel combusted]=$E33)*(Table_Fuel_EFs_Transport[Transport type]=$D$33), Table_Fuel_EFs_Transport[Scope 1 Emission Factor (kg CO2 - e / GJ) CH4]), 0)</f>
        <v>0.3</v>
      </c>
      <c r="J33" s="207" cm="1">
        <f t="array" ref="J33">IFERROR(_xlfn.XLOOKUP(1, (Table_Fuel_EFs_Transport[Fuel combusted]=$E33)*(Table_Fuel_EFs_Transport[Transport type]=$D$33), Table_Fuel_EFs_Transport[Scope 1 Emission Factor (kg CO2 - e / GJ) N2O]), 0)</f>
        <v>0.5</v>
      </c>
      <c r="K33" s="208" cm="1">
        <f t="array" ref="K33">IFERROR(_xlfn.XLOOKUP(1, (Table_Fuel_EFs_Transport[Fuel combusted]=$E33)*(Table_Fuel_EFs_Transport[Transport type]=$D$25), Table_Fuel_EFs_Transport[Scope 3 Emission Factor (kg CO2 - e / GJ)]), 0)</f>
        <v>17.3</v>
      </c>
      <c r="L33" s="209" cm="1">
        <f t="array" ref="L33">Fuel_InputFunctions.Fuel_TotalConsumption(Table_Input_Fuel[Amount consumed], Table_Input_Fuel[Fuel use (select)], D33, Table_Input_Fuel[Fuel type (select)],F33)</f>
        <v>10</v>
      </c>
      <c r="M33" s="210" t="str" cm="1">
        <f t="array" ref="M33">Common_InputFunctions.Utility_LookupValueInTable(F33,Table_FuelTypes_Units[Fuel type],Table_FuelTypes_Units[Unit])</f>
        <v>kL</v>
      </c>
      <c r="N33" s="211" cm="1">
        <f t="array" ref="N33">Fuel_Equations.VEERG_8_1_1_1__1_FuelCombustionTransport($L33,$G33,$H33)</f>
        <v>26.981400000000001</v>
      </c>
      <c r="O33" s="211" cm="1">
        <f t="array" ref="O33">Fuel_Equations.VEERG_8_1_1_1__1_FuelCombustionTransport($L33,$G33,$I33)</f>
        <v>0.1158</v>
      </c>
      <c r="P33" s="211" cm="1">
        <f t="array" ref="P33">Fuel_Equations.VEERG_8_1_1_1__1_FuelCombustionTransport($L33,$G33,$J33)</f>
        <v>0.193</v>
      </c>
      <c r="Q33" s="212"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5" t="str">
        <f>Table_FuelTypesPerUse[[#Headers],[Aviation]]</f>
        <v>Aviation</v>
      </c>
      <c r="E34" s="206" t="str">
        <f>'Constants - Fuel'!$E$28</f>
        <v>Gasoline for use as fuel in an aircraft</v>
      </c>
      <c r="F34" s="206" t="str">
        <f>'Constants - Fuel'!$F$131</f>
        <v>Avgas</v>
      </c>
      <c r="G34" s="213" cm="1">
        <f t="array" ref="G34">IFERROR(_xlfn.XLOOKUP(1, (Table_Fuel_EFs_Transport[Fuel combusted]=$E34)*(Table_Fuel_EFs_Transport[Transport type]=$D$34), Table_Fuel_EFs_Transport[Energy Content Factor (GJ per unit of fuel)]), 0)</f>
        <v>33.1</v>
      </c>
      <c r="H34" s="213" cm="1">
        <f t="array" ref="H34">IFERROR(_xlfn.XLOOKUP(1, (Table_Fuel_EFs_Transport[Fuel combusted]=$E34)*(Table_Fuel_EFs_Transport[Transport type]=$D$34), Table_Fuel_EFs_Transport[Scope 1 Emission Factor (kg CO2 - e / GJ) CO2]), 0)</f>
        <v>67</v>
      </c>
      <c r="I34" s="213" cm="1">
        <f t="array" ref="I34">IFERROR(_xlfn.XLOOKUP(1, (Table_Fuel_EFs_Transport[Fuel combusted]=$E34)*(Table_Fuel_EFs_Transport[Transport type]=$D$34), Table_Fuel_EFs_Transport[Scope 1 Emission Factor (kg CO2 - e / GJ) CH4]), 0)</f>
        <v>0.06</v>
      </c>
      <c r="J34" s="213" cm="1">
        <f t="array" ref="J34">IFERROR(_xlfn.XLOOKUP(1, (Table_Fuel_EFs_Transport[Fuel combusted]=$E34)*(Table_Fuel_EFs_Transport[Transport type]=$D$34), Table_Fuel_EFs_Transport[Scope 1 Emission Factor (kg CO2 - e / GJ) N2O]), 0)</f>
        <v>0.6</v>
      </c>
      <c r="K34" s="213" cm="1">
        <f t="array" ref="K34">IFERROR(_xlfn.XLOOKUP(1, (Table_Fuel_EFs_Transport[Fuel combusted]=$E34)*(Table_Fuel_EFs_Transport[Transport type]=$D$25), Table_Fuel_EFs_Transport[Scope 3 Emission Factor (kg CO2 - e / GJ)]), 0)</f>
        <v>0</v>
      </c>
      <c r="L34" s="210" cm="1">
        <f t="array" ref="L34">Fuel_InputFunctions.Fuel_TotalConsumption(Table_Input_Fuel[Amount consumed], Table_Input_Fuel[Fuel use (select)], D34, Table_Input_Fuel[Fuel type (select)],F34)</f>
        <v>0</v>
      </c>
      <c r="M34" s="210" t="str" cm="1">
        <f t="array" ref="M34">Common_InputFunctions.Utility_LookupValueInTable(F34,Table_FuelTypes_Units[Fuel type],Table_FuelTypes_Units[Unit])</f>
        <v>kL</v>
      </c>
      <c r="N34" s="211" cm="1">
        <f t="array" ref="N34">Fuel_Equations.VEERG_8_1_1_1__1_FuelCombustionTransport($L34,$G34,$H34)</f>
        <v>0</v>
      </c>
      <c r="O34" s="211" cm="1">
        <f t="array" ref="O34">Fuel_Equations.VEERG_8_1_1_1__1_FuelCombustionTransport($L34,$G34,$I34)</f>
        <v>0</v>
      </c>
      <c r="P34" s="211" cm="1">
        <f t="array" ref="P34">Fuel_Equations.VEERG_8_1_1_1__1_FuelCombustionTransport($L34,$G34,$J34)</f>
        <v>0</v>
      </c>
      <c r="Q34" s="211" cm="1">
        <f t="array" ref="Q34">Scope3_Equations.VEERG_15_11_1_1__2_UpstreamTransportFuelEmissions(L34,G34,K34)</f>
        <v>0</v>
      </c>
    </row>
    <row r="35" spans="1:17" ht="20.100000000000001" customHeight="1" x14ac:dyDescent="0.25">
      <c r="D35" s="202" t="str">
        <f>$D$34</f>
        <v>Aviation</v>
      </c>
      <c r="E35" s="200" t="str">
        <f>'Constants - Fuel'!$E$29</f>
        <v>Kerosene for use as fuel in an aircraft</v>
      </c>
      <c r="F35" s="200" t="str">
        <f>'Constants - Fuel'!$F$132</f>
        <v>Jet A1, Jet B</v>
      </c>
      <c r="G35" s="26" cm="1">
        <f t="array" ref="G35">IFERROR(_xlfn.XLOOKUP(1, (Table_Fuel_EFs_Transport[Fuel combusted]=$E35)*(Table_Fuel_EFs_Transport[Transport type]=$D$34), Table_Fuel_EFs_Transport[Energy Content Factor (GJ per unit of fuel)]), 0)</f>
        <v>36.799999999999997</v>
      </c>
      <c r="H35" s="26" cm="1">
        <f t="array" ref="H35">IFERROR(_xlfn.XLOOKUP(1, (Table_Fuel_EFs_Transport[Fuel combusted]=$E35)*(Table_Fuel_EFs_Transport[Transport type]=$D$34), Table_Fuel_EFs_Transport[Scope 1 Emission Factor (kg CO2 - e / GJ) CO2]), 0)</f>
        <v>69.599999999999994</v>
      </c>
      <c r="I35" s="26" cm="1">
        <f t="array" ref="I35">IFERROR(_xlfn.XLOOKUP(1, (Table_Fuel_EFs_Transport[Fuel combusted]=$E35)*(Table_Fuel_EFs_Transport[Transport type]=$D$34), Table_Fuel_EFs_Transport[Scope 1 Emission Factor (kg CO2 - e / GJ) CH4]), 0)</f>
        <v>0.01</v>
      </c>
      <c r="J35" s="26" cm="1">
        <f t="array" ref="J35">IFERROR(_xlfn.XLOOKUP(1, (Table_Fuel_EFs_Transport[Fuel combusted]=$E35)*(Table_Fuel_EFs_Transport[Transport type]=$D$34), Table_Fuel_EFs_Transport[Scope 1 Emission Factor (kg CO2 - e / GJ) N2O]), 0)</f>
        <v>0.6</v>
      </c>
      <c r="K35" s="26"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201" cm="1">
        <f t="array" ref="N35">Fuel_Equations.VEERG_8_1_1_1__1_FuelCombustionTransport($L35,$G35,$H35)</f>
        <v>0</v>
      </c>
      <c r="O35" s="201" cm="1">
        <f t="array" ref="O35">Fuel_Equations.VEERG_8_1_1_1__1_FuelCombustionTransport($L35,$G35,$I35)</f>
        <v>0</v>
      </c>
      <c r="P35" s="201" cm="1">
        <f t="array" ref="P35">Fuel_Equations.VEERG_8_1_1_1__1_FuelCombustionTransport($L35,$G35,$J35)</f>
        <v>0</v>
      </c>
      <c r="Q35" s="201" cm="1">
        <f t="array" ref="Q35">Scope3_Equations.VEERG_15_11_1_1__2_UpstreamTransportFuelEmissions(L35,G35,K35)</f>
        <v>0</v>
      </c>
    </row>
    <row r="36" spans="1:17" ht="20.100000000000001" customHeight="1" x14ac:dyDescent="0.25">
      <c r="D36" s="202" t="str">
        <f>$D$34</f>
        <v>Aviation</v>
      </c>
      <c r="E36" s="200" t="str">
        <f>'Constants - Fuel'!$E$30</f>
        <v>Renewable aviation kerosene</v>
      </c>
      <c r="F36" s="200" t="str">
        <f>'Constants - Fuel'!$F$133</f>
        <v>Renewable aviation kerosene</v>
      </c>
      <c r="G36" s="198" cm="1">
        <f t="array" ref="G36">IFERROR(_xlfn.XLOOKUP(1, (Table_Fuel_EFs_Transport[Fuel combusted]=$E36)*(Table_Fuel_EFs_Transport[Transport type]=$D$34), Table_Fuel_EFs_Transport[Energy Content Factor (GJ per unit of fuel)]), 0)</f>
        <v>36.799999999999997</v>
      </c>
      <c r="H36" s="198" cm="1">
        <f t="array" ref="H36">IFERROR(_xlfn.XLOOKUP(1, (Table_Fuel_EFs_Transport[Fuel combusted]=$E36)*(Table_Fuel_EFs_Transport[Transport type]=$D$34), Table_Fuel_EFs_Transport[Scope 1 Emission Factor (kg CO2 - e / GJ) CO2]), 0)</f>
        <v>0</v>
      </c>
      <c r="I36" s="198" cm="1">
        <f t="array" ref="I36">IFERROR(_xlfn.XLOOKUP(1, (Table_Fuel_EFs_Transport[Fuel combusted]=$E36)*(Table_Fuel_EFs_Transport[Transport type]=$D$34), Table_Fuel_EFs_Transport[Scope 1 Emission Factor (kg CO2 - e / GJ) CH4]), 0)</f>
        <v>0.01</v>
      </c>
      <c r="J36" s="198" cm="1">
        <f t="array" ref="J36">IFERROR(_xlfn.XLOOKUP(1, (Table_Fuel_EFs_Transport[Fuel combusted]=$E36)*(Table_Fuel_EFs_Transport[Transport type]=$D$34), Table_Fuel_EFs_Transport[Scope 1 Emission Factor (kg CO2 - e / GJ) N2O]), 0)</f>
        <v>0.6</v>
      </c>
      <c r="K36" s="198" cm="1">
        <f t="array" ref="K36">IFERROR(_xlfn.XLOOKUP(1, (Table_Fuel_EFs_Transport[Fuel combusted]=$E36)*(Table_Fuel_EFs_Transport[Transport type]=$D$25), Table_Fuel_EFs_Transport[Scope 3 Emission Factor (kg CO2 - e / GJ)]), 0)</f>
        <v>0</v>
      </c>
      <c r="L36" s="203"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201" cm="1">
        <f t="array" ref="N36">Fuel_Equations.VEERG_8_1_1_1__1_FuelCombustionTransport($L36,$G36,$H36)</f>
        <v>0</v>
      </c>
      <c r="O36" s="201" cm="1">
        <f t="array" ref="O36">Fuel_Equations.VEERG_8_1_1_1__1_FuelCombustionTransport($L36,$G36,$I36)</f>
        <v>0</v>
      </c>
      <c r="P36" s="201" cm="1">
        <f t="array" ref="P36">Fuel_Equations.VEERG_8_1_1_1__1_FuelCombustionTransport($L36,$G36,$J36)</f>
        <v>0</v>
      </c>
      <c r="Q36" s="204" cm="1">
        <f t="array" ref="Q36">Scope3_Equations.VEERG_15_11_1_1__2_UpstreamTransportFuelEmissions(L36,G36,K36)</f>
        <v>0</v>
      </c>
    </row>
    <row r="37" spans="1:17" ht="20.100000000000001" customHeight="1" x14ac:dyDescent="0.25">
      <c r="A37" s="250" t="s">
        <v>1</v>
      </c>
      <c r="D37" s="205" t="str">
        <f>Table_FuelTypesPerUse[[#Headers],[Vessels]]</f>
        <v>Vessels</v>
      </c>
      <c r="E37" s="206" t="str">
        <f>'Constants - Fuel'!$E$10</f>
        <v>Gasoline</v>
      </c>
      <c r="F37" s="206" t="str">
        <f>'Constants - Fuel'!$I$131</f>
        <v>Petrol</v>
      </c>
      <c r="G37" s="213" cm="1">
        <f t="array" ref="G37">IFERROR(_xlfn.XLOOKUP(1, (Table_Fuel_EFs_Transport[Fuel combusted]=$E37)*(Table_Fuel_EFs_Transport[Transport type]=$D$37), Table_Fuel_EFs_Transport[Energy Content Factor (GJ per unit of fuel)]), 0)</f>
        <v>34.200000000000003</v>
      </c>
      <c r="H37" s="213" cm="1">
        <f t="array" ref="H37">IFERROR(_xlfn.XLOOKUP(1, (Table_Fuel_EFs_Transport[Fuel combusted]=$E37)*(Table_Fuel_EFs_Transport[Transport type]=$D$37), Table_Fuel_EFs_Transport[Scope 1 Emission Factor (kg CO2 - e / GJ) CO2]), 0)</f>
        <v>67.400000000000006</v>
      </c>
      <c r="I37" s="213" cm="1">
        <f t="array" ref="I37">IFERROR(_xlfn.XLOOKUP(1, (Table_Fuel_EFs_Transport[Fuel combusted]=$E37)*(Table_Fuel_EFs_Transport[Transport type]=$D$37), Table_Fuel_EFs_Transport[Scope 1 Emission Factor (kg CO2 - e / GJ) CH4]), 0)</f>
        <v>10.1</v>
      </c>
      <c r="J37" s="213" cm="1">
        <f t="array" ref="J37">IFERROR(_xlfn.XLOOKUP(1, (Table_Fuel_EFs_Transport[Fuel combusted]=$E37)*(Table_Fuel_EFs_Transport[Transport type]=$D$37), Table_Fuel_EFs_Transport[Scope 1 Emission Factor (kg CO2 - e / GJ) N2O]), 0)</f>
        <v>0.3</v>
      </c>
      <c r="K37" s="213" cm="1">
        <f t="array" ref="K37">IFERROR(_xlfn.XLOOKUP(1, (Table_Fuel_EFs_Transport[Fuel combusted]=$E37)*(Table_Fuel_EFs_Transport[Transport type]=$D$25), Table_Fuel_EFs_Transport[Scope 3 Emission Factor (kg CO2 - e / GJ)]), 0)</f>
        <v>17.2</v>
      </c>
      <c r="L37" s="210" cm="1">
        <f t="array" ref="L37">Fuel_InputFunctions.Fuel_TotalConsumption(Table_Input_Fuel[Amount consumed], Table_Input_Fuel[Fuel use (select)], D37, Table_Input_Fuel[Fuel type (select)],F37)</f>
        <v>0</v>
      </c>
      <c r="M37" s="214" t="str" cm="1">
        <f t="array" ref="M37">Common_InputFunctions.Utility_LookupValueInTable(F37,Table_FuelTypes_Units[Fuel type],Table_FuelTypes_Units[Unit])</f>
        <v>kL</v>
      </c>
      <c r="N37" s="211" cm="1">
        <f t="array" ref="N37">Fuel_Equations.VEERG_8_1_1_1__1_FuelCombustionTransport($L37,$G37,$H37)</f>
        <v>0</v>
      </c>
      <c r="O37" s="211" cm="1">
        <f t="array" ref="O37">Fuel_Equations.VEERG_8_1_1_1__1_FuelCombustionTransport($L37,$G37,$I37)</f>
        <v>0</v>
      </c>
      <c r="P37" s="211" cm="1">
        <f t="array" ref="P37">Fuel_Equations.VEERG_8_1_1_1__1_FuelCombustionTransport($L37,$G37,$J37)</f>
        <v>0</v>
      </c>
      <c r="Q37" s="211"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2" t="str">
        <f>$D$37</f>
        <v>Vessels</v>
      </c>
      <c r="E38" s="200" t="str">
        <f>'Constants - Fuel'!$E$11</f>
        <v>Diesel oil</v>
      </c>
      <c r="F38" s="200" t="str">
        <f>'Constants - Fuel'!$I$132</f>
        <v>Diesel</v>
      </c>
      <c r="G38" s="26" cm="1">
        <f t="array" ref="G38">IFERROR(_xlfn.XLOOKUP(1, (Table_Fuel_EFs_Transport[Fuel combusted]=$E38)*(Table_Fuel_EFs_Transport[Transport type]=$D$37), Table_Fuel_EFs_Transport[Energy Content Factor (GJ per unit of fuel)]), 0)</f>
        <v>38.6</v>
      </c>
      <c r="H38" s="26" cm="1">
        <f t="array" ref="H38">IFERROR(_xlfn.XLOOKUP(1, (Table_Fuel_EFs_Transport[Fuel combusted]=$E38)*(Table_Fuel_EFs_Transport[Transport type]=$D$37), Table_Fuel_EFs_Transport[Scope 1 Emission Factor (kg CO2 - e / GJ) CO2]), 0)</f>
        <v>69.900000000000006</v>
      </c>
      <c r="I38" s="26" cm="1">
        <f t="array" ref="I38">IFERROR(_xlfn.XLOOKUP(1, (Table_Fuel_EFs_Transport[Fuel combusted]=$E38)*(Table_Fuel_EFs_Transport[Transport type]=$D$37), Table_Fuel_EFs_Transport[Scope 1 Emission Factor (kg CO2 - e / GJ) CH4]), 0)</f>
        <v>0.2</v>
      </c>
      <c r="J38" s="26" cm="1">
        <f t="array" ref="J38">IFERROR(_xlfn.XLOOKUP(1, (Table_Fuel_EFs_Transport[Fuel combusted]=$E38)*(Table_Fuel_EFs_Transport[Transport type]=$D$37), Table_Fuel_EFs_Transport[Scope 1 Emission Factor (kg CO2 - e / GJ) N2O]), 0)</f>
        <v>0.5</v>
      </c>
      <c r="K38" s="26"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201" cm="1">
        <f t="array" ref="N38">Fuel_Equations.VEERG_8_1_1_1__1_FuelCombustionTransport($L38,$G38,$H38)</f>
        <v>0</v>
      </c>
      <c r="O38" s="201" cm="1">
        <f t="array" ref="O38">Fuel_Equations.VEERG_8_1_1_1__1_FuelCombustionTransport($L38,$G38,$I38)</f>
        <v>0</v>
      </c>
      <c r="P38" s="201" cm="1">
        <f t="array" ref="P38">Fuel_Equations.VEERG_8_1_1_1__1_FuelCombustionTransport($L38,$G38,$J38)</f>
        <v>0</v>
      </c>
      <c r="Q38" s="201"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2" t="str">
        <f>$D$37</f>
        <v>Vessels</v>
      </c>
      <c r="E39" s="200" t="str">
        <f>'Constants - Fuel'!E33</f>
        <v>Fuel Oil</v>
      </c>
      <c r="F39" s="200" t="str">
        <f>'Constants - Fuel'!$I$133</f>
        <v>Fuel oil</v>
      </c>
      <c r="G39" s="26" cm="1">
        <f t="array" ref="G39">IFERROR(_xlfn.XLOOKUP(1, (Table_Fuel_EFs_Transport[Fuel combusted]=$E39)*(Table_Fuel_EFs_Transport[Transport type]=$D$37), Table_Fuel_EFs_Transport[Energy Content Factor (GJ per unit of fuel)]), 0)</f>
        <v>39.700000000000003</v>
      </c>
      <c r="H39" s="26" cm="1">
        <f t="array" ref="H39">IFERROR(_xlfn.XLOOKUP(1, (Table_Fuel_EFs_Transport[Fuel combusted]=$E39)*(Table_Fuel_EFs_Transport[Transport type]=$D$37), Table_Fuel_EFs_Transport[Scope 1 Emission Factor (kg CO2 - e / GJ) CO2]), 0)</f>
        <v>73.599999999999994</v>
      </c>
      <c r="I39" s="26" cm="1">
        <f t="array" ref="I39">IFERROR(_xlfn.XLOOKUP(1, (Table_Fuel_EFs_Transport[Fuel combusted]=$E39)*(Table_Fuel_EFs_Transport[Transport type]=$D$37), Table_Fuel_EFs_Transport[Scope 1 Emission Factor (kg CO2 - e / GJ) CH4]), 0)</f>
        <v>0.2</v>
      </c>
      <c r="J39" s="26" cm="1">
        <f t="array" ref="J39">IFERROR(_xlfn.XLOOKUP(1, (Table_Fuel_EFs_Transport[Fuel combusted]=$E39)*(Table_Fuel_EFs_Transport[Transport type]=$D$37), Table_Fuel_EFs_Transport[Scope 1 Emission Factor (kg CO2 - e / GJ) N2O]), 0)</f>
        <v>0.5</v>
      </c>
      <c r="K39" s="26"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201" cm="1">
        <f t="array" ref="N39">Fuel_Equations.VEERG_8_1_1_1__1_FuelCombustionTransport($L39,$G39,$H39)</f>
        <v>29.219199999999997</v>
      </c>
      <c r="O39" s="201" cm="1">
        <f t="array" ref="O39">Fuel_Equations.VEERG_8_1_1_1__1_FuelCombustionTransport($L39,$G39,$I39)</f>
        <v>7.9400000000000012E-2</v>
      </c>
      <c r="P39" s="201" cm="1">
        <f t="array" ref="P39">Fuel_Equations.VEERG_8_1_1_1__1_FuelCombustionTransport($L39,$G39,$J39)</f>
        <v>0.19850000000000001</v>
      </c>
      <c r="Q39" s="201"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6"/>
      <c r="I40" s="176"/>
      <c r="J40" s="176"/>
      <c r="L40" s="176"/>
      <c r="M40" s="176"/>
      <c r="N40" s="176"/>
      <c r="O40" s="176"/>
      <c r="P40" s="176"/>
      <c r="Q40" s="176"/>
    </row>
    <row r="41" spans="1:17" ht="20.100000000000001" customHeight="1" x14ac:dyDescent="0.25">
      <c r="A41" s="5" t="str">
        <f>HYPERLINK("#'Constants - Electricity'!A1", "Constants - Electricity")</f>
        <v>Constants - Electricity</v>
      </c>
      <c r="H41" s="176"/>
      <c r="I41" s="176"/>
      <c r="J41" s="176"/>
      <c r="L41" s="176"/>
      <c r="M41" s="176"/>
      <c r="N41" s="176"/>
      <c r="O41" s="176"/>
      <c r="P41" s="176"/>
      <c r="Q41" s="176"/>
    </row>
    <row r="42" spans="1:17" ht="20.100000000000001" customHeight="1" x14ac:dyDescent="0.25">
      <c r="A42" s="5" t="str">
        <f>HYPERLINK("#'Constants - Fertiliser'!A1", "Constants - Fertiliser")</f>
        <v>Constants - Fertiliser</v>
      </c>
      <c r="D42" s="215" t="str">
        <f>"Total scope 1 - " &amp; D25</f>
        <v>Total scope 1 - Cars and light commercial vehicles</v>
      </c>
      <c r="E42" s="216"/>
      <c r="F42" s="217"/>
    </row>
    <row r="43" spans="1:17" ht="20.100000000000001" customHeight="1" x14ac:dyDescent="0.25">
      <c r="A43" s="5" t="str">
        <f>HYPERLINK("#'Constants - Fuel'!A1", "Constants - Fuel")</f>
        <v>Constants - Fuel</v>
      </c>
      <c r="D43" s="36" t="s">
        <v>736</v>
      </c>
      <c r="E43" s="218">
        <f>SUM(N25:N32)</f>
        <v>26.981400000000001</v>
      </c>
      <c r="F43" s="27" t="str">
        <f>$E$12</f>
        <v>t CO2-e</v>
      </c>
    </row>
    <row r="44" spans="1:17" ht="20.100000000000001" customHeight="1" x14ac:dyDescent="0.25">
      <c r="A44" s="5" t="str">
        <f>HYPERLINK("#'Constants - Common'!A1", "Constants - Common")</f>
        <v>Constants - Common</v>
      </c>
      <c r="D44" s="36" t="s">
        <v>737</v>
      </c>
      <c r="E44" s="218">
        <f>SUM(O25:O32)</f>
        <v>3.8600000000000001E-3</v>
      </c>
      <c r="F44" s="27" t="str">
        <f t="shared" ref="F44:F46" si="1">$E$12</f>
        <v>t CO2-e</v>
      </c>
    </row>
    <row r="45" spans="1:17" ht="20.100000000000001" customHeight="1" x14ac:dyDescent="0.25">
      <c r="A45" s="5" t="str">
        <f>HYPERLINK("#'Acknowledgements'!A1", "Acknowledgements")</f>
        <v>Acknowledgements</v>
      </c>
      <c r="D45" s="36" t="s">
        <v>738</v>
      </c>
      <c r="E45" s="218">
        <f>SUM(P25:P32)</f>
        <v>0.193</v>
      </c>
      <c r="F45" s="27" t="str">
        <f t="shared" si="1"/>
        <v>t CO2-e</v>
      </c>
    </row>
    <row r="46" spans="1:17" ht="20.100000000000001" customHeight="1" x14ac:dyDescent="0.25">
      <c r="A46" s="5" t="str">
        <f>HYPERLINK("#'Overview'!A1", "Overview")</f>
        <v>Overview</v>
      </c>
      <c r="D46" s="36" t="s">
        <v>739</v>
      </c>
      <c r="E46" s="218">
        <f>SUM(Q25:Q32)</f>
        <v>6.6778000000000004</v>
      </c>
      <c r="F46" s="27" t="str">
        <f t="shared" si="1"/>
        <v>t CO2-e</v>
      </c>
    </row>
    <row r="47" spans="1:17" ht="20.100000000000001" customHeight="1" x14ac:dyDescent="0.25">
      <c r="D47" s="176"/>
      <c r="E47" s="176"/>
      <c r="F47" s="176"/>
    </row>
    <row r="48" spans="1:17" ht="20.100000000000001" customHeight="1" x14ac:dyDescent="0.25">
      <c r="D48" s="215" t="str">
        <f>"Total scope 1 - " &amp; D33</f>
        <v>Total scope 1 - Off-road Agriculture and forestry equipment</v>
      </c>
      <c r="E48" s="219"/>
      <c r="F48" s="217"/>
      <c r="H48" s="176"/>
      <c r="I48" s="176"/>
      <c r="J48" s="176"/>
      <c r="L48" s="176"/>
      <c r="M48" s="176"/>
      <c r="N48" s="176"/>
      <c r="O48" s="176"/>
      <c r="P48" s="176"/>
      <c r="Q48" s="176"/>
    </row>
    <row r="49" spans="4:17" ht="20.100000000000001" customHeight="1" x14ac:dyDescent="0.25">
      <c r="D49" s="36" t="s">
        <v>736</v>
      </c>
      <c r="E49" s="218">
        <f>SUM(N33:N33)</f>
        <v>26.981400000000001</v>
      </c>
      <c r="F49" s="27" t="str">
        <f t="shared" ref="F49:F52" si="2">$E$12</f>
        <v>t CO2-e</v>
      </c>
      <c r="H49" s="176"/>
      <c r="I49" s="176"/>
      <c r="J49" s="176"/>
      <c r="L49" s="176"/>
      <c r="M49" s="176"/>
      <c r="N49" s="176"/>
      <c r="O49" s="176"/>
      <c r="P49" s="176"/>
      <c r="Q49" s="176"/>
    </row>
    <row r="50" spans="4:17" ht="20.100000000000001" customHeight="1" x14ac:dyDescent="0.25">
      <c r="D50" s="36" t="s">
        <v>737</v>
      </c>
      <c r="E50" s="218">
        <f>SUM(O33:O33)</f>
        <v>0.1158</v>
      </c>
      <c r="F50" s="27" t="str">
        <f t="shared" si="2"/>
        <v>t CO2-e</v>
      </c>
      <c r="H50" s="176"/>
      <c r="I50" s="176"/>
      <c r="J50" s="176"/>
      <c r="L50" s="176"/>
      <c r="M50" s="176"/>
      <c r="N50" s="176"/>
      <c r="O50" s="176"/>
      <c r="P50" s="176"/>
      <c r="Q50" s="176"/>
    </row>
    <row r="51" spans="4:17" ht="20.100000000000001" customHeight="1" x14ac:dyDescent="0.25">
      <c r="D51" s="36" t="s">
        <v>738</v>
      </c>
      <c r="E51" s="218">
        <f>SUM(P33:P33)</f>
        <v>0.193</v>
      </c>
      <c r="F51" s="27" t="str">
        <f t="shared" si="2"/>
        <v>t CO2-e</v>
      </c>
      <c r="H51" s="176"/>
      <c r="I51" s="176"/>
      <c r="J51" s="176"/>
      <c r="L51" s="176"/>
      <c r="M51" s="176"/>
      <c r="N51" s="176"/>
      <c r="O51" s="176"/>
      <c r="P51" s="176"/>
      <c r="Q51" s="176"/>
    </row>
    <row r="52" spans="4:17" ht="20.100000000000001" customHeight="1" x14ac:dyDescent="0.25">
      <c r="D52" s="36" t="s">
        <v>739</v>
      </c>
      <c r="E52" s="218">
        <f>SUM(Q33)</f>
        <v>6.6778000000000004</v>
      </c>
      <c r="F52" s="27" t="str">
        <f t="shared" si="2"/>
        <v>t CO2-e</v>
      </c>
      <c r="H52" s="176"/>
      <c r="I52" s="176"/>
      <c r="J52" s="176"/>
      <c r="L52" s="176"/>
      <c r="M52" s="176"/>
      <c r="N52" s="176"/>
      <c r="O52" s="176"/>
      <c r="P52" s="176"/>
      <c r="Q52" s="176"/>
    </row>
    <row r="53" spans="4:17" ht="20.100000000000001" customHeight="1" x14ac:dyDescent="0.25">
      <c r="D53" s="176"/>
      <c r="E53" s="220"/>
      <c r="F53" s="176"/>
      <c r="G53" s="176"/>
      <c r="H53" s="176"/>
      <c r="I53" s="176"/>
      <c r="J53" s="176"/>
      <c r="L53" s="176"/>
      <c r="M53" s="176"/>
      <c r="N53" s="176"/>
      <c r="O53" s="176"/>
      <c r="P53" s="176"/>
      <c r="Q53" s="176"/>
    </row>
    <row r="54" spans="4:17" ht="20.100000000000001" customHeight="1" x14ac:dyDescent="0.25">
      <c r="D54" s="215" t="str">
        <f>"Total scope 1 - " &amp; D34</f>
        <v>Total scope 1 - Aviation</v>
      </c>
      <c r="E54" s="219"/>
      <c r="F54" s="217"/>
      <c r="G54" s="176"/>
      <c r="H54" s="176"/>
      <c r="I54" s="176"/>
      <c r="J54" s="176"/>
      <c r="L54" s="176"/>
      <c r="M54" s="176"/>
      <c r="N54" s="176"/>
      <c r="O54" s="176"/>
      <c r="P54" s="176"/>
      <c r="Q54" s="176"/>
    </row>
    <row r="55" spans="4:17" ht="20.100000000000001" customHeight="1" x14ac:dyDescent="0.25">
      <c r="D55" s="36" t="s">
        <v>736</v>
      </c>
      <c r="E55" s="218">
        <f>SUM(N34:N36)</f>
        <v>0</v>
      </c>
      <c r="F55" s="27" t="str">
        <f t="shared" ref="F55:F58" si="3">$E$12</f>
        <v>t CO2-e</v>
      </c>
      <c r="G55" s="176"/>
      <c r="H55" s="176"/>
      <c r="I55" s="176"/>
      <c r="J55" s="176"/>
      <c r="L55" s="176"/>
      <c r="M55" s="176"/>
      <c r="N55" s="176"/>
      <c r="O55" s="176"/>
      <c r="P55" s="176"/>
      <c r="Q55" s="176"/>
    </row>
    <row r="56" spans="4:17" ht="20.100000000000001" customHeight="1" x14ac:dyDescent="0.25">
      <c r="D56" s="36" t="s">
        <v>737</v>
      </c>
      <c r="E56" s="218">
        <f>SUM(O34:O36)</f>
        <v>0</v>
      </c>
      <c r="F56" s="27" t="str">
        <f t="shared" si="3"/>
        <v>t CO2-e</v>
      </c>
      <c r="G56" s="176"/>
      <c r="H56" s="176"/>
      <c r="I56" s="176"/>
      <c r="J56" s="176"/>
      <c r="L56" s="176"/>
      <c r="M56" s="176"/>
      <c r="N56" s="176"/>
      <c r="O56" s="176"/>
      <c r="P56" s="176"/>
      <c r="Q56" s="176"/>
    </row>
    <row r="57" spans="4:17" ht="20.100000000000001" customHeight="1" x14ac:dyDescent="0.25">
      <c r="D57" s="36" t="s">
        <v>738</v>
      </c>
      <c r="E57" s="218">
        <f>SUM(P34:P36)</f>
        <v>0</v>
      </c>
      <c r="F57" s="27" t="str">
        <f t="shared" si="3"/>
        <v>t CO2-e</v>
      </c>
      <c r="G57" s="176"/>
      <c r="H57" s="176"/>
      <c r="I57" s="176"/>
      <c r="J57" s="176"/>
      <c r="L57" s="176"/>
      <c r="M57" s="176"/>
      <c r="N57" s="176"/>
      <c r="O57" s="176"/>
      <c r="P57" s="176"/>
      <c r="Q57" s="176"/>
    </row>
    <row r="58" spans="4:17" ht="20.100000000000001" customHeight="1" x14ac:dyDescent="0.25">
      <c r="D58" s="36" t="s">
        <v>739</v>
      </c>
      <c r="E58" s="218">
        <f>SUM(Q34:Q36)</f>
        <v>0</v>
      </c>
      <c r="F58" s="27" t="str">
        <f t="shared" si="3"/>
        <v>t CO2-e</v>
      </c>
      <c r="G58" s="176"/>
      <c r="H58" s="176"/>
      <c r="I58" s="176"/>
      <c r="J58" s="176"/>
      <c r="L58" s="176"/>
      <c r="M58" s="176"/>
      <c r="N58" s="176"/>
      <c r="O58" s="176"/>
      <c r="P58" s="176"/>
      <c r="Q58" s="176"/>
    </row>
    <row r="59" spans="4:17" ht="20.100000000000001" customHeight="1" x14ac:dyDescent="0.25">
      <c r="D59" s="176"/>
      <c r="E59" s="220"/>
      <c r="F59" s="176"/>
      <c r="G59" s="176"/>
      <c r="H59" s="176"/>
      <c r="I59" s="176"/>
      <c r="J59" s="176"/>
      <c r="L59" s="176"/>
      <c r="M59" s="176"/>
      <c r="N59" s="176"/>
      <c r="O59" s="176"/>
      <c r="P59" s="176"/>
      <c r="Q59" s="176"/>
    </row>
    <row r="60" spans="4:17" ht="20.100000000000001" customHeight="1" x14ac:dyDescent="0.25">
      <c r="D60" s="215" t="str">
        <f>"Total scope 1 - " &amp; D37</f>
        <v>Total scope 1 - Vessels</v>
      </c>
      <c r="E60" s="219"/>
      <c r="F60" s="217"/>
      <c r="G60" s="176"/>
      <c r="H60" s="176"/>
      <c r="I60" s="176"/>
      <c r="J60" s="176"/>
      <c r="L60" s="176"/>
      <c r="M60" s="176"/>
      <c r="N60" s="176"/>
      <c r="O60" s="176"/>
      <c r="P60" s="176"/>
      <c r="Q60" s="176"/>
    </row>
    <row r="61" spans="4:17" ht="20.100000000000001" customHeight="1" x14ac:dyDescent="0.25">
      <c r="D61" s="36" t="s">
        <v>736</v>
      </c>
      <c r="E61" s="218">
        <f>SUM(N37:N39)</f>
        <v>29.219199999999997</v>
      </c>
      <c r="F61" s="27" t="str">
        <f t="shared" ref="F61:F64" si="4">$E$12</f>
        <v>t CO2-e</v>
      </c>
      <c r="G61" s="176"/>
      <c r="H61" s="176"/>
      <c r="I61" s="176"/>
      <c r="J61" s="176"/>
      <c r="L61" s="176"/>
      <c r="M61" s="176"/>
      <c r="N61" s="176"/>
      <c r="O61" s="176"/>
      <c r="P61" s="176"/>
      <c r="Q61" s="176"/>
    </row>
    <row r="62" spans="4:17" ht="20.100000000000001" customHeight="1" x14ac:dyDescent="0.25">
      <c r="D62" s="36" t="s">
        <v>737</v>
      </c>
      <c r="E62" s="218">
        <f>SUM(O37:O39)</f>
        <v>7.9400000000000012E-2</v>
      </c>
      <c r="F62" s="27" t="str">
        <f t="shared" si="4"/>
        <v>t CO2-e</v>
      </c>
      <c r="G62" s="176"/>
      <c r="H62" s="176"/>
      <c r="I62" s="176"/>
      <c r="J62" s="176"/>
      <c r="L62" s="176"/>
      <c r="M62" s="176"/>
      <c r="N62" s="176"/>
      <c r="O62" s="176"/>
      <c r="P62" s="176"/>
      <c r="Q62" s="176"/>
    </row>
    <row r="63" spans="4:17" ht="20.100000000000001" customHeight="1" x14ac:dyDescent="0.25">
      <c r="D63" s="36" t="s">
        <v>738</v>
      </c>
      <c r="E63" s="218">
        <f>SUM(P37:P39)</f>
        <v>0.19850000000000001</v>
      </c>
      <c r="F63" s="27" t="str">
        <f t="shared" si="4"/>
        <v>t CO2-e</v>
      </c>
      <c r="G63" s="176"/>
      <c r="H63" s="176"/>
      <c r="I63" s="176"/>
      <c r="J63" s="176"/>
      <c r="L63" s="176"/>
      <c r="M63" s="176"/>
      <c r="N63" s="176"/>
      <c r="O63" s="176"/>
      <c r="P63" s="176"/>
      <c r="Q63" s="176"/>
    </row>
    <row r="64" spans="4:17" ht="20.100000000000001" customHeight="1" x14ac:dyDescent="0.25">
      <c r="D64" s="36" t="s">
        <v>739</v>
      </c>
      <c r="E64" s="218">
        <f>SUM(Q37:Q39)</f>
        <v>7.1459999999999999</v>
      </c>
      <c r="F64" s="27" t="str">
        <f t="shared" si="4"/>
        <v>t CO2-e</v>
      </c>
      <c r="G64" s="176"/>
      <c r="H64" s="176"/>
      <c r="I64" s="176"/>
      <c r="J64" s="176"/>
      <c r="L64" s="176"/>
      <c r="M64" s="176"/>
      <c r="N64" s="176"/>
      <c r="O64" s="176"/>
      <c r="P64" s="176"/>
      <c r="Q64" s="176"/>
    </row>
    <row r="65" spans="4:17" ht="20.100000000000001" customHeight="1" x14ac:dyDescent="0.25">
      <c r="G65" s="176"/>
      <c r="H65" s="176"/>
      <c r="I65" s="176"/>
      <c r="J65" s="176"/>
      <c r="L65" s="176"/>
      <c r="M65" s="176"/>
      <c r="N65" s="176"/>
      <c r="O65" s="176"/>
      <c r="P65" s="176"/>
      <c r="Q65" s="176"/>
    </row>
    <row r="66" spans="4:17" ht="20.100000000000001" customHeight="1" x14ac:dyDescent="0.25">
      <c r="D66" s="215" t="s">
        <v>740</v>
      </c>
      <c r="E66" s="221"/>
      <c r="F66" s="217"/>
      <c r="G66" s="176"/>
      <c r="H66" s="176"/>
      <c r="I66" s="176"/>
      <c r="J66" s="176"/>
      <c r="L66" s="176"/>
      <c r="M66" s="176"/>
      <c r="N66" s="176"/>
      <c r="O66" s="176"/>
      <c r="P66" s="176"/>
      <c r="Q66" s="176"/>
    </row>
    <row r="67" spans="4:17" ht="20.100000000000001" customHeight="1" x14ac:dyDescent="0.25">
      <c r="D67" s="36" t="s">
        <v>736</v>
      </c>
      <c r="E67" s="218">
        <f>E43+E49+E55+E61</f>
        <v>83.182000000000002</v>
      </c>
      <c r="F67" s="27" t="str">
        <f t="shared" ref="F67:F70" si="5">$E$12</f>
        <v>t CO2-e</v>
      </c>
      <c r="G67" s="176"/>
    </row>
    <row r="68" spans="4:17" ht="20.100000000000001" customHeight="1" x14ac:dyDescent="0.25">
      <c r="D68" s="36" t="s">
        <v>737</v>
      </c>
      <c r="E68" s="218">
        <f t="shared" ref="E68:E70" si="6">E44+E50+E56+E62</f>
        <v>0.19906000000000001</v>
      </c>
      <c r="F68" s="27" t="str">
        <f t="shared" si="5"/>
        <v>t CO2-e</v>
      </c>
      <c r="G68" s="176"/>
    </row>
    <row r="69" spans="4:17" ht="20.100000000000001" customHeight="1" x14ac:dyDescent="0.25">
      <c r="D69" s="36" t="s">
        <v>738</v>
      </c>
      <c r="E69" s="218">
        <f t="shared" si="6"/>
        <v>0.58450000000000002</v>
      </c>
      <c r="F69" s="27" t="str">
        <f t="shared" si="5"/>
        <v>t CO2-e</v>
      </c>
      <c r="G69" s="176"/>
    </row>
    <row r="70" spans="4:17" ht="20.100000000000001" customHeight="1" x14ac:dyDescent="0.25">
      <c r="D70" s="36" t="s">
        <v>739</v>
      </c>
      <c r="E70" s="218">
        <f t="shared" si="6"/>
        <v>20.5016</v>
      </c>
      <c r="F70" s="27" t="str">
        <f t="shared" si="5"/>
        <v>t CO2-e</v>
      </c>
      <c r="G70" s="176"/>
    </row>
    <row r="71" spans="4:17" ht="20.100000000000001" customHeight="1" x14ac:dyDescent="0.25">
      <c r="G71" s="176"/>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F2C65444-FB2A-434F-A943-4008D2936540}"/>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59D66-365B-4989-99D1-FD357DA19F3A}">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2" customFormat="1" ht="30" customHeight="1" x14ac:dyDescent="0.35">
      <c r="A1" s="16" t="e" vm="1">
        <v>#VALUE!</v>
      </c>
      <c r="C1" s="32" t="s">
        <v>741</v>
      </c>
    </row>
    <row r="2" spans="1:18" s="3" customFormat="1" ht="20.100000000000001" customHeight="1" x14ac:dyDescent="0.25">
      <c r="A2"/>
    </row>
    <row r="3" spans="1:18" ht="20.100000000000001" customHeight="1" x14ac:dyDescent="0.25">
      <c r="A3" s="5" t="str">
        <f>HYPERLINK("#'Home'!A1", "Home")</f>
        <v>Home</v>
      </c>
      <c r="C3" s="34"/>
      <c r="D3" s="34" t="s">
        <v>152</v>
      </c>
      <c r="E3" s="34"/>
      <c r="F3" s="34"/>
      <c r="G3" s="34"/>
      <c r="H3" s="34"/>
      <c r="I3" s="34"/>
      <c r="J3" s="34"/>
      <c r="K3" s="34"/>
      <c r="L3" s="34"/>
      <c r="M3" s="34"/>
      <c r="N3" s="34"/>
      <c r="O3" s="34"/>
      <c r="P3" s="34"/>
      <c r="Q3" s="34"/>
      <c r="R3" s="34"/>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6"/>
      <c r="P5" s="176"/>
      <c r="Q5" s="176"/>
      <c r="R5" s="176"/>
    </row>
    <row r="6" spans="1:18" ht="20.100000000000001" customHeight="1" x14ac:dyDescent="0.25">
      <c r="D6" s="28" t="str" cm="1">
        <f t="array" ref="D6">Fuel_Equations.VEERG_8_2_1_1__1_FuelCombustionStationary_Source()</f>
        <v>VEERG 2026: 8.2.1.1, Equation (1)</v>
      </c>
      <c r="K6" s="28" t="str" cm="1">
        <f t="array" ref="K6">Scope3_Equations.VEERG_15_11_1_1__3_UpstreamStationaryFuelEmissions_Source()</f>
        <v>VEERG 2026: 15.11.1.1, Equation (3)</v>
      </c>
      <c r="O6" s="176"/>
      <c r="P6" s="176"/>
      <c r="Q6" s="176"/>
      <c r="R6" s="176"/>
    </row>
    <row r="7" spans="1:18" ht="20.100000000000001" customHeight="1" x14ac:dyDescent="0.25">
      <c r="A7" s="7" t="s">
        <v>0</v>
      </c>
      <c r="D7" s="104" t="s">
        <v>257</v>
      </c>
      <c r="E7" s="104" t="str" cm="1">
        <f t="array" aca="1" ref="E7" ca="1">Common_InputFunctions.Utility_DisplayFunctionName(N25)</f>
        <v>=Fuel_Equations.VEERG_8_2_1_1__1_FuelCombustionStationary</v>
      </c>
      <c r="K7" s="37" t="str" cm="1">
        <f t="array" ref="K7">Scope3_Equations.VEERG_15_11_1_1__3_UpstreamStationaryFuelEmissions_Variation()</f>
        <v>VARIATION ON SOURCE: Added 'state' and 'metro/non-metro' arguments as gaseous scope 3 EFs are state and metro/non-metro location-based.</v>
      </c>
      <c r="O7" s="176"/>
      <c r="P7" s="176"/>
      <c r="Q7" s="176"/>
      <c r="R7" s="176"/>
    </row>
    <row r="8" spans="1:18" ht="20.100000000000001" customHeight="1" x14ac:dyDescent="0.25">
      <c r="A8" s="5" t="str">
        <f>HYPERLINK("#'Input - Enterprise'!A1", "Enterprise")</f>
        <v>Enterprise</v>
      </c>
      <c r="K8" s="104" t="s">
        <v>257</v>
      </c>
      <c r="L8" s="104" t="str" cm="1">
        <f t="array" aca="1" ref="L8" ca="1">Common_InputFunctions.Utility_DisplayFunctionName(Q25)</f>
        <v>=Fuel_Equations.VEERG_8_2_1_1__1_FuelCombustionStationary</v>
      </c>
      <c r="O8" s="176"/>
      <c r="P8" s="176"/>
      <c r="Q8" s="176"/>
      <c r="R8" s="176"/>
    </row>
    <row r="9" spans="1:18" ht="20.100000000000001" customHeight="1" x14ac:dyDescent="0.25">
      <c r="A9" s="5" t="str">
        <f>HYPERLINK("#'Input - Site'!A1", "Site")</f>
        <v>Site</v>
      </c>
      <c r="G9" s="28"/>
      <c r="O9" s="176"/>
      <c r="P9" s="176"/>
      <c r="Q9" s="176"/>
      <c r="R9" s="176"/>
    </row>
    <row r="10" spans="1:18" ht="20.100000000000001" customHeight="1" x14ac:dyDescent="0.25">
      <c r="A10" s="5" t="str">
        <f>HYPERLINK("#'Input - Pasture Beef'!A1", "Pasture Beef")</f>
        <v>Pasture Beef</v>
      </c>
      <c r="O10" s="176"/>
      <c r="P10" s="176"/>
      <c r="Q10" s="176"/>
      <c r="R10" s="176"/>
    </row>
    <row r="11" spans="1:18" ht="20.100000000000001" customHeight="1" x14ac:dyDescent="0.25">
      <c r="A11" s="5" t="str">
        <f>HYPERLINK("#'Input - Pasture Beef (Enteric)'!A1", "Pasture Beef (Enteric)")</f>
        <v>Pasture Beef (Enteric)</v>
      </c>
      <c r="D11" s="89" t="s">
        <v>259</v>
      </c>
      <c r="E11" s="1" t="str" cm="1">
        <f t="array" ref="E11">Fuel_Equations.VEERG_8_2_1_1__1_FuelCombustionStationary_Variable()</f>
        <v>E_g</v>
      </c>
      <c r="K11" s="89" t="s">
        <v>259</v>
      </c>
      <c r="L11" s="1" t="str" cm="1">
        <f t="array" ref="L11">Scope3_Equations.VEERG_15_11_1_1__3_UpstreamStationaryFuelEmissions_Variable()</f>
        <v>E_WTTSCq</v>
      </c>
      <c r="O11" s="176"/>
      <c r="P11" s="176"/>
      <c r="Q11" s="176"/>
      <c r="R11" s="176"/>
    </row>
    <row r="12" spans="1:18" ht="20.100000000000001" customHeight="1" x14ac:dyDescent="0.25">
      <c r="A12" s="5" t="str">
        <f>HYPERLINK("#'Input - Pasture'!A1", "Pasture")</f>
        <v>Pasture</v>
      </c>
      <c r="D12" s="89" t="s">
        <v>133</v>
      </c>
      <c r="E12" s="15" t="str" cm="1">
        <f t="array" ref="E12">Fuel_Equations.VEERG_8_2_1_1__1_FuelCombustionStationary_Unit()</f>
        <v>t CO2-e</v>
      </c>
      <c r="K12" s="89" t="s">
        <v>133</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6" t="str" cm="1">
        <f t="array" ref="D14:E20">_xlfn.CHOOSECOLS(Fuel_Equations.VEERG_8_2_1_1__1_FuelCombustionStationary_Arguments(), 1,2)</f>
        <v>Q_SCq</v>
      </c>
      <c r="E14" s="107" t="str">
        <v>Amount of fuel type q used for stationary combustion operations</v>
      </c>
      <c r="F14" s="109"/>
      <c r="G14" s="106" t="str" cm="1">
        <f t="array" ref="G14:H20">_xlfn.CHOOSECOLS(Fuel_Equations.VEERG_8_2_1_1__1_FuelCombustionStationary_Arguments(), 3,4)</f>
        <v>Varies based on fuel type: kL, m3, GJ</v>
      </c>
      <c r="H14" s="110" t="str">
        <v>Input</v>
      </c>
      <c r="I14" s="112" t="str" cm="1">
        <f t="array" aca="1" ref="I14" ca="1">HYPERLINK(Common_InputFunctions.Utility_SourceHyperlink($D$22), $D$22)</f>
        <v>Table_E_g</v>
      </c>
      <c r="K14" s="106" t="str" cm="1">
        <f t="array" ref="K14:L18">_xlfn.CHOOSECOLS(Scope3_Equations.VEERG_15_11_1_1__3_UpstreamStationaryFuelEmissions_Arguments(),1,2)</f>
        <v>Q_SCq</v>
      </c>
      <c r="L14" s="106" t="str">
        <v>amount of fuel q used for stationary combustion operations</v>
      </c>
      <c r="M14" s="106"/>
      <c r="N14" s="106" t="str" cm="1">
        <f t="array" ref="N14:O18">_xlfn.CHOOSECOLS(Scope3_Equations.VEERG_15_11_1_1__3_UpstreamStationaryFuelEmissions_Arguments(),3,4)</f>
        <v>kL</v>
      </c>
      <c r="O14" s="110" t="str">
        <v>Input</v>
      </c>
      <c r="P14" s="112" t="str" cm="1">
        <f t="array" aca="1" ref="P14" ca="1">HYPERLINK(Common_InputFunctions.Utility_SourceHyperlink($D$22), $D$22)</f>
        <v>Table_E_g</v>
      </c>
      <c r="Q14" s="176"/>
    </row>
    <row r="15" spans="1:18" ht="20.100000000000001" customHeight="1" x14ac:dyDescent="0.25">
      <c r="A15" s="5" t="str">
        <f>HYPERLINK("#'Input - Electricity'!A1", "Electricity")</f>
        <v>Electricity</v>
      </c>
      <c r="D15" s="106" t="str">
        <v>EC_SCq</v>
      </c>
      <c r="E15" s="107" t="str">
        <v>Energy content factor for stationary combustion operations</v>
      </c>
      <c r="F15" s="109"/>
      <c r="G15" s="106" t="str">
        <v>GJ / unit of fuel</v>
      </c>
      <c r="H15" s="111" t="str">
        <v>Constant</v>
      </c>
      <c r="I15" s="112" t="str" cm="1">
        <f t="array" aca="1" ref="I15" ca="1">HYPERLINK(Common_InputFunctions.Utility_SourceHyperlink($D$22), $D$22)</f>
        <v>Table_E_g</v>
      </c>
      <c r="K15" s="106" t="str">
        <v>EC_SCq</v>
      </c>
      <c r="L15" s="106" t="str">
        <v>energy content factor for stationary combustion operations</v>
      </c>
      <c r="M15" s="106"/>
      <c r="N15" s="106" t="str">
        <v>GJ/kL</v>
      </c>
      <c r="O15" s="111" t="str">
        <v>Constant</v>
      </c>
      <c r="P15" s="112" t="str" cm="1">
        <f t="array" aca="1" ref="P15" ca="1">HYPERLINK(Common_InputFunctions.Utility_SourceHyperlink($D$22), $D$22)</f>
        <v>Table_E_g</v>
      </c>
      <c r="Q15" s="176"/>
    </row>
    <row r="16" spans="1:18" ht="20.100000000000001" customHeight="1" x14ac:dyDescent="0.25">
      <c r="D16" s="106" t="str">
        <v>EF_SC1qg</v>
      </c>
      <c r="E16" s="107" t="str">
        <v>Scope 1 emission factor for stationary combustion for each greenhouse gas</v>
      </c>
      <c r="F16" s="109"/>
      <c r="G16" s="106" t="str">
        <v>kg CO2e / GJ</v>
      </c>
      <c r="H16" s="111" t="str">
        <v>Constant</v>
      </c>
      <c r="I16" s="112" t="str" cm="1">
        <f t="array" aca="1" ref="I16" ca="1">HYPERLINK(Common_InputFunctions.Utility_SourceHyperlink($D$22), $D$22)</f>
        <v>Table_E_g</v>
      </c>
      <c r="K16" s="106" t="str">
        <v>EF_SC3q</v>
      </c>
      <c r="L16" s="106" t="str">
        <v>scope 3 emission factor for stationary combustion operations</v>
      </c>
      <c r="M16" s="106"/>
      <c r="N16" s="106" t="str">
        <v>kg CO2e/GJ</v>
      </c>
      <c r="O16" s="111" t="str">
        <v>Constant</v>
      </c>
      <c r="P16" s="112" t="str" cm="1">
        <f t="array" aca="1" ref="P16" ca="1">HYPERLINK(Common_InputFunctions.Utility_SourceHyperlink($D$22), $D$22)</f>
        <v>Table_E_g</v>
      </c>
      <c r="Q16" s="176"/>
    </row>
    <row r="17" spans="1:17" ht="20.100000000000001" customHeight="1" x14ac:dyDescent="0.25">
      <c r="D17" s="106" t="str">
        <v>q</v>
      </c>
      <c r="E17" s="107" t="str">
        <v>Fuel type</v>
      </c>
      <c r="F17" s="109"/>
      <c r="G17" s="106" t="str">
        <v/>
      </c>
      <c r="H17" s="111" t="str">
        <v>Constant</v>
      </c>
      <c r="I17" s="112"/>
      <c r="J17" s="176"/>
      <c r="K17" s="106" t="str">
        <v>i</v>
      </c>
      <c r="L17" s="107" t="str">
        <v>state</v>
      </c>
      <c r="M17" s="109"/>
      <c r="N17" s="106" t="str">
        <v/>
      </c>
      <c r="O17" s="110" t="str">
        <v>Input</v>
      </c>
      <c r="P17" s="106" t="str">
        <f>X_Cell_Site_State</f>
        <v>Dry climate zone</v>
      </c>
      <c r="Q17" s="176"/>
    </row>
    <row r="18" spans="1:17" ht="20.100000000000001" customHeight="1" x14ac:dyDescent="0.25">
      <c r="A18" s="6" t="s">
        <v>2</v>
      </c>
      <c r="D18" s="106" t="str">
        <v>SC</v>
      </c>
      <c r="E18" s="107" t="str">
        <v>Stationary combustion</v>
      </c>
      <c r="F18" s="109"/>
      <c r="G18" s="106" t="str">
        <v/>
      </c>
      <c r="H18" s="111" t="str">
        <v>Constant</v>
      </c>
      <c r="I18" s="112"/>
      <c r="J18" s="176"/>
      <c r="K18" s="106" t="str">
        <v>m</v>
      </c>
      <c r="L18" s="107" t="str">
        <v>metropolitan/non-metropolitan location</v>
      </c>
      <c r="M18" s="109"/>
      <c r="N18" s="106" t="str">
        <v/>
      </c>
      <c r="O18" s="110" t="str">
        <v>Input</v>
      </c>
      <c r="P18" s="106" t="str">
        <f>X_Cell_Fuel_IsMetroLocation</f>
        <v>Metro</v>
      </c>
      <c r="Q18" s="176"/>
    </row>
    <row r="19" spans="1:17" ht="20.100000000000001" customHeight="1" x14ac:dyDescent="0.25">
      <c r="A19" s="5" t="str">
        <f>HYPERLINK("#'3.2.1.1-2 Enteric Methane'!A1", "3.2.1.1-2 Enteric methane")</f>
        <v>3.2.1.1-2 Enteric methane</v>
      </c>
      <c r="D19" s="106" t="str">
        <v>g</v>
      </c>
      <c r="E19" s="107" t="str">
        <v>Greenhouse gas</v>
      </c>
      <c r="F19" s="109"/>
      <c r="G19" s="106" t="str">
        <v/>
      </c>
      <c r="H19" s="111" t="str">
        <v>Constant</v>
      </c>
      <c r="I19" s="112"/>
      <c r="J19" s="176"/>
      <c r="L19" s="176"/>
      <c r="N19" s="176"/>
      <c r="O19" s="176"/>
      <c r="P19" s="176"/>
      <c r="Q19" s="176"/>
    </row>
    <row r="20" spans="1:17" ht="20.100000000000001" customHeight="1" x14ac:dyDescent="0.25">
      <c r="A20" s="5" t="str">
        <f>HYPERLINK("#'4.2.1.1-2 Methane'!A1", "4.2.1.1-2 Manure methane")</f>
        <v>4.2.1.1-2 Manure methane</v>
      </c>
      <c r="D20" s="106" t="str">
        <v>1</v>
      </c>
      <c r="E20" s="107" t="str">
        <v>Scope 1</v>
      </c>
      <c r="F20" s="109"/>
      <c r="G20" s="106" t="str">
        <v/>
      </c>
      <c r="H20" s="111" t="str">
        <v>Constant</v>
      </c>
      <c r="I20" s="112"/>
      <c r="J20" s="176"/>
      <c r="L20" s="176"/>
      <c r="N20" s="176"/>
      <c r="O20" s="176"/>
      <c r="P20" s="176"/>
      <c r="Q20" s="176"/>
    </row>
    <row r="21" spans="1:17" ht="20.100000000000001" customHeight="1" x14ac:dyDescent="0.25">
      <c r="A21" s="5" t="str">
        <f>HYPERLINK("#'4.2.1.3-4 Soil direct N20'!A1", "4.2.1.3-4 Soil direct N2O")</f>
        <v>4.2.1.3-4 Soil direct N2O</v>
      </c>
      <c r="O21" s="176"/>
      <c r="P21" s="176"/>
      <c r="Q21" s="176"/>
    </row>
    <row r="22" spans="1:17" ht="20.100000000000001" customHeight="1" x14ac:dyDescent="0.25">
      <c r="A22" s="5" t="str">
        <f>HYPERLINK("#'4.2.1.5-6 Soil Atmos Dep'!A1", "4.2.1.5-6 Soil atm. deposition")</f>
        <v>4.2.1.5-6 Soil atm. deposition</v>
      </c>
      <c r="D22" s="113" t="s">
        <v>720</v>
      </c>
    </row>
    <row r="23" spans="1:17" ht="20.100000000000001" customHeight="1" x14ac:dyDescent="0.25">
      <c r="A23" s="5" t="str">
        <f>HYPERLINK("#'4.2.1.7-8 Soil leach runoff'!A1", "4.2.1.7-8 Soil leach &amp; runoff")</f>
        <v>4.2.1.7-8 Soil leach &amp; runoff</v>
      </c>
      <c r="D23" s="114" t="s">
        <v>742</v>
      </c>
    </row>
    <row r="24" spans="1:17" ht="20.100000000000001" customHeight="1" x14ac:dyDescent="0.25">
      <c r="A24" s="5" t="str">
        <f>HYPERLINK("#'5.1.1.1-2 Inorganic fert N2O'!A1", "5.1.1.1-2 Inorganic fert N2O")</f>
        <v>5.1.1.1-2 Inorganic fert N2O</v>
      </c>
      <c r="D24" s="115" t="s">
        <v>722</v>
      </c>
      <c r="E24" s="115" t="s">
        <v>723</v>
      </c>
      <c r="F24" s="115" t="s">
        <v>724</v>
      </c>
      <c r="G24" s="115" t="s">
        <v>743</v>
      </c>
      <c r="H24" s="115" t="s">
        <v>744</v>
      </c>
      <c r="I24" s="115" t="s">
        <v>745</v>
      </c>
      <c r="J24" s="115" t="s">
        <v>746</v>
      </c>
      <c r="K24" s="115" t="s">
        <v>747</v>
      </c>
      <c r="L24" s="116" t="s">
        <v>748</v>
      </c>
      <c r="M24" s="115" t="s">
        <v>731</v>
      </c>
      <c r="N24" s="115" t="s">
        <v>732</v>
      </c>
      <c r="O24" s="115" t="s">
        <v>733</v>
      </c>
      <c r="P24" s="115" t="s">
        <v>734</v>
      </c>
      <c r="Q24" s="115" t="s">
        <v>749</v>
      </c>
    </row>
    <row r="25" spans="1:17" ht="20.100000000000001" customHeight="1" x14ac:dyDescent="0.25">
      <c r="A25" s="5" t="str">
        <f>HYPERLINK("#'5.1.1.3-4 Inorganic fert CO2'!A1", "5.1.1.3-4 Inorganic fert CO2")</f>
        <v>5.1.1.3-4 Inorganic fert CO2</v>
      </c>
      <c r="D25" s="36" t="str">
        <f>Table_FuelTypesPerUse[[#Headers],[Generators]]</f>
        <v>Generators</v>
      </c>
      <c r="E25" s="200" t="str">
        <f>'Constants - Fuel'!$D$58</f>
        <v>Automotive gasoline / petrol (other than for use as fuel in an aircraft)</v>
      </c>
      <c r="F25" s="200" t="str">
        <f>'Constants - Fuel'!D131</f>
        <v>Petrol</v>
      </c>
      <c r="G25" s="26">
        <f>IFERROR(_xlfn.XLOOKUP($E25, Table_Fuel_EFs_StationaryLiquid[Fuel combusted], Table_Fuel_EFs_StationaryLiquid[Energy Content Factor (GJ per unit of fuel)]),0)</f>
        <v>34.200000000000003</v>
      </c>
      <c r="H25" s="26">
        <f>IFERROR(_xlfn.XLOOKUP($E25, Table_Fuel_EFs_StationaryLiquid[Fuel combusted], Table_Fuel_EFs_StationaryLiquid[Scope 1 Emission Factor (kg CO2 - e / GJ) CO2]),0)</f>
        <v>67.400000000000006</v>
      </c>
      <c r="I25" s="26">
        <f>IFERROR(_xlfn.XLOOKUP($E25, Table_Fuel_EFs_StationaryLiquid[Fuel combusted], Table_Fuel_EFs_StationaryLiquid[Scope 1 Emission Factor (kg CO2 - e / GJ) CH4]),0)</f>
        <v>0.2</v>
      </c>
      <c r="J25" s="26">
        <f>IFERROR(_xlfn.XLOOKUP($E25, Table_Fuel_EFs_StationaryLiquid[Fuel combusted], Table_Fuel_EFs_StationaryLiquid[Scope 1 Emission Factor (kg CO2 - e / GJ) N2O]),0)</f>
        <v>0.2</v>
      </c>
      <c r="K25" s="26">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222" cm="1">
        <f t="array" ref="N25">Fuel_Equations.VEERG_8_2_1_1__1_FuelCombustionStationary($L25,$G25,H25)</f>
        <v>0</v>
      </c>
      <c r="O25" s="222" cm="1">
        <f t="array" ref="O25">Fuel_Equations.VEERG_8_2_1_1__1_FuelCombustionStationary($L25,$G25,I25)</f>
        <v>0</v>
      </c>
      <c r="P25" s="222" cm="1">
        <f t="array" ref="P25">Fuel_Equations.VEERG_8_2_1_1__1_FuelCombustionStationary($L25,$G25,J25)</f>
        <v>0</v>
      </c>
      <c r="Q25" s="222"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2" t="str">
        <f t="shared" ref="D26:D31" si="0">$D$25</f>
        <v>Generators</v>
      </c>
      <c r="E26" s="200" t="str">
        <f>'Constants - Fuel'!$D$63</f>
        <v>Diesel oil</v>
      </c>
      <c r="F26" s="200" t="str">
        <f>'Constants - Fuel'!D132</f>
        <v>Diesel</v>
      </c>
      <c r="G26" s="26">
        <f>IFERROR(_xlfn.XLOOKUP($E26, Table_Fuel_EFs_StationaryLiquid[Fuel combusted], Table_Fuel_EFs_StationaryLiquid[Energy Content Factor (GJ per unit of fuel)]),0)</f>
        <v>38.6</v>
      </c>
      <c r="H26" s="26">
        <f>IFERROR(_xlfn.XLOOKUP($E26, Table_Fuel_EFs_StationaryLiquid[Fuel combusted], Table_Fuel_EFs_StationaryLiquid[Scope 1 Emission Factor (kg CO2 - e / GJ) CO2]),0)</f>
        <v>69.900000000000006</v>
      </c>
      <c r="I26" s="26">
        <f>IFERROR(_xlfn.XLOOKUP($E26, Table_Fuel_EFs_StationaryLiquid[Fuel combusted], Table_Fuel_EFs_StationaryLiquid[Scope 1 Emission Factor (kg CO2 - e / GJ) CH4]),0)</f>
        <v>0.1</v>
      </c>
      <c r="J26" s="26">
        <f>IFERROR(_xlfn.XLOOKUP($E26, Table_Fuel_EFs_StationaryLiquid[Fuel combusted], Table_Fuel_EFs_StationaryLiquid[Scope 1 Emission Factor (kg CO2 - e / GJ) N2O]),0)</f>
        <v>0.2</v>
      </c>
      <c r="K26" s="26">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222" cm="1">
        <f t="array" ref="N26">Fuel_Equations.VEERG_8_2_1_1__1_FuelCombustionStationary($L26,$G26,H26)</f>
        <v>0</v>
      </c>
      <c r="O26" s="222" cm="1">
        <f t="array" ref="O26">Fuel_Equations.VEERG_8_2_1_1__1_FuelCombustionStationary($L26,$G26,I26)</f>
        <v>0</v>
      </c>
      <c r="P26" s="222" cm="1">
        <f t="array" ref="P26">Fuel_Equations.VEERG_8_2_1_1__1_FuelCombustionStationary($L26,$G26,J26)</f>
        <v>0</v>
      </c>
      <c r="Q26" s="222" cm="1">
        <f t="array" ref="Q26">Fuel_Equations.VEERG_8_2_1_1__1_FuelCombustionStationary($L26,$G26,IF(ISNUMBER(K26), K26, 0))</f>
        <v>0</v>
      </c>
    </row>
    <row r="27" spans="1:17" ht="20.100000000000001" customHeight="1" x14ac:dyDescent="0.25">
      <c r="A27" s="5" t="str">
        <f>HYPERLINK("#'5.3.1.1-2 Lime CO2'!A1", "5.3.1.1-2 Lime CO2")</f>
        <v>5.3.1.1-2 Lime CO2</v>
      </c>
      <c r="D27" s="202" t="str">
        <f t="shared" si="0"/>
        <v>Generators</v>
      </c>
      <c r="E27" s="200" t="str">
        <f>'Constants - Fuel'!$D$67</f>
        <v>Liquefied petroleum gas (LPG)</v>
      </c>
      <c r="F27" s="200" t="str">
        <f>'Constants - Fuel'!D133</f>
        <v>Liquefied petroleum gas (LPG)</v>
      </c>
      <c r="G27" s="26">
        <f>IFERROR(_xlfn.XLOOKUP($E27, Table_Fuel_EFs_StationaryLiquid[Fuel combusted], Table_Fuel_EFs_StationaryLiquid[Energy Content Factor (GJ per unit of fuel)]),0)</f>
        <v>25.7</v>
      </c>
      <c r="H27" s="26">
        <f>IFERROR(_xlfn.XLOOKUP($E27, Table_Fuel_EFs_StationaryLiquid[Fuel combusted], Table_Fuel_EFs_StationaryLiquid[Scope 1 Emission Factor (kg CO2 - e / GJ) CO2]),0)</f>
        <v>60.2</v>
      </c>
      <c r="I27" s="26">
        <f>IFERROR(_xlfn.XLOOKUP($E27, Table_Fuel_EFs_StationaryLiquid[Fuel combusted], Table_Fuel_EFs_StationaryLiquid[Scope 1 Emission Factor (kg CO2 - e / GJ) CH4]),0)</f>
        <v>0.2</v>
      </c>
      <c r="J27" s="26">
        <f>IFERROR(_xlfn.XLOOKUP($E27, Table_Fuel_EFs_StationaryLiquid[Fuel combusted], Table_Fuel_EFs_StationaryLiquid[Scope 1 Emission Factor (kg CO2 - e / GJ) N2O]),0)</f>
        <v>0.2</v>
      </c>
      <c r="K27" s="26">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222" cm="1">
        <f t="array" ref="N27">Fuel_Equations.VEERG_8_2_1_1__1_FuelCombustionStationary($L27,$G27,H27)</f>
        <v>0</v>
      </c>
      <c r="O27" s="222" cm="1">
        <f t="array" ref="O27">Fuel_Equations.VEERG_8_2_1_1__1_FuelCombustionStationary($L27,$G27,I27)</f>
        <v>0</v>
      </c>
      <c r="P27" s="222" cm="1">
        <f t="array" ref="P27">Fuel_Equations.VEERG_8_2_1_1__1_FuelCombustionStationary($L27,$G27,J27)</f>
        <v>0</v>
      </c>
      <c r="Q27" s="222"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2" t="str">
        <f t="shared" si="0"/>
        <v>Generators</v>
      </c>
      <c r="E28" s="200" t="str">
        <f>'Constants - Fuel'!$D$73</f>
        <v>Biodiesel</v>
      </c>
      <c r="F28" s="200" t="str">
        <f>'Constants - Fuel'!D134</f>
        <v>Biodiesel</v>
      </c>
      <c r="G28" s="26">
        <f>IFERROR(_xlfn.XLOOKUP($E28, Table_Fuel_EFs_StationaryLiquid[Fuel combusted], Table_Fuel_EFs_StationaryLiquid[Energy Content Factor (GJ per unit of fuel)]),0)</f>
        <v>34.6</v>
      </c>
      <c r="H28" s="26">
        <f>IFERROR(_xlfn.XLOOKUP($E28, Table_Fuel_EFs_StationaryLiquid[Fuel combusted], Table_Fuel_EFs_StationaryLiquid[Scope 1 Emission Factor (kg CO2 - e / GJ) CO2]),0)</f>
        <v>0</v>
      </c>
      <c r="I28" s="26">
        <f>IFERROR(_xlfn.XLOOKUP($E28, Table_Fuel_EFs_StationaryLiquid[Fuel combusted], Table_Fuel_EFs_StationaryLiquid[Scope 1 Emission Factor (kg CO2 - e / GJ) CH4]),0)</f>
        <v>0.08</v>
      </c>
      <c r="J28" s="26">
        <f>IFERROR(_xlfn.XLOOKUP($E28, Table_Fuel_EFs_StationaryLiquid[Fuel combusted], Table_Fuel_EFs_StationaryLiquid[Scope 1 Emission Factor (kg CO2 - e / GJ) N2O]),0)</f>
        <v>0.2</v>
      </c>
      <c r="K28" s="26"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222" cm="1">
        <f t="array" ref="N28">Fuel_Equations.VEERG_8_2_1_1__1_FuelCombustionStationary($L28,$G28,H28)</f>
        <v>0</v>
      </c>
      <c r="O28" s="222" cm="1">
        <f t="array" ref="O28">Fuel_Equations.VEERG_8_2_1_1__1_FuelCombustionStationary($L28,$G28,I28)</f>
        <v>0</v>
      </c>
      <c r="P28" s="222" cm="1">
        <f t="array" ref="P28">Fuel_Equations.VEERG_8_2_1_1__1_FuelCombustionStationary($L28,$G28,J28)</f>
        <v>0</v>
      </c>
      <c r="Q28" s="222"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2" t="str">
        <f t="shared" si="0"/>
        <v>Generators</v>
      </c>
      <c r="E29" s="200" t="str">
        <f>'Constants - Fuel'!$D$74</f>
        <v>Ethanol for use as a fuel in an internal combustion engine</v>
      </c>
      <c r="F29" s="200" t="str">
        <f>'Constants - Fuel'!D135</f>
        <v>Ethanol</v>
      </c>
      <c r="G29" s="26">
        <f>IFERROR(_xlfn.XLOOKUP($E29, Table_Fuel_EFs_StationaryLiquid[Fuel combusted], Table_Fuel_EFs_StationaryLiquid[Energy Content Factor (GJ per unit of fuel)]),0)</f>
        <v>23.4</v>
      </c>
      <c r="H29" s="26">
        <f>IFERROR(_xlfn.XLOOKUP($E29, Table_Fuel_EFs_StationaryLiquid[Fuel combusted], Table_Fuel_EFs_StationaryLiquid[Scope 1 Emission Factor (kg CO2 - e / GJ) CO2]),0)</f>
        <v>0</v>
      </c>
      <c r="I29" s="26">
        <f>IFERROR(_xlfn.XLOOKUP($E29, Table_Fuel_EFs_StationaryLiquid[Fuel combusted], Table_Fuel_EFs_StationaryLiquid[Scope 1 Emission Factor (kg CO2 - e / GJ) CH4]),0)</f>
        <v>0.08</v>
      </c>
      <c r="J29" s="26">
        <f>IFERROR(_xlfn.XLOOKUP($E29, Table_Fuel_EFs_StationaryLiquid[Fuel combusted], Table_Fuel_EFs_StationaryLiquid[Scope 1 Emission Factor (kg CO2 - e / GJ) N2O]),0)</f>
        <v>0.2</v>
      </c>
      <c r="K29" s="26"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222" cm="1">
        <f t="array" ref="N29">Fuel_Equations.VEERG_8_2_1_1__1_FuelCombustionStationary($L29,$G29,H29)</f>
        <v>0</v>
      </c>
      <c r="O29" s="222" cm="1">
        <f t="array" ref="O29">Fuel_Equations.VEERG_8_2_1_1__1_FuelCombustionStationary($L29,$G29,I29)</f>
        <v>0</v>
      </c>
      <c r="P29" s="222" cm="1">
        <f t="array" ref="P29">Fuel_Equations.VEERG_8_2_1_1__1_FuelCombustionStationary($L29,$G29,J29)</f>
        <v>0</v>
      </c>
      <c r="Q29" s="222"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2" t="str">
        <f t="shared" si="0"/>
        <v>Generators</v>
      </c>
      <c r="E30" s="200" t="str">
        <f>'Constants - Fuel'!$D$75</f>
        <v>Biofuels other than those mentioned in the items above and below</v>
      </c>
      <c r="F30" s="200" t="str">
        <f>'Constants - Fuel'!D136</f>
        <v>Other biofuels</v>
      </c>
      <c r="G30" s="26">
        <f>IFERROR(_xlfn.XLOOKUP($E30, Table_Fuel_EFs_StationaryLiquid[Fuel combusted], Table_Fuel_EFs_StationaryLiquid[Energy Content Factor (GJ per unit of fuel)]),0)</f>
        <v>23.4</v>
      </c>
      <c r="H30" s="26">
        <f>IFERROR(_xlfn.XLOOKUP($E30, Table_Fuel_EFs_StationaryLiquid[Fuel combusted], Table_Fuel_EFs_StationaryLiquid[Scope 1 Emission Factor (kg CO2 - e / GJ) CO2]),0)</f>
        <v>0</v>
      </c>
      <c r="I30" s="26">
        <f>IFERROR(_xlfn.XLOOKUP($E30, Table_Fuel_EFs_StationaryLiquid[Fuel combusted], Table_Fuel_EFs_StationaryLiquid[Scope 1 Emission Factor (kg CO2 - e / GJ) CH4]),0)</f>
        <v>0.08</v>
      </c>
      <c r="J30" s="26">
        <f>IFERROR(_xlfn.XLOOKUP($E30, Table_Fuel_EFs_StationaryLiquid[Fuel combusted], Table_Fuel_EFs_StationaryLiquid[Scope 1 Emission Factor (kg CO2 - e / GJ) N2O]),0)</f>
        <v>0.2</v>
      </c>
      <c r="K30" s="26"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222" cm="1">
        <f t="array" ref="N30">Fuel_Equations.VEERG_8_2_1_1__1_FuelCombustionStationary($L30,$G30,H30)</f>
        <v>0</v>
      </c>
      <c r="O30" s="222" cm="1">
        <f t="array" ref="O30">Fuel_Equations.VEERG_8_2_1_1__1_FuelCombustionStationary($L30,$G30,I30)</f>
        <v>0</v>
      </c>
      <c r="P30" s="222" cm="1">
        <f t="array" ref="P30">Fuel_Equations.VEERG_8_2_1_1__1_FuelCombustionStationary($L30,$G30,J30)</f>
        <v>0</v>
      </c>
      <c r="Q30" s="222"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2" t="str">
        <f t="shared" si="0"/>
        <v>Generators</v>
      </c>
      <c r="E31" s="200" t="str">
        <f>'Constants - Fuel'!$D$77</f>
        <v>Renewable diesel</v>
      </c>
      <c r="F31" s="200" t="str">
        <f>'Constants - Fuel'!D137</f>
        <v>Renewable diesel</v>
      </c>
      <c r="G31" s="198">
        <f>IFERROR(_xlfn.XLOOKUP($E31, Table_Fuel_EFs_StationaryLiquid[Fuel combusted], Table_Fuel_EFs_StationaryLiquid[Energy Content Factor (GJ per unit of fuel)]),0)</f>
        <v>38.6</v>
      </c>
      <c r="H31" s="198">
        <f>IFERROR(_xlfn.XLOOKUP($E31, Table_Fuel_EFs_StationaryLiquid[Fuel combusted], Table_Fuel_EFs_StationaryLiquid[Scope 1 Emission Factor (kg CO2 - e / GJ) CO2]),0)</f>
        <v>0</v>
      </c>
      <c r="I31" s="198">
        <f>IFERROR(_xlfn.XLOOKUP($E31, Table_Fuel_EFs_StationaryLiquid[Fuel combusted], Table_Fuel_EFs_StationaryLiquid[Scope 1 Emission Factor (kg CO2 - e / GJ) CH4]),0)</f>
        <v>0.1</v>
      </c>
      <c r="J31" s="198">
        <f>IFERROR(_xlfn.XLOOKUP($E31, Table_Fuel_EFs_StationaryLiquid[Fuel combusted], Table_Fuel_EFs_StationaryLiquid[Scope 1 Emission Factor (kg CO2 - e / GJ) N2O]),0)</f>
        <v>0.2</v>
      </c>
      <c r="K31" s="198" t="str">
        <f>IFERROR(_xlfn.XLOOKUP($E31, Table_Fuel_EFs_StationaryLiquid[Fuel combusted], Table_Fuel_EFs_StationaryLiquid[Scope 3 Emission Factor (kg CO2 - e / GJ)]),0)</f>
        <v>NE</v>
      </c>
      <c r="L31" s="203" cm="1">
        <f t="array" ref="L31">Fuel_InputFunctions.Fuel_TotalConsumption(Table_Input_Fuel[Amount consumed], Table_Input_Fuel[Fuel use (select)], D31, Table_Input_Fuel[Fuel type (select)],F31)</f>
        <v>0</v>
      </c>
      <c r="M31" s="203" t="str" cm="1">
        <f t="array" ref="M31">Common_InputFunctions.Utility_LookupValueInTable(F31,Table_FuelTypes_Units[Fuel type],Table_FuelTypes_Units[Unit])</f>
        <v>kL</v>
      </c>
      <c r="N31" s="223" cm="1">
        <f t="array" ref="N31">Fuel_Equations.VEERG_8_2_1_1__1_FuelCombustionStationary($L31,$G31,H31)</f>
        <v>0</v>
      </c>
      <c r="O31" s="223" cm="1">
        <f t="array" ref="O31">Fuel_Equations.VEERG_8_2_1_1__1_FuelCombustionStationary($L31,$G31,I31)</f>
        <v>0</v>
      </c>
      <c r="P31" s="223" cm="1">
        <f t="array" ref="P31">Fuel_Equations.VEERG_8_2_1_1__1_FuelCombustionStationary($L31,$G31,J31)</f>
        <v>0</v>
      </c>
      <c r="Q31" s="223"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5" t="str">
        <f>Table_FuelTypesPerUse[[#Headers],[Power standalone machinery or heating]]</f>
        <v>Power standalone machinery or heating</v>
      </c>
      <c r="E32" s="206" t="str">
        <f>'Constants - Fuel'!$D$58</f>
        <v>Automotive gasoline / petrol (other than for use as fuel in an aircraft)</v>
      </c>
      <c r="F32" s="206" t="str">
        <f>'Constants - Fuel'!E131</f>
        <v>Petrol</v>
      </c>
      <c r="G32" s="213">
        <f>IFERROR(_xlfn.XLOOKUP($E32, Table_Fuel_EFs_StationaryLiquid[Fuel combusted], Table_Fuel_EFs_StationaryLiquid[Energy Content Factor (GJ per unit of fuel)]),0)</f>
        <v>34.200000000000003</v>
      </c>
      <c r="H32" s="213">
        <f>IFERROR(_xlfn.XLOOKUP($E32, Table_Fuel_EFs_StationaryLiquid[Fuel combusted], Table_Fuel_EFs_StationaryLiquid[Scope 1 Emission Factor (kg CO2 - e / GJ) CO2]),0)</f>
        <v>67.400000000000006</v>
      </c>
      <c r="I32" s="213">
        <f>IFERROR(_xlfn.XLOOKUP($E32, Table_Fuel_EFs_StationaryLiquid[Fuel combusted], Table_Fuel_EFs_StationaryLiquid[Scope 1 Emission Factor (kg CO2 - e / GJ) CH4]),0)</f>
        <v>0.2</v>
      </c>
      <c r="J32" s="213">
        <f>IFERROR(_xlfn.XLOOKUP($E32, Table_Fuel_EFs_StationaryLiquid[Fuel combusted], Table_Fuel_EFs_StationaryLiquid[Scope 1 Emission Factor (kg CO2 - e / GJ) N2O]),0)</f>
        <v>0.2</v>
      </c>
      <c r="K32" s="213">
        <f>IFERROR(_xlfn.XLOOKUP($E32, Table_Fuel_EFs_StationaryLiquid[Fuel combusted], Table_Fuel_EFs_StationaryLiquid[Scope 3 Emission Factor (kg CO2 - e / GJ)]),0)</f>
        <v>17.2</v>
      </c>
      <c r="L32" s="209" cm="1">
        <f t="array" ref="L32">Fuel_InputFunctions.Fuel_TotalConsumption(Table_Input_Fuel[Amount consumed], Table_Input_Fuel[Fuel use (select)], D32, Table_Input_Fuel[Fuel type (select)],F32)</f>
        <v>10</v>
      </c>
      <c r="M32" s="210" t="str" cm="1">
        <f t="array" ref="M32">Common_InputFunctions.Utility_LookupValueInTable(F32,Table_FuelTypes_Units[Fuel type],Table_FuelTypes_Units[Unit])</f>
        <v>kL</v>
      </c>
      <c r="N32" s="224" cm="1">
        <f t="array" ref="N32">Fuel_Equations.VEERG_8_2_1_1__1_FuelCombustionStationary($L32,$G32,H32)</f>
        <v>23.050800000000002</v>
      </c>
      <c r="O32" s="224" cm="1">
        <f t="array" ref="O32">Fuel_Equations.VEERG_8_2_1_1__1_FuelCombustionStationary($L32,$G32,I32)</f>
        <v>6.8400000000000002E-2</v>
      </c>
      <c r="P32" s="224" cm="1">
        <f t="array" ref="P32">Fuel_Equations.VEERG_8_2_1_1__1_FuelCombustionStationary($L32,$G32,J32)</f>
        <v>6.8400000000000002E-2</v>
      </c>
      <c r="Q32" s="224" cm="1">
        <f t="array" ref="Q32">Fuel_Equations.VEERG_8_2_1_1__1_FuelCombustionStationary($L32,$G32,IF(ISNUMBER(K32), K32, 0))</f>
        <v>5.8823999999999996</v>
      </c>
    </row>
    <row r="33" spans="1:17" ht="20.100000000000001" customHeight="1" x14ac:dyDescent="0.25">
      <c r="A33" s="105" t="str">
        <f>HYPERLINK("#'8.2.1.1-2 Stationary fuel'!A1", "8.2.1.1-2 Stationary fuel")</f>
        <v>8.2.1.1-2 Stationary fuel</v>
      </c>
      <c r="D33" s="202" t="str">
        <f t="shared" ref="D33:D40" si="1">$D$32</f>
        <v>Power standalone machinery or heating</v>
      </c>
      <c r="E33" s="200" t="str">
        <f>'Constants - Fuel'!$D$63</f>
        <v>Diesel oil</v>
      </c>
      <c r="F33" s="200" t="str">
        <f>'Constants - Fuel'!E132</f>
        <v>Diesel</v>
      </c>
      <c r="G33" s="26">
        <f>IFERROR(_xlfn.XLOOKUP($E33, Table_Fuel_EFs_StationaryLiquid[Fuel combusted], Table_Fuel_EFs_StationaryLiquid[Energy Content Factor (GJ per unit of fuel)]),0)</f>
        <v>38.6</v>
      </c>
      <c r="H33" s="26">
        <f>IFERROR(_xlfn.XLOOKUP($E33, Table_Fuel_EFs_StationaryLiquid[Fuel combusted], Table_Fuel_EFs_StationaryLiquid[Scope 1 Emission Factor (kg CO2 - e / GJ) CO2]),0)</f>
        <v>69.900000000000006</v>
      </c>
      <c r="I33" s="26">
        <f>IFERROR(_xlfn.XLOOKUP($E33, Table_Fuel_EFs_StationaryLiquid[Fuel combusted], Table_Fuel_EFs_StationaryLiquid[Scope 1 Emission Factor (kg CO2 - e / GJ) CH4]),0)</f>
        <v>0.1</v>
      </c>
      <c r="J33" s="26">
        <f>IFERROR(_xlfn.XLOOKUP($E33, Table_Fuel_EFs_StationaryLiquid[Fuel combusted], Table_Fuel_EFs_StationaryLiquid[Scope 1 Emission Factor (kg CO2 - e / GJ) N2O]),0)</f>
        <v>0.2</v>
      </c>
      <c r="K33" s="26">
        <f>IFERROR(_xlfn.XLOOKUP($E33, Table_Fuel_EFs_StationaryLiquid[Fuel combusted], Table_Fuel_EFs_StationaryLiquid[Scope 3 Emission Factor (kg CO2 - e / GJ)]),0)</f>
        <v>17.3</v>
      </c>
      <c r="L33" s="26" cm="1">
        <f t="array" ref="L33">Fuel_InputFunctions.Fuel_TotalConsumption(Table_Input_Fuel[Amount consumed], Table_Input_Fuel[Fuel use (select)], D33, Table_Input_Fuel[Fuel type (select)],F33)</f>
        <v>0</v>
      </c>
      <c r="M33" s="26" t="str" cm="1">
        <f t="array" ref="M33">Common_InputFunctions.Utility_LookupValueInTable(F33,Table_FuelTypes_Units[Fuel type],Table_FuelTypes_Units[Unit])</f>
        <v>kL</v>
      </c>
      <c r="N33" s="222" cm="1">
        <f t="array" ref="N33">Fuel_Equations.VEERG_8_2_1_1__1_FuelCombustionStationary($L33,$G33,H33)</f>
        <v>0</v>
      </c>
      <c r="O33" s="222" cm="1">
        <f t="array" ref="O33">Fuel_Equations.VEERG_8_2_1_1__1_FuelCombustionStationary($L33,$G33,I33)</f>
        <v>0</v>
      </c>
      <c r="P33" s="222" cm="1">
        <f t="array" ref="P33">Fuel_Equations.VEERG_8_2_1_1__1_FuelCombustionStationary($L33,$G33,J33)</f>
        <v>0</v>
      </c>
      <c r="Q33" s="222"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2" t="str">
        <f t="shared" si="1"/>
        <v>Power standalone machinery or heating</v>
      </c>
      <c r="E34" s="200" t="str">
        <f>'Constants - Fuel'!$D$67</f>
        <v>Liquefied petroleum gas (LPG)</v>
      </c>
      <c r="F34" s="200" t="str">
        <f>'Constants - Fuel'!E133</f>
        <v>Liquefied petroleum gas (LPG)</v>
      </c>
      <c r="G34" s="26">
        <f>IFERROR(_xlfn.XLOOKUP($E34, Table_Fuel_EFs_StationaryLiquid[Fuel combusted], Table_Fuel_EFs_StationaryLiquid[Energy Content Factor (GJ per unit of fuel)]),0)</f>
        <v>25.7</v>
      </c>
      <c r="H34" s="26">
        <f>IFERROR(_xlfn.XLOOKUP($E34, Table_Fuel_EFs_StationaryLiquid[Fuel combusted], Table_Fuel_EFs_StationaryLiquid[Scope 1 Emission Factor (kg CO2 - e / GJ) CO2]),0)</f>
        <v>60.2</v>
      </c>
      <c r="I34" s="26">
        <f>IFERROR(_xlfn.XLOOKUP($E34, Table_Fuel_EFs_StationaryLiquid[Fuel combusted], Table_Fuel_EFs_StationaryLiquid[Scope 1 Emission Factor (kg CO2 - e / GJ) CH4]),0)</f>
        <v>0.2</v>
      </c>
      <c r="J34" s="26">
        <f>IFERROR(_xlfn.XLOOKUP($E34, Table_Fuel_EFs_StationaryLiquid[Fuel combusted], Table_Fuel_EFs_StationaryLiquid[Scope 1 Emission Factor (kg CO2 - e / GJ) N2O]),0)</f>
        <v>0.2</v>
      </c>
      <c r="K34" s="26">
        <f>IFERROR(_xlfn.XLOOKUP($E34, Table_Fuel_EFs_StationaryLiquid[Fuel combusted], Table_Fuel_EFs_StationaryLiquid[Scope 3 Emission Factor (kg CO2 - e / GJ)]),0)</f>
        <v>20.2</v>
      </c>
      <c r="L34" s="26" cm="1">
        <f t="array" ref="L34">Fuel_InputFunctions.Fuel_TotalConsumption(Table_Input_Fuel[Amount consumed], Table_Input_Fuel[Fuel use (select)], D34, Table_Input_Fuel[Fuel type (select)],F34)</f>
        <v>0</v>
      </c>
      <c r="M34" s="26" t="str" cm="1">
        <f t="array" ref="M34">Common_InputFunctions.Utility_LookupValueInTable(F34,Table_FuelTypes_Units[Fuel type],Table_FuelTypes_Units[Unit])</f>
        <v>kL</v>
      </c>
      <c r="N34" s="222" cm="1">
        <f t="array" ref="N34">Fuel_Equations.VEERG_8_2_1_1__1_FuelCombustionStationary($L34,$G34,H34)</f>
        <v>0</v>
      </c>
      <c r="O34" s="222" cm="1">
        <f t="array" ref="O34">Fuel_Equations.VEERG_8_2_1_1__1_FuelCombustionStationary($L34,$G34,I34)</f>
        <v>0</v>
      </c>
      <c r="P34" s="222" cm="1">
        <f t="array" ref="P34">Fuel_Equations.VEERG_8_2_1_1__1_FuelCombustionStationary($L34,$G34,J34)</f>
        <v>0</v>
      </c>
      <c r="Q34" s="222" cm="1">
        <f t="array" ref="Q34">Fuel_Equations.VEERG_8_2_1_1__1_FuelCombustionStationary($L34,$G34,IF(ISNUMBER(K34), K34, 0))</f>
        <v>0</v>
      </c>
    </row>
    <row r="35" spans="1:17" ht="20.100000000000001" customHeight="1" x14ac:dyDescent="0.25">
      <c r="D35" s="202" t="str">
        <f t="shared" si="1"/>
        <v>Power standalone machinery or heating</v>
      </c>
      <c r="E35" s="200" t="str">
        <f>'Constants - Fuel'!$D$73</f>
        <v>Biodiesel</v>
      </c>
      <c r="F35" s="200" t="str">
        <f>'Constants - Fuel'!E134</f>
        <v>Biodiesel</v>
      </c>
      <c r="G35" s="26">
        <f>IFERROR(_xlfn.XLOOKUP($E35, Table_Fuel_EFs_StationaryLiquid[Fuel combusted], Table_Fuel_EFs_StationaryLiquid[Energy Content Factor (GJ per unit of fuel)]),0)</f>
        <v>34.6</v>
      </c>
      <c r="H35" s="26">
        <f>IFERROR(_xlfn.XLOOKUP($E35, Table_Fuel_EFs_StationaryLiquid[Fuel combusted], Table_Fuel_EFs_StationaryLiquid[Scope 1 Emission Factor (kg CO2 - e / GJ) CO2]),0)</f>
        <v>0</v>
      </c>
      <c r="I35" s="26">
        <f>IFERROR(_xlfn.XLOOKUP($E35, Table_Fuel_EFs_StationaryLiquid[Fuel combusted], Table_Fuel_EFs_StationaryLiquid[Scope 1 Emission Factor (kg CO2 - e / GJ) CH4]),0)</f>
        <v>0.08</v>
      </c>
      <c r="J35" s="26">
        <f>IFERROR(_xlfn.XLOOKUP($E35, Table_Fuel_EFs_StationaryLiquid[Fuel combusted], Table_Fuel_EFs_StationaryLiquid[Scope 1 Emission Factor (kg CO2 - e / GJ) N2O]),0)</f>
        <v>0.2</v>
      </c>
      <c r="K35" s="26" t="str">
        <f>IFERROR(_xlfn.XLOOKUP($E35, Table_Fuel_EFs_StationaryLiquid[Fuel combusted], Table_Fuel_EFs_StationaryLiquid[Scope 3 Emission Factor (kg CO2 - e / GJ)]),0)</f>
        <v>NE</v>
      </c>
      <c r="L35" s="26" cm="1">
        <f t="array" ref="L35">Fuel_InputFunctions.Fuel_TotalConsumption(Table_Input_Fuel[Amount consumed], Table_Input_Fuel[Fuel use (select)], D35, Table_Input_Fuel[Fuel type (select)],F35)</f>
        <v>0</v>
      </c>
      <c r="M35" s="26" t="str" cm="1">
        <f t="array" ref="M35">Common_InputFunctions.Utility_LookupValueInTable(F35,Table_FuelTypes_Units[Fuel type],Table_FuelTypes_Units[Unit])</f>
        <v>kL</v>
      </c>
      <c r="N35" s="222" cm="1">
        <f t="array" ref="N35">Fuel_Equations.VEERG_8_2_1_1__1_FuelCombustionStationary($L35,$G35,H35)</f>
        <v>0</v>
      </c>
      <c r="O35" s="222" cm="1">
        <f t="array" ref="O35">Fuel_Equations.VEERG_8_2_1_1__1_FuelCombustionStationary($L35,$G35,I35)</f>
        <v>0</v>
      </c>
      <c r="P35" s="222" cm="1">
        <f t="array" ref="P35">Fuel_Equations.VEERG_8_2_1_1__1_FuelCombustionStationary($L35,$G35,J35)</f>
        <v>0</v>
      </c>
      <c r="Q35" s="222" cm="1">
        <f t="array" ref="Q35">Fuel_Equations.VEERG_8_2_1_1__1_FuelCombustionStationary($L35,$G35,IF(ISNUMBER(K35), K35, 0))</f>
        <v>0</v>
      </c>
    </row>
    <row r="36" spans="1:17" ht="20.100000000000001" customHeight="1" x14ac:dyDescent="0.25">
      <c r="D36" s="202" t="str">
        <f t="shared" si="1"/>
        <v>Power standalone machinery or heating</v>
      </c>
      <c r="E36" s="200" t="str">
        <f>'Constants - Fuel'!$D$74</f>
        <v>Ethanol for use as a fuel in an internal combustion engine</v>
      </c>
      <c r="F36" s="200" t="str">
        <f>'Constants - Fuel'!E135</f>
        <v>Ethanol</v>
      </c>
      <c r="G36" s="26">
        <f>IFERROR(_xlfn.XLOOKUP($E36, Table_Fuel_EFs_StationaryLiquid[Fuel combusted], Table_Fuel_EFs_StationaryLiquid[Energy Content Factor (GJ per unit of fuel)]),0)</f>
        <v>23.4</v>
      </c>
      <c r="H36" s="26">
        <f>IFERROR(_xlfn.XLOOKUP($E36, Table_Fuel_EFs_StationaryLiquid[Fuel combusted], Table_Fuel_EFs_StationaryLiquid[Scope 1 Emission Factor (kg CO2 - e / GJ) CO2]),0)</f>
        <v>0</v>
      </c>
      <c r="I36" s="26">
        <f>IFERROR(_xlfn.XLOOKUP($E36, Table_Fuel_EFs_StationaryLiquid[Fuel combusted], Table_Fuel_EFs_StationaryLiquid[Scope 1 Emission Factor (kg CO2 - e / GJ) CH4]),0)</f>
        <v>0.08</v>
      </c>
      <c r="J36" s="26">
        <f>IFERROR(_xlfn.XLOOKUP($E36, Table_Fuel_EFs_StationaryLiquid[Fuel combusted], Table_Fuel_EFs_StationaryLiquid[Scope 1 Emission Factor (kg CO2 - e / GJ) N2O]),0)</f>
        <v>0.2</v>
      </c>
      <c r="K36" s="26" t="str">
        <f>IFERROR(_xlfn.XLOOKUP($E36, Table_Fuel_EFs_StationaryLiquid[Fuel combusted], Table_Fuel_EFs_StationaryLiquid[Scope 3 Emission Factor (kg CO2 - e / GJ)]),0)</f>
        <v>NE</v>
      </c>
      <c r="L36" s="26" cm="1">
        <f t="array" ref="L36">Fuel_InputFunctions.Fuel_TotalConsumption(Table_Input_Fuel[Amount consumed], Table_Input_Fuel[Fuel use (select)], D36, Table_Input_Fuel[Fuel type (select)],F36)</f>
        <v>0</v>
      </c>
      <c r="M36" s="26" t="str" cm="1">
        <f t="array" ref="M36">Common_InputFunctions.Utility_LookupValueInTable(F36,Table_FuelTypes_Units[Fuel type],Table_FuelTypes_Units[Unit])</f>
        <v>kL</v>
      </c>
      <c r="N36" s="222" cm="1">
        <f t="array" ref="N36">Fuel_Equations.VEERG_8_2_1_1__1_FuelCombustionStationary($L36,$G36,H36)</f>
        <v>0</v>
      </c>
      <c r="O36" s="222" cm="1">
        <f t="array" ref="O36">Fuel_Equations.VEERG_8_2_1_1__1_FuelCombustionStationary($L36,$G36,I36)</f>
        <v>0</v>
      </c>
      <c r="P36" s="222" cm="1">
        <f t="array" ref="P36">Fuel_Equations.VEERG_8_2_1_1__1_FuelCombustionStationary($L36,$G36,J36)</f>
        <v>0</v>
      </c>
      <c r="Q36" s="222" cm="1">
        <f t="array" ref="Q36">Fuel_Equations.VEERG_8_2_1_1__1_FuelCombustionStationary($L36,$G36,IF(ISNUMBER(K36), K36, 0))</f>
        <v>0</v>
      </c>
    </row>
    <row r="37" spans="1:17" ht="20.100000000000001" customHeight="1" x14ac:dyDescent="0.25">
      <c r="A37" s="250" t="s">
        <v>1</v>
      </c>
      <c r="D37" s="202" t="str">
        <f t="shared" si="1"/>
        <v>Power standalone machinery or heating</v>
      </c>
      <c r="E37" s="200" t="str">
        <f>'Constants - Fuel'!$D$75</f>
        <v>Biofuels other than those mentioned in the items above and below</v>
      </c>
      <c r="F37" s="200" t="str">
        <f>'Constants - Fuel'!E136</f>
        <v>Other biofuels</v>
      </c>
      <c r="G37" s="26">
        <f>IFERROR(_xlfn.XLOOKUP($E37, Table_Fuel_EFs_StationaryLiquid[Fuel combusted], Table_Fuel_EFs_StationaryLiquid[Energy Content Factor (GJ per unit of fuel)]),0)</f>
        <v>23.4</v>
      </c>
      <c r="H37" s="26">
        <f>IFERROR(_xlfn.XLOOKUP($E37, Table_Fuel_EFs_StationaryLiquid[Fuel combusted], Table_Fuel_EFs_StationaryLiquid[Scope 1 Emission Factor (kg CO2 - e / GJ) CO2]),0)</f>
        <v>0</v>
      </c>
      <c r="I37" s="26">
        <f>IFERROR(_xlfn.XLOOKUP($E37, Table_Fuel_EFs_StationaryLiquid[Fuel combusted], Table_Fuel_EFs_StationaryLiquid[Scope 1 Emission Factor (kg CO2 - e / GJ) CH4]),0)</f>
        <v>0.08</v>
      </c>
      <c r="J37" s="26">
        <f>IFERROR(_xlfn.XLOOKUP($E37, Table_Fuel_EFs_StationaryLiquid[Fuel combusted], Table_Fuel_EFs_StationaryLiquid[Scope 1 Emission Factor (kg CO2 - e / GJ) N2O]),0)</f>
        <v>0.2</v>
      </c>
      <c r="K37" s="26" t="str">
        <f>IFERROR(_xlfn.XLOOKUP($E37, Table_Fuel_EFs_StationaryLiquid[Fuel combusted], Table_Fuel_EFs_StationaryLiquid[Scope 3 Emission Factor (kg CO2 - e / GJ)]),0)</f>
        <v>NE</v>
      </c>
      <c r="L37" s="26" cm="1">
        <f t="array" ref="L37">Fuel_InputFunctions.Fuel_TotalConsumption(Table_Input_Fuel[Amount consumed], Table_Input_Fuel[Fuel use (select)], D37, Table_Input_Fuel[Fuel type (select)],F37)</f>
        <v>0</v>
      </c>
      <c r="M37" s="26" t="str" cm="1">
        <f t="array" ref="M37">Common_InputFunctions.Utility_LookupValueInTable(F37,Table_FuelTypes_Units[Fuel type],Table_FuelTypes_Units[Unit])</f>
        <v>kL</v>
      </c>
      <c r="N37" s="222" cm="1">
        <f t="array" ref="N37">Fuel_Equations.VEERG_8_2_1_1__1_FuelCombustionStationary($L37,$G37,H37)</f>
        <v>0</v>
      </c>
      <c r="O37" s="222" cm="1">
        <f t="array" ref="O37">Fuel_Equations.VEERG_8_2_1_1__1_FuelCombustionStationary($L37,$G37,I37)</f>
        <v>0</v>
      </c>
      <c r="P37" s="222" cm="1">
        <f t="array" ref="P37">Fuel_Equations.VEERG_8_2_1_1__1_FuelCombustionStationary($L37,$G37,J37)</f>
        <v>0</v>
      </c>
      <c r="Q37" s="222"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2" t="str">
        <f t="shared" si="1"/>
        <v>Power standalone machinery or heating</v>
      </c>
      <c r="E38" s="200" t="str">
        <f>'Constants - Fuel'!$D$77</f>
        <v>Renewable diesel</v>
      </c>
      <c r="F38" s="200" t="str">
        <f>'Constants - Fuel'!E137</f>
        <v>Renewable diesel</v>
      </c>
      <c r="G38" s="26">
        <f>IFERROR(_xlfn.XLOOKUP($E38, Table_Fuel_EFs_StationaryLiquid[Fuel combusted], Table_Fuel_EFs_StationaryLiquid[Energy Content Factor (GJ per unit of fuel)]),0)</f>
        <v>38.6</v>
      </c>
      <c r="H38" s="26">
        <f>IFERROR(_xlfn.XLOOKUP($E38, Table_Fuel_EFs_StationaryLiquid[Fuel combusted], Table_Fuel_EFs_StationaryLiquid[Scope 1 Emission Factor (kg CO2 - e / GJ) CO2]),0)</f>
        <v>0</v>
      </c>
      <c r="I38" s="26">
        <f>IFERROR(_xlfn.XLOOKUP($E38, Table_Fuel_EFs_StationaryLiquid[Fuel combusted], Table_Fuel_EFs_StationaryLiquid[Scope 1 Emission Factor (kg CO2 - e / GJ) CH4]),0)</f>
        <v>0.1</v>
      </c>
      <c r="J38" s="26">
        <f>IFERROR(_xlfn.XLOOKUP($E38, Table_Fuel_EFs_StationaryLiquid[Fuel combusted], Table_Fuel_EFs_StationaryLiquid[Scope 1 Emission Factor (kg CO2 - e / GJ) N2O]),0)</f>
        <v>0.2</v>
      </c>
      <c r="K38" s="26" t="str">
        <f>IFERROR(_xlfn.XLOOKUP($E38, Table_Fuel_EFs_StationaryLiquid[Fuel combusted], Table_Fuel_EFs_StationaryLiquid[Scope 3 Emission Factor (kg CO2 - e / GJ)]),0)</f>
        <v>NE</v>
      </c>
      <c r="L38" s="26" cm="1">
        <f t="array" ref="L38">Fuel_InputFunctions.Fuel_TotalConsumption(Table_Input_Fuel[Amount consumed], Table_Input_Fuel[Fuel use (select)], D38, Table_Input_Fuel[Fuel type (select)],F38)</f>
        <v>0</v>
      </c>
      <c r="M38" s="26" t="str" cm="1">
        <f t="array" ref="M38">Common_InputFunctions.Utility_LookupValueInTable(F38,Table_FuelTypes_Units[Fuel type],Table_FuelTypes_Units[Unit])</f>
        <v>kL</v>
      </c>
      <c r="N38" s="222" cm="1">
        <f t="array" ref="N38">Fuel_Equations.VEERG_8_2_1_1__1_FuelCombustionStationary($L38,$G38,H38)</f>
        <v>0</v>
      </c>
      <c r="O38" s="222" cm="1">
        <f t="array" ref="O38">Fuel_Equations.VEERG_8_2_1_1__1_FuelCombustionStationary($L38,$G38,I38)</f>
        <v>0</v>
      </c>
      <c r="P38" s="222" cm="1">
        <f t="array" ref="P38">Fuel_Equations.VEERG_8_2_1_1__1_FuelCombustionStationary($L38,$G38,J38)</f>
        <v>0</v>
      </c>
      <c r="Q38" s="222"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2" t="str">
        <f t="shared" si="1"/>
        <v>Power standalone machinery or heating</v>
      </c>
      <c r="E39" s="200" t="str">
        <f>'Constants - Fuel'!$D$103</f>
        <v>Natural gas distributed in a pipeline - Gigajoules</v>
      </c>
      <c r="F39" s="200" t="str">
        <f>'Constants - Fuel'!E138</f>
        <v>Natural gas (via pipeline) in GJ</v>
      </c>
      <c r="G39" s="26">
        <f>IFERROR(_xlfn.XLOOKUP($E39, Table_Fuel_EFs_StationaryGaseous[Fuel combusted], Table_Fuel_EFs_StationaryGaseous[Energy Content Factor (GJ per unit of fuel)]),0)</f>
        <v>1</v>
      </c>
      <c r="H39" s="26">
        <f>IFERROR(_xlfn.XLOOKUP($E39, Table_Fuel_EFs_StationaryGaseous[Fuel combusted], Table_Fuel_EFs_StationaryGaseous[Scope 1 Emission Factor (kg CO2 - e / GJ) CO2]),0)</f>
        <v>51.4</v>
      </c>
      <c r="I39" s="26">
        <f>IFERROR(_xlfn.XLOOKUP($E39, Table_Fuel_EFs_StationaryGaseous[Fuel combusted], Table_Fuel_EFs_StationaryGaseous[Scope 1 Emission Factor (kg CO2 - e / GJ) CH4]),0)</f>
        <v>0.1</v>
      </c>
      <c r="J39" s="26">
        <f>IFERROR(_xlfn.XLOOKUP($E39, Table_Fuel_EFs_StationaryGaseous[Fuel combusted], Table_Fuel_EFs_StationaryGaseous[Scope 1 Emission Factor (kg CO2 - e / GJ) N2O]),0)</f>
        <v>0.03</v>
      </c>
      <c r="K39" s="26" cm="1">
        <f t="array" ref="K39">IFERROR(Common_InputFunctions.Utility_LookupValueInTableOneColumnAndHeader($P$17,$P$18,Table_Fuel_EFs_StationaryGaseous34[State or territory],Table_Fuel_EFs_StationaryGaseous34[#Headers],Table_Fuel_EFs_StationaryGaseous34[#Data]),0)</f>
        <v>0</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222" cm="1">
        <f t="array" ref="N39">Fuel_Equations.VEERG_8_2_1_1__1_FuelCombustionStationary($L39,$G39,H39)</f>
        <v>0</v>
      </c>
      <c r="O39" s="222" cm="1">
        <f t="array" ref="O39">Fuel_Equations.VEERG_8_2_1_1__1_FuelCombustionStationary($L39,$G39,I39)</f>
        <v>0</v>
      </c>
      <c r="P39" s="222" cm="1">
        <f t="array" ref="P39">Fuel_Equations.VEERG_8_2_1_1__1_FuelCombustionStationary($L39,$G39,J39)</f>
        <v>0</v>
      </c>
      <c r="Q39" s="222"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2" t="str">
        <f t="shared" si="1"/>
        <v>Power standalone machinery or heating</v>
      </c>
      <c r="E40" s="200" t="str">
        <f>'Constants - Fuel'!$D$104</f>
        <v>Town gas - Gigajoules</v>
      </c>
      <c r="F40" s="200" t="str">
        <f>'Constants - Fuel'!E139</f>
        <v>Town gas in GJ</v>
      </c>
      <c r="G40" s="26">
        <f>IFERROR(_xlfn.XLOOKUP($E40, Table_Fuel_EFs_StationaryGaseous[Fuel combusted], Table_Fuel_EFs_StationaryGaseous[Energy Content Factor (GJ per unit of fuel)]),0)</f>
        <v>1</v>
      </c>
      <c r="H40" s="26">
        <f>IFERROR(_xlfn.XLOOKUP($E40, Table_Fuel_EFs_StationaryGaseous[Fuel combusted], Table_Fuel_EFs_StationaryGaseous[Scope 1 Emission Factor (kg CO2 - e / GJ) CO2]),0)</f>
        <v>60.2</v>
      </c>
      <c r="I40" s="26">
        <f>IFERROR(_xlfn.XLOOKUP($E40, Table_Fuel_EFs_StationaryGaseous[Fuel combusted], Table_Fuel_EFs_StationaryGaseous[Scope 1 Emission Factor (kg CO2 - e / GJ) CH4]),0)</f>
        <v>0.04</v>
      </c>
      <c r="J40" s="26">
        <f>IFERROR(_xlfn.XLOOKUP($E40, Table_Fuel_EFs_StationaryGaseous[Fuel combusted], Table_Fuel_EFs_StationaryGaseous[Scope 1 Emission Factor (kg CO2 - e / GJ) N2O]),0)</f>
        <v>0.03</v>
      </c>
      <c r="K40" s="26" cm="1">
        <f t="array" ref="K40">IFERROR(Common_InputFunctions.Utility_LookupValueInTableOneColumnAndHeader($P$17,$P$18,Table_Fuel_EFs_StationaryGaseous34[State or territory],Table_Fuel_EFs_StationaryGaseous34[#Headers],Table_Fuel_EFs_StationaryGaseous34[#Data]),0)</f>
        <v>0</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222" cm="1">
        <f t="array" ref="N40">Fuel_Equations.VEERG_8_2_1_1__1_FuelCombustionStationary($L40,$G40,H40)</f>
        <v>6.0200000000000005</v>
      </c>
      <c r="O40" s="222" cm="1">
        <f t="array" ref="O40">Fuel_Equations.VEERG_8_2_1_1__1_FuelCombustionStationary($L40,$G40,I40)</f>
        <v>4.0000000000000001E-3</v>
      </c>
      <c r="P40" s="222" cm="1">
        <f t="array" ref="P40">Fuel_Equations.VEERG_8_2_1_1__1_FuelCombustionStationary($L40,$G40,J40)</f>
        <v>3.0000000000000001E-3</v>
      </c>
      <c r="Q40" s="222"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5" t="str">
        <f>"Total scope 1 - " &amp; D25</f>
        <v>Total scope 1 - Generators</v>
      </c>
      <c r="E42" s="216"/>
      <c r="F42" s="217"/>
    </row>
    <row r="43" spans="1:17" ht="20.100000000000001" customHeight="1" x14ac:dyDescent="0.25">
      <c r="A43" s="5" t="str">
        <f>HYPERLINK("#'Constants - Fuel'!A1", "Constants - Fuel")</f>
        <v>Constants - Fuel</v>
      </c>
      <c r="D43" s="36" t="s">
        <v>736</v>
      </c>
      <c r="E43" s="218">
        <f>SUM(N25:N31)</f>
        <v>0</v>
      </c>
      <c r="F43" s="27" t="str">
        <f>$E$12</f>
        <v>t CO2-e</v>
      </c>
    </row>
    <row r="44" spans="1:17" ht="20.100000000000001" customHeight="1" x14ac:dyDescent="0.25">
      <c r="A44" s="5" t="str">
        <f>HYPERLINK("#'Constants - Common'!A1", "Constants - Common")</f>
        <v>Constants - Common</v>
      </c>
      <c r="D44" s="36" t="s">
        <v>737</v>
      </c>
      <c r="E44" s="218">
        <f>SUM(O25:O31)</f>
        <v>0</v>
      </c>
      <c r="F44" s="27" t="str">
        <f t="shared" ref="F44:F46" si="2">$E$12</f>
        <v>t CO2-e</v>
      </c>
    </row>
    <row r="45" spans="1:17" ht="20.100000000000001" customHeight="1" x14ac:dyDescent="0.25">
      <c r="A45" s="5" t="str">
        <f>HYPERLINK("#'Acknowledgements'!A1", "Acknowledgements")</f>
        <v>Acknowledgements</v>
      </c>
      <c r="D45" s="36" t="s">
        <v>738</v>
      </c>
      <c r="E45" s="218">
        <f>SUM(P25:P31)</f>
        <v>0</v>
      </c>
      <c r="F45" s="27" t="str">
        <f t="shared" si="2"/>
        <v>t CO2-e</v>
      </c>
    </row>
    <row r="46" spans="1:17" ht="20.100000000000001" customHeight="1" x14ac:dyDescent="0.25">
      <c r="A46" s="5" t="str">
        <f>HYPERLINK("#'Overview'!A1", "Overview")</f>
        <v>Overview</v>
      </c>
      <c r="D46" s="36" t="s">
        <v>739</v>
      </c>
      <c r="E46" s="218">
        <f>SUM(Q25:Q31)</f>
        <v>0</v>
      </c>
      <c r="F46" s="27" t="str">
        <f t="shared" si="2"/>
        <v>t CO2-e</v>
      </c>
    </row>
    <row r="47" spans="1:17" ht="20.100000000000001" customHeight="1" x14ac:dyDescent="0.25">
      <c r="H47" s="176"/>
      <c r="I47" s="176"/>
      <c r="J47" s="176"/>
      <c r="L47" s="176"/>
      <c r="N47" s="176"/>
      <c r="O47" s="176"/>
      <c r="P47" s="176"/>
      <c r="Q47" s="176"/>
    </row>
    <row r="48" spans="1:17" ht="20.100000000000001" customHeight="1" x14ac:dyDescent="0.25">
      <c r="D48" s="215" t="str">
        <f>"Total scope 1 - " &amp; D32</f>
        <v>Total scope 1 - Power standalone machinery or heating</v>
      </c>
      <c r="E48" s="219"/>
      <c r="F48" s="217"/>
      <c r="H48" s="176"/>
      <c r="I48" s="176"/>
      <c r="J48" s="176"/>
      <c r="L48" s="176"/>
      <c r="N48" s="176"/>
      <c r="O48" s="176"/>
      <c r="P48" s="176"/>
      <c r="Q48" s="176"/>
    </row>
    <row r="49" spans="4:17" ht="20.100000000000001" customHeight="1" x14ac:dyDescent="0.25">
      <c r="D49" s="36" t="s">
        <v>736</v>
      </c>
      <c r="E49" s="218">
        <f>SUM(N32:N40)</f>
        <v>29.070800000000002</v>
      </c>
      <c r="F49" s="27" t="str">
        <f t="shared" ref="F49:F52" si="3">$E$12</f>
        <v>t CO2-e</v>
      </c>
      <c r="H49" s="176"/>
      <c r="I49" s="176"/>
      <c r="J49" s="176"/>
      <c r="L49" s="176"/>
      <c r="N49" s="176"/>
      <c r="O49" s="176"/>
      <c r="P49" s="176"/>
      <c r="Q49" s="176"/>
    </row>
    <row r="50" spans="4:17" ht="20.100000000000001" customHeight="1" x14ac:dyDescent="0.25">
      <c r="D50" s="36" t="s">
        <v>737</v>
      </c>
      <c r="E50" s="218">
        <f>SUM(O32:O40)</f>
        <v>7.2400000000000006E-2</v>
      </c>
      <c r="F50" s="27" t="str">
        <f t="shared" si="3"/>
        <v>t CO2-e</v>
      </c>
      <c r="H50" s="176"/>
      <c r="I50" s="176"/>
      <c r="J50" s="176"/>
      <c r="L50" s="176"/>
      <c r="N50" s="176"/>
      <c r="O50" s="176"/>
      <c r="P50" s="176"/>
      <c r="Q50" s="176"/>
    </row>
    <row r="51" spans="4:17" ht="20.100000000000001" customHeight="1" x14ac:dyDescent="0.25">
      <c r="D51" s="36" t="s">
        <v>738</v>
      </c>
      <c r="E51" s="218">
        <f>SUM(P32:P40)</f>
        <v>7.1400000000000005E-2</v>
      </c>
      <c r="F51" s="27" t="str">
        <f t="shared" si="3"/>
        <v>t CO2-e</v>
      </c>
      <c r="H51" s="176"/>
      <c r="I51" s="176"/>
      <c r="J51" s="176"/>
      <c r="L51" s="176"/>
      <c r="N51" s="176"/>
      <c r="O51" s="176"/>
      <c r="P51" s="176"/>
      <c r="Q51" s="176"/>
    </row>
    <row r="52" spans="4:17" ht="20.100000000000001" customHeight="1" x14ac:dyDescent="0.25">
      <c r="D52" s="36" t="s">
        <v>739</v>
      </c>
      <c r="E52" s="218">
        <f>SUM(Q32:Q40)</f>
        <v>5.8823999999999996</v>
      </c>
      <c r="F52" s="27" t="str">
        <f t="shared" si="3"/>
        <v>t CO2-e</v>
      </c>
      <c r="G52" s="176"/>
      <c r="H52" s="176"/>
      <c r="I52" s="176"/>
      <c r="J52" s="176"/>
      <c r="L52" s="176"/>
      <c r="N52" s="176"/>
      <c r="O52" s="176"/>
      <c r="P52" s="176"/>
      <c r="Q52" s="176"/>
    </row>
    <row r="53" spans="4:17" ht="20.100000000000001" customHeight="1" x14ac:dyDescent="0.25">
      <c r="G53" s="176"/>
      <c r="H53" s="176"/>
      <c r="I53" s="176"/>
      <c r="J53" s="176"/>
      <c r="L53" s="176"/>
      <c r="N53" s="176"/>
      <c r="O53" s="176"/>
      <c r="P53" s="176"/>
      <c r="Q53" s="176"/>
    </row>
    <row r="54" spans="4:17" ht="20.100000000000001" customHeight="1" x14ac:dyDescent="0.25">
      <c r="D54" s="215" t="s">
        <v>750</v>
      </c>
      <c r="E54" s="219"/>
      <c r="F54" s="217"/>
      <c r="G54" s="176"/>
      <c r="H54" s="176"/>
      <c r="I54" s="176"/>
      <c r="J54" s="176"/>
      <c r="L54" s="176"/>
      <c r="N54" s="176"/>
      <c r="O54" s="176"/>
      <c r="P54" s="176"/>
      <c r="Q54" s="176"/>
    </row>
    <row r="55" spans="4:17" ht="20.100000000000001" customHeight="1" x14ac:dyDescent="0.25">
      <c r="D55" s="36" t="s">
        <v>736</v>
      </c>
      <c r="E55" s="218">
        <f>E43+E49</f>
        <v>29.070800000000002</v>
      </c>
      <c r="F55" s="27" t="str">
        <f t="shared" ref="F55:F58" si="4">$E$12</f>
        <v>t CO2-e</v>
      </c>
      <c r="G55" s="176"/>
      <c r="H55" s="176"/>
      <c r="I55" s="176"/>
      <c r="J55" s="176"/>
      <c r="L55" s="176"/>
      <c r="N55" s="176"/>
      <c r="O55" s="176"/>
      <c r="P55" s="176"/>
      <c r="Q55" s="176"/>
    </row>
    <row r="56" spans="4:17" ht="20.100000000000001" customHeight="1" x14ac:dyDescent="0.25">
      <c r="D56" s="36" t="s">
        <v>737</v>
      </c>
      <c r="E56" s="218">
        <f>E44+E50</f>
        <v>7.2400000000000006E-2</v>
      </c>
      <c r="F56" s="27" t="str">
        <f t="shared" si="4"/>
        <v>t CO2-e</v>
      </c>
      <c r="H56" s="176"/>
    </row>
    <row r="57" spans="4:17" ht="20.100000000000001" customHeight="1" x14ac:dyDescent="0.25">
      <c r="D57" s="36" t="s">
        <v>738</v>
      </c>
      <c r="E57" s="218">
        <f>E45+E51</f>
        <v>7.1400000000000005E-2</v>
      </c>
      <c r="F57" s="27" t="str">
        <f t="shared" si="4"/>
        <v>t CO2-e</v>
      </c>
      <c r="G57" s="176"/>
      <c r="H57" s="176"/>
      <c r="I57" s="176"/>
      <c r="J57" s="176"/>
      <c r="L57" s="176"/>
      <c r="N57" s="176"/>
      <c r="O57" s="176"/>
      <c r="P57" s="176"/>
      <c r="Q57" s="176"/>
    </row>
    <row r="58" spans="4:17" ht="20.100000000000001" customHeight="1" x14ac:dyDescent="0.25">
      <c r="D58" s="36" t="s">
        <v>739</v>
      </c>
      <c r="E58" s="218">
        <f>E46+E52</f>
        <v>5.8823999999999996</v>
      </c>
      <c r="F58" s="27" t="str">
        <f t="shared" si="4"/>
        <v>t CO2-e</v>
      </c>
      <c r="G58" s="176"/>
      <c r="H58" s="176"/>
      <c r="I58" s="176"/>
      <c r="J58" s="176"/>
      <c r="L58" s="176"/>
      <c r="N58" s="176"/>
      <c r="O58" s="176"/>
      <c r="P58" s="176"/>
      <c r="Q58" s="176"/>
    </row>
    <row r="59" spans="4:17" ht="20.100000000000001" customHeight="1" x14ac:dyDescent="0.25">
      <c r="G59" s="176"/>
      <c r="H59" s="176"/>
      <c r="I59" s="176"/>
      <c r="J59" s="176"/>
      <c r="L59" s="176"/>
      <c r="N59" s="176"/>
      <c r="O59" s="176"/>
      <c r="P59" s="176"/>
      <c r="Q59" s="176"/>
    </row>
    <row r="60" spans="4:17" ht="20.100000000000001" customHeight="1" x14ac:dyDescent="0.25">
      <c r="G60" s="176"/>
      <c r="H60" s="176"/>
      <c r="I60" s="176"/>
      <c r="J60" s="176"/>
      <c r="L60" s="176"/>
      <c r="N60" s="176"/>
      <c r="O60" s="176"/>
      <c r="P60" s="176"/>
      <c r="Q60" s="176"/>
    </row>
    <row r="61" spans="4:17" ht="20.100000000000001" customHeight="1" x14ac:dyDescent="0.25">
      <c r="G61" s="176"/>
      <c r="H61" s="176"/>
      <c r="I61" s="176"/>
      <c r="J61" s="176"/>
      <c r="L61" s="176"/>
      <c r="N61" s="176"/>
      <c r="O61" s="176"/>
      <c r="P61" s="176"/>
      <c r="Q61" s="176"/>
    </row>
    <row r="62" spans="4:17" ht="20.100000000000001" customHeight="1" x14ac:dyDescent="0.25">
      <c r="G62" s="176"/>
      <c r="H62" s="176"/>
      <c r="I62" s="176"/>
      <c r="J62" s="176"/>
      <c r="L62" s="176"/>
      <c r="N62" s="176"/>
      <c r="O62" s="176"/>
      <c r="P62" s="176"/>
      <c r="Q62" s="176"/>
    </row>
    <row r="63" spans="4:17" ht="20.100000000000001" customHeight="1" x14ac:dyDescent="0.25">
      <c r="G63" s="176"/>
      <c r="H63" s="176"/>
      <c r="I63" s="176"/>
      <c r="J63" s="176"/>
      <c r="L63" s="176"/>
      <c r="N63" s="176"/>
      <c r="O63" s="176"/>
      <c r="P63" s="176"/>
      <c r="Q63" s="176"/>
    </row>
    <row r="64" spans="4:17" ht="20.100000000000001" customHeight="1" x14ac:dyDescent="0.25">
      <c r="G64" s="176"/>
      <c r="H64" s="176"/>
      <c r="I64" s="176"/>
      <c r="J64" s="176"/>
      <c r="L64" s="176"/>
      <c r="N64" s="176"/>
      <c r="O64" s="176"/>
      <c r="P64" s="176"/>
      <c r="Q64" s="176"/>
    </row>
    <row r="65" spans="7:17" ht="20.100000000000001" customHeight="1" x14ac:dyDescent="0.25">
      <c r="G65" s="176"/>
      <c r="H65" s="176"/>
      <c r="I65" s="176"/>
      <c r="J65" s="176"/>
      <c r="L65" s="176"/>
      <c r="N65" s="176"/>
      <c r="O65" s="176"/>
      <c r="P65" s="176"/>
      <c r="Q65" s="176"/>
    </row>
    <row r="66" spans="7:17" ht="20.100000000000001" customHeight="1" x14ac:dyDescent="0.25">
      <c r="G66" s="176"/>
      <c r="H66" s="176"/>
      <c r="I66" s="176"/>
      <c r="J66" s="176"/>
      <c r="L66" s="176"/>
      <c r="N66" s="176"/>
      <c r="O66" s="176"/>
      <c r="P66" s="176"/>
      <c r="Q66" s="176"/>
    </row>
    <row r="67" spans="7:17" ht="20.100000000000001" customHeight="1" x14ac:dyDescent="0.25">
      <c r="G67" s="176"/>
    </row>
    <row r="68" spans="7:17" ht="20.100000000000001" customHeight="1" x14ac:dyDescent="0.25">
      <c r="G68" s="176"/>
    </row>
    <row r="69" spans="7:17" ht="20.100000000000001" customHeight="1" x14ac:dyDescent="0.25">
      <c r="G69" s="176"/>
    </row>
    <row r="70" spans="7:17" ht="20.100000000000001" customHeight="1" x14ac:dyDescent="0.25">
      <c r="G70" s="176"/>
    </row>
    <row r="71" spans="7:17" ht="20.100000000000001" customHeight="1" x14ac:dyDescent="0.25">
      <c r="G71" s="176"/>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F8A3E-0396-45FE-8325-B8D37E5492A2}">
  <dimension ref="A1:K342"/>
  <sheetViews>
    <sheetView showGridLines="0" topLeftCell="C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2" customFormat="1" ht="30" customHeight="1" x14ac:dyDescent="0.35">
      <c r="A1" s="16" t="e" vm="1">
        <v>#VALUE!</v>
      </c>
      <c r="C1" s="32" t="s">
        <v>686</v>
      </c>
    </row>
    <row r="2" spans="1:11" s="3" customFormat="1" ht="20.100000000000001" customHeight="1" x14ac:dyDescent="0.25">
      <c r="A2"/>
    </row>
    <row r="3" spans="1:11" ht="20.100000000000001" customHeight="1" x14ac:dyDescent="0.25">
      <c r="A3" s="5" t="str">
        <f>HYPERLINK("#'Home'!A1", "Home")</f>
        <v>Home</v>
      </c>
      <c r="C3" s="34"/>
      <c r="D3" s="34" t="s">
        <v>152</v>
      </c>
      <c r="E3" s="34"/>
      <c r="F3" s="34"/>
      <c r="G3" s="34"/>
      <c r="H3" s="34"/>
      <c r="I3" s="34"/>
      <c r="J3" s="34"/>
      <c r="K3" s="34"/>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8" t="str" cm="1">
        <f t="array" ref="D6">Electricity_Equations.VEERG_14_1_1__1_LocationBasedScopeElectricityEmissions_Source()</f>
        <v>VEERG 2026: 14.1.1, Equation (1)</v>
      </c>
    </row>
    <row r="7" spans="1:11" ht="20.100000000000001" customHeight="1" x14ac:dyDescent="0.25">
      <c r="A7" s="7" t="s">
        <v>0</v>
      </c>
      <c r="D7" s="37"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4" t="s">
        <v>257</v>
      </c>
      <c r="E8" s="104"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9" t="s">
        <v>259</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9" t="s">
        <v>133</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6" t="str" cm="1">
        <f t="array" ref="D14:E16">_xlfn.CHOOSECOLS(Electricity_Equations.VEERG_14_1_1__1_LocationBasedScopeElectricityEmissions_Arguments(),1,2)</f>
        <v>Q_elec</v>
      </c>
      <c r="E14" s="107" t="str">
        <v>amount of electricity purchased from the grid</v>
      </c>
      <c r="F14" s="109"/>
      <c r="G14" s="106" t="str" cm="1">
        <f t="array" ref="G14:H16">_xlfn.CHOOSECOLS(Electricity_Equations.VEERG_14_1_1__1_LocationBasedScopeElectricityEmissions_Arguments(),3,4)</f>
        <v>kWh</v>
      </c>
      <c r="H14" s="110" t="str">
        <v>Input</v>
      </c>
      <c r="I14" s="107">
        <f>X_Cell_Electricity_Location_AmountPurchasedInkWh</f>
        <v>30000</v>
      </c>
      <c r="J14" s="109"/>
    </row>
    <row r="15" spans="1:11" ht="20.100000000000001" customHeight="1" x14ac:dyDescent="0.25">
      <c r="A15" s="5" t="str">
        <f>HYPERLINK("#'Input - Electricity'!A1", "Electricity")</f>
        <v>Electricity</v>
      </c>
      <c r="D15" s="106" t="str">
        <v>EF_2elec</v>
      </c>
      <c r="E15" s="107" t="str">
        <v>location-based Scope 2 emission factor for electricity</v>
      </c>
      <c r="F15" s="109"/>
      <c r="G15" s="106" t="str">
        <v>kg CO2e/kWh</v>
      </c>
      <c r="H15" s="111" t="str">
        <v>Constant</v>
      </c>
      <c r="I15" s="107" cm="1">
        <f t="array" ref="I15">Common_InputFunctions.Utility_LookupValueInTableNumber(I16,Table_SourceData_ElectricityEFs[State, Territory or grid description],Table_SourceData_ElectricityEFs[Scope 2 Emission Factors (kg CO2-e/kWh)])</f>
        <v>0.56000000000000005</v>
      </c>
      <c r="J15" s="109"/>
    </row>
    <row r="16" spans="1:11" ht="20.100000000000001" customHeight="1" x14ac:dyDescent="0.25">
      <c r="D16" s="106" t="str">
        <v>g</v>
      </c>
      <c r="E16" s="107" t="str">
        <v>Grid electricity was purchased from</v>
      </c>
      <c r="F16" s="109"/>
      <c r="G16" s="106" t="str">
        <v/>
      </c>
      <c r="H16" s="110" t="str">
        <v>Input</v>
      </c>
      <c r="I16" s="107" t="str">
        <f>X_Cell_Electricity_Location_GridElectricityPurchasedFrom</f>
        <v>Western Australia - North Western Interconnected System (NWIS)</v>
      </c>
      <c r="J16" s="109"/>
    </row>
    <row r="17" spans="1:11" ht="20.100000000000001" customHeight="1" x14ac:dyDescent="0.25"/>
    <row r="18" spans="1:11" ht="20.100000000000001" customHeight="1" x14ac:dyDescent="0.25">
      <c r="A18" s="6" t="s">
        <v>2</v>
      </c>
      <c r="D18" s="118" t="s">
        <v>687</v>
      </c>
      <c r="E18" s="119" cm="1">
        <f t="array" ref="E18">Electricity_Equations.VEERG_14_1_1__1_LocationBasedScopeElectricityEmissions(I14,I15)</f>
        <v>16.8</v>
      </c>
      <c r="F18" s="120"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7"/>
      <c r="D21" s="117"/>
      <c r="E21" s="117"/>
      <c r="F21" s="117"/>
      <c r="G21" s="117"/>
      <c r="H21" s="117"/>
      <c r="I21" s="117"/>
      <c r="J21" s="117"/>
      <c r="K21" s="117"/>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8"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7"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4" t="s">
        <v>257</v>
      </c>
      <c r="E25" s="104"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9" t="s">
        <v>259</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9" t="s">
        <v>133</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6" t="str" cm="1">
        <f t="array" ref="D31:E37">_xlfn.CHOOSECOLS(Electricity_Equations.VEERG_14_1_2__1_MarketBasedScopeElectricityEmissions_Arguments(),1,2)</f>
        <v>Q_elec</v>
      </c>
      <c r="E31" s="107" t="str">
        <v>amount of electricity purchased from the grid</v>
      </c>
      <c r="F31" s="108"/>
      <c r="G31" s="108"/>
      <c r="H31" s="106" t="str" cm="1">
        <f t="array" ref="H31:I37">_xlfn.CHOOSECOLS(Electricity_Equations.VEERG_14_1_2__1_MarketBasedScopeElectricityEmissions_Arguments(),3,4)</f>
        <v>kWh</v>
      </c>
      <c r="I31" s="110" t="str">
        <v>Input</v>
      </c>
      <c r="J31" s="106">
        <f>X_Cell_Electricity_Market_AmountPurchasedExcludingGreenPower</f>
        <v>30000</v>
      </c>
    </row>
    <row r="32" spans="1:11" ht="20.100000000000001" customHeight="1" x14ac:dyDescent="0.25">
      <c r="A32" s="5" t="str">
        <f>HYPERLINK("#'8.1.1.1-2 Transport fuel'!A1", "8.1.1.1-2 Transport fuel")</f>
        <v>8.1.1.1-2 Transport fuel</v>
      </c>
      <c r="D32" s="106" t="str">
        <v>RPP</v>
      </c>
      <c r="E32" s="107" t="str">
        <v>Renewable Power Percentage under the Large-scale Renewable Energy Target (LRET)</v>
      </c>
      <c r="F32" s="108"/>
      <c r="G32" s="108"/>
      <c r="H32" s="106" t="str">
        <v>per cent</v>
      </c>
      <c r="I32" s="110" t="str">
        <v>Input</v>
      </c>
      <c r="J32" s="193">
        <f>X_Cell_Electricity_Market_RenewablePowerPercentage</f>
        <v>0.1</v>
      </c>
    </row>
    <row r="33" spans="1:10" ht="20.100000000000001" customHeight="1" x14ac:dyDescent="0.25">
      <c r="A33" s="5" t="str">
        <f>HYPERLINK("#'8.2.1.1-2 Stationary fuel'!A1", "8.2.1.1-2 Stationary fuel")</f>
        <v>8.2.1.1-2 Stationary fuel</v>
      </c>
      <c r="D33" s="106" t="str">
        <v>JRPP</v>
      </c>
      <c r="E33" s="107" t="str">
        <v>jurisdictional renewable power percentage for the applicable period (ACT only)</v>
      </c>
      <c r="F33" s="108"/>
      <c r="G33" s="108"/>
      <c r="H33" s="106" t="str">
        <v>per cent</v>
      </c>
      <c r="I33" s="110" t="str">
        <v>Input</v>
      </c>
      <c r="J33" s="193" t="str">
        <f>IF(J37="ACT", X_Cell_Electricity_Market_JurisdictionalRenewablePowerPercentage, "N/A")</f>
        <v>N/A</v>
      </c>
    </row>
    <row r="34" spans="1:10" ht="20.100000000000001" customHeight="1" x14ac:dyDescent="0.25">
      <c r="A34" s="105" t="str">
        <f>HYPERLINK("#'14.1.1-2 Purchased electricity'!A1", "14.1.1-2 Purchased electricity")</f>
        <v>14.1.1-2 Purchased electricity</v>
      </c>
      <c r="D34" s="106" t="str">
        <v>REC_surrendered</v>
      </c>
      <c r="E34" s="107" t="str">
        <v>Renewable Energy Certificates voluntarily surrendered in the reporting year</v>
      </c>
      <c r="F34" s="108"/>
      <c r="G34" s="108"/>
      <c r="H34" s="106" t="str">
        <v>MWh</v>
      </c>
      <c r="I34" s="110" t="str">
        <v>Input</v>
      </c>
      <c r="J34" s="106">
        <f>(X_Cell_Electricity_Market_AmountPurchasedGreenPower*10^-3)+X_Cell_TotalElegibleVoluntarilySurrenderedRECs</f>
        <v>10</v>
      </c>
    </row>
    <row r="35" spans="1:10" ht="20.100000000000001" customHeight="1" x14ac:dyDescent="0.25">
      <c r="D35" s="106" t="str">
        <v>REC_onsite</v>
      </c>
      <c r="E35" s="107" t="str">
        <v>Renewable Energy Certificates issued for electricity produced on-site during the year and consumed by the entity</v>
      </c>
      <c r="F35" s="108"/>
      <c r="G35" s="108"/>
      <c r="H35" s="106" t="str">
        <v>MWh</v>
      </c>
      <c r="I35" s="110" t="str">
        <v>Input</v>
      </c>
      <c r="J35" s="106">
        <f>X_Cell_TotalElegibleRECsForElectricityProducedOnSite</f>
        <v>0</v>
      </c>
    </row>
    <row r="36" spans="1:10" ht="20.100000000000001" customHeight="1" x14ac:dyDescent="0.25">
      <c r="D36" s="106" t="str">
        <v>EF_RMF2elec</v>
      </c>
      <c r="E36" s="107" t="str">
        <v>Scope 2 residual mix emission factor for electricity</v>
      </c>
      <c r="F36" s="108"/>
      <c r="G36" s="108"/>
      <c r="H36" s="106" t="str">
        <v>kg CO2e/kWh</v>
      </c>
      <c r="I36" s="111" t="str">
        <v>Constant</v>
      </c>
      <c r="J36" s="106" cm="1">
        <f t="array" ref="J36">Table_SourceData_ElectricityEFsMarketBased[Scope 2 EF (kg CO2-e/kWh)]</f>
        <v>0.81</v>
      </c>
    </row>
    <row r="37" spans="1:10" ht="20.100000000000001" customHeight="1" x14ac:dyDescent="0.25">
      <c r="A37" s="250" t="s">
        <v>1</v>
      </c>
      <c r="D37" s="106" t="str">
        <v>i</v>
      </c>
      <c r="E37" s="107" t="str">
        <v>state</v>
      </c>
      <c r="F37" s="108"/>
      <c r="G37" s="109"/>
      <c r="H37" s="106" t="str">
        <v/>
      </c>
      <c r="I37" s="110" t="str">
        <v>Input</v>
      </c>
      <c r="J37" s="106"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8" t="s">
        <v>687</v>
      </c>
      <c r="E39" s="119" cm="1">
        <f t="array" ref="E39">Electricity_Equations.VEERG_14_1_2__1_MarketBasedScopeElectricityEmissionsVariation(J31,J32,IF(ISNUMBER(J33), J33, 0),J34,J35,J36)</f>
        <v>13.77</v>
      </c>
      <c r="F39" s="120" t="str">
        <f>E29</f>
        <v>t CO2e</v>
      </c>
    </row>
    <row r="40" spans="1:10" ht="20.100000000000001" customHeight="1" x14ac:dyDescent="0.25">
      <c r="A40" s="5" t="str">
        <f>HYPERLINK("#'Constants - Common Livestock'!A1", "Constants - Common Livestock")</f>
        <v>Constants - Common Livestock</v>
      </c>
      <c r="H40" s="1" t="s">
        <v>682</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1"/>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E219072F-F316-41FB-972B-FBEF4F7C2526}"/>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612BE-4881-4216-AE51-665F59ABEF3F}">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2" customFormat="1" ht="30" customHeight="1" x14ac:dyDescent="0.35">
      <c r="A1" s="16" t="e" vm="1">
        <v>#VALUE!</v>
      </c>
      <c r="C1" s="32" t="s">
        <v>300</v>
      </c>
    </row>
    <row r="2" spans="1:21" s="3" customFormat="1" ht="20.100000000000001" customHeight="1" x14ac:dyDescent="0.25">
      <c r="A2"/>
    </row>
    <row r="3" spans="1:21"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row>
    <row r="4" spans="1:21" ht="20.100000000000001" customHeight="1" x14ac:dyDescent="0.25">
      <c r="A4" s="5" t="str">
        <f>HYPERLINK("#'Results'!A1", "Results")</f>
        <v>Results</v>
      </c>
      <c r="M4" s="8"/>
    </row>
    <row r="5" spans="1:21" ht="20.100000000000001" customHeight="1" x14ac:dyDescent="0.25">
      <c r="D5" s="2" t="s">
        <v>301</v>
      </c>
      <c r="G5" s="2" t="s">
        <v>302</v>
      </c>
      <c r="M5" s="1" t="s">
        <v>303</v>
      </c>
      <c r="O5" s="1" t="s">
        <v>304</v>
      </c>
      <c r="Q5" s="1" t="s">
        <v>305</v>
      </c>
      <c r="S5" s="1" t="s">
        <v>306</v>
      </c>
    </row>
    <row r="6" spans="1:21" ht="20.100000000000001" customHeight="1" x14ac:dyDescent="0.25">
      <c r="M6" s="1"/>
    </row>
    <row r="7" spans="1:21" ht="20.100000000000001" customHeight="1" x14ac:dyDescent="0.25">
      <c r="A7" s="7" t="s">
        <v>0</v>
      </c>
      <c r="D7" s="31" t="s">
        <v>307</v>
      </c>
      <c r="G7" s="31" t="s">
        <v>75</v>
      </c>
      <c r="M7" t="s">
        <v>308</v>
      </c>
      <c r="O7" s="31" t="s">
        <v>308</v>
      </c>
      <c r="Q7" s="31" t="s">
        <v>308</v>
      </c>
      <c r="S7" s="31" t="s">
        <v>308</v>
      </c>
    </row>
    <row r="8" spans="1:21" ht="20.100000000000001" customHeight="1" x14ac:dyDescent="0.25">
      <c r="A8" s="5" t="str">
        <f>HYPERLINK("#'Input - Enterprise'!A1", "Enterprise")</f>
        <v>Enterprise</v>
      </c>
      <c r="D8" s="31" t="str">
        <f>'Constants - Common'!$F$187</f>
        <v>Pasture</v>
      </c>
      <c r="G8" s="31" t="s">
        <v>309</v>
      </c>
      <c r="M8" s="31" t="s">
        <v>183</v>
      </c>
      <c r="O8" s="31" t="s">
        <v>310</v>
      </c>
      <c r="Q8" s="31" t="s">
        <v>311</v>
      </c>
      <c r="S8" s="31" t="s">
        <v>312</v>
      </c>
    </row>
    <row r="9" spans="1:21" ht="20.100000000000001" customHeight="1" x14ac:dyDescent="0.25">
      <c r="A9" s="5" t="str">
        <f>HYPERLINK("#'Input - Site'!A1", "Site")</f>
        <v>Site</v>
      </c>
      <c r="D9" s="1" t="str">
        <f>'Constants - Common'!$F$188</f>
        <v>Crop</v>
      </c>
      <c r="G9" s="31" t="s">
        <v>313</v>
      </c>
      <c r="M9" s="31" t="s">
        <v>314</v>
      </c>
      <c r="O9" s="31" t="s">
        <v>315</v>
      </c>
      <c r="Q9" s="31" t="s">
        <v>316</v>
      </c>
    </row>
    <row r="10" spans="1:21" ht="20.100000000000001" customHeight="1" x14ac:dyDescent="0.25">
      <c r="A10" s="5" t="str">
        <f>HYPERLINK("#'Input - Pasture Beef'!A1", "Pasture Beef")</f>
        <v>Pasture Beef</v>
      </c>
      <c r="G10" s="1" t="s">
        <v>237</v>
      </c>
      <c r="M10" s="31" t="s">
        <v>317</v>
      </c>
      <c r="O10" s="31" t="s">
        <v>318</v>
      </c>
      <c r="Q10" s="31" t="s">
        <v>319</v>
      </c>
      <c r="S10" s="1" t="s">
        <v>320</v>
      </c>
    </row>
    <row r="11" spans="1:21" ht="20.100000000000001" customHeight="1" x14ac:dyDescent="0.25">
      <c r="A11" s="5" t="str">
        <f>HYPERLINK("#'Input - Pasture Beef (Enteric)'!A1", "Pasture Beef (Enteric)")</f>
        <v>Pasture Beef (Enteric)</v>
      </c>
      <c r="G11" s="1" t="s">
        <v>321</v>
      </c>
      <c r="M11" s="1"/>
      <c r="Q11" s="31" t="s">
        <v>322</v>
      </c>
    </row>
    <row r="12" spans="1:21" ht="20.100000000000001" customHeight="1" x14ac:dyDescent="0.25">
      <c r="A12" s="5" t="str">
        <f>HYPERLINK("#'Input - Pasture'!A1", "Pasture")</f>
        <v>Pasture</v>
      </c>
      <c r="G12" s="1" t="s">
        <v>323</v>
      </c>
      <c r="M12" s="1"/>
      <c r="S12" s="31" t="s">
        <v>308</v>
      </c>
    </row>
    <row r="13" spans="1:21" ht="20.100000000000001" customHeight="1" x14ac:dyDescent="0.25">
      <c r="A13" s="5" t="str">
        <f>HYPERLINK("#'Input - Fertiliser'!A1", "Fertiliser")</f>
        <v>Fertiliser</v>
      </c>
      <c r="M13" s="1"/>
      <c r="S13" s="31" t="s">
        <v>312</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8" t="str" cm="1">
        <f t="array" ref="D15">SourceData_PastureBeef.SourceData_PastureBeef_Liveweight_Source()</f>
        <v>VEERG 2026: Table A.1.2.1</v>
      </c>
      <c r="M15" s="1"/>
      <c r="S15" s="1" t="s">
        <v>324</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325</v>
      </c>
      <c r="S17" s="31" t="s">
        <v>308</v>
      </c>
    </row>
    <row r="18" spans="1:19" ht="20.100000000000001" customHeight="1" x14ac:dyDescent="0.25">
      <c r="A18" s="6" t="s">
        <v>2</v>
      </c>
      <c r="D18" s="31" t="s">
        <v>110</v>
      </c>
      <c r="E18" s="31" t="s">
        <v>308</v>
      </c>
      <c r="F18" s="31" t="s">
        <v>79</v>
      </c>
      <c r="G18" s="31" t="s">
        <v>326</v>
      </c>
      <c r="H18" s="31" t="s">
        <v>327</v>
      </c>
      <c r="I18" s="31" t="s">
        <v>328</v>
      </c>
      <c r="J18" s="31" t="s">
        <v>329</v>
      </c>
      <c r="K18" s="31" t="s">
        <v>330</v>
      </c>
      <c r="L18" s="31" t="s">
        <v>331</v>
      </c>
      <c r="M18" s="31" t="s">
        <v>332</v>
      </c>
      <c r="O18" s="31" t="s">
        <v>333</v>
      </c>
      <c r="S18" s="31" t="s">
        <v>312</v>
      </c>
    </row>
    <row r="19" spans="1:19" ht="20.100000000000001" customHeight="1" x14ac:dyDescent="0.25">
      <c r="A19" s="5" t="str">
        <f>HYPERLINK("#'3.2.1.1-2 Enteric Methane'!A1", "3.2.1.1-2 Enteric methane")</f>
        <v>3.2.1.1-2 Enteric methane</v>
      </c>
      <c r="D19" s="31" t="str" cm="1">
        <f t="array" ref="D19">Common_InputFunctions.Utility_DisplayArrayInTable(SourceData_PastureBeef.SourceData_PastureBeef_Liveweight_Data(), Table_SourceData_PastureBeef_Liveweight[[#Headers],[State]], 0)</f>
        <v>ACT/NSW</v>
      </c>
      <c r="E19" s="31" t="str" cm="1">
        <f t="array" ref="E19">Common_InputFunctions.Utility_DisplayArrayInTable(SourceData_PastureBeef.SourceData_PastureBeef_Liveweight_Data(), Table_SourceData_PastureBeef_Liveweight[[#Headers],[State]], 0)</f>
        <v>n/a</v>
      </c>
      <c r="F19" s="31" t="str" cm="1">
        <f t="array" ref="F19">Common_InputFunctions.Utility_DisplayArrayInTable(SourceData_PastureBeef.SourceData_PastureBeef_Liveweight_Data(), Table_SourceData_PastureBeef_Liveweight[[#Headers],[State]], 0)</f>
        <v>Spring</v>
      </c>
      <c r="G19" s="31" cm="1">
        <f t="array" ref="G19">Common_InputFunctions.Utility_DisplayArrayInTable(SourceData_PastureBeef.SourceData_PastureBeef_Liveweight_Data(), Table_SourceData_PastureBeef_Liveweight[[#Headers],[State]], 0)</f>
        <v>80</v>
      </c>
      <c r="H19" s="31" cm="1">
        <f t="array" ref="H19">Common_InputFunctions.Utility_DisplayArrayInTable(SourceData_PastureBeef.SourceData_PastureBeef_Liveweight_Data(), Table_SourceData_PastureBeef_Liveweight[[#Headers],[State]], 0)</f>
        <v>480</v>
      </c>
      <c r="I19" s="31" cm="1">
        <f t="array" ref="I19">Common_InputFunctions.Utility_DisplayArrayInTable(SourceData_PastureBeef.SourceData_PastureBeef_Liveweight_Data(), Table_SourceData_PastureBeef_Liveweight[[#Headers],[State]], 0)</f>
        <v>75</v>
      </c>
      <c r="J19" s="31" cm="1">
        <f t="array" ref="J19">Common_InputFunctions.Utility_DisplayArrayInTable(SourceData_PastureBeef.SourceData_PastureBeef_Liveweight_Data(), Table_SourceData_PastureBeef_Liveweight[[#Headers],[State]], 0)</f>
        <v>300</v>
      </c>
      <c r="K19" s="31" cm="1">
        <f t="array" ref="K19">Common_InputFunctions.Utility_DisplayArrayInTable(SourceData_PastureBeef.SourceData_PastureBeef_Liveweight_Data(), Table_SourceData_PastureBeef_Liveweight[[#Headers],[State]], 0)</f>
        <v>440</v>
      </c>
      <c r="L19" s="31" cm="1">
        <f t="array" ref="L19">Common_InputFunctions.Utility_DisplayArrayInTable(SourceData_PastureBeef.SourceData_PastureBeef_Liveweight_Data(), Table_SourceData_PastureBeef_Liveweight[[#Headers],[State]], 0)</f>
        <v>75</v>
      </c>
      <c r="M19" s="31" cm="1">
        <f t="array" ref="M19">Common_InputFunctions.Utility_DisplayArrayInTable(SourceData_PastureBeef.SourceData_PastureBeef_Liveweight_Data(), Table_SourceData_PastureBeef_Liveweight[[#Headers],[State]], 0)</f>
        <v>380</v>
      </c>
      <c r="O19" s="31"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1" t="str" cm="1">
        <f t="array" ref="E20">Common_InputFunctions.Utility_DisplayArrayInTable(SourceData_PastureBeef.SourceData_PastureBeef_Liveweight_Data(), Table_SourceData_PastureBeef_Liveweight[[#Headers],[State]], 0)</f>
        <v>n/a</v>
      </c>
      <c r="F20" s="31" t="str" cm="1">
        <f t="array" ref="F20">Common_InputFunctions.Utility_DisplayArrayInTable(SourceData_PastureBeef.SourceData_PastureBeef_Liveweight_Data(), Table_SourceData_PastureBeef_Liveweight[[#Headers],[State]], 0)</f>
        <v>Summer</v>
      </c>
      <c r="G20" s="31" cm="1">
        <f t="array" ref="G20">Common_InputFunctions.Utility_DisplayArrayInTable(SourceData_PastureBeef.SourceData_PastureBeef_Liveweight_Data(), Table_SourceData_PastureBeef_Liveweight[[#Headers],[State]], 0)</f>
        <v>170</v>
      </c>
      <c r="H20" s="31" cm="1">
        <f t="array" ref="H20">Common_InputFunctions.Utility_DisplayArrayInTable(SourceData_PastureBeef.SourceData_PastureBeef_Liveweight_Data(), Table_SourceData_PastureBeef_Liveweight[[#Headers],[State]], 0)</f>
        <v>520</v>
      </c>
      <c r="I20" s="31" cm="1">
        <f t="array" ref="I20">Common_InputFunctions.Utility_DisplayArrayInTable(SourceData_PastureBeef.SourceData_PastureBeef_Liveweight_Data(), Table_SourceData_PastureBeef_Liveweight[[#Headers],[State]], 0)</f>
        <v>160</v>
      </c>
      <c r="J20" s="31" cm="1">
        <f t="array" ref="J20">Common_InputFunctions.Utility_DisplayArrayInTable(SourceData_PastureBeef.SourceData_PastureBeef_Liveweight_Data(), Table_SourceData_PastureBeef_Liveweight[[#Headers],[State]], 0)</f>
        <v>360</v>
      </c>
      <c r="K20" s="31" cm="1">
        <f t="array" ref="K20">Common_InputFunctions.Utility_DisplayArrayInTable(SourceData_PastureBeef.SourceData_PastureBeef_Liveweight_Data(), Table_SourceData_PastureBeef_Liveweight[[#Headers],[State]], 0)</f>
        <v>470</v>
      </c>
      <c r="L20" s="31" cm="1">
        <f t="array" ref="L20">Common_InputFunctions.Utility_DisplayArrayInTable(SourceData_PastureBeef.SourceData_PastureBeef_Liveweight_Data(), Table_SourceData_PastureBeef_Liveweight[[#Headers],[State]], 0)</f>
        <v>160</v>
      </c>
      <c r="M20" s="31" cm="1">
        <f t="array" ref="M20">Common_InputFunctions.Utility_DisplayArrayInTable(SourceData_PastureBeef.SourceData_PastureBeef_Liveweight_Data(), Table_SourceData_PastureBeef_Liveweight[[#Headers],[State]], 0)</f>
        <v>420</v>
      </c>
      <c r="O20" s="31" t="str">
        <f>Table_SourceData_PastureBeef_LiveweightAllStates[[#Headers],[Bulls &gt; 1 year]]</f>
        <v>Bulls &gt; 1 year</v>
      </c>
      <c r="S20" s="1" t="s">
        <v>334</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1" t="str" cm="1">
        <f t="array" ref="E21">Common_InputFunctions.Utility_DisplayArrayInTable(SourceData_PastureBeef.SourceData_PastureBeef_Liveweight_Data(), Table_SourceData_PastureBeef_Liveweight[[#Headers],[State]], 0)</f>
        <v>n/a</v>
      </c>
      <c r="F21" s="31" t="str" cm="1">
        <f t="array" ref="F21">Common_InputFunctions.Utility_DisplayArrayInTable(SourceData_PastureBeef.SourceData_PastureBeef_Liveweight_Data(), Table_SourceData_PastureBeef_Liveweight[[#Headers],[State]], 0)</f>
        <v>Autumn</v>
      </c>
      <c r="G21" s="31" cm="1">
        <f t="array" ref="G21">Common_InputFunctions.Utility_DisplayArrayInTable(SourceData_PastureBeef.SourceData_PastureBeef_Liveweight_Data(), Table_SourceData_PastureBeef_Liveweight[[#Headers],[State]], 0)</f>
        <v>240</v>
      </c>
      <c r="H21" s="31" cm="1">
        <f t="array" ref="H21">Common_InputFunctions.Utility_DisplayArrayInTable(SourceData_PastureBeef.SourceData_PastureBeef_Liveweight_Data(), Table_SourceData_PastureBeef_Liveweight[[#Headers],[State]], 0)</f>
        <v>550</v>
      </c>
      <c r="I21" s="31" cm="1">
        <f t="array" ref="I21">Common_InputFunctions.Utility_DisplayArrayInTable(SourceData_PastureBeef.SourceData_PastureBeef_Liveweight_Data(), Table_SourceData_PastureBeef_Liveweight[[#Headers],[State]], 0)</f>
        <v>220</v>
      </c>
      <c r="J21" s="31" cm="1">
        <f t="array" ref="J21">Common_InputFunctions.Utility_DisplayArrayInTable(SourceData_PastureBeef.SourceData_PastureBeef_Liveweight_Data(), Table_SourceData_PastureBeef_Liveweight[[#Headers],[State]], 0)</f>
        <v>390</v>
      </c>
      <c r="K21" s="31" cm="1">
        <f t="array" ref="K21">Common_InputFunctions.Utility_DisplayArrayInTable(SourceData_PastureBeef.SourceData_PastureBeef_Liveweight_Data(), Table_SourceData_PastureBeef_Liveweight[[#Headers],[State]], 0)</f>
        <v>490</v>
      </c>
      <c r="L21" s="31" cm="1">
        <f t="array" ref="L21">Common_InputFunctions.Utility_DisplayArrayInTable(SourceData_PastureBeef.SourceData_PastureBeef_Liveweight_Data(), Table_SourceData_PastureBeef_Liveweight[[#Headers],[State]], 0)</f>
        <v>220</v>
      </c>
      <c r="M21" s="31" cm="1">
        <f t="array" ref="M21">Common_InputFunctions.Utility_DisplayArrayInTable(SourceData_PastureBeef.SourceData_PastureBeef_Liveweight_Data(), Table_SourceData_PastureBeef_Liveweight[[#Headers],[State]], 0)</f>
        <v>450</v>
      </c>
      <c r="O21" s="31"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1" t="str" cm="1">
        <f t="array" ref="E22">Common_InputFunctions.Utility_DisplayArrayInTable(SourceData_PastureBeef.SourceData_PastureBeef_Liveweight_Data(), Table_SourceData_PastureBeef_Liveweight[[#Headers],[State]], 0)</f>
        <v>n/a</v>
      </c>
      <c r="F22" s="31" t="str" cm="1">
        <f t="array" ref="F22">Common_InputFunctions.Utility_DisplayArrayInTable(SourceData_PastureBeef.SourceData_PastureBeef_Liveweight_Data(), Table_SourceData_PastureBeef_Liveweight[[#Headers],[State]], 0)</f>
        <v>Winter</v>
      </c>
      <c r="G22" s="31" cm="1">
        <f t="array" ref="G22">Common_InputFunctions.Utility_DisplayArrayInTable(SourceData_PastureBeef.SourceData_PastureBeef_Liveweight_Data(), Table_SourceData_PastureBeef_Liveweight[[#Headers],[State]], 0)</f>
        <v>280</v>
      </c>
      <c r="H22" s="31" cm="1">
        <f t="array" ref="H22">Common_InputFunctions.Utility_DisplayArrayInTable(SourceData_PastureBeef.SourceData_PastureBeef_Liveweight_Data(), Table_SourceData_PastureBeef_Liveweight[[#Headers],[State]], 0)</f>
        <v>560</v>
      </c>
      <c r="I22" s="31" cm="1">
        <f t="array" ref="I22">Common_InputFunctions.Utility_DisplayArrayInTable(SourceData_PastureBeef.SourceData_PastureBeef_Liveweight_Data(), Table_SourceData_PastureBeef_Liveweight[[#Headers],[State]], 0)</f>
        <v>260</v>
      </c>
      <c r="J22" s="31" cm="1">
        <f t="array" ref="J22">Common_InputFunctions.Utility_DisplayArrayInTable(SourceData_PastureBeef.SourceData_PastureBeef_Liveweight_Data(), Table_SourceData_PastureBeef_Liveweight[[#Headers],[State]], 0)</f>
        <v>410</v>
      </c>
      <c r="K22" s="31" cm="1">
        <f t="array" ref="K22">Common_InputFunctions.Utility_DisplayArrayInTable(SourceData_PastureBeef.SourceData_PastureBeef_Liveweight_Data(), Table_SourceData_PastureBeef_Liveweight[[#Headers],[State]], 0)</f>
        <v>500</v>
      </c>
      <c r="L22" s="31" cm="1">
        <f t="array" ref="L22">Common_InputFunctions.Utility_DisplayArrayInTable(SourceData_PastureBeef.SourceData_PastureBeef_Liveweight_Data(), Table_SourceData_PastureBeef_Liveweight[[#Headers],[State]], 0)</f>
        <v>260</v>
      </c>
      <c r="M22" s="31" cm="1">
        <f t="array" ref="M22">Common_InputFunctions.Utility_DisplayArrayInTable(SourceData_PastureBeef.SourceData_PastureBeef_Liveweight_Data(), Table_SourceData_PastureBeef_Liveweight[[#Headers],[State]], 0)</f>
        <v>460</v>
      </c>
      <c r="O22" s="31" t="str">
        <f>Table_SourceData_PastureBeef_LiveweightAllStates[[#Headers],[Cows 1-2 years]]</f>
        <v>Cows 1-2 years</v>
      </c>
      <c r="S22" s="31" t="s">
        <v>308</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1" t="str" cm="1">
        <f t="array" ref="E23">Common_InputFunctions.Utility_DisplayArrayInTable(SourceData_PastureBeef.SourceData_PastureBeef_Liveweight_Data(), Table_SourceData_PastureBeef_Liveweight[[#Headers],[State]], 0)</f>
        <v>n/a</v>
      </c>
      <c r="F23" s="31" t="str" cm="1">
        <f t="array" ref="F23">Common_InputFunctions.Utility_DisplayArrayInTable(SourceData_PastureBeef.SourceData_PastureBeef_Liveweight_Data(), Table_SourceData_PastureBeef_Liveweight[[#Headers],[State]], 0)</f>
        <v>Spring</v>
      </c>
      <c r="G23" s="31" cm="1">
        <f t="array" ref="G23">Common_InputFunctions.Utility_DisplayArrayInTable(SourceData_PastureBeef.SourceData_PastureBeef_Liveweight_Data(), Table_SourceData_PastureBeef_Liveweight[[#Headers],[State]], 0)</f>
        <v>250</v>
      </c>
      <c r="H23" s="31" cm="1">
        <f t="array" ref="H23">Common_InputFunctions.Utility_DisplayArrayInTable(SourceData_PastureBeef.SourceData_PastureBeef_Liveweight_Data(), Table_SourceData_PastureBeef_Liveweight[[#Headers],[State]], 0)</f>
        <v>800</v>
      </c>
      <c r="I23" s="31" cm="1">
        <f t="array" ref="I23">Common_InputFunctions.Utility_DisplayArrayInTable(SourceData_PastureBeef.SourceData_PastureBeef_Liveweight_Data(), Table_SourceData_PastureBeef_Liveweight[[#Headers],[State]], 0)</f>
        <v>220</v>
      </c>
      <c r="J23" s="31" cm="1">
        <f t="array" ref="J23">Common_InputFunctions.Utility_DisplayArrayInTable(SourceData_PastureBeef.SourceData_PastureBeef_Liveweight_Data(), Table_SourceData_PastureBeef_Liveweight[[#Headers],[State]], 0)</f>
        <v>400</v>
      </c>
      <c r="K23" s="31" cm="1">
        <f t="array" ref="K23">Common_InputFunctions.Utility_DisplayArrayInTable(SourceData_PastureBeef.SourceData_PastureBeef_Liveweight_Data(), Table_SourceData_PastureBeef_Liveweight[[#Headers],[State]], 0)</f>
        <v>500</v>
      </c>
      <c r="L23" s="31" cm="1">
        <f t="array" ref="L23">Common_InputFunctions.Utility_DisplayArrayInTable(SourceData_PastureBeef.SourceData_PastureBeef_Liveweight_Data(), Table_SourceData_PastureBeef_Liveweight[[#Headers],[State]], 0)</f>
        <v>230</v>
      </c>
      <c r="M23" s="31" cm="1">
        <f t="array" ref="M23">Common_InputFunctions.Utility_DisplayArrayInTable(SourceData_PastureBeef.SourceData_PastureBeef_Liveweight_Data(), Table_SourceData_PastureBeef_Liveweight[[#Headers],[State]], 0)</f>
        <v>420</v>
      </c>
      <c r="O23" s="31" t="str">
        <f>Table_SourceData_PastureBeef_LiveweightAllStates[[#Headers],[Cows 2-3 years]]</f>
        <v>Cows 2-3 years</v>
      </c>
      <c r="S23" s="31" t="s">
        <v>312</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1" t="str" cm="1">
        <f t="array" ref="E24">Common_InputFunctions.Utility_DisplayArrayInTable(SourceData_PastureBeef.SourceData_PastureBeef_Liveweight_Data(), Table_SourceData_PastureBeef_Liveweight[[#Headers],[State]], 0)</f>
        <v>n/a</v>
      </c>
      <c r="F24" s="31" t="str" cm="1">
        <f t="array" ref="F24">Common_InputFunctions.Utility_DisplayArrayInTable(SourceData_PastureBeef.SourceData_PastureBeef_Liveweight_Data(), Table_SourceData_PastureBeef_Liveweight[[#Headers],[State]], 0)</f>
        <v>Summer</v>
      </c>
      <c r="G24" s="31" cm="1">
        <f t="array" ref="G24">Common_InputFunctions.Utility_DisplayArrayInTable(SourceData_PastureBeef.SourceData_PastureBeef_Liveweight_Data(), Table_SourceData_PastureBeef_Liveweight[[#Headers],[State]], 0)</f>
        <v>320</v>
      </c>
      <c r="H24" s="31" cm="1">
        <f t="array" ref="H24">Common_InputFunctions.Utility_DisplayArrayInTable(SourceData_PastureBeef.SourceData_PastureBeef_Liveweight_Data(), Table_SourceData_PastureBeef_Liveweight[[#Headers],[State]], 0)</f>
        <v>800</v>
      </c>
      <c r="I24" s="31" cm="1">
        <f t="array" ref="I24">Common_InputFunctions.Utility_DisplayArrayInTable(SourceData_PastureBeef.SourceData_PastureBeef_Liveweight_Data(), Table_SourceData_PastureBeef_Liveweight[[#Headers],[State]], 0)</f>
        <v>280</v>
      </c>
      <c r="J24" s="31" cm="1">
        <f t="array" ref="J24">Common_InputFunctions.Utility_DisplayArrayInTable(SourceData_PastureBeef.SourceData_PastureBeef_Liveweight_Data(), Table_SourceData_PastureBeef_Liveweight[[#Headers],[State]], 0)</f>
        <v>420</v>
      </c>
      <c r="K24" s="31" cm="1">
        <f t="array" ref="K24">Common_InputFunctions.Utility_DisplayArrayInTable(SourceData_PastureBeef.SourceData_PastureBeef_Liveweight_Data(), Table_SourceData_PastureBeef_Liveweight[[#Headers],[State]], 0)</f>
        <v>500</v>
      </c>
      <c r="L24" s="31" cm="1">
        <f t="array" ref="L24">Common_InputFunctions.Utility_DisplayArrayInTable(SourceData_PastureBeef.SourceData_PastureBeef_Liveweight_Data(), Table_SourceData_PastureBeef_Liveweight[[#Headers],[State]], 0)</f>
        <v>290</v>
      </c>
      <c r="M24" s="31" cm="1">
        <f t="array" ref="M24">Common_InputFunctions.Utility_DisplayArrayInTable(SourceData_PastureBeef.SourceData_PastureBeef_Liveweight_Data(), Table_SourceData_PastureBeef_Liveweight[[#Headers],[State]], 0)</f>
        <v>420</v>
      </c>
      <c r="O24" s="31"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1" t="str" cm="1">
        <f t="array" ref="E25">Common_InputFunctions.Utility_DisplayArrayInTable(SourceData_PastureBeef.SourceData_PastureBeef_Liveweight_Data(), Table_SourceData_PastureBeef_Liveweight[[#Headers],[State]], 0)</f>
        <v>n/a</v>
      </c>
      <c r="F25" s="31" t="str" cm="1">
        <f t="array" ref="F25">Common_InputFunctions.Utility_DisplayArrayInTable(SourceData_PastureBeef.SourceData_PastureBeef_Liveweight_Data(), Table_SourceData_PastureBeef_Liveweight[[#Headers],[State]], 0)</f>
        <v>Autumn</v>
      </c>
      <c r="G25" s="31" cm="1">
        <f t="array" ref="G25">Common_InputFunctions.Utility_DisplayArrayInTable(SourceData_PastureBeef.SourceData_PastureBeef_Liveweight_Data(), Table_SourceData_PastureBeef_Liveweight[[#Headers],[State]], 0)</f>
        <v>80</v>
      </c>
      <c r="H25" s="31" cm="1">
        <f t="array" ref="H25">Common_InputFunctions.Utility_DisplayArrayInTable(SourceData_PastureBeef.SourceData_PastureBeef_Liveweight_Data(), Table_SourceData_PastureBeef_Liveweight[[#Headers],[State]], 0)</f>
        <v>700</v>
      </c>
      <c r="I25" s="31" cm="1">
        <f t="array" ref="I25">Common_InputFunctions.Utility_DisplayArrayInTable(SourceData_PastureBeef.SourceData_PastureBeef_Liveweight_Data(), Table_SourceData_PastureBeef_Liveweight[[#Headers],[State]], 0)</f>
        <v>70</v>
      </c>
      <c r="J25" s="31" cm="1">
        <f t="array" ref="J25">Common_InputFunctions.Utility_DisplayArrayInTable(SourceData_PastureBeef.SourceData_PastureBeef_Liveweight_Data(), Table_SourceData_PastureBeef_Liveweight[[#Headers],[State]], 0)</f>
        <v>300</v>
      </c>
      <c r="K25" s="31" cm="1">
        <f t="array" ref="K25">Common_InputFunctions.Utility_DisplayArrayInTable(SourceData_PastureBeef.SourceData_PastureBeef_Liveweight_Data(), Table_SourceData_PastureBeef_Liveweight[[#Headers],[State]], 0)</f>
        <v>450</v>
      </c>
      <c r="L25" s="31" cm="1">
        <f t="array" ref="L25">Common_InputFunctions.Utility_DisplayArrayInTable(SourceData_PastureBeef.SourceData_PastureBeef_Liveweight_Data(), Table_SourceData_PastureBeef_Liveweight[[#Headers],[State]], 0)</f>
        <v>75</v>
      </c>
      <c r="M25" s="31" cm="1">
        <f t="array" ref="M25">Common_InputFunctions.Utility_DisplayArrayInTable(SourceData_PastureBeef.SourceData_PastureBeef_Liveweight_Data(), Table_SourceData_PastureBeef_Liveweight[[#Headers],[State]], 0)</f>
        <v>400</v>
      </c>
      <c r="O25" s="31" t="str">
        <f>Table_SourceData_PastureBeef_LiveweightAllStates[[#Headers],[Steers &lt; 1 year]]</f>
        <v>Steers &lt; 1 year</v>
      </c>
      <c r="S25" s="1" t="s">
        <v>335</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1" t="str" cm="1">
        <f t="array" ref="E26">Common_InputFunctions.Utility_DisplayArrayInTable(SourceData_PastureBeef.SourceData_PastureBeef_Liveweight_Data(), Table_SourceData_PastureBeef_Liveweight[[#Headers],[State]], 0)</f>
        <v>n/a</v>
      </c>
      <c r="F26" s="31" t="str" cm="1">
        <f t="array" ref="F26">Common_InputFunctions.Utility_DisplayArrayInTable(SourceData_PastureBeef.SourceData_PastureBeef_Liveweight_Data(), Table_SourceData_PastureBeef_Liveweight[[#Headers],[State]], 0)</f>
        <v>Winter</v>
      </c>
      <c r="G26" s="31" cm="1">
        <f t="array" ref="G26">Common_InputFunctions.Utility_DisplayArrayInTable(SourceData_PastureBeef.SourceData_PastureBeef_Liveweight_Data(), Table_SourceData_PastureBeef_Liveweight[[#Headers],[State]], 0)</f>
        <v>160</v>
      </c>
      <c r="H26" s="31" cm="1">
        <f t="array" ref="H26">Common_InputFunctions.Utility_DisplayArrayInTable(SourceData_PastureBeef.SourceData_PastureBeef_Liveweight_Data(), Table_SourceData_PastureBeef_Liveweight[[#Headers],[State]], 0)</f>
        <v>700</v>
      </c>
      <c r="I26" s="31" cm="1">
        <f t="array" ref="I26">Common_InputFunctions.Utility_DisplayArrayInTable(SourceData_PastureBeef.SourceData_PastureBeef_Liveweight_Data(), Table_SourceData_PastureBeef_Liveweight[[#Headers],[State]], 0)</f>
        <v>140</v>
      </c>
      <c r="J26" s="31" cm="1">
        <f t="array" ref="J26">Common_InputFunctions.Utility_DisplayArrayInTable(SourceData_PastureBeef.SourceData_PastureBeef_Liveweight_Data(), Table_SourceData_PastureBeef_Liveweight[[#Headers],[State]], 0)</f>
        <v>350</v>
      </c>
      <c r="K26" s="31" cm="1">
        <f t="array" ref="K26">Common_InputFunctions.Utility_DisplayArrayInTable(SourceData_PastureBeef.SourceData_PastureBeef_Liveweight_Data(), Table_SourceData_PastureBeef_Liveweight[[#Headers],[State]], 0)</f>
        <v>450</v>
      </c>
      <c r="L26" s="31" cm="1">
        <f t="array" ref="L26">Common_InputFunctions.Utility_DisplayArrayInTable(SourceData_PastureBeef.SourceData_PastureBeef_Liveweight_Data(), Table_SourceData_PastureBeef_Liveweight[[#Headers],[State]], 0)</f>
        <v>150</v>
      </c>
      <c r="M26" s="31" cm="1">
        <f t="array" ref="M26">Common_InputFunctions.Utility_DisplayArrayInTable(SourceData_PastureBeef.SourceData_PastureBeef_Liveweight_Data(), Table_SourceData_PastureBeef_Liveweight[[#Headers],[State]], 0)</f>
        <v>400</v>
      </c>
      <c r="O26" s="31"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1" t="str" cm="1">
        <f t="array" ref="E27">Common_InputFunctions.Utility_DisplayArrayInTable(SourceData_PastureBeef.SourceData_PastureBeef_Liveweight_Data(), Table_SourceData_PastureBeef_Liveweight[[#Headers],[State]], 0)</f>
        <v>n/a</v>
      </c>
      <c r="F27" s="31" t="str" cm="1">
        <f t="array" ref="F27">Common_InputFunctions.Utility_DisplayArrayInTable(SourceData_PastureBeef.SourceData_PastureBeef_Liveweight_Data(), Table_SourceData_PastureBeef_Liveweight[[#Headers],[State]], 0)</f>
        <v>Spring</v>
      </c>
      <c r="G27" s="31" cm="1">
        <f t="array" ref="G27">Common_InputFunctions.Utility_DisplayArrayInTable(SourceData_PastureBeef.SourceData_PastureBeef_Liveweight_Data(), Table_SourceData_PastureBeef_Liveweight[[#Headers],[State]], 0)</f>
        <v>105</v>
      </c>
      <c r="H27" s="31" cm="1">
        <f t="array" ref="H27">Common_InputFunctions.Utility_DisplayArrayInTable(SourceData_PastureBeef.SourceData_PastureBeef_Liveweight_Data(), Table_SourceData_PastureBeef_Liveweight[[#Headers],[State]], 0)</f>
        <v>700</v>
      </c>
      <c r="I27" s="31" cm="1">
        <f t="array" ref="I27">Common_InputFunctions.Utility_DisplayArrayInTable(SourceData_PastureBeef.SourceData_PastureBeef_Liveweight_Data(), Table_SourceData_PastureBeef_Liveweight[[#Headers],[State]], 0)</f>
        <v>85</v>
      </c>
      <c r="J27" s="31" cm="1">
        <f t="array" ref="J27">Common_InputFunctions.Utility_DisplayArrayInTable(SourceData_PastureBeef.SourceData_PastureBeef_Liveweight_Data(), Table_SourceData_PastureBeef_Liveweight[[#Headers],[State]], 0)</f>
        <v>300</v>
      </c>
      <c r="K27" s="31" cm="1">
        <f t="array" ref="K27">Common_InputFunctions.Utility_DisplayArrayInTable(SourceData_PastureBeef.SourceData_PastureBeef_Liveweight_Data(), Table_SourceData_PastureBeef_Liveweight[[#Headers],[State]], 0)</f>
        <v>490</v>
      </c>
      <c r="L27" s="31" cm="1">
        <f t="array" ref="L27">Common_InputFunctions.Utility_DisplayArrayInTable(SourceData_PastureBeef.SourceData_PastureBeef_Liveweight_Data(), Table_SourceData_PastureBeef_Liveweight[[#Headers],[State]], 0)</f>
        <v>90</v>
      </c>
      <c r="M27" s="31" cm="1">
        <f t="array" ref="M27">Common_InputFunctions.Utility_DisplayArrayInTable(SourceData_PastureBeef.SourceData_PastureBeef_Liveweight_Data(), Table_SourceData_PastureBeef_Liveweight[[#Headers],[State]], 0)</f>
        <v>480</v>
      </c>
      <c r="O27" s="31" t="str">
        <f>Table_SourceData_PastureBeef_LiveweightAllStates[[#Headers],[Steers 2-3 years]]</f>
        <v>Steers 2-3 years</v>
      </c>
      <c r="S27" s="31" t="s">
        <v>308</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1" t="str" cm="1">
        <f t="array" ref="E28">Common_InputFunctions.Utility_DisplayArrayInTable(SourceData_PastureBeef.SourceData_PastureBeef_Liveweight_Data(), Table_SourceData_PastureBeef_Liveweight[[#Headers],[State]], 0)</f>
        <v>n/a</v>
      </c>
      <c r="F28" s="31" t="str" cm="1">
        <f t="array" ref="F28">Common_InputFunctions.Utility_DisplayArrayInTable(SourceData_PastureBeef.SourceData_PastureBeef_Liveweight_Data(), Table_SourceData_PastureBeef_Liveweight[[#Headers],[State]], 0)</f>
        <v>Summer</v>
      </c>
      <c r="G28" s="31" cm="1">
        <f t="array" ref="G28">Common_InputFunctions.Utility_DisplayArrayInTable(SourceData_PastureBeef.SourceData_PastureBeef_Liveweight_Data(), Table_SourceData_PastureBeef_Liveweight[[#Headers],[State]], 0)</f>
        <v>480</v>
      </c>
      <c r="H28" s="31" cm="1">
        <f t="array" ref="H28">Common_InputFunctions.Utility_DisplayArrayInTable(SourceData_PastureBeef.SourceData_PastureBeef_Liveweight_Data(), Table_SourceData_PastureBeef_Liveweight[[#Headers],[State]], 0)</f>
        <v>750</v>
      </c>
      <c r="I28" s="31" cm="1">
        <f t="array" ref="I28">Common_InputFunctions.Utility_DisplayArrayInTable(SourceData_PastureBeef.SourceData_PastureBeef_Liveweight_Data(), Table_SourceData_PastureBeef_Liveweight[[#Headers],[State]], 0)</f>
        <v>150</v>
      </c>
      <c r="J28" s="31" cm="1">
        <f t="array" ref="J28">Common_InputFunctions.Utility_DisplayArrayInTable(SourceData_PastureBeef.SourceData_PastureBeef_Liveweight_Data(), Table_SourceData_PastureBeef_Liveweight[[#Headers],[State]], 0)</f>
        <v>350</v>
      </c>
      <c r="K28" s="31" cm="1">
        <f t="array" ref="K28">Common_InputFunctions.Utility_DisplayArrayInTable(SourceData_PastureBeef.SourceData_PastureBeef_Liveweight_Data(), Table_SourceData_PastureBeef_Liveweight[[#Headers],[State]], 0)</f>
        <v>530</v>
      </c>
      <c r="L28" s="31" cm="1">
        <f t="array" ref="L28">Common_InputFunctions.Utility_DisplayArrayInTable(SourceData_PastureBeef.SourceData_PastureBeef_Liveweight_Data(), Table_SourceData_PastureBeef_Liveweight[[#Headers],[State]], 0)</f>
        <v>160</v>
      </c>
      <c r="M28" s="31" cm="1">
        <f t="array" ref="M28">Common_InputFunctions.Utility_DisplayArrayInTable(SourceData_PastureBeef.SourceData_PastureBeef_Liveweight_Data(), Table_SourceData_PastureBeef_Liveweight[[#Headers],[State]], 0)</f>
        <v>460</v>
      </c>
      <c r="O28" s="31" t="str">
        <f>Table_SourceData_PastureBeef_LiveweightAllStates[[#Headers],[Steers &gt;3 years]]</f>
        <v>Steers &gt;3 years</v>
      </c>
      <c r="S28" s="31" t="s">
        <v>312</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1" t="str" cm="1">
        <f t="array" ref="E29">Common_InputFunctions.Utility_DisplayArrayInTable(SourceData_PastureBeef.SourceData_PastureBeef_Liveweight_Data(), Table_SourceData_PastureBeef_Liveweight[[#Headers],[State]], 0)</f>
        <v>n/a</v>
      </c>
      <c r="F29" s="31" t="str" cm="1">
        <f t="array" ref="F29">Common_InputFunctions.Utility_DisplayArrayInTable(SourceData_PastureBeef.SourceData_PastureBeef_Liveweight_Data(), Table_SourceData_PastureBeef_Liveweight[[#Headers],[State]], 0)</f>
        <v>Autumn</v>
      </c>
      <c r="G29" s="31" cm="1">
        <f t="array" ref="G29">Common_InputFunctions.Utility_DisplayArrayInTable(SourceData_PastureBeef.SourceData_PastureBeef_Liveweight_Data(), Table_SourceData_PastureBeef_Liveweight[[#Headers],[State]], 0)</f>
        <v>250</v>
      </c>
      <c r="H29" s="31" cm="1">
        <f t="array" ref="H29">Common_InputFunctions.Utility_DisplayArrayInTable(SourceData_PastureBeef.SourceData_PastureBeef_Liveweight_Data(), Table_SourceData_PastureBeef_Liveweight[[#Headers],[State]], 0)</f>
        <v>725</v>
      </c>
      <c r="I29" s="31" cm="1">
        <f t="array" ref="I29">Common_InputFunctions.Utility_DisplayArrayInTable(SourceData_PastureBeef.SourceData_PastureBeef_Liveweight_Data(), Table_SourceData_PastureBeef_Liveweight[[#Headers],[State]], 0)</f>
        <v>200</v>
      </c>
      <c r="J29" s="31" cm="1">
        <f t="array" ref="J29">Common_InputFunctions.Utility_DisplayArrayInTable(SourceData_PastureBeef.SourceData_PastureBeef_Liveweight_Data(), Table_SourceData_PastureBeef_Liveweight[[#Headers],[State]], 0)</f>
        <v>360</v>
      </c>
      <c r="K29" s="31" cm="1">
        <f t="array" ref="K29">Common_InputFunctions.Utility_DisplayArrayInTable(SourceData_PastureBeef.SourceData_PastureBeef_Liveweight_Data(), Table_SourceData_PastureBeef_Liveweight[[#Headers],[State]], 0)</f>
        <v>500</v>
      </c>
      <c r="L29" s="31" cm="1">
        <f t="array" ref="L29">Common_InputFunctions.Utility_DisplayArrayInTable(SourceData_PastureBeef.SourceData_PastureBeef_Liveweight_Data(), Table_SourceData_PastureBeef_Liveweight[[#Headers],[State]], 0)</f>
        <v>215</v>
      </c>
      <c r="M29" s="31"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1" t="str" cm="1">
        <f t="array" ref="E30">Common_InputFunctions.Utility_DisplayArrayInTable(SourceData_PastureBeef.SourceData_PastureBeef_Liveweight_Data(), Table_SourceData_PastureBeef_Liveweight[[#Headers],[State]], 0)</f>
        <v>n/a</v>
      </c>
      <c r="F30" s="31" t="str" cm="1">
        <f t="array" ref="F30">Common_InputFunctions.Utility_DisplayArrayInTable(SourceData_PastureBeef.SourceData_PastureBeef_Liveweight_Data(), Table_SourceData_PastureBeef_Liveweight[[#Headers],[State]], 0)</f>
        <v>Winter</v>
      </c>
      <c r="G30" s="31" cm="1">
        <f t="array" ref="G30">Common_InputFunctions.Utility_DisplayArrayInTable(SourceData_PastureBeef.SourceData_PastureBeef_Liveweight_Data(), Table_SourceData_PastureBeef_Liveweight[[#Headers],[State]], 0)</f>
        <v>260</v>
      </c>
      <c r="H30" s="31" cm="1">
        <f t="array" ref="H30">Common_InputFunctions.Utility_DisplayArrayInTable(SourceData_PastureBeef.SourceData_PastureBeef_Liveweight_Data(), Table_SourceData_PastureBeef_Liveweight[[#Headers],[State]], 0)</f>
        <v>700</v>
      </c>
      <c r="I30" s="31" cm="1">
        <f t="array" ref="I30">Common_InputFunctions.Utility_DisplayArrayInTable(SourceData_PastureBeef.SourceData_PastureBeef_Liveweight_Data(), Table_SourceData_PastureBeef_Liveweight[[#Headers],[State]], 0)</f>
        <v>210</v>
      </c>
      <c r="J30" s="31" cm="1">
        <f t="array" ref="J30">Common_InputFunctions.Utility_DisplayArrayInTable(SourceData_PastureBeef.SourceData_PastureBeef_Liveweight_Data(), Table_SourceData_PastureBeef_Liveweight[[#Headers],[State]], 0)</f>
        <v>380</v>
      </c>
      <c r="K30" s="31" cm="1">
        <f t="array" ref="K30">Common_InputFunctions.Utility_DisplayArrayInTable(SourceData_PastureBeef.SourceData_PastureBeef_Liveweight_Data(), Table_SourceData_PastureBeef_Liveweight[[#Headers],[State]], 0)</f>
        <v>460</v>
      </c>
      <c r="L30" s="31" cm="1">
        <f t="array" ref="L30">Common_InputFunctions.Utility_DisplayArrayInTable(SourceData_PastureBeef.SourceData_PastureBeef_Liveweight_Data(), Table_SourceData_PastureBeef_Liveweight[[#Headers],[State]], 0)</f>
        <v>230</v>
      </c>
      <c r="M30" s="31"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1" t="str" cm="1">
        <f t="array" ref="E31">Common_InputFunctions.Utility_DisplayArrayInTable(SourceData_PastureBeef.SourceData_PastureBeef_Liveweight_Data(), Table_SourceData_PastureBeef_Liveweight[[#Headers],[State]], 0)</f>
        <v>n/a</v>
      </c>
      <c r="F31" s="31" t="str" cm="1">
        <f t="array" ref="F31">Common_InputFunctions.Utility_DisplayArrayInTable(SourceData_PastureBeef.SourceData_PastureBeef_Liveweight_Data(), Table_SourceData_PastureBeef_Liveweight[[#Headers],[State]], 0)</f>
        <v>Spring</v>
      </c>
      <c r="G31" s="31" cm="1">
        <f t="array" ref="G31">Common_InputFunctions.Utility_DisplayArrayInTable(SourceData_PastureBeef.SourceData_PastureBeef_Liveweight_Data(), Table_SourceData_PastureBeef_Liveweight[[#Headers],[State]], 0)</f>
        <v>250</v>
      </c>
      <c r="H31" s="31" cm="1">
        <f t="array" ref="H31">Common_InputFunctions.Utility_DisplayArrayInTable(SourceData_PastureBeef.SourceData_PastureBeef_Liveweight_Data(), Table_SourceData_PastureBeef_Liveweight[[#Headers],[State]], 0)</f>
        <v>820</v>
      </c>
      <c r="I31" s="31" cm="1">
        <f t="array" ref="I31">Common_InputFunctions.Utility_DisplayArrayInTable(SourceData_PastureBeef.SourceData_PastureBeef_Liveweight_Data(), Table_SourceData_PastureBeef_Liveweight[[#Headers],[State]], 0)</f>
        <v>240</v>
      </c>
      <c r="J31" s="31" cm="1">
        <f t="array" ref="J31">Common_InputFunctions.Utility_DisplayArrayInTable(SourceData_PastureBeef.SourceData_PastureBeef_Liveweight_Data(), Table_SourceData_PastureBeef_Liveweight[[#Headers],[State]], 0)</f>
        <v>410</v>
      </c>
      <c r="K31" s="31" cm="1">
        <f t="array" ref="K31">Common_InputFunctions.Utility_DisplayArrayInTable(SourceData_PastureBeef.SourceData_PastureBeef_Liveweight_Data(), Table_SourceData_PastureBeef_Liveweight[[#Headers],[State]], 0)</f>
        <v>560</v>
      </c>
      <c r="L31" s="31" cm="1">
        <f t="array" ref="L31">Common_InputFunctions.Utility_DisplayArrayInTable(SourceData_PastureBeef.SourceData_PastureBeef_Liveweight_Data(), Table_SourceData_PastureBeef_Liveweight[[#Headers],[State]], 0)</f>
        <v>240</v>
      </c>
      <c r="M31" s="31" cm="1">
        <f t="array" ref="M31">Common_InputFunctions.Utility_DisplayArrayInTable(SourceData_PastureBeef.SourceData_PastureBeef_Liveweight_Data(), Table_SourceData_PastureBeef_Liveweight[[#Headers],[State]], 0)</f>
        <v>510</v>
      </c>
      <c r="O31" s="1" t="s">
        <v>336</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1" t="str" cm="1">
        <f t="array" ref="E32">Common_InputFunctions.Utility_DisplayArrayInTable(SourceData_PastureBeef.SourceData_PastureBeef_Liveweight_Data(), Table_SourceData_PastureBeef_Liveweight[[#Headers],[State]], 0)</f>
        <v>n/a</v>
      </c>
      <c r="F32" s="31" t="str" cm="1">
        <f t="array" ref="F32">Common_InputFunctions.Utility_DisplayArrayInTable(SourceData_PastureBeef.SourceData_PastureBeef_Liveweight_Data(), Table_SourceData_PastureBeef_Liveweight[[#Headers],[State]], 0)</f>
        <v>Summer</v>
      </c>
      <c r="G32" s="31" cm="1">
        <f t="array" ref="G32">Common_InputFunctions.Utility_DisplayArrayInTable(SourceData_PastureBeef.SourceData_PastureBeef_Liveweight_Data(), Table_SourceData_PastureBeef_Liveweight[[#Headers],[State]], 0)</f>
        <v>280</v>
      </c>
      <c r="H32" s="31" cm="1">
        <f t="array" ref="H32">Common_InputFunctions.Utility_DisplayArrayInTable(SourceData_PastureBeef.SourceData_PastureBeef_Liveweight_Data(), Table_SourceData_PastureBeef_Liveweight[[#Headers],[State]], 0)</f>
        <v>850</v>
      </c>
      <c r="I32" s="31" cm="1">
        <f t="array" ref="I32">Common_InputFunctions.Utility_DisplayArrayInTable(SourceData_PastureBeef.SourceData_PastureBeef_Liveweight_Data(), Table_SourceData_PastureBeef_Liveweight[[#Headers],[State]], 0)</f>
        <v>260</v>
      </c>
      <c r="J32" s="31" cm="1">
        <f t="array" ref="J32">Common_InputFunctions.Utility_DisplayArrayInTable(SourceData_PastureBeef.SourceData_PastureBeef_Liveweight_Data(), Table_SourceData_PastureBeef_Liveweight[[#Headers],[State]], 0)</f>
        <v>440</v>
      </c>
      <c r="K32" s="31" cm="1">
        <f t="array" ref="K32">Common_InputFunctions.Utility_DisplayArrayInTable(SourceData_PastureBeef.SourceData_PastureBeef_Liveweight_Data(), Table_SourceData_PastureBeef_Liveweight[[#Headers],[State]], 0)</f>
        <v>550</v>
      </c>
      <c r="L32" s="31" cm="1">
        <f t="array" ref="L32">Common_InputFunctions.Utility_DisplayArrayInTable(SourceData_PastureBeef.SourceData_PastureBeef_Liveweight_Data(), Table_SourceData_PastureBeef_Liveweight[[#Headers],[State]], 0)</f>
        <v>270</v>
      </c>
      <c r="M32" s="31" cm="1">
        <f t="array" ref="M32">Common_InputFunctions.Utility_DisplayArrayInTable(SourceData_PastureBeef.SourceData_PastureBeef_Liveweight_Data(), Table_SourceData_PastureBeef_Liveweight[[#Headers],[State]], 0)</f>
        <v>520</v>
      </c>
      <c r="O32" s="31" t="s">
        <v>308</v>
      </c>
      <c r="P32" s="31" t="s">
        <v>337</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1" t="str" cm="1">
        <f t="array" ref="E33">Common_InputFunctions.Utility_DisplayArrayInTable(SourceData_PastureBeef.SourceData_PastureBeef_Liveweight_Data(), Table_SourceData_PastureBeef_Liveweight[[#Headers],[State]], 0)</f>
        <v>n/a</v>
      </c>
      <c r="F33" s="31" t="str" cm="1">
        <f t="array" ref="F33">Common_InputFunctions.Utility_DisplayArrayInTable(SourceData_PastureBeef.SourceData_PastureBeef_Liveweight_Data(), Table_SourceData_PastureBeef_Liveweight[[#Headers],[State]], 0)</f>
        <v>Autumn</v>
      </c>
      <c r="G33" s="31" cm="1">
        <f t="array" ref="G33">Common_InputFunctions.Utility_DisplayArrayInTable(SourceData_PastureBeef.SourceData_PastureBeef_Liveweight_Data(), Table_SourceData_PastureBeef_Liveweight[[#Headers],[State]], 0)</f>
        <v>100</v>
      </c>
      <c r="H33" s="31" cm="1">
        <f t="array" ref="H33">Common_InputFunctions.Utility_DisplayArrayInTable(SourceData_PastureBeef.SourceData_PastureBeef_Liveweight_Data(), Table_SourceData_PastureBeef_Liveweight[[#Headers],[State]], 0)</f>
        <v>700</v>
      </c>
      <c r="I33" s="31" cm="1">
        <f t="array" ref="I33">Common_InputFunctions.Utility_DisplayArrayInTable(SourceData_PastureBeef.SourceData_PastureBeef_Liveweight_Data(), Table_SourceData_PastureBeef_Liveweight[[#Headers],[State]], 0)</f>
        <v>95</v>
      </c>
      <c r="J33" s="31" cm="1">
        <f t="array" ref="J33">Common_InputFunctions.Utility_DisplayArrayInTable(SourceData_PastureBeef.SourceData_PastureBeef_Liveweight_Data(), Table_SourceData_PastureBeef_Liveweight[[#Headers],[State]], 0)</f>
        <v>300</v>
      </c>
      <c r="K33" s="31" cm="1">
        <f t="array" ref="K33">Common_InputFunctions.Utility_DisplayArrayInTable(SourceData_PastureBeef.SourceData_PastureBeef_Liveweight_Data(), Table_SourceData_PastureBeef_Liveweight[[#Headers],[State]], 0)</f>
        <v>450</v>
      </c>
      <c r="L33" s="31" cm="1">
        <f t="array" ref="L33">Common_InputFunctions.Utility_DisplayArrayInTable(SourceData_PastureBeef.SourceData_PastureBeef_Liveweight_Data(), Table_SourceData_PastureBeef_Liveweight[[#Headers],[State]], 0)</f>
        <v>95</v>
      </c>
      <c r="M33" s="31" cm="1">
        <f t="array" ref="M33">Common_InputFunctions.Utility_DisplayArrayInTable(SourceData_PastureBeef.SourceData_PastureBeef_Liveweight_Data(), Table_SourceData_PastureBeef_Liveweight[[#Headers],[State]], 0)</f>
        <v>410</v>
      </c>
      <c r="O33" s="31" t="s">
        <v>338</v>
      </c>
      <c r="P33" s="31" t="s">
        <v>339</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1" t="str" cm="1">
        <f t="array" ref="E34">Common_InputFunctions.Utility_DisplayArrayInTable(SourceData_PastureBeef.SourceData_PastureBeef_Liveweight_Data(), Table_SourceData_PastureBeef_Liveweight[[#Headers],[State]], 0)</f>
        <v>n/a</v>
      </c>
      <c r="F34" s="31" t="str" cm="1">
        <f t="array" ref="F34">Common_InputFunctions.Utility_DisplayArrayInTable(SourceData_PastureBeef.SourceData_PastureBeef_Liveweight_Data(), Table_SourceData_PastureBeef_Liveweight[[#Headers],[State]], 0)</f>
        <v>Winter</v>
      </c>
      <c r="G34" s="31" cm="1">
        <f t="array" ref="G34">Common_InputFunctions.Utility_DisplayArrayInTable(SourceData_PastureBeef.SourceData_PastureBeef_Liveweight_Data(), Table_SourceData_PastureBeef_Liveweight[[#Headers],[State]], 0)</f>
        <v>150</v>
      </c>
      <c r="H34" s="31" cm="1">
        <f t="array" ref="H34">Common_InputFunctions.Utility_DisplayArrayInTable(SourceData_PastureBeef.SourceData_PastureBeef_Liveweight_Data(), Table_SourceData_PastureBeef_Liveweight[[#Headers],[State]], 0)</f>
        <v>720</v>
      </c>
      <c r="I34" s="31" cm="1">
        <f t="array" ref="I34">Common_InputFunctions.Utility_DisplayArrayInTable(SourceData_PastureBeef.SourceData_PastureBeef_Liveweight_Data(), Table_SourceData_PastureBeef_Liveweight[[#Headers],[State]], 0)</f>
        <v>140</v>
      </c>
      <c r="J34" s="31" cm="1">
        <f t="array" ref="J34">Common_InputFunctions.Utility_DisplayArrayInTable(SourceData_PastureBeef.SourceData_PastureBeef_Liveweight_Data(), Table_SourceData_PastureBeef_Liveweight[[#Headers],[State]], 0)</f>
        <v>320</v>
      </c>
      <c r="K34" s="31" cm="1">
        <f t="array" ref="K34">Common_InputFunctions.Utility_DisplayArrayInTable(SourceData_PastureBeef.SourceData_PastureBeef_Liveweight_Data(), Table_SourceData_PastureBeef_Liveweight[[#Headers],[State]], 0)</f>
        <v>470</v>
      </c>
      <c r="L34" s="31" cm="1">
        <f t="array" ref="L34">Common_InputFunctions.Utility_DisplayArrayInTable(SourceData_PastureBeef.SourceData_PastureBeef_Liveweight_Data(), Table_SourceData_PastureBeef_Liveweight[[#Headers],[State]], 0)</f>
        <v>140</v>
      </c>
      <c r="M34" s="31" cm="1">
        <f t="array" ref="M34">Common_InputFunctions.Utility_DisplayArrayInTable(SourceData_PastureBeef.SourceData_PastureBeef_Liveweight_Data(), Table_SourceData_PastureBeef_Liveweight[[#Headers],[State]], 0)</f>
        <v>440</v>
      </c>
      <c r="O34" s="31" t="s">
        <v>339</v>
      </c>
      <c r="P34" s="31" t="s">
        <v>339</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1" t="str" cm="1">
        <f t="array" ref="E35">Common_InputFunctions.Utility_DisplayArrayInTable(SourceData_PastureBeef.SourceData_PastureBeef_Liveweight_Data(), Table_SourceData_PastureBeef_Liveweight[[#Headers],[State]], 0)</f>
        <v>South West</v>
      </c>
      <c r="F35" s="31" t="str" cm="1">
        <f t="array" ref="F35">Common_InputFunctions.Utility_DisplayArrayInTable(SourceData_PastureBeef.SourceData_PastureBeef_Liveweight_Data(), Table_SourceData_PastureBeef_Liveweight[[#Headers],[State]], 0)</f>
        <v>Spring</v>
      </c>
      <c r="G35" s="31" cm="1">
        <f t="array" ref="G35">Common_InputFunctions.Utility_DisplayArrayInTable(SourceData_PastureBeef.SourceData_PastureBeef_Liveweight_Data(), Table_SourceData_PastureBeef_Liveweight[[#Headers],[State]], 0)</f>
        <v>340</v>
      </c>
      <c r="H35" s="31" cm="1">
        <f t="array" ref="H35">Common_InputFunctions.Utility_DisplayArrayInTable(SourceData_PastureBeef.SourceData_PastureBeef_Liveweight_Data(), Table_SourceData_PastureBeef_Liveweight[[#Headers],[State]], 0)</f>
        <v>800</v>
      </c>
      <c r="I35" s="31" cm="1">
        <f t="array" ref="I35">Common_InputFunctions.Utility_DisplayArrayInTable(SourceData_PastureBeef.SourceData_PastureBeef_Liveweight_Data(), Table_SourceData_PastureBeef_Liveweight[[#Headers],[State]], 0)</f>
        <v>260</v>
      </c>
      <c r="J35" s="31" cm="1">
        <f t="array" ref="J35">Common_InputFunctions.Utility_DisplayArrayInTable(SourceData_PastureBeef.SourceData_PastureBeef_Liveweight_Data(), Table_SourceData_PastureBeef_Liveweight[[#Headers],[State]], 0)</f>
        <v>420</v>
      </c>
      <c r="K35" s="31" cm="1">
        <f t="array" ref="K35">Common_InputFunctions.Utility_DisplayArrayInTable(SourceData_PastureBeef.SourceData_PastureBeef_Liveweight_Data(), Table_SourceData_PastureBeef_Liveweight[[#Headers],[State]], 0)</f>
        <v>550</v>
      </c>
      <c r="L35" s="31" cm="1">
        <f t="array" ref="L35">Common_InputFunctions.Utility_DisplayArrayInTable(SourceData_PastureBeef.SourceData_PastureBeef_Liveweight_Data(), Table_SourceData_PastureBeef_Liveweight[[#Headers],[State]], 0)</f>
        <v>300</v>
      </c>
      <c r="M35" s="31" cm="1">
        <f t="array" ref="M35">Common_InputFunctions.Utility_DisplayArrayInTable(SourceData_PastureBeef.SourceData_PastureBeef_Liveweight_Data(), Table_SourceData_PastureBeef_Liveweight[[#Headers],[State]], 0)</f>
        <v>480</v>
      </c>
      <c r="O35" s="31" t="s">
        <v>340</v>
      </c>
      <c r="P35" s="31" t="s">
        <v>340</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1" t="str" cm="1">
        <f t="array" ref="E36">Common_InputFunctions.Utility_DisplayArrayInTable(SourceData_PastureBeef.SourceData_PastureBeef_Liveweight_Data(), Table_SourceData_PastureBeef_Liveweight[[#Headers],[State]], 0)</f>
        <v>South West</v>
      </c>
      <c r="F36" s="31" t="str" cm="1">
        <f t="array" ref="F36">Common_InputFunctions.Utility_DisplayArrayInTable(SourceData_PastureBeef.SourceData_PastureBeef_Liveweight_Data(), Table_SourceData_PastureBeef_Liveweight[[#Headers],[State]], 0)</f>
        <v>Summer</v>
      </c>
      <c r="G36" s="31" cm="1">
        <f t="array" ref="G36">Common_InputFunctions.Utility_DisplayArrayInTable(SourceData_PastureBeef.SourceData_PastureBeef_Liveweight_Data(), Table_SourceData_PastureBeef_Liveweight[[#Headers],[State]], 0)</f>
        <v>380</v>
      </c>
      <c r="H36" s="31" cm="1">
        <f t="array" ref="H36">Common_InputFunctions.Utility_DisplayArrayInTable(SourceData_PastureBeef.SourceData_PastureBeef_Liveweight_Data(), Table_SourceData_PastureBeef_Liveweight[[#Headers],[State]], 0)</f>
        <v>780</v>
      </c>
      <c r="I36" s="31" cm="1">
        <f t="array" ref="I36">Common_InputFunctions.Utility_DisplayArrayInTable(SourceData_PastureBeef.SourceData_PastureBeef_Liveweight_Data(), Table_SourceData_PastureBeef_Liveweight[[#Headers],[State]], 0)</f>
        <v>300</v>
      </c>
      <c r="J36" s="31" cm="1">
        <f t="array" ref="J36">Common_InputFunctions.Utility_DisplayArrayInTable(SourceData_PastureBeef.SourceData_PastureBeef_Liveweight_Data(), Table_SourceData_PastureBeef_Liveweight[[#Headers],[State]], 0)</f>
        <v>450</v>
      </c>
      <c r="K36" s="31" cm="1">
        <f t="array" ref="K36">Common_InputFunctions.Utility_DisplayArrayInTable(SourceData_PastureBeef.SourceData_PastureBeef_Liveweight_Data(), Table_SourceData_PastureBeef_Liveweight[[#Headers],[State]], 0)</f>
        <v>530</v>
      </c>
      <c r="L36" s="31" cm="1">
        <f t="array" ref="L36">Common_InputFunctions.Utility_DisplayArrayInTable(SourceData_PastureBeef.SourceData_PastureBeef_Liveweight_Data(), Table_SourceData_PastureBeef_Liveweight[[#Headers],[State]], 0)</f>
        <v>340</v>
      </c>
      <c r="M36" s="31" cm="1">
        <f t="array" ref="M36">Common_InputFunctions.Utility_DisplayArrayInTable(SourceData_PastureBeef.SourceData_PastureBeef_Liveweight_Data(), Table_SourceData_PastureBeef_Liveweight[[#Headers],[State]], 0)</f>
        <v>470</v>
      </c>
      <c r="O36" s="31" t="s">
        <v>341</v>
      </c>
      <c r="P36" s="31" t="s">
        <v>341</v>
      </c>
    </row>
    <row r="37" spans="1:16" ht="20.100000000000001" customHeight="1" x14ac:dyDescent="0.25">
      <c r="A37" s="250" t="s">
        <v>1</v>
      </c>
      <c r="D37" s="1" t="str" cm="1">
        <f t="array" ref="D37">Common_InputFunctions.Utility_DisplayArrayInTable(SourceData_PastureBeef.SourceData_PastureBeef_Liveweight_Data(), Table_SourceData_PastureBeef_Liveweight[[#Headers],[State]], 0)</f>
        <v>Western Australia</v>
      </c>
      <c r="E37" s="31" t="str" cm="1">
        <f t="array" ref="E37">Common_InputFunctions.Utility_DisplayArrayInTable(SourceData_PastureBeef.SourceData_PastureBeef_Liveweight_Data(), Table_SourceData_PastureBeef_Liveweight[[#Headers],[State]], 0)</f>
        <v>South West</v>
      </c>
      <c r="F37" s="31" t="str" cm="1">
        <f t="array" ref="F37">Common_InputFunctions.Utility_DisplayArrayInTable(SourceData_PastureBeef.SourceData_PastureBeef_Liveweight_Data(), Table_SourceData_PastureBeef_Liveweight[[#Headers],[State]], 0)</f>
        <v>Autumn</v>
      </c>
      <c r="G37" s="31" cm="1">
        <f t="array" ref="G37">Common_InputFunctions.Utility_DisplayArrayInTable(SourceData_PastureBeef.SourceData_PastureBeef_Liveweight_Data(), Table_SourceData_PastureBeef_Liveweight[[#Headers],[State]], 0)</f>
        <v>100</v>
      </c>
      <c r="H37" s="31" cm="1">
        <f t="array" ref="H37">Common_InputFunctions.Utility_DisplayArrayInTable(SourceData_PastureBeef.SourceData_PastureBeef_Liveweight_Data(), Table_SourceData_PastureBeef_Liveweight[[#Headers],[State]], 0)</f>
        <v>680</v>
      </c>
      <c r="I37" s="31" cm="1">
        <f t="array" ref="I37">Common_InputFunctions.Utility_DisplayArrayInTable(SourceData_PastureBeef.SourceData_PastureBeef_Liveweight_Data(), Table_SourceData_PastureBeef_Liveweight[[#Headers],[State]], 0)</f>
        <v>80</v>
      </c>
      <c r="J37" s="31" cm="1">
        <f t="array" ref="J37">Common_InputFunctions.Utility_DisplayArrayInTable(SourceData_PastureBeef.SourceData_PastureBeef_Liveweight_Data(), Table_SourceData_PastureBeef_Liveweight[[#Headers],[State]], 0)</f>
        <v>320</v>
      </c>
      <c r="K37" s="31" cm="1">
        <f t="array" ref="K37">Common_InputFunctions.Utility_DisplayArrayInTable(SourceData_PastureBeef.SourceData_PastureBeef_Liveweight_Data(), Table_SourceData_PastureBeef_Liveweight[[#Headers],[State]], 0)</f>
        <v>480</v>
      </c>
      <c r="L37" s="31" cm="1">
        <f t="array" ref="L37">Common_InputFunctions.Utility_DisplayArrayInTable(SourceData_PastureBeef.SourceData_PastureBeef_Liveweight_Data(), Table_SourceData_PastureBeef_Liveweight[[#Headers],[State]], 0)</f>
        <v>100</v>
      </c>
      <c r="M37" s="31" cm="1">
        <f t="array" ref="M37">Common_InputFunctions.Utility_DisplayArrayInTable(SourceData_PastureBeef.SourceData_PastureBeef_Liveweight_Data(), Table_SourceData_PastureBeef_Liveweight[[#Headers],[State]], 0)</f>
        <v>340</v>
      </c>
      <c r="O37" s="31" t="s">
        <v>342</v>
      </c>
      <c r="P37" s="31" t="s">
        <v>342</v>
      </c>
    </row>
    <row r="38" spans="1:16" ht="20.100000000000001" customHeight="1" x14ac:dyDescent="0.25">
      <c r="A38" s="125"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1" t="str" cm="1">
        <f t="array" ref="E38">Common_InputFunctions.Utility_DisplayArrayInTable(SourceData_PastureBeef.SourceData_PastureBeef_Liveweight_Data(), Table_SourceData_PastureBeef_Liveweight[[#Headers],[State]], 0)</f>
        <v>South West</v>
      </c>
      <c r="F38" s="31" t="str" cm="1">
        <f t="array" ref="F38">Common_InputFunctions.Utility_DisplayArrayInTable(SourceData_PastureBeef.SourceData_PastureBeef_Liveweight_Data(), Table_SourceData_PastureBeef_Liveweight[[#Headers],[State]], 0)</f>
        <v>Winter</v>
      </c>
      <c r="G38" s="31" cm="1">
        <f t="array" ref="G38">Common_InputFunctions.Utility_DisplayArrayInTable(SourceData_PastureBeef.SourceData_PastureBeef_Liveweight_Data(), Table_SourceData_PastureBeef_Liveweight[[#Headers],[State]], 0)</f>
        <v>190</v>
      </c>
      <c r="H38" s="31" cm="1">
        <f t="array" ref="H38">Common_InputFunctions.Utility_DisplayArrayInTable(SourceData_PastureBeef.SourceData_PastureBeef_Liveweight_Data(), Table_SourceData_PastureBeef_Liveweight[[#Headers],[State]], 0)</f>
        <v>700</v>
      </c>
      <c r="I38" s="31" cm="1">
        <f t="array" ref="I38">Common_InputFunctions.Utility_DisplayArrayInTable(SourceData_PastureBeef.SourceData_PastureBeef_Liveweight_Data(), Table_SourceData_PastureBeef_Liveweight[[#Headers],[State]], 0)</f>
        <v>150</v>
      </c>
      <c r="J38" s="31" cm="1">
        <f t="array" ref="J38">Common_InputFunctions.Utility_DisplayArrayInTable(SourceData_PastureBeef.SourceData_PastureBeef_Liveweight_Data(), Table_SourceData_PastureBeef_Liveweight[[#Headers],[State]], 0)</f>
        <v>330</v>
      </c>
      <c r="K38" s="31" cm="1">
        <f t="array" ref="K38">Common_InputFunctions.Utility_DisplayArrayInTable(SourceData_PastureBeef.SourceData_PastureBeef_Liveweight_Data(), Table_SourceData_PastureBeef_Liveweight[[#Headers],[State]], 0)</f>
        <v>490</v>
      </c>
      <c r="L38" s="31" cm="1">
        <f t="array" ref="L38">Common_InputFunctions.Utility_DisplayArrayInTable(SourceData_PastureBeef.SourceData_PastureBeef_Liveweight_Data(), Table_SourceData_PastureBeef_Liveweight[[#Headers],[State]], 0)</f>
        <v>170</v>
      </c>
      <c r="M38" s="31" cm="1">
        <f t="array" ref="M38">Common_InputFunctions.Utility_DisplayArrayInTable(SourceData_PastureBeef.SourceData_PastureBeef_Liveweight_Data(), Table_SourceData_PastureBeef_Liveweight[[#Headers],[State]], 0)</f>
        <v>360</v>
      </c>
      <c r="O38" s="31" t="s">
        <v>343</v>
      </c>
      <c r="P38" s="31" t="s">
        <v>344</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1" t="str" cm="1">
        <f t="array" ref="E39">Common_InputFunctions.Utility_DisplayArrayInTable(SourceData_PastureBeef.SourceData_PastureBeef_Liveweight_Data(), Table_SourceData_PastureBeef_Liveweight[[#Headers],[State]], 0)</f>
        <v>Pilbara</v>
      </c>
      <c r="F39" s="31" t="str" cm="1">
        <f t="array" ref="F39">Common_InputFunctions.Utility_DisplayArrayInTable(SourceData_PastureBeef.SourceData_PastureBeef_Liveweight_Data(), Table_SourceData_PastureBeef_Liveweight[[#Headers],[State]], 0)</f>
        <v>Spring</v>
      </c>
      <c r="G39" s="31" cm="1">
        <f t="array" ref="G39">Common_InputFunctions.Utility_DisplayArrayInTable(SourceData_PastureBeef.SourceData_PastureBeef_Liveweight_Data(), Table_SourceData_PastureBeef_Liveweight[[#Headers],[State]], 0)</f>
        <v>80</v>
      </c>
      <c r="H39" s="31" cm="1">
        <f t="array" ref="H39">Common_InputFunctions.Utility_DisplayArrayInTable(SourceData_PastureBeef.SourceData_PastureBeef_Liveweight_Data(), Table_SourceData_PastureBeef_Liveweight[[#Headers],[State]], 0)</f>
        <v>450</v>
      </c>
      <c r="I39" s="31" cm="1">
        <f t="array" ref="I39">Common_InputFunctions.Utility_DisplayArrayInTable(SourceData_PastureBeef.SourceData_PastureBeef_Liveweight_Data(), Table_SourceData_PastureBeef_Liveweight[[#Headers],[State]], 0)</f>
        <v>70</v>
      </c>
      <c r="J39" s="31" cm="1">
        <f t="array" ref="J39">Common_InputFunctions.Utility_DisplayArrayInTable(SourceData_PastureBeef.SourceData_PastureBeef_Liveweight_Data(), Table_SourceData_PastureBeef_Liveweight[[#Headers],[State]], 0)</f>
        <v>260</v>
      </c>
      <c r="K39" s="31" cm="1">
        <f t="array" ref="K39">Common_InputFunctions.Utility_DisplayArrayInTable(SourceData_PastureBeef.SourceData_PastureBeef_Liveweight_Data(), Table_SourceData_PastureBeef_Liveweight[[#Headers],[State]], 0)</f>
        <v>340</v>
      </c>
      <c r="L39" s="31" cm="1">
        <f t="array" ref="L39">Common_InputFunctions.Utility_DisplayArrayInTable(SourceData_PastureBeef.SourceData_PastureBeef_Liveweight_Data(), Table_SourceData_PastureBeef_Liveweight[[#Headers],[State]], 0)</f>
        <v>80</v>
      </c>
      <c r="M39" s="31" cm="1">
        <f t="array" ref="M39">Common_InputFunctions.Utility_DisplayArrayInTable(SourceData_PastureBeef.SourceData_PastureBeef_Liveweight_Data(), Table_SourceData_PastureBeef_Liveweight[[#Headers],[State]], 0)</f>
        <v>370</v>
      </c>
      <c r="O39" s="31" t="s">
        <v>345</v>
      </c>
      <c r="P39" s="31" t="s">
        <v>344</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1" t="str" cm="1">
        <f t="array" ref="E40">Common_InputFunctions.Utility_DisplayArrayInTable(SourceData_PastureBeef.SourceData_PastureBeef_Liveweight_Data(), Table_SourceData_PastureBeef_Liveweight[[#Headers],[State]], 0)</f>
        <v>Pilbara</v>
      </c>
      <c r="F40" s="31" t="str" cm="1">
        <f t="array" ref="F40">Common_InputFunctions.Utility_DisplayArrayInTable(SourceData_PastureBeef.SourceData_PastureBeef_Liveweight_Data(), Table_SourceData_PastureBeef_Liveweight[[#Headers],[State]], 0)</f>
        <v>Summer</v>
      </c>
      <c r="G40" s="31" cm="1">
        <f t="array" ref="G40">Common_InputFunctions.Utility_DisplayArrayInTable(SourceData_PastureBeef.SourceData_PastureBeef_Liveweight_Data(), Table_SourceData_PastureBeef_Liveweight[[#Headers],[State]], 0)</f>
        <v>150</v>
      </c>
      <c r="H40" s="31" cm="1">
        <f t="array" ref="H40">Common_InputFunctions.Utility_DisplayArrayInTable(SourceData_PastureBeef.SourceData_PastureBeef_Liveweight_Data(), Table_SourceData_PastureBeef_Liveweight[[#Headers],[State]], 0)</f>
        <v>500</v>
      </c>
      <c r="I40" s="31" cm="1">
        <f t="array" ref="I40">Common_InputFunctions.Utility_DisplayArrayInTable(SourceData_PastureBeef.SourceData_PastureBeef_Liveweight_Data(), Table_SourceData_PastureBeef_Liveweight[[#Headers],[State]], 0)</f>
        <v>140</v>
      </c>
      <c r="J40" s="31" cm="1">
        <f t="array" ref="J40">Common_InputFunctions.Utility_DisplayArrayInTable(SourceData_PastureBeef.SourceData_PastureBeef_Liveweight_Data(), Table_SourceData_PastureBeef_Liveweight[[#Headers],[State]], 0)</f>
        <v>310</v>
      </c>
      <c r="K40" s="31" cm="1">
        <f t="array" ref="K40">Common_InputFunctions.Utility_DisplayArrayInTable(SourceData_PastureBeef.SourceData_PastureBeef_Liveweight_Data(), Table_SourceData_PastureBeef_Liveweight[[#Headers],[State]], 0)</f>
        <v>360</v>
      </c>
      <c r="L40" s="31" cm="1">
        <f t="array" ref="L40">Common_InputFunctions.Utility_DisplayArrayInTable(SourceData_PastureBeef.SourceData_PastureBeef_Liveweight_Data(), Table_SourceData_PastureBeef_Liveweight[[#Headers],[State]], 0)</f>
        <v>150</v>
      </c>
      <c r="M40" s="31" cm="1">
        <f t="array" ref="M40">Common_InputFunctions.Utility_DisplayArrayInTable(SourceData_PastureBeef.SourceData_PastureBeef_Liveweight_Data(), Table_SourceData_PastureBeef_Liveweight[[#Headers],[State]], 0)</f>
        <v>400</v>
      </c>
      <c r="O40" s="31" t="s">
        <v>250</v>
      </c>
      <c r="P40" s="31" t="s">
        <v>344</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1" t="str" cm="1">
        <f t="array" ref="E41">Common_InputFunctions.Utility_DisplayArrayInTable(SourceData_PastureBeef.SourceData_PastureBeef_Liveweight_Data(), Table_SourceData_PastureBeef_Liveweight[[#Headers],[State]], 0)</f>
        <v>Pilbara</v>
      </c>
      <c r="F41" s="31" t="str" cm="1">
        <f t="array" ref="F41">Common_InputFunctions.Utility_DisplayArrayInTable(SourceData_PastureBeef.SourceData_PastureBeef_Liveweight_Data(), Table_SourceData_PastureBeef_Liveweight[[#Headers],[State]], 0)</f>
        <v>Autumn</v>
      </c>
      <c r="G41" s="31" cm="1">
        <f t="array" ref="G41">Common_InputFunctions.Utility_DisplayArrayInTable(SourceData_PastureBeef.SourceData_PastureBeef_Liveweight_Data(), Table_SourceData_PastureBeef_Liveweight[[#Headers],[State]], 0)</f>
        <v>230</v>
      </c>
      <c r="H41" s="31" cm="1">
        <f t="array" ref="H41">Common_InputFunctions.Utility_DisplayArrayInTable(SourceData_PastureBeef.SourceData_PastureBeef_Liveweight_Data(), Table_SourceData_PastureBeef_Liveweight[[#Headers],[State]], 0)</f>
        <v>550</v>
      </c>
      <c r="I41" s="31" cm="1">
        <f t="array" ref="I41">Common_InputFunctions.Utility_DisplayArrayInTable(SourceData_PastureBeef.SourceData_PastureBeef_Liveweight_Data(), Table_SourceData_PastureBeef_Liveweight[[#Headers],[State]], 0)</f>
        <v>220</v>
      </c>
      <c r="J41" s="31" cm="1">
        <f t="array" ref="J41">Common_InputFunctions.Utility_DisplayArrayInTable(SourceData_PastureBeef.SourceData_PastureBeef_Liveweight_Data(), Table_SourceData_PastureBeef_Liveweight[[#Headers],[State]], 0)</f>
        <v>330</v>
      </c>
      <c r="K41" s="31" cm="1">
        <f t="array" ref="K41">Common_InputFunctions.Utility_DisplayArrayInTable(SourceData_PastureBeef.SourceData_PastureBeef_Liveweight_Data(), Table_SourceData_PastureBeef_Liveweight[[#Headers],[State]], 0)</f>
        <v>380</v>
      </c>
      <c r="L41" s="31" cm="1">
        <f t="array" ref="L41">Common_InputFunctions.Utility_DisplayArrayInTable(SourceData_PastureBeef.SourceData_PastureBeef_Liveweight_Data(), Table_SourceData_PastureBeef_Liveweight[[#Headers],[State]], 0)</f>
        <v>230</v>
      </c>
      <c r="M41" s="31" cm="1">
        <f t="array" ref="M41">Common_InputFunctions.Utility_DisplayArrayInTable(SourceData_PastureBeef.SourceData_PastureBeef_Liveweight_Data(), Table_SourceData_PastureBeef_Liveweight[[#Headers],[State]], 0)</f>
        <v>420</v>
      </c>
      <c r="O41" s="31" t="s">
        <v>346</v>
      </c>
      <c r="P41" s="31" t="s">
        <v>347</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1" t="str" cm="1">
        <f t="array" ref="E42">Common_InputFunctions.Utility_DisplayArrayInTable(SourceData_PastureBeef.SourceData_PastureBeef_Liveweight_Data(), Table_SourceData_PastureBeef_Liveweight[[#Headers],[State]], 0)</f>
        <v>Pilbara</v>
      </c>
      <c r="F42" s="31" t="str" cm="1">
        <f t="array" ref="F42">Common_InputFunctions.Utility_DisplayArrayInTable(SourceData_PastureBeef.SourceData_PastureBeef_Liveweight_Data(), Table_SourceData_PastureBeef_Liveweight[[#Headers],[State]], 0)</f>
        <v>Winter</v>
      </c>
      <c r="G42" s="31" cm="1">
        <f t="array" ref="G42">Common_InputFunctions.Utility_DisplayArrayInTable(SourceData_PastureBeef.SourceData_PastureBeef_Liveweight_Data(), Table_SourceData_PastureBeef_Liveweight[[#Headers],[State]], 0)</f>
        <v>250</v>
      </c>
      <c r="H42" s="31" cm="1">
        <f t="array" ref="H42">Common_InputFunctions.Utility_DisplayArrayInTable(SourceData_PastureBeef.SourceData_PastureBeef_Liveweight_Data(), Table_SourceData_PastureBeef_Liveweight[[#Headers],[State]], 0)</f>
        <v>500</v>
      </c>
      <c r="I42" s="31" cm="1">
        <f t="array" ref="I42">Common_InputFunctions.Utility_DisplayArrayInTable(SourceData_PastureBeef.SourceData_PastureBeef_Liveweight_Data(), Table_SourceData_PastureBeef_Liveweight[[#Headers],[State]], 0)</f>
        <v>240</v>
      </c>
      <c r="J42" s="31" cm="1">
        <f t="array" ref="J42">Common_InputFunctions.Utility_DisplayArrayInTable(SourceData_PastureBeef.SourceData_PastureBeef_Liveweight_Data(), Table_SourceData_PastureBeef_Liveweight[[#Headers],[State]], 0)</f>
        <v>340</v>
      </c>
      <c r="K42" s="31" cm="1">
        <f t="array" ref="K42">Common_InputFunctions.Utility_DisplayArrayInTable(SourceData_PastureBeef.SourceData_PastureBeef_Liveweight_Data(), Table_SourceData_PastureBeef_Liveweight[[#Headers],[State]], 0)</f>
        <v>360</v>
      </c>
      <c r="L42" s="31" cm="1">
        <f t="array" ref="L42">Common_InputFunctions.Utility_DisplayArrayInTable(SourceData_PastureBeef.SourceData_PastureBeef_Liveweight_Data(), Table_SourceData_PastureBeef_Liveweight[[#Headers],[State]], 0)</f>
        <v>250</v>
      </c>
      <c r="M42" s="31" cm="1">
        <f t="array" ref="M42">Common_InputFunctions.Utility_DisplayArrayInTable(SourceData_PastureBeef.SourceData_PastureBeef_Liveweight_Data(), Table_SourceData_PastureBeef_Liveweight[[#Headers],[State]], 0)</f>
        <v>390</v>
      </c>
      <c r="O42" s="31" t="s">
        <v>348</v>
      </c>
      <c r="P42" s="31" t="s">
        <v>347</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1" t="str" cm="1">
        <f t="array" ref="E43">Common_InputFunctions.Utility_DisplayArrayInTable(SourceData_PastureBeef.SourceData_PastureBeef_Liveweight_Data(), Table_SourceData_PastureBeef_Liveweight[[#Headers],[State]], 0)</f>
        <v>Kimberley</v>
      </c>
      <c r="F43" s="31" t="str" cm="1">
        <f t="array" ref="F43">Common_InputFunctions.Utility_DisplayArrayInTable(SourceData_PastureBeef.SourceData_PastureBeef_Liveweight_Data(), Table_SourceData_PastureBeef_Liveweight[[#Headers],[State]], 0)</f>
        <v>Spring</v>
      </c>
      <c r="G43" s="31" cm="1">
        <f t="array" ref="G43">Common_InputFunctions.Utility_DisplayArrayInTable(SourceData_PastureBeef.SourceData_PastureBeef_Liveweight_Data(), Table_SourceData_PastureBeef_Liveweight[[#Headers],[State]], 0)</f>
        <v>220</v>
      </c>
      <c r="H43" s="31" cm="1">
        <f t="array" ref="H43">Common_InputFunctions.Utility_DisplayArrayInTable(SourceData_PastureBeef.SourceData_PastureBeef_Liveweight_Data(), Table_SourceData_PastureBeef_Liveweight[[#Headers],[State]], 0)</f>
        <v>500</v>
      </c>
      <c r="I43" s="31" cm="1">
        <f t="array" ref="I43">Common_InputFunctions.Utility_DisplayArrayInTable(SourceData_PastureBeef.SourceData_PastureBeef_Liveweight_Data(), Table_SourceData_PastureBeef_Liveweight[[#Headers],[State]], 0)</f>
        <v>180</v>
      </c>
      <c r="J43" s="31" cm="1">
        <f t="array" ref="J43">Common_InputFunctions.Utility_DisplayArrayInTable(SourceData_PastureBeef.SourceData_PastureBeef_Liveweight_Data(), Table_SourceData_PastureBeef_Liveweight[[#Headers],[State]], 0)</f>
        <v>300</v>
      </c>
      <c r="K43" s="31" cm="1">
        <f t="array" ref="K43">Common_InputFunctions.Utility_DisplayArrayInTable(SourceData_PastureBeef.SourceData_PastureBeef_Liveweight_Data(), Table_SourceData_PastureBeef_Liveweight[[#Headers],[State]], 0)</f>
        <v>320</v>
      </c>
      <c r="L43" s="31" cm="1">
        <f t="array" ref="L43">Common_InputFunctions.Utility_DisplayArrayInTable(SourceData_PastureBeef.SourceData_PastureBeef_Liveweight_Data(), Table_SourceData_PastureBeef_Liveweight[[#Headers],[State]], 0)</f>
        <v>210</v>
      </c>
      <c r="M43" s="31" cm="1">
        <f t="array" ref="M43">Common_InputFunctions.Utility_DisplayArrayInTable(SourceData_PastureBeef.SourceData_PastureBeef_Liveweight_Data(), Table_SourceData_PastureBeef_Liveweight[[#Headers],[State]], 0)</f>
        <v>340</v>
      </c>
      <c r="O43" s="31" t="s">
        <v>349</v>
      </c>
      <c r="P43" s="31" t="s">
        <v>347</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1" t="str" cm="1">
        <f t="array" ref="E44">Common_InputFunctions.Utility_DisplayArrayInTable(SourceData_PastureBeef.SourceData_PastureBeef_Liveweight_Data(), Table_SourceData_PastureBeef_Liveweight[[#Headers],[State]], 0)</f>
        <v>Kimberley</v>
      </c>
      <c r="F44" s="31" t="str" cm="1">
        <f t="array" ref="F44">Common_InputFunctions.Utility_DisplayArrayInTable(SourceData_PastureBeef.SourceData_PastureBeef_Liveweight_Data(), Table_SourceData_PastureBeef_Liveweight[[#Headers],[State]], 0)</f>
        <v>Summer</v>
      </c>
      <c r="G44" s="31" cm="1">
        <f t="array" ref="G44">Common_InputFunctions.Utility_DisplayArrayInTable(SourceData_PastureBeef.SourceData_PastureBeef_Liveweight_Data(), Table_SourceData_PastureBeef_Liveweight[[#Headers],[State]], 0)</f>
        <v>110</v>
      </c>
      <c r="H44" s="31" cm="1">
        <f t="array" ref="H44">Common_InputFunctions.Utility_DisplayArrayInTable(SourceData_PastureBeef.SourceData_PastureBeef_Liveweight_Data(), Table_SourceData_PastureBeef_Liveweight[[#Headers],[State]], 0)</f>
        <v>550</v>
      </c>
      <c r="I44" s="31" cm="1">
        <f t="array" ref="I44">Common_InputFunctions.Utility_DisplayArrayInTable(SourceData_PastureBeef.SourceData_PastureBeef_Liveweight_Data(), Table_SourceData_PastureBeef_Liveweight[[#Headers],[State]], 0)</f>
        <v>90</v>
      </c>
      <c r="J44" s="31" cm="1">
        <f t="array" ref="J44">Common_InputFunctions.Utility_DisplayArrayInTable(SourceData_PastureBeef.SourceData_PastureBeef_Liveweight_Data(), Table_SourceData_PastureBeef_Liveweight[[#Headers],[State]], 0)</f>
        <v>220</v>
      </c>
      <c r="K44" s="31" cm="1">
        <f t="array" ref="K44">Common_InputFunctions.Utility_DisplayArrayInTable(SourceData_PastureBeef.SourceData_PastureBeef_Liveweight_Data(), Table_SourceData_PastureBeef_Liveweight[[#Headers],[State]], 0)</f>
        <v>380</v>
      </c>
      <c r="L44" s="31" cm="1">
        <f t="array" ref="L44">Common_InputFunctions.Utility_DisplayArrayInTable(SourceData_PastureBeef.SourceData_PastureBeef_Liveweight_Data(), Table_SourceData_PastureBeef_Liveweight[[#Headers],[State]], 0)</f>
        <v>100</v>
      </c>
      <c r="M44" s="31" cm="1">
        <f t="array" ref="M44">Common_InputFunctions.Utility_DisplayArrayInTable(SourceData_PastureBeef.SourceData_PastureBeef_Liveweight_Data(), Table_SourceData_PastureBeef_Liveweight[[#Headers],[State]], 0)</f>
        <v>390</v>
      </c>
      <c r="O44" s="31" t="s">
        <v>350</v>
      </c>
      <c r="P44" s="31" t="s">
        <v>351</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1" t="str" cm="1">
        <f t="array" ref="E45">Common_InputFunctions.Utility_DisplayArrayInTable(SourceData_PastureBeef.SourceData_PastureBeef_Liveweight_Data(), Table_SourceData_PastureBeef_Liveweight[[#Headers],[State]], 0)</f>
        <v>Kimberley</v>
      </c>
      <c r="F45" s="31" t="str" cm="1">
        <f t="array" ref="F45">Common_InputFunctions.Utility_DisplayArrayInTable(SourceData_PastureBeef.SourceData_PastureBeef_Liveweight_Data(), Table_SourceData_PastureBeef_Liveweight[[#Headers],[State]], 0)</f>
        <v>Autumn</v>
      </c>
      <c r="G45" s="31" cm="1">
        <f t="array" ref="G45">Common_InputFunctions.Utility_DisplayArrayInTable(SourceData_PastureBeef.SourceData_PastureBeef_Liveweight_Data(), Table_SourceData_PastureBeef_Liveweight[[#Headers],[State]], 0)</f>
        <v>170</v>
      </c>
      <c r="H45" s="31" cm="1">
        <f t="array" ref="H45">Common_InputFunctions.Utility_DisplayArrayInTable(SourceData_PastureBeef.SourceData_PastureBeef_Liveweight_Data(), Table_SourceData_PastureBeef_Liveweight[[#Headers],[State]], 0)</f>
        <v>600</v>
      </c>
      <c r="I45" s="31" cm="1">
        <f t="array" ref="I45">Common_InputFunctions.Utility_DisplayArrayInTable(SourceData_PastureBeef.SourceData_PastureBeef_Liveweight_Data(), Table_SourceData_PastureBeef_Liveweight[[#Headers],[State]], 0)</f>
        <v>140</v>
      </c>
      <c r="J45" s="31" cm="1">
        <f t="array" ref="J45">Common_InputFunctions.Utility_DisplayArrayInTable(SourceData_PastureBeef.SourceData_PastureBeef_Liveweight_Data(), Table_SourceData_PastureBeef_Liveweight[[#Headers],[State]], 0)</f>
        <v>270</v>
      </c>
      <c r="K45" s="31" cm="1">
        <f t="array" ref="K45">Common_InputFunctions.Utility_DisplayArrayInTable(SourceData_PastureBeef.SourceData_PastureBeef_Liveweight_Data(), Table_SourceData_PastureBeef_Liveweight[[#Headers],[State]], 0)</f>
        <v>390</v>
      </c>
      <c r="L45" s="31" cm="1">
        <f t="array" ref="L45">Common_InputFunctions.Utility_DisplayArrayInTable(SourceData_PastureBeef.SourceData_PastureBeef_Liveweight_Data(), Table_SourceData_PastureBeef_Liveweight[[#Headers],[State]], 0)</f>
        <v>160</v>
      </c>
      <c r="M45" s="31" cm="1">
        <f t="array" ref="M45">Common_InputFunctions.Utility_DisplayArrayInTable(SourceData_PastureBeef.SourceData_PastureBeef_Liveweight_Data(), Table_SourceData_PastureBeef_Liveweight[[#Headers],[State]], 0)</f>
        <v>430</v>
      </c>
      <c r="O45" s="31" t="s">
        <v>352</v>
      </c>
      <c r="P45" s="31" t="s">
        <v>351</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1" t="str" cm="1">
        <f t="array" ref="E46">Common_InputFunctions.Utility_DisplayArrayInTable(SourceData_PastureBeef.SourceData_PastureBeef_Liveweight_Data(), Table_SourceData_PastureBeef_Liveweight[[#Headers],[State]], 0)</f>
        <v>Kimberley</v>
      </c>
      <c r="F46" s="31" t="str" cm="1">
        <f t="array" ref="F46">Common_InputFunctions.Utility_DisplayArrayInTable(SourceData_PastureBeef.SourceData_PastureBeef_Liveweight_Data(), Table_SourceData_PastureBeef_Liveweight[[#Headers],[State]], 0)</f>
        <v>Winter</v>
      </c>
      <c r="G46" s="31" cm="1">
        <f t="array" ref="G46">Common_InputFunctions.Utility_DisplayArrayInTable(SourceData_PastureBeef.SourceData_PastureBeef_Liveweight_Data(), Table_SourceData_PastureBeef_Liveweight[[#Headers],[State]], 0)</f>
        <v>200</v>
      </c>
      <c r="H46" s="31" cm="1">
        <f t="array" ref="H46">Common_InputFunctions.Utility_DisplayArrayInTable(SourceData_PastureBeef.SourceData_PastureBeef_Liveweight_Data(), Table_SourceData_PastureBeef_Liveweight[[#Headers],[State]], 0)</f>
        <v>550</v>
      </c>
      <c r="I46" s="31" cm="1">
        <f t="array" ref="I46">Common_InputFunctions.Utility_DisplayArrayInTable(SourceData_PastureBeef.SourceData_PastureBeef_Liveweight_Data(), Table_SourceData_PastureBeef_Liveweight[[#Headers],[State]], 0)</f>
        <v>150</v>
      </c>
      <c r="J46" s="31" cm="1">
        <f t="array" ref="J46">Common_InputFunctions.Utility_DisplayArrayInTable(SourceData_PastureBeef.SourceData_PastureBeef_Liveweight_Data(), Table_SourceData_PastureBeef_Liveweight[[#Headers],[State]], 0)</f>
        <v>280</v>
      </c>
      <c r="K46" s="31" cm="1">
        <f t="array" ref="K46">Common_InputFunctions.Utility_DisplayArrayInTable(SourceData_PastureBeef.SourceData_PastureBeef_Liveweight_Data(), Table_SourceData_PastureBeef_Liveweight[[#Headers],[State]], 0)</f>
        <v>350</v>
      </c>
      <c r="L46" s="31" cm="1">
        <f t="array" ref="L46">Common_InputFunctions.Utility_DisplayArrayInTable(SourceData_PastureBeef.SourceData_PastureBeef_Liveweight_Data(), Table_SourceData_PastureBeef_Liveweight[[#Headers],[State]], 0)</f>
        <v>190</v>
      </c>
      <c r="M46" s="31" cm="1">
        <f t="array" ref="M46">Common_InputFunctions.Utility_DisplayArrayInTable(SourceData_PastureBeef.SourceData_PastureBeef_Liveweight_Data(), Table_SourceData_PastureBeef_Liveweight[[#Headers],[State]], 0)</f>
        <v>400</v>
      </c>
      <c r="O46" s="31" t="s">
        <v>353</v>
      </c>
      <c r="P46" s="31" t="s">
        <v>351</v>
      </c>
    </row>
    <row r="47" spans="1:16" ht="20.100000000000001" customHeight="1" x14ac:dyDescent="0.25">
      <c r="M47" s="1"/>
      <c r="O47" s="31" t="s">
        <v>354</v>
      </c>
      <c r="P47" s="31" t="s">
        <v>351</v>
      </c>
    </row>
    <row r="48" spans="1:16" ht="20.100000000000001" customHeight="1" x14ac:dyDescent="0.25">
      <c r="M48" s="1"/>
      <c r="O48" s="1" t="s">
        <v>355</v>
      </c>
      <c r="P48" s="1" t="s">
        <v>355</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8"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1" t="s">
        <v>110</v>
      </c>
      <c r="E53" s="31" t="s">
        <v>308</v>
      </c>
      <c r="F53" s="31" t="s">
        <v>79</v>
      </c>
      <c r="G53" s="31" t="s">
        <v>356</v>
      </c>
      <c r="H53" s="31" t="s">
        <v>357</v>
      </c>
      <c r="I53" s="31" t="s">
        <v>358</v>
      </c>
      <c r="J53" s="31" t="s">
        <v>359</v>
      </c>
      <c r="K53" s="31" t="s">
        <v>360</v>
      </c>
      <c r="L53" s="31" t="s">
        <v>361</v>
      </c>
      <c r="M53" s="31" t="s">
        <v>362</v>
      </c>
      <c r="N53" s="31" t="s">
        <v>363</v>
      </c>
      <c r="O53" s="31" t="s">
        <v>364</v>
      </c>
      <c r="P53" s="31" t="s">
        <v>365</v>
      </c>
    </row>
    <row r="54" spans="4:16" ht="20.100000000000001" customHeight="1" x14ac:dyDescent="0.25">
      <c r="D54" s="31" t="str" cm="1">
        <f t="array" ref="D54">Common_InputFunctions.Utility_DisplayArrayInTable(SourceData_PastureBeef.SourceData_PastureBeef_LiveweightNTQLD_Data(),Table_SourceData_PastureBeef_LiveweightNTQD[[#Headers],[State]], 0)</f>
        <v>Northern Territory</v>
      </c>
      <c r="E54" s="31" t="str" cm="1">
        <f t="array" ref="E54">Common_InputFunctions.Utility_DisplayArrayInTable(SourceData_PastureBeef.SourceData_PastureBeef_LiveweightNTQLD_Data(),Table_SourceData_PastureBeef_LiveweightNTQD[[#Headers],[State]], 0)</f>
        <v>Alice Springs</v>
      </c>
      <c r="F54" s="31" t="str" cm="1">
        <f t="array" ref="F54">Common_InputFunctions.Utility_DisplayArrayInTable(SourceData_PastureBeef.SourceData_PastureBeef_LiveweightNTQLD_Data(),Table_SourceData_PastureBeef_LiveweightNTQD[[#Headers],[State]], 0)</f>
        <v>Spring</v>
      </c>
      <c r="G54" s="31" cm="1">
        <f t="array" ref="G54">Common_InputFunctions.Utility_DisplayArrayInTable(SourceData_PastureBeef.SourceData_PastureBeef_LiveweightNTQLD_Data(),Table_SourceData_PastureBeef_LiveweightNTQD[[#Headers],[State]], 0)</f>
        <v>220</v>
      </c>
      <c r="H54" s="31" cm="1">
        <f t="array" ref="H54">Common_InputFunctions.Utility_DisplayArrayInTable(SourceData_PastureBeef.SourceData_PastureBeef_LiveweightNTQLD_Data(),Table_SourceData_PastureBeef_LiveweightNTQD[[#Headers],[State]], 0)</f>
        <v>706</v>
      </c>
      <c r="I54" s="31" cm="1">
        <f t="array" ref="I54">Common_InputFunctions.Utility_DisplayArrayInTable(SourceData_PastureBeef.SourceData_PastureBeef_LiveweightNTQLD_Data(),Table_SourceData_PastureBeef_LiveweightNTQD[[#Headers],[State]], 0)</f>
        <v>208</v>
      </c>
      <c r="J54" s="31" cm="1">
        <f t="array" ref="J54">Common_InputFunctions.Utility_DisplayArrayInTable(SourceData_PastureBeef.SourceData_PastureBeef_LiveweightNTQLD_Data(),Table_SourceData_PastureBeef_LiveweightNTQD[[#Headers],[State]], 0)</f>
        <v>323</v>
      </c>
      <c r="K54" s="31" cm="1">
        <f t="array" ref="K54">Common_InputFunctions.Utility_DisplayArrayInTable(SourceData_PastureBeef.SourceData_PastureBeef_LiveweightNTQLD_Data(),Table_SourceData_PastureBeef_LiveweightNTQD[[#Headers],[State]], 0)</f>
        <v>415</v>
      </c>
      <c r="L54" s="31" cm="1">
        <f t="array" ref="L54">Common_InputFunctions.Utility_DisplayArrayInTable(SourceData_PastureBeef.SourceData_PastureBeef_LiveweightNTQLD_Data(),Table_SourceData_PastureBeef_LiveweightNTQD[[#Headers],[State]], 0)</f>
        <v>467</v>
      </c>
      <c r="M54" s="31" cm="1">
        <f t="array" ref="M54">Common_InputFunctions.Utility_DisplayArrayInTable(SourceData_PastureBeef.SourceData_PastureBeef_LiveweightNTQLD_Data(),Table_SourceData_PastureBeef_LiveweightNTQD[[#Headers],[State]], 0)</f>
        <v>223</v>
      </c>
      <c r="N54" s="31" cm="1">
        <f t="array" ref="N54">Common_InputFunctions.Utility_DisplayArrayInTable(SourceData_PastureBeef.SourceData_PastureBeef_LiveweightNTQLD_Data(),Table_SourceData_PastureBeef_LiveweightNTQD[[#Headers],[State]], 0)</f>
        <v>371</v>
      </c>
      <c r="O54" s="31" cm="1">
        <f t="array" ref="O54">Common_InputFunctions.Utility_DisplayArrayInTable(SourceData_PastureBeef.SourceData_PastureBeef_LiveweightNTQLD_Data(),Table_SourceData_PastureBeef_LiveweightNTQD[[#Headers],[State]], 0)</f>
        <v>493</v>
      </c>
      <c r="P54" s="31"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1" t="str" cm="1">
        <f t="array" ref="E55">Common_InputFunctions.Utility_DisplayArrayInTable(SourceData_PastureBeef.SourceData_PastureBeef_LiveweightNTQLD_Data(),Table_SourceData_PastureBeef_LiveweightNTQD[[#Headers],[State]], 0)</f>
        <v>Alice Springs</v>
      </c>
      <c r="F55" s="31" t="str" cm="1">
        <f t="array" ref="F55">Common_InputFunctions.Utility_DisplayArrayInTable(SourceData_PastureBeef.SourceData_PastureBeef_LiveweightNTQLD_Data(),Table_SourceData_PastureBeef_LiveweightNTQD[[#Headers],[State]], 0)</f>
        <v>Summer</v>
      </c>
      <c r="G55" s="31" cm="1">
        <f t="array" ref="G55">Common_InputFunctions.Utility_DisplayArrayInTable(SourceData_PastureBeef.SourceData_PastureBeef_LiveweightNTQLD_Data(),Table_SourceData_PastureBeef_LiveweightNTQD[[#Headers],[State]], 0)</f>
        <v>110</v>
      </c>
      <c r="H55" s="31" cm="1">
        <f t="array" ref="H55">Common_InputFunctions.Utility_DisplayArrayInTable(SourceData_PastureBeef.SourceData_PastureBeef_LiveweightNTQLD_Data(),Table_SourceData_PastureBeef_LiveweightNTQD[[#Headers],[State]], 0)</f>
        <v>703</v>
      </c>
      <c r="I55" s="31" cm="1">
        <f t="array" ref="I55">Common_InputFunctions.Utility_DisplayArrayInTable(SourceData_PastureBeef.SourceData_PastureBeef_LiveweightNTQLD_Data(),Table_SourceData_PastureBeef_LiveweightNTQD[[#Headers],[State]], 0)</f>
        <v>112</v>
      </c>
      <c r="J55" s="31" cm="1">
        <f t="array" ref="J55">Common_InputFunctions.Utility_DisplayArrayInTable(SourceData_PastureBeef.SourceData_PastureBeef_LiveweightNTQLD_Data(),Table_SourceData_PastureBeef_LiveweightNTQD[[#Headers],[State]], 0)</f>
        <v>256</v>
      </c>
      <c r="K55" s="31" cm="1">
        <f t="array" ref="K55">Common_InputFunctions.Utility_DisplayArrayInTable(SourceData_PastureBeef.SourceData_PastureBeef_LiveweightNTQLD_Data(),Table_SourceData_PastureBeef_LiveweightNTQD[[#Headers],[State]], 0)</f>
        <v>368</v>
      </c>
      <c r="L55" s="31" cm="1">
        <f t="array" ref="L55">Common_InputFunctions.Utility_DisplayArrayInTable(SourceData_PastureBeef.SourceData_PastureBeef_LiveweightNTQLD_Data(),Table_SourceData_PastureBeef_LiveweightNTQD[[#Headers],[State]], 0)</f>
        <v>465</v>
      </c>
      <c r="M55" s="31" cm="1">
        <f t="array" ref="M55">Common_InputFunctions.Utility_DisplayArrayInTable(SourceData_PastureBeef.SourceData_PastureBeef_LiveweightNTQLD_Data(),Table_SourceData_PastureBeef_LiveweightNTQD[[#Headers],[State]], 0)</f>
        <v>108</v>
      </c>
      <c r="N55" s="31" cm="1">
        <f t="array" ref="N55">Common_InputFunctions.Utility_DisplayArrayInTable(SourceData_PastureBeef.SourceData_PastureBeef_LiveweightNTQLD_Data(),Table_SourceData_PastureBeef_LiveweightNTQD[[#Headers],[State]], 0)</f>
        <v>280</v>
      </c>
      <c r="O55" s="31" cm="1">
        <f t="array" ref="O55">Common_InputFunctions.Utility_DisplayArrayInTable(SourceData_PastureBeef.SourceData_PastureBeef_LiveweightNTQLD_Data(),Table_SourceData_PastureBeef_LiveweightNTQD[[#Headers],[State]], 0)</f>
        <v>421</v>
      </c>
      <c r="P55" s="31"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1" t="str" cm="1">
        <f t="array" ref="E56">Common_InputFunctions.Utility_DisplayArrayInTable(SourceData_PastureBeef.SourceData_PastureBeef_LiveweightNTQLD_Data(),Table_SourceData_PastureBeef_LiveweightNTQD[[#Headers],[State]], 0)</f>
        <v>Alice Springs</v>
      </c>
      <c r="F56" s="31" t="str" cm="1">
        <f t="array" ref="F56">Common_InputFunctions.Utility_DisplayArrayInTable(SourceData_PastureBeef.SourceData_PastureBeef_LiveweightNTQLD_Data(),Table_SourceData_PastureBeef_LiveweightNTQD[[#Headers],[State]], 0)</f>
        <v>Autumn</v>
      </c>
      <c r="G56" s="31" cm="1">
        <f t="array" ref="G56">Common_InputFunctions.Utility_DisplayArrayInTable(SourceData_PastureBeef.SourceData_PastureBeef_LiveweightNTQLD_Data(),Table_SourceData_PastureBeef_LiveweightNTQD[[#Headers],[State]], 0)</f>
        <v>170</v>
      </c>
      <c r="H56" s="31" cm="1">
        <f t="array" ref="H56">Common_InputFunctions.Utility_DisplayArrayInTable(SourceData_PastureBeef.SourceData_PastureBeef_LiveweightNTQLD_Data(),Table_SourceData_PastureBeef_LiveweightNTQD[[#Headers],[State]], 0)</f>
        <v>721</v>
      </c>
      <c r="I56" s="31" cm="1">
        <f t="array" ref="I56">Common_InputFunctions.Utility_DisplayArrayInTable(SourceData_PastureBeef.SourceData_PastureBeef_LiveweightNTQLD_Data(),Table_SourceData_PastureBeef_LiveweightNTQD[[#Headers],[State]], 0)</f>
        <v>169</v>
      </c>
      <c r="J56" s="31" cm="1">
        <f t="array" ref="J56">Common_InputFunctions.Utility_DisplayArrayInTable(SourceData_PastureBeef.SourceData_PastureBeef_LiveweightNTQLD_Data(),Table_SourceData_PastureBeef_LiveweightNTQD[[#Headers],[State]], 0)</f>
        <v>306</v>
      </c>
      <c r="K56" s="31" cm="1">
        <f t="array" ref="K56">Common_InputFunctions.Utility_DisplayArrayInTable(SourceData_PastureBeef.SourceData_PastureBeef_LiveweightNTQLD_Data(),Table_SourceData_PastureBeef_LiveweightNTQD[[#Headers],[State]], 0)</f>
        <v>392</v>
      </c>
      <c r="L56" s="31" cm="1">
        <f t="array" ref="L56">Common_InputFunctions.Utility_DisplayArrayInTable(SourceData_PastureBeef.SourceData_PastureBeef_LiveweightNTQLD_Data(),Table_SourceData_PastureBeef_LiveweightNTQD[[#Headers],[State]], 0)</f>
        <v>464</v>
      </c>
      <c r="M56" s="31" cm="1">
        <f t="array" ref="M56">Common_InputFunctions.Utility_DisplayArrayInTable(SourceData_PastureBeef.SourceData_PastureBeef_LiveweightNTQLD_Data(),Table_SourceData_PastureBeef_LiveweightNTQD[[#Headers],[State]], 0)</f>
        <v>176</v>
      </c>
      <c r="N56" s="31" cm="1">
        <f t="array" ref="N56">Common_InputFunctions.Utility_DisplayArrayInTable(SourceData_PastureBeef.SourceData_PastureBeef_LiveweightNTQLD_Data(),Table_SourceData_PastureBeef_LiveweightNTQD[[#Headers],[State]], 0)</f>
        <v>339</v>
      </c>
      <c r="O56" s="31" cm="1">
        <f t="array" ref="O56">Common_InputFunctions.Utility_DisplayArrayInTable(SourceData_PastureBeef.SourceData_PastureBeef_LiveweightNTQLD_Data(),Table_SourceData_PastureBeef_LiveweightNTQD[[#Headers],[State]], 0)</f>
        <v>470</v>
      </c>
      <c r="P56" s="31"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1" t="str" cm="1">
        <f t="array" ref="E57">Common_InputFunctions.Utility_DisplayArrayInTable(SourceData_PastureBeef.SourceData_PastureBeef_LiveweightNTQLD_Data(),Table_SourceData_PastureBeef_LiveweightNTQD[[#Headers],[State]], 0)</f>
        <v>Alice Springs</v>
      </c>
      <c r="F57" s="31" t="str" cm="1">
        <f t="array" ref="F57">Common_InputFunctions.Utility_DisplayArrayInTable(SourceData_PastureBeef.SourceData_PastureBeef_LiveweightNTQLD_Data(),Table_SourceData_PastureBeef_LiveweightNTQD[[#Headers],[State]], 0)</f>
        <v>Winter</v>
      </c>
      <c r="G57" s="31" cm="1">
        <f t="array" ref="G57">Common_InputFunctions.Utility_DisplayArrayInTable(SourceData_PastureBeef.SourceData_PastureBeef_LiveweightNTQLD_Data(),Table_SourceData_PastureBeef_LiveweightNTQD[[#Headers],[State]], 0)</f>
        <v>200</v>
      </c>
      <c r="H57" s="31" cm="1">
        <f t="array" ref="H57">Common_InputFunctions.Utility_DisplayArrayInTable(SourceData_PastureBeef.SourceData_PastureBeef_LiveweightNTQLD_Data(),Table_SourceData_PastureBeef_LiveweightNTQD[[#Headers],[State]], 0)</f>
        <v>727</v>
      </c>
      <c r="I57" s="31" cm="1">
        <f t="array" ref="I57">Common_InputFunctions.Utility_DisplayArrayInTable(SourceData_PastureBeef.SourceData_PastureBeef_LiveweightNTQLD_Data(),Table_SourceData_PastureBeef_LiveweightNTQD[[#Headers],[State]], 0)</f>
        <v>211</v>
      </c>
      <c r="J57" s="31" cm="1">
        <f t="array" ref="J57">Common_InputFunctions.Utility_DisplayArrayInTable(SourceData_PastureBeef.SourceData_PastureBeef_LiveweightNTQLD_Data(),Table_SourceData_PastureBeef_LiveweightNTQD[[#Headers],[State]], 0)</f>
        <v>338</v>
      </c>
      <c r="K57" s="31" cm="1">
        <f t="array" ref="K57">Common_InputFunctions.Utility_DisplayArrayInTable(SourceData_PastureBeef.SourceData_PastureBeef_LiveweightNTQLD_Data(),Table_SourceData_PastureBeef_LiveweightNTQD[[#Headers],[State]], 0)</f>
        <v>432</v>
      </c>
      <c r="L57" s="31" cm="1">
        <f t="array" ref="L57">Common_InputFunctions.Utility_DisplayArrayInTable(SourceData_PastureBeef.SourceData_PastureBeef_LiveweightNTQLD_Data(),Table_SourceData_PastureBeef_LiveweightNTQD[[#Headers],[State]], 0)</f>
        <v>492</v>
      </c>
      <c r="M57" s="31" cm="1">
        <f t="array" ref="M57">Common_InputFunctions.Utility_DisplayArrayInTable(SourceData_PastureBeef.SourceData_PastureBeef_LiveweightNTQLD_Data(),Table_SourceData_PastureBeef_LiveweightNTQD[[#Headers],[State]], 0)</f>
        <v>222</v>
      </c>
      <c r="N57" s="31" cm="1">
        <f t="array" ref="N57">Common_InputFunctions.Utility_DisplayArrayInTable(SourceData_PastureBeef.SourceData_PastureBeef_LiveweightNTQLD_Data(),Table_SourceData_PastureBeef_LiveweightNTQD[[#Headers],[State]], 0)</f>
        <v>377</v>
      </c>
      <c r="O57" s="31" cm="1">
        <f t="array" ref="O57">Common_InputFunctions.Utility_DisplayArrayInTable(SourceData_PastureBeef.SourceData_PastureBeef_LiveweightNTQLD_Data(),Table_SourceData_PastureBeef_LiveweightNTQD[[#Headers],[State]], 0)</f>
        <v>498</v>
      </c>
      <c r="P57" s="31"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1" t="str" cm="1">
        <f t="array" ref="E58">Common_InputFunctions.Utility_DisplayArrayInTable(SourceData_PastureBeef.SourceData_PastureBeef_LiveweightNTQLD_Data(),Table_SourceData_PastureBeef_LiveweightNTQD[[#Headers],[State]], 0)</f>
        <v>Barkly</v>
      </c>
      <c r="F58" s="31" t="str" cm="1">
        <f t="array" ref="F58">Common_InputFunctions.Utility_DisplayArrayInTable(SourceData_PastureBeef.SourceData_PastureBeef_LiveweightNTQLD_Data(),Table_SourceData_PastureBeef_LiveweightNTQD[[#Headers],[State]], 0)</f>
        <v>Spring</v>
      </c>
      <c r="G58" s="31" cm="1">
        <f t="array" ref="G58">Common_InputFunctions.Utility_DisplayArrayInTable(SourceData_PastureBeef.SourceData_PastureBeef_LiveweightNTQLD_Data(),Table_SourceData_PastureBeef_LiveweightNTQD[[#Headers],[State]], 0)</f>
        <v>220</v>
      </c>
      <c r="H58" s="31" cm="1">
        <f t="array" ref="H58">Common_InputFunctions.Utility_DisplayArrayInTable(SourceData_PastureBeef.SourceData_PastureBeef_LiveweightNTQLD_Data(),Table_SourceData_PastureBeef_LiveweightNTQD[[#Headers],[State]], 0)</f>
        <v>620</v>
      </c>
      <c r="I58" s="31" cm="1">
        <f t="array" ref="I58">Common_InputFunctions.Utility_DisplayArrayInTable(SourceData_PastureBeef.SourceData_PastureBeef_LiveweightNTQLD_Data(),Table_SourceData_PastureBeef_LiveweightNTQD[[#Headers],[State]], 0)</f>
        <v>227</v>
      </c>
      <c r="J58" s="31" cm="1">
        <f t="array" ref="J58">Common_InputFunctions.Utility_DisplayArrayInTable(SourceData_PastureBeef.SourceData_PastureBeef_LiveweightNTQLD_Data(),Table_SourceData_PastureBeef_LiveweightNTQD[[#Headers],[State]], 0)</f>
        <v>319</v>
      </c>
      <c r="K58" s="31" cm="1">
        <f t="array" ref="K58">Common_InputFunctions.Utility_DisplayArrayInTable(SourceData_PastureBeef.SourceData_PastureBeef_LiveweightNTQLD_Data(),Table_SourceData_PastureBeef_LiveweightNTQD[[#Headers],[State]], 0)</f>
        <v>398</v>
      </c>
      <c r="L58" s="31" cm="1">
        <f t="array" ref="L58">Common_InputFunctions.Utility_DisplayArrayInTable(SourceData_PastureBeef.SourceData_PastureBeef_LiveweightNTQLD_Data(),Table_SourceData_PastureBeef_LiveweightNTQD[[#Headers],[State]], 0)</f>
        <v>452</v>
      </c>
      <c r="M58" s="31" cm="1">
        <f t="array" ref="M58">Common_InputFunctions.Utility_DisplayArrayInTable(SourceData_PastureBeef.SourceData_PastureBeef_LiveweightNTQLD_Data(),Table_SourceData_PastureBeef_LiveweightNTQD[[#Headers],[State]], 0)</f>
        <v>216</v>
      </c>
      <c r="N58" s="31" cm="1">
        <f t="array" ref="N58">Common_InputFunctions.Utility_DisplayArrayInTable(SourceData_PastureBeef.SourceData_PastureBeef_LiveweightNTQLD_Data(),Table_SourceData_PastureBeef_LiveweightNTQD[[#Headers],[State]], 0)</f>
        <v>334</v>
      </c>
      <c r="O58" s="31" t="str" cm="1">
        <f t="array" ref="O58">Common_InputFunctions.Utility_DisplayArrayInTable(SourceData_PastureBeef.SourceData_PastureBeef_LiveweightNTQLD_Data(),Table_SourceData_PastureBeef_LiveweightNTQD[[#Headers],[State]], 0)</f>
        <v>NO</v>
      </c>
      <c r="P58" s="31"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1" t="str" cm="1">
        <f t="array" ref="E59">Common_InputFunctions.Utility_DisplayArrayInTable(SourceData_PastureBeef.SourceData_PastureBeef_LiveweightNTQLD_Data(),Table_SourceData_PastureBeef_LiveweightNTQD[[#Headers],[State]], 0)</f>
        <v>Barkly</v>
      </c>
      <c r="F59" s="31" t="str" cm="1">
        <f t="array" ref="F59">Common_InputFunctions.Utility_DisplayArrayInTable(SourceData_PastureBeef.SourceData_PastureBeef_LiveweightNTQLD_Data(),Table_SourceData_PastureBeef_LiveweightNTQD[[#Headers],[State]], 0)</f>
        <v>Summer</v>
      </c>
      <c r="G59" s="31" cm="1">
        <f t="array" ref="G59">Common_InputFunctions.Utility_DisplayArrayInTable(SourceData_PastureBeef.SourceData_PastureBeef_LiveweightNTQLD_Data(),Table_SourceData_PastureBeef_LiveweightNTQD[[#Headers],[State]], 0)</f>
        <v>110</v>
      </c>
      <c r="H59" s="31" cm="1">
        <f t="array" ref="H59">Common_InputFunctions.Utility_DisplayArrayInTable(SourceData_PastureBeef.SourceData_PastureBeef_LiveweightNTQLD_Data(),Table_SourceData_PastureBeef_LiveweightNTQD[[#Headers],[State]], 0)</f>
        <v>650</v>
      </c>
      <c r="I59" s="31" cm="1">
        <f t="array" ref="I59">Common_InputFunctions.Utility_DisplayArrayInTable(SourceData_PastureBeef.SourceData_PastureBeef_LiveweightNTQLD_Data(),Table_SourceData_PastureBeef_LiveweightNTQD[[#Headers],[State]], 0)</f>
        <v>108</v>
      </c>
      <c r="J59" s="31" cm="1">
        <f t="array" ref="J59">Common_InputFunctions.Utility_DisplayArrayInTable(SourceData_PastureBeef.SourceData_PastureBeef_LiveweightNTQLD_Data(),Table_SourceData_PastureBeef_LiveweightNTQD[[#Headers],[State]], 0)</f>
        <v>262</v>
      </c>
      <c r="K59" s="31" cm="1">
        <f t="array" ref="K59">Common_InputFunctions.Utility_DisplayArrayInTable(SourceData_PastureBeef.SourceData_PastureBeef_LiveweightNTQLD_Data(),Table_SourceData_PastureBeef_LiveweightNTQD[[#Headers],[State]], 0)</f>
        <v>346</v>
      </c>
      <c r="L59" s="31" cm="1">
        <f t="array" ref="L59">Common_InputFunctions.Utility_DisplayArrayInTable(SourceData_PastureBeef.SourceData_PastureBeef_LiveweightNTQLD_Data(),Table_SourceData_PastureBeef_LiveweightNTQD[[#Headers],[State]], 0)</f>
        <v>430</v>
      </c>
      <c r="M59" s="31" cm="1">
        <f t="array" ref="M59">Common_InputFunctions.Utility_DisplayArrayInTable(SourceData_PastureBeef.SourceData_PastureBeef_LiveweightNTQLD_Data(),Table_SourceData_PastureBeef_LiveweightNTQD[[#Headers],[State]], 0)</f>
        <v>111</v>
      </c>
      <c r="N59" s="31" cm="1">
        <f t="array" ref="N59">Common_InputFunctions.Utility_DisplayArrayInTable(SourceData_PastureBeef.SourceData_PastureBeef_LiveweightNTQLD_Data(),Table_SourceData_PastureBeef_LiveweightNTQD[[#Headers],[State]], 0)</f>
        <v>236</v>
      </c>
      <c r="O59" s="31" t="str" cm="1">
        <f t="array" ref="O59">Common_InputFunctions.Utility_DisplayArrayInTable(SourceData_PastureBeef.SourceData_PastureBeef_LiveweightNTQLD_Data(),Table_SourceData_PastureBeef_LiveweightNTQD[[#Headers],[State]], 0)</f>
        <v>NO</v>
      </c>
      <c r="P59" s="31"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1" t="str" cm="1">
        <f t="array" ref="E60">Common_InputFunctions.Utility_DisplayArrayInTable(SourceData_PastureBeef.SourceData_PastureBeef_LiveweightNTQLD_Data(),Table_SourceData_PastureBeef_LiveweightNTQD[[#Headers],[State]], 0)</f>
        <v>Barkly</v>
      </c>
      <c r="F60" s="31" t="str" cm="1">
        <f t="array" ref="F60">Common_InputFunctions.Utility_DisplayArrayInTable(SourceData_PastureBeef.SourceData_PastureBeef_LiveweightNTQLD_Data(),Table_SourceData_PastureBeef_LiveweightNTQD[[#Headers],[State]], 0)</f>
        <v>Autumn</v>
      </c>
      <c r="G60" s="31" cm="1">
        <f t="array" ref="G60">Common_InputFunctions.Utility_DisplayArrayInTable(SourceData_PastureBeef.SourceData_PastureBeef_LiveweightNTQLD_Data(),Table_SourceData_PastureBeef_LiveweightNTQD[[#Headers],[State]], 0)</f>
        <v>170</v>
      </c>
      <c r="H60" s="31" cm="1">
        <f t="array" ref="H60">Common_InputFunctions.Utility_DisplayArrayInTable(SourceData_PastureBeef.SourceData_PastureBeef_LiveweightNTQLD_Data(),Table_SourceData_PastureBeef_LiveweightNTQD[[#Headers],[State]], 0)</f>
        <v>670</v>
      </c>
      <c r="I60" s="31" cm="1">
        <f t="array" ref="I60">Common_InputFunctions.Utility_DisplayArrayInTable(SourceData_PastureBeef.SourceData_PastureBeef_LiveweightNTQLD_Data(),Table_SourceData_PastureBeef_LiveweightNTQD[[#Headers],[State]], 0)</f>
        <v>170</v>
      </c>
      <c r="J60" s="31" cm="1">
        <f t="array" ref="J60">Common_InputFunctions.Utility_DisplayArrayInTable(SourceData_PastureBeef.SourceData_PastureBeef_LiveweightNTQLD_Data(),Table_SourceData_PastureBeef_LiveweightNTQD[[#Headers],[State]], 0)</f>
        <v>266</v>
      </c>
      <c r="K60" s="31" cm="1">
        <f t="array" ref="K60">Common_InputFunctions.Utility_DisplayArrayInTable(SourceData_PastureBeef.SourceData_PastureBeef_LiveweightNTQLD_Data(),Table_SourceData_PastureBeef_LiveweightNTQD[[#Headers],[State]], 0)</f>
        <v>363</v>
      </c>
      <c r="L60" s="31" cm="1">
        <f t="array" ref="L60">Common_InputFunctions.Utility_DisplayArrayInTable(SourceData_PastureBeef.SourceData_PastureBeef_LiveweightNTQLD_Data(),Table_SourceData_PastureBeef_LiveweightNTQD[[#Headers],[State]], 0)</f>
        <v>444</v>
      </c>
      <c r="M60" s="31" cm="1">
        <f t="array" ref="M60">Common_InputFunctions.Utility_DisplayArrayInTable(SourceData_PastureBeef.SourceData_PastureBeef_LiveweightNTQLD_Data(),Table_SourceData_PastureBeef_LiveweightNTQD[[#Headers],[State]], 0)</f>
        <v>169</v>
      </c>
      <c r="N60" s="31" cm="1">
        <f t="array" ref="N60">Common_InputFunctions.Utility_DisplayArrayInTable(SourceData_PastureBeef.SourceData_PastureBeef_LiveweightNTQLD_Data(),Table_SourceData_PastureBeef_LiveweightNTQD[[#Headers],[State]], 0)</f>
        <v>282</v>
      </c>
      <c r="O60" s="31" t="str" cm="1">
        <f t="array" ref="O60">Common_InputFunctions.Utility_DisplayArrayInTable(SourceData_PastureBeef.SourceData_PastureBeef_LiveweightNTQLD_Data(),Table_SourceData_PastureBeef_LiveweightNTQD[[#Headers],[State]], 0)</f>
        <v>NO</v>
      </c>
      <c r="P60" s="31"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1" t="str" cm="1">
        <f t="array" ref="E61">Common_InputFunctions.Utility_DisplayArrayInTable(SourceData_PastureBeef.SourceData_PastureBeef_LiveweightNTQLD_Data(),Table_SourceData_PastureBeef_LiveweightNTQD[[#Headers],[State]], 0)</f>
        <v>Barkly</v>
      </c>
      <c r="F61" s="31" t="str" cm="1">
        <f t="array" ref="F61">Common_InputFunctions.Utility_DisplayArrayInTable(SourceData_PastureBeef.SourceData_PastureBeef_LiveweightNTQLD_Data(),Table_SourceData_PastureBeef_LiveweightNTQD[[#Headers],[State]], 0)</f>
        <v>Winter</v>
      </c>
      <c r="G61" s="31" cm="1">
        <f t="array" ref="G61">Common_InputFunctions.Utility_DisplayArrayInTable(SourceData_PastureBeef.SourceData_PastureBeef_LiveweightNTQLD_Data(),Table_SourceData_PastureBeef_LiveweightNTQD[[#Headers],[State]], 0)</f>
        <v>200</v>
      </c>
      <c r="H61" s="31" cm="1">
        <f t="array" ref="H61">Common_InputFunctions.Utility_DisplayArrayInTable(SourceData_PastureBeef.SourceData_PastureBeef_LiveweightNTQLD_Data(),Table_SourceData_PastureBeef_LiveweightNTQD[[#Headers],[State]], 0)</f>
        <v>660</v>
      </c>
      <c r="I61" s="31" cm="1">
        <f t="array" ref="I61">Common_InputFunctions.Utility_DisplayArrayInTable(SourceData_PastureBeef.SourceData_PastureBeef_LiveweightNTQLD_Data(),Table_SourceData_PastureBeef_LiveweightNTQD[[#Headers],[State]], 0)</f>
        <v>225</v>
      </c>
      <c r="J61" s="31" cm="1">
        <f t="array" ref="J61">Common_InputFunctions.Utility_DisplayArrayInTable(SourceData_PastureBeef.SourceData_PastureBeef_LiveweightNTQLD_Data(),Table_SourceData_PastureBeef_LiveweightNTQD[[#Headers],[State]], 0)</f>
        <v>307</v>
      </c>
      <c r="K61" s="31" cm="1">
        <f t="array" ref="K61">Common_InputFunctions.Utility_DisplayArrayInTable(SourceData_PastureBeef.SourceData_PastureBeef_LiveweightNTQLD_Data(),Table_SourceData_PastureBeef_LiveweightNTQD[[#Headers],[State]], 0)</f>
        <v>398</v>
      </c>
      <c r="L61" s="31" cm="1">
        <f t="array" ref="L61">Common_InputFunctions.Utility_DisplayArrayInTable(SourceData_PastureBeef.SourceData_PastureBeef_LiveweightNTQLD_Data(),Table_SourceData_PastureBeef_LiveweightNTQD[[#Headers],[State]], 0)</f>
        <v>452</v>
      </c>
      <c r="M61" s="31" cm="1">
        <f t="array" ref="M61">Common_InputFunctions.Utility_DisplayArrayInTable(SourceData_PastureBeef.SourceData_PastureBeef_LiveweightNTQLD_Data(),Table_SourceData_PastureBeef_LiveweightNTQD[[#Headers],[State]], 0)</f>
        <v>214</v>
      </c>
      <c r="N61" s="31" cm="1">
        <f t="array" ref="N61">Common_InputFunctions.Utility_DisplayArrayInTable(SourceData_PastureBeef.SourceData_PastureBeef_LiveweightNTQLD_Data(),Table_SourceData_PastureBeef_LiveweightNTQD[[#Headers],[State]], 0)</f>
        <v>326</v>
      </c>
      <c r="O61" s="31" t="str" cm="1">
        <f t="array" ref="O61">Common_InputFunctions.Utility_DisplayArrayInTable(SourceData_PastureBeef.SourceData_PastureBeef_LiveweightNTQLD_Data(),Table_SourceData_PastureBeef_LiveweightNTQD[[#Headers],[State]], 0)</f>
        <v>NO</v>
      </c>
      <c r="P61" s="31"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1" t="str" cm="1">
        <f t="array" ref="E62">Common_InputFunctions.Utility_DisplayArrayInTable(SourceData_PastureBeef.SourceData_PastureBeef_LiveweightNTQLD_Data(),Table_SourceData_PastureBeef_LiveweightNTQD[[#Headers],[State]], 0)</f>
        <v>Northern</v>
      </c>
      <c r="F62" s="31" t="str" cm="1">
        <f t="array" ref="F62">Common_InputFunctions.Utility_DisplayArrayInTable(SourceData_PastureBeef.SourceData_PastureBeef_LiveweightNTQLD_Data(),Table_SourceData_PastureBeef_LiveweightNTQD[[#Headers],[State]], 0)</f>
        <v>Spring</v>
      </c>
      <c r="G62" s="31" cm="1">
        <f t="array" ref="G62">Common_InputFunctions.Utility_DisplayArrayInTable(SourceData_PastureBeef.SourceData_PastureBeef_LiveweightNTQLD_Data(),Table_SourceData_PastureBeef_LiveweightNTQD[[#Headers],[State]], 0)</f>
        <v>220</v>
      </c>
      <c r="H62" s="31" cm="1">
        <f t="array" ref="H62">Common_InputFunctions.Utility_DisplayArrayInTable(SourceData_PastureBeef.SourceData_PastureBeef_LiveweightNTQLD_Data(),Table_SourceData_PastureBeef_LiveweightNTQD[[#Headers],[State]], 0)</f>
        <v>620</v>
      </c>
      <c r="I62" s="31" cm="1">
        <f t="array" ref="I62">Common_InputFunctions.Utility_DisplayArrayInTable(SourceData_PastureBeef.SourceData_PastureBeef_LiveweightNTQLD_Data(),Table_SourceData_PastureBeef_LiveweightNTQD[[#Headers],[State]], 0)</f>
        <v>177</v>
      </c>
      <c r="J62" s="31" cm="1">
        <f t="array" ref="J62">Common_InputFunctions.Utility_DisplayArrayInTable(SourceData_PastureBeef.SourceData_PastureBeef_LiveweightNTQLD_Data(),Table_SourceData_PastureBeef_LiveweightNTQD[[#Headers],[State]], 0)</f>
        <v>267</v>
      </c>
      <c r="K62" s="31" cm="1">
        <f t="array" ref="K62">Common_InputFunctions.Utility_DisplayArrayInTable(SourceData_PastureBeef.SourceData_PastureBeef_LiveweightNTQLD_Data(),Table_SourceData_PastureBeef_LiveweightNTQD[[#Headers],[State]], 0)</f>
        <v>365</v>
      </c>
      <c r="L62" s="31" cm="1">
        <f t="array" ref="L62">Common_InputFunctions.Utility_DisplayArrayInTable(SourceData_PastureBeef.SourceData_PastureBeef_LiveweightNTQLD_Data(),Table_SourceData_PastureBeef_LiveweightNTQD[[#Headers],[State]], 0)</f>
        <v>406</v>
      </c>
      <c r="M62" s="31" cm="1">
        <f t="array" ref="M62">Common_InputFunctions.Utility_DisplayArrayInTable(SourceData_PastureBeef.SourceData_PastureBeef_LiveweightNTQLD_Data(),Table_SourceData_PastureBeef_LiveweightNTQD[[#Headers],[State]], 0)</f>
        <v>231</v>
      </c>
      <c r="N62" s="31" cm="1">
        <f t="array" ref="N62">Common_InputFunctions.Utility_DisplayArrayInTable(SourceData_PastureBeef.SourceData_PastureBeef_LiveweightNTQLD_Data(),Table_SourceData_PastureBeef_LiveweightNTQD[[#Headers],[State]], 0)</f>
        <v>249</v>
      </c>
      <c r="O62" s="31" cm="1">
        <f t="array" ref="O62">Common_InputFunctions.Utility_DisplayArrayInTable(SourceData_PastureBeef.SourceData_PastureBeef_LiveweightNTQLD_Data(),Table_SourceData_PastureBeef_LiveweightNTQD[[#Headers],[State]], 0)</f>
        <v>324</v>
      </c>
      <c r="P62" s="31"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1" t="str" cm="1">
        <f t="array" ref="E63">Common_InputFunctions.Utility_DisplayArrayInTable(SourceData_PastureBeef.SourceData_PastureBeef_LiveweightNTQLD_Data(),Table_SourceData_PastureBeef_LiveweightNTQD[[#Headers],[State]], 0)</f>
        <v>Northern</v>
      </c>
      <c r="F63" s="31" t="str" cm="1">
        <f t="array" ref="F63">Common_InputFunctions.Utility_DisplayArrayInTable(SourceData_PastureBeef.SourceData_PastureBeef_LiveweightNTQLD_Data(),Table_SourceData_PastureBeef_LiveweightNTQD[[#Headers],[State]], 0)</f>
        <v>Summer</v>
      </c>
      <c r="G63" s="31" cm="1">
        <f t="array" ref="G63">Common_InputFunctions.Utility_DisplayArrayInTable(SourceData_PastureBeef.SourceData_PastureBeef_LiveweightNTQLD_Data(),Table_SourceData_PastureBeef_LiveweightNTQD[[#Headers],[State]], 0)</f>
        <v>110</v>
      </c>
      <c r="H63" s="31" cm="1">
        <f t="array" ref="H63">Common_InputFunctions.Utility_DisplayArrayInTable(SourceData_PastureBeef.SourceData_PastureBeef_LiveweightNTQLD_Data(),Table_SourceData_PastureBeef_LiveweightNTQD[[#Headers],[State]], 0)</f>
        <v>650</v>
      </c>
      <c r="I63" s="31" cm="1">
        <f t="array" ref="I63">Common_InputFunctions.Utility_DisplayArrayInTable(SourceData_PastureBeef.SourceData_PastureBeef_LiveweightNTQLD_Data(),Table_SourceData_PastureBeef_LiveweightNTQD[[#Headers],[State]], 0)</f>
        <v>102</v>
      </c>
      <c r="J63" s="31" cm="1">
        <f t="array" ref="J63">Common_InputFunctions.Utility_DisplayArrayInTable(SourceData_PastureBeef.SourceData_PastureBeef_LiveweightNTQLD_Data(),Table_SourceData_PastureBeef_LiveweightNTQD[[#Headers],[State]], 0)</f>
        <v>203</v>
      </c>
      <c r="K63" s="31" cm="1">
        <f t="array" ref="K63">Common_InputFunctions.Utility_DisplayArrayInTable(SourceData_PastureBeef.SourceData_PastureBeef_LiveweightNTQLD_Data(),Table_SourceData_PastureBeef_LiveweightNTQD[[#Headers],[State]], 0)</f>
        <v>299</v>
      </c>
      <c r="L63" s="31" cm="1">
        <f t="array" ref="L63">Common_InputFunctions.Utility_DisplayArrayInTable(SourceData_PastureBeef.SourceData_PastureBeef_LiveweightNTQLD_Data(),Table_SourceData_PastureBeef_LiveweightNTQD[[#Headers],[State]], 0)</f>
        <v>380</v>
      </c>
      <c r="M63" s="31" cm="1">
        <f t="array" ref="M63">Common_InputFunctions.Utility_DisplayArrayInTable(SourceData_PastureBeef.SourceData_PastureBeef_LiveweightNTQLD_Data(),Table_SourceData_PastureBeef_LiveweightNTQD[[#Headers],[State]], 0)</f>
        <v>102</v>
      </c>
      <c r="N63" s="31" cm="1">
        <f t="array" ref="N63">Common_InputFunctions.Utility_DisplayArrayInTable(SourceData_PastureBeef.SourceData_PastureBeef_LiveweightNTQLD_Data(),Table_SourceData_PastureBeef_LiveweightNTQD[[#Headers],[State]], 0)</f>
        <v>218</v>
      </c>
      <c r="O63" s="31" cm="1">
        <f t="array" ref="O63">Common_InputFunctions.Utility_DisplayArrayInTable(SourceData_PastureBeef.SourceData_PastureBeef_LiveweightNTQLD_Data(),Table_SourceData_PastureBeef_LiveweightNTQD[[#Headers],[State]], 0)</f>
        <v>263</v>
      </c>
      <c r="P63" s="31"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1" t="str" cm="1">
        <f t="array" ref="E64">Common_InputFunctions.Utility_DisplayArrayInTable(SourceData_PastureBeef.SourceData_PastureBeef_LiveweightNTQLD_Data(),Table_SourceData_PastureBeef_LiveweightNTQD[[#Headers],[State]], 0)</f>
        <v>Northern</v>
      </c>
      <c r="F64" s="31" t="str" cm="1">
        <f t="array" ref="F64">Common_InputFunctions.Utility_DisplayArrayInTable(SourceData_PastureBeef.SourceData_PastureBeef_LiveweightNTQLD_Data(),Table_SourceData_PastureBeef_LiveweightNTQD[[#Headers],[State]], 0)</f>
        <v>Autumn</v>
      </c>
      <c r="G64" s="31" cm="1">
        <f t="array" ref="G64">Common_InputFunctions.Utility_DisplayArrayInTable(SourceData_PastureBeef.SourceData_PastureBeef_LiveweightNTQLD_Data(),Table_SourceData_PastureBeef_LiveweightNTQD[[#Headers],[State]], 0)</f>
        <v>170</v>
      </c>
      <c r="H64" s="31" cm="1">
        <f t="array" ref="H64">Common_InputFunctions.Utility_DisplayArrayInTable(SourceData_PastureBeef.SourceData_PastureBeef_LiveweightNTQLD_Data(),Table_SourceData_PastureBeef_LiveweightNTQD[[#Headers],[State]], 0)</f>
        <v>670</v>
      </c>
      <c r="I64" s="31" cm="1">
        <f t="array" ref="I64">Common_InputFunctions.Utility_DisplayArrayInTable(SourceData_PastureBeef.SourceData_PastureBeef_LiveweightNTQLD_Data(),Table_SourceData_PastureBeef_LiveweightNTQD[[#Headers],[State]], 0)</f>
        <v>173</v>
      </c>
      <c r="J64" s="31" cm="1">
        <f t="array" ref="J64">Common_InputFunctions.Utility_DisplayArrayInTable(SourceData_PastureBeef.SourceData_PastureBeef_LiveweightNTQLD_Data(),Table_SourceData_PastureBeef_LiveweightNTQD[[#Headers],[State]], 0)</f>
        <v>250</v>
      </c>
      <c r="K64" s="31" cm="1">
        <f t="array" ref="K64">Common_InputFunctions.Utility_DisplayArrayInTable(SourceData_PastureBeef.SourceData_PastureBeef_LiveweightNTQLD_Data(),Table_SourceData_PastureBeef_LiveweightNTQD[[#Headers],[State]], 0)</f>
        <v>336</v>
      </c>
      <c r="L64" s="31" cm="1">
        <f t="array" ref="L64">Common_InputFunctions.Utility_DisplayArrayInTable(SourceData_PastureBeef.SourceData_PastureBeef_LiveweightNTQLD_Data(),Table_SourceData_PastureBeef_LiveweightNTQD[[#Headers],[State]], 0)</f>
        <v>414</v>
      </c>
      <c r="M64" s="31" cm="1">
        <f t="array" ref="M64">Common_InputFunctions.Utility_DisplayArrayInTable(SourceData_PastureBeef.SourceData_PastureBeef_LiveweightNTQLD_Data(),Table_SourceData_PastureBeef_LiveweightNTQD[[#Headers],[State]], 0)</f>
        <v>175</v>
      </c>
      <c r="N64" s="31" cm="1">
        <f t="array" ref="N64">Common_InputFunctions.Utility_DisplayArrayInTable(SourceData_PastureBeef.SourceData_PastureBeef_LiveweightNTQLD_Data(),Table_SourceData_PastureBeef_LiveweightNTQD[[#Headers],[State]], 0)</f>
        <v>243</v>
      </c>
      <c r="O64" s="31" cm="1">
        <f t="array" ref="O64">Common_InputFunctions.Utility_DisplayArrayInTable(SourceData_PastureBeef.SourceData_PastureBeef_LiveweightNTQLD_Data(),Table_SourceData_PastureBeef_LiveweightNTQD[[#Headers],[State]], 0)</f>
        <v>304</v>
      </c>
      <c r="P64" s="31"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1" t="str" cm="1">
        <f t="array" ref="E65">Common_InputFunctions.Utility_DisplayArrayInTable(SourceData_PastureBeef.SourceData_PastureBeef_LiveweightNTQLD_Data(),Table_SourceData_PastureBeef_LiveweightNTQD[[#Headers],[State]], 0)</f>
        <v>Northern</v>
      </c>
      <c r="F65" s="31" t="str" cm="1">
        <f t="array" ref="F65">Common_InputFunctions.Utility_DisplayArrayInTable(SourceData_PastureBeef.SourceData_PastureBeef_LiveweightNTQLD_Data(),Table_SourceData_PastureBeef_LiveweightNTQD[[#Headers],[State]], 0)</f>
        <v>Winter</v>
      </c>
      <c r="G65" s="31" cm="1">
        <f t="array" ref="G65">Common_InputFunctions.Utility_DisplayArrayInTable(SourceData_PastureBeef.SourceData_PastureBeef_LiveweightNTQLD_Data(),Table_SourceData_PastureBeef_LiveweightNTQD[[#Headers],[State]], 0)</f>
        <v>200</v>
      </c>
      <c r="H65" s="31" cm="1">
        <f t="array" ref="H65">Common_InputFunctions.Utility_DisplayArrayInTable(SourceData_PastureBeef.SourceData_PastureBeef_LiveweightNTQLD_Data(),Table_SourceData_PastureBeef_LiveweightNTQD[[#Headers],[State]], 0)</f>
        <v>660</v>
      </c>
      <c r="I65" s="31" cm="1">
        <f t="array" ref="I65">Common_InputFunctions.Utility_DisplayArrayInTable(SourceData_PastureBeef.SourceData_PastureBeef_LiveweightNTQLD_Data(),Table_SourceData_PastureBeef_LiveweightNTQD[[#Headers],[State]], 0)</f>
        <v>202</v>
      </c>
      <c r="J65" s="31" cm="1">
        <f t="array" ref="J65">Common_InputFunctions.Utility_DisplayArrayInTable(SourceData_PastureBeef.SourceData_PastureBeef_LiveweightNTQLD_Data(),Table_SourceData_PastureBeef_LiveweightNTQD[[#Headers],[State]], 0)</f>
        <v>272</v>
      </c>
      <c r="K65" s="31" cm="1">
        <f t="array" ref="K65">Common_InputFunctions.Utility_DisplayArrayInTable(SourceData_PastureBeef.SourceData_PastureBeef_LiveweightNTQLD_Data(),Table_SourceData_PastureBeef_LiveweightNTQD[[#Headers],[State]], 0)</f>
        <v>365</v>
      </c>
      <c r="L65" s="31" cm="1">
        <f t="array" ref="L65">Common_InputFunctions.Utility_DisplayArrayInTable(SourceData_PastureBeef.SourceData_PastureBeef_LiveweightNTQLD_Data(),Table_SourceData_PastureBeef_LiveweightNTQD[[#Headers],[State]], 0)</f>
        <v>390</v>
      </c>
      <c r="M65" s="31" cm="1">
        <f t="array" ref="M65">Common_InputFunctions.Utility_DisplayArrayInTable(SourceData_PastureBeef.SourceData_PastureBeef_LiveweightNTQLD_Data(),Table_SourceData_PastureBeef_LiveweightNTQD[[#Headers],[State]], 0)</f>
        <v>208</v>
      </c>
      <c r="N65" s="31" cm="1">
        <f t="array" ref="N65">Common_InputFunctions.Utility_DisplayArrayInTable(SourceData_PastureBeef.SourceData_PastureBeef_LiveweightNTQLD_Data(),Table_SourceData_PastureBeef_LiveweightNTQD[[#Headers],[State]], 0)</f>
        <v>260</v>
      </c>
      <c r="O65" s="31" cm="1">
        <f t="array" ref="O65">Common_InputFunctions.Utility_DisplayArrayInTable(SourceData_PastureBeef.SourceData_PastureBeef_LiveweightNTQLD_Data(),Table_SourceData_PastureBeef_LiveweightNTQD[[#Headers],[State]], 0)</f>
        <v>337</v>
      </c>
      <c r="P65" s="31"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1" t="str" cm="1">
        <f t="array" ref="E66">Common_InputFunctions.Utility_DisplayArrayInTable(SourceData_PastureBeef.SourceData_PastureBeef_LiveweightNTQLD_Data(),Table_SourceData_PastureBeef_LiveweightNTQD[[#Headers],[State]], 0)</f>
        <v>High</v>
      </c>
      <c r="F66" s="31" t="str" cm="1">
        <f t="array" ref="F66">Common_InputFunctions.Utility_DisplayArrayInTable(SourceData_PastureBeef.SourceData_PastureBeef_LiveweightNTQLD_Data(),Table_SourceData_PastureBeef_LiveweightNTQD[[#Headers],[State]], 0)</f>
        <v>Spring</v>
      </c>
      <c r="G66" s="31" cm="1">
        <f t="array" ref="G66">Common_InputFunctions.Utility_DisplayArrayInTable(SourceData_PastureBeef.SourceData_PastureBeef_LiveweightNTQLD_Data(),Table_SourceData_PastureBeef_LiveweightNTQD[[#Headers],[State]], 0)</f>
        <v>260</v>
      </c>
      <c r="H66" s="31" cm="1">
        <f t="array" ref="H66">Common_InputFunctions.Utility_DisplayArrayInTable(SourceData_PastureBeef.SourceData_PastureBeef_LiveweightNTQLD_Data(),Table_SourceData_PastureBeef_LiveweightNTQD[[#Headers],[State]], 0)</f>
        <v>705</v>
      </c>
      <c r="I66" s="31" cm="1">
        <f t="array" ref="I66">Common_InputFunctions.Utility_DisplayArrayInTable(SourceData_PastureBeef.SourceData_PastureBeef_LiveweightNTQLD_Data(),Table_SourceData_PastureBeef_LiveweightNTQD[[#Headers],[State]], 0)</f>
        <v>215</v>
      </c>
      <c r="J66" s="31" cm="1">
        <f t="array" ref="J66">Common_InputFunctions.Utility_DisplayArrayInTable(SourceData_PastureBeef.SourceData_PastureBeef_LiveweightNTQLD_Data(),Table_SourceData_PastureBeef_LiveweightNTQD[[#Headers],[State]], 0)</f>
        <v>302</v>
      </c>
      <c r="K66" s="31" cm="1">
        <f t="array" ref="K66">Common_InputFunctions.Utility_DisplayArrayInTable(SourceData_PastureBeef.SourceData_PastureBeef_LiveweightNTQLD_Data(),Table_SourceData_PastureBeef_LiveweightNTQD[[#Headers],[State]], 0)</f>
        <v>416</v>
      </c>
      <c r="L66" s="31" cm="1">
        <f t="array" ref="L66">Common_InputFunctions.Utility_DisplayArrayInTable(SourceData_PastureBeef.SourceData_PastureBeef_LiveweightNTQLD_Data(),Table_SourceData_PastureBeef_LiveweightNTQD[[#Headers],[State]], 0)</f>
        <v>519</v>
      </c>
      <c r="M66" s="31" cm="1">
        <f t="array" ref="M66">Common_InputFunctions.Utility_DisplayArrayInTable(SourceData_PastureBeef.SourceData_PastureBeef_LiveweightNTQLD_Data(),Table_SourceData_PastureBeef_LiveweightNTQD[[#Headers],[State]], 0)</f>
        <v>234</v>
      </c>
      <c r="N66" s="31" cm="1">
        <f t="array" ref="N66">Common_InputFunctions.Utility_DisplayArrayInTable(SourceData_PastureBeef.SourceData_PastureBeef_LiveweightNTQLD_Data(),Table_SourceData_PastureBeef_LiveweightNTQD[[#Headers],[State]], 0)</f>
        <v>455</v>
      </c>
      <c r="O66" s="31" cm="1">
        <f t="array" ref="O66">Common_InputFunctions.Utility_DisplayArrayInTable(SourceData_PastureBeef.SourceData_PastureBeef_LiveweightNTQLD_Data(),Table_SourceData_PastureBeef_LiveweightNTQD[[#Headers],[State]], 0)</f>
        <v>551</v>
      </c>
      <c r="P66" s="31"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1" t="str" cm="1">
        <f t="array" ref="E67">Common_InputFunctions.Utility_DisplayArrayInTable(SourceData_PastureBeef.SourceData_PastureBeef_LiveweightNTQLD_Data(),Table_SourceData_PastureBeef_LiveweightNTQD[[#Headers],[State]], 0)</f>
        <v>High</v>
      </c>
      <c r="F67" s="31" t="str" cm="1">
        <f t="array" ref="F67">Common_InputFunctions.Utility_DisplayArrayInTable(SourceData_PastureBeef.SourceData_PastureBeef_LiveweightNTQLD_Data(),Table_SourceData_PastureBeef_LiveweightNTQD[[#Headers],[State]], 0)</f>
        <v>Summer</v>
      </c>
      <c r="G67" s="31" cm="1">
        <f t="array" ref="G67">Common_InputFunctions.Utility_DisplayArrayInTable(SourceData_PastureBeef.SourceData_PastureBeef_LiveweightNTQLD_Data(),Table_SourceData_PastureBeef_LiveweightNTQD[[#Headers],[State]], 0)</f>
        <v>153</v>
      </c>
      <c r="H67" s="31" cm="1">
        <f t="array" ref="H67">Common_InputFunctions.Utility_DisplayArrayInTable(SourceData_PastureBeef.SourceData_PastureBeef_LiveweightNTQLD_Data(),Table_SourceData_PastureBeef_LiveweightNTQD[[#Headers],[State]], 0)</f>
        <v>703</v>
      </c>
      <c r="I67" s="31" cm="1">
        <f t="array" ref="I67">Common_InputFunctions.Utility_DisplayArrayInTable(SourceData_PastureBeef.SourceData_PastureBeef_LiveweightNTQLD_Data(),Table_SourceData_PastureBeef_LiveweightNTQD[[#Headers],[State]], 0)</f>
        <v>118</v>
      </c>
      <c r="J67" s="31" cm="1">
        <f t="array" ref="J67">Common_InputFunctions.Utility_DisplayArrayInTable(SourceData_PastureBeef.SourceData_PastureBeef_LiveweightNTQLD_Data(),Table_SourceData_PastureBeef_LiveweightNTQD[[#Headers],[State]], 0)</f>
        <v>277</v>
      </c>
      <c r="K67" s="31" cm="1">
        <f t="array" ref="K67">Common_InputFunctions.Utility_DisplayArrayInTable(SourceData_PastureBeef.SourceData_PastureBeef_LiveweightNTQLD_Data(),Table_SourceData_PastureBeef_LiveweightNTQD[[#Headers],[State]], 0)</f>
        <v>397</v>
      </c>
      <c r="L67" s="31" cm="1">
        <f t="array" ref="L67">Common_InputFunctions.Utility_DisplayArrayInTable(SourceData_PastureBeef.SourceData_PastureBeef_LiveweightNTQLD_Data(),Table_SourceData_PastureBeef_LiveweightNTQD[[#Headers],[State]], 0)</f>
        <v>483</v>
      </c>
      <c r="M67" s="31" cm="1">
        <f t="array" ref="M67">Common_InputFunctions.Utility_DisplayArrayInTable(SourceData_PastureBeef.SourceData_PastureBeef_LiveweightNTQLD_Data(),Table_SourceData_PastureBeef_LiveweightNTQD[[#Headers],[State]], 0)</f>
        <v>111</v>
      </c>
      <c r="N67" s="31" cm="1">
        <f t="array" ref="N67">Common_InputFunctions.Utility_DisplayArrayInTable(SourceData_PastureBeef.SourceData_PastureBeef_LiveweightNTQLD_Data(),Table_SourceData_PastureBeef_LiveweightNTQD[[#Headers],[State]], 0)</f>
        <v>304</v>
      </c>
      <c r="O67" s="31" cm="1">
        <f t="array" ref="O67">Common_InputFunctions.Utility_DisplayArrayInTable(SourceData_PastureBeef.SourceData_PastureBeef_LiveweightNTQLD_Data(),Table_SourceData_PastureBeef_LiveweightNTQD[[#Headers],[State]], 0)</f>
        <v>521</v>
      </c>
      <c r="P67" s="31"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1" t="str" cm="1">
        <f t="array" ref="E68">Common_InputFunctions.Utility_DisplayArrayInTable(SourceData_PastureBeef.SourceData_PastureBeef_LiveweightNTQLD_Data(),Table_SourceData_PastureBeef_LiveweightNTQD[[#Headers],[State]], 0)</f>
        <v>High</v>
      </c>
      <c r="F68" s="31" t="str" cm="1">
        <f t="array" ref="F68">Common_InputFunctions.Utility_DisplayArrayInTable(SourceData_PastureBeef.SourceData_PastureBeef_LiveweightNTQLD_Data(),Table_SourceData_PastureBeef_LiveweightNTQD[[#Headers],[State]], 0)</f>
        <v>Autumn</v>
      </c>
      <c r="G68" s="31" cm="1">
        <f t="array" ref="G68">Common_InputFunctions.Utility_DisplayArrayInTable(SourceData_PastureBeef.SourceData_PastureBeef_LiveweightNTQLD_Data(),Table_SourceData_PastureBeef_LiveweightNTQD[[#Headers],[State]], 0)</f>
        <v>168</v>
      </c>
      <c r="H68" s="31" cm="1">
        <f t="array" ref="H68">Common_InputFunctions.Utility_DisplayArrayInTable(SourceData_PastureBeef.SourceData_PastureBeef_LiveweightNTQLD_Data(),Table_SourceData_PastureBeef_LiveweightNTQD[[#Headers],[State]], 0)</f>
        <v>718</v>
      </c>
      <c r="I68" s="31" cm="1">
        <f t="array" ref="I68">Common_InputFunctions.Utility_DisplayArrayInTable(SourceData_PastureBeef.SourceData_PastureBeef_LiveweightNTQLD_Data(),Table_SourceData_PastureBeef_LiveweightNTQD[[#Headers],[State]], 0)</f>
        <v>191</v>
      </c>
      <c r="J68" s="31" cm="1">
        <f t="array" ref="J68">Common_InputFunctions.Utility_DisplayArrayInTable(SourceData_PastureBeef.SourceData_PastureBeef_LiveweightNTQLD_Data(),Table_SourceData_PastureBeef_LiveweightNTQD[[#Headers],[State]], 0)</f>
        <v>319</v>
      </c>
      <c r="K68" s="31" cm="1">
        <f t="array" ref="K68">Common_InputFunctions.Utility_DisplayArrayInTable(SourceData_PastureBeef.SourceData_PastureBeef_LiveweightNTQLD_Data(),Table_SourceData_PastureBeef_LiveweightNTQD[[#Headers],[State]], 0)</f>
        <v>440</v>
      </c>
      <c r="L68" s="31" cm="1">
        <f t="array" ref="L68">Common_InputFunctions.Utility_DisplayArrayInTable(SourceData_PastureBeef.SourceData_PastureBeef_LiveweightNTQLD_Data(),Table_SourceData_PastureBeef_LiveweightNTQD[[#Headers],[State]], 0)</f>
        <v>506</v>
      </c>
      <c r="M68" s="31" cm="1">
        <f t="array" ref="M68">Common_InputFunctions.Utility_DisplayArrayInTable(SourceData_PastureBeef.SourceData_PastureBeef_LiveweightNTQLD_Data(),Table_SourceData_PastureBeef_LiveweightNTQD[[#Headers],[State]], 0)</f>
        <v>188</v>
      </c>
      <c r="N68" s="31" cm="1">
        <f t="array" ref="N68">Common_InputFunctions.Utility_DisplayArrayInTable(SourceData_PastureBeef.SourceData_PastureBeef_LiveweightNTQLD_Data(),Table_SourceData_PastureBeef_LiveweightNTQD[[#Headers],[State]], 0)</f>
        <v>326</v>
      </c>
      <c r="O68" s="31" cm="1">
        <f t="array" ref="O68">Common_InputFunctions.Utility_DisplayArrayInTable(SourceData_PastureBeef.SourceData_PastureBeef_LiveweightNTQLD_Data(),Table_SourceData_PastureBeef_LiveweightNTQD[[#Headers],[State]], 0)</f>
        <v>520</v>
      </c>
      <c r="P68" s="31"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1" t="str" cm="1">
        <f t="array" ref="E69">Common_InputFunctions.Utility_DisplayArrayInTable(SourceData_PastureBeef.SourceData_PastureBeef_LiveweightNTQLD_Data(),Table_SourceData_PastureBeef_LiveweightNTQD[[#Headers],[State]], 0)</f>
        <v>High</v>
      </c>
      <c r="F69" s="31" t="str" cm="1">
        <f t="array" ref="F69">Common_InputFunctions.Utility_DisplayArrayInTable(SourceData_PastureBeef.SourceData_PastureBeef_LiveweightNTQLD_Data(),Table_SourceData_PastureBeef_LiveweightNTQD[[#Headers],[State]], 0)</f>
        <v>Winter</v>
      </c>
      <c r="G69" s="31" cm="1">
        <f t="array" ref="G69">Common_InputFunctions.Utility_DisplayArrayInTable(SourceData_PastureBeef.SourceData_PastureBeef_LiveweightNTQLD_Data(),Table_SourceData_PastureBeef_LiveweightNTQD[[#Headers],[State]], 0)</f>
        <v>235</v>
      </c>
      <c r="H69" s="31" cm="1">
        <f t="array" ref="H69">Common_InputFunctions.Utility_DisplayArrayInTable(SourceData_PastureBeef.SourceData_PastureBeef_LiveweightNTQLD_Data(),Table_SourceData_PastureBeef_LiveweightNTQD[[#Headers],[State]], 0)</f>
        <v>722</v>
      </c>
      <c r="I69" s="31" cm="1">
        <f t="array" ref="I69">Common_InputFunctions.Utility_DisplayArrayInTable(SourceData_PastureBeef.SourceData_PastureBeef_LiveweightNTQLD_Data(),Table_SourceData_PastureBeef_LiveweightNTQD[[#Headers],[State]], 0)</f>
        <v>207</v>
      </c>
      <c r="J69" s="31" cm="1">
        <f t="array" ref="J69">Common_InputFunctions.Utility_DisplayArrayInTable(SourceData_PastureBeef.SourceData_PastureBeef_LiveweightNTQLD_Data(),Table_SourceData_PastureBeef_LiveweightNTQD[[#Headers],[State]], 0)</f>
        <v>352</v>
      </c>
      <c r="K69" s="31" cm="1">
        <f t="array" ref="K69">Common_InputFunctions.Utility_DisplayArrayInTable(SourceData_PastureBeef.SourceData_PastureBeef_LiveweightNTQLD_Data(),Table_SourceData_PastureBeef_LiveweightNTQD[[#Headers],[State]], 0)</f>
        <v>470</v>
      </c>
      <c r="L69" s="31" cm="1">
        <f t="array" ref="L69">Common_InputFunctions.Utility_DisplayArrayInTable(SourceData_PastureBeef.SourceData_PastureBeef_LiveweightNTQLD_Data(),Table_SourceData_PastureBeef_LiveweightNTQD[[#Headers],[State]], 0)</f>
        <v>514</v>
      </c>
      <c r="M69" s="31" cm="1">
        <f t="array" ref="M69">Common_InputFunctions.Utility_DisplayArrayInTable(SourceData_PastureBeef.SourceData_PastureBeef_LiveweightNTQLD_Data(),Table_SourceData_PastureBeef_LiveweightNTQD[[#Headers],[State]], 0)</f>
        <v>209</v>
      </c>
      <c r="N69" s="31" cm="1">
        <f t="array" ref="N69">Common_InputFunctions.Utility_DisplayArrayInTable(SourceData_PastureBeef.SourceData_PastureBeef_LiveweightNTQLD_Data(),Table_SourceData_PastureBeef_LiveweightNTQD[[#Headers],[State]], 0)</f>
        <v>421</v>
      </c>
      <c r="O69" s="31" cm="1">
        <f t="array" ref="O69">Common_InputFunctions.Utility_DisplayArrayInTable(SourceData_PastureBeef.SourceData_PastureBeef_LiveweightNTQLD_Data(),Table_SourceData_PastureBeef_LiveweightNTQD[[#Headers],[State]], 0)</f>
        <v>512</v>
      </c>
      <c r="P69" s="31"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1" t="str" cm="1">
        <f t="array" ref="E70">Common_InputFunctions.Utility_DisplayArrayInTable(SourceData_PastureBeef.SourceData_PastureBeef_LiveweightNTQLD_Data(),Table_SourceData_PastureBeef_LiveweightNTQD[[#Headers],[State]], 0)</f>
        <v>Moderate/High</v>
      </c>
      <c r="F70" s="31" t="str" cm="1">
        <f t="array" ref="F70">Common_InputFunctions.Utility_DisplayArrayInTable(SourceData_PastureBeef.SourceData_PastureBeef_LiveweightNTQLD_Data(),Table_SourceData_PastureBeef_LiveweightNTQD[[#Headers],[State]], 0)</f>
        <v>Spring</v>
      </c>
      <c r="G70" s="31" cm="1">
        <f t="array" ref="G70">Common_InputFunctions.Utility_DisplayArrayInTable(SourceData_PastureBeef.SourceData_PastureBeef_LiveweightNTQLD_Data(),Table_SourceData_PastureBeef_LiveweightNTQD[[#Headers],[State]], 0)</f>
        <v>230</v>
      </c>
      <c r="H70" s="31" cm="1">
        <f t="array" ref="H70">Common_InputFunctions.Utility_DisplayArrayInTable(SourceData_PastureBeef.SourceData_PastureBeef_LiveweightNTQLD_Data(),Table_SourceData_PastureBeef_LiveweightNTQD[[#Headers],[State]], 0)</f>
        <v>674</v>
      </c>
      <c r="I70" s="31" cm="1">
        <f t="array" ref="I70">Common_InputFunctions.Utility_DisplayArrayInTable(SourceData_PastureBeef.SourceData_PastureBeef_LiveweightNTQLD_Data(),Table_SourceData_PastureBeef_LiveweightNTQD[[#Headers],[State]], 0)</f>
        <v>217</v>
      </c>
      <c r="J70" s="31" cm="1">
        <f t="array" ref="J70">Common_InputFunctions.Utility_DisplayArrayInTable(SourceData_PastureBeef.SourceData_PastureBeef_LiveweightNTQLD_Data(),Table_SourceData_PastureBeef_LiveweightNTQD[[#Headers],[State]], 0)</f>
        <v>344</v>
      </c>
      <c r="K70" s="31" cm="1">
        <f t="array" ref="K70">Common_InputFunctions.Utility_DisplayArrayInTable(SourceData_PastureBeef.SourceData_PastureBeef_LiveweightNTQLD_Data(),Table_SourceData_PastureBeef_LiveweightNTQD[[#Headers],[State]], 0)</f>
        <v>357</v>
      </c>
      <c r="L70" s="31" cm="1">
        <f t="array" ref="L70">Common_InputFunctions.Utility_DisplayArrayInTable(SourceData_PastureBeef.SourceData_PastureBeef_LiveweightNTQLD_Data(),Table_SourceData_PastureBeef_LiveweightNTQD[[#Headers],[State]], 0)</f>
        <v>467</v>
      </c>
      <c r="M70" s="31" cm="1">
        <f t="array" ref="M70">Common_InputFunctions.Utility_DisplayArrayInTable(SourceData_PastureBeef.SourceData_PastureBeef_LiveweightNTQLD_Data(),Table_SourceData_PastureBeef_LiveweightNTQD[[#Headers],[State]], 0)</f>
        <v>242</v>
      </c>
      <c r="N70" s="31" cm="1">
        <f t="array" ref="N70">Common_InputFunctions.Utility_DisplayArrayInTable(SourceData_PastureBeef.SourceData_PastureBeef_LiveweightNTQLD_Data(),Table_SourceData_PastureBeef_LiveweightNTQD[[#Headers],[State]], 0)</f>
        <v>370</v>
      </c>
      <c r="O70" s="31" cm="1">
        <f t="array" ref="O70">Common_InputFunctions.Utility_DisplayArrayInTable(SourceData_PastureBeef.SourceData_PastureBeef_LiveweightNTQLD_Data(),Table_SourceData_PastureBeef_LiveweightNTQD[[#Headers],[State]], 0)</f>
        <v>550</v>
      </c>
      <c r="P70" s="31"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1" t="str" cm="1">
        <f t="array" ref="E71">Common_InputFunctions.Utility_DisplayArrayInTable(SourceData_PastureBeef.SourceData_PastureBeef_LiveweightNTQLD_Data(),Table_SourceData_PastureBeef_LiveweightNTQD[[#Headers],[State]], 0)</f>
        <v>Moderate/High</v>
      </c>
      <c r="F71" s="31" t="str" cm="1">
        <f t="array" ref="F71">Common_InputFunctions.Utility_DisplayArrayInTable(SourceData_PastureBeef.SourceData_PastureBeef_LiveweightNTQLD_Data(),Table_SourceData_PastureBeef_LiveweightNTQD[[#Headers],[State]], 0)</f>
        <v>Summer</v>
      </c>
      <c r="G71" s="31" cm="1">
        <f t="array" ref="G71">Common_InputFunctions.Utility_DisplayArrayInTable(SourceData_PastureBeef.SourceData_PastureBeef_LiveweightNTQLD_Data(),Table_SourceData_PastureBeef_LiveweightNTQD[[#Headers],[State]], 0)</f>
        <v>113</v>
      </c>
      <c r="H71" s="31" cm="1">
        <f t="array" ref="H71">Common_InputFunctions.Utility_DisplayArrayInTable(SourceData_PastureBeef.SourceData_PastureBeef_LiveweightNTQLD_Data(),Table_SourceData_PastureBeef_LiveweightNTQD[[#Headers],[State]], 0)</f>
        <v>669</v>
      </c>
      <c r="I71" s="31" cm="1">
        <f t="array" ref="I71">Common_InputFunctions.Utility_DisplayArrayInTable(SourceData_PastureBeef.SourceData_PastureBeef_LiveweightNTQLD_Data(),Table_SourceData_PastureBeef_LiveweightNTQD[[#Headers],[State]], 0)</f>
        <v>113</v>
      </c>
      <c r="J71" s="31" cm="1">
        <f t="array" ref="J71">Common_InputFunctions.Utility_DisplayArrayInTable(SourceData_PastureBeef.SourceData_PastureBeef_LiveweightNTQLD_Data(),Table_SourceData_PastureBeef_LiveweightNTQD[[#Headers],[State]], 0)</f>
        <v>283</v>
      </c>
      <c r="K71" s="31" cm="1">
        <f t="array" ref="K71">Common_InputFunctions.Utility_DisplayArrayInTable(SourceData_PastureBeef.SourceData_PastureBeef_LiveweightNTQLD_Data(),Table_SourceData_PastureBeef_LiveweightNTQD[[#Headers],[State]], 0)</f>
        <v>361</v>
      </c>
      <c r="L71" s="31" cm="1">
        <f t="array" ref="L71">Common_InputFunctions.Utility_DisplayArrayInTable(SourceData_PastureBeef.SourceData_PastureBeef_LiveweightNTQLD_Data(),Table_SourceData_PastureBeef_LiveweightNTQD[[#Headers],[State]], 0)</f>
        <v>477</v>
      </c>
      <c r="M71" s="31" cm="1">
        <f t="array" ref="M71">Common_InputFunctions.Utility_DisplayArrayInTable(SourceData_PastureBeef.SourceData_PastureBeef_LiveweightNTQLD_Data(),Table_SourceData_PastureBeef_LiveweightNTQD[[#Headers],[State]], 0)</f>
        <v>120</v>
      </c>
      <c r="N71" s="31" cm="1">
        <f t="array" ref="N71">Common_InputFunctions.Utility_DisplayArrayInTable(SourceData_PastureBeef.SourceData_PastureBeef_LiveweightNTQLD_Data(),Table_SourceData_PastureBeef_LiveweightNTQD[[#Headers],[State]], 0)</f>
        <v>273</v>
      </c>
      <c r="O71" s="31" cm="1">
        <f t="array" ref="O71">Common_InputFunctions.Utility_DisplayArrayInTable(SourceData_PastureBeef.SourceData_PastureBeef_LiveweightNTQLD_Data(),Table_SourceData_PastureBeef_LiveweightNTQD[[#Headers],[State]], 0)</f>
        <v>545</v>
      </c>
      <c r="P71" s="31"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1" t="str" cm="1">
        <f t="array" ref="E72">Common_InputFunctions.Utility_DisplayArrayInTable(SourceData_PastureBeef.SourceData_PastureBeef_LiveweightNTQLD_Data(),Table_SourceData_PastureBeef_LiveweightNTQD[[#Headers],[State]], 0)</f>
        <v>Moderate/High</v>
      </c>
      <c r="F72" s="31" t="str" cm="1">
        <f t="array" ref="F72">Common_InputFunctions.Utility_DisplayArrayInTable(SourceData_PastureBeef.SourceData_PastureBeef_LiveweightNTQLD_Data(),Table_SourceData_PastureBeef_LiveweightNTQD[[#Headers],[State]], 0)</f>
        <v>Autumn</v>
      </c>
      <c r="G72" s="31" cm="1">
        <f t="array" ref="G72">Common_InputFunctions.Utility_DisplayArrayInTable(SourceData_PastureBeef.SourceData_PastureBeef_LiveweightNTQLD_Data(),Table_SourceData_PastureBeef_LiveweightNTQD[[#Headers],[State]], 0)</f>
        <v>172</v>
      </c>
      <c r="H72" s="31" cm="1">
        <f t="array" ref="H72">Common_InputFunctions.Utility_DisplayArrayInTable(SourceData_PastureBeef.SourceData_PastureBeef_LiveweightNTQLD_Data(),Table_SourceData_PastureBeef_LiveweightNTQD[[#Headers],[State]], 0)</f>
        <v>685</v>
      </c>
      <c r="I72" s="31" cm="1">
        <f t="array" ref="I72">Common_InputFunctions.Utility_DisplayArrayInTable(SourceData_PastureBeef.SourceData_PastureBeef_LiveweightNTQLD_Data(),Table_SourceData_PastureBeef_LiveweightNTQD[[#Headers],[State]], 0)</f>
        <v>172</v>
      </c>
      <c r="J72" s="31" cm="1">
        <f t="array" ref="J72">Common_InputFunctions.Utility_DisplayArrayInTable(SourceData_PastureBeef.SourceData_PastureBeef_LiveweightNTQLD_Data(),Table_SourceData_PastureBeef_LiveweightNTQD[[#Headers],[State]], 0)</f>
        <v>309</v>
      </c>
      <c r="K72" s="31" cm="1">
        <f t="array" ref="K72">Common_InputFunctions.Utility_DisplayArrayInTable(SourceData_PastureBeef.SourceData_PastureBeef_LiveweightNTQLD_Data(),Table_SourceData_PastureBeef_LiveweightNTQD[[#Headers],[State]], 0)</f>
        <v>376</v>
      </c>
      <c r="L72" s="31" cm="1">
        <f t="array" ref="L72">Common_InputFunctions.Utility_DisplayArrayInTable(SourceData_PastureBeef.SourceData_PastureBeef_LiveweightNTQLD_Data(),Table_SourceData_PastureBeef_LiveweightNTQD[[#Headers],[State]], 0)</f>
        <v>471</v>
      </c>
      <c r="M72" s="31" cm="1">
        <f t="array" ref="M72">Common_InputFunctions.Utility_DisplayArrayInTable(SourceData_PastureBeef.SourceData_PastureBeef_LiveweightNTQLD_Data(),Table_SourceData_PastureBeef_LiveweightNTQD[[#Headers],[State]], 0)</f>
        <v>238</v>
      </c>
      <c r="N72" s="31" cm="1">
        <f t="array" ref="N72">Common_InputFunctions.Utility_DisplayArrayInTable(SourceData_PastureBeef.SourceData_PastureBeef_LiveweightNTQLD_Data(),Table_SourceData_PastureBeef_LiveweightNTQD[[#Headers],[State]], 0)</f>
        <v>329</v>
      </c>
      <c r="O72" s="31" cm="1">
        <f t="array" ref="O72">Common_InputFunctions.Utility_DisplayArrayInTable(SourceData_PastureBeef.SourceData_PastureBeef_LiveweightNTQLD_Data(),Table_SourceData_PastureBeef_LiveweightNTQD[[#Headers],[State]], 0)</f>
        <v>573</v>
      </c>
      <c r="P72" s="31"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1" t="str" cm="1">
        <f t="array" ref="E73">Common_InputFunctions.Utility_DisplayArrayInTable(SourceData_PastureBeef.SourceData_PastureBeef_LiveweightNTQLD_Data(),Table_SourceData_PastureBeef_LiveweightNTQD[[#Headers],[State]], 0)</f>
        <v>Moderate/High</v>
      </c>
      <c r="F73" s="31" t="str" cm="1">
        <f t="array" ref="F73">Common_InputFunctions.Utility_DisplayArrayInTable(SourceData_PastureBeef.SourceData_PastureBeef_LiveweightNTQLD_Data(),Table_SourceData_PastureBeef_LiveweightNTQD[[#Headers],[State]], 0)</f>
        <v>Winter</v>
      </c>
      <c r="G73" s="31" cm="1">
        <f t="array" ref="G73">Common_InputFunctions.Utility_DisplayArrayInTable(SourceData_PastureBeef.SourceData_PastureBeef_LiveweightNTQLD_Data(),Table_SourceData_PastureBeef_LiveweightNTQD[[#Headers],[State]], 0)</f>
        <v>241</v>
      </c>
      <c r="H73" s="31" cm="1">
        <f t="array" ref="H73">Common_InputFunctions.Utility_DisplayArrayInTable(SourceData_PastureBeef.SourceData_PastureBeef_LiveweightNTQLD_Data(),Table_SourceData_PastureBeef_LiveweightNTQD[[#Headers],[State]], 0)</f>
        <v>692</v>
      </c>
      <c r="I73" s="31" cm="1">
        <f t="array" ref="I73">Common_InputFunctions.Utility_DisplayArrayInTable(SourceData_PastureBeef.SourceData_PastureBeef_LiveweightNTQLD_Data(),Table_SourceData_PastureBeef_LiveweightNTQD[[#Headers],[State]], 0)</f>
        <v>208</v>
      </c>
      <c r="J73" s="31" cm="1">
        <f t="array" ref="J73">Common_InputFunctions.Utility_DisplayArrayInTable(SourceData_PastureBeef.SourceData_PastureBeef_LiveweightNTQLD_Data(),Table_SourceData_PastureBeef_LiveweightNTQD[[#Headers],[State]], 0)</f>
        <v>344</v>
      </c>
      <c r="K73" s="31" cm="1">
        <f t="array" ref="K73">Common_InputFunctions.Utility_DisplayArrayInTable(SourceData_PastureBeef.SourceData_PastureBeef_LiveweightNTQLD_Data(),Table_SourceData_PastureBeef_LiveweightNTQD[[#Headers],[State]], 0)</f>
        <v>364</v>
      </c>
      <c r="L73" s="31" cm="1">
        <f t="array" ref="L73">Common_InputFunctions.Utility_DisplayArrayInTable(SourceData_PastureBeef.SourceData_PastureBeef_LiveweightNTQLD_Data(),Table_SourceData_PastureBeef_LiveweightNTQD[[#Headers],[State]], 0)</f>
        <v>484</v>
      </c>
      <c r="M73" s="31" cm="1">
        <f t="array" ref="M73">Common_InputFunctions.Utility_DisplayArrayInTable(SourceData_PastureBeef.SourceData_PastureBeef_LiveweightNTQLD_Data(),Table_SourceData_PastureBeef_LiveweightNTQD[[#Headers],[State]], 0)</f>
        <v>260</v>
      </c>
      <c r="N73" s="31" cm="1">
        <f t="array" ref="N73">Common_InputFunctions.Utility_DisplayArrayInTable(SourceData_PastureBeef.SourceData_PastureBeef_LiveweightNTQLD_Data(),Table_SourceData_PastureBeef_LiveweightNTQD[[#Headers],[State]], 0)</f>
        <v>350</v>
      </c>
      <c r="O73" s="31" cm="1">
        <f t="array" ref="O73">Common_InputFunctions.Utility_DisplayArrayInTable(SourceData_PastureBeef.SourceData_PastureBeef_LiveweightNTQLD_Data(),Table_SourceData_PastureBeef_LiveweightNTQD[[#Headers],[State]], 0)</f>
        <v>567</v>
      </c>
      <c r="P73" s="31"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1" t="str" cm="1">
        <f t="array" ref="E74">Common_InputFunctions.Utility_DisplayArrayInTable(SourceData_PastureBeef.SourceData_PastureBeef_LiveweightNTQLD_Data(),Table_SourceData_PastureBeef_LiveweightNTQD[[#Headers],[State]], 0)</f>
        <v>Moderate/Low</v>
      </c>
      <c r="F74" s="31" t="str" cm="1">
        <f t="array" ref="F74">Common_InputFunctions.Utility_DisplayArrayInTable(SourceData_PastureBeef.SourceData_PastureBeef_LiveweightNTQLD_Data(),Table_SourceData_PastureBeef_LiveweightNTQD[[#Headers],[State]], 0)</f>
        <v>Spring</v>
      </c>
      <c r="G74" s="31" cm="1">
        <f t="array" ref="G74">Common_InputFunctions.Utility_DisplayArrayInTable(SourceData_PastureBeef.SourceData_PastureBeef_LiveweightNTQLD_Data(),Table_SourceData_PastureBeef_LiveweightNTQD[[#Headers],[State]], 0)</f>
        <v>236</v>
      </c>
      <c r="H74" s="31" cm="1">
        <f t="array" ref="H74">Common_InputFunctions.Utility_DisplayArrayInTable(SourceData_PastureBeef.SourceData_PastureBeef_LiveweightNTQLD_Data(),Table_SourceData_PastureBeef_LiveweightNTQD[[#Headers],[State]], 0)</f>
        <v>674</v>
      </c>
      <c r="I74" s="31" cm="1">
        <f t="array" ref="I74">Common_InputFunctions.Utility_DisplayArrayInTable(SourceData_PastureBeef.SourceData_PastureBeef_LiveweightNTQLD_Data(),Table_SourceData_PastureBeef_LiveweightNTQD[[#Headers],[State]], 0)</f>
        <v>178</v>
      </c>
      <c r="J74" s="31" cm="1">
        <f t="array" ref="J74">Common_InputFunctions.Utility_DisplayArrayInTable(SourceData_PastureBeef.SourceData_PastureBeef_LiveweightNTQLD_Data(),Table_SourceData_PastureBeef_LiveweightNTQD[[#Headers],[State]], 0)</f>
        <v>310</v>
      </c>
      <c r="K74" s="31" cm="1">
        <f t="array" ref="K74">Common_InputFunctions.Utility_DisplayArrayInTable(SourceData_PastureBeef.SourceData_PastureBeef_LiveweightNTQLD_Data(),Table_SourceData_PastureBeef_LiveweightNTQD[[#Headers],[State]], 0)</f>
        <v>428</v>
      </c>
      <c r="L74" s="31" cm="1">
        <f t="array" ref="L74">Common_InputFunctions.Utility_DisplayArrayInTable(SourceData_PastureBeef.SourceData_PastureBeef_LiveweightNTQLD_Data(),Table_SourceData_PastureBeef_LiveweightNTQD[[#Headers],[State]], 0)</f>
        <v>466</v>
      </c>
      <c r="M74" s="31" cm="1">
        <f t="array" ref="M74">Common_InputFunctions.Utility_DisplayArrayInTable(SourceData_PastureBeef.SourceData_PastureBeef_LiveweightNTQLD_Data(),Table_SourceData_PastureBeef_LiveweightNTQD[[#Headers],[State]], 0)</f>
        <v>193</v>
      </c>
      <c r="N74" s="31" cm="1">
        <f t="array" ref="N74">Common_InputFunctions.Utility_DisplayArrayInTable(SourceData_PastureBeef.SourceData_PastureBeef_LiveweightNTQLD_Data(),Table_SourceData_PastureBeef_LiveweightNTQD[[#Headers],[State]], 0)</f>
        <v>370</v>
      </c>
      <c r="O74" s="31" cm="1">
        <f t="array" ref="O74">Common_InputFunctions.Utility_DisplayArrayInTable(SourceData_PastureBeef.SourceData_PastureBeef_LiveweightNTQLD_Data(),Table_SourceData_PastureBeef_LiveweightNTQD[[#Headers],[State]], 0)</f>
        <v>519</v>
      </c>
      <c r="P74" s="31"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1" t="str" cm="1">
        <f t="array" ref="E75">Common_InputFunctions.Utility_DisplayArrayInTable(SourceData_PastureBeef.SourceData_PastureBeef_LiveweightNTQLD_Data(),Table_SourceData_PastureBeef_LiveweightNTQD[[#Headers],[State]], 0)</f>
        <v>Moderate/Low</v>
      </c>
      <c r="F75" s="31" t="str" cm="1">
        <f t="array" ref="F75">Common_InputFunctions.Utility_DisplayArrayInTable(SourceData_PastureBeef.SourceData_PastureBeef_LiveweightNTQLD_Data(),Table_SourceData_PastureBeef_LiveweightNTQD[[#Headers],[State]], 0)</f>
        <v>Summer</v>
      </c>
      <c r="G75" s="31" cm="1">
        <f t="array" ref="G75">Common_InputFunctions.Utility_DisplayArrayInTable(SourceData_PastureBeef.SourceData_PastureBeef_LiveweightNTQLD_Data(),Table_SourceData_PastureBeef_LiveweightNTQD[[#Headers],[State]], 0)</f>
        <v>120</v>
      </c>
      <c r="H75" s="31" cm="1">
        <f t="array" ref="H75">Common_InputFunctions.Utility_DisplayArrayInTable(SourceData_PastureBeef.SourceData_PastureBeef_LiveweightNTQLD_Data(),Table_SourceData_PastureBeef_LiveweightNTQD[[#Headers],[State]], 0)</f>
        <v>669</v>
      </c>
      <c r="I75" s="31" cm="1">
        <f t="array" ref="I75">Common_InputFunctions.Utility_DisplayArrayInTable(SourceData_PastureBeef.SourceData_PastureBeef_LiveweightNTQLD_Data(),Table_SourceData_PastureBeef_LiveweightNTQD[[#Headers],[State]], 0)</f>
        <v>112</v>
      </c>
      <c r="J75" s="31" cm="1">
        <f t="array" ref="J75">Common_InputFunctions.Utility_DisplayArrayInTable(SourceData_PastureBeef.SourceData_PastureBeef_LiveweightNTQLD_Data(),Table_SourceData_PastureBeef_LiveweightNTQD[[#Headers],[State]], 0)</f>
        <v>250</v>
      </c>
      <c r="K75" s="31" cm="1">
        <f t="array" ref="K75">Common_InputFunctions.Utility_DisplayArrayInTable(SourceData_PastureBeef.SourceData_PastureBeef_LiveweightNTQLD_Data(),Table_SourceData_PastureBeef_LiveweightNTQD[[#Headers],[State]], 0)</f>
        <v>390</v>
      </c>
      <c r="L75" s="31" cm="1">
        <f t="array" ref="L75">Common_InputFunctions.Utility_DisplayArrayInTable(SourceData_PastureBeef.SourceData_PastureBeef_LiveweightNTQLD_Data(),Table_SourceData_PastureBeef_LiveweightNTQD[[#Headers],[State]], 0)</f>
        <v>448</v>
      </c>
      <c r="M75" s="31" cm="1">
        <f t="array" ref="M75">Common_InputFunctions.Utility_DisplayArrayInTable(SourceData_PastureBeef.SourceData_PastureBeef_LiveweightNTQLD_Data(),Table_SourceData_PastureBeef_LiveweightNTQD[[#Headers],[State]], 0)</f>
        <v>115</v>
      </c>
      <c r="N75" s="31" cm="1">
        <f t="array" ref="N75">Common_InputFunctions.Utility_DisplayArrayInTable(SourceData_PastureBeef.SourceData_PastureBeef_LiveweightNTQLD_Data(),Table_SourceData_PastureBeef_LiveweightNTQD[[#Headers],[State]], 0)</f>
        <v>273</v>
      </c>
      <c r="O75" s="31" cm="1">
        <f t="array" ref="O75">Common_InputFunctions.Utility_DisplayArrayInTable(SourceData_PastureBeef.SourceData_PastureBeef_LiveweightNTQLD_Data(),Table_SourceData_PastureBeef_LiveweightNTQD[[#Headers],[State]], 0)</f>
        <v>433</v>
      </c>
      <c r="P75" s="31"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1" t="str" cm="1">
        <f t="array" ref="E76">Common_InputFunctions.Utility_DisplayArrayInTable(SourceData_PastureBeef.SourceData_PastureBeef_LiveweightNTQLD_Data(),Table_SourceData_PastureBeef_LiveweightNTQD[[#Headers],[State]], 0)</f>
        <v>Moderate/Low</v>
      </c>
      <c r="F76" s="31" t="str" cm="1">
        <f t="array" ref="F76">Common_InputFunctions.Utility_DisplayArrayInTable(SourceData_PastureBeef.SourceData_PastureBeef_LiveweightNTQLD_Data(),Table_SourceData_PastureBeef_LiveweightNTQD[[#Headers],[State]], 0)</f>
        <v>Autumn</v>
      </c>
      <c r="G76" s="31" cm="1">
        <f t="array" ref="G76">Common_InputFunctions.Utility_DisplayArrayInTable(SourceData_PastureBeef.SourceData_PastureBeef_LiveweightNTQLD_Data(),Table_SourceData_PastureBeef_LiveweightNTQD[[#Headers],[State]], 0)</f>
        <v>125</v>
      </c>
      <c r="H76" s="31" cm="1">
        <f t="array" ref="H76">Common_InputFunctions.Utility_DisplayArrayInTable(SourceData_PastureBeef.SourceData_PastureBeef_LiveweightNTQLD_Data(),Table_SourceData_PastureBeef_LiveweightNTQD[[#Headers],[State]], 0)</f>
        <v>685</v>
      </c>
      <c r="I76" s="31" cm="1">
        <f t="array" ref="I76">Common_InputFunctions.Utility_DisplayArrayInTable(SourceData_PastureBeef.SourceData_PastureBeef_LiveweightNTQLD_Data(),Table_SourceData_PastureBeef_LiveweightNTQD[[#Headers],[State]], 0)</f>
        <v>140</v>
      </c>
      <c r="J76" s="31" cm="1">
        <f t="array" ref="J76">Common_InputFunctions.Utility_DisplayArrayInTable(SourceData_PastureBeef.SourceData_PastureBeef_LiveweightNTQLD_Data(),Table_SourceData_PastureBeef_LiveweightNTQD[[#Headers],[State]], 0)</f>
        <v>277</v>
      </c>
      <c r="K76" s="31" cm="1">
        <f t="array" ref="K76">Common_InputFunctions.Utility_DisplayArrayInTable(SourceData_PastureBeef.SourceData_PastureBeef_LiveweightNTQLD_Data(),Table_SourceData_PastureBeef_LiveweightNTQD[[#Headers],[State]], 0)</f>
        <v>407</v>
      </c>
      <c r="L76" s="31" cm="1">
        <f t="array" ref="L76">Common_InputFunctions.Utility_DisplayArrayInTable(SourceData_PastureBeef.SourceData_PastureBeef_LiveweightNTQLD_Data(),Table_SourceData_PastureBeef_LiveweightNTQD[[#Headers],[State]], 0)</f>
        <v>455</v>
      </c>
      <c r="M76" s="31" cm="1">
        <f t="array" ref="M76">Common_InputFunctions.Utility_DisplayArrayInTable(SourceData_PastureBeef.SourceData_PastureBeef_LiveweightNTQLD_Data(),Table_SourceData_PastureBeef_LiveweightNTQD[[#Headers],[State]], 0)</f>
        <v>141</v>
      </c>
      <c r="N76" s="31" cm="1">
        <f t="array" ref="N76">Common_InputFunctions.Utility_DisplayArrayInTable(SourceData_PastureBeef.SourceData_PastureBeef_LiveweightNTQLD_Data(),Table_SourceData_PastureBeef_LiveweightNTQD[[#Headers],[State]], 0)</f>
        <v>296</v>
      </c>
      <c r="O76" s="31" cm="1">
        <f t="array" ref="O76">Common_InputFunctions.Utility_DisplayArrayInTable(SourceData_PastureBeef.SourceData_PastureBeef_LiveweightNTQLD_Data(),Table_SourceData_PastureBeef_LiveweightNTQD[[#Headers],[State]], 0)</f>
        <v>445</v>
      </c>
      <c r="P76" s="31"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1" t="str" cm="1">
        <f t="array" ref="E77">Common_InputFunctions.Utility_DisplayArrayInTable(SourceData_PastureBeef.SourceData_PastureBeef_LiveweightNTQLD_Data(),Table_SourceData_PastureBeef_LiveweightNTQD[[#Headers],[State]], 0)</f>
        <v>Moderate/Low</v>
      </c>
      <c r="F77" s="31" t="str" cm="1">
        <f t="array" ref="F77">Common_InputFunctions.Utility_DisplayArrayInTable(SourceData_PastureBeef.SourceData_PastureBeef_LiveweightNTQLD_Data(),Table_SourceData_PastureBeef_LiveweightNTQD[[#Headers],[State]], 0)</f>
        <v>Winter</v>
      </c>
      <c r="G77" s="31" cm="1">
        <f t="array" ref="G77">Common_InputFunctions.Utility_DisplayArrayInTable(SourceData_PastureBeef.SourceData_PastureBeef_LiveweightNTQLD_Data(),Table_SourceData_PastureBeef_LiveweightNTQD[[#Headers],[State]], 0)</f>
        <v>180</v>
      </c>
      <c r="H77" s="31" cm="1">
        <f t="array" ref="H77">Common_InputFunctions.Utility_DisplayArrayInTable(SourceData_PastureBeef.SourceData_PastureBeef_LiveweightNTQLD_Data(),Table_SourceData_PastureBeef_LiveweightNTQD[[#Headers],[State]], 0)</f>
        <v>692</v>
      </c>
      <c r="I77" s="31" cm="1">
        <f t="array" ref="I77">Common_InputFunctions.Utility_DisplayArrayInTable(SourceData_PastureBeef.SourceData_PastureBeef_LiveweightNTQLD_Data(),Table_SourceData_PastureBeef_LiveweightNTQD[[#Headers],[State]], 0)</f>
        <v>183</v>
      </c>
      <c r="J77" s="31" cm="1">
        <f t="array" ref="J77">Common_InputFunctions.Utility_DisplayArrayInTable(SourceData_PastureBeef.SourceData_PastureBeef_LiveweightNTQLD_Data(),Table_SourceData_PastureBeef_LiveweightNTQD[[#Headers],[State]], 0)</f>
        <v>316</v>
      </c>
      <c r="K77" s="31" cm="1">
        <f t="array" ref="K77">Common_InputFunctions.Utility_DisplayArrayInTable(SourceData_PastureBeef.SourceData_PastureBeef_LiveweightNTQLD_Data(),Table_SourceData_PastureBeef_LiveweightNTQD[[#Headers],[State]], 0)</f>
        <v>438</v>
      </c>
      <c r="L77" s="31" cm="1">
        <f t="array" ref="L77">Common_InputFunctions.Utility_DisplayArrayInTable(SourceData_PastureBeef.SourceData_PastureBeef_LiveweightNTQLD_Data(),Table_SourceData_PastureBeef_LiveweightNTQD[[#Headers],[State]], 0)</f>
        <v>468</v>
      </c>
      <c r="M77" s="31" cm="1">
        <f t="array" ref="M77">Common_InputFunctions.Utility_DisplayArrayInTable(SourceData_PastureBeef.SourceData_PastureBeef_LiveweightNTQLD_Data(),Table_SourceData_PastureBeef_LiveweightNTQD[[#Headers],[State]], 0)</f>
        <v>189</v>
      </c>
      <c r="N77" s="31" cm="1">
        <f t="array" ref="N77">Common_InputFunctions.Utility_DisplayArrayInTable(SourceData_PastureBeef.SourceData_PastureBeef_LiveweightNTQLD_Data(),Table_SourceData_PastureBeef_LiveweightNTQD[[#Headers],[State]], 0)</f>
        <v>354</v>
      </c>
      <c r="O77" s="31" cm="1">
        <f t="array" ref="O77">Common_InputFunctions.Utility_DisplayArrayInTable(SourceData_PastureBeef.SourceData_PastureBeef_LiveweightNTQLD_Data(),Table_SourceData_PastureBeef_LiveweightNTQD[[#Headers],[State]], 0)</f>
        <v>500</v>
      </c>
      <c r="P77" s="31"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1" t="str" cm="1">
        <f t="array" ref="E78">Common_InputFunctions.Utility_DisplayArrayInTable(SourceData_PastureBeef.SourceData_PastureBeef_LiveweightNTQLD_Data(),Table_SourceData_PastureBeef_LiveweightNTQD[[#Headers],[State]], 0)</f>
        <v>Low</v>
      </c>
      <c r="F78" s="31" t="str" cm="1">
        <f t="array" ref="F78">Common_InputFunctions.Utility_DisplayArrayInTable(SourceData_PastureBeef.SourceData_PastureBeef_LiveweightNTQLD_Data(),Table_SourceData_PastureBeef_LiveweightNTQD[[#Headers],[State]], 0)</f>
        <v>Spring</v>
      </c>
      <c r="G78" s="31" cm="1">
        <f t="array" ref="G78">Common_InputFunctions.Utility_DisplayArrayInTable(SourceData_PastureBeef.SourceData_PastureBeef_LiveweightNTQLD_Data(),Table_SourceData_PastureBeef_LiveweightNTQD[[#Headers],[State]], 0)</f>
        <v>190</v>
      </c>
      <c r="H78" s="31" cm="1">
        <f t="array" ref="H78">Common_InputFunctions.Utility_DisplayArrayInTable(SourceData_PastureBeef.SourceData_PastureBeef_LiveweightNTQLD_Data(),Table_SourceData_PastureBeef_LiveweightNTQD[[#Headers],[State]], 0)</f>
        <v>617</v>
      </c>
      <c r="I78" s="31" cm="1">
        <f t="array" ref="I78">Common_InputFunctions.Utility_DisplayArrayInTable(SourceData_PastureBeef.SourceData_PastureBeef_LiveweightNTQLD_Data(),Table_SourceData_PastureBeef_LiveweightNTQD[[#Headers],[State]], 0)</f>
        <v>174</v>
      </c>
      <c r="J78" s="31" cm="1">
        <f t="array" ref="J78">Common_InputFunctions.Utility_DisplayArrayInTable(SourceData_PastureBeef.SourceData_PastureBeef_LiveweightNTQLD_Data(),Table_SourceData_PastureBeef_LiveweightNTQD[[#Headers],[State]], 0)</f>
        <v>265</v>
      </c>
      <c r="K78" s="31" cm="1">
        <f t="array" ref="K78">Common_InputFunctions.Utility_DisplayArrayInTable(SourceData_PastureBeef.SourceData_PastureBeef_LiveweightNTQLD_Data(),Table_SourceData_PastureBeef_LiveweightNTQD[[#Headers],[State]], 0)</f>
        <v>371</v>
      </c>
      <c r="L78" s="31" cm="1">
        <f t="array" ref="L78">Common_InputFunctions.Utility_DisplayArrayInTable(SourceData_PastureBeef.SourceData_PastureBeef_LiveweightNTQLD_Data(),Table_SourceData_PastureBeef_LiveweightNTQD[[#Headers],[State]], 0)</f>
        <v>415</v>
      </c>
      <c r="M78" s="31" cm="1">
        <f t="array" ref="M78">Common_InputFunctions.Utility_DisplayArrayInTable(SourceData_PastureBeef.SourceData_PastureBeef_LiveweightNTQLD_Data(),Table_SourceData_PastureBeef_LiveweightNTQD[[#Headers],[State]], 0)</f>
        <v>170</v>
      </c>
      <c r="N78" s="31" cm="1">
        <f t="array" ref="N78">Common_InputFunctions.Utility_DisplayArrayInTable(SourceData_PastureBeef.SourceData_PastureBeef_LiveweightNTQLD_Data(),Table_SourceData_PastureBeef_LiveweightNTQD[[#Headers],[State]], 0)</f>
        <v>272</v>
      </c>
      <c r="O78" s="31" cm="1">
        <f t="array" ref="O78">Common_InputFunctions.Utility_DisplayArrayInTable(SourceData_PastureBeef.SourceData_PastureBeef_LiveweightNTQLD_Data(),Table_SourceData_PastureBeef_LiveweightNTQD[[#Headers],[State]], 0)</f>
        <v>392</v>
      </c>
      <c r="P78" s="31"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1" t="str" cm="1">
        <f t="array" ref="E79">Common_InputFunctions.Utility_DisplayArrayInTable(SourceData_PastureBeef.SourceData_PastureBeef_LiveweightNTQLD_Data(),Table_SourceData_PastureBeef_LiveweightNTQD[[#Headers],[State]], 0)</f>
        <v>Low</v>
      </c>
      <c r="F79" s="31" t="str" cm="1">
        <f t="array" ref="F79">Common_InputFunctions.Utility_DisplayArrayInTable(SourceData_PastureBeef.SourceData_PastureBeef_LiveweightNTQLD_Data(),Table_SourceData_PastureBeef_LiveweightNTQD[[#Headers],[State]], 0)</f>
        <v>Summer</v>
      </c>
      <c r="G79" s="31" cm="1">
        <f t="array" ref="G79">Common_InputFunctions.Utility_DisplayArrayInTable(SourceData_PastureBeef.SourceData_PastureBeef_LiveweightNTQLD_Data(),Table_SourceData_PastureBeef_LiveweightNTQD[[#Headers],[State]], 0)</f>
        <v>119</v>
      </c>
      <c r="H79" s="31" cm="1">
        <f t="array" ref="H79">Common_InputFunctions.Utility_DisplayArrayInTable(SourceData_PastureBeef.SourceData_PastureBeef_LiveweightNTQLD_Data(),Table_SourceData_PastureBeef_LiveweightNTQD[[#Headers],[State]], 0)</f>
        <v>591</v>
      </c>
      <c r="I79" s="31" cm="1">
        <f t="array" ref="I79">Common_InputFunctions.Utility_DisplayArrayInTable(SourceData_PastureBeef.SourceData_PastureBeef_LiveweightNTQLD_Data(),Table_SourceData_PastureBeef_LiveweightNTQD[[#Headers],[State]], 0)</f>
        <v>140</v>
      </c>
      <c r="J79" s="31" cm="1">
        <f t="array" ref="J79">Common_InputFunctions.Utility_DisplayArrayInTable(SourceData_PastureBeef.SourceData_PastureBeef_LiveweightNTQLD_Data(),Table_SourceData_PastureBeef_LiveweightNTQD[[#Headers],[State]], 0)</f>
        <v>205</v>
      </c>
      <c r="K79" s="31" cm="1">
        <f t="array" ref="K79">Common_InputFunctions.Utility_DisplayArrayInTable(SourceData_PastureBeef.SourceData_PastureBeef_LiveweightNTQLD_Data(),Table_SourceData_PastureBeef_LiveweightNTQD[[#Headers],[State]], 0)</f>
        <v>310</v>
      </c>
      <c r="L79" s="31" cm="1">
        <f t="array" ref="L79">Common_InputFunctions.Utility_DisplayArrayInTable(SourceData_PastureBeef.SourceData_PastureBeef_LiveweightNTQLD_Data(),Table_SourceData_PastureBeef_LiveweightNTQD[[#Headers],[State]], 0)</f>
        <v>405</v>
      </c>
      <c r="M79" s="31" cm="1">
        <f t="array" ref="M79">Common_InputFunctions.Utility_DisplayArrayInTable(SourceData_PastureBeef.SourceData_PastureBeef_LiveweightNTQLD_Data(),Table_SourceData_PastureBeef_LiveweightNTQD[[#Headers],[State]], 0)</f>
        <v>133</v>
      </c>
      <c r="N79" s="31" cm="1">
        <f t="array" ref="N79">Common_InputFunctions.Utility_DisplayArrayInTable(SourceData_PastureBeef.SourceData_PastureBeef_LiveweightNTQLD_Data(),Table_SourceData_PastureBeef_LiveweightNTQD[[#Headers],[State]], 0)</f>
        <v>218</v>
      </c>
      <c r="O79" s="31" cm="1">
        <f t="array" ref="O79">Common_InputFunctions.Utility_DisplayArrayInTable(SourceData_PastureBeef.SourceData_PastureBeef_LiveweightNTQLD_Data(),Table_SourceData_PastureBeef_LiveweightNTQD[[#Headers],[State]], 0)</f>
        <v>315</v>
      </c>
      <c r="P79" s="31"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1" t="str" cm="1">
        <f t="array" ref="E80">Common_InputFunctions.Utility_DisplayArrayInTable(SourceData_PastureBeef.SourceData_PastureBeef_LiveweightNTQLD_Data(),Table_SourceData_PastureBeef_LiveweightNTQD[[#Headers],[State]], 0)</f>
        <v>Low</v>
      </c>
      <c r="F80" s="31" t="str" cm="1">
        <f t="array" ref="F80">Common_InputFunctions.Utility_DisplayArrayInTable(SourceData_PastureBeef.SourceData_PastureBeef_LiveweightNTQLD_Data(),Table_SourceData_PastureBeef_LiveweightNTQD[[#Headers],[State]], 0)</f>
        <v>Autumn</v>
      </c>
      <c r="G80" s="31" cm="1">
        <f t="array" ref="G80">Common_InputFunctions.Utility_DisplayArrayInTable(SourceData_PastureBeef.SourceData_PastureBeef_LiveweightNTQLD_Data(),Table_SourceData_PastureBeef_LiveweightNTQD[[#Headers],[State]], 0)</f>
        <v>175</v>
      </c>
      <c r="H80" s="31" cm="1">
        <f t="array" ref="H80">Common_InputFunctions.Utility_DisplayArrayInTable(SourceData_PastureBeef.SourceData_PastureBeef_LiveweightNTQLD_Data(),Table_SourceData_PastureBeef_LiveweightNTQD[[#Headers],[State]], 0)</f>
        <v>610</v>
      </c>
      <c r="I80" s="31" cm="1">
        <f t="array" ref="I80">Common_InputFunctions.Utility_DisplayArrayInTable(SourceData_PastureBeef.SourceData_PastureBeef_LiveweightNTQLD_Data(),Table_SourceData_PastureBeef_LiveweightNTQD[[#Headers],[State]], 0)</f>
        <v>163</v>
      </c>
      <c r="J80" s="31" cm="1">
        <f t="array" ref="J80">Common_InputFunctions.Utility_DisplayArrayInTable(SourceData_PastureBeef.SourceData_PastureBeef_LiveweightNTQLD_Data(),Table_SourceData_PastureBeef_LiveweightNTQD[[#Headers],[State]], 0)</f>
        <v>232</v>
      </c>
      <c r="K80" s="31" cm="1">
        <f t="array" ref="K80">Common_InputFunctions.Utility_DisplayArrayInTable(SourceData_PastureBeef.SourceData_PastureBeef_LiveweightNTQLD_Data(),Table_SourceData_PastureBeef_LiveweightNTQD[[#Headers],[State]], 0)</f>
        <v>351</v>
      </c>
      <c r="L80" s="31" cm="1">
        <f t="array" ref="L80">Common_InputFunctions.Utility_DisplayArrayInTable(SourceData_PastureBeef.SourceData_PastureBeef_LiveweightNTQLD_Data(),Table_SourceData_PastureBeef_LiveweightNTQD[[#Headers],[State]], 0)</f>
        <v>427</v>
      </c>
      <c r="M80" s="31" cm="1">
        <f t="array" ref="M80">Common_InputFunctions.Utility_DisplayArrayInTable(SourceData_PastureBeef.SourceData_PastureBeef_LiveweightNTQLD_Data(),Table_SourceData_PastureBeef_LiveweightNTQD[[#Headers],[State]], 0)</f>
        <v>146</v>
      </c>
      <c r="N80" s="31" cm="1">
        <f t="array" ref="N80">Common_InputFunctions.Utility_DisplayArrayInTable(SourceData_PastureBeef.SourceData_PastureBeef_LiveweightNTQLD_Data(),Table_SourceData_PastureBeef_LiveweightNTQD[[#Headers],[State]], 0)</f>
        <v>242</v>
      </c>
      <c r="O80" s="31" cm="1">
        <f t="array" ref="O80">Common_InputFunctions.Utility_DisplayArrayInTable(SourceData_PastureBeef.SourceData_PastureBeef_LiveweightNTQLD_Data(),Table_SourceData_PastureBeef_LiveweightNTQD[[#Headers],[State]], 0)</f>
        <v>320</v>
      </c>
      <c r="P80" s="31"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1" t="str" cm="1">
        <f t="array" ref="E81">Common_InputFunctions.Utility_DisplayArrayInTable(SourceData_PastureBeef.SourceData_PastureBeef_LiveweightNTQLD_Data(),Table_SourceData_PastureBeef_LiveweightNTQD[[#Headers],[State]], 0)</f>
        <v>Low</v>
      </c>
      <c r="F81" s="31" t="str" cm="1">
        <f t="array" ref="F81">Common_InputFunctions.Utility_DisplayArrayInTable(SourceData_PastureBeef.SourceData_PastureBeef_LiveweightNTQLD_Data(),Table_SourceData_PastureBeef_LiveweightNTQD[[#Headers],[State]], 0)</f>
        <v>Winter</v>
      </c>
      <c r="G81" s="31" cm="1">
        <f t="array" ref="G81">Common_InputFunctions.Utility_DisplayArrayInTable(SourceData_PastureBeef.SourceData_PastureBeef_LiveweightNTQLD_Data(),Table_SourceData_PastureBeef_LiveweightNTQD[[#Headers],[State]], 0)</f>
        <v>192</v>
      </c>
      <c r="H81" s="31" cm="1">
        <f t="array" ref="H81">Common_InputFunctions.Utility_DisplayArrayInTable(SourceData_PastureBeef.SourceData_PastureBeef_LiveweightNTQLD_Data(),Table_SourceData_PastureBeef_LiveweightNTQD[[#Headers],[State]], 0)</f>
        <v>615</v>
      </c>
      <c r="I81" s="31" cm="1">
        <f t="array" ref="I81">Common_InputFunctions.Utility_DisplayArrayInTable(SourceData_PastureBeef.SourceData_PastureBeef_LiveweightNTQLD_Data(),Table_SourceData_PastureBeef_LiveweightNTQD[[#Headers],[State]], 0)</f>
        <v>162</v>
      </c>
      <c r="J81" s="31" cm="1">
        <f t="array" ref="J81">Common_InputFunctions.Utility_DisplayArrayInTable(SourceData_PastureBeef.SourceData_PastureBeef_LiveweightNTQLD_Data(),Table_SourceData_PastureBeef_LiveweightNTQD[[#Headers],[State]], 0)</f>
        <v>255</v>
      </c>
      <c r="K81" s="31" cm="1">
        <f t="array" ref="K81">Common_InputFunctions.Utility_DisplayArrayInTable(SourceData_PastureBeef.SourceData_PastureBeef_LiveweightNTQLD_Data(),Table_SourceData_PastureBeef_LiveweightNTQD[[#Headers],[State]], 0)</f>
        <v>364</v>
      </c>
      <c r="L81" s="31" cm="1">
        <f t="array" ref="L81">Common_InputFunctions.Utility_DisplayArrayInTable(SourceData_PastureBeef.SourceData_PastureBeef_LiveweightNTQLD_Data(),Table_SourceData_PastureBeef_LiveweightNTQD[[#Headers],[State]], 0)</f>
        <v>420</v>
      </c>
      <c r="M81" s="31" cm="1">
        <f t="array" ref="M81">Common_InputFunctions.Utility_DisplayArrayInTable(SourceData_PastureBeef.SourceData_PastureBeef_LiveweightNTQLD_Data(),Table_SourceData_PastureBeef_LiveweightNTQD[[#Headers],[State]], 0)</f>
        <v>157</v>
      </c>
      <c r="N81" s="31" cm="1">
        <f t="array" ref="N81">Common_InputFunctions.Utility_DisplayArrayInTable(SourceData_PastureBeef.SourceData_PastureBeef_LiveweightNTQLD_Data(),Table_SourceData_PastureBeef_LiveweightNTQD[[#Headers],[State]], 0)</f>
        <v>261</v>
      </c>
      <c r="O81" s="31" cm="1">
        <f t="array" ref="O81">Common_InputFunctions.Utility_DisplayArrayInTable(SourceData_PastureBeef.SourceData_PastureBeef_LiveweightNTQLD_Data(),Table_SourceData_PastureBeef_LiveweightNTQD[[#Headers],[State]], 0)</f>
        <v>342</v>
      </c>
      <c r="P81" s="31"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366</v>
      </c>
      <c r="M84" s="1"/>
    </row>
    <row r="85" spans="4:22" ht="20.100000000000001" customHeight="1" x14ac:dyDescent="0.25">
      <c r="D85" s="31" t="s">
        <v>110</v>
      </c>
      <c r="E85" s="31" t="s">
        <v>308</v>
      </c>
      <c r="F85" s="31" t="s">
        <v>79</v>
      </c>
      <c r="G85" s="126" t="s">
        <v>189</v>
      </c>
      <c r="H85" s="126" t="s">
        <v>190</v>
      </c>
      <c r="I85" s="126" t="s">
        <v>191</v>
      </c>
      <c r="J85" s="126" t="s">
        <v>192</v>
      </c>
      <c r="K85" s="126" t="s">
        <v>193</v>
      </c>
      <c r="L85" s="126" t="s">
        <v>194</v>
      </c>
      <c r="M85" s="126" t="s">
        <v>195</v>
      </c>
      <c r="N85" s="126" t="s">
        <v>196</v>
      </c>
      <c r="O85" s="126" t="s">
        <v>197</v>
      </c>
      <c r="P85" s="126" t="s">
        <v>198</v>
      </c>
      <c r="V85" s="1"/>
    </row>
    <row r="86" spans="4:22" ht="20.100000000000001" customHeight="1" x14ac:dyDescent="0.25">
      <c r="D86" s="31" t="s">
        <v>338</v>
      </c>
      <c r="E86" s="31" t="s">
        <v>312</v>
      </c>
      <c r="F86" s="31" t="str">
        <f>F19</f>
        <v>Spring</v>
      </c>
      <c r="G86" s="31">
        <f>G19</f>
        <v>80</v>
      </c>
      <c r="H86" s="31">
        <f t="shared" ref="H86:K89" si="0">H19</f>
        <v>480</v>
      </c>
      <c r="I86" s="31">
        <f>I19</f>
        <v>75</v>
      </c>
      <c r="J86" s="31">
        <f>J19</f>
        <v>300</v>
      </c>
      <c r="K86" s="31">
        <f>K19</f>
        <v>440</v>
      </c>
      <c r="L86" s="31">
        <f>K19</f>
        <v>440</v>
      </c>
      <c r="M86" s="31">
        <f>L19</f>
        <v>75</v>
      </c>
      <c r="N86" s="31">
        <f>M19</f>
        <v>380</v>
      </c>
      <c r="O86" s="31">
        <f>M19</f>
        <v>380</v>
      </c>
      <c r="P86" s="31">
        <f>M19</f>
        <v>380</v>
      </c>
      <c r="V86" s="1"/>
    </row>
    <row r="87" spans="4:22" ht="20.100000000000001" customHeight="1" x14ac:dyDescent="0.25">
      <c r="D87" s="31" t="s">
        <v>338</v>
      </c>
      <c r="E87" s="31" t="s">
        <v>312</v>
      </c>
      <c r="F87" s="31" t="s">
        <v>200</v>
      </c>
      <c r="G87" s="31">
        <f t="shared" ref="G87:G89" si="1">G20</f>
        <v>170</v>
      </c>
      <c r="H87" s="31">
        <f t="shared" si="0"/>
        <v>520</v>
      </c>
      <c r="I87" s="31">
        <f t="shared" si="0"/>
        <v>160</v>
      </c>
      <c r="J87" s="31">
        <f t="shared" si="0"/>
        <v>360</v>
      </c>
      <c r="K87" s="31">
        <f t="shared" si="0"/>
        <v>470</v>
      </c>
      <c r="L87" s="31">
        <f t="shared" ref="L87:N89" si="2">K20</f>
        <v>470</v>
      </c>
      <c r="M87" s="31">
        <f t="shared" si="2"/>
        <v>160</v>
      </c>
      <c r="N87" s="31">
        <f t="shared" si="2"/>
        <v>420</v>
      </c>
      <c r="O87" s="31">
        <f t="shared" ref="O87:O89" si="3">M20</f>
        <v>420</v>
      </c>
      <c r="P87" s="31">
        <f t="shared" ref="P87:P89" si="4">M20</f>
        <v>420</v>
      </c>
      <c r="V87" s="1"/>
    </row>
    <row r="88" spans="4:22" ht="20.100000000000001" customHeight="1" x14ac:dyDescent="0.25">
      <c r="D88" s="31" t="s">
        <v>338</v>
      </c>
      <c r="E88" s="31" t="s">
        <v>312</v>
      </c>
      <c r="F88" s="31" t="s">
        <v>201</v>
      </c>
      <c r="G88" s="31">
        <f t="shared" si="1"/>
        <v>240</v>
      </c>
      <c r="H88" s="31">
        <f t="shared" si="0"/>
        <v>550</v>
      </c>
      <c r="I88" s="31">
        <f t="shared" si="0"/>
        <v>220</v>
      </c>
      <c r="J88" s="31">
        <f t="shared" si="0"/>
        <v>390</v>
      </c>
      <c r="K88" s="31">
        <f t="shared" si="0"/>
        <v>490</v>
      </c>
      <c r="L88" s="31">
        <f t="shared" si="2"/>
        <v>490</v>
      </c>
      <c r="M88" s="31">
        <f t="shared" si="2"/>
        <v>220</v>
      </c>
      <c r="N88" s="31">
        <f t="shared" si="2"/>
        <v>450</v>
      </c>
      <c r="O88" s="31">
        <f t="shared" si="3"/>
        <v>450</v>
      </c>
      <c r="P88" s="31">
        <f t="shared" si="4"/>
        <v>450</v>
      </c>
      <c r="V88" s="1"/>
    </row>
    <row r="89" spans="4:22" ht="20.100000000000001" customHeight="1" x14ac:dyDescent="0.25">
      <c r="D89" s="31" t="s">
        <v>338</v>
      </c>
      <c r="E89" s="31" t="s">
        <v>312</v>
      </c>
      <c r="F89" s="31" t="s">
        <v>202</v>
      </c>
      <c r="G89" s="31">
        <f t="shared" si="1"/>
        <v>280</v>
      </c>
      <c r="H89" s="31">
        <f t="shared" si="0"/>
        <v>560</v>
      </c>
      <c r="I89" s="31">
        <f t="shared" si="0"/>
        <v>260</v>
      </c>
      <c r="J89" s="31">
        <f t="shared" si="0"/>
        <v>410</v>
      </c>
      <c r="K89" s="31">
        <f t="shared" si="0"/>
        <v>500</v>
      </c>
      <c r="L89" s="31">
        <f t="shared" si="2"/>
        <v>500</v>
      </c>
      <c r="M89" s="31">
        <f t="shared" si="2"/>
        <v>260</v>
      </c>
      <c r="N89" s="31">
        <f t="shared" si="2"/>
        <v>460</v>
      </c>
      <c r="O89" s="31">
        <f t="shared" si="3"/>
        <v>460</v>
      </c>
      <c r="P89" s="31">
        <f t="shared" si="4"/>
        <v>460</v>
      </c>
      <c r="V89" s="1"/>
    </row>
    <row r="90" spans="4:22" ht="20.100000000000001" customHeight="1" x14ac:dyDescent="0.25">
      <c r="D90" s="31" t="s">
        <v>339</v>
      </c>
      <c r="E90" s="31" t="s">
        <v>312</v>
      </c>
      <c r="F90" s="31" t="str">
        <f>F23</f>
        <v>Spring</v>
      </c>
      <c r="G90" s="31">
        <f>G19</f>
        <v>80</v>
      </c>
      <c r="H90" s="31">
        <f t="shared" ref="H90:J90" si="5">H19</f>
        <v>480</v>
      </c>
      <c r="I90" s="31">
        <f t="shared" si="5"/>
        <v>75</v>
      </c>
      <c r="J90" s="31">
        <f t="shared" si="5"/>
        <v>300</v>
      </c>
      <c r="K90" s="31">
        <f>K19</f>
        <v>440</v>
      </c>
      <c r="L90" s="31">
        <f>K19</f>
        <v>440</v>
      </c>
      <c r="M90" s="31">
        <f>L19</f>
        <v>75</v>
      </c>
      <c r="N90" s="31">
        <f>M19</f>
        <v>380</v>
      </c>
      <c r="O90" s="31">
        <f>M19</f>
        <v>380</v>
      </c>
      <c r="P90" s="31">
        <f>M19</f>
        <v>380</v>
      </c>
      <c r="V90" s="1"/>
    </row>
    <row r="91" spans="4:22" ht="20.100000000000001" customHeight="1" x14ac:dyDescent="0.25">
      <c r="D91" s="31" t="s">
        <v>339</v>
      </c>
      <c r="E91" s="31" t="s">
        <v>312</v>
      </c>
      <c r="F91" s="31" t="s">
        <v>200</v>
      </c>
      <c r="G91" s="31">
        <f t="shared" ref="G91:K94" si="6">G20</f>
        <v>170</v>
      </c>
      <c r="H91" s="31">
        <f t="shared" si="6"/>
        <v>520</v>
      </c>
      <c r="I91" s="31">
        <f t="shared" si="6"/>
        <v>160</v>
      </c>
      <c r="J91" s="31">
        <f t="shared" si="6"/>
        <v>360</v>
      </c>
      <c r="K91" s="31">
        <f t="shared" si="6"/>
        <v>470</v>
      </c>
      <c r="L91" s="31">
        <f t="shared" ref="L91:N105" si="7">K20</f>
        <v>470</v>
      </c>
      <c r="M91" s="31">
        <f t="shared" si="7"/>
        <v>160</v>
      </c>
      <c r="N91" s="31">
        <f t="shared" si="7"/>
        <v>420</v>
      </c>
      <c r="O91" s="31">
        <f t="shared" ref="O91:O93" si="8">M20</f>
        <v>420</v>
      </c>
      <c r="P91" s="31">
        <f t="shared" ref="P91:P93" si="9">M20</f>
        <v>420</v>
      </c>
    </row>
    <row r="92" spans="4:22" ht="20.100000000000001" customHeight="1" x14ac:dyDescent="0.25">
      <c r="D92" s="31" t="s">
        <v>339</v>
      </c>
      <c r="E92" s="31" t="s">
        <v>312</v>
      </c>
      <c r="F92" s="31" t="s">
        <v>201</v>
      </c>
      <c r="G92" s="31">
        <f t="shared" si="6"/>
        <v>240</v>
      </c>
      <c r="H92" s="31">
        <f t="shared" si="6"/>
        <v>550</v>
      </c>
      <c r="I92" s="31">
        <f t="shared" si="6"/>
        <v>220</v>
      </c>
      <c r="J92" s="31">
        <f t="shared" si="6"/>
        <v>390</v>
      </c>
      <c r="K92" s="31">
        <f t="shared" si="6"/>
        <v>490</v>
      </c>
      <c r="L92" s="31">
        <f t="shared" si="7"/>
        <v>490</v>
      </c>
      <c r="M92" s="31">
        <f t="shared" si="7"/>
        <v>220</v>
      </c>
      <c r="N92" s="31">
        <f t="shared" si="7"/>
        <v>450</v>
      </c>
      <c r="O92" s="31">
        <f t="shared" si="8"/>
        <v>450</v>
      </c>
      <c r="P92" s="31">
        <f t="shared" si="9"/>
        <v>450</v>
      </c>
    </row>
    <row r="93" spans="4:22" ht="20.100000000000001" customHeight="1" x14ac:dyDescent="0.25">
      <c r="D93" s="31" t="s">
        <v>339</v>
      </c>
      <c r="E93" s="31" t="s">
        <v>312</v>
      </c>
      <c r="F93" s="31" t="s">
        <v>202</v>
      </c>
      <c r="G93" s="31">
        <f t="shared" si="6"/>
        <v>280</v>
      </c>
      <c r="H93" s="31">
        <f t="shared" si="6"/>
        <v>560</v>
      </c>
      <c r="I93" s="31">
        <f t="shared" si="6"/>
        <v>260</v>
      </c>
      <c r="J93" s="31">
        <f t="shared" si="6"/>
        <v>410</v>
      </c>
      <c r="K93" s="31">
        <f t="shared" si="6"/>
        <v>500</v>
      </c>
      <c r="L93" s="31">
        <f t="shared" si="7"/>
        <v>500</v>
      </c>
      <c r="M93" s="31">
        <f t="shared" si="7"/>
        <v>260</v>
      </c>
      <c r="N93" s="31">
        <f t="shared" si="7"/>
        <v>460</v>
      </c>
      <c r="O93" s="31">
        <f t="shared" si="8"/>
        <v>460</v>
      </c>
      <c r="P93" s="31">
        <f t="shared" si="9"/>
        <v>460</v>
      </c>
    </row>
    <row r="94" spans="4:22" ht="20.100000000000001" customHeight="1" x14ac:dyDescent="0.25">
      <c r="D94" s="31" t="s">
        <v>340</v>
      </c>
      <c r="E94" s="31" t="s">
        <v>312</v>
      </c>
      <c r="F94" s="31" t="str">
        <f>F27</f>
        <v>Spring</v>
      </c>
      <c r="G94" s="31">
        <f>G23</f>
        <v>250</v>
      </c>
      <c r="H94" s="31">
        <f t="shared" si="6"/>
        <v>800</v>
      </c>
      <c r="I94" s="31">
        <f t="shared" si="6"/>
        <v>220</v>
      </c>
      <c r="J94" s="31">
        <f>J23</f>
        <v>400</v>
      </c>
      <c r="K94" s="31">
        <f>K23</f>
        <v>500</v>
      </c>
      <c r="L94" s="31">
        <f>K23</f>
        <v>500</v>
      </c>
      <c r="M94" s="31">
        <f>L23</f>
        <v>230</v>
      </c>
      <c r="N94" s="31">
        <f>M23</f>
        <v>420</v>
      </c>
      <c r="O94" s="31">
        <f>M23</f>
        <v>420</v>
      </c>
      <c r="P94" s="31">
        <f>M23</f>
        <v>420</v>
      </c>
    </row>
    <row r="95" spans="4:22" ht="20.100000000000001" customHeight="1" x14ac:dyDescent="0.25">
      <c r="D95" s="31" t="s">
        <v>340</v>
      </c>
      <c r="E95" s="31" t="s">
        <v>312</v>
      </c>
      <c r="F95" s="31" t="s">
        <v>200</v>
      </c>
      <c r="G95" s="31">
        <f t="shared" ref="G95:K98" si="10">G24</f>
        <v>320</v>
      </c>
      <c r="H95" s="31">
        <f t="shared" si="10"/>
        <v>800</v>
      </c>
      <c r="I95" s="31">
        <f t="shared" si="10"/>
        <v>280</v>
      </c>
      <c r="J95" s="31">
        <f t="shared" si="10"/>
        <v>420</v>
      </c>
      <c r="K95" s="31">
        <f t="shared" si="10"/>
        <v>500</v>
      </c>
      <c r="L95" s="31">
        <f t="shared" ref="L95:M97" si="11">K24</f>
        <v>500</v>
      </c>
      <c r="M95" s="31">
        <f t="shared" si="11"/>
        <v>290</v>
      </c>
      <c r="N95" s="31">
        <f t="shared" si="7"/>
        <v>420</v>
      </c>
      <c r="O95" s="31">
        <f t="shared" ref="O95:O97" si="12">M24</f>
        <v>420</v>
      </c>
      <c r="P95" s="31">
        <f t="shared" ref="P95:P97" si="13">M24</f>
        <v>420</v>
      </c>
    </row>
    <row r="96" spans="4:22" ht="20.100000000000001" customHeight="1" x14ac:dyDescent="0.25">
      <c r="D96" s="31" t="s">
        <v>340</v>
      </c>
      <c r="E96" s="31" t="s">
        <v>312</v>
      </c>
      <c r="F96" s="31" t="s">
        <v>201</v>
      </c>
      <c r="G96" s="31">
        <f t="shared" si="10"/>
        <v>80</v>
      </c>
      <c r="H96" s="31">
        <f t="shared" si="10"/>
        <v>700</v>
      </c>
      <c r="I96" s="31">
        <f t="shared" si="10"/>
        <v>70</v>
      </c>
      <c r="J96" s="31">
        <f t="shared" si="10"/>
        <v>300</v>
      </c>
      <c r="K96" s="31">
        <f t="shared" si="10"/>
        <v>450</v>
      </c>
      <c r="L96" s="31">
        <f t="shared" si="11"/>
        <v>450</v>
      </c>
      <c r="M96" s="31">
        <f t="shared" si="11"/>
        <v>75</v>
      </c>
      <c r="N96" s="31">
        <f t="shared" si="7"/>
        <v>400</v>
      </c>
      <c r="O96" s="31">
        <f t="shared" si="12"/>
        <v>400</v>
      </c>
      <c r="P96" s="31">
        <f t="shared" si="13"/>
        <v>400</v>
      </c>
    </row>
    <row r="97" spans="4:16" ht="20.100000000000001" customHeight="1" x14ac:dyDescent="0.25">
      <c r="D97" s="31" t="s">
        <v>340</v>
      </c>
      <c r="E97" s="31" t="s">
        <v>312</v>
      </c>
      <c r="F97" s="31" t="s">
        <v>202</v>
      </c>
      <c r="G97" s="31">
        <f t="shared" si="10"/>
        <v>160</v>
      </c>
      <c r="H97" s="31">
        <f t="shared" si="10"/>
        <v>700</v>
      </c>
      <c r="I97" s="31">
        <f t="shared" si="10"/>
        <v>140</v>
      </c>
      <c r="J97" s="31">
        <f t="shared" si="10"/>
        <v>350</v>
      </c>
      <c r="K97" s="31">
        <f t="shared" si="10"/>
        <v>450</v>
      </c>
      <c r="L97" s="31">
        <f t="shared" si="11"/>
        <v>450</v>
      </c>
      <c r="M97" s="31">
        <f t="shared" si="11"/>
        <v>150</v>
      </c>
      <c r="N97" s="31">
        <f t="shared" si="7"/>
        <v>400</v>
      </c>
      <c r="O97" s="31">
        <f t="shared" si="12"/>
        <v>400</v>
      </c>
      <c r="P97" s="31">
        <f t="shared" si="13"/>
        <v>400</v>
      </c>
    </row>
    <row r="98" spans="4:16" ht="20.100000000000001" customHeight="1" x14ac:dyDescent="0.25">
      <c r="D98" s="31" t="s">
        <v>341</v>
      </c>
      <c r="E98" s="31" t="s">
        <v>312</v>
      </c>
      <c r="F98" s="31" t="str">
        <f>F31</f>
        <v>Spring</v>
      </c>
      <c r="G98" s="31">
        <f>G27</f>
        <v>105</v>
      </c>
      <c r="H98" s="31">
        <f t="shared" si="10"/>
        <v>700</v>
      </c>
      <c r="I98" s="31">
        <f t="shared" si="10"/>
        <v>85</v>
      </c>
      <c r="J98" s="31">
        <f t="shared" si="10"/>
        <v>300</v>
      </c>
      <c r="K98" s="31">
        <f t="shared" si="10"/>
        <v>490</v>
      </c>
      <c r="L98" s="31">
        <f>K27</f>
        <v>490</v>
      </c>
      <c r="M98" s="31">
        <f>L27</f>
        <v>90</v>
      </c>
      <c r="N98" s="31">
        <f>M27</f>
        <v>480</v>
      </c>
      <c r="O98" s="31">
        <f>M27</f>
        <v>480</v>
      </c>
      <c r="P98" s="31">
        <f>M27</f>
        <v>480</v>
      </c>
    </row>
    <row r="99" spans="4:16" ht="20.100000000000001" customHeight="1" x14ac:dyDescent="0.25">
      <c r="D99" s="31" t="s">
        <v>341</v>
      </c>
      <c r="E99" s="31" t="s">
        <v>312</v>
      </c>
      <c r="F99" s="31" t="s">
        <v>200</v>
      </c>
      <c r="G99" s="31">
        <f t="shared" ref="G99:K102" si="14">G28</f>
        <v>480</v>
      </c>
      <c r="H99" s="31">
        <f t="shared" si="14"/>
        <v>750</v>
      </c>
      <c r="I99" s="31">
        <f t="shared" si="14"/>
        <v>150</v>
      </c>
      <c r="J99" s="31">
        <f t="shared" si="14"/>
        <v>350</v>
      </c>
      <c r="K99" s="31">
        <f t="shared" si="14"/>
        <v>530</v>
      </c>
      <c r="L99" s="31">
        <f t="shared" ref="L99:M101" si="15">K28</f>
        <v>530</v>
      </c>
      <c r="M99" s="31">
        <f t="shared" si="15"/>
        <v>160</v>
      </c>
      <c r="N99" s="31">
        <f t="shared" si="7"/>
        <v>460</v>
      </c>
      <c r="O99" s="31">
        <f t="shared" ref="O99:O101" si="16">M28</f>
        <v>460</v>
      </c>
      <c r="P99" s="31">
        <f t="shared" ref="P99:P101" si="17">M28</f>
        <v>460</v>
      </c>
    </row>
    <row r="100" spans="4:16" ht="20.100000000000001" customHeight="1" x14ac:dyDescent="0.25">
      <c r="D100" s="31" t="s">
        <v>341</v>
      </c>
      <c r="E100" s="31" t="s">
        <v>312</v>
      </c>
      <c r="F100" s="31" t="s">
        <v>201</v>
      </c>
      <c r="G100" s="31">
        <f t="shared" si="14"/>
        <v>250</v>
      </c>
      <c r="H100" s="31">
        <f t="shared" si="14"/>
        <v>725</v>
      </c>
      <c r="I100" s="31">
        <f t="shared" si="14"/>
        <v>200</v>
      </c>
      <c r="J100" s="31">
        <f t="shared" si="14"/>
        <v>360</v>
      </c>
      <c r="K100" s="31">
        <f t="shared" si="14"/>
        <v>500</v>
      </c>
      <c r="L100" s="31">
        <f t="shared" si="15"/>
        <v>500</v>
      </c>
      <c r="M100" s="31">
        <f t="shared" si="15"/>
        <v>215</v>
      </c>
      <c r="N100" s="31">
        <f t="shared" si="7"/>
        <v>490</v>
      </c>
      <c r="O100" s="31">
        <f t="shared" si="16"/>
        <v>490</v>
      </c>
      <c r="P100" s="31">
        <f t="shared" si="17"/>
        <v>490</v>
      </c>
    </row>
    <row r="101" spans="4:16" ht="20.100000000000001" customHeight="1" x14ac:dyDescent="0.25">
      <c r="D101" s="31" t="s">
        <v>341</v>
      </c>
      <c r="E101" s="31" t="s">
        <v>312</v>
      </c>
      <c r="F101" s="31" t="s">
        <v>202</v>
      </c>
      <c r="G101" s="31">
        <f t="shared" si="14"/>
        <v>260</v>
      </c>
      <c r="H101" s="31">
        <f t="shared" si="14"/>
        <v>700</v>
      </c>
      <c r="I101" s="31">
        <f t="shared" si="14"/>
        <v>210</v>
      </c>
      <c r="J101" s="31">
        <f t="shared" si="14"/>
        <v>380</v>
      </c>
      <c r="K101" s="31">
        <f t="shared" si="14"/>
        <v>460</v>
      </c>
      <c r="L101" s="31">
        <f t="shared" si="15"/>
        <v>460</v>
      </c>
      <c r="M101" s="31">
        <f t="shared" si="15"/>
        <v>230</v>
      </c>
      <c r="N101" s="31">
        <f t="shared" si="7"/>
        <v>470</v>
      </c>
      <c r="O101" s="31">
        <f t="shared" si="16"/>
        <v>470</v>
      </c>
      <c r="P101" s="31">
        <f t="shared" si="17"/>
        <v>470</v>
      </c>
    </row>
    <row r="102" spans="4:16" ht="20.100000000000001" customHeight="1" x14ac:dyDescent="0.25">
      <c r="D102" s="31" t="s">
        <v>342</v>
      </c>
      <c r="E102" s="31" t="s">
        <v>312</v>
      </c>
      <c r="F102" s="31" t="str">
        <f>F35</f>
        <v>Spring</v>
      </c>
      <c r="G102" s="31">
        <f>G31</f>
        <v>250</v>
      </c>
      <c r="H102" s="31">
        <f t="shared" si="14"/>
        <v>820</v>
      </c>
      <c r="I102" s="31">
        <f t="shared" si="14"/>
        <v>240</v>
      </c>
      <c r="J102" s="31">
        <f t="shared" si="14"/>
        <v>410</v>
      </c>
      <c r="K102" s="31">
        <f>K31</f>
        <v>560</v>
      </c>
      <c r="L102" s="31">
        <f>K31</f>
        <v>560</v>
      </c>
      <c r="M102" s="31">
        <f>L31</f>
        <v>240</v>
      </c>
      <c r="N102" s="31">
        <f>M31</f>
        <v>510</v>
      </c>
      <c r="O102" s="31">
        <f>M31</f>
        <v>510</v>
      </c>
      <c r="P102" s="31">
        <f>M31</f>
        <v>510</v>
      </c>
    </row>
    <row r="103" spans="4:16" ht="20.100000000000001" customHeight="1" x14ac:dyDescent="0.25">
      <c r="D103" s="31" t="s">
        <v>342</v>
      </c>
      <c r="E103" s="31" t="s">
        <v>312</v>
      </c>
      <c r="F103" s="31" t="s">
        <v>200</v>
      </c>
      <c r="G103" s="31">
        <f t="shared" ref="G103:K105" si="18">G32</f>
        <v>280</v>
      </c>
      <c r="H103" s="31">
        <f t="shared" si="18"/>
        <v>850</v>
      </c>
      <c r="I103" s="31">
        <f t="shared" si="18"/>
        <v>260</v>
      </c>
      <c r="J103" s="31">
        <f t="shared" si="18"/>
        <v>440</v>
      </c>
      <c r="K103" s="31">
        <f t="shared" si="18"/>
        <v>550</v>
      </c>
      <c r="L103" s="31">
        <f t="shared" ref="L103:M105" si="19">K32</f>
        <v>550</v>
      </c>
      <c r="M103" s="31">
        <f t="shared" si="19"/>
        <v>270</v>
      </c>
      <c r="N103" s="31">
        <f t="shared" si="7"/>
        <v>520</v>
      </c>
      <c r="O103" s="31">
        <f t="shared" ref="O103:O105" si="20">M32</f>
        <v>520</v>
      </c>
      <c r="P103" s="31">
        <f t="shared" ref="P103:P105" si="21">M32</f>
        <v>520</v>
      </c>
    </row>
    <row r="104" spans="4:16" ht="20.100000000000001" customHeight="1" x14ac:dyDescent="0.25">
      <c r="D104" s="31" t="s">
        <v>342</v>
      </c>
      <c r="E104" s="31" t="s">
        <v>312</v>
      </c>
      <c r="F104" s="31" t="s">
        <v>201</v>
      </c>
      <c r="G104" s="31">
        <f t="shared" si="18"/>
        <v>100</v>
      </c>
      <c r="H104" s="31">
        <f t="shared" si="18"/>
        <v>700</v>
      </c>
      <c r="I104" s="31">
        <f t="shared" si="18"/>
        <v>95</v>
      </c>
      <c r="J104" s="31">
        <f t="shared" si="18"/>
        <v>300</v>
      </c>
      <c r="K104" s="31">
        <f t="shared" si="18"/>
        <v>450</v>
      </c>
      <c r="L104" s="31">
        <f t="shared" si="19"/>
        <v>450</v>
      </c>
      <c r="M104" s="31">
        <f t="shared" si="19"/>
        <v>95</v>
      </c>
      <c r="N104" s="31">
        <f t="shared" si="7"/>
        <v>410</v>
      </c>
      <c r="O104" s="31">
        <f t="shared" si="20"/>
        <v>410</v>
      </c>
      <c r="P104" s="31">
        <f t="shared" si="21"/>
        <v>410</v>
      </c>
    </row>
    <row r="105" spans="4:16" ht="20.100000000000001" customHeight="1" x14ac:dyDescent="0.25">
      <c r="D105" s="31" t="s">
        <v>342</v>
      </c>
      <c r="E105" s="31" t="s">
        <v>312</v>
      </c>
      <c r="F105" s="31" t="s">
        <v>202</v>
      </c>
      <c r="G105" s="31">
        <f t="shared" si="18"/>
        <v>150</v>
      </c>
      <c r="H105" s="31">
        <f t="shared" si="18"/>
        <v>720</v>
      </c>
      <c r="I105" s="31">
        <f t="shared" si="18"/>
        <v>140</v>
      </c>
      <c r="J105" s="31">
        <f t="shared" si="18"/>
        <v>320</v>
      </c>
      <c r="K105" s="31">
        <f t="shared" si="18"/>
        <v>470</v>
      </c>
      <c r="L105" s="31">
        <f t="shared" si="19"/>
        <v>470</v>
      </c>
      <c r="M105" s="31">
        <f t="shared" si="19"/>
        <v>140</v>
      </c>
      <c r="N105" s="31">
        <f t="shared" si="7"/>
        <v>440</v>
      </c>
      <c r="O105" s="31">
        <f t="shared" si="20"/>
        <v>440</v>
      </c>
      <c r="P105" s="31">
        <f t="shared" si="21"/>
        <v>440</v>
      </c>
    </row>
    <row r="106" spans="4:16" ht="20.100000000000001" customHeight="1" x14ac:dyDescent="0.25">
      <c r="D106" s="31" t="s">
        <v>344</v>
      </c>
      <c r="E106" s="31" t="str">
        <f>E35</f>
        <v>South West</v>
      </c>
      <c r="F106" s="31" t="str">
        <f t="shared" ref="F106:K106" si="22">F35</f>
        <v>Spring</v>
      </c>
      <c r="G106" s="31">
        <f t="shared" si="22"/>
        <v>340</v>
      </c>
      <c r="H106" s="31">
        <f t="shared" si="22"/>
        <v>800</v>
      </c>
      <c r="I106" s="31">
        <f t="shared" si="22"/>
        <v>260</v>
      </c>
      <c r="J106" s="31">
        <f t="shared" si="22"/>
        <v>420</v>
      </c>
      <c r="K106" s="31">
        <f t="shared" si="22"/>
        <v>550</v>
      </c>
      <c r="L106" s="31">
        <f>K35</f>
        <v>550</v>
      </c>
      <c r="M106" s="31">
        <f>L35</f>
        <v>300</v>
      </c>
      <c r="N106" s="31">
        <f>M35</f>
        <v>480</v>
      </c>
      <c r="O106" s="31">
        <f>M35</f>
        <v>480</v>
      </c>
      <c r="P106" s="31">
        <f>M35</f>
        <v>480</v>
      </c>
    </row>
    <row r="107" spans="4:16" ht="20.100000000000001" customHeight="1" x14ac:dyDescent="0.25">
      <c r="D107" s="31" t="s">
        <v>344</v>
      </c>
      <c r="E107" s="31" t="str">
        <f t="shared" ref="E107:K117" si="23">E36</f>
        <v>South West</v>
      </c>
      <c r="F107" s="31" t="str">
        <f t="shared" si="23"/>
        <v>Summer</v>
      </c>
      <c r="G107" s="31">
        <f t="shared" si="23"/>
        <v>380</v>
      </c>
      <c r="H107" s="31">
        <f t="shared" si="23"/>
        <v>780</v>
      </c>
      <c r="I107" s="31">
        <f t="shared" si="23"/>
        <v>300</v>
      </c>
      <c r="J107" s="31">
        <f t="shared" si="23"/>
        <v>450</v>
      </c>
      <c r="K107" s="31">
        <f t="shared" si="23"/>
        <v>530</v>
      </c>
      <c r="L107" s="31">
        <f t="shared" ref="L107:N117" si="24">K36</f>
        <v>530</v>
      </c>
      <c r="M107" s="31">
        <f t="shared" si="24"/>
        <v>340</v>
      </c>
      <c r="N107" s="31">
        <f t="shared" si="24"/>
        <v>470</v>
      </c>
      <c r="O107" s="31">
        <f t="shared" ref="O107:O117" si="25">M36</f>
        <v>470</v>
      </c>
      <c r="P107" s="31">
        <f t="shared" ref="P107:P117" si="26">M36</f>
        <v>470</v>
      </c>
    </row>
    <row r="108" spans="4:16" ht="20.100000000000001" customHeight="1" x14ac:dyDescent="0.25">
      <c r="D108" s="31" t="s">
        <v>344</v>
      </c>
      <c r="E108" s="31" t="str">
        <f t="shared" si="23"/>
        <v>South West</v>
      </c>
      <c r="F108" s="31" t="str">
        <f t="shared" si="23"/>
        <v>Autumn</v>
      </c>
      <c r="G108" s="31">
        <f t="shared" si="23"/>
        <v>100</v>
      </c>
      <c r="H108" s="31">
        <f t="shared" si="23"/>
        <v>680</v>
      </c>
      <c r="I108" s="31">
        <f t="shared" si="23"/>
        <v>80</v>
      </c>
      <c r="J108" s="31">
        <f t="shared" si="23"/>
        <v>320</v>
      </c>
      <c r="K108" s="31">
        <f t="shared" si="23"/>
        <v>480</v>
      </c>
      <c r="L108" s="31">
        <f t="shared" si="24"/>
        <v>480</v>
      </c>
      <c r="M108" s="31">
        <f t="shared" si="24"/>
        <v>100</v>
      </c>
      <c r="N108" s="31">
        <f t="shared" si="24"/>
        <v>340</v>
      </c>
      <c r="O108" s="31">
        <f t="shared" si="25"/>
        <v>340</v>
      </c>
      <c r="P108" s="31">
        <f t="shared" si="26"/>
        <v>340</v>
      </c>
    </row>
    <row r="109" spans="4:16" ht="20.100000000000001" customHeight="1" x14ac:dyDescent="0.25">
      <c r="D109" s="31" t="s">
        <v>344</v>
      </c>
      <c r="E109" s="31" t="str">
        <f t="shared" si="23"/>
        <v>South West</v>
      </c>
      <c r="F109" s="31" t="str">
        <f t="shared" si="23"/>
        <v>Winter</v>
      </c>
      <c r="G109" s="31">
        <f t="shared" si="23"/>
        <v>190</v>
      </c>
      <c r="H109" s="31">
        <f t="shared" si="23"/>
        <v>700</v>
      </c>
      <c r="I109" s="31">
        <f t="shared" si="23"/>
        <v>150</v>
      </c>
      <c r="J109" s="31">
        <f t="shared" si="23"/>
        <v>330</v>
      </c>
      <c r="K109" s="31">
        <f t="shared" si="23"/>
        <v>490</v>
      </c>
      <c r="L109" s="31">
        <f t="shared" si="24"/>
        <v>490</v>
      </c>
      <c r="M109" s="31">
        <f t="shared" si="24"/>
        <v>170</v>
      </c>
      <c r="N109" s="31">
        <f t="shared" si="24"/>
        <v>360</v>
      </c>
      <c r="O109" s="31">
        <f t="shared" si="25"/>
        <v>360</v>
      </c>
      <c r="P109" s="31">
        <f t="shared" si="26"/>
        <v>360</v>
      </c>
    </row>
    <row r="110" spans="4:16" ht="20.100000000000001" customHeight="1" x14ac:dyDescent="0.25">
      <c r="D110" s="31" t="s">
        <v>344</v>
      </c>
      <c r="E110" s="31" t="str">
        <f t="shared" si="23"/>
        <v>Pilbara</v>
      </c>
      <c r="F110" s="31" t="str">
        <f t="shared" si="23"/>
        <v>Spring</v>
      </c>
      <c r="G110" s="31">
        <f t="shared" si="23"/>
        <v>80</v>
      </c>
      <c r="H110" s="31">
        <f t="shared" si="23"/>
        <v>450</v>
      </c>
      <c r="I110" s="31">
        <f t="shared" si="23"/>
        <v>70</v>
      </c>
      <c r="J110" s="31">
        <f t="shared" si="23"/>
        <v>260</v>
      </c>
      <c r="K110" s="31">
        <f t="shared" si="23"/>
        <v>340</v>
      </c>
      <c r="L110" s="31">
        <f t="shared" si="24"/>
        <v>340</v>
      </c>
      <c r="M110" s="31">
        <f t="shared" si="24"/>
        <v>80</v>
      </c>
      <c r="N110" s="31">
        <f t="shared" si="24"/>
        <v>370</v>
      </c>
      <c r="O110" s="31">
        <f t="shared" si="25"/>
        <v>370</v>
      </c>
      <c r="P110" s="31">
        <f t="shared" si="26"/>
        <v>370</v>
      </c>
    </row>
    <row r="111" spans="4:16" ht="20.100000000000001" customHeight="1" x14ac:dyDescent="0.25">
      <c r="D111" s="31" t="s">
        <v>344</v>
      </c>
      <c r="E111" s="31" t="str">
        <f t="shared" si="23"/>
        <v>Pilbara</v>
      </c>
      <c r="F111" s="31" t="str">
        <f t="shared" si="23"/>
        <v>Summer</v>
      </c>
      <c r="G111" s="31">
        <f t="shared" si="23"/>
        <v>150</v>
      </c>
      <c r="H111" s="31">
        <f t="shared" si="23"/>
        <v>500</v>
      </c>
      <c r="I111" s="31">
        <f t="shared" si="23"/>
        <v>140</v>
      </c>
      <c r="J111" s="31">
        <f t="shared" si="23"/>
        <v>310</v>
      </c>
      <c r="K111" s="31">
        <f t="shared" si="23"/>
        <v>360</v>
      </c>
      <c r="L111" s="31">
        <f t="shared" si="24"/>
        <v>360</v>
      </c>
      <c r="M111" s="31">
        <f t="shared" si="24"/>
        <v>150</v>
      </c>
      <c r="N111" s="31">
        <f t="shared" si="24"/>
        <v>400</v>
      </c>
      <c r="O111" s="31">
        <f t="shared" si="25"/>
        <v>400</v>
      </c>
      <c r="P111" s="31">
        <f t="shared" si="26"/>
        <v>400</v>
      </c>
    </row>
    <row r="112" spans="4:16" ht="20.100000000000001" customHeight="1" x14ac:dyDescent="0.25">
      <c r="D112" s="31" t="s">
        <v>344</v>
      </c>
      <c r="E112" s="31" t="str">
        <f t="shared" si="23"/>
        <v>Pilbara</v>
      </c>
      <c r="F112" s="31" t="str">
        <f t="shared" si="23"/>
        <v>Autumn</v>
      </c>
      <c r="G112" s="31">
        <f t="shared" si="23"/>
        <v>230</v>
      </c>
      <c r="H112" s="31">
        <f t="shared" si="23"/>
        <v>550</v>
      </c>
      <c r="I112" s="31">
        <f t="shared" si="23"/>
        <v>220</v>
      </c>
      <c r="J112" s="31">
        <f t="shared" si="23"/>
        <v>330</v>
      </c>
      <c r="K112" s="31">
        <f t="shared" si="23"/>
        <v>380</v>
      </c>
      <c r="L112" s="31">
        <f t="shared" si="24"/>
        <v>380</v>
      </c>
      <c r="M112" s="31">
        <f t="shared" si="24"/>
        <v>230</v>
      </c>
      <c r="N112" s="31">
        <f t="shared" si="24"/>
        <v>420</v>
      </c>
      <c r="O112" s="31">
        <f t="shared" si="25"/>
        <v>420</v>
      </c>
      <c r="P112" s="31">
        <f t="shared" si="26"/>
        <v>420</v>
      </c>
    </row>
    <row r="113" spans="4:22" ht="20.100000000000001" customHeight="1" x14ac:dyDescent="0.25">
      <c r="D113" s="31" t="s">
        <v>344</v>
      </c>
      <c r="E113" s="31" t="str">
        <f t="shared" si="23"/>
        <v>Pilbara</v>
      </c>
      <c r="F113" s="31" t="str">
        <f t="shared" si="23"/>
        <v>Winter</v>
      </c>
      <c r="G113" s="31">
        <f t="shared" si="23"/>
        <v>250</v>
      </c>
      <c r="H113" s="31">
        <f t="shared" si="23"/>
        <v>500</v>
      </c>
      <c r="I113" s="31">
        <f t="shared" si="23"/>
        <v>240</v>
      </c>
      <c r="J113" s="31">
        <f t="shared" si="23"/>
        <v>340</v>
      </c>
      <c r="K113" s="31">
        <f t="shared" si="23"/>
        <v>360</v>
      </c>
      <c r="L113" s="31">
        <f t="shared" si="24"/>
        <v>360</v>
      </c>
      <c r="M113" s="31">
        <f t="shared" si="24"/>
        <v>250</v>
      </c>
      <c r="N113" s="31">
        <f t="shared" si="24"/>
        <v>390</v>
      </c>
      <c r="O113" s="31">
        <f t="shared" si="25"/>
        <v>390</v>
      </c>
      <c r="P113" s="31">
        <f t="shared" si="26"/>
        <v>390</v>
      </c>
    </row>
    <row r="114" spans="4:22" ht="20.100000000000001" customHeight="1" x14ac:dyDescent="0.25">
      <c r="D114" s="31" t="s">
        <v>344</v>
      </c>
      <c r="E114" s="31" t="str">
        <f t="shared" si="23"/>
        <v>Kimberley</v>
      </c>
      <c r="F114" s="31" t="str">
        <f t="shared" si="23"/>
        <v>Spring</v>
      </c>
      <c r="G114" s="31">
        <f t="shared" si="23"/>
        <v>220</v>
      </c>
      <c r="H114" s="31">
        <f t="shared" si="23"/>
        <v>500</v>
      </c>
      <c r="I114" s="31">
        <f t="shared" si="23"/>
        <v>180</v>
      </c>
      <c r="J114" s="31">
        <f t="shared" si="23"/>
        <v>300</v>
      </c>
      <c r="K114" s="31">
        <f t="shared" si="23"/>
        <v>320</v>
      </c>
      <c r="L114" s="31">
        <f t="shared" si="24"/>
        <v>320</v>
      </c>
      <c r="M114" s="31">
        <f t="shared" si="24"/>
        <v>210</v>
      </c>
      <c r="N114" s="31">
        <f t="shared" si="24"/>
        <v>340</v>
      </c>
      <c r="O114" s="31">
        <f t="shared" si="25"/>
        <v>340</v>
      </c>
      <c r="P114" s="31">
        <f t="shared" si="26"/>
        <v>340</v>
      </c>
    </row>
    <row r="115" spans="4:22" ht="20.100000000000001" customHeight="1" x14ac:dyDescent="0.25">
      <c r="D115" s="31" t="s">
        <v>344</v>
      </c>
      <c r="E115" s="31" t="str">
        <f t="shared" si="23"/>
        <v>Kimberley</v>
      </c>
      <c r="F115" s="31" t="str">
        <f t="shared" si="23"/>
        <v>Summer</v>
      </c>
      <c r="G115" s="31">
        <f t="shared" si="23"/>
        <v>110</v>
      </c>
      <c r="H115" s="31">
        <f t="shared" si="23"/>
        <v>550</v>
      </c>
      <c r="I115" s="31">
        <f t="shared" si="23"/>
        <v>90</v>
      </c>
      <c r="J115" s="31">
        <f t="shared" si="23"/>
        <v>220</v>
      </c>
      <c r="K115" s="31">
        <f t="shared" si="23"/>
        <v>380</v>
      </c>
      <c r="L115" s="31">
        <f t="shared" si="24"/>
        <v>380</v>
      </c>
      <c r="M115" s="31">
        <f t="shared" si="24"/>
        <v>100</v>
      </c>
      <c r="N115" s="31">
        <f t="shared" si="24"/>
        <v>390</v>
      </c>
      <c r="O115" s="31">
        <f t="shared" si="25"/>
        <v>390</v>
      </c>
      <c r="P115" s="31">
        <f t="shared" si="26"/>
        <v>390</v>
      </c>
      <c r="V115" s="1"/>
    </row>
    <row r="116" spans="4:22" ht="20.100000000000001" customHeight="1" x14ac:dyDescent="0.25">
      <c r="D116" s="31" t="s">
        <v>344</v>
      </c>
      <c r="E116" s="31" t="str">
        <f t="shared" si="23"/>
        <v>Kimberley</v>
      </c>
      <c r="F116" s="31" t="str">
        <f t="shared" si="23"/>
        <v>Autumn</v>
      </c>
      <c r="G116" s="31">
        <f t="shared" si="23"/>
        <v>170</v>
      </c>
      <c r="H116" s="31">
        <f t="shared" si="23"/>
        <v>600</v>
      </c>
      <c r="I116" s="31">
        <f t="shared" si="23"/>
        <v>140</v>
      </c>
      <c r="J116" s="31">
        <f t="shared" si="23"/>
        <v>270</v>
      </c>
      <c r="K116" s="31">
        <f t="shared" si="23"/>
        <v>390</v>
      </c>
      <c r="L116" s="31">
        <f t="shared" si="24"/>
        <v>390</v>
      </c>
      <c r="M116" s="31">
        <f t="shared" si="24"/>
        <v>160</v>
      </c>
      <c r="N116" s="31">
        <f t="shared" si="24"/>
        <v>430</v>
      </c>
      <c r="O116" s="31">
        <f t="shared" si="25"/>
        <v>430</v>
      </c>
      <c r="P116" s="31">
        <f t="shared" si="26"/>
        <v>430</v>
      </c>
      <c r="V116" s="1"/>
    </row>
    <row r="117" spans="4:22" ht="20.100000000000001" customHeight="1" x14ac:dyDescent="0.25">
      <c r="D117" s="31" t="s">
        <v>344</v>
      </c>
      <c r="E117" s="31" t="str">
        <f t="shared" si="23"/>
        <v>Kimberley</v>
      </c>
      <c r="F117" s="31" t="str">
        <f t="shared" si="23"/>
        <v>Winter</v>
      </c>
      <c r="G117" s="31">
        <f t="shared" si="23"/>
        <v>200</v>
      </c>
      <c r="H117" s="31">
        <f t="shared" si="23"/>
        <v>550</v>
      </c>
      <c r="I117" s="31">
        <f t="shared" si="23"/>
        <v>150</v>
      </c>
      <c r="J117" s="31">
        <f t="shared" si="23"/>
        <v>280</v>
      </c>
      <c r="K117" s="31">
        <f t="shared" si="23"/>
        <v>350</v>
      </c>
      <c r="L117" s="31">
        <f t="shared" si="24"/>
        <v>350</v>
      </c>
      <c r="M117" s="31">
        <f t="shared" si="24"/>
        <v>190</v>
      </c>
      <c r="N117" s="31">
        <f t="shared" si="24"/>
        <v>400</v>
      </c>
      <c r="O117" s="31">
        <f t="shared" si="25"/>
        <v>400</v>
      </c>
      <c r="P117" s="31">
        <f t="shared" si="26"/>
        <v>400</v>
      </c>
      <c r="V117" s="1"/>
    </row>
    <row r="118" spans="4:22" ht="20.100000000000001" customHeight="1" x14ac:dyDescent="0.25">
      <c r="D118" s="31" t="s">
        <v>347</v>
      </c>
      <c r="E118" s="31" t="str">
        <f>E54</f>
        <v>Alice Springs</v>
      </c>
      <c r="F118" s="31" t="str">
        <f t="shared" ref="F118:P118" si="27">F54</f>
        <v>Spring</v>
      </c>
      <c r="G118" s="31">
        <f t="shared" si="27"/>
        <v>220</v>
      </c>
      <c r="H118" s="31">
        <f t="shared" si="27"/>
        <v>706</v>
      </c>
      <c r="I118" s="31">
        <f t="shared" si="27"/>
        <v>208</v>
      </c>
      <c r="J118" s="31">
        <f t="shared" si="27"/>
        <v>323</v>
      </c>
      <c r="K118" s="31">
        <f t="shared" si="27"/>
        <v>415</v>
      </c>
      <c r="L118" s="31">
        <f t="shared" si="27"/>
        <v>467</v>
      </c>
      <c r="M118" s="31">
        <f t="shared" si="27"/>
        <v>223</v>
      </c>
      <c r="N118" s="31">
        <f t="shared" si="27"/>
        <v>371</v>
      </c>
      <c r="O118" s="31">
        <f t="shared" si="27"/>
        <v>493</v>
      </c>
      <c r="P118" s="31">
        <f t="shared" si="27"/>
        <v>585</v>
      </c>
    </row>
    <row r="119" spans="4:22" ht="20.100000000000001" customHeight="1" x14ac:dyDescent="0.25">
      <c r="D119" s="31" t="s">
        <v>347</v>
      </c>
      <c r="E119" s="31" t="str">
        <f t="shared" ref="E119:P134" si="28">E55</f>
        <v>Alice Springs</v>
      </c>
      <c r="F119" s="31" t="str">
        <f t="shared" si="28"/>
        <v>Summer</v>
      </c>
      <c r="G119" s="31">
        <f t="shared" si="28"/>
        <v>110</v>
      </c>
      <c r="H119" s="31">
        <f t="shared" si="28"/>
        <v>703</v>
      </c>
      <c r="I119" s="31">
        <f t="shared" si="28"/>
        <v>112</v>
      </c>
      <c r="J119" s="31">
        <f t="shared" si="28"/>
        <v>256</v>
      </c>
      <c r="K119" s="31">
        <f t="shared" si="28"/>
        <v>368</v>
      </c>
      <c r="L119" s="31">
        <f t="shared" si="28"/>
        <v>465</v>
      </c>
      <c r="M119" s="31">
        <f t="shared" si="28"/>
        <v>108</v>
      </c>
      <c r="N119" s="31">
        <f t="shared" si="28"/>
        <v>280</v>
      </c>
      <c r="O119" s="31">
        <f t="shared" si="28"/>
        <v>421</v>
      </c>
      <c r="P119" s="31">
        <f t="shared" si="28"/>
        <v>543</v>
      </c>
    </row>
    <row r="120" spans="4:22" ht="20.100000000000001" customHeight="1" x14ac:dyDescent="0.25">
      <c r="D120" s="31" t="s">
        <v>347</v>
      </c>
      <c r="E120" s="31" t="str">
        <f t="shared" si="28"/>
        <v>Alice Springs</v>
      </c>
      <c r="F120" s="31" t="str">
        <f t="shared" si="28"/>
        <v>Autumn</v>
      </c>
      <c r="G120" s="31">
        <f t="shared" si="28"/>
        <v>170</v>
      </c>
      <c r="H120" s="31">
        <f t="shared" si="28"/>
        <v>721</v>
      </c>
      <c r="I120" s="31">
        <f t="shared" si="28"/>
        <v>169</v>
      </c>
      <c r="J120" s="31">
        <f t="shared" si="28"/>
        <v>306</v>
      </c>
      <c r="K120" s="31">
        <f t="shared" si="28"/>
        <v>392</v>
      </c>
      <c r="L120" s="31">
        <f t="shared" si="28"/>
        <v>464</v>
      </c>
      <c r="M120" s="31">
        <f t="shared" si="28"/>
        <v>176</v>
      </c>
      <c r="N120" s="31">
        <f t="shared" si="28"/>
        <v>339</v>
      </c>
      <c r="O120" s="31">
        <f t="shared" si="28"/>
        <v>470</v>
      </c>
      <c r="P120" s="31">
        <f t="shared" si="28"/>
        <v>580</v>
      </c>
    </row>
    <row r="121" spans="4:22" ht="20.100000000000001" customHeight="1" x14ac:dyDescent="0.25">
      <c r="D121" s="31" t="s">
        <v>347</v>
      </c>
      <c r="E121" s="31" t="str">
        <f t="shared" si="28"/>
        <v>Alice Springs</v>
      </c>
      <c r="F121" s="31" t="str">
        <f t="shared" si="28"/>
        <v>Winter</v>
      </c>
      <c r="G121" s="31">
        <f t="shared" si="28"/>
        <v>200</v>
      </c>
      <c r="H121" s="31">
        <f t="shared" si="28"/>
        <v>727</v>
      </c>
      <c r="I121" s="31">
        <f t="shared" si="28"/>
        <v>211</v>
      </c>
      <c r="J121" s="31">
        <f t="shared" si="28"/>
        <v>338</v>
      </c>
      <c r="K121" s="31">
        <f t="shared" si="28"/>
        <v>432</v>
      </c>
      <c r="L121" s="31">
        <f t="shared" si="28"/>
        <v>492</v>
      </c>
      <c r="M121" s="31">
        <f t="shared" si="28"/>
        <v>222</v>
      </c>
      <c r="N121" s="31">
        <f t="shared" si="28"/>
        <v>377</v>
      </c>
      <c r="O121" s="31">
        <f t="shared" si="28"/>
        <v>498</v>
      </c>
      <c r="P121" s="31">
        <f t="shared" si="28"/>
        <v>590</v>
      </c>
    </row>
    <row r="122" spans="4:22" ht="20.100000000000001" customHeight="1" x14ac:dyDescent="0.25">
      <c r="D122" s="31" t="s">
        <v>347</v>
      </c>
      <c r="E122" s="31" t="str">
        <f t="shared" si="28"/>
        <v>Barkly</v>
      </c>
      <c r="F122" s="31" t="str">
        <f t="shared" si="28"/>
        <v>Spring</v>
      </c>
      <c r="G122" s="31">
        <f t="shared" si="28"/>
        <v>220</v>
      </c>
      <c r="H122" s="31">
        <f t="shared" si="28"/>
        <v>620</v>
      </c>
      <c r="I122" s="31">
        <f t="shared" si="28"/>
        <v>227</v>
      </c>
      <c r="J122" s="31">
        <f t="shared" si="28"/>
        <v>319</v>
      </c>
      <c r="K122" s="31">
        <f t="shared" si="28"/>
        <v>398</v>
      </c>
      <c r="L122" s="31">
        <f t="shared" si="28"/>
        <v>452</v>
      </c>
      <c r="M122" s="31">
        <f t="shared" si="28"/>
        <v>216</v>
      </c>
      <c r="N122" s="31">
        <f t="shared" si="28"/>
        <v>334</v>
      </c>
      <c r="O122" s="31" t="str">
        <f t="shared" si="28"/>
        <v>NO</v>
      </c>
      <c r="P122" s="31" t="str">
        <f t="shared" si="28"/>
        <v>NO</v>
      </c>
    </row>
    <row r="123" spans="4:22" ht="20.100000000000001" customHeight="1" x14ac:dyDescent="0.25">
      <c r="D123" s="31" t="s">
        <v>347</v>
      </c>
      <c r="E123" s="31" t="str">
        <f t="shared" si="28"/>
        <v>Barkly</v>
      </c>
      <c r="F123" s="31" t="str">
        <f t="shared" si="28"/>
        <v>Summer</v>
      </c>
      <c r="G123" s="31">
        <f t="shared" si="28"/>
        <v>110</v>
      </c>
      <c r="H123" s="31">
        <f t="shared" si="28"/>
        <v>650</v>
      </c>
      <c r="I123" s="31">
        <f t="shared" si="28"/>
        <v>108</v>
      </c>
      <c r="J123" s="31">
        <f t="shared" si="28"/>
        <v>262</v>
      </c>
      <c r="K123" s="31">
        <f t="shared" si="28"/>
        <v>346</v>
      </c>
      <c r="L123" s="31">
        <f t="shared" si="28"/>
        <v>430</v>
      </c>
      <c r="M123" s="31">
        <f t="shared" si="28"/>
        <v>111</v>
      </c>
      <c r="N123" s="31">
        <f t="shared" si="28"/>
        <v>236</v>
      </c>
      <c r="O123" s="31" t="str">
        <f t="shared" si="28"/>
        <v>NO</v>
      </c>
      <c r="P123" s="31" t="str">
        <f t="shared" si="28"/>
        <v>NO</v>
      </c>
    </row>
    <row r="124" spans="4:22" ht="20.100000000000001" customHeight="1" x14ac:dyDescent="0.25">
      <c r="D124" s="31" t="s">
        <v>347</v>
      </c>
      <c r="E124" s="31" t="str">
        <f t="shared" si="28"/>
        <v>Barkly</v>
      </c>
      <c r="F124" s="31" t="str">
        <f t="shared" si="28"/>
        <v>Autumn</v>
      </c>
      <c r="G124" s="31">
        <f t="shared" si="28"/>
        <v>170</v>
      </c>
      <c r="H124" s="31">
        <f t="shared" si="28"/>
        <v>670</v>
      </c>
      <c r="I124" s="31">
        <f t="shared" si="28"/>
        <v>170</v>
      </c>
      <c r="J124" s="31">
        <f t="shared" si="28"/>
        <v>266</v>
      </c>
      <c r="K124" s="31">
        <f t="shared" si="28"/>
        <v>363</v>
      </c>
      <c r="L124" s="31">
        <f t="shared" si="28"/>
        <v>444</v>
      </c>
      <c r="M124" s="31">
        <f t="shared" si="28"/>
        <v>169</v>
      </c>
      <c r="N124" s="31">
        <f t="shared" si="28"/>
        <v>282</v>
      </c>
      <c r="O124" s="31" t="str">
        <f t="shared" si="28"/>
        <v>NO</v>
      </c>
      <c r="P124" s="31" t="str">
        <f t="shared" si="28"/>
        <v>NO</v>
      </c>
    </row>
    <row r="125" spans="4:22" ht="20.100000000000001" customHeight="1" x14ac:dyDescent="0.25">
      <c r="D125" s="31" t="s">
        <v>347</v>
      </c>
      <c r="E125" s="31" t="str">
        <f t="shared" si="28"/>
        <v>Barkly</v>
      </c>
      <c r="F125" s="31" t="str">
        <f t="shared" si="28"/>
        <v>Winter</v>
      </c>
      <c r="G125" s="31">
        <f t="shared" si="28"/>
        <v>200</v>
      </c>
      <c r="H125" s="31">
        <f t="shared" si="28"/>
        <v>660</v>
      </c>
      <c r="I125" s="31">
        <f t="shared" si="28"/>
        <v>225</v>
      </c>
      <c r="J125" s="31">
        <f t="shared" si="28"/>
        <v>307</v>
      </c>
      <c r="K125" s="31">
        <f t="shared" si="28"/>
        <v>398</v>
      </c>
      <c r="L125" s="31">
        <f t="shared" si="28"/>
        <v>452</v>
      </c>
      <c r="M125" s="31">
        <f t="shared" si="28"/>
        <v>214</v>
      </c>
      <c r="N125" s="31">
        <f t="shared" si="28"/>
        <v>326</v>
      </c>
      <c r="O125" s="31" t="str">
        <f t="shared" si="28"/>
        <v>NO</v>
      </c>
      <c r="P125" s="31" t="str">
        <f t="shared" si="28"/>
        <v>NO</v>
      </c>
      <c r="V125" s="1"/>
    </row>
    <row r="126" spans="4:22" ht="20.100000000000001" customHeight="1" x14ac:dyDescent="0.25">
      <c r="D126" s="31" t="s">
        <v>347</v>
      </c>
      <c r="E126" s="31" t="str">
        <f t="shared" si="28"/>
        <v>Northern</v>
      </c>
      <c r="F126" s="31" t="str">
        <f t="shared" si="28"/>
        <v>Spring</v>
      </c>
      <c r="G126" s="31">
        <f t="shared" si="28"/>
        <v>220</v>
      </c>
      <c r="H126" s="31">
        <f t="shared" si="28"/>
        <v>620</v>
      </c>
      <c r="I126" s="31">
        <f t="shared" si="28"/>
        <v>177</v>
      </c>
      <c r="J126" s="31">
        <f t="shared" si="28"/>
        <v>267</v>
      </c>
      <c r="K126" s="31">
        <f t="shared" si="28"/>
        <v>365</v>
      </c>
      <c r="L126" s="31">
        <f t="shared" si="28"/>
        <v>406</v>
      </c>
      <c r="M126" s="31">
        <f t="shared" si="28"/>
        <v>231</v>
      </c>
      <c r="N126" s="31">
        <f t="shared" si="28"/>
        <v>249</v>
      </c>
      <c r="O126" s="31">
        <f t="shared" si="28"/>
        <v>324</v>
      </c>
      <c r="P126" s="31" t="str">
        <f t="shared" si="28"/>
        <v>NO</v>
      </c>
      <c r="V126" s="1"/>
    </row>
    <row r="127" spans="4:22" ht="20.100000000000001" customHeight="1" x14ac:dyDescent="0.25">
      <c r="D127" s="31" t="s">
        <v>347</v>
      </c>
      <c r="E127" s="31" t="str">
        <f t="shared" si="28"/>
        <v>Northern</v>
      </c>
      <c r="F127" s="31" t="str">
        <f t="shared" si="28"/>
        <v>Summer</v>
      </c>
      <c r="G127" s="31">
        <f t="shared" si="28"/>
        <v>110</v>
      </c>
      <c r="H127" s="31">
        <f t="shared" si="28"/>
        <v>650</v>
      </c>
      <c r="I127" s="31">
        <f t="shared" si="28"/>
        <v>102</v>
      </c>
      <c r="J127" s="31">
        <f t="shared" si="28"/>
        <v>203</v>
      </c>
      <c r="K127" s="31">
        <f t="shared" si="28"/>
        <v>299</v>
      </c>
      <c r="L127" s="31">
        <f t="shared" si="28"/>
        <v>380</v>
      </c>
      <c r="M127" s="31">
        <f t="shared" si="28"/>
        <v>102</v>
      </c>
      <c r="N127" s="31">
        <f t="shared" si="28"/>
        <v>218</v>
      </c>
      <c r="O127" s="31">
        <f t="shared" si="28"/>
        <v>263</v>
      </c>
      <c r="P127" s="31" t="str">
        <f t="shared" si="28"/>
        <v>NO</v>
      </c>
      <c r="V127" s="1"/>
    </row>
    <row r="128" spans="4:22" ht="20.100000000000001" customHeight="1" x14ac:dyDescent="0.25">
      <c r="D128" s="31" t="s">
        <v>347</v>
      </c>
      <c r="E128" s="31" t="str">
        <f t="shared" si="28"/>
        <v>Northern</v>
      </c>
      <c r="F128" s="31" t="str">
        <f t="shared" si="28"/>
        <v>Autumn</v>
      </c>
      <c r="G128" s="31">
        <f t="shared" si="28"/>
        <v>170</v>
      </c>
      <c r="H128" s="31">
        <f t="shared" si="28"/>
        <v>670</v>
      </c>
      <c r="I128" s="31">
        <f t="shared" si="28"/>
        <v>173</v>
      </c>
      <c r="J128" s="31">
        <f t="shared" si="28"/>
        <v>250</v>
      </c>
      <c r="K128" s="31">
        <f t="shared" si="28"/>
        <v>336</v>
      </c>
      <c r="L128" s="31">
        <f t="shared" si="28"/>
        <v>414</v>
      </c>
      <c r="M128" s="31">
        <f t="shared" si="28"/>
        <v>175</v>
      </c>
      <c r="N128" s="31">
        <f t="shared" si="28"/>
        <v>243</v>
      </c>
      <c r="O128" s="31">
        <f t="shared" si="28"/>
        <v>304</v>
      </c>
      <c r="P128" s="31" t="str">
        <f t="shared" si="28"/>
        <v>NO</v>
      </c>
      <c r="V128" s="1"/>
    </row>
    <row r="129" spans="4:22" ht="20.100000000000001" customHeight="1" x14ac:dyDescent="0.25">
      <c r="D129" s="31" t="s">
        <v>347</v>
      </c>
      <c r="E129" s="31" t="str">
        <f t="shared" si="28"/>
        <v>Northern</v>
      </c>
      <c r="F129" s="31" t="str">
        <f t="shared" si="28"/>
        <v>Winter</v>
      </c>
      <c r="G129" s="31">
        <f t="shared" si="28"/>
        <v>200</v>
      </c>
      <c r="H129" s="31">
        <f t="shared" si="28"/>
        <v>660</v>
      </c>
      <c r="I129" s="31">
        <f t="shared" si="28"/>
        <v>202</v>
      </c>
      <c r="J129" s="31">
        <f t="shared" si="28"/>
        <v>272</v>
      </c>
      <c r="K129" s="31">
        <f t="shared" si="28"/>
        <v>365</v>
      </c>
      <c r="L129" s="31">
        <f t="shared" si="28"/>
        <v>390</v>
      </c>
      <c r="M129" s="31">
        <f t="shared" si="28"/>
        <v>208</v>
      </c>
      <c r="N129" s="31">
        <f t="shared" si="28"/>
        <v>260</v>
      </c>
      <c r="O129" s="31">
        <f t="shared" si="28"/>
        <v>337</v>
      </c>
      <c r="P129" s="31" t="str">
        <f t="shared" si="28"/>
        <v>NO</v>
      </c>
      <c r="V129" s="1"/>
    </row>
    <row r="130" spans="4:22" ht="20.100000000000001" customHeight="1" x14ac:dyDescent="0.25">
      <c r="D130" s="31" t="s">
        <v>351</v>
      </c>
      <c r="E130" s="31" t="str">
        <f t="shared" si="28"/>
        <v>High</v>
      </c>
      <c r="F130" s="31" t="str">
        <f t="shared" si="28"/>
        <v>Spring</v>
      </c>
      <c r="G130" s="31">
        <f t="shared" si="28"/>
        <v>260</v>
      </c>
      <c r="H130" s="31">
        <f t="shared" si="28"/>
        <v>705</v>
      </c>
      <c r="I130" s="31">
        <f t="shared" si="28"/>
        <v>215</v>
      </c>
      <c r="J130" s="31">
        <f t="shared" si="28"/>
        <v>302</v>
      </c>
      <c r="K130" s="31">
        <f t="shared" si="28"/>
        <v>416</v>
      </c>
      <c r="L130" s="31">
        <f t="shared" si="28"/>
        <v>519</v>
      </c>
      <c r="M130" s="31">
        <f t="shared" si="28"/>
        <v>234</v>
      </c>
      <c r="N130" s="31">
        <f t="shared" si="28"/>
        <v>455</v>
      </c>
      <c r="O130" s="31">
        <f t="shared" si="28"/>
        <v>551</v>
      </c>
      <c r="P130" s="31">
        <f t="shared" si="28"/>
        <v>660</v>
      </c>
      <c r="V130" s="1"/>
    </row>
    <row r="131" spans="4:22" ht="20.100000000000001" customHeight="1" x14ac:dyDescent="0.25">
      <c r="D131" s="31" t="s">
        <v>351</v>
      </c>
      <c r="E131" s="31" t="str">
        <f t="shared" si="28"/>
        <v>High</v>
      </c>
      <c r="F131" s="31" t="str">
        <f t="shared" si="28"/>
        <v>Summer</v>
      </c>
      <c r="G131" s="31">
        <f t="shared" si="28"/>
        <v>153</v>
      </c>
      <c r="H131" s="31">
        <f t="shared" si="28"/>
        <v>703</v>
      </c>
      <c r="I131" s="31">
        <f t="shared" si="28"/>
        <v>118</v>
      </c>
      <c r="J131" s="31">
        <f t="shared" si="28"/>
        <v>277</v>
      </c>
      <c r="K131" s="31">
        <f t="shared" si="28"/>
        <v>397</v>
      </c>
      <c r="L131" s="31">
        <f t="shared" si="28"/>
        <v>483</v>
      </c>
      <c r="M131" s="31">
        <f t="shared" si="28"/>
        <v>111</v>
      </c>
      <c r="N131" s="31">
        <f t="shared" si="28"/>
        <v>304</v>
      </c>
      <c r="O131" s="31">
        <f t="shared" si="28"/>
        <v>521</v>
      </c>
      <c r="P131" s="31">
        <f t="shared" si="28"/>
        <v>547</v>
      </c>
    </row>
    <row r="132" spans="4:22" ht="20.100000000000001" customHeight="1" x14ac:dyDescent="0.25">
      <c r="D132" s="31" t="s">
        <v>351</v>
      </c>
      <c r="E132" s="31" t="str">
        <f t="shared" si="28"/>
        <v>High</v>
      </c>
      <c r="F132" s="31" t="str">
        <f t="shared" si="28"/>
        <v>Autumn</v>
      </c>
      <c r="G132" s="31">
        <f t="shared" si="28"/>
        <v>168</v>
      </c>
      <c r="H132" s="31">
        <f t="shared" si="28"/>
        <v>718</v>
      </c>
      <c r="I132" s="31">
        <f t="shared" si="28"/>
        <v>191</v>
      </c>
      <c r="J132" s="31">
        <f t="shared" si="28"/>
        <v>319</v>
      </c>
      <c r="K132" s="31">
        <f t="shared" si="28"/>
        <v>440</v>
      </c>
      <c r="L132" s="31">
        <f t="shared" si="28"/>
        <v>506</v>
      </c>
      <c r="M132" s="31">
        <f t="shared" si="28"/>
        <v>188</v>
      </c>
      <c r="N132" s="31">
        <f t="shared" si="28"/>
        <v>326</v>
      </c>
      <c r="O132" s="31">
        <f t="shared" si="28"/>
        <v>520</v>
      </c>
      <c r="P132" s="31">
        <f t="shared" si="28"/>
        <v>582</v>
      </c>
    </row>
    <row r="133" spans="4:22" ht="20.100000000000001" customHeight="1" x14ac:dyDescent="0.25">
      <c r="D133" s="31" t="s">
        <v>351</v>
      </c>
      <c r="E133" s="31" t="str">
        <f t="shared" si="28"/>
        <v>High</v>
      </c>
      <c r="F133" s="31" t="str">
        <f t="shared" si="28"/>
        <v>Winter</v>
      </c>
      <c r="G133" s="31">
        <f t="shared" si="28"/>
        <v>235</v>
      </c>
      <c r="H133" s="31">
        <f t="shared" si="28"/>
        <v>722</v>
      </c>
      <c r="I133" s="31">
        <f t="shared" si="28"/>
        <v>207</v>
      </c>
      <c r="J133" s="31">
        <f t="shared" si="28"/>
        <v>352</v>
      </c>
      <c r="K133" s="31">
        <f t="shared" si="28"/>
        <v>470</v>
      </c>
      <c r="L133" s="31">
        <f t="shared" si="28"/>
        <v>514</v>
      </c>
      <c r="M133" s="31">
        <f t="shared" si="28"/>
        <v>209</v>
      </c>
      <c r="N133" s="31">
        <f t="shared" si="28"/>
        <v>421</v>
      </c>
      <c r="O133" s="31">
        <f t="shared" si="28"/>
        <v>512</v>
      </c>
      <c r="P133" s="31">
        <f t="shared" si="28"/>
        <v>605</v>
      </c>
    </row>
    <row r="134" spans="4:22" ht="20.100000000000001" customHeight="1" x14ac:dyDescent="0.25">
      <c r="D134" s="31" t="s">
        <v>351</v>
      </c>
      <c r="E134" s="31" t="str">
        <f t="shared" si="28"/>
        <v>Moderate/High</v>
      </c>
      <c r="F134" s="31" t="str">
        <f t="shared" si="28"/>
        <v>Spring</v>
      </c>
      <c r="G134" s="31">
        <f t="shared" si="28"/>
        <v>230</v>
      </c>
      <c r="H134" s="31">
        <f t="shared" si="28"/>
        <v>674</v>
      </c>
      <c r="I134" s="31">
        <f t="shared" si="28"/>
        <v>217</v>
      </c>
      <c r="J134" s="31">
        <f t="shared" si="28"/>
        <v>344</v>
      </c>
      <c r="K134" s="31">
        <f t="shared" si="28"/>
        <v>357</v>
      </c>
      <c r="L134" s="31">
        <f t="shared" si="28"/>
        <v>467</v>
      </c>
      <c r="M134" s="31">
        <f t="shared" si="28"/>
        <v>242</v>
      </c>
      <c r="N134" s="31">
        <f t="shared" si="28"/>
        <v>370</v>
      </c>
      <c r="O134" s="31">
        <f t="shared" si="28"/>
        <v>550</v>
      </c>
      <c r="P134" s="31">
        <f t="shared" si="28"/>
        <v>620</v>
      </c>
    </row>
    <row r="135" spans="4:22" ht="20.100000000000001" customHeight="1" x14ac:dyDescent="0.25">
      <c r="D135" s="31" t="s">
        <v>351</v>
      </c>
      <c r="E135" s="31" t="str">
        <f t="shared" ref="E135:P145" si="29">E71</f>
        <v>Moderate/High</v>
      </c>
      <c r="F135" s="31" t="str">
        <f t="shared" si="29"/>
        <v>Summer</v>
      </c>
      <c r="G135" s="31">
        <f t="shared" si="29"/>
        <v>113</v>
      </c>
      <c r="H135" s="31">
        <f t="shared" si="29"/>
        <v>669</v>
      </c>
      <c r="I135" s="31">
        <f t="shared" si="29"/>
        <v>113</v>
      </c>
      <c r="J135" s="31">
        <f t="shared" si="29"/>
        <v>283</v>
      </c>
      <c r="K135" s="31">
        <f t="shared" si="29"/>
        <v>361</v>
      </c>
      <c r="L135" s="31">
        <f t="shared" si="29"/>
        <v>477</v>
      </c>
      <c r="M135" s="31">
        <f t="shared" si="29"/>
        <v>120</v>
      </c>
      <c r="N135" s="31">
        <f t="shared" si="29"/>
        <v>273</v>
      </c>
      <c r="O135" s="31">
        <f t="shared" si="29"/>
        <v>545</v>
      </c>
      <c r="P135" s="31">
        <f t="shared" si="29"/>
        <v>553</v>
      </c>
    </row>
    <row r="136" spans="4:22" ht="20.100000000000001" customHeight="1" x14ac:dyDescent="0.25">
      <c r="D136" s="31" t="s">
        <v>351</v>
      </c>
      <c r="E136" s="31" t="str">
        <f t="shared" si="29"/>
        <v>Moderate/High</v>
      </c>
      <c r="F136" s="31" t="str">
        <f t="shared" si="29"/>
        <v>Autumn</v>
      </c>
      <c r="G136" s="31">
        <f t="shared" si="29"/>
        <v>172</v>
      </c>
      <c r="H136" s="31">
        <f t="shared" si="29"/>
        <v>685</v>
      </c>
      <c r="I136" s="31">
        <f t="shared" si="29"/>
        <v>172</v>
      </c>
      <c r="J136" s="31">
        <f t="shared" si="29"/>
        <v>309</v>
      </c>
      <c r="K136" s="31">
        <f t="shared" si="29"/>
        <v>376</v>
      </c>
      <c r="L136" s="31">
        <f t="shared" si="29"/>
        <v>471</v>
      </c>
      <c r="M136" s="31">
        <f t="shared" si="29"/>
        <v>238</v>
      </c>
      <c r="N136" s="31">
        <f t="shared" si="29"/>
        <v>329</v>
      </c>
      <c r="O136" s="31">
        <f t="shared" si="29"/>
        <v>573</v>
      </c>
      <c r="P136" s="31">
        <f t="shared" si="29"/>
        <v>620</v>
      </c>
    </row>
    <row r="137" spans="4:22" ht="20.100000000000001" customHeight="1" x14ac:dyDescent="0.25">
      <c r="D137" s="31" t="s">
        <v>351</v>
      </c>
      <c r="E137" s="31" t="str">
        <f t="shared" si="29"/>
        <v>Moderate/High</v>
      </c>
      <c r="F137" s="31" t="str">
        <f t="shared" si="29"/>
        <v>Winter</v>
      </c>
      <c r="G137" s="31">
        <f t="shared" si="29"/>
        <v>241</v>
      </c>
      <c r="H137" s="31">
        <f t="shared" si="29"/>
        <v>692</v>
      </c>
      <c r="I137" s="31">
        <f t="shared" si="29"/>
        <v>208</v>
      </c>
      <c r="J137" s="31">
        <f t="shared" si="29"/>
        <v>344</v>
      </c>
      <c r="K137" s="31">
        <f t="shared" si="29"/>
        <v>364</v>
      </c>
      <c r="L137" s="31">
        <f t="shared" si="29"/>
        <v>484</v>
      </c>
      <c r="M137" s="31">
        <f t="shared" si="29"/>
        <v>260</v>
      </c>
      <c r="N137" s="31">
        <f t="shared" si="29"/>
        <v>350</v>
      </c>
      <c r="O137" s="31">
        <f t="shared" si="29"/>
        <v>567</v>
      </c>
      <c r="P137" s="31">
        <f t="shared" si="29"/>
        <v>620</v>
      </c>
    </row>
    <row r="138" spans="4:22" ht="20.100000000000001" customHeight="1" x14ac:dyDescent="0.25">
      <c r="D138" s="31" t="s">
        <v>351</v>
      </c>
      <c r="E138" s="31" t="str">
        <f t="shared" si="29"/>
        <v>Moderate/Low</v>
      </c>
      <c r="F138" s="31" t="str">
        <f t="shared" si="29"/>
        <v>Spring</v>
      </c>
      <c r="G138" s="31">
        <f t="shared" si="29"/>
        <v>236</v>
      </c>
      <c r="H138" s="31">
        <f t="shared" si="29"/>
        <v>674</v>
      </c>
      <c r="I138" s="31">
        <f t="shared" si="29"/>
        <v>178</v>
      </c>
      <c r="J138" s="31">
        <f t="shared" si="29"/>
        <v>310</v>
      </c>
      <c r="K138" s="31">
        <f t="shared" si="29"/>
        <v>428</v>
      </c>
      <c r="L138" s="31">
        <f t="shared" si="29"/>
        <v>466</v>
      </c>
      <c r="M138" s="31">
        <f t="shared" si="29"/>
        <v>193</v>
      </c>
      <c r="N138" s="31">
        <f t="shared" si="29"/>
        <v>370</v>
      </c>
      <c r="O138" s="31">
        <f t="shared" si="29"/>
        <v>519</v>
      </c>
      <c r="P138" s="31">
        <f t="shared" si="29"/>
        <v>565</v>
      </c>
    </row>
    <row r="139" spans="4:22" ht="20.100000000000001" customHeight="1" x14ac:dyDescent="0.25">
      <c r="D139" s="31" t="s">
        <v>351</v>
      </c>
      <c r="E139" s="31" t="str">
        <f t="shared" si="29"/>
        <v>Moderate/Low</v>
      </c>
      <c r="F139" s="31" t="str">
        <f t="shared" si="29"/>
        <v>Summer</v>
      </c>
      <c r="G139" s="31">
        <f t="shared" si="29"/>
        <v>120</v>
      </c>
      <c r="H139" s="31">
        <f t="shared" si="29"/>
        <v>669</v>
      </c>
      <c r="I139" s="31">
        <f t="shared" si="29"/>
        <v>112</v>
      </c>
      <c r="J139" s="31">
        <f t="shared" si="29"/>
        <v>250</v>
      </c>
      <c r="K139" s="31">
        <f t="shared" si="29"/>
        <v>390</v>
      </c>
      <c r="L139" s="31">
        <f t="shared" si="29"/>
        <v>448</v>
      </c>
      <c r="M139" s="31">
        <f t="shared" si="29"/>
        <v>115</v>
      </c>
      <c r="N139" s="31">
        <f t="shared" si="29"/>
        <v>273</v>
      </c>
      <c r="O139" s="31">
        <f t="shared" si="29"/>
        <v>433</v>
      </c>
      <c r="P139" s="31">
        <f t="shared" si="29"/>
        <v>556</v>
      </c>
    </row>
    <row r="140" spans="4:22" ht="20.100000000000001" customHeight="1" x14ac:dyDescent="0.25">
      <c r="D140" s="31" t="s">
        <v>351</v>
      </c>
      <c r="E140" s="31" t="str">
        <f t="shared" si="29"/>
        <v>Moderate/Low</v>
      </c>
      <c r="F140" s="31" t="str">
        <f t="shared" si="29"/>
        <v>Autumn</v>
      </c>
      <c r="G140" s="31">
        <f t="shared" si="29"/>
        <v>125</v>
      </c>
      <c r="H140" s="31">
        <f t="shared" si="29"/>
        <v>685</v>
      </c>
      <c r="I140" s="31">
        <f t="shared" si="29"/>
        <v>140</v>
      </c>
      <c r="J140" s="31">
        <f t="shared" si="29"/>
        <v>277</v>
      </c>
      <c r="K140" s="31">
        <f t="shared" si="29"/>
        <v>407</v>
      </c>
      <c r="L140" s="31">
        <f t="shared" si="29"/>
        <v>455</v>
      </c>
      <c r="M140" s="31">
        <f t="shared" si="29"/>
        <v>141</v>
      </c>
      <c r="N140" s="31">
        <f t="shared" si="29"/>
        <v>296</v>
      </c>
      <c r="O140" s="31">
        <f t="shared" si="29"/>
        <v>445</v>
      </c>
      <c r="P140" s="31">
        <f t="shared" si="29"/>
        <v>593</v>
      </c>
    </row>
    <row r="141" spans="4:22" ht="20.100000000000001" customHeight="1" x14ac:dyDescent="0.25">
      <c r="D141" s="31" t="s">
        <v>351</v>
      </c>
      <c r="E141" s="31" t="str">
        <f t="shared" si="29"/>
        <v>Moderate/Low</v>
      </c>
      <c r="F141" s="31" t="str">
        <f t="shared" si="29"/>
        <v>Winter</v>
      </c>
      <c r="G141" s="31">
        <f t="shared" si="29"/>
        <v>180</v>
      </c>
      <c r="H141" s="31">
        <f t="shared" si="29"/>
        <v>692</v>
      </c>
      <c r="I141" s="31">
        <f t="shared" si="29"/>
        <v>183</v>
      </c>
      <c r="J141" s="31">
        <f t="shared" si="29"/>
        <v>316</v>
      </c>
      <c r="K141" s="31">
        <f t="shared" si="29"/>
        <v>438</v>
      </c>
      <c r="L141" s="31">
        <f t="shared" si="29"/>
        <v>468</v>
      </c>
      <c r="M141" s="31">
        <f t="shared" si="29"/>
        <v>189</v>
      </c>
      <c r="N141" s="31">
        <f t="shared" si="29"/>
        <v>354</v>
      </c>
      <c r="O141" s="31">
        <f t="shared" si="29"/>
        <v>500</v>
      </c>
      <c r="P141" s="31">
        <f t="shared" si="29"/>
        <v>553</v>
      </c>
    </row>
    <row r="142" spans="4:22" ht="20.100000000000001" customHeight="1" x14ac:dyDescent="0.25">
      <c r="D142" s="31" t="s">
        <v>351</v>
      </c>
      <c r="E142" s="31" t="str">
        <f t="shared" si="29"/>
        <v>Low</v>
      </c>
      <c r="F142" s="31" t="str">
        <f t="shared" si="29"/>
        <v>Spring</v>
      </c>
      <c r="G142" s="31">
        <f t="shared" si="29"/>
        <v>190</v>
      </c>
      <c r="H142" s="31">
        <f t="shared" si="29"/>
        <v>617</v>
      </c>
      <c r="I142" s="31">
        <f t="shared" si="29"/>
        <v>174</v>
      </c>
      <c r="J142" s="31">
        <f t="shared" si="29"/>
        <v>265</v>
      </c>
      <c r="K142" s="31">
        <f t="shared" si="29"/>
        <v>371</v>
      </c>
      <c r="L142" s="31">
        <f t="shared" si="29"/>
        <v>415</v>
      </c>
      <c r="M142" s="31">
        <f t="shared" si="29"/>
        <v>170</v>
      </c>
      <c r="N142" s="31">
        <f t="shared" si="29"/>
        <v>272</v>
      </c>
      <c r="O142" s="31">
        <f t="shared" si="29"/>
        <v>392</v>
      </c>
      <c r="P142" s="31">
        <f t="shared" si="29"/>
        <v>531</v>
      </c>
    </row>
    <row r="143" spans="4:22" ht="20.100000000000001" customHeight="1" x14ac:dyDescent="0.25">
      <c r="D143" s="31" t="s">
        <v>351</v>
      </c>
      <c r="E143" s="31" t="str">
        <f t="shared" si="29"/>
        <v>Low</v>
      </c>
      <c r="F143" s="31" t="str">
        <f t="shared" si="29"/>
        <v>Summer</v>
      </c>
      <c r="G143" s="31">
        <f t="shared" si="29"/>
        <v>119</v>
      </c>
      <c r="H143" s="31">
        <f t="shared" si="29"/>
        <v>591</v>
      </c>
      <c r="I143" s="31">
        <f t="shared" si="29"/>
        <v>140</v>
      </c>
      <c r="J143" s="31">
        <f t="shared" si="29"/>
        <v>205</v>
      </c>
      <c r="K143" s="31">
        <f t="shared" si="29"/>
        <v>310</v>
      </c>
      <c r="L143" s="31">
        <f t="shared" si="29"/>
        <v>405</v>
      </c>
      <c r="M143" s="31">
        <f t="shared" si="29"/>
        <v>133</v>
      </c>
      <c r="N143" s="31">
        <f t="shared" si="29"/>
        <v>218</v>
      </c>
      <c r="O143" s="31">
        <f t="shared" si="29"/>
        <v>315</v>
      </c>
      <c r="P143" s="31">
        <f t="shared" si="29"/>
        <v>445</v>
      </c>
    </row>
    <row r="144" spans="4:22" ht="20.100000000000001" customHeight="1" x14ac:dyDescent="0.25">
      <c r="D144" s="31" t="s">
        <v>351</v>
      </c>
      <c r="E144" s="31" t="str">
        <f t="shared" si="29"/>
        <v>Low</v>
      </c>
      <c r="F144" s="31" t="str">
        <f t="shared" si="29"/>
        <v>Autumn</v>
      </c>
      <c r="G144" s="31">
        <f t="shared" si="29"/>
        <v>175</v>
      </c>
      <c r="H144" s="31">
        <f t="shared" si="29"/>
        <v>610</v>
      </c>
      <c r="I144" s="31">
        <f t="shared" si="29"/>
        <v>163</v>
      </c>
      <c r="J144" s="31">
        <f t="shared" si="29"/>
        <v>232</v>
      </c>
      <c r="K144" s="31">
        <f t="shared" si="29"/>
        <v>351</v>
      </c>
      <c r="L144" s="31">
        <f t="shared" si="29"/>
        <v>427</v>
      </c>
      <c r="M144" s="31">
        <f t="shared" si="29"/>
        <v>146</v>
      </c>
      <c r="N144" s="31">
        <f t="shared" si="29"/>
        <v>242</v>
      </c>
      <c r="O144" s="31">
        <f t="shared" si="29"/>
        <v>320</v>
      </c>
      <c r="P144" s="31">
        <f t="shared" si="29"/>
        <v>471</v>
      </c>
    </row>
    <row r="145" spans="4:16" ht="20.100000000000001" customHeight="1" x14ac:dyDescent="0.25">
      <c r="D145" s="31" t="s">
        <v>351</v>
      </c>
      <c r="E145" s="31" t="str">
        <f t="shared" si="29"/>
        <v>Low</v>
      </c>
      <c r="F145" s="31" t="str">
        <f t="shared" si="29"/>
        <v>Winter</v>
      </c>
      <c r="G145" s="31">
        <f t="shared" si="29"/>
        <v>192</v>
      </c>
      <c r="H145" s="31">
        <f t="shared" si="29"/>
        <v>615</v>
      </c>
      <c r="I145" s="31">
        <f t="shared" si="29"/>
        <v>162</v>
      </c>
      <c r="J145" s="31">
        <f t="shared" si="29"/>
        <v>255</v>
      </c>
      <c r="K145" s="31">
        <f t="shared" si="29"/>
        <v>364</v>
      </c>
      <c r="L145" s="31">
        <f t="shared" si="29"/>
        <v>420</v>
      </c>
      <c r="M145" s="31">
        <f t="shared" si="29"/>
        <v>157</v>
      </c>
      <c r="N145" s="31">
        <f t="shared" si="29"/>
        <v>261</v>
      </c>
      <c r="O145" s="31">
        <f t="shared" si="29"/>
        <v>342</v>
      </c>
      <c r="P145" s="31">
        <f t="shared" si="29"/>
        <v>484</v>
      </c>
    </row>
    <row r="146" spans="4:16" ht="20.100000000000001" customHeight="1" x14ac:dyDescent="0.25">
      <c r="D146" s="1" t="s">
        <v>355</v>
      </c>
      <c r="E146" s="1" t="s">
        <v>312</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355</v>
      </c>
      <c r="E147" s="1" t="s">
        <v>312</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355</v>
      </c>
      <c r="E148" s="1" t="s">
        <v>312</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355</v>
      </c>
      <c r="E149" s="1" t="s">
        <v>312</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8"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1" t="s">
        <v>110</v>
      </c>
      <c r="E154" s="31" t="s">
        <v>308</v>
      </c>
      <c r="F154" s="31" t="s">
        <v>79</v>
      </c>
      <c r="G154" s="31" t="s">
        <v>356</v>
      </c>
      <c r="H154" s="31" t="s">
        <v>357</v>
      </c>
      <c r="I154" s="31" t="s">
        <v>367</v>
      </c>
      <c r="J154" s="31" t="s">
        <v>329</v>
      </c>
      <c r="K154" s="31" t="s">
        <v>368</v>
      </c>
      <c r="L154" s="31" t="s">
        <v>362</v>
      </c>
      <c r="M154" s="31" t="s">
        <v>369</v>
      </c>
    </row>
    <row r="155" spans="4:16" ht="20.100000000000001" customHeight="1" x14ac:dyDescent="0.25">
      <c r="D155" s="31" t="str" cm="1">
        <f t="array" ref="D155">Common_InputFunctions.Utility_DisplayArrayInTable(SourceData_PastureBeef.SourceData_PastureBeef_LiveweightGain_Data(), Table_SourceData_PastureBeef_LiveweightGain[[#Headers],[State]],0)</f>
        <v>ACT/NSW</v>
      </c>
      <c r="E155" s="31" t="str" cm="1">
        <f t="array" ref="E155">Common_InputFunctions.Utility_DisplayArrayInTable(SourceData_PastureBeef.SourceData_PastureBeef_LiveweightGain_Data(), Table_SourceData_PastureBeef_LiveweightGain[[#Headers],[State]],0)</f>
        <v>n/a</v>
      </c>
      <c r="F155" s="31" t="str" cm="1">
        <f t="array" ref="F155">Common_InputFunctions.Utility_DisplayArrayInTable(SourceData_PastureBeef.SourceData_PastureBeef_LiveweightGain_Data(), Table_SourceData_PastureBeef_LiveweightGain[[#Headers],[State]],0)</f>
        <v>Spring</v>
      </c>
      <c r="G155" s="31" cm="1">
        <f t="array" ref="G155">Common_InputFunctions.Utility_DisplayArrayInTable(SourceData_PastureBeef.SourceData_PastureBeef_LiveweightGain_Data(), Table_SourceData_PastureBeef_LiveweightGain[[#Headers],[State]],0)</f>
        <v>0.5</v>
      </c>
      <c r="H155" s="31" cm="1">
        <f t="array" ref="H155">Common_InputFunctions.Utility_DisplayArrayInTable(SourceData_PastureBeef.SourceData_PastureBeef_LiveweightGain_Data(), Table_SourceData_PastureBeef_LiveweightGain[[#Headers],[State]],0)</f>
        <v>0.2</v>
      </c>
      <c r="I155" s="31" cm="1">
        <f t="array" ref="I155">Common_InputFunctions.Utility_DisplayArrayInTable(SourceData_PastureBeef.SourceData_PastureBeef_LiveweightGain_Data(), Table_SourceData_PastureBeef_LiveweightGain[[#Headers],[State]],0)</f>
        <v>0.5</v>
      </c>
      <c r="J155" s="31" cm="1">
        <f t="array" ref="J155">Common_InputFunctions.Utility_DisplayArrayInTable(SourceData_PastureBeef.SourceData_PastureBeef_LiveweightGain_Data(), Table_SourceData_PastureBeef_LiveweightGain[[#Headers],[State]],0)</f>
        <v>0.4</v>
      </c>
      <c r="K155" s="31" cm="1">
        <f t="array" ref="K155">Common_InputFunctions.Utility_DisplayArrayInTable(SourceData_PastureBeef.SourceData_PastureBeef_LiveweightGain_Data(), Table_SourceData_PastureBeef_LiveweightGain[[#Headers],[State]],0)</f>
        <v>0.3</v>
      </c>
      <c r="L155" s="31" cm="1">
        <f t="array" ref="L155">Common_InputFunctions.Utility_DisplayArrayInTable(SourceData_PastureBeef.SourceData_PastureBeef_LiveweightGain_Data(), Table_SourceData_PastureBeef_LiveweightGain[[#Headers],[State]],0)</f>
        <v>0.5</v>
      </c>
      <c r="M155" s="31"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1" t="str" cm="1">
        <f t="array" ref="E156">Common_InputFunctions.Utility_DisplayArrayInTable(SourceData_PastureBeef.SourceData_PastureBeef_LiveweightGain_Data(), Table_SourceData_PastureBeef_LiveweightGain[[#Headers],[State]],0)</f>
        <v>n/a</v>
      </c>
      <c r="F156" s="31" t="str" cm="1">
        <f t="array" ref="F156">Common_InputFunctions.Utility_DisplayArrayInTable(SourceData_PastureBeef.SourceData_PastureBeef_LiveweightGain_Data(), Table_SourceData_PastureBeef_LiveweightGain[[#Headers],[State]],0)</f>
        <v>Summer</v>
      </c>
      <c r="G156" s="31" cm="1">
        <f t="array" ref="G156">Common_InputFunctions.Utility_DisplayArrayInTable(SourceData_PastureBeef.SourceData_PastureBeef_LiveweightGain_Data(), Table_SourceData_PastureBeef_LiveweightGain[[#Headers],[State]],0)</f>
        <v>1</v>
      </c>
      <c r="H156" s="31" cm="1">
        <f t="array" ref="H156">Common_InputFunctions.Utility_DisplayArrayInTable(SourceData_PastureBeef.SourceData_PastureBeef_LiveweightGain_Data(), Table_SourceData_PastureBeef_LiveweightGain[[#Headers],[State]],0)</f>
        <v>0.4</v>
      </c>
      <c r="I156" s="31" cm="1">
        <f t="array" ref="I156">Common_InputFunctions.Utility_DisplayArrayInTable(SourceData_PastureBeef.SourceData_PastureBeef_LiveweightGain_Data(), Table_SourceData_PastureBeef_LiveweightGain[[#Headers],[State]],0)</f>
        <v>0.9</v>
      </c>
      <c r="J156" s="31" cm="1">
        <f t="array" ref="J156">Common_InputFunctions.Utility_DisplayArrayInTable(SourceData_PastureBeef.SourceData_PastureBeef_LiveweightGain_Data(), Table_SourceData_PastureBeef_LiveweightGain[[#Headers],[State]],0)</f>
        <v>0.7</v>
      </c>
      <c r="K156" s="31" cm="1">
        <f t="array" ref="K156">Common_InputFunctions.Utility_DisplayArrayInTable(SourceData_PastureBeef.SourceData_PastureBeef_LiveweightGain_Data(), Table_SourceData_PastureBeef_LiveweightGain[[#Headers],[State]],0)</f>
        <v>0.3</v>
      </c>
      <c r="L156" s="31" cm="1">
        <f t="array" ref="L156">Common_InputFunctions.Utility_DisplayArrayInTable(SourceData_PastureBeef.SourceData_PastureBeef_LiveweightGain_Data(), Table_SourceData_PastureBeef_LiveweightGain[[#Headers],[State]],0)</f>
        <v>0.9</v>
      </c>
      <c r="M156" s="31"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1" t="str" cm="1">
        <f t="array" ref="E157">Common_InputFunctions.Utility_DisplayArrayInTable(SourceData_PastureBeef.SourceData_PastureBeef_LiveweightGain_Data(), Table_SourceData_PastureBeef_LiveweightGain[[#Headers],[State]],0)</f>
        <v>n/a</v>
      </c>
      <c r="F157" s="31" t="str" cm="1">
        <f t="array" ref="F157">Common_InputFunctions.Utility_DisplayArrayInTable(SourceData_PastureBeef.SourceData_PastureBeef_LiveweightGain_Data(), Table_SourceData_PastureBeef_LiveweightGain[[#Headers],[State]],0)</f>
        <v>Autumn</v>
      </c>
      <c r="G157" s="31" cm="1">
        <f t="array" ref="G157">Common_InputFunctions.Utility_DisplayArrayInTable(SourceData_PastureBeef.SourceData_PastureBeef_LiveweightGain_Data(), Table_SourceData_PastureBeef_LiveweightGain[[#Headers],[State]],0)</f>
        <v>0.8</v>
      </c>
      <c r="H157" s="31" cm="1">
        <f t="array" ref="H157">Common_InputFunctions.Utility_DisplayArrayInTable(SourceData_PastureBeef.SourceData_PastureBeef_LiveweightGain_Data(), Table_SourceData_PastureBeef_LiveweightGain[[#Headers],[State]],0)</f>
        <v>0.3</v>
      </c>
      <c r="I157" s="31" cm="1">
        <f t="array" ref="I157">Common_InputFunctions.Utility_DisplayArrayInTable(SourceData_PastureBeef.SourceData_PastureBeef_LiveweightGain_Data(), Table_SourceData_PastureBeef_LiveweightGain[[#Headers],[State]],0)</f>
        <v>0.7</v>
      </c>
      <c r="J157" s="31" cm="1">
        <f t="array" ref="J157">Common_InputFunctions.Utility_DisplayArrayInTable(SourceData_PastureBeef.SourceData_PastureBeef_LiveweightGain_Data(), Table_SourceData_PastureBeef_LiveweightGain[[#Headers],[State]],0)</f>
        <v>0.3</v>
      </c>
      <c r="K157" s="31" cm="1">
        <f t="array" ref="K157">Common_InputFunctions.Utility_DisplayArrayInTable(SourceData_PastureBeef.SourceData_PastureBeef_LiveweightGain_Data(), Table_SourceData_PastureBeef_LiveweightGain[[#Headers],[State]],0)</f>
        <v>0.2</v>
      </c>
      <c r="L157" s="31" cm="1">
        <f t="array" ref="L157">Common_InputFunctions.Utility_DisplayArrayInTable(SourceData_PastureBeef.SourceData_PastureBeef_LiveweightGain_Data(), Table_SourceData_PastureBeef_LiveweightGain[[#Headers],[State]],0)</f>
        <v>0.7</v>
      </c>
      <c r="M157" s="31"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1" t="str" cm="1">
        <f t="array" ref="E158">Common_InputFunctions.Utility_DisplayArrayInTable(SourceData_PastureBeef.SourceData_PastureBeef_LiveweightGain_Data(), Table_SourceData_PastureBeef_LiveweightGain[[#Headers],[State]],0)</f>
        <v>n/a</v>
      </c>
      <c r="F158" s="31" t="str" cm="1">
        <f t="array" ref="F158">Common_InputFunctions.Utility_DisplayArrayInTable(SourceData_PastureBeef.SourceData_PastureBeef_LiveweightGain_Data(), Table_SourceData_PastureBeef_LiveweightGain[[#Headers],[State]],0)</f>
        <v>Winter</v>
      </c>
      <c r="G158" s="31" cm="1">
        <f t="array" ref="G158">Common_InputFunctions.Utility_DisplayArrayInTable(SourceData_PastureBeef.SourceData_PastureBeef_LiveweightGain_Data(), Table_SourceData_PastureBeef_LiveweightGain[[#Headers],[State]],0)</f>
        <v>0.4</v>
      </c>
      <c r="H158" s="31" cm="1">
        <f t="array" ref="H158">Common_InputFunctions.Utility_DisplayArrayInTable(SourceData_PastureBeef.SourceData_PastureBeef_LiveweightGain_Data(), Table_SourceData_PastureBeef_LiveweightGain[[#Headers],[State]],0)</f>
        <v>0.1</v>
      </c>
      <c r="I158" s="31" cm="1">
        <f t="array" ref="I158">Common_InputFunctions.Utility_DisplayArrayInTable(SourceData_PastureBeef.SourceData_PastureBeef_LiveweightGain_Data(), Table_SourceData_PastureBeef_LiveweightGain[[#Headers],[State]],0)</f>
        <v>0.4</v>
      </c>
      <c r="J158" s="31" cm="1">
        <f t="array" ref="J158">Common_InputFunctions.Utility_DisplayArrayInTable(SourceData_PastureBeef.SourceData_PastureBeef_LiveweightGain_Data(), Table_SourceData_PastureBeef_LiveweightGain[[#Headers],[State]],0)</f>
        <v>0.2</v>
      </c>
      <c r="K158" s="31" cm="1">
        <f t="array" ref="K158">Common_InputFunctions.Utility_DisplayArrayInTable(SourceData_PastureBeef.SourceData_PastureBeef_LiveweightGain_Data(), Table_SourceData_PastureBeef_LiveweightGain[[#Headers],[State]],0)</f>
        <v>0.1</v>
      </c>
      <c r="L158" s="31" cm="1">
        <f t="array" ref="L158">Common_InputFunctions.Utility_DisplayArrayInTable(SourceData_PastureBeef.SourceData_PastureBeef_LiveweightGain_Data(), Table_SourceData_PastureBeef_LiveweightGain[[#Headers],[State]],0)</f>
        <v>0.4</v>
      </c>
      <c r="M158" s="31"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1" t="str" cm="1">
        <f t="array" ref="E159">Common_InputFunctions.Utility_DisplayArrayInTable(SourceData_PastureBeef.SourceData_PastureBeef_LiveweightGain_Data(), Table_SourceData_PastureBeef_LiveweightGain[[#Headers],[State]],0)</f>
        <v>n/a</v>
      </c>
      <c r="F159" s="31" t="str" cm="1">
        <f t="array" ref="F159">Common_InputFunctions.Utility_DisplayArrayInTable(SourceData_PastureBeef.SourceData_PastureBeef_LiveweightGain_Data(), Table_SourceData_PastureBeef_LiveweightGain[[#Headers],[State]],0)</f>
        <v>Spring</v>
      </c>
      <c r="G159" s="31" cm="1">
        <f t="array" ref="G159">Common_InputFunctions.Utility_DisplayArrayInTable(SourceData_PastureBeef.SourceData_PastureBeef_LiveweightGain_Data(), Table_SourceData_PastureBeef_LiveweightGain[[#Headers],[State]],0)</f>
        <v>0.99</v>
      </c>
      <c r="H159" s="31" cm="1">
        <f t="array" ref="H159">Common_InputFunctions.Utility_DisplayArrayInTable(SourceData_PastureBeef.SourceData_PastureBeef_LiveweightGain_Data(), Table_SourceData_PastureBeef_LiveweightGain[[#Headers],[State]],0)</f>
        <v>1.1000000000000001</v>
      </c>
      <c r="I159" s="31" cm="1">
        <f t="array" ref="I159">Common_InputFunctions.Utility_DisplayArrayInTable(SourceData_PastureBeef.SourceData_PastureBeef_LiveweightGain_Data(), Table_SourceData_PastureBeef_LiveweightGain[[#Headers],[State]],0)</f>
        <v>0.88</v>
      </c>
      <c r="J159" s="31" cm="1">
        <f t="array" ref="J159">Common_InputFunctions.Utility_DisplayArrayInTable(SourceData_PastureBeef.SourceData_PastureBeef_LiveweightGain_Data(), Table_SourceData_PastureBeef_LiveweightGain[[#Headers],[State]],0)</f>
        <v>0.55000000000000004</v>
      </c>
      <c r="K159" s="31" cm="1">
        <f t="array" ref="K159">Common_InputFunctions.Utility_DisplayArrayInTable(SourceData_PastureBeef.SourceData_PastureBeef_LiveweightGain_Data(), Table_SourceData_PastureBeef_LiveweightGain[[#Headers],[State]],0)</f>
        <v>0.55000000000000004</v>
      </c>
      <c r="L159" s="31" cm="1">
        <f t="array" ref="L159">Common_InputFunctions.Utility_DisplayArrayInTable(SourceData_PastureBeef.SourceData_PastureBeef_LiveweightGain_Data(), Table_SourceData_PastureBeef_LiveweightGain[[#Headers],[State]],0)</f>
        <v>0.88</v>
      </c>
      <c r="M159" s="31"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1" t="str" cm="1">
        <f t="array" ref="E160">Common_InputFunctions.Utility_DisplayArrayInTable(SourceData_PastureBeef.SourceData_PastureBeef_LiveweightGain_Data(), Table_SourceData_PastureBeef_LiveweightGain[[#Headers],[State]],0)</f>
        <v>n/a</v>
      </c>
      <c r="F160" s="31" t="str" cm="1">
        <f t="array" ref="F160">Common_InputFunctions.Utility_DisplayArrayInTable(SourceData_PastureBeef.SourceData_PastureBeef_LiveweightGain_Data(), Table_SourceData_PastureBeef_LiveweightGain[[#Headers],[State]],0)</f>
        <v>Summer</v>
      </c>
      <c r="G160" s="31" cm="1">
        <f t="array" ref="G160">Common_InputFunctions.Utility_DisplayArrayInTable(SourceData_PastureBeef.SourceData_PastureBeef_LiveweightGain_Data(), Table_SourceData_PastureBeef_LiveweightGain[[#Headers],[State]],0)</f>
        <v>0.77</v>
      </c>
      <c r="H160" s="31" cm="1">
        <f t="array" ref="H160">Common_InputFunctions.Utility_DisplayArrayInTable(SourceData_PastureBeef.SourceData_PastureBeef_LiveweightGain_Data(), Table_SourceData_PastureBeef_LiveweightGain[[#Headers],[State]],0)</f>
        <v>0</v>
      </c>
      <c r="I160" s="31" cm="1">
        <f t="array" ref="I160">Common_InputFunctions.Utility_DisplayArrayInTable(SourceData_PastureBeef.SourceData_PastureBeef_LiveweightGain_Data(), Table_SourceData_PastureBeef_LiveweightGain[[#Headers],[State]],0)</f>
        <v>0.66</v>
      </c>
      <c r="J160" s="31" cm="1">
        <f t="array" ref="J160">Common_InputFunctions.Utility_DisplayArrayInTable(SourceData_PastureBeef.SourceData_PastureBeef_LiveweightGain_Data(), Table_SourceData_PastureBeef_LiveweightGain[[#Headers],[State]],0)</f>
        <v>0.22</v>
      </c>
      <c r="K160" s="31" cm="1">
        <f t="array" ref="K160">Common_InputFunctions.Utility_DisplayArrayInTable(SourceData_PastureBeef.SourceData_PastureBeef_LiveweightGain_Data(), Table_SourceData_PastureBeef_LiveweightGain[[#Headers],[State]],0)</f>
        <v>0</v>
      </c>
      <c r="L160" s="31" cm="1">
        <f t="array" ref="L160">Common_InputFunctions.Utility_DisplayArrayInTable(SourceData_PastureBeef.SourceData_PastureBeef_LiveweightGain_Data(), Table_SourceData_PastureBeef_LiveweightGain[[#Headers],[State]],0)</f>
        <v>0.66</v>
      </c>
      <c r="M160" s="31"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1" t="str" cm="1">
        <f t="array" ref="E161">Common_InputFunctions.Utility_DisplayArrayInTable(SourceData_PastureBeef.SourceData_PastureBeef_LiveweightGain_Data(), Table_SourceData_PastureBeef_LiveweightGain[[#Headers],[State]],0)</f>
        <v>n/a</v>
      </c>
      <c r="F161" s="31" t="str" cm="1">
        <f t="array" ref="F161">Common_InputFunctions.Utility_DisplayArrayInTable(SourceData_PastureBeef.SourceData_PastureBeef_LiveweightGain_Data(), Table_SourceData_PastureBeef_LiveweightGain[[#Headers],[State]],0)</f>
        <v>Autumn</v>
      </c>
      <c r="G161" s="31" cm="1">
        <f t="array" ref="G161">Common_InputFunctions.Utility_DisplayArrayInTable(SourceData_PastureBeef.SourceData_PastureBeef_LiveweightGain_Data(), Table_SourceData_PastureBeef_LiveweightGain[[#Headers],[State]],0)</f>
        <v>0.9</v>
      </c>
      <c r="H161" s="31" cm="1">
        <f t="array" ref="H161">Common_InputFunctions.Utility_DisplayArrayInTable(SourceData_PastureBeef.SourceData_PastureBeef_LiveweightGain_Data(), Table_SourceData_PastureBeef_LiveweightGain[[#Headers],[State]],0)</f>
        <v>-1.1000000000000001</v>
      </c>
      <c r="I161" s="31" cm="1">
        <f t="array" ref="I161">Common_InputFunctions.Utility_DisplayArrayInTable(SourceData_PastureBeef.SourceData_PastureBeef_LiveweightGain_Data(), Table_SourceData_PastureBeef_LiveweightGain[[#Headers],[State]],0)</f>
        <v>0.7</v>
      </c>
      <c r="J161" s="31" cm="1">
        <f t="array" ref="J161">Common_InputFunctions.Utility_DisplayArrayInTable(SourceData_PastureBeef.SourceData_PastureBeef_LiveweightGain_Data(), Table_SourceData_PastureBeef_LiveweightGain[[#Headers],[State]],0)</f>
        <v>0.22</v>
      </c>
      <c r="K161" s="31" cm="1">
        <f t="array" ref="K161">Common_InputFunctions.Utility_DisplayArrayInTable(SourceData_PastureBeef.SourceData_PastureBeef_LiveweightGain_Data(), Table_SourceData_PastureBeef_LiveweightGain[[#Headers],[State]],0)</f>
        <v>-0.55000000000000004</v>
      </c>
      <c r="L161" s="31" cm="1">
        <f t="array" ref="L161">Common_InputFunctions.Utility_DisplayArrayInTable(SourceData_PastureBeef.SourceData_PastureBeef_LiveweightGain_Data(), Table_SourceData_PastureBeef_LiveweightGain[[#Headers],[State]],0)</f>
        <v>0.8</v>
      </c>
      <c r="M161" s="31"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1" t="str" cm="1">
        <f t="array" ref="E162">Common_InputFunctions.Utility_DisplayArrayInTable(SourceData_PastureBeef.SourceData_PastureBeef_LiveweightGain_Data(), Table_SourceData_PastureBeef_LiveweightGain[[#Headers],[State]],0)</f>
        <v>n/a</v>
      </c>
      <c r="F162" s="31" t="str" cm="1">
        <f t="array" ref="F162">Common_InputFunctions.Utility_DisplayArrayInTable(SourceData_PastureBeef.SourceData_PastureBeef_LiveweightGain_Data(), Table_SourceData_PastureBeef_LiveweightGain[[#Headers],[State]],0)</f>
        <v>Winter</v>
      </c>
      <c r="G162" s="31" cm="1">
        <f t="array" ref="G162">Common_InputFunctions.Utility_DisplayArrayInTable(SourceData_PastureBeef.SourceData_PastureBeef_LiveweightGain_Data(), Table_SourceData_PastureBeef_LiveweightGain[[#Headers],[State]],0)</f>
        <v>0.88</v>
      </c>
      <c r="H162" s="31" cm="1">
        <f t="array" ref="H162">Common_InputFunctions.Utility_DisplayArrayInTable(SourceData_PastureBeef.SourceData_PastureBeef_LiveweightGain_Data(), Table_SourceData_PastureBeef_LiveweightGain[[#Headers],[State]],0)</f>
        <v>0</v>
      </c>
      <c r="I162" s="31" cm="1">
        <f t="array" ref="I162">Common_InputFunctions.Utility_DisplayArrayInTable(SourceData_PastureBeef.SourceData_PastureBeef_LiveweightGain_Data(), Table_SourceData_PastureBeef_LiveweightGain[[#Headers],[State]],0)</f>
        <v>0.77</v>
      </c>
      <c r="J162" s="31" cm="1">
        <f t="array" ref="J162">Common_InputFunctions.Utility_DisplayArrayInTable(SourceData_PastureBeef.SourceData_PastureBeef_LiveweightGain_Data(), Table_SourceData_PastureBeef_LiveweightGain[[#Headers],[State]],0)</f>
        <v>0.55000000000000004</v>
      </c>
      <c r="K162" s="31" cm="1">
        <f t="array" ref="K162">Common_InputFunctions.Utility_DisplayArrayInTable(SourceData_PastureBeef.SourceData_PastureBeef_LiveweightGain_Data(), Table_SourceData_PastureBeef_LiveweightGain[[#Headers],[State]],0)</f>
        <v>0</v>
      </c>
      <c r="L162" s="31" cm="1">
        <f t="array" ref="L162">Common_InputFunctions.Utility_DisplayArrayInTable(SourceData_PastureBeef.SourceData_PastureBeef_LiveweightGain_Data(), Table_SourceData_PastureBeef_LiveweightGain[[#Headers],[State]],0)</f>
        <v>0.82</v>
      </c>
      <c r="M162" s="31"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1" t="str" cm="1">
        <f t="array" ref="E163">Common_InputFunctions.Utility_DisplayArrayInTable(SourceData_PastureBeef.SourceData_PastureBeef_LiveweightGain_Data(), Table_SourceData_PastureBeef_LiveweightGain[[#Headers],[State]],0)</f>
        <v>n/a</v>
      </c>
      <c r="F163" s="31" t="str" cm="1">
        <f t="array" ref="F163">Common_InputFunctions.Utility_DisplayArrayInTable(SourceData_PastureBeef.SourceData_PastureBeef_LiveweightGain_Data(), Table_SourceData_PastureBeef_LiveweightGain[[#Headers],[State]],0)</f>
        <v>Spring</v>
      </c>
      <c r="G163" s="31" cm="1">
        <f t="array" ref="G163">Common_InputFunctions.Utility_DisplayArrayInTable(SourceData_PastureBeef.SourceData_PastureBeef_LiveweightGain_Data(), Table_SourceData_PastureBeef_LiveweightGain[[#Headers],[State]],0)</f>
        <v>1</v>
      </c>
      <c r="H163" s="31" cm="1">
        <f t="array" ref="H163">Common_InputFunctions.Utility_DisplayArrayInTable(SourceData_PastureBeef.SourceData_PastureBeef_LiveweightGain_Data(), Table_SourceData_PastureBeef_LiveweightGain[[#Headers],[State]],0)</f>
        <v>0.5</v>
      </c>
      <c r="I163" s="31" cm="1">
        <f t="array" ref="I163">Common_InputFunctions.Utility_DisplayArrayInTable(SourceData_PastureBeef.SourceData_PastureBeef_LiveweightGain_Data(), Table_SourceData_PastureBeef_LiveweightGain[[#Headers],[State]],0)</f>
        <v>1</v>
      </c>
      <c r="J163" s="31" cm="1">
        <f t="array" ref="J163">Common_InputFunctions.Utility_DisplayArrayInTable(SourceData_PastureBeef.SourceData_PastureBeef_LiveweightGain_Data(), Table_SourceData_PastureBeef_LiveweightGain[[#Headers],[State]],0)</f>
        <v>1</v>
      </c>
      <c r="K163" s="31" cm="1">
        <f t="array" ref="K163">Common_InputFunctions.Utility_DisplayArrayInTable(SourceData_PastureBeef.SourceData_PastureBeef_LiveweightGain_Data(), Table_SourceData_PastureBeef_LiveweightGain[[#Headers],[State]],0)</f>
        <v>-0.44</v>
      </c>
      <c r="L163" s="31" cm="1">
        <f t="array" ref="L163">Common_InputFunctions.Utility_DisplayArrayInTable(SourceData_PastureBeef.SourceData_PastureBeef_LiveweightGain_Data(), Table_SourceData_PastureBeef_LiveweightGain[[#Headers],[State]],0)</f>
        <v>1</v>
      </c>
      <c r="M163" s="31"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1" t="str" cm="1">
        <f t="array" ref="E164">Common_InputFunctions.Utility_DisplayArrayInTable(SourceData_PastureBeef.SourceData_PastureBeef_LiveweightGain_Data(), Table_SourceData_PastureBeef_LiveweightGain[[#Headers],[State]],0)</f>
        <v>n/a</v>
      </c>
      <c r="F164" s="31" t="str" cm="1">
        <f t="array" ref="F164">Common_InputFunctions.Utility_DisplayArrayInTable(SourceData_PastureBeef.SourceData_PastureBeef_LiveweightGain_Data(), Table_SourceData_PastureBeef_LiveweightGain[[#Headers],[State]],0)</f>
        <v>Summer</v>
      </c>
      <c r="G164" s="31" cm="1">
        <f t="array" ref="G164">Common_InputFunctions.Utility_DisplayArrayInTable(SourceData_PastureBeef.SourceData_PastureBeef_LiveweightGain_Data(), Table_SourceData_PastureBeef_LiveweightGain[[#Headers],[State]],0)</f>
        <v>0.82</v>
      </c>
      <c r="H164" s="31" cm="1">
        <f t="array" ref="H164">Common_InputFunctions.Utility_DisplayArrayInTable(SourceData_PastureBeef.SourceData_PastureBeef_LiveweightGain_Data(), Table_SourceData_PastureBeef_LiveweightGain[[#Headers],[State]],0)</f>
        <v>0.55000000000000004</v>
      </c>
      <c r="I164" s="31" cm="1">
        <f t="array" ref="I164">Common_InputFunctions.Utility_DisplayArrayInTable(SourceData_PastureBeef.SourceData_PastureBeef_LiveweightGain_Data(), Table_SourceData_PastureBeef_LiveweightGain[[#Headers],[State]],0)</f>
        <v>0.71</v>
      </c>
      <c r="J164" s="31" cm="1">
        <f t="array" ref="J164">Common_InputFunctions.Utility_DisplayArrayInTable(SourceData_PastureBeef.SourceData_PastureBeef_LiveweightGain_Data(), Table_SourceData_PastureBeef_LiveweightGain[[#Headers],[State]],0)</f>
        <v>0.55000000000000004</v>
      </c>
      <c r="K164" s="31" cm="1">
        <f t="array" ref="K164">Common_InputFunctions.Utility_DisplayArrayInTable(SourceData_PastureBeef.SourceData_PastureBeef_LiveweightGain_Data(), Table_SourceData_PastureBeef_LiveweightGain[[#Headers],[State]],0)</f>
        <v>0.99</v>
      </c>
      <c r="L164" s="31" cm="1">
        <f t="array" ref="L164">Common_InputFunctions.Utility_DisplayArrayInTable(SourceData_PastureBeef.SourceData_PastureBeef_LiveweightGain_Data(), Table_SourceData_PastureBeef_LiveweightGain[[#Headers],[State]],0)</f>
        <v>0.77</v>
      </c>
      <c r="M164" s="31"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1" t="str" cm="1">
        <f t="array" ref="E165">Common_InputFunctions.Utility_DisplayArrayInTable(SourceData_PastureBeef.SourceData_PastureBeef_LiveweightGain_Data(), Table_SourceData_PastureBeef_LiveweightGain[[#Headers],[State]],0)</f>
        <v>n/a</v>
      </c>
      <c r="F165" s="31" t="str" cm="1">
        <f t="array" ref="F165">Common_InputFunctions.Utility_DisplayArrayInTable(SourceData_PastureBeef.SourceData_PastureBeef_LiveweightGain_Data(), Table_SourceData_PastureBeef_LiveweightGain[[#Headers],[State]],0)</f>
        <v>Autumn</v>
      </c>
      <c r="G165" s="31" cm="1">
        <f t="array" ref="G165">Common_InputFunctions.Utility_DisplayArrayInTable(SourceData_PastureBeef.SourceData_PastureBeef_LiveweightGain_Data(), Table_SourceData_PastureBeef_LiveweightGain[[#Headers],[State]],0)</f>
        <v>0.77</v>
      </c>
      <c r="H165" s="31" cm="1">
        <f t="array" ref="H165">Common_InputFunctions.Utility_DisplayArrayInTable(SourceData_PastureBeef.SourceData_PastureBeef_LiveweightGain_Data(), Table_SourceData_PastureBeef_LiveweightGain[[#Headers],[State]],0)</f>
        <v>0.5</v>
      </c>
      <c r="I165" s="31" cm="1">
        <f t="array" ref="I165">Common_InputFunctions.Utility_DisplayArrayInTable(SourceData_PastureBeef.SourceData_PastureBeef_LiveweightGain_Data(), Table_SourceData_PastureBeef_LiveweightGain[[#Headers],[State]],0)</f>
        <v>0.55000000000000004</v>
      </c>
      <c r="J165" s="31" cm="1">
        <f t="array" ref="J165">Common_InputFunctions.Utility_DisplayArrayInTable(SourceData_PastureBeef.SourceData_PastureBeef_LiveweightGain_Data(), Table_SourceData_PastureBeef_LiveweightGain[[#Headers],[State]],0)</f>
        <v>0.11</v>
      </c>
      <c r="K165" s="31" cm="1">
        <f t="array" ref="K165">Common_InputFunctions.Utility_DisplayArrayInTable(SourceData_PastureBeef.SourceData_PastureBeef_LiveweightGain_Data(), Table_SourceData_PastureBeef_LiveweightGain[[#Headers],[State]],0)</f>
        <v>-0.33</v>
      </c>
      <c r="L165" s="31" cm="1">
        <f t="array" ref="L165">Common_InputFunctions.Utility_DisplayArrayInTable(SourceData_PastureBeef.SourceData_PastureBeef_LiveweightGain_Data(), Table_SourceData_PastureBeef_LiveweightGain[[#Headers],[State]],0)</f>
        <v>0.6</v>
      </c>
      <c r="M165" s="31"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1" t="str" cm="1">
        <f t="array" ref="E166">Common_InputFunctions.Utility_DisplayArrayInTable(SourceData_PastureBeef.SourceData_PastureBeef_LiveweightGain_Data(), Table_SourceData_PastureBeef_LiveweightGain[[#Headers],[State]],0)</f>
        <v>n/a</v>
      </c>
      <c r="F166" s="31" t="str" cm="1">
        <f t="array" ref="F166">Common_InputFunctions.Utility_DisplayArrayInTable(SourceData_PastureBeef.SourceData_PastureBeef_LiveweightGain_Data(), Table_SourceData_PastureBeef_LiveweightGain[[#Headers],[State]],0)</f>
        <v>Winter</v>
      </c>
      <c r="G166" s="31" cm="1">
        <f t="array" ref="G166">Common_InputFunctions.Utility_DisplayArrayInTable(SourceData_PastureBeef.SourceData_PastureBeef_LiveweightGain_Data(), Table_SourceData_PastureBeef_LiveweightGain[[#Headers],[State]],0)</f>
        <v>0.11</v>
      </c>
      <c r="H166" s="31" cm="1">
        <f t="array" ref="H166">Common_InputFunctions.Utility_DisplayArrayInTable(SourceData_PastureBeef.SourceData_PastureBeef_LiveweightGain_Data(), Table_SourceData_PastureBeef_LiveweightGain[[#Headers],[State]],0)</f>
        <v>-0.27</v>
      </c>
      <c r="I166" s="31" cm="1">
        <f t="array" ref="I166">Common_InputFunctions.Utility_DisplayArrayInTable(SourceData_PastureBeef.SourceData_PastureBeef_LiveweightGain_Data(), Table_SourceData_PastureBeef_LiveweightGain[[#Headers],[State]],0)</f>
        <v>0.11</v>
      </c>
      <c r="J166" s="31" cm="1">
        <f t="array" ref="J166">Common_InputFunctions.Utility_DisplayArrayInTable(SourceData_PastureBeef.SourceData_PastureBeef_LiveweightGain_Data(), Table_SourceData_PastureBeef_LiveweightGain[[#Headers],[State]],0)</f>
        <v>0.22</v>
      </c>
      <c r="K166" s="31" cm="1">
        <f t="array" ref="K166">Common_InputFunctions.Utility_DisplayArrayInTable(SourceData_PastureBeef.SourceData_PastureBeef_LiveweightGain_Data(), Table_SourceData_PastureBeef_LiveweightGain[[#Headers],[State]],0)</f>
        <v>-0.44</v>
      </c>
      <c r="L166" s="31" cm="1">
        <f t="array" ref="L166">Common_InputFunctions.Utility_DisplayArrayInTable(SourceData_PastureBeef.SourceData_PastureBeef_LiveweightGain_Data(), Table_SourceData_PastureBeef_LiveweightGain[[#Headers],[State]],0)</f>
        <v>0.16</v>
      </c>
      <c r="M166" s="31"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1" t="str" cm="1">
        <f t="array" ref="E167">Common_InputFunctions.Utility_DisplayArrayInTable(SourceData_PastureBeef.SourceData_PastureBeef_LiveweightGain_Data(), Table_SourceData_PastureBeef_LiveweightGain[[#Headers],[State]],0)</f>
        <v>n/a</v>
      </c>
      <c r="F167" s="31" t="str" cm="1">
        <f t="array" ref="F167">Common_InputFunctions.Utility_DisplayArrayInTable(SourceData_PastureBeef.SourceData_PastureBeef_LiveweightGain_Data(), Table_SourceData_PastureBeef_LiveweightGain[[#Headers],[State]],0)</f>
        <v>Spring</v>
      </c>
      <c r="G167" s="31" cm="1">
        <f t="array" ref="G167">Common_InputFunctions.Utility_DisplayArrayInTable(SourceData_PastureBeef.SourceData_PastureBeef_LiveweightGain_Data(), Table_SourceData_PastureBeef_LiveweightGain[[#Headers],[State]],0)</f>
        <v>1.1000000000000001</v>
      </c>
      <c r="H167" s="31" cm="1">
        <f t="array" ref="H167">Common_InputFunctions.Utility_DisplayArrayInTable(SourceData_PastureBeef.SourceData_PastureBeef_LiveweightGain_Data(), Table_SourceData_PastureBeef_LiveweightGain[[#Headers],[State]],0)</f>
        <v>1.1000000000000001</v>
      </c>
      <c r="I167" s="31" cm="1">
        <f t="array" ref="I167">Common_InputFunctions.Utility_DisplayArrayInTable(SourceData_PastureBeef.SourceData_PastureBeef_LiveweightGain_Data(), Table_SourceData_PastureBeef_LiveweightGain[[#Headers],[State]],0)</f>
        <v>1.1000000000000001</v>
      </c>
      <c r="J167" s="31" cm="1">
        <f t="array" ref="J167">Common_InputFunctions.Utility_DisplayArrayInTable(SourceData_PastureBeef.SourceData_PastureBeef_LiveweightGain_Data(), Table_SourceData_PastureBeef_LiveweightGain[[#Headers],[State]],0)</f>
        <v>0.99</v>
      </c>
      <c r="K167" s="31" cm="1">
        <f t="array" ref="K167">Common_InputFunctions.Utility_DisplayArrayInTable(SourceData_PastureBeef.SourceData_PastureBeef_LiveweightGain_Data(), Table_SourceData_PastureBeef_LiveweightGain[[#Headers],[State]],0)</f>
        <v>0.99</v>
      </c>
      <c r="L167" s="31" cm="1">
        <f t="array" ref="L167">Common_InputFunctions.Utility_DisplayArrayInTable(SourceData_PastureBeef.SourceData_PastureBeef_LiveweightGain_Data(), Table_SourceData_PastureBeef_LiveweightGain[[#Headers],[State]],0)</f>
        <v>1.1000000000000001</v>
      </c>
      <c r="M167" s="31"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1" t="str" cm="1">
        <f t="array" ref="E168">Common_InputFunctions.Utility_DisplayArrayInTable(SourceData_PastureBeef.SourceData_PastureBeef_LiveweightGain_Data(), Table_SourceData_PastureBeef_LiveweightGain[[#Headers],[State]],0)</f>
        <v>n/a</v>
      </c>
      <c r="F168" s="31" t="str" cm="1">
        <f t="array" ref="F168">Common_InputFunctions.Utility_DisplayArrayInTable(SourceData_PastureBeef.SourceData_PastureBeef_LiveweightGain_Data(), Table_SourceData_PastureBeef_LiveweightGain[[#Headers],[State]],0)</f>
        <v>Summer</v>
      </c>
      <c r="G168" s="31" cm="1">
        <f t="array" ref="G168">Common_InputFunctions.Utility_DisplayArrayInTable(SourceData_PastureBeef.SourceData_PastureBeef_LiveweightGain_Data(), Table_SourceData_PastureBeef_LiveweightGain[[#Headers],[State]],0)</f>
        <v>0.33</v>
      </c>
      <c r="H168" s="31" cm="1">
        <f t="array" ref="H168">Common_InputFunctions.Utility_DisplayArrayInTable(SourceData_PastureBeef.SourceData_PastureBeef_LiveweightGain_Data(), Table_SourceData_PastureBeef_LiveweightGain[[#Headers],[State]],0)</f>
        <v>0.33</v>
      </c>
      <c r="I168" s="31" cm="1">
        <f t="array" ref="I168">Common_InputFunctions.Utility_DisplayArrayInTable(SourceData_PastureBeef.SourceData_PastureBeef_LiveweightGain_Data(), Table_SourceData_PastureBeef_LiveweightGain[[#Headers],[State]],0)</f>
        <v>0.22</v>
      </c>
      <c r="J168" s="31" cm="1">
        <f t="array" ref="J168">Common_InputFunctions.Utility_DisplayArrayInTable(SourceData_PastureBeef.SourceData_PastureBeef_LiveweightGain_Data(), Table_SourceData_PastureBeef_LiveweightGain[[#Headers],[State]],0)</f>
        <v>0.33</v>
      </c>
      <c r="K168" s="31" cm="1">
        <f t="array" ref="K168">Common_InputFunctions.Utility_DisplayArrayInTable(SourceData_PastureBeef.SourceData_PastureBeef_LiveweightGain_Data(), Table_SourceData_PastureBeef_LiveweightGain[[#Headers],[State]],0)</f>
        <v>-0.1</v>
      </c>
      <c r="L168" s="31" cm="1">
        <f t="array" ref="L168">Common_InputFunctions.Utility_DisplayArrayInTable(SourceData_PastureBeef.SourceData_PastureBeef_LiveweightGain_Data(), Table_SourceData_PastureBeef_LiveweightGain[[#Headers],[State]],0)</f>
        <v>0.33</v>
      </c>
      <c r="M168" s="31"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1" t="str" cm="1">
        <f t="array" ref="E169">Common_InputFunctions.Utility_DisplayArrayInTable(SourceData_PastureBeef.SourceData_PastureBeef_LiveweightGain_Data(), Table_SourceData_PastureBeef_LiveweightGain[[#Headers],[State]],0)</f>
        <v>n/a</v>
      </c>
      <c r="F169" s="31" t="str" cm="1">
        <f t="array" ref="F169">Common_InputFunctions.Utility_DisplayArrayInTable(SourceData_PastureBeef.SourceData_PastureBeef_LiveweightGain_Data(), Table_SourceData_PastureBeef_LiveweightGain[[#Headers],[State]],0)</f>
        <v>Autumn</v>
      </c>
      <c r="G169" s="31" cm="1">
        <f t="array" ref="G169">Common_InputFunctions.Utility_DisplayArrayInTable(SourceData_PastureBeef.SourceData_PastureBeef_LiveweightGain_Data(), Table_SourceData_PastureBeef_LiveweightGain[[#Headers],[State]],0)</f>
        <v>0.5</v>
      </c>
      <c r="H169" s="31" cm="1">
        <f t="array" ref="H169">Common_InputFunctions.Utility_DisplayArrayInTable(SourceData_PastureBeef.SourceData_PastureBeef_LiveweightGain_Data(), Table_SourceData_PastureBeef_LiveweightGain[[#Headers],[State]],0)</f>
        <v>0.2</v>
      </c>
      <c r="I169" s="31" cm="1">
        <f t="array" ref="I169">Common_InputFunctions.Utility_DisplayArrayInTable(SourceData_PastureBeef.SourceData_PastureBeef_LiveweightGain_Data(), Table_SourceData_PastureBeef_LiveweightGain[[#Headers],[State]],0)</f>
        <v>0.55000000000000004</v>
      </c>
      <c r="J169" s="31" cm="1">
        <f t="array" ref="J169">Common_InputFunctions.Utility_DisplayArrayInTable(SourceData_PastureBeef.SourceData_PastureBeef_LiveweightGain_Data(), Table_SourceData_PastureBeef_LiveweightGain[[#Headers],[State]],0)</f>
        <v>0.44</v>
      </c>
      <c r="K169" s="31" cm="1">
        <f t="array" ref="K169">Common_InputFunctions.Utility_DisplayArrayInTable(SourceData_PastureBeef.SourceData_PastureBeef_LiveweightGain_Data(), Table_SourceData_PastureBeef_LiveweightGain[[#Headers],[State]],0)</f>
        <v>0.2</v>
      </c>
      <c r="L169" s="31" cm="1">
        <f t="array" ref="L169">Common_InputFunctions.Utility_DisplayArrayInTable(SourceData_PastureBeef.SourceData_PastureBeef_LiveweightGain_Data(), Table_SourceData_PastureBeef_LiveweightGain[[#Headers],[State]],0)</f>
        <v>0.55000000000000004</v>
      </c>
      <c r="M169" s="31"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1" t="str" cm="1">
        <f t="array" ref="E170">Common_InputFunctions.Utility_DisplayArrayInTable(SourceData_PastureBeef.SourceData_PastureBeef_LiveweightGain_Data(), Table_SourceData_PastureBeef_LiveweightGain[[#Headers],[State]],0)</f>
        <v>n/a</v>
      </c>
      <c r="F170" s="31" t="str" cm="1">
        <f t="array" ref="F170">Common_InputFunctions.Utility_DisplayArrayInTable(SourceData_PastureBeef.SourceData_PastureBeef_LiveweightGain_Data(), Table_SourceData_PastureBeef_LiveweightGain[[#Headers],[State]],0)</f>
        <v>Winter</v>
      </c>
      <c r="G170" s="31" cm="1">
        <f t="array" ref="G170">Common_InputFunctions.Utility_DisplayArrayInTable(SourceData_PastureBeef.SourceData_PastureBeef_LiveweightGain_Data(), Table_SourceData_PastureBeef_LiveweightGain[[#Headers],[State]],0)</f>
        <v>0.55000000000000004</v>
      </c>
      <c r="H170" s="31" cm="1">
        <f t="array" ref="H170">Common_InputFunctions.Utility_DisplayArrayInTable(SourceData_PastureBeef.SourceData_PastureBeef_LiveweightGain_Data(), Table_SourceData_PastureBeef_LiveweightGain[[#Headers],[State]],0)</f>
        <v>0.22</v>
      </c>
      <c r="I170" s="31" cm="1">
        <f t="array" ref="I170">Common_InputFunctions.Utility_DisplayArrayInTable(SourceData_PastureBeef.SourceData_PastureBeef_LiveweightGain_Data(), Table_SourceData_PastureBeef_LiveweightGain[[#Headers],[State]],0)</f>
        <v>0.49</v>
      </c>
      <c r="J170" s="31" cm="1">
        <f t="array" ref="J170">Common_InputFunctions.Utility_DisplayArrayInTable(SourceData_PastureBeef.SourceData_PastureBeef_LiveweightGain_Data(), Table_SourceData_PastureBeef_LiveweightGain[[#Headers],[State]],0)</f>
        <v>0.22</v>
      </c>
      <c r="K170" s="31" cm="1">
        <f t="array" ref="K170">Common_InputFunctions.Utility_DisplayArrayInTable(SourceData_PastureBeef.SourceData_PastureBeef_LiveweightGain_Data(), Table_SourceData_PastureBeef_LiveweightGain[[#Headers],[State]],0)</f>
        <v>0.22</v>
      </c>
      <c r="L170" s="31" cm="1">
        <f t="array" ref="L170">Common_InputFunctions.Utility_DisplayArrayInTable(SourceData_PastureBeef.SourceData_PastureBeef_LiveweightGain_Data(), Table_SourceData_PastureBeef_LiveweightGain[[#Headers],[State]],0)</f>
        <v>0.49</v>
      </c>
      <c r="M170" s="31"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1" t="str" cm="1">
        <f t="array" ref="E171">Common_InputFunctions.Utility_DisplayArrayInTable(SourceData_PastureBeef.SourceData_PastureBeef_LiveweightGain_Data(), Table_SourceData_PastureBeef_LiveweightGain[[#Headers],[State]],0)</f>
        <v>South West</v>
      </c>
      <c r="F171" s="31" t="str" cm="1">
        <f t="array" ref="F171">Common_InputFunctions.Utility_DisplayArrayInTable(SourceData_PastureBeef.SourceData_PastureBeef_LiveweightGain_Data(), Table_SourceData_PastureBeef_LiveweightGain[[#Headers],[State]],0)</f>
        <v>Spring</v>
      </c>
      <c r="G171" s="31" cm="1">
        <f t="array" ref="G171">Common_InputFunctions.Utility_DisplayArrayInTable(SourceData_PastureBeef.SourceData_PastureBeef_LiveweightGain_Data(), Table_SourceData_PastureBeef_LiveweightGain[[#Headers],[State]],0)</f>
        <v>1.64</v>
      </c>
      <c r="H171" s="31" cm="1">
        <f t="array" ref="H171">Common_InputFunctions.Utility_DisplayArrayInTable(SourceData_PastureBeef.SourceData_PastureBeef_LiveweightGain_Data(), Table_SourceData_PastureBeef_LiveweightGain[[#Headers],[State]],0)</f>
        <v>1.1000000000000001</v>
      </c>
      <c r="I171" s="31" cm="1">
        <f t="array" ref="I171">Common_InputFunctions.Utility_DisplayArrayInTable(SourceData_PastureBeef.SourceData_PastureBeef_LiveweightGain_Data(), Table_SourceData_PastureBeef_LiveweightGain[[#Headers],[State]],0)</f>
        <v>1.21</v>
      </c>
      <c r="J171" s="31" cm="1">
        <f t="array" ref="J171">Common_InputFunctions.Utility_DisplayArrayInTable(SourceData_PastureBeef.SourceData_PastureBeef_LiveweightGain_Data(), Table_SourceData_PastureBeef_LiveweightGain[[#Headers],[State]],0)</f>
        <v>0.99</v>
      </c>
      <c r="K171" s="31" cm="1">
        <f t="array" ref="K171">Common_InputFunctions.Utility_DisplayArrayInTable(SourceData_PastureBeef.SourceData_PastureBeef_LiveweightGain_Data(), Table_SourceData_PastureBeef_LiveweightGain[[#Headers],[State]],0)</f>
        <v>0.66</v>
      </c>
      <c r="L171" s="31" cm="1">
        <f t="array" ref="L171">Common_InputFunctions.Utility_DisplayArrayInTable(SourceData_PastureBeef.SourceData_PastureBeef_LiveweightGain_Data(), Table_SourceData_PastureBeef_LiveweightGain[[#Headers],[State]],0)</f>
        <v>1.42</v>
      </c>
      <c r="M171" s="31"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1" t="str" cm="1">
        <f t="array" ref="E172">Common_InputFunctions.Utility_DisplayArrayInTable(SourceData_PastureBeef.SourceData_PastureBeef_LiveweightGain_Data(), Table_SourceData_PastureBeef_LiveweightGain[[#Headers],[State]],0)</f>
        <v>South West</v>
      </c>
      <c r="F172" s="31" t="str" cm="1">
        <f t="array" ref="F172">Common_InputFunctions.Utility_DisplayArrayInTable(SourceData_PastureBeef.SourceData_PastureBeef_LiveweightGain_Data(), Table_SourceData_PastureBeef_LiveweightGain[[#Headers],[State]],0)</f>
        <v>Summer</v>
      </c>
      <c r="G172" s="31" cm="1">
        <f t="array" ref="G172">Common_InputFunctions.Utility_DisplayArrayInTable(SourceData_PastureBeef.SourceData_PastureBeef_LiveweightGain_Data(), Table_SourceData_PastureBeef_LiveweightGain[[#Headers],[State]],0)</f>
        <v>0.44</v>
      </c>
      <c r="H172" s="31" cm="1">
        <f t="array" ref="H172">Common_InputFunctions.Utility_DisplayArrayInTable(SourceData_PastureBeef.SourceData_PastureBeef_LiveweightGain_Data(), Table_SourceData_PastureBeef_LiveweightGain[[#Headers],[State]],0)</f>
        <v>-0.22</v>
      </c>
      <c r="I172" s="31" cm="1">
        <f t="array" ref="I172">Common_InputFunctions.Utility_DisplayArrayInTable(SourceData_PastureBeef.SourceData_PastureBeef_LiveweightGain_Data(), Table_SourceData_PastureBeef_LiveweightGain[[#Headers],[State]],0)</f>
        <v>0.44</v>
      </c>
      <c r="J172" s="31" cm="1">
        <f t="array" ref="J172">Common_InputFunctions.Utility_DisplayArrayInTable(SourceData_PastureBeef.SourceData_PastureBeef_LiveweightGain_Data(), Table_SourceData_PastureBeef_LiveweightGain[[#Headers],[State]],0)</f>
        <v>0.33</v>
      </c>
      <c r="K172" s="31" cm="1">
        <f t="array" ref="K172">Common_InputFunctions.Utility_DisplayArrayInTable(SourceData_PastureBeef.SourceData_PastureBeef_LiveweightGain_Data(), Table_SourceData_PastureBeef_LiveweightGain[[#Headers],[State]],0)</f>
        <v>-0.22</v>
      </c>
      <c r="L172" s="31" cm="1">
        <f t="array" ref="L172">Common_InputFunctions.Utility_DisplayArrayInTable(SourceData_PastureBeef.SourceData_PastureBeef_LiveweightGain_Data(), Table_SourceData_PastureBeef_LiveweightGain[[#Headers],[State]],0)</f>
        <v>0.44</v>
      </c>
      <c r="M172" s="31"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1" t="str" cm="1">
        <f t="array" ref="E173">Common_InputFunctions.Utility_DisplayArrayInTable(SourceData_PastureBeef.SourceData_PastureBeef_LiveweightGain_Data(), Table_SourceData_PastureBeef_LiveweightGain[[#Headers],[State]],0)</f>
        <v>South West</v>
      </c>
      <c r="F173" s="31" t="str" cm="1">
        <f t="array" ref="F173">Common_InputFunctions.Utility_DisplayArrayInTable(SourceData_PastureBeef.SourceData_PastureBeef_LiveweightGain_Data(), Table_SourceData_PastureBeef_LiveweightGain[[#Headers],[State]],0)</f>
        <v>Autumn</v>
      </c>
      <c r="G173" s="31" cm="1">
        <f t="array" ref="G173">Common_InputFunctions.Utility_DisplayArrayInTable(SourceData_PastureBeef.SourceData_PastureBeef_LiveweightGain_Data(), Table_SourceData_PastureBeef_LiveweightGain[[#Headers],[State]],0)</f>
        <v>0.6</v>
      </c>
      <c r="H173" s="31" cm="1">
        <f t="array" ref="H173">Common_InputFunctions.Utility_DisplayArrayInTable(SourceData_PastureBeef.SourceData_PastureBeef_LiveweightGain_Data(), Table_SourceData_PastureBeef_LiveweightGain[[#Headers],[State]],0)</f>
        <v>0</v>
      </c>
      <c r="I173" s="31" cm="1">
        <f t="array" ref="I173">Common_InputFunctions.Utility_DisplayArrayInTable(SourceData_PastureBeef.SourceData_PastureBeef_LiveweightGain_Data(), Table_SourceData_PastureBeef_LiveweightGain[[#Headers],[State]],0)</f>
        <v>0.6</v>
      </c>
      <c r="J173" s="31" cm="1">
        <f t="array" ref="J173">Common_InputFunctions.Utility_DisplayArrayInTable(SourceData_PastureBeef.SourceData_PastureBeef_LiveweightGain_Data(), Table_SourceData_PastureBeef_LiveweightGain[[#Headers],[State]],0)</f>
        <v>0.22</v>
      </c>
      <c r="K173" s="31" cm="1">
        <f t="array" ref="K173">Common_InputFunctions.Utility_DisplayArrayInTable(SourceData_PastureBeef.SourceData_PastureBeef_LiveweightGain_Data(), Table_SourceData_PastureBeef_LiveweightGain[[#Headers],[State]],0)</f>
        <v>-0.55000000000000004</v>
      </c>
      <c r="L173" s="31" cm="1">
        <f t="array" ref="L173">Common_InputFunctions.Utility_DisplayArrayInTable(SourceData_PastureBeef.SourceData_PastureBeef_LiveweightGain_Data(), Table_SourceData_PastureBeef_LiveweightGain[[#Headers],[State]],0)</f>
        <v>0.6</v>
      </c>
      <c r="M173" s="31"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1" t="str" cm="1">
        <f t="array" ref="E174">Common_InputFunctions.Utility_DisplayArrayInTable(SourceData_PastureBeef.SourceData_PastureBeef_LiveweightGain_Data(), Table_SourceData_PastureBeef_LiveweightGain[[#Headers],[State]],0)</f>
        <v>South West</v>
      </c>
      <c r="F174" s="31" t="str" cm="1">
        <f t="array" ref="F174">Common_InputFunctions.Utility_DisplayArrayInTable(SourceData_PastureBeef.SourceData_PastureBeef_LiveweightGain_Data(), Table_SourceData_PastureBeef_LiveweightGain[[#Headers],[State]],0)</f>
        <v>Winter</v>
      </c>
      <c r="G174" s="31" cm="1">
        <f t="array" ref="G174">Common_InputFunctions.Utility_DisplayArrayInTable(SourceData_PastureBeef.SourceData_PastureBeef_LiveweightGain_Data(), Table_SourceData_PastureBeef_LiveweightGain[[#Headers],[State]],0)</f>
        <v>0.99</v>
      </c>
      <c r="H174" s="31" cm="1">
        <f t="array" ref="H174">Common_InputFunctions.Utility_DisplayArrayInTable(SourceData_PastureBeef.SourceData_PastureBeef_LiveweightGain_Data(), Table_SourceData_PastureBeef_LiveweightGain[[#Headers],[State]],0)</f>
        <v>0.22</v>
      </c>
      <c r="I174" s="31" cm="1">
        <f t="array" ref="I174">Common_InputFunctions.Utility_DisplayArrayInTable(SourceData_PastureBeef.SourceData_PastureBeef_LiveweightGain_Data(), Table_SourceData_PastureBeef_LiveweightGain[[#Headers],[State]],0)</f>
        <v>0.77</v>
      </c>
      <c r="J174" s="31" cm="1">
        <f t="array" ref="J174">Common_InputFunctions.Utility_DisplayArrayInTable(SourceData_PastureBeef.SourceData_PastureBeef_LiveweightGain_Data(), Table_SourceData_PastureBeef_LiveweightGain[[#Headers],[State]],0)</f>
        <v>0.11</v>
      </c>
      <c r="K174" s="31" cm="1">
        <f t="array" ref="K174">Common_InputFunctions.Utility_DisplayArrayInTable(SourceData_PastureBeef.SourceData_PastureBeef_LiveweightGain_Data(), Table_SourceData_PastureBeef_LiveweightGain[[#Headers],[State]],0)</f>
        <v>0.11</v>
      </c>
      <c r="L174" s="31" cm="1">
        <f t="array" ref="L174">Common_InputFunctions.Utility_DisplayArrayInTable(SourceData_PastureBeef.SourceData_PastureBeef_LiveweightGain_Data(), Table_SourceData_PastureBeef_LiveweightGain[[#Headers],[State]],0)</f>
        <v>0.77</v>
      </c>
      <c r="M174" s="31"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1" t="str" cm="1">
        <f t="array" ref="E175">Common_InputFunctions.Utility_DisplayArrayInTable(SourceData_PastureBeef.SourceData_PastureBeef_LiveweightGain_Data(), Table_SourceData_PastureBeef_LiveweightGain[[#Headers],[State]],0)</f>
        <v>Pilbara</v>
      </c>
      <c r="F175" s="31" t="str" cm="1">
        <f t="array" ref="F175">Common_InputFunctions.Utility_DisplayArrayInTable(SourceData_PastureBeef.SourceData_PastureBeef_LiveweightGain_Data(), Table_SourceData_PastureBeef_LiveweightGain[[#Headers],[State]],0)</f>
        <v>Spring</v>
      </c>
      <c r="G175" s="31" cm="1">
        <f t="array" ref="G175">Common_InputFunctions.Utility_DisplayArrayInTable(SourceData_PastureBeef.SourceData_PastureBeef_LiveweightGain_Data(), Table_SourceData_PastureBeef_LiveweightGain[[#Headers],[State]],0)</f>
        <v>0.7</v>
      </c>
      <c r="H175" s="31" cm="1">
        <f t="array" ref="H175">Common_InputFunctions.Utility_DisplayArrayInTable(SourceData_PastureBeef.SourceData_PastureBeef_LiveweightGain_Data(), Table_SourceData_PastureBeef_LiveweightGain[[#Headers],[State]],0)</f>
        <v>-0.55000000000000004</v>
      </c>
      <c r="I175" s="31" cm="1">
        <f t="array" ref="I175">Common_InputFunctions.Utility_DisplayArrayInTable(SourceData_PastureBeef.SourceData_PastureBeef_LiveweightGain_Data(), Table_SourceData_PastureBeef_LiveweightGain[[#Headers],[State]],0)</f>
        <v>0.7</v>
      </c>
      <c r="J175" s="31" cm="1">
        <f t="array" ref="J175">Common_InputFunctions.Utility_DisplayArrayInTable(SourceData_PastureBeef.SourceData_PastureBeef_LiveweightGain_Data(), Table_SourceData_PastureBeef_LiveweightGain[[#Headers],[State]],0)</f>
        <v>0.22</v>
      </c>
      <c r="K175" s="31" cm="1">
        <f t="array" ref="K175">Common_InputFunctions.Utility_DisplayArrayInTable(SourceData_PastureBeef.SourceData_PastureBeef_LiveweightGain_Data(), Table_SourceData_PastureBeef_LiveweightGain[[#Headers],[State]],0)</f>
        <v>-0.22</v>
      </c>
      <c r="L175" s="31" cm="1">
        <f t="array" ref="L175">Common_InputFunctions.Utility_DisplayArrayInTable(SourceData_PastureBeef.SourceData_PastureBeef_LiveweightGain_Data(), Table_SourceData_PastureBeef_LiveweightGain[[#Headers],[State]],0)</f>
        <v>0.7</v>
      </c>
      <c r="M175" s="31"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1" t="str" cm="1">
        <f t="array" ref="E176">Common_InputFunctions.Utility_DisplayArrayInTable(SourceData_PastureBeef.SourceData_PastureBeef_LiveweightGain_Data(), Table_SourceData_PastureBeef_LiveweightGain[[#Headers],[State]],0)</f>
        <v>Pilbara</v>
      </c>
      <c r="F176" s="31" t="str" cm="1">
        <f t="array" ref="F176">Common_InputFunctions.Utility_DisplayArrayInTable(SourceData_PastureBeef.SourceData_PastureBeef_LiveweightGain_Data(), Table_SourceData_PastureBeef_LiveweightGain[[#Headers],[State]],0)</f>
        <v>Summer</v>
      </c>
      <c r="G176" s="31" cm="1">
        <f t="array" ref="G176">Common_InputFunctions.Utility_DisplayArrayInTable(SourceData_PastureBeef.SourceData_PastureBeef_LiveweightGain_Data(), Table_SourceData_PastureBeef_LiveweightGain[[#Headers],[State]],0)</f>
        <v>0.77</v>
      </c>
      <c r="H176" s="31" cm="1">
        <f t="array" ref="H176">Common_InputFunctions.Utility_DisplayArrayInTable(SourceData_PastureBeef.SourceData_PastureBeef_LiveweightGain_Data(), Table_SourceData_PastureBeef_LiveweightGain[[#Headers],[State]],0)</f>
        <v>0.55000000000000004</v>
      </c>
      <c r="I176" s="31" cm="1">
        <f t="array" ref="I176">Common_InputFunctions.Utility_DisplayArrayInTable(SourceData_PastureBeef.SourceData_PastureBeef_LiveweightGain_Data(), Table_SourceData_PastureBeef_LiveweightGain[[#Headers],[State]],0)</f>
        <v>0.77</v>
      </c>
      <c r="J176" s="31" cm="1">
        <f t="array" ref="J176">Common_InputFunctions.Utility_DisplayArrayInTable(SourceData_PastureBeef.SourceData_PastureBeef_LiveweightGain_Data(), Table_SourceData_PastureBeef_LiveweightGain[[#Headers],[State]],0)</f>
        <v>0.66</v>
      </c>
      <c r="K176" s="31" cm="1">
        <f t="array" ref="K176">Common_InputFunctions.Utility_DisplayArrayInTable(SourceData_PastureBeef.SourceData_PastureBeef_LiveweightGain_Data(), Table_SourceData_PastureBeef_LiveweightGain[[#Headers],[State]],0)</f>
        <v>0.55000000000000004</v>
      </c>
      <c r="L176" s="31" cm="1">
        <f t="array" ref="L176">Common_InputFunctions.Utility_DisplayArrayInTable(SourceData_PastureBeef.SourceData_PastureBeef_LiveweightGain_Data(), Table_SourceData_PastureBeef_LiveweightGain[[#Headers],[State]],0)</f>
        <v>0.77</v>
      </c>
      <c r="M176" s="31"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1" t="str" cm="1">
        <f t="array" ref="E177">Common_InputFunctions.Utility_DisplayArrayInTable(SourceData_PastureBeef.SourceData_PastureBeef_LiveweightGain_Data(), Table_SourceData_PastureBeef_LiveweightGain[[#Headers],[State]],0)</f>
        <v>Pilbara</v>
      </c>
      <c r="F177" s="31" t="str" cm="1">
        <f t="array" ref="F177">Common_InputFunctions.Utility_DisplayArrayInTable(SourceData_PastureBeef.SourceData_PastureBeef_LiveweightGain_Data(), Table_SourceData_PastureBeef_LiveweightGain[[#Headers],[State]],0)</f>
        <v>Autumn</v>
      </c>
      <c r="G177" s="31" cm="1">
        <f t="array" ref="G177">Common_InputFunctions.Utility_DisplayArrayInTable(SourceData_PastureBeef.SourceData_PastureBeef_LiveweightGain_Data(), Table_SourceData_PastureBeef_LiveweightGain[[#Headers],[State]],0)</f>
        <v>0.88</v>
      </c>
      <c r="H177" s="31" cm="1">
        <f t="array" ref="H177">Common_InputFunctions.Utility_DisplayArrayInTable(SourceData_PastureBeef.SourceData_PastureBeef_LiveweightGain_Data(), Table_SourceData_PastureBeef_LiveweightGain[[#Headers],[State]],0)</f>
        <v>0.55000000000000004</v>
      </c>
      <c r="I177" s="31" cm="1">
        <f t="array" ref="I177">Common_InputFunctions.Utility_DisplayArrayInTable(SourceData_PastureBeef.SourceData_PastureBeef_LiveweightGain_Data(), Table_SourceData_PastureBeef_LiveweightGain[[#Headers],[State]],0)</f>
        <v>0.88</v>
      </c>
      <c r="J177" s="31" cm="1">
        <f t="array" ref="J177">Common_InputFunctions.Utility_DisplayArrayInTable(SourceData_PastureBeef.SourceData_PastureBeef_LiveweightGain_Data(), Table_SourceData_PastureBeef_LiveweightGain[[#Headers],[State]],0)</f>
        <v>0.22</v>
      </c>
      <c r="K177" s="31" cm="1">
        <f t="array" ref="K177">Common_InputFunctions.Utility_DisplayArrayInTable(SourceData_PastureBeef.SourceData_PastureBeef_LiveweightGain_Data(), Table_SourceData_PastureBeef_LiveweightGain[[#Headers],[State]],0)</f>
        <v>0.22</v>
      </c>
      <c r="L177" s="31" cm="1">
        <f t="array" ref="L177">Common_InputFunctions.Utility_DisplayArrayInTable(SourceData_PastureBeef.SourceData_PastureBeef_LiveweightGain_Data(), Table_SourceData_PastureBeef_LiveweightGain[[#Headers],[State]],0)</f>
        <v>0.88</v>
      </c>
      <c r="M177" s="31"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1" t="str" cm="1">
        <f t="array" ref="E178">Common_InputFunctions.Utility_DisplayArrayInTable(SourceData_PastureBeef.SourceData_PastureBeef_LiveweightGain_Data(), Table_SourceData_PastureBeef_LiveweightGain[[#Headers],[State]],0)</f>
        <v>Pilbara</v>
      </c>
      <c r="F178" s="31" t="str" cm="1">
        <f t="array" ref="F178">Common_InputFunctions.Utility_DisplayArrayInTable(SourceData_PastureBeef.SourceData_PastureBeef_LiveweightGain_Data(), Table_SourceData_PastureBeef_LiveweightGain[[#Headers],[State]],0)</f>
        <v>Winter</v>
      </c>
      <c r="G178" s="31" cm="1">
        <f t="array" ref="G178">Common_InputFunctions.Utility_DisplayArrayInTable(SourceData_PastureBeef.SourceData_PastureBeef_LiveweightGain_Data(), Table_SourceData_PastureBeef_LiveweightGain[[#Headers],[State]],0)</f>
        <v>0.22</v>
      </c>
      <c r="H178" s="31" cm="1">
        <f t="array" ref="H178">Common_InputFunctions.Utility_DisplayArrayInTable(SourceData_PastureBeef.SourceData_PastureBeef_LiveweightGain_Data(), Table_SourceData_PastureBeef_LiveweightGain[[#Headers],[State]],0)</f>
        <v>-0.55000000000000004</v>
      </c>
      <c r="I178" s="31" cm="1">
        <f t="array" ref="I178">Common_InputFunctions.Utility_DisplayArrayInTable(SourceData_PastureBeef.SourceData_PastureBeef_LiveweightGain_Data(), Table_SourceData_PastureBeef_LiveweightGain[[#Headers],[State]],0)</f>
        <v>0.22</v>
      </c>
      <c r="J178" s="31" cm="1">
        <f t="array" ref="J178">Common_InputFunctions.Utility_DisplayArrayInTable(SourceData_PastureBeef.SourceData_PastureBeef_LiveweightGain_Data(), Table_SourceData_PastureBeef_LiveweightGain[[#Headers],[State]],0)</f>
        <v>0.11</v>
      </c>
      <c r="K178" s="31" cm="1">
        <f t="array" ref="K178">Common_InputFunctions.Utility_DisplayArrayInTable(SourceData_PastureBeef.SourceData_PastureBeef_LiveweightGain_Data(), Table_SourceData_PastureBeef_LiveweightGain[[#Headers],[State]],0)</f>
        <v>-0.22</v>
      </c>
      <c r="L178" s="31" cm="1">
        <f t="array" ref="L178">Common_InputFunctions.Utility_DisplayArrayInTable(SourceData_PastureBeef.SourceData_PastureBeef_LiveweightGain_Data(), Table_SourceData_PastureBeef_LiveweightGain[[#Headers],[State]],0)</f>
        <v>0.22</v>
      </c>
      <c r="M178" s="31"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1" t="str" cm="1">
        <f t="array" ref="E179">Common_InputFunctions.Utility_DisplayArrayInTable(SourceData_PastureBeef.SourceData_PastureBeef_LiveweightGain_Data(), Table_SourceData_PastureBeef_LiveweightGain[[#Headers],[State]],0)</f>
        <v>Kimberley</v>
      </c>
      <c r="F179" s="31" t="str" cm="1">
        <f t="array" ref="F179">Common_InputFunctions.Utility_DisplayArrayInTable(SourceData_PastureBeef.SourceData_PastureBeef_LiveweightGain_Data(), Table_SourceData_PastureBeef_LiveweightGain[[#Headers],[State]],0)</f>
        <v>Spring</v>
      </c>
      <c r="G179" s="31" cm="1">
        <f t="array" ref="G179">Common_InputFunctions.Utility_DisplayArrayInTable(SourceData_PastureBeef.SourceData_PastureBeef_LiveweightGain_Data(), Table_SourceData_PastureBeef_LiveweightGain[[#Headers],[State]],0)</f>
        <v>0.22</v>
      </c>
      <c r="H179" s="31" cm="1">
        <f t="array" ref="H179">Common_InputFunctions.Utility_DisplayArrayInTable(SourceData_PastureBeef.SourceData_PastureBeef_LiveweightGain_Data(), Table_SourceData_PastureBeef_LiveweightGain[[#Headers],[State]],0)</f>
        <v>-0.55000000000000004</v>
      </c>
      <c r="I179" s="31" cm="1">
        <f t="array" ref="I179">Common_InputFunctions.Utility_DisplayArrayInTable(SourceData_PastureBeef.SourceData_PastureBeef_LiveweightGain_Data(), Table_SourceData_PastureBeef_LiveweightGain[[#Headers],[State]],0)</f>
        <v>0.33</v>
      </c>
      <c r="J179" s="31" cm="1">
        <f t="array" ref="J179">Common_InputFunctions.Utility_DisplayArrayInTable(SourceData_PastureBeef.SourceData_PastureBeef_LiveweightGain_Data(), Table_SourceData_PastureBeef_LiveweightGain[[#Headers],[State]],0)</f>
        <v>0.22</v>
      </c>
      <c r="K179" s="31" cm="1">
        <f t="array" ref="K179">Common_InputFunctions.Utility_DisplayArrayInTable(SourceData_PastureBeef.SourceData_PastureBeef_LiveweightGain_Data(), Table_SourceData_PastureBeef_LiveweightGain[[#Headers],[State]],0)</f>
        <v>-0.33</v>
      </c>
      <c r="L179" s="31" cm="1">
        <f t="array" ref="L179">Common_InputFunctions.Utility_DisplayArrayInTable(SourceData_PastureBeef.SourceData_PastureBeef_LiveweightGain_Data(), Table_SourceData_PastureBeef_LiveweightGain[[#Headers],[State]],0)</f>
        <v>0.22</v>
      </c>
      <c r="M179" s="31"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1" t="str" cm="1">
        <f t="array" ref="E180">Common_InputFunctions.Utility_DisplayArrayInTable(SourceData_PastureBeef.SourceData_PastureBeef_LiveweightGain_Data(), Table_SourceData_PastureBeef_LiveweightGain[[#Headers],[State]],0)</f>
        <v>Kimberley</v>
      </c>
      <c r="F180" s="31" t="str" cm="1">
        <f t="array" ref="F180">Common_InputFunctions.Utility_DisplayArrayInTable(SourceData_PastureBeef.SourceData_PastureBeef_LiveweightGain_Data(), Table_SourceData_PastureBeef_LiveweightGain[[#Headers],[State]],0)</f>
        <v>Summer</v>
      </c>
      <c r="G180" s="31" cm="1">
        <f t="array" ref="G180">Common_InputFunctions.Utility_DisplayArrayInTable(SourceData_PastureBeef.SourceData_PastureBeef_LiveweightGain_Data(), Table_SourceData_PastureBeef_LiveweightGain[[#Headers],[State]],0)</f>
        <v>0.8</v>
      </c>
      <c r="H180" s="31" cm="1">
        <f t="array" ref="H180">Common_InputFunctions.Utility_DisplayArrayInTable(SourceData_PastureBeef.SourceData_PastureBeef_LiveweightGain_Data(), Table_SourceData_PastureBeef_LiveweightGain[[#Headers],[State]],0)</f>
        <v>0.55000000000000004</v>
      </c>
      <c r="I180" s="31" cm="1">
        <f t="array" ref="I180">Common_InputFunctions.Utility_DisplayArrayInTable(SourceData_PastureBeef.SourceData_PastureBeef_LiveweightGain_Data(), Table_SourceData_PastureBeef_LiveweightGain[[#Headers],[State]],0)</f>
        <v>0.7</v>
      </c>
      <c r="J180" s="31" cm="1">
        <f t="array" ref="J180">Common_InputFunctions.Utility_DisplayArrayInTable(SourceData_PastureBeef.SourceData_PastureBeef_LiveweightGain_Data(), Table_SourceData_PastureBeef_LiveweightGain[[#Headers],[State]],0)</f>
        <v>0.44</v>
      </c>
      <c r="K180" s="31" cm="1">
        <f t="array" ref="K180">Common_InputFunctions.Utility_DisplayArrayInTable(SourceData_PastureBeef.SourceData_PastureBeef_LiveweightGain_Data(), Table_SourceData_PastureBeef_LiveweightGain[[#Headers],[State]],0)</f>
        <v>0.66</v>
      </c>
      <c r="L180" s="31" cm="1">
        <f t="array" ref="L180">Common_InputFunctions.Utility_DisplayArrayInTable(SourceData_PastureBeef.SourceData_PastureBeef_LiveweightGain_Data(), Table_SourceData_PastureBeef_LiveweightGain[[#Headers],[State]],0)</f>
        <v>0.8</v>
      </c>
      <c r="M180" s="31"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1" t="str" cm="1">
        <f t="array" ref="E181">Common_InputFunctions.Utility_DisplayArrayInTable(SourceData_PastureBeef.SourceData_PastureBeef_LiveweightGain_Data(), Table_SourceData_PastureBeef_LiveweightGain[[#Headers],[State]],0)</f>
        <v>Kimberley</v>
      </c>
      <c r="F181" s="31" t="str" cm="1">
        <f t="array" ref="F181">Common_InputFunctions.Utility_DisplayArrayInTable(SourceData_PastureBeef.SourceData_PastureBeef_LiveweightGain_Data(), Table_SourceData_PastureBeef_LiveweightGain[[#Headers],[State]],0)</f>
        <v>Autumn</v>
      </c>
      <c r="G181" s="31" cm="1">
        <f t="array" ref="G181">Common_InputFunctions.Utility_DisplayArrayInTable(SourceData_PastureBeef.SourceData_PastureBeef_LiveweightGain_Data(), Table_SourceData_PastureBeef_LiveweightGain[[#Headers],[State]],0)</f>
        <v>0.66</v>
      </c>
      <c r="H181" s="31" cm="1">
        <f t="array" ref="H181">Common_InputFunctions.Utility_DisplayArrayInTable(SourceData_PastureBeef.SourceData_PastureBeef_LiveweightGain_Data(), Table_SourceData_PastureBeef_LiveweightGain[[#Headers],[State]],0)</f>
        <v>0.55000000000000004</v>
      </c>
      <c r="I181" s="31" cm="1">
        <f t="array" ref="I181">Common_InputFunctions.Utility_DisplayArrayInTable(SourceData_PastureBeef.SourceData_PastureBeef_LiveweightGain_Data(), Table_SourceData_PastureBeef_LiveweightGain[[#Headers],[State]],0)</f>
        <v>0.55000000000000004</v>
      </c>
      <c r="J181" s="31" cm="1">
        <f t="array" ref="J181">Common_InputFunctions.Utility_DisplayArrayInTable(SourceData_PastureBeef.SourceData_PastureBeef_LiveweightGain_Data(), Table_SourceData_PastureBeef_LiveweightGain[[#Headers],[State]],0)</f>
        <v>0.55000000000000004</v>
      </c>
      <c r="K181" s="31" cm="1">
        <f t="array" ref="K181">Common_InputFunctions.Utility_DisplayArrayInTable(SourceData_PastureBeef.SourceData_PastureBeef_LiveweightGain_Data(), Table_SourceData_PastureBeef_LiveweightGain[[#Headers],[State]],0)</f>
        <v>0.11</v>
      </c>
      <c r="L181" s="31" cm="1">
        <f t="array" ref="L181">Common_InputFunctions.Utility_DisplayArrayInTable(SourceData_PastureBeef.SourceData_PastureBeef_LiveweightGain_Data(), Table_SourceData_PastureBeef_LiveweightGain[[#Headers],[State]],0)</f>
        <v>0.66</v>
      </c>
      <c r="M181" s="31"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1" t="str" cm="1">
        <f t="array" ref="E182">Common_InputFunctions.Utility_DisplayArrayInTable(SourceData_PastureBeef.SourceData_PastureBeef_LiveweightGain_Data(), Table_SourceData_PastureBeef_LiveweightGain[[#Headers],[State]],0)</f>
        <v>Kimberley</v>
      </c>
      <c r="F182" s="31" t="str" cm="1">
        <f t="array" ref="F182">Common_InputFunctions.Utility_DisplayArrayInTable(SourceData_PastureBeef.SourceData_PastureBeef_LiveweightGain_Data(), Table_SourceData_PastureBeef_LiveweightGain[[#Headers],[State]],0)</f>
        <v>Winter</v>
      </c>
      <c r="G182" s="31" cm="1">
        <f t="array" ref="G182">Common_InputFunctions.Utility_DisplayArrayInTable(SourceData_PastureBeef.SourceData_PastureBeef_LiveweightGain_Data(), Table_SourceData_PastureBeef_LiveweightGain[[#Headers],[State]],0)</f>
        <v>0.33</v>
      </c>
      <c r="H182" s="31" cm="1">
        <f t="array" ref="H182">Common_InputFunctions.Utility_DisplayArrayInTable(SourceData_PastureBeef.SourceData_PastureBeef_LiveweightGain_Data(), Table_SourceData_PastureBeef_LiveweightGain[[#Headers],[State]],0)</f>
        <v>-0.55000000000000004</v>
      </c>
      <c r="I182" s="31" cm="1">
        <f t="array" ref="I182">Common_InputFunctions.Utility_DisplayArrayInTable(SourceData_PastureBeef.SourceData_PastureBeef_LiveweightGain_Data(), Table_SourceData_PastureBeef_LiveweightGain[[#Headers],[State]],0)</f>
        <v>0.11</v>
      </c>
      <c r="J182" s="31" cm="1">
        <f t="array" ref="J182">Common_InputFunctions.Utility_DisplayArrayInTable(SourceData_PastureBeef.SourceData_PastureBeef_LiveweightGain_Data(), Table_SourceData_PastureBeef_LiveweightGain[[#Headers],[State]],0)</f>
        <v>0.11</v>
      </c>
      <c r="K182" s="31" cm="1">
        <f t="array" ref="K182">Common_InputFunctions.Utility_DisplayArrayInTable(SourceData_PastureBeef.SourceData_PastureBeef_LiveweightGain_Data(), Table_SourceData_PastureBeef_LiveweightGain[[#Headers],[State]],0)</f>
        <v>-0.44</v>
      </c>
      <c r="L182" s="31" cm="1">
        <f t="array" ref="L182">Common_InputFunctions.Utility_DisplayArrayInTable(SourceData_PastureBeef.SourceData_PastureBeef_LiveweightGain_Data(), Table_SourceData_PastureBeef_LiveweightGain[[#Headers],[State]],0)</f>
        <v>0.33</v>
      </c>
      <c r="M182" s="31"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8"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1" t="s">
        <v>110</v>
      </c>
      <c r="E189" s="31" t="s">
        <v>308</v>
      </c>
      <c r="F189" s="31" t="s">
        <v>79</v>
      </c>
      <c r="G189" s="31" t="s">
        <v>356</v>
      </c>
      <c r="H189" s="31" t="s">
        <v>357</v>
      </c>
      <c r="I189" s="31" t="s">
        <v>367</v>
      </c>
      <c r="J189" s="31" t="s">
        <v>329</v>
      </c>
      <c r="K189" s="31" t="s">
        <v>370</v>
      </c>
      <c r="L189" s="31" t="s">
        <v>371</v>
      </c>
      <c r="M189" s="31" t="s">
        <v>362</v>
      </c>
      <c r="N189" s="31" t="s">
        <v>363</v>
      </c>
      <c r="O189" s="31" t="s">
        <v>364</v>
      </c>
      <c r="P189" s="31" t="s">
        <v>365</v>
      </c>
    </row>
    <row r="190" spans="4:16" x14ac:dyDescent="0.25">
      <c r="D190" s="31" t="str" cm="1">
        <f t="array" ref="D190">Common_InputFunctions.Utility_DisplayArrayInTable(SourceData_PastureBeef.SourceData_PastureBeef_LiveweightGainNTQLD_Data(),Table_SourceData_PastureBeef_LiveweightGainNTQLD[[#Headers],[State]],0)</f>
        <v>Northern Territory</v>
      </c>
      <c r="E190" s="31" t="str" cm="1">
        <f t="array" ref="E190">Common_InputFunctions.Utility_DisplayArrayInTable(SourceData_PastureBeef.SourceData_PastureBeef_LiveweightGainNTQLD_Data(),Table_SourceData_PastureBeef_LiveweightGainNTQLD[[#Headers],[State]],0)</f>
        <v>Alice Springs</v>
      </c>
      <c r="F190" s="31" t="str" cm="1">
        <f t="array" ref="F190">Common_InputFunctions.Utility_DisplayArrayInTable(SourceData_PastureBeef.SourceData_PastureBeef_LiveweightGainNTQLD_Data(),Table_SourceData_PastureBeef_LiveweightGainNTQLD[[#Headers],[State]],0)</f>
        <v>Spring</v>
      </c>
      <c r="G190" s="31" cm="1">
        <f t="array" ref="G190">Common_InputFunctions.Utility_DisplayArrayInTable(SourceData_PastureBeef.SourceData_PastureBeef_LiveweightGainNTQLD_Data(),Table_SourceData_PastureBeef_LiveweightGainNTQLD[[#Headers],[State]],0)</f>
        <v>0.22</v>
      </c>
      <c r="H190" s="31" cm="1">
        <f t="array" ref="H190">Common_InputFunctions.Utility_DisplayArrayInTable(SourceData_PastureBeef.SourceData_PastureBeef_LiveweightGainNTQLD_Data(),Table_SourceData_PastureBeef_LiveweightGainNTQLD[[#Headers],[State]],0)</f>
        <v>-0.23</v>
      </c>
      <c r="I190" s="31" cm="1">
        <f t="array" ref="I190">Common_InputFunctions.Utility_DisplayArrayInTable(SourceData_PastureBeef.SourceData_PastureBeef_LiveweightGainNTQLD_Data(),Table_SourceData_PastureBeef_LiveweightGainNTQLD[[#Headers],[State]],0)</f>
        <v>0.25</v>
      </c>
      <c r="J190" s="31" cm="1">
        <f t="array" ref="J190">Common_InputFunctions.Utility_DisplayArrayInTable(SourceData_PastureBeef.SourceData_PastureBeef_LiveweightGainNTQLD_Data(),Table_SourceData_PastureBeef_LiveweightGainNTQLD[[#Headers],[State]],0)</f>
        <v>0.17</v>
      </c>
      <c r="K190" s="31" cm="1">
        <f t="array" ref="K190">Common_InputFunctions.Utility_DisplayArrayInTable(SourceData_PastureBeef.SourceData_PastureBeef_LiveweightGainNTQLD_Data(),Table_SourceData_PastureBeef_LiveweightGainNTQLD[[#Headers],[State]],0)</f>
        <v>0.18</v>
      </c>
      <c r="L190" s="31" cm="1">
        <f t="array" ref="L190">Common_InputFunctions.Utility_DisplayArrayInTable(SourceData_PastureBeef.SourceData_PastureBeef_LiveweightGainNTQLD_Data(),Table_SourceData_PastureBeef_LiveweightGainNTQLD[[#Headers],[State]],0)</f>
        <v>-0.28000000000000003</v>
      </c>
      <c r="M190" s="31" cm="1">
        <f t="array" ref="M190">Common_InputFunctions.Utility_DisplayArrayInTable(SourceData_PastureBeef.SourceData_PastureBeef_LiveweightGainNTQLD_Data(),Table_SourceData_PastureBeef_LiveweightGainNTQLD[[#Headers],[State]],0)</f>
        <v>0.32</v>
      </c>
      <c r="N190" s="31" cm="1">
        <f t="array" ref="N190">Common_InputFunctions.Utility_DisplayArrayInTable(SourceData_PastureBeef.SourceData_PastureBeef_LiveweightGainNTQLD_Data(),Table_SourceData_PastureBeef_LiveweightGainNTQLD[[#Headers],[State]],0)</f>
        <v>0.24</v>
      </c>
      <c r="O190" s="31" cm="1">
        <f t="array" ref="O190">Common_InputFunctions.Utility_DisplayArrayInTable(SourceData_PastureBeef.SourceData_PastureBeef_LiveweightGainNTQLD_Data(),Table_SourceData_PastureBeef_LiveweightGainNTQLD[[#Headers],[State]],0)</f>
        <v>0.25</v>
      </c>
      <c r="P190" s="31"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1" t="str" cm="1">
        <f t="array" ref="E191">Common_InputFunctions.Utility_DisplayArrayInTable(SourceData_PastureBeef.SourceData_PastureBeef_LiveweightGainNTQLD_Data(),Table_SourceData_PastureBeef_LiveweightGainNTQLD[[#Headers],[State]],0)</f>
        <v>Alice Springs</v>
      </c>
      <c r="F191" s="31" t="str" cm="1">
        <f t="array" ref="F191">Common_InputFunctions.Utility_DisplayArrayInTable(SourceData_PastureBeef.SourceData_PastureBeef_LiveweightGainNTQLD_Data(),Table_SourceData_PastureBeef_LiveweightGainNTQLD[[#Headers],[State]],0)</f>
        <v>Summer</v>
      </c>
      <c r="G191" s="31" cm="1">
        <f t="array" ref="G191">Common_InputFunctions.Utility_DisplayArrayInTable(SourceData_PastureBeef.SourceData_PastureBeef_LiveweightGainNTQLD_Data(),Table_SourceData_PastureBeef_LiveweightGainNTQLD[[#Headers],[State]],0)</f>
        <v>0.66</v>
      </c>
      <c r="H191" s="31" cm="1">
        <f t="array" ref="H191">Common_InputFunctions.Utility_DisplayArrayInTable(SourceData_PastureBeef.SourceData_PastureBeef_LiveweightGainNTQLD_Data(),Table_SourceData_PastureBeef_LiveweightGainNTQLD[[#Headers],[State]],0)</f>
        <v>0.2</v>
      </c>
      <c r="I191" s="31" cm="1">
        <f t="array" ref="I191">Common_InputFunctions.Utility_DisplayArrayInTable(SourceData_PastureBeef.SourceData_PastureBeef_LiveweightGainNTQLD_Data(),Table_SourceData_PastureBeef_LiveweightGainNTQLD[[#Headers],[State]],0)</f>
        <v>0.62</v>
      </c>
      <c r="J191" s="31" cm="1">
        <f t="array" ref="J191">Common_InputFunctions.Utility_DisplayArrayInTable(SourceData_PastureBeef.SourceData_PastureBeef_LiveweightGainNTQLD_Data(),Table_SourceData_PastureBeef_LiveweightGainNTQLD[[#Headers],[State]],0)</f>
        <v>0.54</v>
      </c>
      <c r="K191" s="31" cm="1">
        <f t="array" ref="K191">Common_InputFunctions.Utility_DisplayArrayInTable(SourceData_PastureBeef.SourceData_PastureBeef_LiveweightGainNTQLD_Data(),Table_SourceData_PastureBeef_LiveweightGainNTQLD[[#Headers],[State]],0)</f>
        <v>0.38</v>
      </c>
      <c r="L191" s="31" cm="1">
        <f t="array" ref="L191">Common_InputFunctions.Utility_DisplayArrayInTable(SourceData_PastureBeef.SourceData_PastureBeef_LiveweightGainNTQLD_Data(),Table_SourceData_PastureBeef_LiveweightGainNTQLD[[#Headers],[State]],0)</f>
        <v>0.27</v>
      </c>
      <c r="M191" s="31" cm="1">
        <f t="array" ref="M191">Common_InputFunctions.Utility_DisplayArrayInTable(SourceData_PastureBeef.SourceData_PastureBeef_LiveweightGainNTQLD_Data(),Table_SourceData_PastureBeef_LiveweightGainNTQLD[[#Headers],[State]],0)</f>
        <v>0.75</v>
      </c>
      <c r="N191" s="31" cm="1">
        <f t="array" ref="N191">Common_InputFunctions.Utility_DisplayArrayInTable(SourceData_PastureBeef.SourceData_PastureBeef_LiveweightGainNTQLD_Data(),Table_SourceData_PastureBeef_LiveweightGainNTQLD[[#Headers],[State]],0)</f>
        <v>0.64</v>
      </c>
      <c r="O191" s="31" cm="1">
        <f t="array" ref="O191">Common_InputFunctions.Utility_DisplayArrayInTable(SourceData_PastureBeef.SourceData_PastureBeef_LiveweightGainNTQLD_Data(),Table_SourceData_PastureBeef_LiveweightGainNTQLD[[#Headers],[State]],0)</f>
        <v>0.55000000000000004</v>
      </c>
      <c r="P191" s="31"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1" t="str" cm="1">
        <f t="array" ref="E192">Common_InputFunctions.Utility_DisplayArrayInTable(SourceData_PastureBeef.SourceData_PastureBeef_LiveweightGainNTQLD_Data(),Table_SourceData_PastureBeef_LiveweightGainNTQLD[[#Headers],[State]],0)</f>
        <v>Alice Springs</v>
      </c>
      <c r="F192" s="31" t="str" cm="1">
        <f t="array" ref="F192">Common_InputFunctions.Utility_DisplayArrayInTable(SourceData_PastureBeef.SourceData_PastureBeef_LiveweightGainNTQLD_Data(),Table_SourceData_PastureBeef_LiveweightGainNTQLD[[#Headers],[State]],0)</f>
        <v>Autumn</v>
      </c>
      <c r="G192" s="31" cm="1">
        <f t="array" ref="G192">Common_InputFunctions.Utility_DisplayArrayInTable(SourceData_PastureBeef.SourceData_PastureBeef_LiveweightGainNTQLD_Data(),Table_SourceData_PastureBeef_LiveweightGainNTQLD[[#Headers],[State]],0)</f>
        <v>0.49</v>
      </c>
      <c r="H192" s="31" cm="1">
        <f t="array" ref="H192">Common_InputFunctions.Utility_DisplayArrayInTable(SourceData_PastureBeef.SourceData_PastureBeef_LiveweightGainNTQLD_Data(),Table_SourceData_PastureBeef_LiveweightGainNTQLD[[#Headers],[State]],0)</f>
        <v>0.13</v>
      </c>
      <c r="I192" s="31" cm="1">
        <f t="array" ref="I192">Common_InputFunctions.Utility_DisplayArrayInTable(SourceData_PastureBeef.SourceData_PastureBeef_LiveweightGainNTQLD_Data(),Table_SourceData_PastureBeef_LiveweightGainNTQLD[[#Headers],[State]],0)</f>
        <v>0.54</v>
      </c>
      <c r="J192" s="31" cm="1">
        <f t="array" ref="J192">Common_InputFunctions.Utility_DisplayArrayInTable(SourceData_PastureBeef.SourceData_PastureBeef_LiveweightGainNTQLD_Data(),Table_SourceData_PastureBeef_LiveweightGainNTQLD[[#Headers],[State]],0)</f>
        <v>0.45</v>
      </c>
      <c r="K192" s="31" cm="1">
        <f t="array" ref="K192">Common_InputFunctions.Utility_DisplayArrayInTable(SourceData_PastureBeef.SourceData_PastureBeef_LiveweightGainNTQLD_Data(),Table_SourceData_PastureBeef_LiveweightGainNTQLD[[#Headers],[State]],0)</f>
        <v>0.35</v>
      </c>
      <c r="L192" s="31" cm="1">
        <f t="array" ref="L192">Common_InputFunctions.Utility_DisplayArrayInTable(SourceData_PastureBeef.SourceData_PastureBeef_LiveweightGainNTQLD_Data(),Table_SourceData_PastureBeef_LiveweightGainNTQLD[[#Headers],[State]],0)</f>
        <v>0.15</v>
      </c>
      <c r="M192" s="31" cm="1">
        <f t="array" ref="M192">Common_InputFunctions.Utility_DisplayArrayInTable(SourceData_PastureBeef.SourceData_PastureBeef_LiveweightGainNTQLD_Data(),Table_SourceData_PastureBeef_LiveweightGainNTQLD[[#Headers],[State]],0)</f>
        <v>0.63</v>
      </c>
      <c r="N192" s="31" cm="1">
        <f t="array" ref="N192">Common_InputFunctions.Utility_DisplayArrayInTable(SourceData_PastureBeef.SourceData_PastureBeef_LiveweightGainNTQLD_Data(),Table_SourceData_PastureBeef_LiveweightGainNTQLD[[#Headers],[State]],0)</f>
        <v>0.54</v>
      </c>
      <c r="O192" s="31" cm="1">
        <f t="array" ref="O192">Common_InputFunctions.Utility_DisplayArrayInTable(SourceData_PastureBeef.SourceData_PastureBeef_LiveweightGainNTQLD_Data(),Table_SourceData_PastureBeef_LiveweightGainNTQLD[[#Headers],[State]],0)</f>
        <v>0.42</v>
      </c>
      <c r="P192" s="31"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1" t="str" cm="1">
        <f t="array" ref="E193">Common_InputFunctions.Utility_DisplayArrayInTable(SourceData_PastureBeef.SourceData_PastureBeef_LiveweightGainNTQLD_Data(),Table_SourceData_PastureBeef_LiveweightGainNTQLD[[#Headers],[State]],0)</f>
        <v>Alice Springs</v>
      </c>
      <c r="F193" s="31" t="str" cm="1">
        <f t="array" ref="F193">Common_InputFunctions.Utility_DisplayArrayInTable(SourceData_PastureBeef.SourceData_PastureBeef_LiveweightGainNTQLD_Data(),Table_SourceData_PastureBeef_LiveweightGainNTQLD[[#Headers],[State]],0)</f>
        <v>Winter</v>
      </c>
      <c r="G193" s="31" cm="1">
        <f t="array" ref="G193">Common_InputFunctions.Utility_DisplayArrayInTable(SourceData_PastureBeef.SourceData_PastureBeef_LiveweightGainNTQLD_Data(),Table_SourceData_PastureBeef_LiveweightGainNTQLD[[#Headers],[State]],0)</f>
        <v>0.27</v>
      </c>
      <c r="H193" s="31" cm="1">
        <f t="array" ref="H193">Common_InputFunctions.Utility_DisplayArrayInTable(SourceData_PastureBeef.SourceData_PastureBeef_LiveweightGainNTQLD_Data(),Table_SourceData_PastureBeef_LiveweightGainNTQLD[[#Headers],[State]],0)</f>
        <v>-0.8</v>
      </c>
      <c r="I193" s="31" cm="1">
        <f t="array" ref="I193">Common_InputFunctions.Utility_DisplayArrayInTable(SourceData_PastureBeef.SourceData_PastureBeef_LiveweightGainNTQLD_Data(),Table_SourceData_PastureBeef_LiveweightGainNTQLD[[#Headers],[State]],0)</f>
        <v>0.22</v>
      </c>
      <c r="J193" s="31" cm="1">
        <f t="array" ref="J193">Common_InputFunctions.Utility_DisplayArrayInTable(SourceData_PastureBeef.SourceData_PastureBeef_LiveweightGainNTQLD_Data(),Table_SourceData_PastureBeef_LiveweightGainNTQLD[[#Headers],[State]],0)</f>
        <v>0.09</v>
      </c>
      <c r="K193" s="31" cm="1">
        <f t="array" ref="K193">Common_InputFunctions.Utility_DisplayArrayInTable(SourceData_PastureBeef.SourceData_PastureBeef_LiveweightGainNTQLD_Data(),Table_SourceData_PastureBeef_LiveweightGainNTQLD[[#Headers],[State]],0)</f>
        <v>0.12</v>
      </c>
      <c r="L193" s="31" cm="1">
        <f t="array" ref="L193">Common_InputFunctions.Utility_DisplayArrayInTable(SourceData_PastureBeef.SourceData_PastureBeef_LiveweightGainNTQLD_Data(),Table_SourceData_PastureBeef_LiveweightGainNTQLD[[#Headers],[State]],0)</f>
        <v>0.02</v>
      </c>
      <c r="M193" s="31" cm="1">
        <f t="array" ref="M193">Common_InputFunctions.Utility_DisplayArrayInTable(SourceData_PastureBeef.SourceData_PastureBeef_LiveweightGainNTQLD_Data(),Table_SourceData_PastureBeef_LiveweightGainNTQLD[[#Headers],[State]],0)</f>
        <v>0.25</v>
      </c>
      <c r="N193" s="31" cm="1">
        <f t="array" ref="N193">Common_InputFunctions.Utility_DisplayArrayInTable(SourceData_PastureBeef.SourceData_PastureBeef_LiveweightGainNTQLD_Data(),Table_SourceData_PastureBeef_LiveweightGainNTQLD[[#Headers],[State]],0)</f>
        <v>0.18</v>
      </c>
      <c r="O193" s="31" cm="1">
        <f t="array" ref="O193">Common_InputFunctions.Utility_DisplayArrayInTable(SourceData_PastureBeef.SourceData_PastureBeef_LiveweightGainNTQLD_Data(),Table_SourceData_PastureBeef_LiveweightGainNTQLD[[#Headers],[State]],0)</f>
        <v>0.12</v>
      </c>
      <c r="P193" s="31"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1" t="str" cm="1">
        <f t="array" ref="E194">Common_InputFunctions.Utility_DisplayArrayInTable(SourceData_PastureBeef.SourceData_PastureBeef_LiveweightGainNTQLD_Data(),Table_SourceData_PastureBeef_LiveweightGainNTQLD[[#Headers],[State]],0)</f>
        <v>Barkly</v>
      </c>
      <c r="F194" s="31" t="str" cm="1">
        <f t="array" ref="F194">Common_InputFunctions.Utility_DisplayArrayInTable(SourceData_PastureBeef.SourceData_PastureBeef_LiveweightGainNTQLD_Data(),Table_SourceData_PastureBeef_LiveweightGainNTQLD[[#Headers],[State]],0)</f>
        <v>Spring</v>
      </c>
      <c r="G194" s="31" cm="1">
        <f t="array" ref="G194">Common_InputFunctions.Utility_DisplayArrayInTable(SourceData_PastureBeef.SourceData_PastureBeef_LiveweightGainNTQLD_Data(),Table_SourceData_PastureBeef_LiveweightGainNTQLD[[#Headers],[State]],0)</f>
        <v>0.22</v>
      </c>
      <c r="H194" s="31" cm="1">
        <f t="array" ref="H194">Common_InputFunctions.Utility_DisplayArrayInTable(SourceData_PastureBeef.SourceData_PastureBeef_LiveweightGainNTQLD_Data(),Table_SourceData_PastureBeef_LiveweightGainNTQLD[[#Headers],[State]],0)</f>
        <v>-0.44</v>
      </c>
      <c r="I194" s="31" cm="1">
        <f t="array" ref="I194">Common_InputFunctions.Utility_DisplayArrayInTable(SourceData_PastureBeef.SourceData_PastureBeef_LiveweightGainNTQLD_Data(),Table_SourceData_PastureBeef_LiveweightGainNTQLD[[#Headers],[State]],0)</f>
        <v>0.2</v>
      </c>
      <c r="J194" s="31" cm="1">
        <f t="array" ref="J194">Common_InputFunctions.Utility_DisplayArrayInTable(SourceData_PastureBeef.SourceData_PastureBeef_LiveweightGainNTQLD_Data(),Table_SourceData_PastureBeef_LiveweightGainNTQLD[[#Headers],[State]],0)</f>
        <v>0.21</v>
      </c>
      <c r="K194" s="31" cm="1">
        <f t="array" ref="K194">Common_InputFunctions.Utility_DisplayArrayInTable(SourceData_PastureBeef.SourceData_PastureBeef_LiveweightGainNTQLD_Data(),Table_SourceData_PastureBeef_LiveweightGainNTQLD[[#Headers],[State]],0)</f>
        <v>0.18</v>
      </c>
      <c r="L194" s="31" cm="1">
        <f t="array" ref="L194">Common_InputFunctions.Utility_DisplayArrayInTable(SourceData_PastureBeef.SourceData_PastureBeef_LiveweightGainNTQLD_Data(),Table_SourceData_PastureBeef_LiveweightGainNTQLD[[#Headers],[State]],0)</f>
        <v>0.01</v>
      </c>
      <c r="M194" s="31" cm="1">
        <f t="array" ref="M194">Common_InputFunctions.Utility_DisplayArrayInTable(SourceData_PastureBeef.SourceData_PastureBeef_LiveweightGainNTQLD_Data(),Table_SourceData_PastureBeef_LiveweightGainNTQLD[[#Headers],[State]],0)</f>
        <v>0.12</v>
      </c>
      <c r="N194" s="31" cm="1">
        <f t="array" ref="N194">Common_InputFunctions.Utility_DisplayArrayInTable(SourceData_PastureBeef.SourceData_PastureBeef_LiveweightGainNTQLD_Data(),Table_SourceData_PastureBeef_LiveweightGainNTQLD[[#Headers],[State]],0)</f>
        <v>0.09</v>
      </c>
      <c r="O194" s="31" t="str" cm="1">
        <f t="array" ref="O194">Common_InputFunctions.Utility_DisplayArrayInTable(SourceData_PastureBeef.SourceData_PastureBeef_LiveweightGainNTQLD_Data(),Table_SourceData_PastureBeef_LiveweightGainNTQLD[[#Headers],[State]],0)</f>
        <v>NO</v>
      </c>
      <c r="P194" s="31"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1" t="str" cm="1">
        <f t="array" ref="E195">Common_InputFunctions.Utility_DisplayArrayInTable(SourceData_PastureBeef.SourceData_PastureBeef_LiveweightGainNTQLD_Data(),Table_SourceData_PastureBeef_LiveweightGainNTQLD[[#Headers],[State]],0)</f>
        <v>Barkly</v>
      </c>
      <c r="F195" s="31" t="str" cm="1">
        <f t="array" ref="F195">Common_InputFunctions.Utility_DisplayArrayInTable(SourceData_PastureBeef.SourceData_PastureBeef_LiveweightGainNTQLD_Data(),Table_SourceData_PastureBeef_LiveweightGainNTQLD[[#Headers],[State]],0)</f>
        <v>Summer</v>
      </c>
      <c r="G195" s="31" cm="1">
        <f t="array" ref="G195">Common_InputFunctions.Utility_DisplayArrayInTable(SourceData_PastureBeef.SourceData_PastureBeef_LiveweightGainNTQLD_Data(),Table_SourceData_PastureBeef_LiveweightGainNTQLD[[#Headers],[State]],0)</f>
        <v>0.66</v>
      </c>
      <c r="H195" s="31" cm="1">
        <f t="array" ref="H195">Common_InputFunctions.Utility_DisplayArrayInTable(SourceData_PastureBeef.SourceData_PastureBeef_LiveweightGainNTQLD_Data(),Table_SourceData_PastureBeef_LiveweightGainNTQLD[[#Headers],[State]],0)</f>
        <v>0.22</v>
      </c>
      <c r="I195" s="31" cm="1">
        <f t="array" ref="I195">Common_InputFunctions.Utility_DisplayArrayInTable(SourceData_PastureBeef.SourceData_PastureBeef_LiveweightGainNTQLD_Data(),Table_SourceData_PastureBeef_LiveweightGainNTQLD[[#Headers],[State]],0)</f>
        <v>0.68</v>
      </c>
      <c r="J195" s="31" cm="1">
        <f t="array" ref="J195">Common_InputFunctions.Utility_DisplayArrayInTable(SourceData_PastureBeef.SourceData_PastureBeef_LiveweightGainNTQLD_Data(),Table_SourceData_PastureBeef_LiveweightGainNTQLD[[#Headers],[State]],0)</f>
        <v>0.22</v>
      </c>
      <c r="K195" s="31" cm="1">
        <f t="array" ref="K195">Common_InputFunctions.Utility_DisplayArrayInTable(SourceData_PastureBeef.SourceData_PastureBeef_LiveweightGainNTQLD_Data(),Table_SourceData_PastureBeef_LiveweightGainNTQLD[[#Headers],[State]],0)</f>
        <v>0.24</v>
      </c>
      <c r="L195" s="31" cm="1">
        <f t="array" ref="L195">Common_InputFunctions.Utility_DisplayArrayInTable(SourceData_PastureBeef.SourceData_PastureBeef_LiveweightGainNTQLD_Data(),Table_SourceData_PastureBeef_LiveweightGainNTQLD[[#Headers],[State]],0)</f>
        <v>0.25</v>
      </c>
      <c r="M195" s="31" cm="1">
        <f t="array" ref="M195">Common_InputFunctions.Utility_DisplayArrayInTable(SourceData_PastureBeef.SourceData_PastureBeef_LiveweightGainNTQLD_Data(),Table_SourceData_PastureBeef_LiveweightGainNTQLD[[#Headers],[State]],0)</f>
        <v>0.64</v>
      </c>
      <c r="N195" s="31" cm="1">
        <f t="array" ref="N195">Common_InputFunctions.Utility_DisplayArrayInTable(SourceData_PastureBeef.SourceData_PastureBeef_LiveweightGainNTQLD_Data(),Table_SourceData_PastureBeef_LiveweightGainNTQLD[[#Headers],[State]],0)</f>
        <v>0.37</v>
      </c>
      <c r="O195" s="31" t="str" cm="1">
        <f t="array" ref="O195">Common_InputFunctions.Utility_DisplayArrayInTable(SourceData_PastureBeef.SourceData_PastureBeef_LiveweightGainNTQLD_Data(),Table_SourceData_PastureBeef_LiveweightGainNTQLD[[#Headers],[State]],0)</f>
        <v>NO</v>
      </c>
      <c r="P195" s="31"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1" t="str" cm="1">
        <f t="array" ref="E196">Common_InputFunctions.Utility_DisplayArrayInTable(SourceData_PastureBeef.SourceData_PastureBeef_LiveweightGainNTQLD_Data(),Table_SourceData_PastureBeef_LiveweightGainNTQLD[[#Headers],[State]],0)</f>
        <v>Barkly</v>
      </c>
      <c r="F196" s="31" t="str" cm="1">
        <f t="array" ref="F196">Common_InputFunctions.Utility_DisplayArrayInTable(SourceData_PastureBeef.SourceData_PastureBeef_LiveweightGainNTQLD_Data(),Table_SourceData_PastureBeef_LiveweightGainNTQLD[[#Headers],[State]],0)</f>
        <v>Autumn</v>
      </c>
      <c r="G196" s="31" cm="1">
        <f t="array" ref="G196">Common_InputFunctions.Utility_DisplayArrayInTable(SourceData_PastureBeef.SourceData_PastureBeef_LiveweightGainNTQLD_Data(),Table_SourceData_PastureBeef_LiveweightGainNTQLD[[#Headers],[State]],0)</f>
        <v>0.49</v>
      </c>
      <c r="H196" s="31" cm="1">
        <f t="array" ref="H196">Common_InputFunctions.Utility_DisplayArrayInTable(SourceData_PastureBeef.SourceData_PastureBeef_LiveweightGainNTQLD_Data(),Table_SourceData_PastureBeef_LiveweightGainNTQLD[[#Headers],[State]],0)</f>
        <v>0.05</v>
      </c>
      <c r="I196" s="31" cm="1">
        <f t="array" ref="I196">Common_InputFunctions.Utility_DisplayArrayInTable(SourceData_PastureBeef.SourceData_PastureBeef_LiveweightGainNTQLD_Data(),Table_SourceData_PastureBeef_LiveweightGainNTQLD[[#Headers],[State]],0)</f>
        <v>0.64</v>
      </c>
      <c r="J196" s="31" cm="1">
        <f t="array" ref="J196">Common_InputFunctions.Utility_DisplayArrayInTable(SourceData_PastureBeef.SourceData_PastureBeef_LiveweightGainNTQLD_Data(),Table_SourceData_PastureBeef_LiveweightGainNTQLD[[#Headers],[State]],0)</f>
        <v>0.25</v>
      </c>
      <c r="K196" s="31" cm="1">
        <f t="array" ref="K196">Common_InputFunctions.Utility_DisplayArrayInTable(SourceData_PastureBeef.SourceData_PastureBeef_LiveweightGainNTQLD_Data(),Table_SourceData_PastureBeef_LiveweightGainNTQLD[[#Headers],[State]],0)</f>
        <v>0.28999999999999998</v>
      </c>
      <c r="L196" s="31" cm="1">
        <f t="array" ref="L196">Common_InputFunctions.Utility_DisplayArrayInTable(SourceData_PastureBeef.SourceData_PastureBeef_LiveweightGainNTQLD_Data(),Table_SourceData_PastureBeef_LiveweightGainNTQLD[[#Headers],[State]],0)</f>
        <v>0.12</v>
      </c>
      <c r="M196" s="31" cm="1">
        <f t="array" ref="M196">Common_InputFunctions.Utility_DisplayArrayInTable(SourceData_PastureBeef.SourceData_PastureBeef_LiveweightGainNTQLD_Data(),Table_SourceData_PastureBeef_LiveweightGainNTQLD[[#Headers],[State]],0)</f>
        <v>0.56999999999999995</v>
      </c>
      <c r="N196" s="31" cm="1">
        <f t="array" ref="N196">Common_InputFunctions.Utility_DisplayArrayInTable(SourceData_PastureBeef.SourceData_PastureBeef_LiveweightGainNTQLD_Data(),Table_SourceData_PastureBeef_LiveweightGainNTQLD[[#Headers],[State]],0)</f>
        <v>0.49</v>
      </c>
      <c r="O196" s="31" t="str" cm="1">
        <f t="array" ref="O196">Common_InputFunctions.Utility_DisplayArrayInTable(SourceData_PastureBeef.SourceData_PastureBeef_LiveweightGainNTQLD_Data(),Table_SourceData_PastureBeef_LiveweightGainNTQLD[[#Headers],[State]],0)</f>
        <v>NO</v>
      </c>
      <c r="P196" s="31"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1" t="str" cm="1">
        <f t="array" ref="E197">Common_InputFunctions.Utility_DisplayArrayInTable(SourceData_PastureBeef.SourceData_PastureBeef_LiveweightGainNTQLD_Data(),Table_SourceData_PastureBeef_LiveweightGainNTQLD[[#Headers],[State]],0)</f>
        <v>Barkly</v>
      </c>
      <c r="F197" s="31" t="str" cm="1">
        <f t="array" ref="F197">Common_InputFunctions.Utility_DisplayArrayInTable(SourceData_PastureBeef.SourceData_PastureBeef_LiveweightGainNTQLD_Data(),Table_SourceData_PastureBeef_LiveweightGainNTQLD[[#Headers],[State]],0)</f>
        <v>Winter</v>
      </c>
      <c r="G197" s="31" cm="1">
        <f t="array" ref="G197">Common_InputFunctions.Utility_DisplayArrayInTable(SourceData_PastureBeef.SourceData_PastureBeef_LiveweightGainNTQLD_Data(),Table_SourceData_PastureBeef_LiveweightGainNTQLD[[#Headers],[State]],0)</f>
        <v>0.27</v>
      </c>
      <c r="H197" s="31" cm="1">
        <f t="array" ref="H197">Common_InputFunctions.Utility_DisplayArrayInTable(SourceData_PastureBeef.SourceData_PastureBeef_LiveweightGainNTQLD_Data(),Table_SourceData_PastureBeef_LiveweightGainNTQLD[[#Headers],[State]],0)</f>
        <v>-0.27</v>
      </c>
      <c r="I197" s="31" cm="1">
        <f t="array" ref="I197">Common_InputFunctions.Utility_DisplayArrayInTable(SourceData_PastureBeef.SourceData_PastureBeef_LiveweightGainNTQLD_Data(),Table_SourceData_PastureBeef_LiveweightGainNTQLD[[#Headers],[State]],0)</f>
        <v>0.31</v>
      </c>
      <c r="J197" s="31" cm="1">
        <f t="array" ref="J197">Common_InputFunctions.Utility_DisplayArrayInTable(SourceData_PastureBeef.SourceData_PastureBeef_LiveweightGainNTQLD_Data(),Table_SourceData_PastureBeef_LiveweightGainNTQLD[[#Headers],[State]],0)</f>
        <v>0.28999999999999998</v>
      </c>
      <c r="K197" s="31" cm="1">
        <f t="array" ref="K197">Common_InputFunctions.Utility_DisplayArrayInTable(SourceData_PastureBeef.SourceData_PastureBeef_LiveweightGainNTQLD_Data(),Table_SourceData_PastureBeef_LiveweightGainNTQLD[[#Headers],[State]],0)</f>
        <v>0.19</v>
      </c>
      <c r="L197" s="31" cm="1">
        <f t="array" ref="L197">Common_InputFunctions.Utility_DisplayArrayInTable(SourceData_PastureBeef.SourceData_PastureBeef_LiveweightGainNTQLD_Data(),Table_SourceData_PastureBeef_LiveweightGainNTQLD[[#Headers],[State]],0)</f>
        <v>0.04</v>
      </c>
      <c r="M197" s="31" cm="1">
        <f t="array" ref="M197">Common_InputFunctions.Utility_DisplayArrayInTable(SourceData_PastureBeef.SourceData_PastureBeef_LiveweightGainNTQLD_Data(),Table_SourceData_PastureBeef_LiveweightGainNTQLD[[#Headers],[State]],0)</f>
        <v>0.26</v>
      </c>
      <c r="N197" s="31" cm="1">
        <f t="array" ref="N197">Common_InputFunctions.Utility_DisplayArrayInTable(SourceData_PastureBeef.SourceData_PastureBeef_LiveweightGainNTQLD_Data(),Table_SourceData_PastureBeef_LiveweightGainNTQLD[[#Headers],[State]],0)</f>
        <v>0.28000000000000003</v>
      </c>
      <c r="O197" s="31" t="str" cm="1">
        <f t="array" ref="O197">Common_InputFunctions.Utility_DisplayArrayInTable(SourceData_PastureBeef.SourceData_PastureBeef_LiveweightGainNTQLD_Data(),Table_SourceData_PastureBeef_LiveweightGainNTQLD[[#Headers],[State]],0)</f>
        <v>NO</v>
      </c>
      <c r="P197" s="31"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1" t="str" cm="1">
        <f t="array" ref="E198">Common_InputFunctions.Utility_DisplayArrayInTable(SourceData_PastureBeef.SourceData_PastureBeef_LiveweightGainNTQLD_Data(),Table_SourceData_PastureBeef_LiveweightGainNTQLD[[#Headers],[State]],0)</f>
        <v>Northern</v>
      </c>
      <c r="F198" s="31" t="str" cm="1">
        <f t="array" ref="F198">Common_InputFunctions.Utility_DisplayArrayInTable(SourceData_PastureBeef.SourceData_PastureBeef_LiveweightGainNTQLD_Data(),Table_SourceData_PastureBeef_LiveweightGainNTQLD[[#Headers],[State]],0)</f>
        <v>Spring</v>
      </c>
      <c r="G198" s="31" cm="1">
        <f t="array" ref="G198">Common_InputFunctions.Utility_DisplayArrayInTable(SourceData_PastureBeef.SourceData_PastureBeef_LiveweightGainNTQLD_Data(),Table_SourceData_PastureBeef_LiveweightGainNTQLD[[#Headers],[State]],0)</f>
        <v>0.22</v>
      </c>
      <c r="H198" s="31" cm="1">
        <f t="array" ref="H198">Common_InputFunctions.Utility_DisplayArrayInTable(SourceData_PastureBeef.SourceData_PastureBeef_LiveweightGainNTQLD_Data(),Table_SourceData_PastureBeef_LiveweightGainNTQLD[[#Headers],[State]],0)</f>
        <v>-0.44</v>
      </c>
      <c r="I198" s="31" cm="1">
        <f t="array" ref="I198">Common_InputFunctions.Utility_DisplayArrayInTable(SourceData_PastureBeef.SourceData_PastureBeef_LiveweightGainNTQLD_Data(),Table_SourceData_PastureBeef_LiveweightGainNTQLD[[#Headers],[State]],0)</f>
        <v>0</v>
      </c>
      <c r="J198" s="31" cm="1">
        <f t="array" ref="J198">Common_InputFunctions.Utility_DisplayArrayInTable(SourceData_PastureBeef.SourceData_PastureBeef_LiveweightGainNTQLD_Data(),Table_SourceData_PastureBeef_LiveweightGainNTQLD[[#Headers],[State]],0)</f>
        <v>0.15</v>
      </c>
      <c r="K198" s="31" cm="1">
        <f t="array" ref="K198">Common_InputFunctions.Utility_DisplayArrayInTable(SourceData_PastureBeef.SourceData_PastureBeef_LiveweightGainNTQLD_Data(),Table_SourceData_PastureBeef_LiveweightGainNTQLD[[#Headers],[State]],0)</f>
        <v>0.08</v>
      </c>
      <c r="L198" s="31" cm="1">
        <f t="array" ref="L198">Common_InputFunctions.Utility_DisplayArrayInTable(SourceData_PastureBeef.SourceData_PastureBeef_LiveweightGainNTQLD_Data(),Table_SourceData_PastureBeef_LiveweightGainNTQLD[[#Headers],[State]],0)</f>
        <v>0.17</v>
      </c>
      <c r="M198" s="31" cm="1">
        <f t="array" ref="M198">Common_InputFunctions.Utility_DisplayArrayInTable(SourceData_PastureBeef.SourceData_PastureBeef_LiveweightGainNTQLD_Data(),Table_SourceData_PastureBeef_LiveweightGainNTQLD[[#Headers],[State]],0)</f>
        <v>0.06</v>
      </c>
      <c r="N198" s="31" cm="1">
        <f t="array" ref="N198">Common_InputFunctions.Utility_DisplayArrayInTable(SourceData_PastureBeef.SourceData_PastureBeef_LiveweightGainNTQLD_Data(),Table_SourceData_PastureBeef_LiveweightGainNTQLD[[#Headers],[State]],0)</f>
        <v>0.02</v>
      </c>
      <c r="O198" s="31" cm="1">
        <f t="array" ref="O198">Common_InputFunctions.Utility_DisplayArrayInTable(SourceData_PastureBeef.SourceData_PastureBeef_LiveweightGainNTQLD_Data(),Table_SourceData_PastureBeef_LiveweightGainNTQLD[[#Headers],[State]],0)</f>
        <v>-0.14000000000000001</v>
      </c>
      <c r="P198" s="31"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1" t="str" cm="1">
        <f t="array" ref="E199">Common_InputFunctions.Utility_DisplayArrayInTable(SourceData_PastureBeef.SourceData_PastureBeef_LiveweightGainNTQLD_Data(),Table_SourceData_PastureBeef_LiveweightGainNTQLD[[#Headers],[State]],0)</f>
        <v>Northern</v>
      </c>
      <c r="F199" s="31" t="str" cm="1">
        <f t="array" ref="F199">Common_InputFunctions.Utility_DisplayArrayInTable(SourceData_PastureBeef.SourceData_PastureBeef_LiveweightGainNTQLD_Data(),Table_SourceData_PastureBeef_LiveweightGainNTQLD[[#Headers],[State]],0)</f>
        <v>Summer</v>
      </c>
      <c r="G199" s="31" cm="1">
        <f t="array" ref="G199">Common_InputFunctions.Utility_DisplayArrayInTable(SourceData_PastureBeef.SourceData_PastureBeef_LiveweightGainNTQLD_Data(),Table_SourceData_PastureBeef_LiveweightGainNTQLD[[#Headers],[State]],0)</f>
        <v>0.66</v>
      </c>
      <c r="H199" s="31" cm="1">
        <f t="array" ref="H199">Common_InputFunctions.Utility_DisplayArrayInTable(SourceData_PastureBeef.SourceData_PastureBeef_LiveweightGainNTQLD_Data(),Table_SourceData_PastureBeef_LiveweightGainNTQLD[[#Headers],[State]],0)</f>
        <v>0.22</v>
      </c>
      <c r="I199" s="31" cm="1">
        <f t="array" ref="I199">Common_InputFunctions.Utility_DisplayArrayInTable(SourceData_PastureBeef.SourceData_PastureBeef_LiveweightGainNTQLD_Data(),Table_SourceData_PastureBeef_LiveweightGainNTQLD[[#Headers],[State]],0)</f>
        <v>0.79</v>
      </c>
      <c r="J199" s="31" cm="1">
        <f t="array" ref="J199">Common_InputFunctions.Utility_DisplayArrayInTable(SourceData_PastureBeef.SourceData_PastureBeef_LiveweightGainNTQLD_Data(),Table_SourceData_PastureBeef_LiveweightGainNTQLD[[#Headers],[State]],0)</f>
        <v>0.4</v>
      </c>
      <c r="K199" s="31" cm="1">
        <f t="array" ref="K199">Common_InputFunctions.Utility_DisplayArrayInTable(SourceData_PastureBeef.SourceData_PastureBeef_LiveweightGainNTQLD_Data(),Table_SourceData_PastureBeef_LiveweightGainNTQLD[[#Headers],[State]],0)</f>
        <v>0.38</v>
      </c>
      <c r="L199" s="31" cm="1">
        <f t="array" ref="L199">Common_InputFunctions.Utility_DisplayArrayInTable(SourceData_PastureBeef.SourceData_PastureBeef_LiveweightGainNTQLD_Data(),Table_SourceData_PastureBeef_LiveweightGainNTQLD[[#Headers],[State]],0)</f>
        <v>0.27</v>
      </c>
      <c r="M199" s="31" cm="1">
        <f t="array" ref="M199">Common_InputFunctions.Utility_DisplayArrayInTable(SourceData_PastureBeef.SourceData_PastureBeef_LiveweightGainNTQLD_Data(),Table_SourceData_PastureBeef_LiveweightGainNTQLD[[#Headers],[State]],0)</f>
        <v>0.8</v>
      </c>
      <c r="N199" s="31" cm="1">
        <f t="array" ref="N199">Common_InputFunctions.Utility_DisplayArrayInTable(SourceData_PastureBeef.SourceData_PastureBeef_LiveweightGainNTQLD_Data(),Table_SourceData_PastureBeef_LiveweightGainNTQLD[[#Headers],[State]],0)</f>
        <v>0.16</v>
      </c>
      <c r="O199" s="31" cm="1">
        <f t="array" ref="O199">Common_InputFunctions.Utility_DisplayArrayInTable(SourceData_PastureBeef.SourceData_PastureBeef_LiveweightGainNTQLD_Data(),Table_SourceData_PastureBeef_LiveweightGainNTQLD[[#Headers],[State]],0)</f>
        <v>0.3</v>
      </c>
      <c r="P199" s="31"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1" t="str" cm="1">
        <f t="array" ref="E200">Common_InputFunctions.Utility_DisplayArrayInTable(SourceData_PastureBeef.SourceData_PastureBeef_LiveweightGainNTQLD_Data(),Table_SourceData_PastureBeef_LiveweightGainNTQLD[[#Headers],[State]],0)</f>
        <v>Northern</v>
      </c>
      <c r="F200" s="31" t="str" cm="1">
        <f t="array" ref="F200">Common_InputFunctions.Utility_DisplayArrayInTable(SourceData_PastureBeef.SourceData_PastureBeef_LiveweightGainNTQLD_Data(),Table_SourceData_PastureBeef_LiveweightGainNTQLD[[#Headers],[State]],0)</f>
        <v>Autumn</v>
      </c>
      <c r="G200" s="31" cm="1">
        <f t="array" ref="G200">Common_InputFunctions.Utility_DisplayArrayInTable(SourceData_PastureBeef.SourceData_PastureBeef_LiveweightGainNTQLD_Data(),Table_SourceData_PastureBeef_LiveweightGainNTQLD[[#Headers],[State]],0)</f>
        <v>0.49</v>
      </c>
      <c r="H200" s="31" cm="1">
        <f t="array" ref="H200">Common_InputFunctions.Utility_DisplayArrayInTable(SourceData_PastureBeef.SourceData_PastureBeef_LiveweightGainNTQLD_Data(),Table_SourceData_PastureBeef_LiveweightGainNTQLD[[#Headers],[State]],0)</f>
        <v>0.05</v>
      </c>
      <c r="I200" s="31" cm="1">
        <f t="array" ref="I200">Common_InputFunctions.Utility_DisplayArrayInTable(SourceData_PastureBeef.SourceData_PastureBeef_LiveweightGainNTQLD_Data(),Table_SourceData_PastureBeef_LiveweightGainNTQLD[[#Headers],[State]],0)</f>
        <v>0.55000000000000004</v>
      </c>
      <c r="J200" s="31" cm="1">
        <f t="array" ref="J200">Common_InputFunctions.Utility_DisplayArrayInTable(SourceData_PastureBeef.SourceData_PastureBeef_LiveweightGainNTQLD_Data(),Table_SourceData_PastureBeef_LiveweightGainNTQLD[[#Headers],[State]],0)</f>
        <v>0.38</v>
      </c>
      <c r="K200" s="31" cm="1">
        <f t="array" ref="K200">Common_InputFunctions.Utility_DisplayArrayInTable(SourceData_PastureBeef.SourceData_PastureBeef_LiveweightGainNTQLD_Data(),Table_SourceData_PastureBeef_LiveweightGainNTQLD[[#Headers],[State]],0)</f>
        <v>0.36</v>
      </c>
      <c r="L200" s="31" cm="1">
        <f t="array" ref="L200">Common_InputFunctions.Utility_DisplayArrayInTable(SourceData_PastureBeef.SourceData_PastureBeef_LiveweightGainNTQLD_Data(),Table_SourceData_PastureBeef_LiveweightGainNTQLD[[#Headers],[State]],0)</f>
        <v>0.06</v>
      </c>
      <c r="M200" s="31" cm="1">
        <f t="array" ref="M200">Common_InputFunctions.Utility_DisplayArrayInTable(SourceData_PastureBeef.SourceData_PastureBeef_LiveweightGainNTQLD_Data(),Table_SourceData_PastureBeef_LiveweightGainNTQLD[[#Headers],[State]],0)</f>
        <v>0.57999999999999996</v>
      </c>
      <c r="N200" s="31" cm="1">
        <f t="array" ref="N200">Common_InputFunctions.Utility_DisplayArrayInTable(SourceData_PastureBeef.SourceData_PastureBeef_LiveweightGainNTQLD_Data(),Table_SourceData_PastureBeef_LiveweightGainNTQLD[[#Headers],[State]],0)</f>
        <v>0.23</v>
      </c>
      <c r="O200" s="31" cm="1">
        <f t="array" ref="O200">Common_InputFunctions.Utility_DisplayArrayInTable(SourceData_PastureBeef.SourceData_PastureBeef_LiveweightGainNTQLD_Data(),Table_SourceData_PastureBeef_LiveweightGainNTQLD[[#Headers],[State]],0)</f>
        <v>0.4</v>
      </c>
      <c r="P200" s="31"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1" t="str" cm="1">
        <f t="array" ref="E201">Common_InputFunctions.Utility_DisplayArrayInTable(SourceData_PastureBeef.SourceData_PastureBeef_LiveweightGainNTQLD_Data(),Table_SourceData_PastureBeef_LiveweightGainNTQLD[[#Headers],[State]],0)</f>
        <v>Northern</v>
      </c>
      <c r="F201" s="31" t="str" cm="1">
        <f t="array" ref="F201">Common_InputFunctions.Utility_DisplayArrayInTable(SourceData_PastureBeef.SourceData_PastureBeef_LiveweightGainNTQLD_Data(),Table_SourceData_PastureBeef_LiveweightGainNTQLD[[#Headers],[State]],0)</f>
        <v>Winter</v>
      </c>
      <c r="G201" s="31" cm="1">
        <f t="array" ref="G201">Common_InputFunctions.Utility_DisplayArrayInTable(SourceData_PastureBeef.SourceData_PastureBeef_LiveweightGainNTQLD_Data(),Table_SourceData_PastureBeef_LiveweightGainNTQLD[[#Headers],[State]],0)</f>
        <v>0.27</v>
      </c>
      <c r="H201" s="31" cm="1">
        <f t="array" ref="H201">Common_InputFunctions.Utility_DisplayArrayInTable(SourceData_PastureBeef.SourceData_PastureBeef_LiveweightGainNTQLD_Data(),Table_SourceData_PastureBeef_LiveweightGainNTQLD[[#Headers],[State]],0)</f>
        <v>-0.27</v>
      </c>
      <c r="I201" s="31" cm="1">
        <f t="array" ref="I201">Common_InputFunctions.Utility_DisplayArrayInTable(SourceData_PastureBeef.SourceData_PastureBeef_LiveweightGainNTQLD_Data(),Table_SourceData_PastureBeef_LiveweightGainNTQLD[[#Headers],[State]],0)</f>
        <v>0.02</v>
      </c>
      <c r="J201" s="31" cm="1">
        <f t="array" ref="J201">Common_InputFunctions.Utility_DisplayArrayInTable(SourceData_PastureBeef.SourceData_PastureBeef_LiveweightGainNTQLD_Data(),Table_SourceData_PastureBeef_LiveweightGainNTQLD[[#Headers],[State]],0)</f>
        <v>0.09</v>
      </c>
      <c r="K201" s="31" cm="1">
        <f t="array" ref="K201">Common_InputFunctions.Utility_DisplayArrayInTable(SourceData_PastureBeef.SourceData_PastureBeef_LiveweightGainNTQLD_Data(),Table_SourceData_PastureBeef_LiveweightGainNTQLD[[#Headers],[State]],0)</f>
        <v>0.16</v>
      </c>
      <c r="L201" s="31" cm="1">
        <f t="array" ref="L201">Common_InputFunctions.Utility_DisplayArrayInTable(SourceData_PastureBeef.SourceData_PastureBeef_LiveweightGainNTQLD_Data(),Table_SourceData_PastureBeef_LiveweightGainNTQLD[[#Headers],[State]],0)</f>
        <v>-0.04</v>
      </c>
      <c r="M201" s="31" cm="1">
        <f t="array" ref="M201">Common_InputFunctions.Utility_DisplayArrayInTable(SourceData_PastureBeef.SourceData_PastureBeef_LiveweightGainNTQLD_Data(),Table_SourceData_PastureBeef_LiveweightGainNTQLD[[#Headers],[State]],0)</f>
        <v>0.21</v>
      </c>
      <c r="N201" s="31" cm="1">
        <f t="array" ref="N201">Common_InputFunctions.Utility_DisplayArrayInTable(SourceData_PastureBeef.SourceData_PastureBeef_LiveweightGainNTQLD_Data(),Table_SourceData_PastureBeef_LiveweightGainNTQLD[[#Headers],[State]],0)</f>
        <v>0.03</v>
      </c>
      <c r="O201" s="31" cm="1">
        <f t="array" ref="O201">Common_InputFunctions.Utility_DisplayArrayInTable(SourceData_PastureBeef.SourceData_PastureBeef_LiveweightGainNTQLD_Data(),Table_SourceData_PastureBeef_LiveweightGainNTQLD[[#Headers],[State]],0)</f>
        <v>0.11</v>
      </c>
      <c r="P201" s="31"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1" t="str" cm="1">
        <f t="array" ref="E202">Common_InputFunctions.Utility_DisplayArrayInTable(SourceData_PastureBeef.SourceData_PastureBeef_LiveweightGainNTQLD_Data(),Table_SourceData_PastureBeef_LiveweightGainNTQLD[[#Headers],[State]],0)</f>
        <v>High</v>
      </c>
      <c r="F202" s="31" t="str" cm="1">
        <f t="array" ref="F202">Common_InputFunctions.Utility_DisplayArrayInTable(SourceData_PastureBeef.SourceData_PastureBeef_LiveweightGainNTQLD_Data(),Table_SourceData_PastureBeef_LiveweightGainNTQLD[[#Headers],[State]],0)</f>
        <v>Spring</v>
      </c>
      <c r="G202" s="31" cm="1">
        <f t="array" ref="G202">Common_InputFunctions.Utility_DisplayArrayInTable(SourceData_PastureBeef.SourceData_PastureBeef_LiveweightGainNTQLD_Data(),Table_SourceData_PastureBeef_LiveweightGainNTQLD[[#Headers],[State]],0)</f>
        <v>0.27</v>
      </c>
      <c r="H202" s="31" cm="1">
        <f t="array" ref="H202">Common_InputFunctions.Utility_DisplayArrayInTable(SourceData_PastureBeef.SourceData_PastureBeef_LiveweightGainNTQLD_Data(),Table_SourceData_PastureBeef_LiveweightGainNTQLD[[#Headers],[State]],0)</f>
        <v>-0.19</v>
      </c>
      <c r="I202" s="31" cm="1">
        <f t="array" ref="I202">Common_InputFunctions.Utility_DisplayArrayInTable(SourceData_PastureBeef.SourceData_PastureBeef_LiveweightGainNTQLD_Data(),Table_SourceData_PastureBeef_LiveweightGainNTQLD[[#Headers],[State]],0)</f>
        <v>0.38</v>
      </c>
      <c r="J202" s="31" cm="1">
        <f t="array" ref="J202">Common_InputFunctions.Utility_DisplayArrayInTable(SourceData_PastureBeef.SourceData_PastureBeef_LiveweightGainNTQLD_Data(),Table_SourceData_PastureBeef_LiveweightGainNTQLD[[#Headers],[State]],0)</f>
        <v>0.25</v>
      </c>
      <c r="K202" s="31" cm="1">
        <f t="array" ref="K202">Common_InputFunctions.Utility_DisplayArrayInTable(SourceData_PastureBeef.SourceData_PastureBeef_LiveweightGainNTQLD_Data(),Table_SourceData_PastureBeef_LiveweightGainNTQLD[[#Headers],[State]],0)</f>
        <v>7.0000000000000007E-2</v>
      </c>
      <c r="L202" s="31" cm="1">
        <f t="array" ref="L202">Common_InputFunctions.Utility_DisplayArrayInTable(SourceData_PastureBeef.SourceData_PastureBeef_LiveweightGainNTQLD_Data(),Table_SourceData_PastureBeef_LiveweightGainNTQLD[[#Headers],[State]],0)</f>
        <v>0.05</v>
      </c>
      <c r="M202" s="31" cm="1">
        <f t="array" ref="M202">Common_InputFunctions.Utility_DisplayArrayInTable(SourceData_PastureBeef.SourceData_PastureBeef_LiveweightGainNTQLD_Data(),Table_SourceData_PastureBeef_LiveweightGainNTQLD[[#Headers],[State]],0)</f>
        <v>0.52</v>
      </c>
      <c r="N202" s="31" cm="1">
        <f t="array" ref="N202">Common_InputFunctions.Utility_DisplayArrayInTable(SourceData_PastureBeef.SourceData_PastureBeef_LiveweightGainNTQLD_Data(),Table_SourceData_PastureBeef_LiveweightGainNTQLD[[#Headers],[State]],0)</f>
        <v>0.55000000000000004</v>
      </c>
      <c r="O202" s="31" cm="1">
        <f t="array" ref="O202">Common_InputFunctions.Utility_DisplayArrayInTable(SourceData_PastureBeef.SourceData_PastureBeef_LiveweightGainNTQLD_Data(),Table_SourceData_PastureBeef_LiveweightGainNTQLD[[#Headers],[State]],0)</f>
        <v>0.19</v>
      </c>
      <c r="P202" s="31"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1" t="str" cm="1">
        <f t="array" ref="E203">Common_InputFunctions.Utility_DisplayArrayInTable(SourceData_PastureBeef.SourceData_PastureBeef_LiveweightGainNTQLD_Data(),Table_SourceData_PastureBeef_LiveweightGainNTQLD[[#Headers],[State]],0)</f>
        <v>High</v>
      </c>
      <c r="F203" s="31" t="str" cm="1">
        <f t="array" ref="F203">Common_InputFunctions.Utility_DisplayArrayInTable(SourceData_PastureBeef.SourceData_PastureBeef_LiveweightGainNTQLD_Data(),Table_SourceData_PastureBeef_LiveweightGainNTQLD[[#Headers],[State]],0)</f>
        <v>Summer</v>
      </c>
      <c r="G203" s="31" cm="1">
        <f t="array" ref="G203">Common_InputFunctions.Utility_DisplayArrayInTable(SourceData_PastureBeef.SourceData_PastureBeef_LiveweightGainNTQLD_Data(),Table_SourceData_PastureBeef_LiveweightGainNTQLD[[#Headers],[State]],0)</f>
        <v>0.16</v>
      </c>
      <c r="H203" s="31" cm="1">
        <f t="array" ref="H203">Common_InputFunctions.Utility_DisplayArrayInTable(SourceData_PastureBeef.SourceData_PastureBeef_LiveweightGainNTQLD_Data(),Table_SourceData_PastureBeef_LiveweightGainNTQLD[[#Headers],[State]],0)</f>
        <v>0.16</v>
      </c>
      <c r="I203" s="31" cm="1">
        <f t="array" ref="I203">Common_InputFunctions.Utility_DisplayArrayInTable(SourceData_PastureBeef.SourceData_PastureBeef_LiveweightGainNTQLD_Data(),Table_SourceData_PastureBeef_LiveweightGainNTQLD[[#Headers],[State]],0)</f>
        <v>0.8</v>
      </c>
      <c r="J203" s="31" cm="1">
        <f t="array" ref="J203">Common_InputFunctions.Utility_DisplayArrayInTable(SourceData_PastureBeef.SourceData_PastureBeef_LiveweightGainNTQLD_Data(),Table_SourceData_PastureBeef_LiveweightGainNTQLD[[#Headers],[State]],0)</f>
        <v>0.56999999999999995</v>
      </c>
      <c r="K203" s="31" cm="1">
        <f t="array" ref="K203">Common_InputFunctions.Utility_DisplayArrayInTable(SourceData_PastureBeef.SourceData_PastureBeef_LiveweightGainNTQLD_Data(),Table_SourceData_PastureBeef_LiveweightGainNTQLD[[#Headers],[State]],0)</f>
        <v>0.76</v>
      </c>
      <c r="L203" s="31" cm="1">
        <f t="array" ref="L203">Common_InputFunctions.Utility_DisplayArrayInTable(SourceData_PastureBeef.SourceData_PastureBeef_LiveweightGainNTQLD_Data(),Table_SourceData_PastureBeef_LiveweightGainNTQLD[[#Headers],[State]],0)</f>
        <v>0.49</v>
      </c>
      <c r="M203" s="31" cm="1">
        <f t="array" ref="M203">Common_InputFunctions.Utility_DisplayArrayInTable(SourceData_PastureBeef.SourceData_PastureBeef_LiveweightGainNTQLD_Data(),Table_SourceData_PastureBeef_LiveweightGainNTQLD[[#Headers],[State]],0)</f>
        <v>0.84</v>
      </c>
      <c r="N203" s="31" cm="1">
        <f t="array" ref="N203">Common_InputFunctions.Utility_DisplayArrayInTable(SourceData_PastureBeef.SourceData_PastureBeef_LiveweightGainNTQLD_Data(),Table_SourceData_PastureBeef_LiveweightGainNTQLD[[#Headers],[State]],0)</f>
        <v>0.51</v>
      </c>
      <c r="O203" s="31" cm="1">
        <f t="array" ref="O203">Common_InputFunctions.Utility_DisplayArrayInTable(SourceData_PastureBeef.SourceData_PastureBeef_LiveweightGainNTQLD_Data(),Table_SourceData_PastureBeef_LiveweightGainNTQLD[[#Headers],[State]],0)</f>
        <v>0.36</v>
      </c>
      <c r="P203" s="31"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1" t="str" cm="1">
        <f t="array" ref="E204">Common_InputFunctions.Utility_DisplayArrayInTable(SourceData_PastureBeef.SourceData_PastureBeef_LiveweightGainNTQLD_Data(),Table_SourceData_PastureBeef_LiveweightGainNTQLD[[#Headers],[State]],0)</f>
        <v>High</v>
      </c>
      <c r="F204" s="31" t="str" cm="1">
        <f t="array" ref="F204">Common_InputFunctions.Utility_DisplayArrayInTable(SourceData_PastureBeef.SourceData_PastureBeef_LiveweightGainNTQLD_Data(),Table_SourceData_PastureBeef_LiveweightGainNTQLD[[#Headers],[State]],0)</f>
        <v>Autumn</v>
      </c>
      <c r="G204" s="31" cm="1">
        <f t="array" ref="G204">Common_InputFunctions.Utility_DisplayArrayInTable(SourceData_PastureBeef.SourceData_PastureBeef_LiveweightGainNTQLD_Data(),Table_SourceData_PastureBeef_LiveweightGainNTQLD[[#Headers],[State]],0)</f>
        <v>0.45</v>
      </c>
      <c r="H204" s="31" cm="1">
        <f t="array" ref="H204">Common_InputFunctions.Utility_DisplayArrayInTable(SourceData_PastureBeef.SourceData_PastureBeef_LiveweightGainNTQLD_Data(),Table_SourceData_PastureBeef_LiveweightGainNTQLD[[#Headers],[State]],0)</f>
        <v>0.1</v>
      </c>
      <c r="I204" s="31" cm="1">
        <f t="array" ref="I204">Common_InputFunctions.Utility_DisplayArrayInTable(SourceData_PastureBeef.SourceData_PastureBeef_LiveweightGainNTQLD_Data(),Table_SourceData_PastureBeef_LiveweightGainNTQLD[[#Headers],[State]],0)</f>
        <v>0.49</v>
      </c>
      <c r="J204" s="31" cm="1">
        <f t="array" ref="J204">Common_InputFunctions.Utility_DisplayArrayInTable(SourceData_PastureBeef.SourceData_PastureBeef_LiveweightGainNTQLD_Data(),Table_SourceData_PastureBeef_LiveweightGainNTQLD[[#Headers],[State]],0)</f>
        <v>0.41</v>
      </c>
      <c r="K204" s="31" cm="1">
        <f t="array" ref="K204">Common_InputFunctions.Utility_DisplayArrayInTable(SourceData_PastureBeef.SourceData_PastureBeef_LiveweightGainNTQLD_Data(),Table_SourceData_PastureBeef_LiveweightGainNTQLD[[#Headers],[State]],0)</f>
        <v>0.4</v>
      </c>
      <c r="L204" s="31" cm="1">
        <f t="array" ref="L204">Common_InputFunctions.Utility_DisplayArrayInTable(SourceData_PastureBeef.SourceData_PastureBeef_LiveweightGainNTQLD_Data(),Table_SourceData_PastureBeef_LiveweightGainNTQLD[[#Headers],[State]],0)</f>
        <v>0.17</v>
      </c>
      <c r="M204" s="31" cm="1">
        <f t="array" ref="M204">Common_InputFunctions.Utility_DisplayArrayInTable(SourceData_PastureBeef.SourceData_PastureBeef_LiveweightGainNTQLD_Data(),Table_SourceData_PastureBeef_LiveweightGainNTQLD[[#Headers],[State]],0)</f>
        <v>0.54</v>
      </c>
      <c r="N204" s="31" cm="1">
        <f t="array" ref="N204">Common_InputFunctions.Utility_DisplayArrayInTable(SourceData_PastureBeef.SourceData_PastureBeef_LiveweightGainNTQLD_Data(),Table_SourceData_PastureBeef_LiveweightGainNTQLD[[#Headers],[State]],0)</f>
        <v>0.64</v>
      </c>
      <c r="O204" s="31" cm="1">
        <f t="array" ref="O204">Common_InputFunctions.Utility_DisplayArrayInTable(SourceData_PastureBeef.SourceData_PastureBeef_LiveweightGainNTQLD_Data(),Table_SourceData_PastureBeef_LiveweightGainNTQLD[[#Headers],[State]],0)</f>
        <v>-0.05</v>
      </c>
      <c r="P204" s="31"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1" t="str" cm="1">
        <f t="array" ref="E205">Common_InputFunctions.Utility_DisplayArrayInTable(SourceData_PastureBeef.SourceData_PastureBeef_LiveweightGainNTQLD_Data(),Table_SourceData_PastureBeef_LiveweightGainNTQLD[[#Headers],[State]],0)</f>
        <v>High</v>
      </c>
      <c r="F205" s="31" t="str" cm="1">
        <f t="array" ref="F205">Common_InputFunctions.Utility_DisplayArrayInTable(SourceData_PastureBeef.SourceData_PastureBeef_LiveweightGainNTQLD_Data(),Table_SourceData_PastureBeef_LiveweightGainNTQLD[[#Headers],[State]],0)</f>
        <v>Winter</v>
      </c>
      <c r="G205" s="31" cm="1">
        <f t="array" ref="G205">Common_InputFunctions.Utility_DisplayArrayInTable(SourceData_PastureBeef.SourceData_PastureBeef_LiveweightGainNTQLD_Data(),Table_SourceData_PastureBeef_LiveweightGainNTQLD[[#Headers],[State]],0)</f>
        <v>0.51</v>
      </c>
      <c r="H205" s="31" cm="1">
        <f t="array" ref="H205">Common_InputFunctions.Utility_DisplayArrayInTable(SourceData_PastureBeef.SourceData_PastureBeef_LiveweightGainNTQLD_Data(),Table_SourceData_PastureBeef_LiveweightGainNTQLD[[#Headers],[State]],0)</f>
        <v>-7.0000000000000007E-2</v>
      </c>
      <c r="I205" s="31" cm="1">
        <f t="array" ref="I205">Common_InputFunctions.Utility_DisplayArrayInTable(SourceData_PastureBeef.SourceData_PastureBeef_LiveweightGainNTQLD_Data(),Table_SourceData_PastureBeef_LiveweightGainNTQLD[[#Headers],[State]],0)</f>
        <v>0.13</v>
      </c>
      <c r="J205" s="31" cm="1">
        <f t="array" ref="J205">Common_InputFunctions.Utility_DisplayArrayInTable(SourceData_PastureBeef.SourceData_PastureBeef_LiveweightGainNTQLD_Data(),Table_SourceData_PastureBeef_LiveweightGainNTQLD[[#Headers],[State]],0)</f>
        <v>-0.09</v>
      </c>
      <c r="K205" s="31" cm="1">
        <f t="array" ref="K205">Common_InputFunctions.Utility_DisplayArrayInTable(SourceData_PastureBeef.SourceData_PastureBeef_LiveweightGainNTQLD_Data(),Table_SourceData_PastureBeef_LiveweightGainNTQLD[[#Headers],[State]],0)</f>
        <v>-0.13</v>
      </c>
      <c r="L205" s="31" cm="1">
        <f t="array" ref="L205">Common_InputFunctions.Utility_DisplayArrayInTable(SourceData_PastureBeef.SourceData_PastureBeef_LiveweightGainNTQLD_Data(),Table_SourceData_PastureBeef_LiveweightGainNTQLD[[#Headers],[State]],0)</f>
        <v>7.0000000000000007E-2</v>
      </c>
      <c r="M205" s="31" cm="1">
        <f t="array" ref="M205">Common_InputFunctions.Utility_DisplayArrayInTable(SourceData_PastureBeef.SourceData_PastureBeef_LiveweightGainNTQLD_Data(),Table_SourceData_PastureBeef_LiveweightGainNTQLD[[#Headers],[State]],0)</f>
        <v>0.25</v>
      </c>
      <c r="N205" s="31" cm="1">
        <f t="array" ref="N205">Common_InputFunctions.Utility_DisplayArrayInTable(SourceData_PastureBeef.SourceData_PastureBeef_LiveweightGainNTQLD_Data(),Table_SourceData_PastureBeef_LiveweightGainNTQLD[[#Headers],[State]],0)</f>
        <v>0.71</v>
      </c>
      <c r="O205" s="31" cm="1">
        <f t="array" ref="O205">Common_InputFunctions.Utility_DisplayArrayInTable(SourceData_PastureBeef.SourceData_PastureBeef_LiveweightGainNTQLD_Data(),Table_SourceData_PastureBeef_LiveweightGainNTQLD[[#Headers],[State]],0)</f>
        <v>0.17</v>
      </c>
      <c r="P205" s="31"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1" t="str" cm="1">
        <f t="array" ref="E206">Common_InputFunctions.Utility_DisplayArrayInTable(SourceData_PastureBeef.SourceData_PastureBeef_LiveweightGainNTQLD_Data(),Table_SourceData_PastureBeef_LiveweightGainNTQLD[[#Headers],[State]],0)</f>
        <v>Moderate/High</v>
      </c>
      <c r="F206" s="31" t="str" cm="1">
        <f t="array" ref="F206">Common_InputFunctions.Utility_DisplayArrayInTable(SourceData_PastureBeef.SourceData_PastureBeef_LiveweightGainNTQLD_Data(),Table_SourceData_PastureBeef_LiveweightGainNTQLD[[#Headers],[State]],0)</f>
        <v>Spring</v>
      </c>
      <c r="G206" s="31" cm="1">
        <f t="array" ref="G206">Common_InputFunctions.Utility_DisplayArrayInTable(SourceData_PastureBeef.SourceData_PastureBeef_LiveweightGainNTQLD_Data(),Table_SourceData_PastureBeef_LiveweightGainNTQLD[[#Headers],[State]],0)</f>
        <v>-0.12</v>
      </c>
      <c r="H206" s="31" cm="1">
        <f t="array" ref="H206">Common_InputFunctions.Utility_DisplayArrayInTable(SourceData_PastureBeef.SourceData_PastureBeef_LiveweightGainNTQLD_Data(),Table_SourceData_PastureBeef_LiveweightGainNTQLD[[#Headers],[State]],0)</f>
        <v>-0.19</v>
      </c>
      <c r="I206" s="31" cm="1">
        <f t="array" ref="I206">Common_InputFunctions.Utility_DisplayArrayInTable(SourceData_PastureBeef.SourceData_PastureBeef_LiveweightGainNTQLD_Data(),Table_SourceData_PastureBeef_LiveweightGainNTQLD[[#Headers],[State]],0)</f>
        <v>0.41</v>
      </c>
      <c r="J206" s="31" cm="1">
        <f t="array" ref="J206">Common_InputFunctions.Utility_DisplayArrayInTable(SourceData_PastureBeef.SourceData_PastureBeef_LiveweightGainNTQLD_Data(),Table_SourceData_PastureBeef_LiveweightGainNTQLD[[#Headers],[State]],0)</f>
        <v>0.09</v>
      </c>
      <c r="K206" s="31" cm="1">
        <f t="array" ref="K206">Common_InputFunctions.Utility_DisplayArrayInTable(SourceData_PastureBeef.SourceData_PastureBeef_LiveweightGainNTQLD_Data(),Table_SourceData_PastureBeef_LiveweightGainNTQLD[[#Headers],[State]],0)</f>
        <v>0.41</v>
      </c>
      <c r="L206" s="31" cm="1">
        <f t="array" ref="L206">Common_InputFunctions.Utility_DisplayArrayInTable(SourceData_PastureBeef.SourceData_PastureBeef_LiveweightGainNTQLD_Data(),Table_SourceData_PastureBeef_LiveweightGainNTQLD[[#Headers],[State]],0)</f>
        <v>-0.19</v>
      </c>
      <c r="M206" s="31" cm="1">
        <f t="array" ref="M206">Common_InputFunctions.Utility_DisplayArrayInTable(SourceData_PastureBeef.SourceData_PastureBeef_LiveweightGainNTQLD_Data(),Table_SourceData_PastureBeef_LiveweightGainNTQLD[[#Headers],[State]],0)</f>
        <v>7.0000000000000007E-2</v>
      </c>
      <c r="N206" s="31" cm="1">
        <f t="array" ref="N206">Common_InputFunctions.Utility_DisplayArrayInTable(SourceData_PastureBeef.SourceData_PastureBeef_LiveweightGainNTQLD_Data(),Table_SourceData_PastureBeef_LiveweightGainNTQLD[[#Headers],[State]],0)</f>
        <v>1.07</v>
      </c>
      <c r="O206" s="31" cm="1">
        <f t="array" ref="O206">Common_InputFunctions.Utility_DisplayArrayInTable(SourceData_PastureBeef.SourceData_PastureBeef_LiveweightGainNTQLD_Data(),Table_SourceData_PastureBeef_LiveweightGainNTQLD[[#Headers],[State]],0)</f>
        <v>-0.08</v>
      </c>
      <c r="P206" s="31"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1" t="str" cm="1">
        <f t="array" ref="E207">Common_InputFunctions.Utility_DisplayArrayInTable(SourceData_PastureBeef.SourceData_PastureBeef_LiveweightGainNTQLD_Data(),Table_SourceData_PastureBeef_LiveweightGainNTQLD[[#Headers],[State]],0)</f>
        <v>Moderate/High</v>
      </c>
      <c r="F207" s="31" t="str" cm="1">
        <f t="array" ref="F207">Common_InputFunctions.Utility_DisplayArrayInTable(SourceData_PastureBeef.SourceData_PastureBeef_LiveweightGainNTQLD_Data(),Table_SourceData_PastureBeef_LiveweightGainNTQLD[[#Headers],[State]],0)</f>
        <v>Summer</v>
      </c>
      <c r="G207" s="31" cm="1">
        <f t="array" ref="G207">Common_InputFunctions.Utility_DisplayArrayInTable(SourceData_PastureBeef.SourceData_PastureBeef_LiveweightGainNTQLD_Data(),Table_SourceData_PastureBeef_LiveweightGainNTQLD[[#Headers],[State]],0)</f>
        <v>0.65</v>
      </c>
      <c r="H207" s="31" cm="1">
        <f t="array" ref="H207">Common_InputFunctions.Utility_DisplayArrayInTable(SourceData_PastureBeef.SourceData_PastureBeef_LiveweightGainNTQLD_Data(),Table_SourceData_PastureBeef_LiveweightGainNTQLD[[#Headers],[State]],0)</f>
        <v>0.19</v>
      </c>
      <c r="I207" s="31" cm="1">
        <f t="array" ref="I207">Common_InputFunctions.Utility_DisplayArrayInTable(SourceData_PastureBeef.SourceData_PastureBeef_LiveweightGainNTQLD_Data(),Table_SourceData_PastureBeef_LiveweightGainNTQLD[[#Headers],[State]],0)</f>
        <v>0.65</v>
      </c>
      <c r="J207" s="31" cm="1">
        <f t="array" ref="J207">Common_InputFunctions.Utility_DisplayArrayInTable(SourceData_PastureBeef.SourceData_PastureBeef_LiveweightGainNTQLD_Data(),Table_SourceData_PastureBeef_LiveweightGainNTQLD[[#Headers],[State]],0)</f>
        <v>0.51</v>
      </c>
      <c r="K207" s="31" cm="1">
        <f t="array" ref="K207">Common_InputFunctions.Utility_DisplayArrayInTable(SourceData_PastureBeef.SourceData_PastureBeef_LiveweightGainNTQLD_Data(),Table_SourceData_PastureBeef_LiveweightGainNTQLD[[#Headers],[State]],0)</f>
        <v>0.18</v>
      </c>
      <c r="L207" s="31" cm="1">
        <f t="array" ref="L207">Common_InputFunctions.Utility_DisplayArrayInTable(SourceData_PastureBeef.SourceData_PastureBeef_LiveweightGainNTQLD_Data(),Table_SourceData_PastureBeef_LiveweightGainNTQLD[[#Headers],[State]],0)</f>
        <v>0.63</v>
      </c>
      <c r="M207" s="31" cm="1">
        <f t="array" ref="M207">Common_InputFunctions.Utility_DisplayArrayInTable(SourceData_PastureBeef.SourceData_PastureBeef_LiveweightGainNTQLD_Data(),Table_SourceData_PastureBeef_LiveweightGainNTQLD[[#Headers],[State]],0)</f>
        <v>1.3</v>
      </c>
      <c r="N207" s="31" cm="1">
        <f t="array" ref="N207">Common_InputFunctions.Utility_DisplayArrayInTable(SourceData_PastureBeef.SourceData_PastureBeef_LiveweightGainNTQLD_Data(),Table_SourceData_PastureBeef_LiveweightGainNTQLD[[#Headers],[State]],0)</f>
        <v>0.48</v>
      </c>
      <c r="O207" s="31" cm="1">
        <f t="array" ref="O207">Common_InputFunctions.Utility_DisplayArrayInTable(SourceData_PastureBeef.SourceData_PastureBeef_LiveweightGainNTQLD_Data(),Table_SourceData_PastureBeef_LiveweightGainNTQLD[[#Headers],[State]],0)</f>
        <v>1.1200000000000001</v>
      </c>
      <c r="P207" s="31"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1" t="str" cm="1">
        <f t="array" ref="E208">Common_InputFunctions.Utility_DisplayArrayInTable(SourceData_PastureBeef.SourceData_PastureBeef_LiveweightGainNTQLD_Data(),Table_SourceData_PastureBeef_LiveweightGainNTQLD[[#Headers],[State]],0)</f>
        <v>Moderate/High</v>
      </c>
      <c r="F208" s="31" t="str" cm="1">
        <f t="array" ref="F208">Common_InputFunctions.Utility_DisplayArrayInTable(SourceData_PastureBeef.SourceData_PastureBeef_LiveweightGainNTQLD_Data(),Table_SourceData_PastureBeef_LiveweightGainNTQLD[[#Headers],[State]],0)</f>
        <v>Autumn</v>
      </c>
      <c r="G208" s="31" cm="1">
        <f t="array" ref="G208">Common_InputFunctions.Utility_DisplayArrayInTable(SourceData_PastureBeef.SourceData_PastureBeef_LiveweightGainNTQLD_Data(),Table_SourceData_PastureBeef_LiveweightGainNTQLD[[#Headers],[State]],0)</f>
        <v>0.7</v>
      </c>
      <c r="H208" s="31" cm="1">
        <f t="array" ref="H208">Common_InputFunctions.Utility_DisplayArrayInTable(SourceData_PastureBeef.SourceData_PastureBeef_LiveweightGainNTQLD_Data(),Table_SourceData_PastureBeef_LiveweightGainNTQLD[[#Headers],[State]],0)</f>
        <v>0.13</v>
      </c>
      <c r="I208" s="31" cm="1">
        <f t="array" ref="I208">Common_InputFunctions.Utility_DisplayArrayInTable(SourceData_PastureBeef.SourceData_PastureBeef_LiveweightGainNTQLD_Data(),Table_SourceData_PastureBeef_LiveweightGainNTQLD[[#Headers],[State]],0)</f>
        <v>0.52</v>
      </c>
      <c r="J208" s="31" cm="1">
        <f t="array" ref="J208">Common_InputFunctions.Utility_DisplayArrayInTable(SourceData_PastureBeef.SourceData_PastureBeef_LiveweightGainNTQLD_Data(),Table_SourceData_PastureBeef_LiveweightGainNTQLD[[#Headers],[State]],0)</f>
        <v>0.34</v>
      </c>
      <c r="K208" s="31" cm="1">
        <f t="array" ref="K208">Common_InputFunctions.Utility_DisplayArrayInTable(SourceData_PastureBeef.SourceData_PastureBeef_LiveweightGainNTQLD_Data(),Table_SourceData_PastureBeef_LiveweightGainNTQLD[[#Headers],[State]],0)</f>
        <v>0.02</v>
      </c>
      <c r="L208" s="31" cm="1">
        <f t="array" ref="L208">Common_InputFunctions.Utility_DisplayArrayInTable(SourceData_PastureBeef.SourceData_PastureBeef_LiveweightGainNTQLD_Data(),Table_SourceData_PastureBeef_LiveweightGainNTQLD[[#Headers],[State]],0)</f>
        <v>0.04</v>
      </c>
      <c r="M208" s="31" cm="1">
        <f t="array" ref="M208">Common_InputFunctions.Utility_DisplayArrayInTable(SourceData_PastureBeef.SourceData_PastureBeef_LiveweightGainNTQLD_Data(),Table_SourceData_PastureBeef_LiveweightGainNTQLD[[#Headers],[State]],0)</f>
        <v>0.77</v>
      </c>
      <c r="N208" s="31" cm="1">
        <f t="array" ref="N208">Common_InputFunctions.Utility_DisplayArrayInTable(SourceData_PastureBeef.SourceData_PastureBeef_LiveweightGainNTQLD_Data(),Table_SourceData_PastureBeef_LiveweightGainNTQLD[[#Headers],[State]],0)</f>
        <v>0.42</v>
      </c>
      <c r="O208" s="31" cm="1">
        <f t="array" ref="O208">Common_InputFunctions.Utility_DisplayArrayInTable(SourceData_PastureBeef.SourceData_PastureBeef_LiveweightGainNTQLD_Data(),Table_SourceData_PastureBeef_LiveweightGainNTQLD[[#Headers],[State]],0)</f>
        <v>0.12</v>
      </c>
      <c r="P208" s="31"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1" t="str" cm="1">
        <f t="array" ref="E209">Common_InputFunctions.Utility_DisplayArrayInTable(SourceData_PastureBeef.SourceData_PastureBeef_LiveweightGainNTQLD_Data(),Table_SourceData_PastureBeef_LiveweightGainNTQLD[[#Headers],[State]],0)</f>
        <v>Moderate/High</v>
      </c>
      <c r="F209" s="31" t="str" cm="1">
        <f t="array" ref="F209">Common_InputFunctions.Utility_DisplayArrayInTable(SourceData_PastureBeef.SourceData_PastureBeef_LiveweightGainNTQLD_Data(),Table_SourceData_PastureBeef_LiveweightGainNTQLD[[#Headers],[State]],0)</f>
        <v>Winter</v>
      </c>
      <c r="G209" s="31" cm="1">
        <f t="array" ref="G209">Common_InputFunctions.Utility_DisplayArrayInTable(SourceData_PastureBeef.SourceData_PastureBeef_LiveweightGainNTQLD_Data(),Table_SourceData_PastureBeef_LiveweightGainNTQLD[[#Headers],[State]],0)</f>
        <v>0.32</v>
      </c>
      <c r="H209" s="31" cm="1">
        <f t="array" ref="H209">Common_InputFunctions.Utility_DisplayArrayInTable(SourceData_PastureBeef.SourceData_PastureBeef_LiveweightGainNTQLD_Data(),Table_SourceData_PastureBeef_LiveweightGainNTQLD[[#Headers],[State]],0)</f>
        <v>-0.06</v>
      </c>
      <c r="I209" s="31" cm="1">
        <f t="array" ref="I209">Common_InputFunctions.Utility_DisplayArrayInTable(SourceData_PastureBeef.SourceData_PastureBeef_LiveweightGainNTQLD_Data(),Table_SourceData_PastureBeef_LiveweightGainNTQLD[[#Headers],[State]],0)</f>
        <v>0.25</v>
      </c>
      <c r="J209" s="31" cm="1">
        <f t="array" ref="J209">Common_InputFunctions.Utility_DisplayArrayInTable(SourceData_PastureBeef.SourceData_PastureBeef_LiveweightGainNTQLD_Data(),Table_SourceData_PastureBeef_LiveweightGainNTQLD[[#Headers],[State]],0)</f>
        <v>0.19</v>
      </c>
      <c r="K209" s="31" cm="1">
        <f t="array" ref="K209">Common_InputFunctions.Utility_DisplayArrayInTable(SourceData_PastureBeef.SourceData_PastureBeef_LiveweightGainNTQLD_Data(),Table_SourceData_PastureBeef_LiveweightGainNTQLD[[#Headers],[State]],0)</f>
        <v>-0.1</v>
      </c>
      <c r="L209" s="31" cm="1">
        <f t="array" ref="L209">Common_InputFunctions.Utility_DisplayArrayInTable(SourceData_PastureBeef.SourceData_PastureBeef_LiveweightGainNTQLD_Data(),Table_SourceData_PastureBeef_LiveweightGainNTQLD[[#Headers],[State]],0)</f>
        <v>-0.02</v>
      </c>
      <c r="M209" s="31" cm="1">
        <f t="array" ref="M209">Common_InputFunctions.Utility_DisplayArrayInTable(SourceData_PastureBeef.SourceData_PastureBeef_LiveweightGainNTQLD_Data(),Table_SourceData_PastureBeef_LiveweightGainNTQLD[[#Headers],[State]],0)</f>
        <v>0.02</v>
      </c>
      <c r="N209" s="31" cm="1">
        <f t="array" ref="N209">Common_InputFunctions.Utility_DisplayArrayInTable(SourceData_PastureBeef.SourceData_PastureBeef_LiveweightGainNTQLD_Data(),Table_SourceData_PastureBeef_LiveweightGainNTQLD[[#Headers],[State]],0)</f>
        <v>0.23</v>
      </c>
      <c r="O209" s="31" cm="1">
        <f t="array" ref="O209">Common_InputFunctions.Utility_DisplayArrayInTable(SourceData_PastureBeef.SourceData_PastureBeef_LiveweightGainNTQLD_Data(),Table_SourceData_PastureBeef_LiveweightGainNTQLD[[#Headers],[State]],0)</f>
        <v>-0.13</v>
      </c>
      <c r="P209" s="31"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1" t="str" cm="1">
        <f t="array" ref="E210">Common_InputFunctions.Utility_DisplayArrayInTable(SourceData_PastureBeef.SourceData_PastureBeef_LiveweightGainNTQLD_Data(),Table_SourceData_PastureBeef_LiveweightGainNTQLD[[#Headers],[State]],0)</f>
        <v>Moderate/Low</v>
      </c>
      <c r="F210" s="31" t="str" cm="1">
        <f t="array" ref="F210">Common_InputFunctions.Utility_DisplayArrayInTable(SourceData_PastureBeef.SourceData_PastureBeef_LiveweightGainNTQLD_Data(),Table_SourceData_PastureBeef_LiveweightGainNTQLD[[#Headers],[State]],0)</f>
        <v>Spring</v>
      </c>
      <c r="G210" s="31" cm="1">
        <f t="array" ref="G210">Common_InputFunctions.Utility_DisplayArrayInTable(SourceData_PastureBeef.SourceData_PastureBeef_LiveweightGainNTQLD_Data(),Table_SourceData_PastureBeef_LiveweightGainNTQLD[[#Headers],[State]],0)</f>
        <v>0.62</v>
      </c>
      <c r="H210" s="31" cm="1">
        <f t="array" ref="H210">Common_InputFunctions.Utility_DisplayArrayInTable(SourceData_PastureBeef.SourceData_PastureBeef_LiveweightGainNTQLD_Data(),Table_SourceData_PastureBeef_LiveweightGainNTQLD[[#Headers],[State]],0)</f>
        <v>-0.19</v>
      </c>
      <c r="I210" s="31" cm="1">
        <f t="array" ref="I210">Common_InputFunctions.Utility_DisplayArrayInTable(SourceData_PastureBeef.SourceData_PastureBeef_LiveweightGainNTQLD_Data(),Table_SourceData_PastureBeef_LiveweightGainNTQLD[[#Headers],[State]],0)</f>
        <v>0.37</v>
      </c>
      <c r="J210" s="31" cm="1">
        <f t="array" ref="J210">Common_InputFunctions.Utility_DisplayArrayInTable(SourceData_PastureBeef.SourceData_PastureBeef_LiveweightGainNTQLD_Data(),Table_SourceData_PastureBeef_LiveweightGainNTQLD[[#Headers],[State]],0)</f>
        <v>0.41</v>
      </c>
      <c r="K210" s="31" cm="1">
        <f t="array" ref="K210">Common_InputFunctions.Utility_DisplayArrayInTable(SourceData_PastureBeef.SourceData_PastureBeef_LiveweightGainNTQLD_Data(),Table_SourceData_PastureBeef_LiveweightGainNTQLD[[#Headers],[State]],0)</f>
        <v>0.06</v>
      </c>
      <c r="L210" s="31" cm="1">
        <f t="array" ref="L210">Common_InputFunctions.Utility_DisplayArrayInTable(SourceData_PastureBeef.SourceData_PastureBeef_LiveweightGainNTQLD_Data(),Table_SourceData_PastureBeef_LiveweightGainNTQLD[[#Headers],[State]],0)</f>
        <v>-0.02</v>
      </c>
      <c r="M210" s="31" cm="1">
        <f t="array" ref="M210">Common_InputFunctions.Utility_DisplayArrayInTable(SourceData_PastureBeef.SourceData_PastureBeef_LiveweightGainNTQLD_Data(),Table_SourceData_PastureBeef_LiveweightGainNTQLD[[#Headers],[State]],0)</f>
        <v>0.47</v>
      </c>
      <c r="N210" s="31" cm="1">
        <f t="array" ref="N210">Common_InputFunctions.Utility_DisplayArrayInTable(SourceData_PastureBeef.SourceData_PastureBeef_LiveweightGainNTQLD_Data(),Table_SourceData_PastureBeef_LiveweightGainNTQLD[[#Headers],[State]],0)</f>
        <v>0.44</v>
      </c>
      <c r="O210" s="31" cm="1">
        <f t="array" ref="O210">Common_InputFunctions.Utility_DisplayArrayInTable(SourceData_PastureBeef.SourceData_PastureBeef_LiveweightGainNTQLD_Data(),Table_SourceData_PastureBeef_LiveweightGainNTQLD[[#Headers],[State]],0)</f>
        <v>0.3</v>
      </c>
      <c r="P210" s="31"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1" t="str" cm="1">
        <f t="array" ref="E211">Common_InputFunctions.Utility_DisplayArrayInTable(SourceData_PastureBeef.SourceData_PastureBeef_LiveweightGainNTQLD_Data(),Table_SourceData_PastureBeef_LiveweightGainNTQLD[[#Headers],[State]],0)</f>
        <v>Moderate/Low</v>
      </c>
      <c r="F211" s="31" t="str" cm="1">
        <f t="array" ref="F211">Common_InputFunctions.Utility_DisplayArrayInTable(SourceData_PastureBeef.SourceData_PastureBeef_LiveweightGainNTQLD_Data(),Table_SourceData_PastureBeef_LiveweightGainNTQLD[[#Headers],[State]],0)</f>
        <v>Summer</v>
      </c>
      <c r="G211" s="31" cm="1">
        <f t="array" ref="G211">Common_InputFunctions.Utility_DisplayArrayInTable(SourceData_PastureBeef.SourceData_PastureBeef_LiveweightGainNTQLD_Data(),Table_SourceData_PastureBeef_LiveweightGainNTQLD[[#Headers],[State]],0)</f>
        <v>0.05</v>
      </c>
      <c r="H211" s="31" cm="1">
        <f t="array" ref="H211">Common_InputFunctions.Utility_DisplayArrayInTable(SourceData_PastureBeef.SourceData_PastureBeef_LiveweightGainNTQLD_Data(),Table_SourceData_PastureBeef_LiveweightGainNTQLD[[#Headers],[State]],0)</f>
        <v>0.19</v>
      </c>
      <c r="I211" s="31" cm="1">
        <f t="array" ref="I211">Common_InputFunctions.Utility_DisplayArrayInTable(SourceData_PastureBeef.SourceData_PastureBeef_LiveweightGainNTQLD_Data(),Table_SourceData_PastureBeef_LiveweightGainNTQLD[[#Headers],[State]],0)</f>
        <v>0.31</v>
      </c>
      <c r="J211" s="31" cm="1">
        <f t="array" ref="J211">Common_InputFunctions.Utility_DisplayArrayInTable(SourceData_PastureBeef.SourceData_PastureBeef_LiveweightGainNTQLD_Data(),Table_SourceData_PastureBeef_LiveweightGainNTQLD[[#Headers],[State]],0)</f>
        <v>0.54</v>
      </c>
      <c r="K211" s="31" cm="1">
        <f t="array" ref="K211">Common_InputFunctions.Utility_DisplayArrayInTable(SourceData_PastureBeef.SourceData_PastureBeef_LiveweightGainNTQLD_Data(),Table_SourceData_PastureBeef_LiveweightGainNTQLD[[#Headers],[State]],0)</f>
        <v>0.53</v>
      </c>
      <c r="L211" s="31" cm="1">
        <f t="array" ref="L211">Common_InputFunctions.Utility_DisplayArrayInTable(SourceData_PastureBeef.SourceData_PastureBeef_LiveweightGainNTQLD_Data(),Table_SourceData_PastureBeef_LiveweightGainNTQLD[[#Headers],[State]],0)</f>
        <v>0.15</v>
      </c>
      <c r="M211" s="31" cm="1">
        <f t="array" ref="M211">Common_InputFunctions.Utility_DisplayArrayInTable(SourceData_PastureBeef.SourceData_PastureBeef_LiveweightGainNTQLD_Data(),Table_SourceData_PastureBeef_LiveweightGainNTQLD[[#Headers],[State]],0)</f>
        <v>0.28000000000000003</v>
      </c>
      <c r="N211" s="31" cm="1">
        <f t="array" ref="N211">Common_InputFunctions.Utility_DisplayArrayInTable(SourceData_PastureBeef.SourceData_PastureBeef_LiveweightGainNTQLD_Data(),Table_SourceData_PastureBeef_LiveweightGainNTQLD[[#Headers],[State]],0)</f>
        <v>0.56999999999999995</v>
      </c>
      <c r="O211" s="31" cm="1">
        <f t="array" ref="O211">Common_InputFunctions.Utility_DisplayArrayInTable(SourceData_PastureBeef.SourceData_PastureBeef_LiveweightGainNTQLD_Data(),Table_SourceData_PastureBeef_LiveweightGainNTQLD[[#Headers],[State]],0)</f>
        <v>0.42</v>
      </c>
      <c r="P211" s="31"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1" t="str" cm="1">
        <f t="array" ref="E212">Common_InputFunctions.Utility_DisplayArrayInTable(SourceData_PastureBeef.SourceData_PastureBeef_LiveweightGainNTQLD_Data(),Table_SourceData_PastureBeef_LiveweightGainNTQLD[[#Headers],[State]],0)</f>
        <v>Moderate/Low</v>
      </c>
      <c r="F212" s="31" t="str" cm="1">
        <f t="array" ref="F212">Common_InputFunctions.Utility_DisplayArrayInTable(SourceData_PastureBeef.SourceData_PastureBeef_LiveweightGainNTQLD_Data(),Table_SourceData_PastureBeef_LiveweightGainNTQLD[[#Headers],[State]],0)</f>
        <v>Autumn</v>
      </c>
      <c r="G212" s="31" cm="1">
        <f t="array" ref="G212">Common_InputFunctions.Utility_DisplayArrayInTable(SourceData_PastureBeef.SourceData_PastureBeef_LiveweightGainNTQLD_Data(),Table_SourceData_PastureBeef_LiveweightGainNTQLD[[#Headers],[State]],0)</f>
        <v>0.33</v>
      </c>
      <c r="H212" s="31" cm="1">
        <f t="array" ref="H212">Common_InputFunctions.Utility_DisplayArrayInTable(SourceData_PastureBeef.SourceData_PastureBeef_LiveweightGainNTQLD_Data(),Table_SourceData_PastureBeef_LiveweightGainNTQLD[[#Headers],[State]],0)</f>
        <v>0.13</v>
      </c>
      <c r="I212" s="31" cm="1">
        <f t="array" ref="I212">Common_InputFunctions.Utility_DisplayArrayInTable(SourceData_PastureBeef.SourceData_PastureBeef_LiveweightGainNTQLD_Data(),Table_SourceData_PastureBeef_LiveweightGainNTQLD[[#Headers],[State]],0)</f>
        <v>0.39</v>
      </c>
      <c r="J212" s="31" cm="1">
        <f t="array" ref="J212">Common_InputFunctions.Utility_DisplayArrayInTable(SourceData_PastureBeef.SourceData_PastureBeef_LiveweightGainNTQLD_Data(),Table_SourceData_PastureBeef_LiveweightGainNTQLD[[#Headers],[State]],0)</f>
        <v>0.36</v>
      </c>
      <c r="K212" s="31" cm="1">
        <f t="array" ref="K212">Common_InputFunctions.Utility_DisplayArrayInTable(SourceData_PastureBeef.SourceData_PastureBeef_LiveweightGainNTQLD_Data(),Table_SourceData_PastureBeef_LiveweightGainNTQLD[[#Headers],[State]],0)</f>
        <v>0.26</v>
      </c>
      <c r="L212" s="31" cm="1">
        <f t="array" ref="L212">Common_InputFunctions.Utility_DisplayArrayInTable(SourceData_PastureBeef.SourceData_PastureBeef_LiveweightGainNTQLD_Data(),Table_SourceData_PastureBeef_LiveweightGainNTQLD[[#Headers],[State]],0)</f>
        <v>0.11</v>
      </c>
      <c r="M212" s="31" cm="1">
        <f t="array" ref="M212">Common_InputFunctions.Utility_DisplayArrayInTable(SourceData_PastureBeef.SourceData_PastureBeef_LiveweightGainNTQLD_Data(),Table_SourceData_PastureBeef_LiveweightGainNTQLD[[#Headers],[State]],0)</f>
        <v>0.4</v>
      </c>
      <c r="N212" s="31" cm="1">
        <f t="array" ref="N212">Common_InputFunctions.Utility_DisplayArrayInTable(SourceData_PastureBeef.SourceData_PastureBeef_LiveweightGainNTQLD_Data(),Table_SourceData_PastureBeef_LiveweightGainNTQLD[[#Headers],[State]],0)</f>
        <v>0.44</v>
      </c>
      <c r="O212" s="31" cm="1">
        <f t="array" ref="O212">Common_InputFunctions.Utility_DisplayArrayInTable(SourceData_PastureBeef.SourceData_PastureBeef_LiveweightGainNTQLD_Data(),Table_SourceData_PastureBeef_LiveweightGainNTQLD[[#Headers],[State]],0)</f>
        <v>0.37</v>
      </c>
      <c r="P212" s="31"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1" t="str" cm="1">
        <f t="array" ref="E213">Common_InputFunctions.Utility_DisplayArrayInTable(SourceData_PastureBeef.SourceData_PastureBeef_LiveweightGainNTQLD_Data(),Table_SourceData_PastureBeef_LiveweightGainNTQLD[[#Headers],[State]],0)</f>
        <v>Moderate/Low</v>
      </c>
      <c r="F213" s="31" t="str" cm="1">
        <f t="array" ref="F213">Common_InputFunctions.Utility_DisplayArrayInTable(SourceData_PastureBeef.SourceData_PastureBeef_LiveweightGainNTQLD_Data(),Table_SourceData_PastureBeef_LiveweightGainNTQLD[[#Headers],[State]],0)</f>
        <v>Winter</v>
      </c>
      <c r="G213" s="31" cm="1">
        <f t="array" ref="G213">Common_InputFunctions.Utility_DisplayArrayInTable(SourceData_PastureBeef.SourceData_PastureBeef_LiveweightGainNTQLD_Data(),Table_SourceData_PastureBeef_LiveweightGainNTQLD[[#Headers],[State]],0)</f>
        <v>0.61</v>
      </c>
      <c r="H213" s="31" cm="1">
        <f t="array" ref="H213">Common_InputFunctions.Utility_DisplayArrayInTable(SourceData_PastureBeef.SourceData_PastureBeef_LiveweightGainNTQLD_Data(),Table_SourceData_PastureBeef_LiveweightGainNTQLD[[#Headers],[State]],0)</f>
        <v>-0.06</v>
      </c>
      <c r="I213" s="31" cm="1">
        <f t="array" ref="I213">Common_InputFunctions.Utility_DisplayArrayInTable(SourceData_PastureBeef.SourceData_PastureBeef_LiveweightGainNTQLD_Data(),Table_SourceData_PastureBeef_LiveweightGainNTQLD[[#Headers],[State]],0)</f>
        <v>0.21</v>
      </c>
      <c r="J213" s="31" cm="1">
        <f t="array" ref="J213">Common_InputFunctions.Utility_DisplayArrayInTable(SourceData_PastureBeef.SourceData_PastureBeef_LiveweightGainNTQLD_Data(),Table_SourceData_PastureBeef_LiveweightGainNTQLD[[#Headers],[State]],0)</f>
        <v>0.18</v>
      </c>
      <c r="K213" s="31" cm="1">
        <f t="array" ref="K213">Common_InputFunctions.Utility_DisplayArrayInTable(SourceData_PastureBeef.SourceData_PastureBeef_LiveweightGainNTQLD_Data(),Table_SourceData_PastureBeef_LiveweightGainNTQLD[[#Headers],[State]],0)</f>
        <v>0.12</v>
      </c>
      <c r="L213" s="31" cm="1">
        <f t="array" ref="L213">Common_InputFunctions.Utility_DisplayArrayInTable(SourceData_PastureBeef.SourceData_PastureBeef_LiveweightGainNTQLD_Data(),Table_SourceData_PastureBeef_LiveweightGainNTQLD[[#Headers],[State]],0)</f>
        <v>0.06</v>
      </c>
      <c r="M213" s="31" cm="1">
        <f t="array" ref="M213">Common_InputFunctions.Utility_DisplayArrayInTable(SourceData_PastureBeef.SourceData_PastureBeef_LiveweightGainNTQLD_Data(),Table_SourceData_PastureBeef_LiveweightGainNTQLD[[#Headers],[State]],0)</f>
        <v>0.28999999999999998</v>
      </c>
      <c r="N213" s="31" cm="1">
        <f t="array" ref="N213">Common_InputFunctions.Utility_DisplayArrayInTable(SourceData_PastureBeef.SourceData_PastureBeef_LiveweightGainNTQLD_Data(),Table_SourceData_PastureBeef_LiveweightGainNTQLD[[#Headers],[State]],0)</f>
        <v>0.41</v>
      </c>
      <c r="O213" s="31" cm="1">
        <f t="array" ref="O213">Common_InputFunctions.Utility_DisplayArrayInTable(SourceData_PastureBeef.SourceData_PastureBeef_LiveweightGainNTQLD_Data(),Table_SourceData_PastureBeef_LiveweightGainNTQLD[[#Headers],[State]],0)</f>
        <v>0.41</v>
      </c>
      <c r="P213" s="31"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1" t="str" cm="1">
        <f t="array" ref="E214">Common_InputFunctions.Utility_DisplayArrayInTable(SourceData_PastureBeef.SourceData_PastureBeef_LiveweightGainNTQLD_Data(),Table_SourceData_PastureBeef_LiveweightGainNTQLD[[#Headers],[State]],0)</f>
        <v>Low</v>
      </c>
      <c r="F214" s="31" t="str" cm="1">
        <f t="array" ref="F214">Common_InputFunctions.Utility_DisplayArrayInTable(SourceData_PastureBeef.SourceData_PastureBeef_LiveweightGainNTQLD_Data(),Table_SourceData_PastureBeef_LiveweightGainNTQLD[[#Headers],[State]],0)</f>
        <v>Spring</v>
      </c>
      <c r="G214" s="31" cm="1">
        <f t="array" ref="G214">Common_InputFunctions.Utility_DisplayArrayInTable(SourceData_PastureBeef.SourceData_PastureBeef_LiveweightGainNTQLD_Data(),Table_SourceData_PastureBeef_LiveweightGainNTQLD[[#Headers],[State]],0)</f>
        <v>-0.2</v>
      </c>
      <c r="H214" s="31" cm="1">
        <f t="array" ref="H214">Common_InputFunctions.Utility_DisplayArrayInTable(SourceData_PastureBeef.SourceData_PastureBeef_LiveweightGainNTQLD_Data(),Table_SourceData_PastureBeef_LiveweightGainNTQLD[[#Headers],[State]],0)</f>
        <v>0.02</v>
      </c>
      <c r="I214" s="31" cm="1">
        <f t="array" ref="I214">Common_InputFunctions.Utility_DisplayArrayInTable(SourceData_PastureBeef.SourceData_PastureBeef_LiveweightGainNTQLD_Data(),Table_SourceData_PastureBeef_LiveweightGainNTQLD[[#Headers],[State]],0)</f>
        <v>0.24</v>
      </c>
      <c r="J214" s="31" cm="1">
        <f t="array" ref="J214">Common_InputFunctions.Utility_DisplayArrayInTable(SourceData_PastureBeef.SourceData_PastureBeef_LiveweightGainNTQLD_Data(),Table_SourceData_PastureBeef_LiveweightGainNTQLD[[#Headers],[State]],0)</f>
        <v>0.3</v>
      </c>
      <c r="K214" s="31" cm="1">
        <f t="array" ref="K214">Common_InputFunctions.Utility_DisplayArrayInTable(SourceData_PastureBeef.SourceData_PastureBeef_LiveweightGainNTQLD_Data(),Table_SourceData_PastureBeef_LiveweightGainNTQLD[[#Headers],[State]],0)</f>
        <v>0.23</v>
      </c>
      <c r="L214" s="31" cm="1">
        <f t="array" ref="L214">Common_InputFunctions.Utility_DisplayArrayInTable(SourceData_PastureBeef.SourceData_PastureBeef_LiveweightGainNTQLD_Data(),Table_SourceData_PastureBeef_LiveweightGainNTQLD[[#Headers],[State]],0)</f>
        <v>-0.05</v>
      </c>
      <c r="M214" s="31" cm="1">
        <f t="array" ref="M214">Common_InputFunctions.Utility_DisplayArrayInTable(SourceData_PastureBeef.SourceData_PastureBeef_LiveweightGainNTQLD_Data(),Table_SourceData_PastureBeef_LiveweightGainNTQLD[[#Headers],[State]],0)</f>
        <v>0.34</v>
      </c>
      <c r="N214" s="31" cm="1">
        <f t="array" ref="N214">Common_InputFunctions.Utility_DisplayArrayInTable(SourceData_PastureBeef.SourceData_PastureBeef_LiveweightGainNTQLD_Data(),Table_SourceData_PastureBeef_LiveweightGainNTQLD[[#Headers],[State]],0)</f>
        <v>0.3</v>
      </c>
      <c r="O214" s="31" cm="1">
        <f t="array" ref="O214">Common_InputFunctions.Utility_DisplayArrayInTable(SourceData_PastureBeef.SourceData_PastureBeef_LiveweightGainNTQLD_Data(),Table_SourceData_PastureBeef_LiveweightGainNTQLD[[#Headers],[State]],0)</f>
        <v>0.56999999999999995</v>
      </c>
      <c r="P214" s="31"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1" t="str" cm="1">
        <f t="array" ref="E215">Common_InputFunctions.Utility_DisplayArrayInTable(SourceData_PastureBeef.SourceData_PastureBeef_LiveweightGainNTQLD_Data(),Table_SourceData_PastureBeef_LiveweightGainNTQLD[[#Headers],[State]],0)</f>
        <v>Low</v>
      </c>
      <c r="F215" s="31" t="str" cm="1">
        <f t="array" ref="F215">Common_InputFunctions.Utility_DisplayArrayInTable(SourceData_PastureBeef.SourceData_PastureBeef_LiveweightGainNTQLD_Data(),Table_SourceData_PastureBeef_LiveweightGainNTQLD[[#Headers],[State]],0)</f>
        <v>Summer</v>
      </c>
      <c r="G215" s="31" cm="1">
        <f t="array" ref="G215">Common_InputFunctions.Utility_DisplayArrayInTable(SourceData_PastureBeef.SourceData_PastureBeef_LiveweightGainNTQLD_Data(),Table_SourceData_PastureBeef_LiveweightGainNTQLD[[#Headers],[State]],0)</f>
        <v>0.62</v>
      </c>
      <c r="H215" s="31" cm="1">
        <f t="array" ref="H215">Common_InputFunctions.Utility_DisplayArrayInTable(SourceData_PastureBeef.SourceData_PastureBeef_LiveweightGainNTQLD_Data(),Table_SourceData_PastureBeef_LiveweightGainNTQLD[[#Headers],[State]],0)</f>
        <v>0.21</v>
      </c>
      <c r="I215" s="31" cm="1">
        <f t="array" ref="I215">Common_InputFunctions.Utility_DisplayArrayInTable(SourceData_PastureBeef.SourceData_PastureBeef_LiveweightGainNTQLD_Data(),Table_SourceData_PastureBeef_LiveweightGainNTQLD[[#Headers],[State]],0)</f>
        <v>0.25</v>
      </c>
      <c r="J215" s="31" cm="1">
        <f t="array" ref="J215">Common_InputFunctions.Utility_DisplayArrayInTable(SourceData_PastureBeef.SourceData_PastureBeef_LiveweightGainNTQLD_Data(),Table_SourceData_PastureBeef_LiveweightGainNTQLD[[#Headers],[State]],0)</f>
        <v>0.32</v>
      </c>
      <c r="K215" s="31" cm="1">
        <f t="array" ref="K215">Common_InputFunctions.Utility_DisplayArrayInTable(SourceData_PastureBeef.SourceData_PastureBeef_LiveweightGainNTQLD_Data(),Table_SourceData_PastureBeef_LiveweightGainNTQLD[[#Headers],[State]],0)</f>
        <v>0.47</v>
      </c>
      <c r="L215" s="31" cm="1">
        <f t="array" ref="L215">Common_InputFunctions.Utility_DisplayArrayInTable(SourceData_PastureBeef.SourceData_PastureBeef_LiveweightGainNTQLD_Data(),Table_SourceData_PastureBeef_LiveweightGainNTQLD[[#Headers],[State]],0)</f>
        <v>0.31</v>
      </c>
      <c r="M215" s="31" cm="1">
        <f t="array" ref="M215">Common_InputFunctions.Utility_DisplayArrayInTable(SourceData_PastureBeef.SourceData_PastureBeef_LiveweightGainNTQLD_Data(),Table_SourceData_PastureBeef_LiveweightGainNTQLD[[#Headers],[State]],0)</f>
        <v>0.14000000000000001</v>
      </c>
      <c r="N215" s="31" cm="1">
        <f t="array" ref="N215">Common_InputFunctions.Utility_DisplayArrayInTable(SourceData_PastureBeef.SourceData_PastureBeef_LiveweightGainNTQLD_Data(),Table_SourceData_PastureBeef_LiveweightGainNTQLD[[#Headers],[State]],0)</f>
        <v>0.4</v>
      </c>
      <c r="O215" s="31" cm="1">
        <f t="array" ref="O215">Common_InputFunctions.Utility_DisplayArrayInTable(SourceData_PastureBeef.SourceData_PastureBeef_LiveweightGainNTQLD_Data(),Table_SourceData_PastureBeef_LiveweightGainNTQLD[[#Headers],[State]],0)</f>
        <v>0.26</v>
      </c>
      <c r="P215" s="31"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1" t="str" cm="1">
        <f t="array" ref="E216">Common_InputFunctions.Utility_DisplayArrayInTable(SourceData_PastureBeef.SourceData_PastureBeef_LiveweightGainNTQLD_Data(),Table_SourceData_PastureBeef_LiveweightGainNTQLD[[#Headers],[State]],0)</f>
        <v>Low</v>
      </c>
      <c r="F216" s="31" t="str" cm="1">
        <f t="array" ref="F216">Common_InputFunctions.Utility_DisplayArrayInTable(SourceData_PastureBeef.SourceData_PastureBeef_LiveweightGainNTQLD_Data(),Table_SourceData_PastureBeef_LiveweightGainNTQLD[[#Headers],[State]],0)</f>
        <v>Autumn</v>
      </c>
      <c r="G216" s="31" cm="1">
        <f t="array" ref="G216">Common_InputFunctions.Utility_DisplayArrayInTable(SourceData_PastureBeef.SourceData_PastureBeef_LiveweightGainNTQLD_Data(),Table_SourceData_PastureBeef_LiveweightGainNTQLD[[#Headers],[State]],0)</f>
        <v>0.4</v>
      </c>
      <c r="H216" s="31" cm="1">
        <f t="array" ref="H216">Common_InputFunctions.Utility_DisplayArrayInTable(SourceData_PastureBeef.SourceData_PastureBeef_LiveweightGainNTQLD_Data(),Table_SourceData_PastureBeef_LiveweightGainNTQLD[[#Headers],[State]],0)</f>
        <v>0.13</v>
      </c>
      <c r="I216" s="31" cm="1">
        <f t="array" ref="I216">Common_InputFunctions.Utility_DisplayArrayInTable(SourceData_PastureBeef.SourceData_PastureBeef_LiveweightGainNTQLD_Data(),Table_SourceData_PastureBeef_LiveweightGainNTQLD[[#Headers],[State]],0)</f>
        <v>0.12</v>
      </c>
      <c r="J216" s="31" cm="1">
        <f t="array" ref="J216">Common_InputFunctions.Utility_DisplayArrayInTable(SourceData_PastureBeef.SourceData_PastureBeef_LiveweightGainNTQLD_Data(),Table_SourceData_PastureBeef_LiveweightGainNTQLD[[#Headers],[State]],0)</f>
        <v>0.27</v>
      </c>
      <c r="K216" s="31" cm="1">
        <f t="array" ref="K216">Common_InputFunctions.Utility_DisplayArrayInTable(SourceData_PastureBeef.SourceData_PastureBeef_LiveweightGainNTQLD_Data(),Table_SourceData_PastureBeef_LiveweightGainNTQLD[[#Headers],[State]],0)</f>
        <v>0.3</v>
      </c>
      <c r="L216" s="31" cm="1">
        <f t="array" ref="L216">Common_InputFunctions.Utility_DisplayArrayInTable(SourceData_PastureBeef.SourceData_PastureBeef_LiveweightGainNTQLD_Data(),Table_SourceData_PastureBeef_LiveweightGainNTQLD[[#Headers],[State]],0)</f>
        <v>0.08</v>
      </c>
      <c r="M216" s="31" cm="1">
        <f t="array" ref="M216">Common_InputFunctions.Utility_DisplayArrayInTable(SourceData_PastureBeef.SourceData_PastureBeef_LiveweightGainNTQLD_Data(),Table_SourceData_PastureBeef_LiveweightGainNTQLD[[#Headers],[State]],0)</f>
        <v>0.13</v>
      </c>
      <c r="N216" s="31" cm="1">
        <f t="array" ref="N216">Common_InputFunctions.Utility_DisplayArrayInTable(SourceData_PastureBeef.SourceData_PastureBeef_LiveweightGainNTQLD_Data(),Table_SourceData_PastureBeef_LiveweightGainNTQLD[[#Headers],[State]],0)</f>
        <v>0.24</v>
      </c>
      <c r="O216" s="31" cm="1">
        <f t="array" ref="O216">Common_InputFunctions.Utility_DisplayArrayInTable(SourceData_PastureBeef.SourceData_PastureBeef_LiveweightGainNTQLD_Data(),Table_SourceData_PastureBeef_LiveweightGainNTQLD[[#Headers],[State]],0)</f>
        <v>0.15</v>
      </c>
      <c r="P216" s="31"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1" t="str" cm="1">
        <f t="array" ref="E217">Common_InputFunctions.Utility_DisplayArrayInTable(SourceData_PastureBeef.SourceData_PastureBeef_LiveweightGainNTQLD_Data(),Table_SourceData_PastureBeef_LiveweightGainNTQLD[[#Headers],[State]],0)</f>
        <v>Low</v>
      </c>
      <c r="F217" s="31" t="str" cm="1">
        <f t="array" ref="F217">Common_InputFunctions.Utility_DisplayArrayInTable(SourceData_PastureBeef.SourceData_PastureBeef_LiveweightGainNTQLD_Data(),Table_SourceData_PastureBeef_LiveweightGainNTQLD[[#Headers],[State]],0)</f>
        <v>Winter</v>
      </c>
      <c r="G217" s="31" cm="1">
        <f t="array" ref="G217">Common_InputFunctions.Utility_DisplayArrayInTable(SourceData_PastureBeef.SourceData_PastureBeef_LiveweightGainNTQLD_Data(),Table_SourceData_PastureBeef_LiveweightGainNTQLD[[#Headers],[State]],0)</f>
        <v>0.08</v>
      </c>
      <c r="H217" s="31" cm="1">
        <f t="array" ref="H217">Common_InputFunctions.Utility_DisplayArrayInTable(SourceData_PastureBeef.SourceData_PastureBeef_LiveweightGainNTQLD_Data(),Table_SourceData_PastureBeef_LiveweightGainNTQLD[[#Headers],[State]],0)</f>
        <v>0.04</v>
      </c>
      <c r="I217" s="31" cm="1">
        <f t="array" ref="I217">Common_InputFunctions.Utility_DisplayArrayInTable(SourceData_PastureBeef.SourceData_PastureBeef_LiveweightGainNTQLD_Data(),Table_SourceData_PastureBeef_LiveweightGainNTQLD[[#Headers],[State]],0)</f>
        <v>0.06</v>
      </c>
      <c r="J217" s="31" cm="1">
        <f t="array" ref="J217">Common_InputFunctions.Utility_DisplayArrayInTable(SourceData_PastureBeef.SourceData_PastureBeef_LiveweightGainNTQLD_Data(),Table_SourceData_PastureBeef_LiveweightGainNTQLD[[#Headers],[State]],0)</f>
        <v>0.18</v>
      </c>
      <c r="K217" s="31" cm="1">
        <f t="array" ref="K217">Common_InputFunctions.Utility_DisplayArrayInTable(SourceData_PastureBeef.SourceData_PastureBeef_LiveweightGainNTQLD_Data(),Table_SourceData_PastureBeef_LiveweightGainNTQLD[[#Headers],[State]],0)</f>
        <v>0.11</v>
      </c>
      <c r="L217" s="31" cm="1">
        <f t="array" ref="L217">Common_InputFunctions.Utility_DisplayArrayInTable(SourceData_PastureBeef.SourceData_PastureBeef_LiveweightGainNTQLD_Data(),Table_SourceData_PastureBeef_LiveweightGainNTQLD[[#Headers],[State]],0)</f>
        <v>-7.0000000000000007E-2</v>
      </c>
      <c r="M217" s="31" cm="1">
        <f t="array" ref="M217">Common_InputFunctions.Utility_DisplayArrayInTable(SourceData_PastureBeef.SourceData_PastureBeef_LiveweightGainNTQLD_Data(),Table_SourceData_PastureBeef_LiveweightGainNTQLD[[#Headers],[State]],0)</f>
        <v>0.13</v>
      </c>
      <c r="N217" s="31" cm="1">
        <f t="array" ref="N217">Common_InputFunctions.Utility_DisplayArrayInTable(SourceData_PastureBeef.SourceData_PastureBeef_LiveweightGainNTQLD_Data(),Table_SourceData_PastureBeef_LiveweightGainNTQLD[[#Headers],[State]],0)</f>
        <v>0.16</v>
      </c>
      <c r="O217" s="31" cm="1">
        <f t="array" ref="O217">Common_InputFunctions.Utility_DisplayArrayInTable(SourceData_PastureBeef.SourceData_PastureBeef_LiveweightGainNTQLD_Data(),Table_SourceData_PastureBeef_LiveweightGainNTQLD[[#Headers],[State]],0)</f>
        <v>0.4</v>
      </c>
      <c r="P217" s="31"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366</v>
      </c>
      <c r="M220" s="1"/>
    </row>
    <row r="221" spans="4:16" x14ac:dyDescent="0.25">
      <c r="M221" s="1"/>
    </row>
    <row r="222" spans="4:16" x14ac:dyDescent="0.25">
      <c r="D222" s="31" t="s">
        <v>110</v>
      </c>
      <c r="E222" s="31" t="s">
        <v>308</v>
      </c>
      <c r="F222" s="31" t="s">
        <v>79</v>
      </c>
      <c r="G222" s="126" t="s">
        <v>189</v>
      </c>
      <c r="H222" s="126" t="s">
        <v>190</v>
      </c>
      <c r="I222" s="126" t="s">
        <v>191</v>
      </c>
      <c r="J222" s="126" t="s">
        <v>192</v>
      </c>
      <c r="K222" s="126" t="s">
        <v>193</v>
      </c>
      <c r="L222" s="126" t="s">
        <v>194</v>
      </c>
      <c r="M222" s="126" t="s">
        <v>195</v>
      </c>
      <c r="N222" s="126" t="s">
        <v>196</v>
      </c>
      <c r="O222" s="126" t="s">
        <v>197</v>
      </c>
      <c r="P222" s="126" t="s">
        <v>198</v>
      </c>
    </row>
    <row r="223" spans="4:16" x14ac:dyDescent="0.25">
      <c r="D223" s="31" t="s">
        <v>338</v>
      </c>
      <c r="E223" s="31" t="s">
        <v>312</v>
      </c>
      <c r="F223" s="31" t="str">
        <f>F155</f>
        <v>Spring</v>
      </c>
      <c r="G223" s="31">
        <f>G155</f>
        <v>0.5</v>
      </c>
      <c r="H223" s="31">
        <f t="shared" ref="H223:J223" si="31">H155</f>
        <v>0.2</v>
      </c>
      <c r="I223" s="31">
        <f t="shared" si="31"/>
        <v>0.5</v>
      </c>
      <c r="J223" s="31">
        <f t="shared" si="31"/>
        <v>0.4</v>
      </c>
      <c r="K223" s="31">
        <f>K155</f>
        <v>0.3</v>
      </c>
      <c r="L223" s="31">
        <f>K155</f>
        <v>0.3</v>
      </c>
      <c r="M223" s="31">
        <f>L155</f>
        <v>0.5</v>
      </c>
      <c r="N223" s="31">
        <f>M155</f>
        <v>0.4</v>
      </c>
      <c r="O223" s="31">
        <f>M155</f>
        <v>0.4</v>
      </c>
      <c r="P223" s="31">
        <f>M155</f>
        <v>0.4</v>
      </c>
    </row>
    <row r="224" spans="4:16" x14ac:dyDescent="0.25">
      <c r="D224" s="31" t="s">
        <v>338</v>
      </c>
      <c r="E224" s="31" t="s">
        <v>312</v>
      </c>
      <c r="F224" s="31" t="str">
        <f t="shared" ref="F224:K226" si="32">F156</f>
        <v>Summer</v>
      </c>
      <c r="G224" s="31">
        <f t="shared" si="32"/>
        <v>1</v>
      </c>
      <c r="H224" s="31">
        <f t="shared" si="32"/>
        <v>0.4</v>
      </c>
      <c r="I224" s="31">
        <f t="shared" si="32"/>
        <v>0.9</v>
      </c>
      <c r="J224" s="31">
        <f t="shared" si="32"/>
        <v>0.7</v>
      </c>
      <c r="K224" s="31">
        <f t="shared" si="32"/>
        <v>0.3</v>
      </c>
      <c r="L224" s="31">
        <f t="shared" ref="L224:N226" si="33">K156</f>
        <v>0.3</v>
      </c>
      <c r="M224" s="31">
        <f t="shared" si="33"/>
        <v>0.9</v>
      </c>
      <c r="N224" s="31">
        <f t="shared" si="33"/>
        <v>0.4</v>
      </c>
      <c r="O224" s="31">
        <f t="shared" ref="O224:O226" si="34">M156</f>
        <v>0.4</v>
      </c>
      <c r="P224" s="31">
        <f t="shared" ref="P224:P226" si="35">M156</f>
        <v>0.4</v>
      </c>
    </row>
    <row r="225" spans="4:16" x14ac:dyDescent="0.25">
      <c r="D225" s="31" t="s">
        <v>338</v>
      </c>
      <c r="E225" s="31" t="s">
        <v>312</v>
      </c>
      <c r="F225" s="31" t="str">
        <f t="shared" si="32"/>
        <v>Autumn</v>
      </c>
      <c r="G225" s="31">
        <f t="shared" si="32"/>
        <v>0.8</v>
      </c>
      <c r="H225" s="31">
        <f t="shared" si="32"/>
        <v>0.3</v>
      </c>
      <c r="I225" s="31">
        <f t="shared" si="32"/>
        <v>0.7</v>
      </c>
      <c r="J225" s="31">
        <f t="shared" si="32"/>
        <v>0.3</v>
      </c>
      <c r="K225" s="31">
        <f t="shared" si="32"/>
        <v>0.2</v>
      </c>
      <c r="L225" s="31">
        <f t="shared" si="33"/>
        <v>0.2</v>
      </c>
      <c r="M225" s="31">
        <f t="shared" si="33"/>
        <v>0.7</v>
      </c>
      <c r="N225" s="31">
        <f t="shared" si="33"/>
        <v>0.3</v>
      </c>
      <c r="O225" s="31">
        <f t="shared" si="34"/>
        <v>0.3</v>
      </c>
      <c r="P225" s="31">
        <f t="shared" si="35"/>
        <v>0.3</v>
      </c>
    </row>
    <row r="226" spans="4:16" x14ac:dyDescent="0.25">
      <c r="D226" s="31" t="s">
        <v>338</v>
      </c>
      <c r="E226" s="31" t="s">
        <v>312</v>
      </c>
      <c r="F226" s="31" t="str">
        <f t="shared" si="32"/>
        <v>Winter</v>
      </c>
      <c r="G226" s="31">
        <f t="shared" si="32"/>
        <v>0.4</v>
      </c>
      <c r="H226" s="31">
        <f t="shared" si="32"/>
        <v>0.1</v>
      </c>
      <c r="I226" s="31">
        <f t="shared" si="32"/>
        <v>0.4</v>
      </c>
      <c r="J226" s="31">
        <f t="shared" si="32"/>
        <v>0.2</v>
      </c>
      <c r="K226" s="31">
        <f t="shared" si="32"/>
        <v>0.1</v>
      </c>
      <c r="L226" s="31">
        <f t="shared" si="33"/>
        <v>0.1</v>
      </c>
      <c r="M226" s="31">
        <f t="shared" si="33"/>
        <v>0.4</v>
      </c>
      <c r="N226" s="31">
        <f t="shared" si="33"/>
        <v>0.1</v>
      </c>
      <c r="O226" s="31">
        <f t="shared" si="34"/>
        <v>0.1</v>
      </c>
      <c r="P226" s="31">
        <f t="shared" si="35"/>
        <v>0.1</v>
      </c>
    </row>
    <row r="227" spans="4:16" x14ac:dyDescent="0.25">
      <c r="D227" s="31" t="s">
        <v>339</v>
      </c>
      <c r="E227" s="31" t="s">
        <v>312</v>
      </c>
      <c r="F227" s="31" t="str">
        <f>F155</f>
        <v>Spring</v>
      </c>
      <c r="G227" s="31">
        <f>G155</f>
        <v>0.5</v>
      </c>
      <c r="H227" s="31">
        <f t="shared" ref="H227:J227" si="36">H155</f>
        <v>0.2</v>
      </c>
      <c r="I227" s="31">
        <f t="shared" si="36"/>
        <v>0.5</v>
      </c>
      <c r="J227" s="31">
        <f t="shared" si="36"/>
        <v>0.4</v>
      </c>
      <c r="K227" s="31">
        <f>K155</f>
        <v>0.3</v>
      </c>
      <c r="L227" s="31">
        <f>K155</f>
        <v>0.3</v>
      </c>
      <c r="M227" s="31">
        <f t="shared" ref="M227" si="37">L155</f>
        <v>0.5</v>
      </c>
      <c r="N227" s="31">
        <f>M155</f>
        <v>0.4</v>
      </c>
      <c r="O227" s="31">
        <f>M155</f>
        <v>0.4</v>
      </c>
      <c r="P227" s="31">
        <f>M155</f>
        <v>0.4</v>
      </c>
    </row>
    <row r="228" spans="4:16" x14ac:dyDescent="0.25">
      <c r="D228" s="31" t="s">
        <v>339</v>
      </c>
      <c r="E228" s="31" t="s">
        <v>312</v>
      </c>
      <c r="F228" s="31" t="str">
        <f t="shared" ref="F228:K231" si="38">F156</f>
        <v>Summer</v>
      </c>
      <c r="G228" s="31">
        <f t="shared" si="38"/>
        <v>1</v>
      </c>
      <c r="H228" s="31">
        <f t="shared" si="38"/>
        <v>0.4</v>
      </c>
      <c r="I228" s="31">
        <f t="shared" si="38"/>
        <v>0.9</v>
      </c>
      <c r="J228" s="31">
        <f t="shared" si="38"/>
        <v>0.7</v>
      </c>
      <c r="K228" s="31">
        <f t="shared" si="38"/>
        <v>0.3</v>
      </c>
      <c r="L228" s="31">
        <f t="shared" ref="L228:N231" si="39">K156</f>
        <v>0.3</v>
      </c>
      <c r="M228" s="31">
        <f t="shared" si="39"/>
        <v>0.9</v>
      </c>
      <c r="N228" s="31">
        <f t="shared" si="39"/>
        <v>0.4</v>
      </c>
      <c r="O228" s="31">
        <f t="shared" ref="O228:O230" si="40">M156</f>
        <v>0.4</v>
      </c>
      <c r="P228" s="31">
        <f t="shared" ref="P228:P230" si="41">M156</f>
        <v>0.4</v>
      </c>
    </row>
    <row r="229" spans="4:16" x14ac:dyDescent="0.25">
      <c r="D229" s="31" t="s">
        <v>339</v>
      </c>
      <c r="E229" s="31" t="s">
        <v>312</v>
      </c>
      <c r="F229" s="31" t="str">
        <f t="shared" si="38"/>
        <v>Autumn</v>
      </c>
      <c r="G229" s="31">
        <f t="shared" si="38"/>
        <v>0.8</v>
      </c>
      <c r="H229" s="31">
        <f t="shared" si="38"/>
        <v>0.3</v>
      </c>
      <c r="I229" s="31">
        <f t="shared" si="38"/>
        <v>0.7</v>
      </c>
      <c r="J229" s="31">
        <f t="shared" si="38"/>
        <v>0.3</v>
      </c>
      <c r="K229" s="31">
        <f t="shared" si="38"/>
        <v>0.2</v>
      </c>
      <c r="L229" s="31">
        <f t="shared" si="39"/>
        <v>0.2</v>
      </c>
      <c r="M229" s="31">
        <f t="shared" si="39"/>
        <v>0.7</v>
      </c>
      <c r="N229" s="31">
        <f t="shared" si="39"/>
        <v>0.3</v>
      </c>
      <c r="O229" s="31">
        <f t="shared" si="40"/>
        <v>0.3</v>
      </c>
      <c r="P229" s="31">
        <f t="shared" si="41"/>
        <v>0.3</v>
      </c>
    </row>
    <row r="230" spans="4:16" x14ac:dyDescent="0.25">
      <c r="D230" s="31" t="s">
        <v>339</v>
      </c>
      <c r="E230" s="31" t="s">
        <v>312</v>
      </c>
      <c r="F230" s="31" t="str">
        <f t="shared" si="38"/>
        <v>Winter</v>
      </c>
      <c r="G230" s="31">
        <f t="shared" si="38"/>
        <v>0.4</v>
      </c>
      <c r="H230" s="31">
        <f t="shared" si="38"/>
        <v>0.1</v>
      </c>
      <c r="I230" s="31">
        <f t="shared" si="38"/>
        <v>0.4</v>
      </c>
      <c r="J230" s="31">
        <f t="shared" si="38"/>
        <v>0.2</v>
      </c>
      <c r="K230" s="31">
        <f t="shared" si="38"/>
        <v>0.1</v>
      </c>
      <c r="L230" s="31">
        <f t="shared" si="39"/>
        <v>0.1</v>
      </c>
      <c r="M230" s="31">
        <f t="shared" si="39"/>
        <v>0.4</v>
      </c>
      <c r="N230" s="31">
        <f t="shared" si="39"/>
        <v>0.1</v>
      </c>
      <c r="O230" s="31">
        <f t="shared" si="40"/>
        <v>0.1</v>
      </c>
      <c r="P230" s="31">
        <f t="shared" si="41"/>
        <v>0.1</v>
      </c>
    </row>
    <row r="231" spans="4:16" x14ac:dyDescent="0.25">
      <c r="D231" s="31" t="s">
        <v>340</v>
      </c>
      <c r="E231" s="31" t="s">
        <v>312</v>
      </c>
      <c r="F231" s="31" t="str">
        <f>F159</f>
        <v>Spring</v>
      </c>
      <c r="G231" s="31">
        <f>G159</f>
        <v>0.99</v>
      </c>
      <c r="H231" s="31">
        <f t="shared" si="38"/>
        <v>1.1000000000000001</v>
      </c>
      <c r="I231" s="31">
        <f t="shared" si="38"/>
        <v>0.88</v>
      </c>
      <c r="J231" s="31">
        <f t="shared" si="38"/>
        <v>0.55000000000000004</v>
      </c>
      <c r="K231" s="31">
        <f>K159</f>
        <v>0.55000000000000004</v>
      </c>
      <c r="L231" s="31">
        <f>K159</f>
        <v>0.55000000000000004</v>
      </c>
      <c r="M231" s="31">
        <f t="shared" si="39"/>
        <v>0.88</v>
      </c>
      <c r="N231" s="31">
        <f>M159</f>
        <v>0.22</v>
      </c>
      <c r="O231" s="31">
        <f>M159</f>
        <v>0.22</v>
      </c>
      <c r="P231" s="31">
        <f>M159</f>
        <v>0.22</v>
      </c>
    </row>
    <row r="232" spans="4:16" x14ac:dyDescent="0.25">
      <c r="D232" s="31" t="s">
        <v>340</v>
      </c>
      <c r="E232" s="31" t="s">
        <v>312</v>
      </c>
      <c r="F232" s="31" t="str">
        <f t="shared" ref="F232:K247" si="42">F160</f>
        <v>Summer</v>
      </c>
      <c r="G232" s="31">
        <f t="shared" si="42"/>
        <v>0.77</v>
      </c>
      <c r="H232" s="31">
        <f t="shared" si="42"/>
        <v>0</v>
      </c>
      <c r="I232" s="31">
        <f t="shared" si="42"/>
        <v>0.66</v>
      </c>
      <c r="J232" s="31">
        <f t="shared" si="42"/>
        <v>0.22</v>
      </c>
      <c r="K232" s="31">
        <f t="shared" si="42"/>
        <v>0</v>
      </c>
      <c r="L232" s="31">
        <f t="shared" ref="L232:N247" si="43">K160</f>
        <v>0</v>
      </c>
      <c r="M232" s="31">
        <f t="shared" si="43"/>
        <v>0.66</v>
      </c>
      <c r="N232" s="31">
        <f t="shared" si="43"/>
        <v>0</v>
      </c>
      <c r="O232" s="31">
        <f t="shared" ref="O232:O254" si="44">M160</f>
        <v>0</v>
      </c>
      <c r="P232" s="31">
        <f t="shared" ref="P232:P254" si="45">M160</f>
        <v>0</v>
      </c>
    </row>
    <row r="233" spans="4:16" x14ac:dyDescent="0.25">
      <c r="D233" s="31" t="s">
        <v>340</v>
      </c>
      <c r="E233" s="31" t="s">
        <v>312</v>
      </c>
      <c r="F233" s="31" t="str">
        <f t="shared" si="42"/>
        <v>Autumn</v>
      </c>
      <c r="G233" s="31">
        <f t="shared" si="42"/>
        <v>0.9</v>
      </c>
      <c r="H233" s="31">
        <f t="shared" si="42"/>
        <v>-1.1000000000000001</v>
      </c>
      <c r="I233" s="31">
        <f t="shared" si="42"/>
        <v>0.7</v>
      </c>
      <c r="J233" s="31">
        <f t="shared" si="42"/>
        <v>0.22</v>
      </c>
      <c r="K233" s="31">
        <f t="shared" si="42"/>
        <v>-0.55000000000000004</v>
      </c>
      <c r="L233" s="31">
        <f t="shared" si="43"/>
        <v>-0.55000000000000004</v>
      </c>
      <c r="M233" s="31">
        <f t="shared" si="43"/>
        <v>0.8</v>
      </c>
      <c r="N233" s="31">
        <f t="shared" si="43"/>
        <v>-0.22</v>
      </c>
      <c r="O233" s="31">
        <f t="shared" si="44"/>
        <v>-0.22</v>
      </c>
      <c r="P233" s="31">
        <f t="shared" si="45"/>
        <v>-0.22</v>
      </c>
    </row>
    <row r="234" spans="4:16" x14ac:dyDescent="0.25">
      <c r="D234" s="31" t="s">
        <v>340</v>
      </c>
      <c r="E234" s="31" t="s">
        <v>312</v>
      </c>
      <c r="F234" s="31" t="str">
        <f t="shared" si="42"/>
        <v>Winter</v>
      </c>
      <c r="G234" s="31">
        <f t="shared" si="42"/>
        <v>0.88</v>
      </c>
      <c r="H234" s="31">
        <f t="shared" si="42"/>
        <v>0</v>
      </c>
      <c r="I234" s="31">
        <f t="shared" si="42"/>
        <v>0.77</v>
      </c>
      <c r="J234" s="31">
        <f t="shared" si="42"/>
        <v>0.55000000000000004</v>
      </c>
      <c r="K234" s="31">
        <f t="shared" si="42"/>
        <v>0</v>
      </c>
      <c r="L234" s="31">
        <f t="shared" si="43"/>
        <v>0</v>
      </c>
      <c r="M234" s="31">
        <f t="shared" si="43"/>
        <v>0.82</v>
      </c>
      <c r="N234" s="31">
        <f t="shared" si="43"/>
        <v>0</v>
      </c>
      <c r="O234" s="31">
        <f t="shared" si="44"/>
        <v>0</v>
      </c>
      <c r="P234" s="31">
        <f t="shared" si="45"/>
        <v>0</v>
      </c>
    </row>
    <row r="235" spans="4:16" x14ac:dyDescent="0.25">
      <c r="D235" s="31" t="s">
        <v>341</v>
      </c>
      <c r="E235" s="31" t="s">
        <v>312</v>
      </c>
      <c r="F235" s="31" t="str">
        <f t="shared" si="42"/>
        <v>Spring</v>
      </c>
      <c r="G235" s="31">
        <f t="shared" si="42"/>
        <v>1</v>
      </c>
      <c r="H235" s="31">
        <f t="shared" si="42"/>
        <v>0.5</v>
      </c>
      <c r="I235" s="31">
        <f t="shared" si="42"/>
        <v>1</v>
      </c>
      <c r="J235" s="31">
        <f t="shared" si="42"/>
        <v>1</v>
      </c>
      <c r="K235" s="31">
        <f t="shared" si="42"/>
        <v>-0.44</v>
      </c>
      <c r="L235" s="31">
        <f t="shared" si="43"/>
        <v>-0.44</v>
      </c>
      <c r="M235" s="31">
        <f t="shared" si="43"/>
        <v>1</v>
      </c>
      <c r="N235" s="31">
        <f t="shared" si="43"/>
        <v>0.5</v>
      </c>
      <c r="O235" s="31">
        <f t="shared" si="44"/>
        <v>0.5</v>
      </c>
      <c r="P235" s="31">
        <f t="shared" si="45"/>
        <v>0.5</v>
      </c>
    </row>
    <row r="236" spans="4:16" x14ac:dyDescent="0.25">
      <c r="D236" s="31" t="s">
        <v>341</v>
      </c>
      <c r="E236" s="31" t="s">
        <v>312</v>
      </c>
      <c r="F236" s="31" t="str">
        <f t="shared" si="42"/>
        <v>Summer</v>
      </c>
      <c r="G236" s="31">
        <f t="shared" si="42"/>
        <v>0.82</v>
      </c>
      <c r="H236" s="31">
        <f t="shared" si="42"/>
        <v>0.55000000000000004</v>
      </c>
      <c r="I236" s="31">
        <f t="shared" si="42"/>
        <v>0.71</v>
      </c>
      <c r="J236" s="31">
        <f t="shared" si="42"/>
        <v>0.55000000000000004</v>
      </c>
      <c r="K236" s="31">
        <f t="shared" si="42"/>
        <v>0.99</v>
      </c>
      <c r="L236" s="31">
        <f t="shared" si="43"/>
        <v>0.99</v>
      </c>
      <c r="M236" s="31">
        <f t="shared" si="43"/>
        <v>0.77</v>
      </c>
      <c r="N236" s="31">
        <f t="shared" si="43"/>
        <v>0.5</v>
      </c>
      <c r="O236" s="31">
        <f t="shared" si="44"/>
        <v>0.5</v>
      </c>
      <c r="P236" s="31">
        <f t="shared" si="45"/>
        <v>0.5</v>
      </c>
    </row>
    <row r="237" spans="4:16" x14ac:dyDescent="0.25">
      <c r="D237" s="31" t="s">
        <v>341</v>
      </c>
      <c r="E237" s="31" t="s">
        <v>312</v>
      </c>
      <c r="F237" s="31" t="str">
        <f t="shared" si="42"/>
        <v>Autumn</v>
      </c>
      <c r="G237" s="31">
        <f t="shared" si="42"/>
        <v>0.77</v>
      </c>
      <c r="H237" s="31">
        <f t="shared" si="42"/>
        <v>0.5</v>
      </c>
      <c r="I237" s="31">
        <f t="shared" si="42"/>
        <v>0.55000000000000004</v>
      </c>
      <c r="J237" s="31">
        <f t="shared" si="42"/>
        <v>0.11</v>
      </c>
      <c r="K237" s="31">
        <f t="shared" si="42"/>
        <v>-0.33</v>
      </c>
      <c r="L237" s="31">
        <f t="shared" si="43"/>
        <v>-0.33</v>
      </c>
      <c r="M237" s="31">
        <f t="shared" si="43"/>
        <v>0.6</v>
      </c>
      <c r="N237" s="31">
        <f t="shared" si="43"/>
        <v>0.33</v>
      </c>
      <c r="O237" s="31">
        <f t="shared" si="44"/>
        <v>0.33</v>
      </c>
      <c r="P237" s="31">
        <f t="shared" si="45"/>
        <v>0.33</v>
      </c>
    </row>
    <row r="238" spans="4:16" x14ac:dyDescent="0.25">
      <c r="D238" s="31" t="s">
        <v>341</v>
      </c>
      <c r="E238" s="31" t="s">
        <v>312</v>
      </c>
      <c r="F238" s="31" t="str">
        <f t="shared" si="42"/>
        <v>Winter</v>
      </c>
      <c r="G238" s="31">
        <f t="shared" si="42"/>
        <v>0.11</v>
      </c>
      <c r="H238" s="31">
        <f t="shared" si="42"/>
        <v>-0.27</v>
      </c>
      <c r="I238" s="31">
        <f t="shared" si="42"/>
        <v>0.11</v>
      </c>
      <c r="J238" s="31">
        <f t="shared" si="42"/>
        <v>0.22</v>
      </c>
      <c r="K238" s="31">
        <f t="shared" si="42"/>
        <v>-0.44</v>
      </c>
      <c r="L238" s="31">
        <f t="shared" si="43"/>
        <v>-0.44</v>
      </c>
      <c r="M238" s="31">
        <f t="shared" si="43"/>
        <v>0.16</v>
      </c>
      <c r="N238" s="31">
        <f t="shared" si="43"/>
        <v>-0.22</v>
      </c>
      <c r="O238" s="31">
        <f t="shared" si="44"/>
        <v>-0.22</v>
      </c>
      <c r="P238" s="31">
        <f t="shared" si="45"/>
        <v>-0.22</v>
      </c>
    </row>
    <row r="239" spans="4:16" x14ac:dyDescent="0.25">
      <c r="D239" s="31" t="s">
        <v>342</v>
      </c>
      <c r="E239" s="31" t="s">
        <v>312</v>
      </c>
      <c r="F239" s="31" t="str">
        <f t="shared" si="42"/>
        <v>Spring</v>
      </c>
      <c r="G239" s="31">
        <f t="shared" si="42"/>
        <v>1.1000000000000001</v>
      </c>
      <c r="H239" s="31">
        <f t="shared" si="42"/>
        <v>1.1000000000000001</v>
      </c>
      <c r="I239" s="31">
        <f t="shared" si="42"/>
        <v>1.1000000000000001</v>
      </c>
      <c r="J239" s="31">
        <f t="shared" si="42"/>
        <v>0.99</v>
      </c>
      <c r="K239" s="31">
        <f t="shared" si="42"/>
        <v>0.99</v>
      </c>
      <c r="L239" s="31">
        <f t="shared" si="43"/>
        <v>0.99</v>
      </c>
      <c r="M239" s="31">
        <f t="shared" si="43"/>
        <v>1.1000000000000001</v>
      </c>
      <c r="N239" s="31">
        <f t="shared" si="43"/>
        <v>0.77</v>
      </c>
      <c r="O239" s="31">
        <f t="shared" si="44"/>
        <v>0.77</v>
      </c>
      <c r="P239" s="31">
        <f t="shared" si="45"/>
        <v>0.77</v>
      </c>
    </row>
    <row r="240" spans="4:16" x14ac:dyDescent="0.25">
      <c r="D240" s="31" t="s">
        <v>342</v>
      </c>
      <c r="E240" s="31" t="s">
        <v>312</v>
      </c>
      <c r="F240" s="31" t="str">
        <f t="shared" si="42"/>
        <v>Summer</v>
      </c>
      <c r="G240" s="31">
        <f t="shared" si="42"/>
        <v>0.33</v>
      </c>
      <c r="H240" s="31">
        <f t="shared" si="42"/>
        <v>0.33</v>
      </c>
      <c r="I240" s="31">
        <f t="shared" si="42"/>
        <v>0.22</v>
      </c>
      <c r="J240" s="31">
        <f t="shared" si="42"/>
        <v>0.33</v>
      </c>
      <c r="K240" s="31">
        <f t="shared" si="42"/>
        <v>-0.1</v>
      </c>
      <c r="L240" s="31">
        <f t="shared" si="43"/>
        <v>-0.1</v>
      </c>
      <c r="M240" s="31">
        <f t="shared" si="43"/>
        <v>0.33</v>
      </c>
      <c r="N240" s="31">
        <f t="shared" si="43"/>
        <v>0.11</v>
      </c>
      <c r="O240" s="31">
        <f t="shared" si="44"/>
        <v>0.11</v>
      </c>
      <c r="P240" s="31">
        <f t="shared" si="45"/>
        <v>0.11</v>
      </c>
    </row>
    <row r="241" spans="4:16" x14ac:dyDescent="0.25">
      <c r="D241" s="31" t="s">
        <v>342</v>
      </c>
      <c r="E241" s="31" t="s">
        <v>312</v>
      </c>
      <c r="F241" s="31" t="str">
        <f t="shared" si="42"/>
        <v>Autumn</v>
      </c>
      <c r="G241" s="31">
        <f t="shared" si="42"/>
        <v>0.5</v>
      </c>
      <c r="H241" s="31">
        <f t="shared" si="42"/>
        <v>0.2</v>
      </c>
      <c r="I241" s="31">
        <f t="shared" si="42"/>
        <v>0.55000000000000004</v>
      </c>
      <c r="J241" s="31">
        <f t="shared" si="42"/>
        <v>0.44</v>
      </c>
      <c r="K241" s="31">
        <f t="shared" si="42"/>
        <v>0.2</v>
      </c>
      <c r="L241" s="31">
        <f t="shared" si="43"/>
        <v>0.2</v>
      </c>
      <c r="M241" s="31">
        <f t="shared" si="43"/>
        <v>0.55000000000000004</v>
      </c>
      <c r="N241" s="31">
        <f t="shared" si="43"/>
        <v>0.2</v>
      </c>
      <c r="O241" s="31">
        <f t="shared" si="44"/>
        <v>0.2</v>
      </c>
      <c r="P241" s="31">
        <f t="shared" si="45"/>
        <v>0.2</v>
      </c>
    </row>
    <row r="242" spans="4:16" x14ac:dyDescent="0.25">
      <c r="D242" s="31" t="s">
        <v>342</v>
      </c>
      <c r="E242" s="31" t="s">
        <v>312</v>
      </c>
      <c r="F242" s="31" t="str">
        <f t="shared" si="42"/>
        <v>Winter</v>
      </c>
      <c r="G242" s="31">
        <f t="shared" si="42"/>
        <v>0.55000000000000004</v>
      </c>
      <c r="H242" s="31">
        <f t="shared" si="42"/>
        <v>0.22</v>
      </c>
      <c r="I242" s="31">
        <f t="shared" si="42"/>
        <v>0.49</v>
      </c>
      <c r="J242" s="31">
        <f t="shared" si="42"/>
        <v>0.22</v>
      </c>
      <c r="K242" s="31">
        <f t="shared" si="42"/>
        <v>0.22</v>
      </c>
      <c r="L242" s="31">
        <f t="shared" si="43"/>
        <v>0.22</v>
      </c>
      <c r="M242" s="31">
        <f t="shared" si="43"/>
        <v>0.49</v>
      </c>
      <c r="N242" s="31">
        <f t="shared" si="43"/>
        <v>0.33</v>
      </c>
      <c r="O242" s="31">
        <f t="shared" si="44"/>
        <v>0.33</v>
      </c>
      <c r="P242" s="31">
        <f t="shared" si="45"/>
        <v>0.33</v>
      </c>
    </row>
    <row r="243" spans="4:16" x14ac:dyDescent="0.25">
      <c r="D243" s="31" t="s">
        <v>344</v>
      </c>
      <c r="E243" s="31" t="str">
        <f>E171</f>
        <v>South West</v>
      </c>
      <c r="F243" s="31" t="str">
        <f t="shared" si="42"/>
        <v>Spring</v>
      </c>
      <c r="G243" s="31">
        <f t="shared" si="42"/>
        <v>1.64</v>
      </c>
      <c r="H243" s="31">
        <f t="shared" si="42"/>
        <v>1.1000000000000001</v>
      </c>
      <c r="I243" s="31">
        <f t="shared" si="42"/>
        <v>1.21</v>
      </c>
      <c r="J243" s="31">
        <f t="shared" si="42"/>
        <v>0.99</v>
      </c>
      <c r="K243" s="31">
        <f t="shared" si="42"/>
        <v>0.66</v>
      </c>
      <c r="L243" s="31">
        <f t="shared" si="43"/>
        <v>0.66</v>
      </c>
      <c r="M243" s="31">
        <f t="shared" si="43"/>
        <v>1.42</v>
      </c>
      <c r="N243" s="31">
        <f t="shared" si="43"/>
        <v>1.1000000000000001</v>
      </c>
      <c r="O243" s="31">
        <f t="shared" si="44"/>
        <v>1.1000000000000001</v>
      </c>
      <c r="P243" s="31">
        <f t="shared" si="45"/>
        <v>1.1000000000000001</v>
      </c>
    </row>
    <row r="244" spans="4:16" x14ac:dyDescent="0.25">
      <c r="D244" s="31" t="s">
        <v>344</v>
      </c>
      <c r="E244" s="31" t="str">
        <f t="shared" ref="E244:K254" si="46">E172</f>
        <v>South West</v>
      </c>
      <c r="F244" s="31" t="str">
        <f t="shared" si="42"/>
        <v>Summer</v>
      </c>
      <c r="G244" s="31">
        <f t="shared" si="42"/>
        <v>0.44</v>
      </c>
      <c r="H244" s="31">
        <f t="shared" si="42"/>
        <v>-0.22</v>
      </c>
      <c r="I244" s="31">
        <f t="shared" si="42"/>
        <v>0.44</v>
      </c>
      <c r="J244" s="31">
        <f t="shared" si="42"/>
        <v>0.33</v>
      </c>
      <c r="K244" s="31">
        <f t="shared" si="42"/>
        <v>-0.22</v>
      </c>
      <c r="L244" s="31">
        <f t="shared" si="43"/>
        <v>-0.22</v>
      </c>
      <c r="M244" s="31">
        <f t="shared" si="43"/>
        <v>0.44</v>
      </c>
      <c r="N244" s="31">
        <f t="shared" si="43"/>
        <v>-0.11</v>
      </c>
      <c r="O244" s="31">
        <f t="shared" si="44"/>
        <v>-0.11</v>
      </c>
      <c r="P244" s="31">
        <f t="shared" si="45"/>
        <v>-0.11</v>
      </c>
    </row>
    <row r="245" spans="4:16" x14ac:dyDescent="0.25">
      <c r="D245" s="31" t="s">
        <v>344</v>
      </c>
      <c r="E245" s="31" t="str">
        <f t="shared" si="46"/>
        <v>South West</v>
      </c>
      <c r="F245" s="31" t="str">
        <f t="shared" si="42"/>
        <v>Autumn</v>
      </c>
      <c r="G245" s="31">
        <f t="shared" si="42"/>
        <v>0.6</v>
      </c>
      <c r="H245" s="31">
        <f t="shared" si="42"/>
        <v>0</v>
      </c>
      <c r="I245" s="31">
        <f t="shared" si="42"/>
        <v>0.6</v>
      </c>
      <c r="J245" s="31">
        <f t="shared" si="42"/>
        <v>0.22</v>
      </c>
      <c r="K245" s="31">
        <f t="shared" si="42"/>
        <v>-0.55000000000000004</v>
      </c>
      <c r="L245" s="31">
        <f t="shared" si="43"/>
        <v>-0.55000000000000004</v>
      </c>
      <c r="M245" s="31">
        <f t="shared" si="43"/>
        <v>0.6</v>
      </c>
      <c r="N245" s="31">
        <f t="shared" si="43"/>
        <v>0</v>
      </c>
      <c r="O245" s="31">
        <f t="shared" si="44"/>
        <v>0</v>
      </c>
      <c r="P245" s="31">
        <f t="shared" si="45"/>
        <v>0</v>
      </c>
    </row>
    <row r="246" spans="4:16" x14ac:dyDescent="0.25">
      <c r="D246" s="31" t="s">
        <v>344</v>
      </c>
      <c r="E246" s="31" t="str">
        <f t="shared" si="46"/>
        <v>South West</v>
      </c>
      <c r="F246" s="31" t="str">
        <f t="shared" si="42"/>
        <v>Winter</v>
      </c>
      <c r="G246" s="31">
        <f t="shared" si="42"/>
        <v>0.99</v>
      </c>
      <c r="H246" s="31">
        <f t="shared" si="42"/>
        <v>0.22</v>
      </c>
      <c r="I246" s="31">
        <f t="shared" si="42"/>
        <v>0.77</v>
      </c>
      <c r="J246" s="31">
        <f t="shared" si="42"/>
        <v>0.11</v>
      </c>
      <c r="K246" s="31">
        <f t="shared" si="42"/>
        <v>0.11</v>
      </c>
      <c r="L246" s="31">
        <f t="shared" si="43"/>
        <v>0.11</v>
      </c>
      <c r="M246" s="31">
        <f t="shared" si="43"/>
        <v>0.77</v>
      </c>
      <c r="N246" s="31">
        <f t="shared" si="43"/>
        <v>0.44</v>
      </c>
      <c r="O246" s="31">
        <f t="shared" si="44"/>
        <v>0.44</v>
      </c>
      <c r="P246" s="31">
        <f t="shared" si="45"/>
        <v>0.44</v>
      </c>
    </row>
    <row r="247" spans="4:16" x14ac:dyDescent="0.25">
      <c r="D247" s="31" t="s">
        <v>344</v>
      </c>
      <c r="E247" s="31" t="str">
        <f t="shared" si="46"/>
        <v>Pilbara</v>
      </c>
      <c r="F247" s="31" t="str">
        <f t="shared" si="42"/>
        <v>Spring</v>
      </c>
      <c r="G247" s="31">
        <f t="shared" si="42"/>
        <v>0.7</v>
      </c>
      <c r="H247" s="31">
        <f t="shared" si="42"/>
        <v>-0.55000000000000004</v>
      </c>
      <c r="I247" s="31">
        <f t="shared" si="42"/>
        <v>0.7</v>
      </c>
      <c r="J247" s="31">
        <f t="shared" si="42"/>
        <v>0.22</v>
      </c>
      <c r="K247" s="31">
        <f t="shared" si="42"/>
        <v>-0.22</v>
      </c>
      <c r="L247" s="31">
        <f t="shared" si="43"/>
        <v>-0.22</v>
      </c>
      <c r="M247" s="31">
        <f t="shared" si="43"/>
        <v>0.7</v>
      </c>
      <c r="N247" s="31">
        <f t="shared" si="43"/>
        <v>-0.22</v>
      </c>
      <c r="O247" s="31">
        <f t="shared" si="44"/>
        <v>-0.22</v>
      </c>
      <c r="P247" s="31">
        <f t="shared" si="45"/>
        <v>-0.22</v>
      </c>
    </row>
    <row r="248" spans="4:16" x14ac:dyDescent="0.25">
      <c r="D248" s="31" t="s">
        <v>344</v>
      </c>
      <c r="E248" s="31" t="str">
        <f t="shared" si="46"/>
        <v>Pilbara</v>
      </c>
      <c r="F248" s="31" t="str">
        <f t="shared" si="46"/>
        <v>Summer</v>
      </c>
      <c r="G248" s="31">
        <f t="shared" si="46"/>
        <v>0.77</v>
      </c>
      <c r="H248" s="31">
        <f t="shared" si="46"/>
        <v>0.55000000000000004</v>
      </c>
      <c r="I248" s="31">
        <f t="shared" si="46"/>
        <v>0.77</v>
      </c>
      <c r="J248" s="31">
        <f t="shared" si="46"/>
        <v>0.66</v>
      </c>
      <c r="K248" s="31">
        <f t="shared" si="46"/>
        <v>0.55000000000000004</v>
      </c>
      <c r="L248" s="31">
        <f t="shared" ref="L248:N254" si="47">K176</f>
        <v>0.55000000000000004</v>
      </c>
      <c r="M248" s="31">
        <f t="shared" si="47"/>
        <v>0.77</v>
      </c>
      <c r="N248" s="31">
        <f t="shared" si="47"/>
        <v>0.33</v>
      </c>
      <c r="O248" s="31">
        <f t="shared" si="44"/>
        <v>0.33</v>
      </c>
      <c r="P248" s="31">
        <f t="shared" si="45"/>
        <v>0.33</v>
      </c>
    </row>
    <row r="249" spans="4:16" x14ac:dyDescent="0.25">
      <c r="D249" s="31" t="s">
        <v>344</v>
      </c>
      <c r="E249" s="31" t="str">
        <f t="shared" si="46"/>
        <v>Pilbara</v>
      </c>
      <c r="F249" s="31" t="str">
        <f t="shared" si="46"/>
        <v>Autumn</v>
      </c>
      <c r="G249" s="31">
        <f t="shared" si="46"/>
        <v>0.88</v>
      </c>
      <c r="H249" s="31">
        <f t="shared" si="46"/>
        <v>0.55000000000000004</v>
      </c>
      <c r="I249" s="31">
        <f t="shared" si="46"/>
        <v>0.88</v>
      </c>
      <c r="J249" s="31">
        <f t="shared" si="46"/>
        <v>0.22</v>
      </c>
      <c r="K249" s="31">
        <f t="shared" si="46"/>
        <v>0.22</v>
      </c>
      <c r="L249" s="31">
        <f t="shared" si="47"/>
        <v>0.22</v>
      </c>
      <c r="M249" s="31">
        <f t="shared" si="47"/>
        <v>0.88</v>
      </c>
      <c r="N249" s="31">
        <f t="shared" si="47"/>
        <v>0.22</v>
      </c>
      <c r="O249" s="31">
        <f t="shared" si="44"/>
        <v>0.22</v>
      </c>
      <c r="P249" s="31">
        <f t="shared" si="45"/>
        <v>0.22</v>
      </c>
    </row>
    <row r="250" spans="4:16" x14ac:dyDescent="0.25">
      <c r="D250" s="31" t="s">
        <v>344</v>
      </c>
      <c r="E250" s="31" t="str">
        <f t="shared" si="46"/>
        <v>Pilbara</v>
      </c>
      <c r="F250" s="31" t="str">
        <f t="shared" si="46"/>
        <v>Winter</v>
      </c>
      <c r="G250" s="31">
        <f t="shared" si="46"/>
        <v>0.22</v>
      </c>
      <c r="H250" s="31">
        <f t="shared" si="46"/>
        <v>-0.55000000000000004</v>
      </c>
      <c r="I250" s="31">
        <f t="shared" si="46"/>
        <v>0.22</v>
      </c>
      <c r="J250" s="31">
        <f t="shared" si="46"/>
        <v>0.11</v>
      </c>
      <c r="K250" s="31">
        <f t="shared" si="46"/>
        <v>-0.22</v>
      </c>
      <c r="L250" s="31">
        <f t="shared" si="47"/>
        <v>-0.22</v>
      </c>
      <c r="M250" s="31">
        <f t="shared" si="47"/>
        <v>0.22</v>
      </c>
      <c r="N250" s="31">
        <f t="shared" si="47"/>
        <v>-0.33</v>
      </c>
      <c r="O250" s="31">
        <f t="shared" si="44"/>
        <v>-0.33</v>
      </c>
      <c r="P250" s="31">
        <f t="shared" si="45"/>
        <v>-0.33</v>
      </c>
    </row>
    <row r="251" spans="4:16" x14ac:dyDescent="0.25">
      <c r="D251" s="31" t="s">
        <v>344</v>
      </c>
      <c r="E251" s="31" t="str">
        <f t="shared" si="46"/>
        <v>Kimberley</v>
      </c>
      <c r="F251" s="31" t="str">
        <f t="shared" si="46"/>
        <v>Spring</v>
      </c>
      <c r="G251" s="31">
        <f t="shared" si="46"/>
        <v>0.22</v>
      </c>
      <c r="H251" s="31">
        <f t="shared" si="46"/>
        <v>-0.55000000000000004</v>
      </c>
      <c r="I251" s="31">
        <f t="shared" si="46"/>
        <v>0.33</v>
      </c>
      <c r="J251" s="31">
        <f t="shared" si="46"/>
        <v>0.22</v>
      </c>
      <c r="K251" s="31">
        <f t="shared" si="46"/>
        <v>-0.33</v>
      </c>
      <c r="L251" s="31">
        <f t="shared" si="47"/>
        <v>-0.33</v>
      </c>
      <c r="M251" s="31">
        <f t="shared" si="47"/>
        <v>0.22</v>
      </c>
      <c r="N251" s="31">
        <f t="shared" si="47"/>
        <v>-0.55000000000000004</v>
      </c>
      <c r="O251" s="31">
        <f t="shared" si="44"/>
        <v>-0.55000000000000004</v>
      </c>
      <c r="P251" s="31">
        <f t="shared" si="45"/>
        <v>-0.55000000000000004</v>
      </c>
    </row>
    <row r="252" spans="4:16" x14ac:dyDescent="0.25">
      <c r="D252" s="31" t="s">
        <v>344</v>
      </c>
      <c r="E252" s="31" t="str">
        <f t="shared" si="46"/>
        <v>Kimberley</v>
      </c>
      <c r="F252" s="31" t="str">
        <f t="shared" si="46"/>
        <v>Summer</v>
      </c>
      <c r="G252" s="31">
        <f t="shared" si="46"/>
        <v>0.8</v>
      </c>
      <c r="H252" s="31">
        <f t="shared" si="46"/>
        <v>0.55000000000000004</v>
      </c>
      <c r="I252" s="31">
        <f t="shared" si="46"/>
        <v>0.7</v>
      </c>
      <c r="J252" s="31">
        <f t="shared" si="46"/>
        <v>0.44</v>
      </c>
      <c r="K252" s="31">
        <f t="shared" si="46"/>
        <v>0.66</v>
      </c>
      <c r="L252" s="31">
        <f t="shared" si="47"/>
        <v>0.66</v>
      </c>
      <c r="M252" s="31">
        <f t="shared" si="47"/>
        <v>0.8</v>
      </c>
      <c r="N252" s="31">
        <f t="shared" si="47"/>
        <v>0.55000000000000004</v>
      </c>
      <c r="O252" s="31">
        <f t="shared" si="44"/>
        <v>0.55000000000000004</v>
      </c>
      <c r="P252" s="31">
        <f t="shared" si="45"/>
        <v>0.55000000000000004</v>
      </c>
    </row>
    <row r="253" spans="4:16" x14ac:dyDescent="0.25">
      <c r="D253" s="31" t="s">
        <v>344</v>
      </c>
      <c r="E253" s="31" t="str">
        <f t="shared" si="46"/>
        <v>Kimberley</v>
      </c>
      <c r="F253" s="31" t="str">
        <f t="shared" si="46"/>
        <v>Autumn</v>
      </c>
      <c r="G253" s="31">
        <f t="shared" si="46"/>
        <v>0.66</v>
      </c>
      <c r="H253" s="31">
        <f t="shared" si="46"/>
        <v>0.55000000000000004</v>
      </c>
      <c r="I253" s="31">
        <f t="shared" si="46"/>
        <v>0.55000000000000004</v>
      </c>
      <c r="J253" s="31">
        <f t="shared" si="46"/>
        <v>0.55000000000000004</v>
      </c>
      <c r="K253" s="31">
        <f t="shared" si="46"/>
        <v>0.11</v>
      </c>
      <c r="L253" s="31">
        <f t="shared" si="47"/>
        <v>0.11</v>
      </c>
      <c r="M253" s="31">
        <f t="shared" si="47"/>
        <v>0.66</v>
      </c>
      <c r="N253" s="31">
        <f t="shared" si="47"/>
        <v>0.55000000000000004</v>
      </c>
      <c r="O253" s="31">
        <f t="shared" si="44"/>
        <v>0.55000000000000004</v>
      </c>
      <c r="P253" s="31">
        <f t="shared" si="45"/>
        <v>0.55000000000000004</v>
      </c>
    </row>
    <row r="254" spans="4:16" x14ac:dyDescent="0.25">
      <c r="D254" s="31" t="s">
        <v>344</v>
      </c>
      <c r="E254" s="31" t="str">
        <f t="shared" si="46"/>
        <v>Kimberley</v>
      </c>
      <c r="F254" s="31" t="str">
        <f t="shared" si="46"/>
        <v>Winter</v>
      </c>
      <c r="G254" s="31">
        <f t="shared" si="46"/>
        <v>0.33</v>
      </c>
      <c r="H254" s="31">
        <f t="shared" si="46"/>
        <v>-0.55000000000000004</v>
      </c>
      <c r="I254" s="31">
        <f t="shared" si="46"/>
        <v>0.11</v>
      </c>
      <c r="J254" s="31">
        <f t="shared" si="46"/>
        <v>0.11</v>
      </c>
      <c r="K254" s="31">
        <f t="shared" si="46"/>
        <v>-0.44</v>
      </c>
      <c r="L254" s="31">
        <f t="shared" si="47"/>
        <v>-0.44</v>
      </c>
      <c r="M254" s="31">
        <f t="shared" si="47"/>
        <v>0.33</v>
      </c>
      <c r="N254" s="31">
        <f t="shared" si="47"/>
        <v>-0.55000000000000004</v>
      </c>
      <c r="O254" s="31">
        <f t="shared" si="44"/>
        <v>-0.55000000000000004</v>
      </c>
      <c r="P254" s="31">
        <f t="shared" si="45"/>
        <v>-0.55000000000000004</v>
      </c>
    </row>
    <row r="255" spans="4:16" x14ac:dyDescent="0.25">
      <c r="D255" s="31" t="s">
        <v>347</v>
      </c>
      <c r="E255" s="31" t="str">
        <f>E190</f>
        <v>Alice Springs</v>
      </c>
      <c r="F255" s="31" t="str">
        <f>F190</f>
        <v>Spring</v>
      </c>
      <c r="G255" s="31">
        <f>G190</f>
        <v>0.22</v>
      </c>
      <c r="H255" s="31">
        <f t="shared" ref="H255:P255" si="48">H190</f>
        <v>-0.23</v>
      </c>
      <c r="I255" s="31">
        <f t="shared" si="48"/>
        <v>0.25</v>
      </c>
      <c r="J255" s="31">
        <f t="shared" si="48"/>
        <v>0.17</v>
      </c>
      <c r="K255" s="31">
        <f t="shared" si="48"/>
        <v>0.18</v>
      </c>
      <c r="L255" s="31">
        <f t="shared" si="48"/>
        <v>-0.28000000000000003</v>
      </c>
      <c r="M255" s="31">
        <f t="shared" si="48"/>
        <v>0.32</v>
      </c>
      <c r="N255" s="31">
        <f t="shared" si="48"/>
        <v>0.24</v>
      </c>
      <c r="O255" s="31">
        <f t="shared" si="48"/>
        <v>0.25</v>
      </c>
      <c r="P255" s="31">
        <f t="shared" si="48"/>
        <v>-0.05</v>
      </c>
    </row>
    <row r="256" spans="4:16" x14ac:dyDescent="0.25">
      <c r="D256" s="31" t="s">
        <v>347</v>
      </c>
      <c r="E256" s="31" t="str">
        <f t="shared" ref="E256:P271" si="49">E191</f>
        <v>Alice Springs</v>
      </c>
      <c r="F256" s="31" t="str">
        <f t="shared" si="49"/>
        <v>Summer</v>
      </c>
      <c r="G256" s="31">
        <f t="shared" si="49"/>
        <v>0.66</v>
      </c>
      <c r="H256" s="31">
        <f t="shared" si="49"/>
        <v>0.2</v>
      </c>
      <c r="I256" s="31">
        <f t="shared" si="49"/>
        <v>0.62</v>
      </c>
      <c r="J256" s="31">
        <f t="shared" si="49"/>
        <v>0.54</v>
      </c>
      <c r="K256" s="31">
        <f t="shared" si="49"/>
        <v>0.38</v>
      </c>
      <c r="L256" s="31">
        <f t="shared" si="49"/>
        <v>0.27</v>
      </c>
      <c r="M256" s="31">
        <f t="shared" si="49"/>
        <v>0.75</v>
      </c>
      <c r="N256" s="31">
        <f t="shared" si="49"/>
        <v>0.64</v>
      </c>
      <c r="O256" s="31">
        <f t="shared" si="49"/>
        <v>0.55000000000000004</v>
      </c>
      <c r="P256" s="31">
        <f t="shared" si="49"/>
        <v>0.48</v>
      </c>
    </row>
    <row r="257" spans="4:16" x14ac:dyDescent="0.25">
      <c r="D257" s="31" t="s">
        <v>347</v>
      </c>
      <c r="E257" s="31" t="str">
        <f t="shared" si="49"/>
        <v>Alice Springs</v>
      </c>
      <c r="F257" s="31" t="str">
        <f t="shared" si="49"/>
        <v>Autumn</v>
      </c>
      <c r="G257" s="31">
        <f t="shared" si="49"/>
        <v>0.49</v>
      </c>
      <c r="H257" s="31">
        <f t="shared" si="49"/>
        <v>0.13</v>
      </c>
      <c r="I257" s="31">
        <f t="shared" si="49"/>
        <v>0.54</v>
      </c>
      <c r="J257" s="31">
        <f t="shared" si="49"/>
        <v>0.45</v>
      </c>
      <c r="K257" s="31">
        <f t="shared" si="49"/>
        <v>0.35</v>
      </c>
      <c r="L257" s="31">
        <f t="shared" si="49"/>
        <v>0.15</v>
      </c>
      <c r="M257" s="31">
        <f t="shared" si="49"/>
        <v>0.63</v>
      </c>
      <c r="N257" s="31">
        <f t="shared" si="49"/>
        <v>0.54</v>
      </c>
      <c r="O257" s="31">
        <f t="shared" si="49"/>
        <v>0.42</v>
      </c>
      <c r="P257" s="31">
        <f t="shared" si="49"/>
        <v>0.26</v>
      </c>
    </row>
    <row r="258" spans="4:16" x14ac:dyDescent="0.25">
      <c r="D258" s="31" t="s">
        <v>347</v>
      </c>
      <c r="E258" s="31" t="str">
        <f t="shared" si="49"/>
        <v>Alice Springs</v>
      </c>
      <c r="F258" s="31" t="str">
        <f t="shared" si="49"/>
        <v>Winter</v>
      </c>
      <c r="G258" s="31">
        <f t="shared" si="49"/>
        <v>0.27</v>
      </c>
      <c r="H258" s="31">
        <f t="shared" si="49"/>
        <v>-0.8</v>
      </c>
      <c r="I258" s="31">
        <f t="shared" si="49"/>
        <v>0.22</v>
      </c>
      <c r="J258" s="31">
        <f t="shared" si="49"/>
        <v>0.09</v>
      </c>
      <c r="K258" s="31">
        <f t="shared" si="49"/>
        <v>0.12</v>
      </c>
      <c r="L258" s="31">
        <f t="shared" si="49"/>
        <v>0.02</v>
      </c>
      <c r="M258" s="31">
        <f t="shared" si="49"/>
        <v>0.25</v>
      </c>
      <c r="N258" s="31">
        <f t="shared" si="49"/>
        <v>0.18</v>
      </c>
      <c r="O258" s="31">
        <f t="shared" si="49"/>
        <v>0.12</v>
      </c>
      <c r="P258" s="31">
        <f t="shared" si="49"/>
        <v>0.03</v>
      </c>
    </row>
    <row r="259" spans="4:16" x14ac:dyDescent="0.25">
      <c r="D259" s="31" t="s">
        <v>347</v>
      </c>
      <c r="E259" s="31" t="str">
        <f t="shared" si="49"/>
        <v>Barkly</v>
      </c>
      <c r="F259" s="31" t="str">
        <f t="shared" si="49"/>
        <v>Spring</v>
      </c>
      <c r="G259" s="31">
        <f t="shared" si="49"/>
        <v>0.22</v>
      </c>
      <c r="H259" s="31">
        <f t="shared" si="49"/>
        <v>-0.44</v>
      </c>
      <c r="I259" s="31">
        <f t="shared" si="49"/>
        <v>0.2</v>
      </c>
      <c r="J259" s="31">
        <f t="shared" si="49"/>
        <v>0.21</v>
      </c>
      <c r="K259" s="31">
        <f t="shared" si="49"/>
        <v>0.18</v>
      </c>
      <c r="L259" s="31">
        <f t="shared" si="49"/>
        <v>0.01</v>
      </c>
      <c r="M259" s="31">
        <f t="shared" si="49"/>
        <v>0.12</v>
      </c>
      <c r="N259" s="31">
        <f t="shared" si="49"/>
        <v>0.09</v>
      </c>
      <c r="O259" s="31" t="str">
        <f t="shared" si="49"/>
        <v>NO</v>
      </c>
      <c r="P259" s="31" t="str">
        <f t="shared" si="49"/>
        <v>NO</v>
      </c>
    </row>
    <row r="260" spans="4:16" x14ac:dyDescent="0.25">
      <c r="D260" s="31" t="s">
        <v>347</v>
      </c>
      <c r="E260" s="31" t="str">
        <f t="shared" si="49"/>
        <v>Barkly</v>
      </c>
      <c r="F260" s="31" t="str">
        <f t="shared" si="49"/>
        <v>Summer</v>
      </c>
      <c r="G260" s="31">
        <f t="shared" si="49"/>
        <v>0.66</v>
      </c>
      <c r="H260" s="31">
        <f t="shared" si="49"/>
        <v>0.22</v>
      </c>
      <c r="I260" s="31">
        <f t="shared" si="49"/>
        <v>0.68</v>
      </c>
      <c r="J260" s="31">
        <f t="shared" si="49"/>
        <v>0.22</v>
      </c>
      <c r="K260" s="31">
        <f t="shared" si="49"/>
        <v>0.24</v>
      </c>
      <c r="L260" s="31">
        <f t="shared" si="49"/>
        <v>0.25</v>
      </c>
      <c r="M260" s="31">
        <f t="shared" si="49"/>
        <v>0.64</v>
      </c>
      <c r="N260" s="31">
        <f t="shared" si="49"/>
        <v>0.37</v>
      </c>
      <c r="O260" s="31" t="str">
        <f t="shared" si="49"/>
        <v>NO</v>
      </c>
      <c r="P260" s="31" t="str">
        <f t="shared" si="49"/>
        <v>NO</v>
      </c>
    </row>
    <row r="261" spans="4:16" x14ac:dyDescent="0.25">
      <c r="D261" s="31" t="s">
        <v>347</v>
      </c>
      <c r="E261" s="31" t="str">
        <f t="shared" si="49"/>
        <v>Barkly</v>
      </c>
      <c r="F261" s="31" t="str">
        <f t="shared" si="49"/>
        <v>Autumn</v>
      </c>
      <c r="G261" s="31">
        <f t="shared" si="49"/>
        <v>0.49</v>
      </c>
      <c r="H261" s="31">
        <f t="shared" si="49"/>
        <v>0.05</v>
      </c>
      <c r="I261" s="31">
        <f t="shared" si="49"/>
        <v>0.64</v>
      </c>
      <c r="J261" s="31">
        <f t="shared" si="49"/>
        <v>0.25</v>
      </c>
      <c r="K261" s="31">
        <f t="shared" si="49"/>
        <v>0.28999999999999998</v>
      </c>
      <c r="L261" s="31">
        <f t="shared" si="49"/>
        <v>0.12</v>
      </c>
      <c r="M261" s="31">
        <f t="shared" si="49"/>
        <v>0.56999999999999995</v>
      </c>
      <c r="N261" s="31">
        <f t="shared" si="49"/>
        <v>0.49</v>
      </c>
      <c r="O261" s="31" t="str">
        <f t="shared" si="49"/>
        <v>NO</v>
      </c>
      <c r="P261" s="31" t="str">
        <f t="shared" si="49"/>
        <v>NO</v>
      </c>
    </row>
    <row r="262" spans="4:16" x14ac:dyDescent="0.25">
      <c r="D262" s="31" t="s">
        <v>347</v>
      </c>
      <c r="E262" s="31" t="str">
        <f t="shared" si="49"/>
        <v>Barkly</v>
      </c>
      <c r="F262" s="31" t="str">
        <f t="shared" si="49"/>
        <v>Winter</v>
      </c>
      <c r="G262" s="31">
        <f t="shared" si="49"/>
        <v>0.27</v>
      </c>
      <c r="H262" s="31">
        <f t="shared" si="49"/>
        <v>-0.27</v>
      </c>
      <c r="I262" s="31">
        <f t="shared" si="49"/>
        <v>0.31</v>
      </c>
      <c r="J262" s="31">
        <f t="shared" si="49"/>
        <v>0.28999999999999998</v>
      </c>
      <c r="K262" s="31">
        <f t="shared" si="49"/>
        <v>0.19</v>
      </c>
      <c r="L262" s="31">
        <f t="shared" si="49"/>
        <v>0.04</v>
      </c>
      <c r="M262" s="31">
        <f t="shared" si="49"/>
        <v>0.26</v>
      </c>
      <c r="N262" s="31">
        <f t="shared" si="49"/>
        <v>0.28000000000000003</v>
      </c>
      <c r="O262" s="31" t="str">
        <f t="shared" si="49"/>
        <v>NO</v>
      </c>
      <c r="P262" s="31" t="str">
        <f t="shared" si="49"/>
        <v>NO</v>
      </c>
    </row>
    <row r="263" spans="4:16" x14ac:dyDescent="0.25">
      <c r="D263" s="31" t="s">
        <v>347</v>
      </c>
      <c r="E263" s="31" t="str">
        <f t="shared" si="49"/>
        <v>Northern</v>
      </c>
      <c r="F263" s="31" t="str">
        <f t="shared" si="49"/>
        <v>Spring</v>
      </c>
      <c r="G263" s="31">
        <f t="shared" si="49"/>
        <v>0.22</v>
      </c>
      <c r="H263" s="31">
        <f t="shared" si="49"/>
        <v>-0.44</v>
      </c>
      <c r="I263" s="31">
        <f t="shared" si="49"/>
        <v>0</v>
      </c>
      <c r="J263" s="31">
        <f t="shared" si="49"/>
        <v>0.15</v>
      </c>
      <c r="K263" s="31">
        <f t="shared" si="49"/>
        <v>0.08</v>
      </c>
      <c r="L263" s="31">
        <f t="shared" si="49"/>
        <v>0.17</v>
      </c>
      <c r="M263" s="31">
        <f t="shared" si="49"/>
        <v>0.06</v>
      </c>
      <c r="N263" s="31">
        <f t="shared" si="49"/>
        <v>0.02</v>
      </c>
      <c r="O263" s="31">
        <f t="shared" si="49"/>
        <v>-0.14000000000000001</v>
      </c>
      <c r="P263" s="31" t="str">
        <f t="shared" si="49"/>
        <v>NO</v>
      </c>
    </row>
    <row r="264" spans="4:16" x14ac:dyDescent="0.25">
      <c r="D264" s="31" t="s">
        <v>347</v>
      </c>
      <c r="E264" s="31" t="str">
        <f t="shared" si="49"/>
        <v>Northern</v>
      </c>
      <c r="F264" s="31" t="str">
        <f t="shared" si="49"/>
        <v>Summer</v>
      </c>
      <c r="G264" s="31">
        <f t="shared" si="49"/>
        <v>0.66</v>
      </c>
      <c r="H264" s="31">
        <f t="shared" si="49"/>
        <v>0.22</v>
      </c>
      <c r="I264" s="31">
        <f t="shared" si="49"/>
        <v>0.79</v>
      </c>
      <c r="J264" s="31">
        <f t="shared" si="49"/>
        <v>0.4</v>
      </c>
      <c r="K264" s="31">
        <f t="shared" si="49"/>
        <v>0.38</v>
      </c>
      <c r="L264" s="31">
        <f t="shared" si="49"/>
        <v>0.27</v>
      </c>
      <c r="M264" s="31">
        <f t="shared" si="49"/>
        <v>0.8</v>
      </c>
      <c r="N264" s="31">
        <f t="shared" si="49"/>
        <v>0.16</v>
      </c>
      <c r="O264" s="31">
        <f t="shared" si="49"/>
        <v>0.3</v>
      </c>
      <c r="P264" s="31" t="str">
        <f t="shared" si="49"/>
        <v>NO</v>
      </c>
    </row>
    <row r="265" spans="4:16" x14ac:dyDescent="0.25">
      <c r="D265" s="31" t="s">
        <v>347</v>
      </c>
      <c r="E265" s="31" t="str">
        <f t="shared" si="49"/>
        <v>Northern</v>
      </c>
      <c r="F265" s="31" t="str">
        <f t="shared" si="49"/>
        <v>Autumn</v>
      </c>
      <c r="G265" s="31">
        <f t="shared" si="49"/>
        <v>0.49</v>
      </c>
      <c r="H265" s="31">
        <f t="shared" si="49"/>
        <v>0.05</v>
      </c>
      <c r="I265" s="31">
        <f t="shared" si="49"/>
        <v>0.55000000000000004</v>
      </c>
      <c r="J265" s="31">
        <f t="shared" si="49"/>
        <v>0.38</v>
      </c>
      <c r="K265" s="31">
        <f t="shared" si="49"/>
        <v>0.36</v>
      </c>
      <c r="L265" s="31">
        <f t="shared" si="49"/>
        <v>0.06</v>
      </c>
      <c r="M265" s="31">
        <f t="shared" si="49"/>
        <v>0.57999999999999996</v>
      </c>
      <c r="N265" s="31">
        <f t="shared" si="49"/>
        <v>0.23</v>
      </c>
      <c r="O265" s="31">
        <f t="shared" si="49"/>
        <v>0.4</v>
      </c>
      <c r="P265" s="31" t="str">
        <f t="shared" si="49"/>
        <v>NO</v>
      </c>
    </row>
    <row r="266" spans="4:16" x14ac:dyDescent="0.25">
      <c r="D266" s="31" t="s">
        <v>347</v>
      </c>
      <c r="E266" s="31" t="str">
        <f t="shared" si="49"/>
        <v>Northern</v>
      </c>
      <c r="F266" s="31" t="str">
        <f t="shared" si="49"/>
        <v>Winter</v>
      </c>
      <c r="G266" s="31">
        <f t="shared" si="49"/>
        <v>0.27</v>
      </c>
      <c r="H266" s="31">
        <f t="shared" si="49"/>
        <v>-0.27</v>
      </c>
      <c r="I266" s="31">
        <f t="shared" si="49"/>
        <v>0.02</v>
      </c>
      <c r="J266" s="31">
        <f t="shared" si="49"/>
        <v>0.09</v>
      </c>
      <c r="K266" s="31">
        <f t="shared" si="49"/>
        <v>0.16</v>
      </c>
      <c r="L266" s="31">
        <f t="shared" si="49"/>
        <v>-0.04</v>
      </c>
      <c r="M266" s="31">
        <f t="shared" si="49"/>
        <v>0.21</v>
      </c>
      <c r="N266" s="31">
        <f t="shared" si="49"/>
        <v>0.03</v>
      </c>
      <c r="O266" s="31">
        <f t="shared" si="49"/>
        <v>0.11</v>
      </c>
      <c r="P266" s="31" t="str">
        <f t="shared" si="49"/>
        <v>NO</v>
      </c>
    </row>
    <row r="267" spans="4:16" x14ac:dyDescent="0.25">
      <c r="D267" s="31" t="s">
        <v>351</v>
      </c>
      <c r="E267" s="31" t="str">
        <f t="shared" si="49"/>
        <v>High</v>
      </c>
      <c r="F267" s="31" t="str">
        <f t="shared" si="49"/>
        <v>Spring</v>
      </c>
      <c r="G267" s="31">
        <f t="shared" si="49"/>
        <v>0.27</v>
      </c>
      <c r="H267" s="31">
        <f t="shared" si="49"/>
        <v>-0.19</v>
      </c>
      <c r="I267" s="31">
        <f t="shared" si="49"/>
        <v>0.38</v>
      </c>
      <c r="J267" s="31">
        <f t="shared" si="49"/>
        <v>0.25</v>
      </c>
      <c r="K267" s="31">
        <f t="shared" si="49"/>
        <v>7.0000000000000007E-2</v>
      </c>
      <c r="L267" s="31">
        <f t="shared" si="49"/>
        <v>0.05</v>
      </c>
      <c r="M267" s="31">
        <f t="shared" si="49"/>
        <v>0.52</v>
      </c>
      <c r="N267" s="31">
        <f t="shared" si="49"/>
        <v>0.55000000000000004</v>
      </c>
      <c r="O267" s="31">
        <f t="shared" si="49"/>
        <v>0.19</v>
      </c>
      <c r="P267" s="31">
        <f t="shared" si="49"/>
        <v>0.6</v>
      </c>
    </row>
    <row r="268" spans="4:16" x14ac:dyDescent="0.25">
      <c r="D268" s="31" t="s">
        <v>351</v>
      </c>
      <c r="E268" s="31" t="str">
        <f t="shared" si="49"/>
        <v>High</v>
      </c>
      <c r="F268" s="31" t="str">
        <f t="shared" si="49"/>
        <v>Summer</v>
      </c>
      <c r="G268" s="31">
        <f t="shared" si="49"/>
        <v>0.16</v>
      </c>
      <c r="H268" s="31">
        <f t="shared" si="49"/>
        <v>0.16</v>
      </c>
      <c r="I268" s="31">
        <f t="shared" si="49"/>
        <v>0.8</v>
      </c>
      <c r="J268" s="31">
        <f t="shared" si="49"/>
        <v>0.56999999999999995</v>
      </c>
      <c r="K268" s="31">
        <f t="shared" si="49"/>
        <v>0.76</v>
      </c>
      <c r="L268" s="31">
        <f t="shared" si="49"/>
        <v>0.49</v>
      </c>
      <c r="M268" s="31">
        <f t="shared" si="49"/>
        <v>0.84</v>
      </c>
      <c r="N268" s="31">
        <f t="shared" si="49"/>
        <v>0.51</v>
      </c>
      <c r="O268" s="31">
        <f t="shared" si="49"/>
        <v>0.36</v>
      </c>
      <c r="P268" s="31">
        <f t="shared" si="49"/>
        <v>0.17</v>
      </c>
    </row>
    <row r="269" spans="4:16" x14ac:dyDescent="0.25">
      <c r="D269" s="31" t="s">
        <v>351</v>
      </c>
      <c r="E269" s="31" t="str">
        <f t="shared" si="49"/>
        <v>High</v>
      </c>
      <c r="F269" s="31" t="str">
        <f t="shared" si="49"/>
        <v>Autumn</v>
      </c>
      <c r="G269" s="31">
        <f t="shared" si="49"/>
        <v>0.45</v>
      </c>
      <c r="H269" s="31">
        <f t="shared" si="49"/>
        <v>0.1</v>
      </c>
      <c r="I269" s="31">
        <f t="shared" si="49"/>
        <v>0.49</v>
      </c>
      <c r="J269" s="31">
        <f t="shared" si="49"/>
        <v>0.41</v>
      </c>
      <c r="K269" s="31">
        <f t="shared" si="49"/>
        <v>0.4</v>
      </c>
      <c r="L269" s="31">
        <f t="shared" si="49"/>
        <v>0.17</v>
      </c>
      <c r="M269" s="31">
        <f t="shared" si="49"/>
        <v>0.54</v>
      </c>
      <c r="N269" s="31">
        <f t="shared" si="49"/>
        <v>0.64</v>
      </c>
      <c r="O269" s="31">
        <f t="shared" si="49"/>
        <v>-0.05</v>
      </c>
      <c r="P269" s="31">
        <f t="shared" si="49"/>
        <v>0.32</v>
      </c>
    </row>
    <row r="270" spans="4:16" x14ac:dyDescent="0.25">
      <c r="D270" s="31" t="s">
        <v>351</v>
      </c>
      <c r="E270" s="31" t="str">
        <f t="shared" si="49"/>
        <v>High</v>
      </c>
      <c r="F270" s="31" t="str">
        <f t="shared" si="49"/>
        <v>Winter</v>
      </c>
      <c r="G270" s="31">
        <f t="shared" si="49"/>
        <v>0.51</v>
      </c>
      <c r="H270" s="31">
        <f t="shared" si="49"/>
        <v>-7.0000000000000007E-2</v>
      </c>
      <c r="I270" s="31">
        <f t="shared" si="49"/>
        <v>0.13</v>
      </c>
      <c r="J270" s="31">
        <f t="shared" si="49"/>
        <v>-0.09</v>
      </c>
      <c r="K270" s="31">
        <f t="shared" si="49"/>
        <v>-0.13</v>
      </c>
      <c r="L270" s="31">
        <f t="shared" si="49"/>
        <v>7.0000000000000007E-2</v>
      </c>
      <c r="M270" s="31">
        <f t="shared" si="49"/>
        <v>0.25</v>
      </c>
      <c r="N270" s="31">
        <f t="shared" si="49"/>
        <v>0.71</v>
      </c>
      <c r="O270" s="31">
        <f t="shared" si="49"/>
        <v>0.17</v>
      </c>
      <c r="P270" s="31">
        <f t="shared" si="49"/>
        <v>0.43</v>
      </c>
    </row>
    <row r="271" spans="4:16" x14ac:dyDescent="0.25">
      <c r="D271" s="31" t="s">
        <v>351</v>
      </c>
      <c r="E271" s="31" t="str">
        <f t="shared" si="49"/>
        <v>Moderate/High</v>
      </c>
      <c r="F271" s="31" t="str">
        <f t="shared" si="49"/>
        <v>Spring</v>
      </c>
      <c r="G271" s="31">
        <f t="shared" si="49"/>
        <v>-0.12</v>
      </c>
      <c r="H271" s="31">
        <f t="shared" si="49"/>
        <v>-0.19</v>
      </c>
      <c r="I271" s="31">
        <f t="shared" si="49"/>
        <v>0.41</v>
      </c>
      <c r="J271" s="31">
        <f t="shared" si="49"/>
        <v>0.09</v>
      </c>
      <c r="K271" s="31">
        <f t="shared" si="49"/>
        <v>0.41</v>
      </c>
      <c r="L271" s="31">
        <f t="shared" si="49"/>
        <v>-0.19</v>
      </c>
      <c r="M271" s="31">
        <f t="shared" si="49"/>
        <v>7.0000000000000007E-2</v>
      </c>
      <c r="N271" s="31">
        <f t="shared" si="49"/>
        <v>1.07</v>
      </c>
      <c r="O271" s="31">
        <f t="shared" si="49"/>
        <v>-0.08</v>
      </c>
      <c r="P271" s="31">
        <f t="shared" si="49"/>
        <v>0</v>
      </c>
    </row>
    <row r="272" spans="4:16" x14ac:dyDescent="0.25">
      <c r="D272" s="31" t="s">
        <v>351</v>
      </c>
      <c r="E272" s="31" t="str">
        <f t="shared" ref="E272:P282" si="50">E207</f>
        <v>Moderate/High</v>
      </c>
      <c r="F272" s="31" t="str">
        <f t="shared" si="50"/>
        <v>Summer</v>
      </c>
      <c r="G272" s="31">
        <f t="shared" si="50"/>
        <v>0.65</v>
      </c>
      <c r="H272" s="31">
        <f t="shared" si="50"/>
        <v>0.19</v>
      </c>
      <c r="I272" s="31">
        <f t="shared" si="50"/>
        <v>0.65</v>
      </c>
      <c r="J272" s="31">
        <f t="shared" si="50"/>
        <v>0.51</v>
      </c>
      <c r="K272" s="31">
        <f t="shared" si="50"/>
        <v>0.18</v>
      </c>
      <c r="L272" s="31">
        <f t="shared" si="50"/>
        <v>0.63</v>
      </c>
      <c r="M272" s="31">
        <f t="shared" si="50"/>
        <v>1.3</v>
      </c>
      <c r="N272" s="31">
        <f t="shared" si="50"/>
        <v>0.48</v>
      </c>
      <c r="O272" s="31">
        <f t="shared" si="50"/>
        <v>1.1200000000000001</v>
      </c>
      <c r="P272" s="31">
        <f t="shared" si="50"/>
        <v>0.38</v>
      </c>
    </row>
    <row r="273" spans="4:16" x14ac:dyDescent="0.25">
      <c r="D273" s="31" t="s">
        <v>351</v>
      </c>
      <c r="E273" s="31" t="str">
        <f t="shared" si="50"/>
        <v>Moderate/High</v>
      </c>
      <c r="F273" s="31" t="str">
        <f t="shared" si="50"/>
        <v>Autumn</v>
      </c>
      <c r="G273" s="31">
        <f t="shared" si="50"/>
        <v>0.7</v>
      </c>
      <c r="H273" s="31">
        <f t="shared" si="50"/>
        <v>0.13</v>
      </c>
      <c r="I273" s="31">
        <f t="shared" si="50"/>
        <v>0.52</v>
      </c>
      <c r="J273" s="31">
        <f t="shared" si="50"/>
        <v>0.34</v>
      </c>
      <c r="K273" s="31">
        <f t="shared" si="50"/>
        <v>0.02</v>
      </c>
      <c r="L273" s="31">
        <f t="shared" si="50"/>
        <v>0.04</v>
      </c>
      <c r="M273" s="31">
        <f t="shared" si="50"/>
        <v>0.77</v>
      </c>
      <c r="N273" s="31">
        <f t="shared" si="50"/>
        <v>0.42</v>
      </c>
      <c r="O273" s="31">
        <f t="shared" si="50"/>
        <v>0.12</v>
      </c>
      <c r="P273" s="31">
        <f t="shared" si="50"/>
        <v>0.74</v>
      </c>
    </row>
    <row r="274" spans="4:16" x14ac:dyDescent="0.25">
      <c r="D274" s="31" t="s">
        <v>351</v>
      </c>
      <c r="E274" s="31" t="str">
        <f t="shared" si="50"/>
        <v>Moderate/High</v>
      </c>
      <c r="F274" s="31" t="str">
        <f t="shared" si="50"/>
        <v>Winter</v>
      </c>
      <c r="G274" s="31">
        <f t="shared" si="50"/>
        <v>0.32</v>
      </c>
      <c r="H274" s="31">
        <f t="shared" si="50"/>
        <v>-0.06</v>
      </c>
      <c r="I274" s="31">
        <f t="shared" si="50"/>
        <v>0.25</v>
      </c>
      <c r="J274" s="31">
        <f t="shared" si="50"/>
        <v>0.19</v>
      </c>
      <c r="K274" s="31">
        <f t="shared" si="50"/>
        <v>-0.1</v>
      </c>
      <c r="L274" s="31">
        <f t="shared" si="50"/>
        <v>-0.02</v>
      </c>
      <c r="M274" s="31">
        <f t="shared" si="50"/>
        <v>0.02</v>
      </c>
      <c r="N274" s="31">
        <f t="shared" si="50"/>
        <v>0.23</v>
      </c>
      <c r="O274" s="31">
        <f t="shared" si="50"/>
        <v>-0.13</v>
      </c>
      <c r="P274" s="31">
        <f t="shared" si="50"/>
        <v>0</v>
      </c>
    </row>
    <row r="275" spans="4:16" x14ac:dyDescent="0.25">
      <c r="D275" s="31" t="s">
        <v>351</v>
      </c>
      <c r="E275" s="31" t="str">
        <f t="shared" si="50"/>
        <v>Moderate/Low</v>
      </c>
      <c r="F275" s="31" t="str">
        <f t="shared" si="50"/>
        <v>Spring</v>
      </c>
      <c r="G275" s="31">
        <f t="shared" si="50"/>
        <v>0.62</v>
      </c>
      <c r="H275" s="31">
        <f t="shared" si="50"/>
        <v>-0.19</v>
      </c>
      <c r="I275" s="31">
        <f t="shared" si="50"/>
        <v>0.37</v>
      </c>
      <c r="J275" s="31">
        <f t="shared" si="50"/>
        <v>0.41</v>
      </c>
      <c r="K275" s="31">
        <f t="shared" si="50"/>
        <v>0.06</v>
      </c>
      <c r="L275" s="31">
        <f t="shared" si="50"/>
        <v>-0.02</v>
      </c>
      <c r="M275" s="31">
        <f t="shared" si="50"/>
        <v>0.47</v>
      </c>
      <c r="N275" s="31">
        <f t="shared" si="50"/>
        <v>0.44</v>
      </c>
      <c r="O275" s="31">
        <f t="shared" si="50"/>
        <v>0.3</v>
      </c>
      <c r="P275" s="31">
        <f t="shared" si="50"/>
        <v>0.13</v>
      </c>
    </row>
    <row r="276" spans="4:16" x14ac:dyDescent="0.25">
      <c r="D276" s="31" t="s">
        <v>351</v>
      </c>
      <c r="E276" s="31" t="str">
        <f t="shared" si="50"/>
        <v>Moderate/Low</v>
      </c>
      <c r="F276" s="31" t="str">
        <f t="shared" si="50"/>
        <v>Summer</v>
      </c>
      <c r="G276" s="31">
        <f t="shared" si="50"/>
        <v>0.05</v>
      </c>
      <c r="H276" s="31">
        <f t="shared" si="50"/>
        <v>0.19</v>
      </c>
      <c r="I276" s="31">
        <f t="shared" si="50"/>
        <v>0.31</v>
      </c>
      <c r="J276" s="31">
        <f t="shared" si="50"/>
        <v>0.54</v>
      </c>
      <c r="K276" s="31">
        <f t="shared" si="50"/>
        <v>0.53</v>
      </c>
      <c r="L276" s="31">
        <f t="shared" si="50"/>
        <v>0.15</v>
      </c>
      <c r="M276" s="31">
        <f t="shared" si="50"/>
        <v>0.28000000000000003</v>
      </c>
      <c r="N276" s="31">
        <f t="shared" si="50"/>
        <v>0.56999999999999995</v>
      </c>
      <c r="O276" s="31">
        <f t="shared" si="50"/>
        <v>0.42</v>
      </c>
      <c r="P276" s="31">
        <f t="shared" si="50"/>
        <v>0.4</v>
      </c>
    </row>
    <row r="277" spans="4:16" x14ac:dyDescent="0.25">
      <c r="D277" s="31" t="s">
        <v>351</v>
      </c>
      <c r="E277" s="31" t="str">
        <f t="shared" si="50"/>
        <v>Moderate/Low</v>
      </c>
      <c r="F277" s="31" t="str">
        <f t="shared" si="50"/>
        <v>Autumn</v>
      </c>
      <c r="G277" s="31">
        <f t="shared" si="50"/>
        <v>0.33</v>
      </c>
      <c r="H277" s="31">
        <f t="shared" si="50"/>
        <v>0.13</v>
      </c>
      <c r="I277" s="31">
        <f t="shared" si="50"/>
        <v>0.39</v>
      </c>
      <c r="J277" s="31">
        <f t="shared" si="50"/>
        <v>0.36</v>
      </c>
      <c r="K277" s="31">
        <f t="shared" si="50"/>
        <v>0.26</v>
      </c>
      <c r="L277" s="31">
        <f t="shared" si="50"/>
        <v>0.11</v>
      </c>
      <c r="M277" s="31">
        <f t="shared" si="50"/>
        <v>0.4</v>
      </c>
      <c r="N277" s="31">
        <f t="shared" si="50"/>
        <v>0.44</v>
      </c>
      <c r="O277" s="31">
        <f t="shared" si="50"/>
        <v>0.37</v>
      </c>
      <c r="P277" s="31">
        <f t="shared" si="50"/>
        <v>-0.01</v>
      </c>
    </row>
    <row r="278" spans="4:16" x14ac:dyDescent="0.25">
      <c r="D278" s="31" t="s">
        <v>351</v>
      </c>
      <c r="E278" s="31" t="str">
        <f t="shared" si="50"/>
        <v>Moderate/Low</v>
      </c>
      <c r="F278" s="31" t="str">
        <f t="shared" si="50"/>
        <v>Winter</v>
      </c>
      <c r="G278" s="31">
        <f t="shared" si="50"/>
        <v>0.61</v>
      </c>
      <c r="H278" s="31">
        <f t="shared" si="50"/>
        <v>-0.06</v>
      </c>
      <c r="I278" s="31">
        <f t="shared" si="50"/>
        <v>0.21</v>
      </c>
      <c r="J278" s="31">
        <f t="shared" si="50"/>
        <v>0.18</v>
      </c>
      <c r="K278" s="31">
        <f t="shared" si="50"/>
        <v>0.12</v>
      </c>
      <c r="L278" s="31">
        <f t="shared" si="50"/>
        <v>0.06</v>
      </c>
      <c r="M278" s="31">
        <f t="shared" si="50"/>
        <v>0.28999999999999998</v>
      </c>
      <c r="N278" s="31">
        <f t="shared" si="50"/>
        <v>0.41</v>
      </c>
      <c r="O278" s="31">
        <f t="shared" si="50"/>
        <v>0.41</v>
      </c>
      <c r="P278" s="31">
        <f t="shared" si="50"/>
        <v>-0.15</v>
      </c>
    </row>
    <row r="279" spans="4:16" x14ac:dyDescent="0.25">
      <c r="D279" s="31" t="s">
        <v>351</v>
      </c>
      <c r="E279" s="31" t="str">
        <f t="shared" si="50"/>
        <v>Low</v>
      </c>
      <c r="F279" s="31" t="str">
        <f t="shared" si="50"/>
        <v>Spring</v>
      </c>
      <c r="G279" s="31">
        <f t="shared" si="50"/>
        <v>-0.2</v>
      </c>
      <c r="H279" s="31">
        <f t="shared" si="50"/>
        <v>0.02</v>
      </c>
      <c r="I279" s="31">
        <f t="shared" si="50"/>
        <v>0.24</v>
      </c>
      <c r="J279" s="31">
        <f t="shared" si="50"/>
        <v>0.3</v>
      </c>
      <c r="K279" s="31">
        <f t="shared" si="50"/>
        <v>0.23</v>
      </c>
      <c r="L279" s="31">
        <f t="shared" si="50"/>
        <v>-0.05</v>
      </c>
      <c r="M279" s="31">
        <f t="shared" si="50"/>
        <v>0.34</v>
      </c>
      <c r="N279" s="31">
        <f t="shared" si="50"/>
        <v>0.3</v>
      </c>
      <c r="O279" s="31">
        <f t="shared" si="50"/>
        <v>0.56999999999999995</v>
      </c>
      <c r="P279" s="31">
        <f t="shared" si="50"/>
        <v>0.52</v>
      </c>
    </row>
    <row r="280" spans="4:16" x14ac:dyDescent="0.25">
      <c r="D280" s="31" t="s">
        <v>351</v>
      </c>
      <c r="E280" s="31" t="str">
        <f t="shared" si="50"/>
        <v>Low</v>
      </c>
      <c r="F280" s="31" t="str">
        <f t="shared" si="50"/>
        <v>Summer</v>
      </c>
      <c r="G280" s="31">
        <f t="shared" si="50"/>
        <v>0.62</v>
      </c>
      <c r="H280" s="31">
        <f t="shared" si="50"/>
        <v>0.21</v>
      </c>
      <c r="I280" s="31">
        <f t="shared" si="50"/>
        <v>0.25</v>
      </c>
      <c r="J280" s="31">
        <f t="shared" si="50"/>
        <v>0.32</v>
      </c>
      <c r="K280" s="31">
        <f t="shared" si="50"/>
        <v>0.47</v>
      </c>
      <c r="L280" s="31">
        <f t="shared" si="50"/>
        <v>0.31</v>
      </c>
      <c r="M280" s="31">
        <f t="shared" si="50"/>
        <v>0.14000000000000001</v>
      </c>
      <c r="N280" s="31">
        <f t="shared" si="50"/>
        <v>0.4</v>
      </c>
      <c r="O280" s="31">
        <f t="shared" si="50"/>
        <v>0.26</v>
      </c>
      <c r="P280" s="31">
        <f t="shared" si="50"/>
        <v>0.43</v>
      </c>
    </row>
    <row r="281" spans="4:16" x14ac:dyDescent="0.25">
      <c r="D281" s="31" t="s">
        <v>351</v>
      </c>
      <c r="E281" s="31" t="str">
        <f t="shared" si="50"/>
        <v>Low</v>
      </c>
      <c r="F281" s="31" t="str">
        <f t="shared" si="50"/>
        <v>Autumn</v>
      </c>
      <c r="G281" s="31">
        <f t="shared" si="50"/>
        <v>0.4</v>
      </c>
      <c r="H281" s="31">
        <f t="shared" si="50"/>
        <v>0.13</v>
      </c>
      <c r="I281" s="31">
        <f t="shared" si="50"/>
        <v>0.12</v>
      </c>
      <c r="J281" s="31">
        <f t="shared" si="50"/>
        <v>0.27</v>
      </c>
      <c r="K281" s="31">
        <f t="shared" si="50"/>
        <v>0.3</v>
      </c>
      <c r="L281" s="31">
        <f t="shared" si="50"/>
        <v>0.08</v>
      </c>
      <c r="M281" s="31">
        <f t="shared" si="50"/>
        <v>0.13</v>
      </c>
      <c r="N281" s="31">
        <f t="shared" si="50"/>
        <v>0.24</v>
      </c>
      <c r="O281" s="31">
        <f t="shared" si="50"/>
        <v>0.15</v>
      </c>
      <c r="P281" s="31">
        <f t="shared" si="50"/>
        <v>0.21</v>
      </c>
    </row>
    <row r="282" spans="4:16" x14ac:dyDescent="0.25">
      <c r="D282" s="31" t="s">
        <v>351</v>
      </c>
      <c r="E282" s="31" t="str">
        <f t="shared" si="50"/>
        <v>Low</v>
      </c>
      <c r="F282" s="31" t="str">
        <f t="shared" si="50"/>
        <v>Winter</v>
      </c>
      <c r="G282" s="31">
        <f t="shared" si="50"/>
        <v>0.08</v>
      </c>
      <c r="H282" s="31">
        <f t="shared" si="50"/>
        <v>0.04</v>
      </c>
      <c r="I282" s="31">
        <f t="shared" si="50"/>
        <v>0.06</v>
      </c>
      <c r="J282" s="31">
        <f t="shared" si="50"/>
        <v>0.18</v>
      </c>
      <c r="K282" s="31">
        <f t="shared" si="50"/>
        <v>0.11</v>
      </c>
      <c r="L282" s="31">
        <f t="shared" si="50"/>
        <v>-7.0000000000000007E-2</v>
      </c>
      <c r="M282" s="31">
        <f t="shared" si="50"/>
        <v>0.13</v>
      </c>
      <c r="N282" s="31">
        <f t="shared" si="50"/>
        <v>0.16</v>
      </c>
      <c r="O282" s="31">
        <f t="shared" si="50"/>
        <v>0.4</v>
      </c>
      <c r="P282" s="31">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8"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7"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1" t="s">
        <v>110</v>
      </c>
      <c r="E290" s="31" t="s">
        <v>308</v>
      </c>
      <c r="F290" s="31" t="s">
        <v>199</v>
      </c>
      <c r="G290" s="31" t="s">
        <v>200</v>
      </c>
      <c r="H290" s="31" t="s">
        <v>201</v>
      </c>
      <c r="I290" s="31" t="s">
        <v>202</v>
      </c>
      <c r="M290" s="8"/>
    </row>
    <row r="291" spans="4:13" x14ac:dyDescent="0.25">
      <c r="D291" s="31" t="str" cm="1">
        <f t="array" ref="D291">Common_InputFunctions.Utility_DisplayArrayInTable(SourceData_PastureBeef.SourceData_PastureBeef_DryMatterDigestibility_Data(), Table_SourceData_PastureBeef_DryMatterDigestibility[[#Headers],[State]], 0)</f>
        <v>ACT</v>
      </c>
      <c r="E291" s="31" t="str" cm="1">
        <f t="array" ref="E291">Common_InputFunctions.Utility_DisplayArrayInTable(SourceData_PastureBeef.SourceData_PastureBeef_DryMatterDigestibility_Data(), Table_SourceData_PastureBeef_DryMatterDigestibility[[#Headers],[State]], 0)</f>
        <v>n/a</v>
      </c>
      <c r="F291" s="31" cm="1">
        <f t="array" ref="F291">Common_InputFunctions.Utility_DisplayArrayInTable(SourceData_PastureBeef.SourceData_PastureBeef_DryMatterDigestibility_Data(), Table_SourceData_PastureBeef_DryMatterDigestibility[[#Headers],[State]], 0)</f>
        <v>0.55000000000000004</v>
      </c>
      <c r="G291" s="31" cm="1">
        <f t="array" ref="G291">Common_InputFunctions.Utility_DisplayArrayInTable(SourceData_PastureBeef.SourceData_PastureBeef_DryMatterDigestibility_Data(), Table_SourceData_PastureBeef_DryMatterDigestibility[[#Headers],[State]], 0)</f>
        <v>0.65</v>
      </c>
      <c r="H291" s="31" cm="1">
        <f t="array" ref="H291">Common_InputFunctions.Utility_DisplayArrayInTable(SourceData_PastureBeef.SourceData_PastureBeef_DryMatterDigestibility_Data(), Table_SourceData_PastureBeef_DryMatterDigestibility[[#Headers],[State]], 0)</f>
        <v>0.6</v>
      </c>
      <c r="I291" s="31"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1" t="str" cm="1">
        <f t="array" ref="E292">Common_InputFunctions.Utility_DisplayArrayInTable(SourceData_PastureBeef.SourceData_PastureBeef_DryMatterDigestibility_Data(), Table_SourceData_PastureBeef_DryMatterDigestibility[[#Headers],[State]], 0)</f>
        <v>n/a</v>
      </c>
      <c r="F292" s="31" cm="1">
        <f t="array" ref="F292">Common_InputFunctions.Utility_DisplayArrayInTable(SourceData_PastureBeef.SourceData_PastureBeef_DryMatterDigestibility_Data(), Table_SourceData_PastureBeef_DryMatterDigestibility[[#Headers],[State]], 0)</f>
        <v>0.55000000000000004</v>
      </c>
      <c r="G292" s="31" cm="1">
        <f t="array" ref="G292">Common_InputFunctions.Utility_DisplayArrayInTable(SourceData_PastureBeef.SourceData_PastureBeef_DryMatterDigestibility_Data(), Table_SourceData_PastureBeef_DryMatterDigestibility[[#Headers],[State]], 0)</f>
        <v>0.65</v>
      </c>
      <c r="H292" s="31" cm="1">
        <f t="array" ref="H292">Common_InputFunctions.Utility_DisplayArrayInTable(SourceData_PastureBeef.SourceData_PastureBeef_DryMatterDigestibility_Data(), Table_SourceData_PastureBeef_DryMatterDigestibility[[#Headers],[State]], 0)</f>
        <v>0.6</v>
      </c>
      <c r="I292" s="31"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1" t="str" cm="1">
        <f t="array" ref="E293">Common_InputFunctions.Utility_DisplayArrayInTable(SourceData_PastureBeef.SourceData_PastureBeef_DryMatterDigestibility_Data(), Table_SourceData_PastureBeef_DryMatterDigestibility[[#Headers],[State]], 0)</f>
        <v>Alice Springs</v>
      </c>
      <c r="F293" s="31" cm="1">
        <f t="array" ref="F293">Common_InputFunctions.Utility_DisplayArrayInTable(SourceData_PastureBeef.SourceData_PastureBeef_DryMatterDigestibility_Data(), Table_SourceData_PastureBeef_DryMatterDigestibility[[#Headers],[State]], 0)</f>
        <v>0.55000000000000004</v>
      </c>
      <c r="G293" s="31" cm="1">
        <f t="array" ref="G293">Common_InputFunctions.Utility_DisplayArrayInTable(SourceData_PastureBeef.SourceData_PastureBeef_DryMatterDigestibility_Data(), Table_SourceData_PastureBeef_DryMatterDigestibility[[#Headers],[State]], 0)</f>
        <v>0.61</v>
      </c>
      <c r="H293" s="31" cm="1">
        <f t="array" ref="H293">Common_InputFunctions.Utility_DisplayArrayInTable(SourceData_PastureBeef.SourceData_PastureBeef_DryMatterDigestibility_Data(), Table_SourceData_PastureBeef_DryMatterDigestibility[[#Headers],[State]], 0)</f>
        <v>0.56999999999999995</v>
      </c>
      <c r="I293" s="31"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1" t="str" cm="1">
        <f t="array" ref="E294">Common_InputFunctions.Utility_DisplayArrayInTable(SourceData_PastureBeef.SourceData_PastureBeef_DryMatterDigestibility_Data(), Table_SourceData_PastureBeef_DryMatterDigestibility[[#Headers],[State]], 0)</f>
        <v>Barkly</v>
      </c>
      <c r="F294" s="31" cm="1">
        <f t="array" ref="F294">Common_InputFunctions.Utility_DisplayArrayInTable(SourceData_PastureBeef.SourceData_PastureBeef_DryMatterDigestibility_Data(), Table_SourceData_PastureBeef_DryMatterDigestibility[[#Headers],[State]], 0)</f>
        <v>0.55000000000000004</v>
      </c>
      <c r="G294" s="31" cm="1">
        <f t="array" ref="G294">Common_InputFunctions.Utility_DisplayArrayInTable(SourceData_PastureBeef.SourceData_PastureBeef_DryMatterDigestibility_Data(), Table_SourceData_PastureBeef_DryMatterDigestibility[[#Headers],[State]], 0)</f>
        <v>0.61</v>
      </c>
      <c r="H294" s="31" cm="1">
        <f t="array" ref="H294">Common_InputFunctions.Utility_DisplayArrayInTable(SourceData_PastureBeef.SourceData_PastureBeef_DryMatterDigestibility_Data(), Table_SourceData_PastureBeef_DryMatterDigestibility[[#Headers],[State]], 0)</f>
        <v>0.56999999999999995</v>
      </c>
      <c r="I294" s="31"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1" t="str" cm="1">
        <f t="array" ref="E295">Common_InputFunctions.Utility_DisplayArrayInTable(SourceData_PastureBeef.SourceData_PastureBeef_DryMatterDigestibility_Data(), Table_SourceData_PastureBeef_DryMatterDigestibility[[#Headers],[State]], 0)</f>
        <v>Northern</v>
      </c>
      <c r="F295" s="31" cm="1">
        <f t="array" ref="F295">Common_InputFunctions.Utility_DisplayArrayInTable(SourceData_PastureBeef.SourceData_PastureBeef_DryMatterDigestibility_Data(), Table_SourceData_PastureBeef_DryMatterDigestibility[[#Headers],[State]], 0)</f>
        <v>0.55000000000000004</v>
      </c>
      <c r="G295" s="31" cm="1">
        <f t="array" ref="G295">Common_InputFunctions.Utility_DisplayArrayInTable(SourceData_PastureBeef.SourceData_PastureBeef_DryMatterDigestibility_Data(), Table_SourceData_PastureBeef_DryMatterDigestibility[[#Headers],[State]], 0)</f>
        <v>0.61</v>
      </c>
      <c r="H295" s="31" cm="1">
        <f t="array" ref="H295">Common_InputFunctions.Utility_DisplayArrayInTable(SourceData_PastureBeef.SourceData_PastureBeef_DryMatterDigestibility_Data(), Table_SourceData_PastureBeef_DryMatterDigestibility[[#Headers],[State]], 0)</f>
        <v>0.56999999999999995</v>
      </c>
      <c r="I295" s="31"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1" t="str" cm="1">
        <f t="array" ref="E296">Common_InputFunctions.Utility_DisplayArrayInTable(SourceData_PastureBeef.SourceData_PastureBeef_DryMatterDigestibility_Data(), Table_SourceData_PastureBeef_DryMatterDigestibility[[#Headers],[State]], 0)</f>
        <v>High</v>
      </c>
      <c r="F296" s="31" cm="1">
        <f t="array" ref="F296">Common_InputFunctions.Utility_DisplayArrayInTable(SourceData_PastureBeef.SourceData_PastureBeef_DryMatterDigestibility_Data(), Table_SourceData_PastureBeef_DryMatterDigestibility[[#Headers],[State]], 0)</f>
        <v>0.53</v>
      </c>
      <c r="G296" s="31" cm="1">
        <f t="array" ref="G296">Common_InputFunctions.Utility_DisplayArrayInTable(SourceData_PastureBeef.SourceData_PastureBeef_DryMatterDigestibility_Data(), Table_SourceData_PastureBeef_DryMatterDigestibility[[#Headers],[State]], 0)</f>
        <v>0.56999999999999995</v>
      </c>
      <c r="H296" s="31" cm="1">
        <f t="array" ref="H296">Common_InputFunctions.Utility_DisplayArrayInTable(SourceData_PastureBeef.SourceData_PastureBeef_DryMatterDigestibility_Data(), Table_SourceData_PastureBeef_DryMatterDigestibility[[#Headers],[State]], 0)</f>
        <v>0.55000000000000004</v>
      </c>
      <c r="I296" s="31"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1" t="str" cm="1">
        <f t="array" ref="E297">Common_InputFunctions.Utility_DisplayArrayInTable(SourceData_PastureBeef.SourceData_PastureBeef_DryMatterDigestibility_Data(), Table_SourceData_PastureBeef_DryMatterDigestibility[[#Headers],[State]], 0)</f>
        <v>Moderate/High</v>
      </c>
      <c r="F297" s="31" cm="1">
        <f t="array" ref="F297">Common_InputFunctions.Utility_DisplayArrayInTable(SourceData_PastureBeef.SourceData_PastureBeef_DryMatterDigestibility_Data(), Table_SourceData_PastureBeef_DryMatterDigestibility[[#Headers],[State]], 0)</f>
        <v>0.53</v>
      </c>
      <c r="G297" s="31" cm="1">
        <f t="array" ref="G297">Common_InputFunctions.Utility_DisplayArrayInTable(SourceData_PastureBeef.SourceData_PastureBeef_DryMatterDigestibility_Data(), Table_SourceData_PastureBeef_DryMatterDigestibility[[#Headers],[State]], 0)</f>
        <v>0.56999999999999995</v>
      </c>
      <c r="H297" s="31" cm="1">
        <f t="array" ref="H297">Common_InputFunctions.Utility_DisplayArrayInTable(SourceData_PastureBeef.SourceData_PastureBeef_DryMatterDigestibility_Data(), Table_SourceData_PastureBeef_DryMatterDigestibility[[#Headers],[State]], 0)</f>
        <v>0.55000000000000004</v>
      </c>
      <c r="I297" s="31"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1" t="str" cm="1">
        <f t="array" ref="E298">Common_InputFunctions.Utility_DisplayArrayInTable(SourceData_PastureBeef.SourceData_PastureBeef_DryMatterDigestibility_Data(), Table_SourceData_PastureBeef_DryMatterDigestibility[[#Headers],[State]], 0)</f>
        <v>Moderate/Low</v>
      </c>
      <c r="F298" s="31" cm="1">
        <f t="array" ref="F298">Common_InputFunctions.Utility_DisplayArrayInTable(SourceData_PastureBeef.SourceData_PastureBeef_DryMatterDigestibility_Data(), Table_SourceData_PastureBeef_DryMatterDigestibility[[#Headers],[State]], 0)</f>
        <v>0.53</v>
      </c>
      <c r="G298" s="31" cm="1">
        <f t="array" ref="G298">Common_InputFunctions.Utility_DisplayArrayInTable(SourceData_PastureBeef.SourceData_PastureBeef_DryMatterDigestibility_Data(), Table_SourceData_PastureBeef_DryMatterDigestibility[[#Headers],[State]], 0)</f>
        <v>0.56999999999999995</v>
      </c>
      <c r="H298" s="31" cm="1">
        <f t="array" ref="H298">Common_InputFunctions.Utility_DisplayArrayInTable(SourceData_PastureBeef.SourceData_PastureBeef_DryMatterDigestibility_Data(), Table_SourceData_PastureBeef_DryMatterDigestibility[[#Headers],[State]], 0)</f>
        <v>0.55000000000000004</v>
      </c>
      <c r="I298" s="31"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1" t="str" cm="1">
        <f t="array" ref="E299">Common_InputFunctions.Utility_DisplayArrayInTable(SourceData_PastureBeef.SourceData_PastureBeef_DryMatterDigestibility_Data(), Table_SourceData_PastureBeef_DryMatterDigestibility[[#Headers],[State]], 0)</f>
        <v>Low</v>
      </c>
      <c r="F299" s="31" cm="1">
        <f t="array" ref="F299">Common_InputFunctions.Utility_DisplayArrayInTable(SourceData_PastureBeef.SourceData_PastureBeef_DryMatterDigestibility_Data(), Table_SourceData_PastureBeef_DryMatterDigestibility[[#Headers],[State]], 0)</f>
        <v>0.53</v>
      </c>
      <c r="G299" s="31" cm="1">
        <f t="array" ref="G299">Common_InputFunctions.Utility_DisplayArrayInTable(SourceData_PastureBeef.SourceData_PastureBeef_DryMatterDigestibility_Data(), Table_SourceData_PastureBeef_DryMatterDigestibility[[#Headers],[State]], 0)</f>
        <v>0.56999999999999995</v>
      </c>
      <c r="H299" s="31" cm="1">
        <f t="array" ref="H299">Common_InputFunctions.Utility_DisplayArrayInTable(SourceData_PastureBeef.SourceData_PastureBeef_DryMatterDigestibility_Data(), Table_SourceData_PastureBeef_DryMatterDigestibility[[#Headers],[State]], 0)</f>
        <v>0.55000000000000004</v>
      </c>
      <c r="I299" s="31"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1" t="str" cm="1">
        <f t="array" ref="E300">Common_InputFunctions.Utility_DisplayArrayInTable(SourceData_PastureBeef.SourceData_PastureBeef_DryMatterDigestibility_Data(), Table_SourceData_PastureBeef_DryMatterDigestibility[[#Headers],[State]], 0)</f>
        <v>n/a</v>
      </c>
      <c r="F300" s="31" cm="1">
        <f t="array" ref="F300">Common_InputFunctions.Utility_DisplayArrayInTable(SourceData_PastureBeef.SourceData_PastureBeef_DryMatterDigestibility_Data(), Table_SourceData_PastureBeef_DryMatterDigestibility[[#Headers],[State]], 0)</f>
        <v>0.7</v>
      </c>
      <c r="G300" s="31" cm="1">
        <f t="array" ref="G300">Common_InputFunctions.Utility_DisplayArrayInTable(SourceData_PastureBeef.SourceData_PastureBeef_DryMatterDigestibility_Data(), Table_SourceData_PastureBeef_DryMatterDigestibility[[#Headers],[State]], 0)</f>
        <v>0.55000000000000004</v>
      </c>
      <c r="H300" s="31" cm="1">
        <f t="array" ref="H300">Common_InputFunctions.Utility_DisplayArrayInTable(SourceData_PastureBeef.SourceData_PastureBeef_DryMatterDigestibility_Data(), Table_SourceData_PastureBeef_DryMatterDigestibility[[#Headers],[State]], 0)</f>
        <v>0.55000000000000004</v>
      </c>
      <c r="I300" s="31"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1" t="str" cm="1">
        <f t="array" ref="E301">Common_InputFunctions.Utility_DisplayArrayInTable(SourceData_PastureBeef.SourceData_PastureBeef_DryMatterDigestibility_Data(), Table_SourceData_PastureBeef_DryMatterDigestibility[[#Headers],[State]], 0)</f>
        <v>n/a</v>
      </c>
      <c r="F301" s="31" cm="1">
        <f t="array" ref="F301">Common_InputFunctions.Utility_DisplayArrayInTable(SourceData_PastureBeef.SourceData_PastureBeef_DryMatterDigestibility_Data(), Table_SourceData_PastureBeef_DryMatterDigestibility[[#Headers],[State]], 0)</f>
        <v>0.75</v>
      </c>
      <c r="G301" s="31" cm="1">
        <f t="array" ref="G301">Common_InputFunctions.Utility_DisplayArrayInTable(SourceData_PastureBeef.SourceData_PastureBeef_DryMatterDigestibility_Data(), Table_SourceData_PastureBeef_DryMatterDigestibility[[#Headers],[State]], 0)</f>
        <v>0.6</v>
      </c>
      <c r="H301" s="31" cm="1">
        <f t="array" ref="H301">Common_InputFunctions.Utility_DisplayArrayInTable(SourceData_PastureBeef.SourceData_PastureBeef_DryMatterDigestibility_Data(), Table_SourceData_PastureBeef_DryMatterDigestibility[[#Headers],[State]], 0)</f>
        <v>0.7</v>
      </c>
      <c r="I301" s="31"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1" t="str" cm="1">
        <f t="array" ref="E302">Common_InputFunctions.Utility_DisplayArrayInTable(SourceData_PastureBeef.SourceData_PastureBeef_DryMatterDigestibility_Data(), Table_SourceData_PastureBeef_DryMatterDigestibility[[#Headers],[State]], 0)</f>
        <v>n/a</v>
      </c>
      <c r="F302" s="31" cm="1">
        <f t="array" ref="F302">Common_InputFunctions.Utility_DisplayArrayInTable(SourceData_PastureBeef.SourceData_PastureBeef_DryMatterDigestibility_Data(), Table_SourceData_PastureBeef_DryMatterDigestibility[[#Headers],[State]], 0)</f>
        <v>0.8</v>
      </c>
      <c r="G302" s="31" cm="1">
        <f t="array" ref="G302">Common_InputFunctions.Utility_DisplayArrayInTable(SourceData_PastureBeef.SourceData_PastureBeef_DryMatterDigestibility_Data(), Table_SourceData_PastureBeef_DryMatterDigestibility[[#Headers],[State]], 0)</f>
        <v>0.55000000000000004</v>
      </c>
      <c r="H302" s="31" cm="1">
        <f t="array" ref="H302">Common_InputFunctions.Utility_DisplayArrayInTable(SourceData_PastureBeef.SourceData_PastureBeef_DryMatterDigestibility_Data(), Table_SourceData_PastureBeef_DryMatterDigestibility[[#Headers],[State]], 0)</f>
        <v>0.6</v>
      </c>
      <c r="I302" s="31"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1" t="str" cm="1">
        <f t="array" ref="E303">Common_InputFunctions.Utility_DisplayArrayInTable(SourceData_PastureBeef.SourceData_PastureBeef_DryMatterDigestibility_Data(), Table_SourceData_PastureBeef_DryMatterDigestibility[[#Headers],[State]], 0)</f>
        <v>South West</v>
      </c>
      <c r="F303" s="31" cm="1">
        <f t="array" ref="F303">Common_InputFunctions.Utility_DisplayArrayInTable(SourceData_PastureBeef.SourceData_PastureBeef_DryMatterDigestibility_Data(), Table_SourceData_PastureBeef_DryMatterDigestibility[[#Headers],[State]], 0)</f>
        <v>0.8</v>
      </c>
      <c r="G303" s="31" cm="1">
        <f t="array" ref="G303">Common_InputFunctions.Utility_DisplayArrayInTable(SourceData_PastureBeef.SourceData_PastureBeef_DryMatterDigestibility_Data(), Table_SourceData_PastureBeef_DryMatterDigestibility[[#Headers],[State]], 0)</f>
        <v>0.57999999999999996</v>
      </c>
      <c r="H303" s="31" cm="1">
        <f t="array" ref="H303">Common_InputFunctions.Utility_DisplayArrayInTable(SourceData_PastureBeef.SourceData_PastureBeef_DryMatterDigestibility_Data(), Table_SourceData_PastureBeef_DryMatterDigestibility[[#Headers],[State]], 0)</f>
        <v>0.5</v>
      </c>
      <c r="I303" s="31"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1" t="str" cm="1">
        <f t="array" ref="E304">Common_InputFunctions.Utility_DisplayArrayInTable(SourceData_PastureBeef.SourceData_PastureBeef_DryMatterDigestibility_Data(), Table_SourceData_PastureBeef_DryMatterDigestibility[[#Headers],[State]], 0)</f>
        <v>Pilbara</v>
      </c>
      <c r="F304" s="31" cm="1">
        <f t="array" ref="F304">Common_InputFunctions.Utility_DisplayArrayInTable(SourceData_PastureBeef.SourceData_PastureBeef_DryMatterDigestibility_Data(), Table_SourceData_PastureBeef_DryMatterDigestibility[[#Headers],[State]], 0)</f>
        <v>0.4</v>
      </c>
      <c r="G304" s="31" cm="1">
        <f t="array" ref="G304">Common_InputFunctions.Utility_DisplayArrayInTable(SourceData_PastureBeef.SourceData_PastureBeef_DryMatterDigestibility_Data(), Table_SourceData_PastureBeef_DryMatterDigestibility[[#Headers],[State]], 0)</f>
        <v>0.65</v>
      </c>
      <c r="H304" s="31" cm="1">
        <f t="array" ref="H304">Common_InputFunctions.Utility_DisplayArrayInTable(SourceData_PastureBeef.SourceData_PastureBeef_DryMatterDigestibility_Data(), Table_SourceData_PastureBeef_DryMatterDigestibility[[#Headers],[State]], 0)</f>
        <v>0.55000000000000004</v>
      </c>
      <c r="I304" s="31"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1" t="str" cm="1">
        <f t="array" ref="E305">Common_InputFunctions.Utility_DisplayArrayInTable(SourceData_PastureBeef.SourceData_PastureBeef_DryMatterDigestibility_Data(), Table_SourceData_PastureBeef_DryMatterDigestibility[[#Headers],[State]], 0)</f>
        <v>Kimberley</v>
      </c>
      <c r="F305" s="31" cm="1">
        <f t="array" ref="F305">Common_InputFunctions.Utility_DisplayArrayInTable(SourceData_PastureBeef.SourceData_PastureBeef_DryMatterDigestibility_Data(), Table_SourceData_PastureBeef_DryMatterDigestibility[[#Headers],[State]], 0)</f>
        <v>0.4</v>
      </c>
      <c r="G305" s="31" cm="1">
        <f t="array" ref="G305">Common_InputFunctions.Utility_DisplayArrayInTable(SourceData_PastureBeef.SourceData_PastureBeef_DryMatterDigestibility_Data(), Table_SourceData_PastureBeef_DryMatterDigestibility[[#Headers],[State]], 0)</f>
        <v>0.65</v>
      </c>
      <c r="H305" s="31" cm="1">
        <f t="array" ref="H305">Common_InputFunctions.Utility_DisplayArrayInTable(SourceData_PastureBeef.SourceData_PastureBeef_DryMatterDigestibility_Data(), Table_SourceData_PastureBeef_DryMatterDigestibility[[#Headers],[State]], 0)</f>
        <v>0.55000000000000004</v>
      </c>
      <c r="I305" s="31"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8"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7"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1" t="s">
        <v>110</v>
      </c>
      <c r="E313" s="31" t="s">
        <v>308</v>
      </c>
      <c r="F313" s="31" t="s">
        <v>199</v>
      </c>
      <c r="G313" s="31" t="s">
        <v>200</v>
      </c>
      <c r="H313" s="31" t="s">
        <v>201</v>
      </c>
      <c r="I313" s="31" t="s">
        <v>202</v>
      </c>
      <c r="M313" s="8"/>
    </row>
    <row r="314" spans="4:13" x14ac:dyDescent="0.25">
      <c r="D314" s="31" t="str" cm="1">
        <f t="array" ref="D314">Common_InputFunctions.Utility_DisplayArrayInTable(SourceData_PastureBeef.SourceData_PastureBeef_CrudeProteinContent_Data(), Table_SourceData_PastureBeef_CrudeProtein[[#Headers],[State]], 0)</f>
        <v>ACT</v>
      </c>
      <c r="E314" s="31" t="str" cm="1">
        <f t="array" ref="E314">Common_InputFunctions.Utility_DisplayArrayInTable(SourceData_PastureBeef.SourceData_PastureBeef_CrudeProteinContent_Data(), Table_SourceData_PastureBeef_CrudeProtein[[#Headers],[State]], 0)</f>
        <v>n/a</v>
      </c>
      <c r="F314" s="31" cm="1">
        <f t="array" ref="F314">Common_InputFunctions.Utility_DisplayArrayInTable(SourceData_PastureBeef.SourceData_PastureBeef_CrudeProteinContent_Data(), Table_SourceData_PastureBeef_CrudeProtein[[#Headers],[State]], 0)</f>
        <v>7.0000000000000007E-2</v>
      </c>
      <c r="G314" s="31" cm="1">
        <f t="array" ref="G314">Common_InputFunctions.Utility_DisplayArrayInTable(SourceData_PastureBeef.SourceData_PastureBeef_CrudeProteinContent_Data(), Table_SourceData_PastureBeef_CrudeProtein[[#Headers],[State]], 0)</f>
        <v>0.13</v>
      </c>
      <c r="H314" s="31" cm="1">
        <f t="array" ref="H314">Common_InputFunctions.Utility_DisplayArrayInTable(SourceData_PastureBeef.SourceData_PastureBeef_CrudeProteinContent_Data(), Table_SourceData_PastureBeef_CrudeProtein[[#Headers],[State]], 0)</f>
        <v>0.1</v>
      </c>
      <c r="I314" s="31" cm="1">
        <f t="array" ref="I314">Common_InputFunctions.Utility_DisplayArrayInTable(SourceData_PastureBeef.SourceData_PastureBeef_CrudeProteinContent_Data(), Table_SourceData_PastureBeef_CrudeProtein[[#Headers],[State]], 0)</f>
        <v>0.06</v>
      </c>
      <c r="M314" s="8"/>
    </row>
    <row r="315" spans="4:13" x14ac:dyDescent="0.25">
      <c r="D315" s="31" t="str" cm="1">
        <f t="array" ref="D315">Common_InputFunctions.Utility_DisplayArrayInTable(SourceData_PastureBeef.SourceData_PastureBeef_CrudeProteinContent_Data(), Table_SourceData_PastureBeef_CrudeProtein[[#Headers],[State]], 0)</f>
        <v>NSW</v>
      </c>
      <c r="E315" s="31" t="str" cm="1">
        <f t="array" ref="E315">Common_InputFunctions.Utility_DisplayArrayInTable(SourceData_PastureBeef.SourceData_PastureBeef_CrudeProteinContent_Data(), Table_SourceData_PastureBeef_CrudeProtein[[#Headers],[State]], 0)</f>
        <v>n/a</v>
      </c>
      <c r="F315" s="31" cm="1">
        <f t="array" ref="F315">Common_InputFunctions.Utility_DisplayArrayInTable(SourceData_PastureBeef.SourceData_PastureBeef_CrudeProteinContent_Data(), Table_SourceData_PastureBeef_CrudeProtein[[#Headers],[State]], 0)</f>
        <v>7.0000000000000007E-2</v>
      </c>
      <c r="G315" s="31" cm="1">
        <f t="array" ref="G315">Common_InputFunctions.Utility_DisplayArrayInTable(SourceData_PastureBeef.SourceData_PastureBeef_CrudeProteinContent_Data(), Table_SourceData_PastureBeef_CrudeProtein[[#Headers],[State]], 0)</f>
        <v>0.13</v>
      </c>
      <c r="H315" s="31" cm="1">
        <f t="array" ref="H315">Common_InputFunctions.Utility_DisplayArrayInTable(SourceData_PastureBeef.SourceData_PastureBeef_CrudeProteinContent_Data(), Table_SourceData_PastureBeef_CrudeProtein[[#Headers],[State]], 0)</f>
        <v>0.1</v>
      </c>
      <c r="I315" s="31" cm="1">
        <f t="array" ref="I315">Common_InputFunctions.Utility_DisplayArrayInTable(SourceData_PastureBeef.SourceData_PastureBeef_CrudeProteinContent_Data(), Table_SourceData_PastureBeef_CrudeProtein[[#Headers],[State]], 0)</f>
        <v>0.06</v>
      </c>
      <c r="M315" s="8"/>
    </row>
    <row r="316" spans="4:13" x14ac:dyDescent="0.25">
      <c r="D316" s="31" t="str" cm="1">
        <f t="array" ref="D316">Common_InputFunctions.Utility_DisplayArrayInTable(SourceData_PastureBeef.SourceData_PastureBeef_CrudeProteinContent_Data(), Table_SourceData_PastureBeef_CrudeProtein[[#Headers],[State]], 0)</f>
        <v>NT</v>
      </c>
      <c r="E316" s="31" t="str" cm="1">
        <f t="array" ref="E316">Common_InputFunctions.Utility_DisplayArrayInTable(SourceData_PastureBeef.SourceData_PastureBeef_CrudeProteinContent_Data(), Table_SourceData_PastureBeef_CrudeProtein[[#Headers],[State]], 0)</f>
        <v>Alice Springs</v>
      </c>
      <c r="F316" s="31" cm="1">
        <f t="array" ref="F316">Common_InputFunctions.Utility_DisplayArrayInTable(SourceData_PastureBeef.SourceData_PastureBeef_CrudeProteinContent_Data(), Table_SourceData_PastureBeef_CrudeProtein[[#Headers],[State]], 0)</f>
        <v>5.8000000000000003E-2</v>
      </c>
      <c r="G316" s="31" cm="1">
        <f t="array" ref="G316">Common_InputFunctions.Utility_DisplayArrayInTable(SourceData_PastureBeef.SourceData_PastureBeef_CrudeProteinContent_Data(), Table_SourceData_PastureBeef_CrudeProtein[[#Headers],[State]], 0)</f>
        <v>9.1999999999999998E-2</v>
      </c>
      <c r="H316" s="31" cm="1">
        <f t="array" ref="H316">Common_InputFunctions.Utility_DisplayArrayInTable(SourceData_PastureBeef.SourceData_PastureBeef_CrudeProteinContent_Data(), Table_SourceData_PastureBeef_CrudeProtein[[#Headers],[State]], 0)</f>
        <v>7.4999999999999997E-2</v>
      </c>
      <c r="I316" s="31"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1" t="str" cm="1">
        <f t="array" ref="D317">Common_InputFunctions.Utility_DisplayArrayInTable(SourceData_PastureBeef.SourceData_PastureBeef_CrudeProteinContent_Data(), Table_SourceData_PastureBeef_CrudeProtein[[#Headers],[State]], 0)</f>
        <v>NT</v>
      </c>
      <c r="E317" s="31" t="str" cm="1">
        <f t="array" ref="E317">Common_InputFunctions.Utility_DisplayArrayInTable(SourceData_PastureBeef.SourceData_PastureBeef_CrudeProteinContent_Data(), Table_SourceData_PastureBeef_CrudeProtein[[#Headers],[State]], 0)</f>
        <v>Barkly</v>
      </c>
      <c r="F317" s="31" cm="1">
        <f t="array" ref="F317">Common_InputFunctions.Utility_DisplayArrayInTable(SourceData_PastureBeef.SourceData_PastureBeef_CrudeProteinContent_Data(), Table_SourceData_PastureBeef_CrudeProtein[[#Headers],[State]], 0)</f>
        <v>5.8000000000000003E-2</v>
      </c>
      <c r="G317" s="31" cm="1">
        <f t="array" ref="G317">Common_InputFunctions.Utility_DisplayArrayInTable(SourceData_PastureBeef.SourceData_PastureBeef_CrudeProteinContent_Data(), Table_SourceData_PastureBeef_CrudeProtein[[#Headers],[State]], 0)</f>
        <v>9.1999999999999998E-2</v>
      </c>
      <c r="H317" s="31" cm="1">
        <f t="array" ref="H317">Common_InputFunctions.Utility_DisplayArrayInTable(SourceData_PastureBeef.SourceData_PastureBeef_CrudeProteinContent_Data(), Table_SourceData_PastureBeef_CrudeProtein[[#Headers],[State]], 0)</f>
        <v>7.4999999999999997E-2</v>
      </c>
      <c r="I317" s="31"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1" t="str" cm="1">
        <f t="array" ref="D318">Common_InputFunctions.Utility_DisplayArrayInTable(SourceData_PastureBeef.SourceData_PastureBeef_CrudeProteinContent_Data(), Table_SourceData_PastureBeef_CrudeProtein[[#Headers],[State]], 0)</f>
        <v>NT</v>
      </c>
      <c r="E318" s="31" t="str" cm="1">
        <f t="array" ref="E318">Common_InputFunctions.Utility_DisplayArrayInTable(SourceData_PastureBeef.SourceData_PastureBeef_CrudeProteinContent_Data(), Table_SourceData_PastureBeef_CrudeProtein[[#Headers],[State]], 0)</f>
        <v>Northern</v>
      </c>
      <c r="F318" s="31" cm="1">
        <f t="array" ref="F318">Common_InputFunctions.Utility_DisplayArrayInTable(SourceData_PastureBeef.SourceData_PastureBeef_CrudeProteinContent_Data(), Table_SourceData_PastureBeef_CrudeProtein[[#Headers],[State]], 0)</f>
        <v>5.8000000000000003E-2</v>
      </c>
      <c r="G318" s="31" cm="1">
        <f t="array" ref="G318">Common_InputFunctions.Utility_DisplayArrayInTable(SourceData_PastureBeef.SourceData_PastureBeef_CrudeProteinContent_Data(), Table_SourceData_PastureBeef_CrudeProtein[[#Headers],[State]], 0)</f>
        <v>9.1999999999999998E-2</v>
      </c>
      <c r="H318" s="31" cm="1">
        <f t="array" ref="H318">Common_InputFunctions.Utility_DisplayArrayInTable(SourceData_PastureBeef.SourceData_PastureBeef_CrudeProteinContent_Data(), Table_SourceData_PastureBeef_CrudeProtein[[#Headers],[State]], 0)</f>
        <v>7.4999999999999997E-2</v>
      </c>
      <c r="I318" s="31"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1" t="str" cm="1">
        <f t="array" ref="D319">Common_InputFunctions.Utility_DisplayArrayInTable(SourceData_PastureBeef.SourceData_PastureBeef_CrudeProteinContent_Data(), Table_SourceData_PastureBeef_CrudeProtein[[#Headers],[State]], 0)</f>
        <v>QLD</v>
      </c>
      <c r="E319" s="31" t="str" cm="1">
        <f t="array" ref="E319">Common_InputFunctions.Utility_DisplayArrayInTable(SourceData_PastureBeef.SourceData_PastureBeef_CrudeProteinContent_Data(), Table_SourceData_PastureBeef_CrudeProtein[[#Headers],[State]], 0)</f>
        <v>High</v>
      </c>
      <c r="F319" s="31" cm="1">
        <f t="array" ref="F319">Common_InputFunctions.Utility_DisplayArrayInTable(SourceData_PastureBeef.SourceData_PastureBeef_CrudeProteinContent_Data(), Table_SourceData_PastureBeef_CrudeProtein[[#Headers],[State]], 0)</f>
        <v>7.1999999999999995E-2</v>
      </c>
      <c r="G319" s="31" cm="1">
        <f t="array" ref="G319">Common_InputFunctions.Utility_DisplayArrayInTable(SourceData_PastureBeef.SourceData_PastureBeef_CrudeProteinContent_Data(), Table_SourceData_PastureBeef_CrudeProtein[[#Headers],[State]], 0)</f>
        <v>9.9000000000000005E-2</v>
      </c>
      <c r="H319" s="31" cm="1">
        <f t="array" ref="H319">Common_InputFunctions.Utility_DisplayArrayInTable(SourceData_PastureBeef.SourceData_PastureBeef_CrudeProteinContent_Data(), Table_SourceData_PastureBeef_CrudeProtein[[#Headers],[State]], 0)</f>
        <v>7.8E-2</v>
      </c>
      <c r="I319" s="31"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1" t="str" cm="1">
        <f t="array" ref="D320">Common_InputFunctions.Utility_DisplayArrayInTable(SourceData_PastureBeef.SourceData_PastureBeef_CrudeProteinContent_Data(), Table_SourceData_PastureBeef_CrudeProtein[[#Headers],[State]], 0)</f>
        <v>QLD</v>
      </c>
      <c r="E320" s="31" t="str" cm="1">
        <f t="array" ref="E320">Common_InputFunctions.Utility_DisplayArrayInTable(SourceData_PastureBeef.SourceData_PastureBeef_CrudeProteinContent_Data(), Table_SourceData_PastureBeef_CrudeProtein[[#Headers],[State]], 0)</f>
        <v>Moderate/High</v>
      </c>
      <c r="F320" s="31" cm="1">
        <f t="array" ref="F320">Common_InputFunctions.Utility_DisplayArrayInTable(SourceData_PastureBeef.SourceData_PastureBeef_CrudeProteinContent_Data(), Table_SourceData_PastureBeef_CrudeProtein[[#Headers],[State]], 0)</f>
        <v>7.1999999999999995E-2</v>
      </c>
      <c r="G320" s="31" cm="1">
        <f t="array" ref="G320">Common_InputFunctions.Utility_DisplayArrayInTable(SourceData_PastureBeef.SourceData_PastureBeef_CrudeProteinContent_Data(), Table_SourceData_PastureBeef_CrudeProtein[[#Headers],[State]], 0)</f>
        <v>9.9000000000000005E-2</v>
      </c>
      <c r="H320" s="31" cm="1">
        <f t="array" ref="H320">Common_InputFunctions.Utility_DisplayArrayInTable(SourceData_PastureBeef.SourceData_PastureBeef_CrudeProteinContent_Data(), Table_SourceData_PastureBeef_CrudeProtein[[#Headers],[State]], 0)</f>
        <v>7.8E-2</v>
      </c>
      <c r="I320" s="31"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1" t="str" cm="1">
        <f t="array" ref="D321">Common_InputFunctions.Utility_DisplayArrayInTable(SourceData_PastureBeef.SourceData_PastureBeef_CrudeProteinContent_Data(), Table_SourceData_PastureBeef_CrudeProtein[[#Headers],[State]], 0)</f>
        <v>QLD</v>
      </c>
      <c r="E321" s="31" t="str" cm="1">
        <f t="array" ref="E321">Common_InputFunctions.Utility_DisplayArrayInTable(SourceData_PastureBeef.SourceData_PastureBeef_CrudeProteinContent_Data(), Table_SourceData_PastureBeef_CrudeProtein[[#Headers],[State]], 0)</f>
        <v>Moderate/Low</v>
      </c>
      <c r="F321" s="31" cm="1">
        <f t="array" ref="F321">Common_InputFunctions.Utility_DisplayArrayInTable(SourceData_PastureBeef.SourceData_PastureBeef_CrudeProteinContent_Data(), Table_SourceData_PastureBeef_CrudeProtein[[#Headers],[State]], 0)</f>
        <v>7.1999999999999995E-2</v>
      </c>
      <c r="G321" s="31" cm="1">
        <f t="array" ref="G321">Common_InputFunctions.Utility_DisplayArrayInTable(SourceData_PastureBeef.SourceData_PastureBeef_CrudeProteinContent_Data(), Table_SourceData_PastureBeef_CrudeProtein[[#Headers],[State]], 0)</f>
        <v>9.9000000000000005E-2</v>
      </c>
      <c r="H321" s="31" cm="1">
        <f t="array" ref="H321">Common_InputFunctions.Utility_DisplayArrayInTable(SourceData_PastureBeef.SourceData_PastureBeef_CrudeProteinContent_Data(), Table_SourceData_PastureBeef_CrudeProtein[[#Headers],[State]], 0)</f>
        <v>7.8E-2</v>
      </c>
      <c r="I321" s="31"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1" t="str" cm="1">
        <f t="array" ref="D322">Common_InputFunctions.Utility_DisplayArrayInTable(SourceData_PastureBeef.SourceData_PastureBeef_CrudeProteinContent_Data(), Table_SourceData_PastureBeef_CrudeProtein[[#Headers],[State]], 0)</f>
        <v>QLD</v>
      </c>
      <c r="E322" s="31" t="str" cm="1">
        <f t="array" ref="E322">Common_InputFunctions.Utility_DisplayArrayInTable(SourceData_PastureBeef.SourceData_PastureBeef_CrudeProteinContent_Data(), Table_SourceData_PastureBeef_CrudeProtein[[#Headers],[State]], 0)</f>
        <v>Low</v>
      </c>
      <c r="F322" s="31" cm="1">
        <f t="array" ref="F322">Common_InputFunctions.Utility_DisplayArrayInTable(SourceData_PastureBeef.SourceData_PastureBeef_CrudeProteinContent_Data(), Table_SourceData_PastureBeef_CrudeProtein[[#Headers],[State]], 0)</f>
        <v>7.1999999999999995E-2</v>
      </c>
      <c r="G322" s="31" cm="1">
        <f t="array" ref="G322">Common_InputFunctions.Utility_DisplayArrayInTable(SourceData_PastureBeef.SourceData_PastureBeef_CrudeProteinContent_Data(), Table_SourceData_PastureBeef_CrudeProtein[[#Headers],[State]], 0)</f>
        <v>9.9000000000000005E-2</v>
      </c>
      <c r="H322" s="31" cm="1">
        <f t="array" ref="H322">Common_InputFunctions.Utility_DisplayArrayInTable(SourceData_PastureBeef.SourceData_PastureBeef_CrudeProteinContent_Data(), Table_SourceData_PastureBeef_CrudeProtein[[#Headers],[State]], 0)</f>
        <v>7.8E-2</v>
      </c>
      <c r="I322" s="31"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1" t="str" cm="1">
        <f t="array" ref="D323">Common_InputFunctions.Utility_DisplayArrayInTable(SourceData_PastureBeef.SourceData_PastureBeef_CrudeProteinContent_Data(), Table_SourceData_PastureBeef_CrudeProtein[[#Headers],[State]], 0)</f>
        <v>SA</v>
      </c>
      <c r="E323" s="31" t="str" cm="1">
        <f t="array" ref="E323">Common_InputFunctions.Utility_DisplayArrayInTable(SourceData_PastureBeef.SourceData_PastureBeef_CrudeProteinContent_Data(), Table_SourceData_PastureBeef_CrudeProtein[[#Headers],[State]], 0)</f>
        <v>n/a</v>
      </c>
      <c r="F323" s="31" cm="1">
        <f t="array" ref="F323">Common_InputFunctions.Utility_DisplayArrayInTable(SourceData_PastureBeef.SourceData_PastureBeef_CrudeProteinContent_Data(), Table_SourceData_PastureBeef_CrudeProtein[[#Headers],[State]], 0)</f>
        <v>0.16</v>
      </c>
      <c r="G323" s="31" cm="1">
        <f t="array" ref="G323">Common_InputFunctions.Utility_DisplayArrayInTable(SourceData_PastureBeef.SourceData_PastureBeef_CrudeProteinContent_Data(), Table_SourceData_PastureBeef_CrudeProtein[[#Headers],[State]], 0)</f>
        <v>7.0000000000000007E-2</v>
      </c>
      <c r="H323" s="31" cm="1">
        <f t="array" ref="H323">Common_InputFunctions.Utility_DisplayArrayInTable(SourceData_PastureBeef.SourceData_PastureBeef_CrudeProteinContent_Data(), Table_SourceData_PastureBeef_CrudeProtein[[#Headers],[State]], 0)</f>
        <v>0.09</v>
      </c>
      <c r="I323" s="31" cm="1">
        <f t="array" ref="I323">Common_InputFunctions.Utility_DisplayArrayInTable(SourceData_PastureBeef.SourceData_PastureBeef_CrudeProteinContent_Data(), Table_SourceData_PastureBeef_CrudeProtein[[#Headers],[State]], 0)</f>
        <v>0.2</v>
      </c>
      <c r="M323" s="1"/>
    </row>
    <row r="324" spans="4:13" x14ac:dyDescent="0.25">
      <c r="D324" s="31" t="str" cm="1">
        <f t="array" ref="D324">Common_InputFunctions.Utility_DisplayArrayInTable(SourceData_PastureBeef.SourceData_PastureBeef_CrudeProteinContent_Data(), Table_SourceData_PastureBeef_CrudeProtein[[#Headers],[State]], 0)</f>
        <v>TAS</v>
      </c>
      <c r="E324" s="31" t="str" cm="1">
        <f t="array" ref="E324">Common_InputFunctions.Utility_DisplayArrayInTable(SourceData_PastureBeef.SourceData_PastureBeef_CrudeProteinContent_Data(), Table_SourceData_PastureBeef_CrudeProtein[[#Headers],[State]], 0)</f>
        <v>n/a</v>
      </c>
      <c r="F324" s="31" cm="1">
        <f t="array" ref="F324">Common_InputFunctions.Utility_DisplayArrayInTable(SourceData_PastureBeef.SourceData_PastureBeef_CrudeProteinContent_Data(), Table_SourceData_PastureBeef_CrudeProtein[[#Headers],[State]], 0)</f>
        <v>0.2</v>
      </c>
      <c r="G324" s="31" cm="1">
        <f t="array" ref="G324">Common_InputFunctions.Utility_DisplayArrayInTable(SourceData_PastureBeef.SourceData_PastureBeef_CrudeProteinContent_Data(), Table_SourceData_PastureBeef_CrudeProtein[[#Headers],[State]], 0)</f>
        <v>0.1</v>
      </c>
      <c r="H324" s="31" cm="1">
        <f t="array" ref="H324">Common_InputFunctions.Utility_DisplayArrayInTable(SourceData_PastureBeef.SourceData_PastureBeef_CrudeProteinContent_Data(), Table_SourceData_PastureBeef_CrudeProtein[[#Headers],[State]], 0)</f>
        <v>0.16</v>
      </c>
      <c r="I324" s="31" cm="1">
        <f t="array" ref="I324">Common_InputFunctions.Utility_DisplayArrayInTable(SourceData_PastureBeef.SourceData_PastureBeef_CrudeProteinContent_Data(), Table_SourceData_PastureBeef_CrudeProtein[[#Headers],[State]], 0)</f>
        <v>0.2</v>
      </c>
      <c r="M324" s="1"/>
    </row>
    <row r="325" spans="4:13" x14ac:dyDescent="0.25">
      <c r="D325" s="31" t="str" cm="1">
        <f t="array" ref="D325">Common_InputFunctions.Utility_DisplayArrayInTable(SourceData_PastureBeef.SourceData_PastureBeef_CrudeProteinContent_Data(), Table_SourceData_PastureBeef_CrudeProtein[[#Headers],[State]], 0)</f>
        <v>VIC</v>
      </c>
      <c r="E325" s="31" t="str" cm="1">
        <f t="array" ref="E325">Common_InputFunctions.Utility_DisplayArrayInTable(SourceData_PastureBeef.SourceData_PastureBeef_CrudeProteinContent_Data(), Table_SourceData_PastureBeef_CrudeProtein[[#Headers],[State]], 0)</f>
        <v>n/a</v>
      </c>
      <c r="F325" s="31" cm="1">
        <f t="array" ref="F325">Common_InputFunctions.Utility_DisplayArrayInTable(SourceData_PastureBeef.SourceData_PastureBeef_CrudeProteinContent_Data(), Table_SourceData_PastureBeef_CrudeProtein[[#Headers],[State]], 0)</f>
        <v>0.25</v>
      </c>
      <c r="G325" s="31" cm="1">
        <f t="array" ref="G325">Common_InputFunctions.Utility_DisplayArrayInTable(SourceData_PastureBeef.SourceData_PastureBeef_CrudeProteinContent_Data(), Table_SourceData_PastureBeef_CrudeProtein[[#Headers],[State]], 0)</f>
        <v>7.0000000000000007E-2</v>
      </c>
      <c r="H325" s="31" cm="1">
        <f t="array" ref="H325">Common_InputFunctions.Utility_DisplayArrayInTable(SourceData_PastureBeef.SourceData_PastureBeef_CrudeProteinContent_Data(), Table_SourceData_PastureBeef_CrudeProtein[[#Headers],[State]], 0)</f>
        <v>0.1</v>
      </c>
      <c r="I325" s="31" cm="1">
        <f t="array" ref="I325">Common_InputFunctions.Utility_DisplayArrayInTable(SourceData_PastureBeef.SourceData_PastureBeef_CrudeProteinContent_Data(), Table_SourceData_PastureBeef_CrudeProtein[[#Headers],[State]], 0)</f>
        <v>0.21</v>
      </c>
      <c r="M325" s="1"/>
    </row>
    <row r="326" spans="4:13" x14ac:dyDescent="0.25">
      <c r="D326" s="31" t="str" cm="1">
        <f t="array" ref="D326">Common_InputFunctions.Utility_DisplayArrayInTable(SourceData_PastureBeef.SourceData_PastureBeef_CrudeProteinContent_Data(), Table_SourceData_PastureBeef_CrudeProtein[[#Headers],[State]], 0)</f>
        <v>WA</v>
      </c>
      <c r="E326" s="31" t="str" cm="1">
        <f t="array" ref="E326">Common_InputFunctions.Utility_DisplayArrayInTable(SourceData_PastureBeef.SourceData_PastureBeef_CrudeProteinContent_Data(), Table_SourceData_PastureBeef_CrudeProtein[[#Headers],[State]], 0)</f>
        <v>South West</v>
      </c>
      <c r="F326" s="31" cm="1">
        <f t="array" ref="F326">Common_InputFunctions.Utility_DisplayArrayInTable(SourceData_PastureBeef.SourceData_PastureBeef_CrudeProteinContent_Data(), Table_SourceData_PastureBeef_CrudeProtein[[#Headers],[State]], 0)</f>
        <v>0.2</v>
      </c>
      <c r="G326" s="31" cm="1">
        <f t="array" ref="G326">Common_InputFunctions.Utility_DisplayArrayInTable(SourceData_PastureBeef.SourceData_PastureBeef_CrudeProteinContent_Data(), Table_SourceData_PastureBeef_CrudeProtein[[#Headers],[State]], 0)</f>
        <v>0.09</v>
      </c>
      <c r="H326" s="31" cm="1">
        <f t="array" ref="H326">Common_InputFunctions.Utility_DisplayArrayInTable(SourceData_PastureBeef.SourceData_PastureBeef_CrudeProteinContent_Data(), Table_SourceData_PastureBeef_CrudeProtein[[#Headers],[State]], 0)</f>
        <v>0.06</v>
      </c>
      <c r="I326" s="31" cm="1">
        <f t="array" ref="I326">Common_InputFunctions.Utility_DisplayArrayInTable(SourceData_PastureBeef.SourceData_PastureBeef_CrudeProteinContent_Data(), Table_SourceData_PastureBeef_CrudeProtein[[#Headers],[State]], 0)</f>
        <v>0.2</v>
      </c>
      <c r="M326" s="1"/>
    </row>
    <row r="327" spans="4:13" x14ac:dyDescent="0.25">
      <c r="D327" s="31" t="str" cm="1">
        <f t="array" ref="D327">Common_InputFunctions.Utility_DisplayArrayInTable(SourceData_PastureBeef.SourceData_PastureBeef_CrudeProteinContent_Data(), Table_SourceData_PastureBeef_CrudeProtein[[#Headers],[State]], 0)</f>
        <v>WA</v>
      </c>
      <c r="E327" s="31" t="str" cm="1">
        <f t="array" ref="E327">Common_InputFunctions.Utility_DisplayArrayInTable(SourceData_PastureBeef.SourceData_PastureBeef_CrudeProteinContent_Data(), Table_SourceData_PastureBeef_CrudeProtein[[#Headers],[State]], 0)</f>
        <v>Pilbara</v>
      </c>
      <c r="F327" s="31" cm="1">
        <f t="array" ref="F327">Common_InputFunctions.Utility_DisplayArrayInTable(SourceData_PastureBeef.SourceData_PastureBeef_CrudeProteinContent_Data(), Table_SourceData_PastureBeef_CrudeProtein[[#Headers],[State]], 0)</f>
        <v>0.04</v>
      </c>
      <c r="G327" s="31" cm="1">
        <f t="array" ref="G327">Common_InputFunctions.Utility_DisplayArrayInTable(SourceData_PastureBeef.SourceData_PastureBeef_CrudeProteinContent_Data(), Table_SourceData_PastureBeef_CrudeProtein[[#Headers],[State]], 0)</f>
        <v>0.12</v>
      </c>
      <c r="H327" s="31" cm="1">
        <f t="array" ref="H327">Common_InputFunctions.Utility_DisplayArrayInTable(SourceData_PastureBeef.SourceData_PastureBeef_CrudeProteinContent_Data(), Table_SourceData_PastureBeef_CrudeProtein[[#Headers],[State]], 0)</f>
        <v>0.09</v>
      </c>
      <c r="I327" s="31" cm="1">
        <f t="array" ref="I327">Common_InputFunctions.Utility_DisplayArrayInTable(SourceData_PastureBeef.SourceData_PastureBeef_CrudeProteinContent_Data(), Table_SourceData_PastureBeef_CrudeProtein[[#Headers],[State]], 0)</f>
        <v>0.06</v>
      </c>
      <c r="M327" s="1"/>
    </row>
    <row r="328" spans="4:13" x14ac:dyDescent="0.25">
      <c r="D328" s="31" t="str" cm="1">
        <f t="array" ref="D328">Common_InputFunctions.Utility_DisplayArrayInTable(SourceData_PastureBeef.SourceData_PastureBeef_CrudeProteinContent_Data(), Table_SourceData_PastureBeef_CrudeProtein[[#Headers],[State]], 0)</f>
        <v>WA</v>
      </c>
      <c r="E328" s="31" t="str" cm="1">
        <f t="array" ref="E328">Common_InputFunctions.Utility_DisplayArrayInTable(SourceData_PastureBeef.SourceData_PastureBeef_CrudeProteinContent_Data(), Table_SourceData_PastureBeef_CrudeProtein[[#Headers],[State]], 0)</f>
        <v>Kimberley</v>
      </c>
      <c r="F328" s="31" cm="1">
        <f t="array" ref="F328">Common_InputFunctions.Utility_DisplayArrayInTable(SourceData_PastureBeef.SourceData_PastureBeef_CrudeProteinContent_Data(), Table_SourceData_PastureBeef_CrudeProtein[[#Headers],[State]], 0)</f>
        <v>0.04</v>
      </c>
      <c r="G328" s="31" cm="1">
        <f t="array" ref="G328">Common_InputFunctions.Utility_DisplayArrayInTable(SourceData_PastureBeef.SourceData_PastureBeef_CrudeProteinContent_Data(), Table_SourceData_PastureBeef_CrudeProtein[[#Headers],[State]], 0)</f>
        <v>0.12</v>
      </c>
      <c r="H328" s="31" cm="1">
        <f t="array" ref="H328">Common_InputFunctions.Utility_DisplayArrayInTable(SourceData_PastureBeef.SourceData_PastureBeef_CrudeProteinContent_Data(), Table_SourceData_PastureBeef_CrudeProtein[[#Headers],[State]], 0)</f>
        <v>0.09</v>
      </c>
      <c r="I328" s="31"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8"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7" t="s">
        <v>372</v>
      </c>
      <c r="M333" s="1"/>
    </row>
    <row r="334" spans="4:13" x14ac:dyDescent="0.25">
      <c r="D334" s="31" t="s">
        <v>373</v>
      </c>
      <c r="E334" s="31" t="s">
        <v>79</v>
      </c>
      <c r="F334" s="31" t="s">
        <v>374</v>
      </c>
      <c r="G334" s="31" t="s">
        <v>375</v>
      </c>
      <c r="I334" s="31" t="s">
        <v>373</v>
      </c>
      <c r="J334" s="31" t="s">
        <v>79</v>
      </c>
      <c r="K334" s="31" t="s">
        <v>374</v>
      </c>
      <c r="L334" s="31" t="s">
        <v>375</v>
      </c>
      <c r="M334" s="1"/>
    </row>
    <row r="335" spans="4:13" x14ac:dyDescent="0.25">
      <c r="D335" s="31" t="str" cm="1">
        <f t="array" ref="D335">Common_InputFunctions.Utility_DisplayArrayInTable(SourceData_PastureBeef.SourceData_PastureBeef_FeedAdjustmentAndMilkProduction_Data(), Table_SourceData_PastureBeef_FeedIntakeAdjustment[[#Headers],[Breed]], 0)</f>
        <v>Hereford or Shorthorn breeds</v>
      </c>
      <c r="E335" s="31" t="str" cm="1">
        <f t="array" ref="E335">Common_InputFunctions.Utility_DisplayArrayInTable(SourceData_PastureBeef.SourceData_PastureBeef_FeedAdjustmentAndMilkProduction_Data(), Table_SourceData_PastureBeef_FeedIntakeAdjustment[[#Headers],[Breed]], 0)</f>
        <v>Spring</v>
      </c>
      <c r="F335" s="31" cm="1">
        <f t="array" ref="F335">Common_InputFunctions.Utility_DisplayArrayInTable(SourceData_PastureBeef.SourceData_PastureBeef_FeedAdjustmentAndMilkProduction_Data(), Table_SourceData_PastureBeef_FeedIntakeAdjustment[[#Headers],[Breed]], 0)</f>
        <v>1.3</v>
      </c>
      <c r="G335" s="31" cm="1">
        <f t="array" ref="G335">Common_InputFunctions.Utility_DisplayArrayInTable(SourceData_PastureBeef.SourceData_PastureBeef_FeedAdjustmentAndMilkProduction_Data(), Table_SourceData_PastureBeef_FeedIntakeAdjustment[[#Headers],[Breed]], 0)</f>
        <v>6</v>
      </c>
      <c r="I335" s="31" t="str">
        <f>Table_SourceData_PastureBeef_FeedIntakeAdjustment[[#This Row],[Breed]]</f>
        <v>Hereford or Shorthorn breeds</v>
      </c>
      <c r="J335" s="31" t="s">
        <v>212</v>
      </c>
      <c r="K335" s="31">
        <f>Table_SourceData_PastureBeef_FeedIntakeAdjustment[[#This Row],[Feed adjustment]]</f>
        <v>1.3</v>
      </c>
      <c r="L335" s="31">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1" t="str" cm="1">
        <f t="array" ref="E336">Common_InputFunctions.Utility_DisplayArrayInTable(SourceData_PastureBeef.SourceData_PastureBeef_FeedAdjustmentAndMilkProduction_Data(), Table_SourceData_PastureBeef_FeedIntakeAdjustment[[#Headers],[Breed]], 0)</f>
        <v>Summer</v>
      </c>
      <c r="F336" s="31" cm="1">
        <f t="array" ref="F336">Common_InputFunctions.Utility_DisplayArrayInTable(SourceData_PastureBeef.SourceData_PastureBeef_FeedAdjustmentAndMilkProduction_Data(), Table_SourceData_PastureBeef_FeedIntakeAdjustment[[#Headers],[Breed]], 0)</f>
        <v>1.1000000000000001</v>
      </c>
      <c r="G336" s="31"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1" t="s">
        <v>376</v>
      </c>
      <c r="K336" s="31">
        <f>Table_SourceData_PastureBeef_FeedIntakeAdjustment[[#This Row],[Feed adjustment]]</f>
        <v>1.1000000000000001</v>
      </c>
      <c r="L336" s="31">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1" t="str" cm="1">
        <f t="array" ref="E337">Common_InputFunctions.Utility_DisplayArrayInTable(SourceData_PastureBeef.SourceData_PastureBeef_FeedAdjustmentAndMilkProduction_Data(), Table_SourceData_PastureBeef_FeedIntakeAdjustment[[#Headers],[Breed]], 0)</f>
        <v>Autumn</v>
      </c>
      <c r="F337" s="31" cm="1">
        <f t="array" ref="F337">Common_InputFunctions.Utility_DisplayArrayInTable(SourceData_PastureBeef.SourceData_PastureBeef_FeedAdjustmentAndMilkProduction_Data(), Table_SourceData_PastureBeef_FeedIntakeAdjustment[[#Headers],[Breed]], 0)</f>
        <v>0</v>
      </c>
      <c r="G337" s="31"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1" t="s">
        <v>212</v>
      </c>
      <c r="K337" s="31">
        <f>F340</f>
        <v>1.3</v>
      </c>
      <c r="L337" s="31">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1" t="str" cm="1">
        <f t="array" ref="E338">Common_InputFunctions.Utility_DisplayArrayInTable(SourceData_PastureBeef.SourceData_PastureBeef_FeedAdjustmentAndMilkProduction_Data(), Table_SourceData_PastureBeef_FeedIntakeAdjustment[[#Headers],[Breed]], 0)</f>
        <v>Winter</v>
      </c>
      <c r="F338" s="31" cm="1">
        <f t="array" ref="F338">Common_InputFunctions.Utility_DisplayArrayInTable(SourceData_PastureBeef.SourceData_PastureBeef_FeedAdjustmentAndMilkProduction_Data(), Table_SourceData_PastureBeef_FeedIntakeAdjustment[[#Headers],[Breed]], 0)</f>
        <v>0</v>
      </c>
      <c r="G338" s="31"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1" t="s">
        <v>376</v>
      </c>
      <c r="K338" s="31">
        <f t="shared" ref="K338" si="52">F341</f>
        <v>1.1000000000000001</v>
      </c>
      <c r="L338" s="31">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1" t="str" cm="1">
        <f t="array" ref="E339">Common_InputFunctions.Utility_DisplayArrayInTable(SourceData_PastureBeef.SourceData_PastureBeef_FeedAdjustmentAndMilkProduction_Data(), Table_SourceData_PastureBeef_FeedIntakeAdjustment[[#Headers],[Breed]], 0)</f>
        <v>Spring</v>
      </c>
      <c r="F339" s="31" cm="1">
        <f t="array" ref="F339">Common_InputFunctions.Utility_DisplayArrayInTable(SourceData_PastureBeef.SourceData_PastureBeef_FeedAdjustmentAndMilkProduction_Data(), Table_SourceData_PastureBeef_FeedIntakeAdjustment[[#Headers],[Breed]], 0)</f>
        <v>0</v>
      </c>
      <c r="G339" s="31"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1" t="str" cm="1">
        <f t="array" ref="E340">Common_InputFunctions.Utility_DisplayArrayInTable(SourceData_PastureBeef.SourceData_PastureBeef_FeedAdjustmentAndMilkProduction_Data(), Table_SourceData_PastureBeef_FeedIntakeAdjustment[[#Headers],[Breed]], 0)</f>
        <v>Summer</v>
      </c>
      <c r="F340" s="31" cm="1">
        <f t="array" ref="F340">Common_InputFunctions.Utility_DisplayArrayInTable(SourceData_PastureBeef.SourceData_PastureBeef_FeedAdjustmentAndMilkProduction_Data(), Table_SourceData_PastureBeef_FeedIntakeAdjustment[[#Headers],[Breed]], 0)</f>
        <v>1.3</v>
      </c>
      <c r="G340" s="31"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1" t="str" cm="1">
        <f t="array" ref="E341">Common_InputFunctions.Utility_DisplayArrayInTable(SourceData_PastureBeef.SourceData_PastureBeef_FeedAdjustmentAndMilkProduction_Data(), Table_SourceData_PastureBeef_FeedIntakeAdjustment[[#Headers],[Breed]], 0)</f>
        <v>Autumn</v>
      </c>
      <c r="F341" s="31" cm="1">
        <f t="array" ref="F341">Common_InputFunctions.Utility_DisplayArrayInTable(SourceData_PastureBeef.SourceData_PastureBeef_FeedAdjustmentAndMilkProduction_Data(), Table_SourceData_PastureBeef_FeedIntakeAdjustment[[#Headers],[Breed]], 0)</f>
        <v>1.1000000000000001</v>
      </c>
      <c r="G341" s="31"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1" t="str" cm="1">
        <f t="array" ref="E342">Common_InputFunctions.Utility_DisplayArrayInTable(SourceData_PastureBeef.SourceData_PastureBeef_FeedAdjustmentAndMilkProduction_Data(), Table_SourceData_PastureBeef_FeedIntakeAdjustment[[#Headers],[Breed]], 0)</f>
        <v>Winter</v>
      </c>
      <c r="F342" s="31" cm="1">
        <f t="array" ref="F342">Common_InputFunctions.Utility_DisplayArrayInTable(SourceData_PastureBeef.SourceData_PastureBeef_FeedAdjustmentAndMilkProduction_Data(), Table_SourceData_PastureBeef_FeedIntakeAdjustment[[#Headers],[Breed]], 0)</f>
        <v>0</v>
      </c>
      <c r="G342" s="31"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8"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7" t="str" cm="1">
        <f t="array" ref="D349">SourceData_PastureBeef.SourceData_PastureBeef_StandardReferenceWeights_Variation()</f>
        <v>VARIATION ON SOURCE: Split ACT and NSW into separate rows. Added 'State abbreviation' column to aid lookup.</v>
      </c>
      <c r="M349" s="1"/>
    </row>
    <row r="350" spans="4:13" x14ac:dyDescent="0.25">
      <c r="D350" s="31" t="s">
        <v>110</v>
      </c>
      <c r="E350" s="31" t="s">
        <v>377</v>
      </c>
      <c r="F350" s="31" t="s">
        <v>378</v>
      </c>
      <c r="G350" s="31" t="s">
        <v>358</v>
      </c>
      <c r="H350" s="31" t="s">
        <v>359</v>
      </c>
      <c r="I350" s="31" t="s">
        <v>379</v>
      </c>
      <c r="J350" s="31" t="s">
        <v>362</v>
      </c>
      <c r="K350" s="31" t="s">
        <v>369</v>
      </c>
      <c r="L350" s="31" t="s">
        <v>380</v>
      </c>
      <c r="M350" s="1"/>
    </row>
    <row r="351" spans="4:13" x14ac:dyDescent="0.25">
      <c r="D351" s="31" t="str" cm="1">
        <f t="array" ref="D351">Common_InputFunctions.Utility_DisplayArrayInTable(SourceData_PastureBeef.SourceData_PastureBeef_StandardReferenceWeights_Data(), Table_SourceData_PastureBeef_StandardReferenceWeights[[#Headers],[State]], 0)</f>
        <v>ACT</v>
      </c>
      <c r="E351" s="31" cm="1">
        <f t="array" ref="E351">Common_InputFunctions.Utility_DisplayArrayInTable(SourceData_PastureBeef.SourceData_PastureBeef_StandardReferenceWeights_Data(), Table_SourceData_PastureBeef_StandardReferenceWeights[[#Headers],[State]], 0)</f>
        <v>700</v>
      </c>
      <c r="F351" s="31" cm="1">
        <f t="array" ref="F351">Common_InputFunctions.Utility_DisplayArrayInTable(SourceData_PastureBeef.SourceData_PastureBeef_StandardReferenceWeights_Data(), Table_SourceData_PastureBeef_StandardReferenceWeights[[#Headers],[State]], 0)</f>
        <v>700</v>
      </c>
      <c r="G351" s="31" cm="1">
        <f t="array" ref="G351">Common_InputFunctions.Utility_DisplayArrayInTable(SourceData_PastureBeef.SourceData_PastureBeef_StandardReferenceWeights_Data(), Table_SourceData_PastureBeef_StandardReferenceWeights[[#Headers],[State]], 0)</f>
        <v>500</v>
      </c>
      <c r="H351" s="31" cm="1">
        <f t="array" ref="H351">Common_InputFunctions.Utility_DisplayArrayInTable(SourceData_PastureBeef.SourceData_PastureBeef_StandardReferenceWeights_Data(), Table_SourceData_PastureBeef_StandardReferenceWeights[[#Headers],[State]], 0)</f>
        <v>500</v>
      </c>
      <c r="I351" s="31" cm="1">
        <f t="array" ref="I351">Common_InputFunctions.Utility_DisplayArrayInTable(SourceData_PastureBeef.SourceData_PastureBeef_StandardReferenceWeights_Data(), Table_SourceData_PastureBeef_StandardReferenceWeights[[#Headers],[State]], 0)</f>
        <v>500</v>
      </c>
      <c r="J351" s="31" cm="1">
        <f t="array" ref="J351">Common_InputFunctions.Utility_DisplayArrayInTable(SourceData_PastureBeef.SourceData_PastureBeef_StandardReferenceWeights_Data(), Table_SourceData_PastureBeef_StandardReferenceWeights[[#Headers],[State]], 0)</f>
        <v>600</v>
      </c>
      <c r="K351" s="31" cm="1">
        <f t="array" ref="K351">Common_InputFunctions.Utility_DisplayArrayInTable(SourceData_PastureBeef.SourceData_PastureBeef_StandardReferenceWeights_Data(), Table_SourceData_PastureBeef_StandardReferenceWeights[[#Headers],[State]], 0)</f>
        <v>600</v>
      </c>
      <c r="L351" s="31"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1" cm="1">
        <f t="array" ref="E352">Common_InputFunctions.Utility_DisplayArrayInTable(SourceData_PastureBeef.SourceData_PastureBeef_StandardReferenceWeights_Data(), Table_SourceData_PastureBeef_StandardReferenceWeights[[#Headers],[State]], 0)</f>
        <v>700</v>
      </c>
      <c r="F352" s="31" cm="1">
        <f t="array" ref="F352">Common_InputFunctions.Utility_DisplayArrayInTable(SourceData_PastureBeef.SourceData_PastureBeef_StandardReferenceWeights_Data(), Table_SourceData_PastureBeef_StandardReferenceWeights[[#Headers],[State]], 0)</f>
        <v>700</v>
      </c>
      <c r="G352" s="31" cm="1">
        <f t="array" ref="G352">Common_InputFunctions.Utility_DisplayArrayInTable(SourceData_PastureBeef.SourceData_PastureBeef_StandardReferenceWeights_Data(), Table_SourceData_PastureBeef_StandardReferenceWeights[[#Headers],[State]], 0)</f>
        <v>500</v>
      </c>
      <c r="H352" s="31" cm="1">
        <f t="array" ref="H352">Common_InputFunctions.Utility_DisplayArrayInTable(SourceData_PastureBeef.SourceData_PastureBeef_StandardReferenceWeights_Data(), Table_SourceData_PastureBeef_StandardReferenceWeights[[#Headers],[State]], 0)</f>
        <v>500</v>
      </c>
      <c r="I352" s="31" cm="1">
        <f t="array" ref="I352">Common_InputFunctions.Utility_DisplayArrayInTable(SourceData_PastureBeef.SourceData_PastureBeef_StandardReferenceWeights_Data(), Table_SourceData_PastureBeef_StandardReferenceWeights[[#Headers],[State]], 0)</f>
        <v>500</v>
      </c>
      <c r="J352" s="31" cm="1">
        <f t="array" ref="J352">Common_InputFunctions.Utility_DisplayArrayInTable(SourceData_PastureBeef.SourceData_PastureBeef_StandardReferenceWeights_Data(), Table_SourceData_PastureBeef_StandardReferenceWeights[[#Headers],[State]], 0)</f>
        <v>600</v>
      </c>
      <c r="K352" s="31" cm="1">
        <f t="array" ref="K352">Common_InputFunctions.Utility_DisplayArrayInTable(SourceData_PastureBeef.SourceData_PastureBeef_StandardReferenceWeights_Data(), Table_SourceData_PastureBeef_StandardReferenceWeights[[#Headers],[State]], 0)</f>
        <v>600</v>
      </c>
      <c r="L352" s="31"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1" cm="1">
        <f t="array" ref="E353">Common_InputFunctions.Utility_DisplayArrayInTable(SourceData_PastureBeef.SourceData_PastureBeef_StandardReferenceWeights_Data(), Table_SourceData_PastureBeef_StandardReferenceWeights[[#Headers],[State]], 0)</f>
        <v>770</v>
      </c>
      <c r="F353" s="31" cm="1">
        <f t="array" ref="F353">Common_InputFunctions.Utility_DisplayArrayInTable(SourceData_PastureBeef.SourceData_PastureBeef_StandardReferenceWeights_Data(), Table_SourceData_PastureBeef_StandardReferenceWeights[[#Headers],[State]], 0)</f>
        <v>770</v>
      </c>
      <c r="G353" s="31" cm="1">
        <f t="array" ref="G353">Common_InputFunctions.Utility_DisplayArrayInTable(SourceData_PastureBeef.SourceData_PastureBeef_StandardReferenceWeights_Data(), Table_SourceData_PastureBeef_StandardReferenceWeights[[#Headers],[State]], 0)</f>
        <v>550</v>
      </c>
      <c r="H353" s="31" cm="1">
        <f t="array" ref="H353">Common_InputFunctions.Utility_DisplayArrayInTable(SourceData_PastureBeef.SourceData_PastureBeef_StandardReferenceWeights_Data(), Table_SourceData_PastureBeef_StandardReferenceWeights[[#Headers],[State]], 0)</f>
        <v>550</v>
      </c>
      <c r="I353" s="31" cm="1">
        <f t="array" ref="I353">Common_InputFunctions.Utility_DisplayArrayInTable(SourceData_PastureBeef.SourceData_PastureBeef_StandardReferenceWeights_Data(), Table_SourceData_PastureBeef_StandardReferenceWeights[[#Headers],[State]], 0)</f>
        <v>550</v>
      </c>
      <c r="J353" s="31" cm="1">
        <f t="array" ref="J353">Common_InputFunctions.Utility_DisplayArrayInTable(SourceData_PastureBeef.SourceData_PastureBeef_StandardReferenceWeights_Data(), Table_SourceData_PastureBeef_StandardReferenceWeights[[#Headers],[State]], 0)</f>
        <v>660</v>
      </c>
      <c r="K353" s="31" cm="1">
        <f t="array" ref="K353">Common_InputFunctions.Utility_DisplayArrayInTable(SourceData_PastureBeef.SourceData_PastureBeef_StandardReferenceWeights_Data(), Table_SourceData_PastureBeef_StandardReferenceWeights[[#Headers],[State]], 0)</f>
        <v>660</v>
      </c>
      <c r="L353" s="31"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1" cm="1">
        <f t="array" ref="E354">Common_InputFunctions.Utility_DisplayArrayInTable(SourceData_PastureBeef.SourceData_PastureBeef_StandardReferenceWeights_Data(), Table_SourceData_PastureBeef_StandardReferenceWeights[[#Headers],[State]], 0)</f>
        <v>770</v>
      </c>
      <c r="F354" s="31" cm="1">
        <f t="array" ref="F354">Common_InputFunctions.Utility_DisplayArrayInTable(SourceData_PastureBeef.SourceData_PastureBeef_StandardReferenceWeights_Data(), Table_SourceData_PastureBeef_StandardReferenceWeights[[#Headers],[State]], 0)</f>
        <v>770</v>
      </c>
      <c r="G354" s="31" cm="1">
        <f t="array" ref="G354">Common_InputFunctions.Utility_DisplayArrayInTable(SourceData_PastureBeef.SourceData_PastureBeef_StandardReferenceWeights_Data(), Table_SourceData_PastureBeef_StandardReferenceWeights[[#Headers],[State]], 0)</f>
        <v>550</v>
      </c>
      <c r="H354" s="31" cm="1">
        <f t="array" ref="H354">Common_InputFunctions.Utility_DisplayArrayInTable(SourceData_PastureBeef.SourceData_PastureBeef_StandardReferenceWeights_Data(), Table_SourceData_PastureBeef_StandardReferenceWeights[[#Headers],[State]], 0)</f>
        <v>550</v>
      </c>
      <c r="I354" s="31" cm="1">
        <f t="array" ref="I354">Common_InputFunctions.Utility_DisplayArrayInTable(SourceData_PastureBeef.SourceData_PastureBeef_StandardReferenceWeights_Data(), Table_SourceData_PastureBeef_StandardReferenceWeights[[#Headers],[State]], 0)</f>
        <v>550</v>
      </c>
      <c r="J354" s="31" cm="1">
        <f t="array" ref="J354">Common_InputFunctions.Utility_DisplayArrayInTable(SourceData_PastureBeef.SourceData_PastureBeef_StandardReferenceWeights_Data(), Table_SourceData_PastureBeef_StandardReferenceWeights[[#Headers],[State]], 0)</f>
        <v>660</v>
      </c>
      <c r="K354" s="31" cm="1">
        <f t="array" ref="K354">Common_InputFunctions.Utility_DisplayArrayInTable(SourceData_PastureBeef.SourceData_PastureBeef_StandardReferenceWeights_Data(), Table_SourceData_PastureBeef_StandardReferenceWeights[[#Headers],[State]], 0)</f>
        <v>660</v>
      </c>
      <c r="L354" s="31"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1" cm="1">
        <f t="array" ref="E355">Common_InputFunctions.Utility_DisplayArrayInTable(SourceData_PastureBeef.SourceData_PastureBeef_StandardReferenceWeights_Data(), Table_SourceData_PastureBeef_StandardReferenceWeights[[#Headers],[State]], 0)</f>
        <v>770</v>
      </c>
      <c r="F355" s="31" cm="1">
        <f t="array" ref="F355">Common_InputFunctions.Utility_DisplayArrayInTable(SourceData_PastureBeef.SourceData_PastureBeef_StandardReferenceWeights_Data(), Table_SourceData_PastureBeef_StandardReferenceWeights[[#Headers],[State]], 0)</f>
        <v>770</v>
      </c>
      <c r="G355" s="31" cm="1">
        <f t="array" ref="G355">Common_InputFunctions.Utility_DisplayArrayInTable(SourceData_PastureBeef.SourceData_PastureBeef_StandardReferenceWeights_Data(), Table_SourceData_PastureBeef_StandardReferenceWeights[[#Headers],[State]], 0)</f>
        <v>550</v>
      </c>
      <c r="H355" s="31" cm="1">
        <f t="array" ref="H355">Common_InputFunctions.Utility_DisplayArrayInTable(SourceData_PastureBeef.SourceData_PastureBeef_StandardReferenceWeights_Data(), Table_SourceData_PastureBeef_StandardReferenceWeights[[#Headers],[State]], 0)</f>
        <v>550</v>
      </c>
      <c r="I355" s="31" cm="1">
        <f t="array" ref="I355">Common_InputFunctions.Utility_DisplayArrayInTable(SourceData_PastureBeef.SourceData_PastureBeef_StandardReferenceWeights_Data(), Table_SourceData_PastureBeef_StandardReferenceWeights[[#Headers],[State]], 0)</f>
        <v>550</v>
      </c>
      <c r="J355" s="31" cm="1">
        <f t="array" ref="J355">Common_InputFunctions.Utility_DisplayArrayInTable(SourceData_PastureBeef.SourceData_PastureBeef_StandardReferenceWeights_Data(), Table_SourceData_PastureBeef_StandardReferenceWeights[[#Headers],[State]], 0)</f>
        <v>660</v>
      </c>
      <c r="K355" s="31" cm="1">
        <f t="array" ref="K355">Common_InputFunctions.Utility_DisplayArrayInTable(SourceData_PastureBeef.SourceData_PastureBeef_StandardReferenceWeights_Data(), Table_SourceData_PastureBeef_StandardReferenceWeights[[#Headers],[State]], 0)</f>
        <v>660</v>
      </c>
      <c r="L355" s="31"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1" cm="1">
        <f t="array" ref="E356">Common_InputFunctions.Utility_DisplayArrayInTable(SourceData_PastureBeef.SourceData_PastureBeef_StandardReferenceWeights_Data(), Table_SourceData_PastureBeef_StandardReferenceWeights[[#Headers],[State]], 0)</f>
        <v>770</v>
      </c>
      <c r="F356" s="31" cm="1">
        <f t="array" ref="F356">Common_InputFunctions.Utility_DisplayArrayInTable(SourceData_PastureBeef.SourceData_PastureBeef_StandardReferenceWeights_Data(), Table_SourceData_PastureBeef_StandardReferenceWeights[[#Headers],[State]], 0)</f>
        <v>770</v>
      </c>
      <c r="G356" s="31" cm="1">
        <f t="array" ref="G356">Common_InputFunctions.Utility_DisplayArrayInTable(SourceData_PastureBeef.SourceData_PastureBeef_StandardReferenceWeights_Data(), Table_SourceData_PastureBeef_StandardReferenceWeights[[#Headers],[State]], 0)</f>
        <v>550</v>
      </c>
      <c r="H356" s="31" cm="1">
        <f t="array" ref="H356">Common_InputFunctions.Utility_DisplayArrayInTable(SourceData_PastureBeef.SourceData_PastureBeef_StandardReferenceWeights_Data(), Table_SourceData_PastureBeef_StandardReferenceWeights[[#Headers],[State]], 0)</f>
        <v>550</v>
      </c>
      <c r="I356" s="31" cm="1">
        <f t="array" ref="I356">Common_InputFunctions.Utility_DisplayArrayInTable(SourceData_PastureBeef.SourceData_PastureBeef_StandardReferenceWeights_Data(), Table_SourceData_PastureBeef_StandardReferenceWeights[[#Headers],[State]], 0)</f>
        <v>550</v>
      </c>
      <c r="J356" s="31" cm="1">
        <f t="array" ref="J356">Common_InputFunctions.Utility_DisplayArrayInTable(SourceData_PastureBeef.SourceData_PastureBeef_StandardReferenceWeights_Data(), Table_SourceData_PastureBeef_StandardReferenceWeights[[#Headers],[State]], 0)</f>
        <v>660</v>
      </c>
      <c r="K356" s="31" cm="1">
        <f t="array" ref="K356">Common_InputFunctions.Utility_DisplayArrayInTable(SourceData_PastureBeef.SourceData_PastureBeef_StandardReferenceWeights_Data(), Table_SourceData_PastureBeef_StandardReferenceWeights[[#Headers],[State]], 0)</f>
        <v>660</v>
      </c>
      <c r="L356" s="31"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1" cm="1">
        <f t="array" ref="E357">Common_InputFunctions.Utility_DisplayArrayInTable(SourceData_PastureBeef.SourceData_PastureBeef_StandardReferenceWeights_Data(), Table_SourceData_PastureBeef_StandardReferenceWeights[[#Headers],[State]], 0)</f>
        <v>770</v>
      </c>
      <c r="F357" s="31" cm="1">
        <f t="array" ref="F357">Common_InputFunctions.Utility_DisplayArrayInTable(SourceData_PastureBeef.SourceData_PastureBeef_StandardReferenceWeights_Data(), Table_SourceData_PastureBeef_StandardReferenceWeights[[#Headers],[State]], 0)</f>
        <v>770</v>
      </c>
      <c r="G357" s="31" cm="1">
        <f t="array" ref="G357">Common_InputFunctions.Utility_DisplayArrayInTable(SourceData_PastureBeef.SourceData_PastureBeef_StandardReferenceWeights_Data(), Table_SourceData_PastureBeef_StandardReferenceWeights[[#Headers],[State]], 0)</f>
        <v>550</v>
      </c>
      <c r="H357" s="31" cm="1">
        <f t="array" ref="H357">Common_InputFunctions.Utility_DisplayArrayInTable(SourceData_PastureBeef.SourceData_PastureBeef_StandardReferenceWeights_Data(), Table_SourceData_PastureBeef_StandardReferenceWeights[[#Headers],[State]], 0)</f>
        <v>550</v>
      </c>
      <c r="I357" s="31" cm="1">
        <f t="array" ref="I357">Common_InputFunctions.Utility_DisplayArrayInTable(SourceData_PastureBeef.SourceData_PastureBeef_StandardReferenceWeights_Data(), Table_SourceData_PastureBeef_StandardReferenceWeights[[#Headers],[State]], 0)</f>
        <v>550</v>
      </c>
      <c r="J357" s="31" cm="1">
        <f t="array" ref="J357">Common_InputFunctions.Utility_DisplayArrayInTable(SourceData_PastureBeef.SourceData_PastureBeef_StandardReferenceWeights_Data(), Table_SourceData_PastureBeef_StandardReferenceWeights[[#Headers],[State]], 0)</f>
        <v>660</v>
      </c>
      <c r="K357" s="31" cm="1">
        <f t="array" ref="K357">Common_InputFunctions.Utility_DisplayArrayInTable(SourceData_PastureBeef.SourceData_PastureBeef_StandardReferenceWeights_Data(), Table_SourceData_PastureBeef_StandardReferenceWeights[[#Headers],[State]], 0)</f>
        <v>660</v>
      </c>
      <c r="L357" s="31"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1" cm="1">
        <f t="array" ref="E358">Common_InputFunctions.Utility_DisplayArrayInTable(SourceData_PastureBeef.SourceData_PastureBeef_StandardReferenceWeights_Data(), Table_SourceData_PastureBeef_StandardReferenceWeights[[#Headers],[State]], 0)</f>
        <v>770</v>
      </c>
      <c r="F358" s="31" cm="1">
        <f t="array" ref="F358">Common_InputFunctions.Utility_DisplayArrayInTable(SourceData_PastureBeef.SourceData_PastureBeef_StandardReferenceWeights_Data(), Table_SourceData_PastureBeef_StandardReferenceWeights[[#Headers],[State]], 0)</f>
        <v>770</v>
      </c>
      <c r="G358" s="31" cm="1">
        <f t="array" ref="G358">Common_InputFunctions.Utility_DisplayArrayInTable(SourceData_PastureBeef.SourceData_PastureBeef_StandardReferenceWeights_Data(), Table_SourceData_PastureBeef_StandardReferenceWeights[[#Headers],[State]], 0)</f>
        <v>550</v>
      </c>
      <c r="H358" s="31" cm="1">
        <f t="array" ref="H358">Common_InputFunctions.Utility_DisplayArrayInTable(SourceData_PastureBeef.SourceData_PastureBeef_StandardReferenceWeights_Data(), Table_SourceData_PastureBeef_StandardReferenceWeights[[#Headers],[State]], 0)</f>
        <v>550</v>
      </c>
      <c r="I358" s="31" cm="1">
        <f t="array" ref="I358">Common_InputFunctions.Utility_DisplayArrayInTable(SourceData_PastureBeef.SourceData_PastureBeef_StandardReferenceWeights_Data(), Table_SourceData_PastureBeef_StandardReferenceWeights[[#Headers],[State]], 0)</f>
        <v>550</v>
      </c>
      <c r="J358" s="31" cm="1">
        <f t="array" ref="J358">Common_InputFunctions.Utility_DisplayArrayInTable(SourceData_PastureBeef.SourceData_PastureBeef_StandardReferenceWeights_Data(), Table_SourceData_PastureBeef_StandardReferenceWeights[[#Headers],[State]], 0)</f>
        <v>660</v>
      </c>
      <c r="K358" s="31" cm="1">
        <f t="array" ref="K358">Common_InputFunctions.Utility_DisplayArrayInTable(SourceData_PastureBeef.SourceData_PastureBeef_StandardReferenceWeights_Data(), Table_SourceData_PastureBeef_StandardReferenceWeights[[#Headers],[State]], 0)</f>
        <v>660</v>
      </c>
      <c r="L358" s="31"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1" t="s">
        <v>110</v>
      </c>
      <c r="E361" s="126" t="s">
        <v>189</v>
      </c>
      <c r="F361" s="126" t="s">
        <v>190</v>
      </c>
      <c r="G361" s="126" t="s">
        <v>191</v>
      </c>
      <c r="H361" s="126" t="s">
        <v>192</v>
      </c>
      <c r="I361" s="126" t="s">
        <v>193</v>
      </c>
      <c r="J361" s="126" t="s">
        <v>194</v>
      </c>
      <c r="K361" s="126" t="s">
        <v>195</v>
      </c>
      <c r="L361" s="126" t="s">
        <v>196</v>
      </c>
      <c r="M361" s="126" t="s">
        <v>197</v>
      </c>
      <c r="N361" s="126" t="s">
        <v>198</v>
      </c>
      <c r="O361" s="31" t="s">
        <v>380</v>
      </c>
    </row>
    <row r="362" spans="4:15" x14ac:dyDescent="0.25">
      <c r="D362" s="31" t="str">
        <f>D351</f>
        <v>ACT</v>
      </c>
      <c r="E362" s="31">
        <f t="shared" ref="E362:H362" si="53">E351</f>
        <v>700</v>
      </c>
      <c r="F362" s="31">
        <f t="shared" si="53"/>
        <v>700</v>
      </c>
      <c r="G362" s="31">
        <f t="shared" si="53"/>
        <v>500</v>
      </c>
      <c r="H362" s="31">
        <f t="shared" si="53"/>
        <v>500</v>
      </c>
      <c r="I362" s="31">
        <f>I351</f>
        <v>500</v>
      </c>
      <c r="J362" s="31">
        <f>I351</f>
        <v>500</v>
      </c>
      <c r="K362" s="31">
        <f t="shared" ref="K362" si="54">J351</f>
        <v>600</v>
      </c>
      <c r="L362" s="31">
        <f>K351</f>
        <v>600</v>
      </c>
      <c r="M362" s="31">
        <f>K351</f>
        <v>600</v>
      </c>
      <c r="N362" s="31">
        <f>K351</f>
        <v>600</v>
      </c>
      <c r="O362" s="31" t="str">
        <f>L351</f>
        <v>ACT</v>
      </c>
    </row>
    <row r="363" spans="4:15" x14ac:dyDescent="0.25">
      <c r="D363" s="31" t="str">
        <f t="shared" ref="D363:I369" si="55">D352</f>
        <v>NSW</v>
      </c>
      <c r="E363" s="31">
        <f t="shared" si="55"/>
        <v>700</v>
      </c>
      <c r="F363" s="31">
        <f t="shared" si="55"/>
        <v>700</v>
      </c>
      <c r="G363" s="31">
        <f t="shared" si="55"/>
        <v>500</v>
      </c>
      <c r="H363" s="31">
        <f t="shared" si="55"/>
        <v>500</v>
      </c>
      <c r="I363" s="31">
        <f t="shared" si="55"/>
        <v>500</v>
      </c>
      <c r="J363" s="31">
        <f t="shared" ref="J363:L369" si="56">I352</f>
        <v>500</v>
      </c>
      <c r="K363" s="31">
        <f t="shared" si="56"/>
        <v>600</v>
      </c>
      <c r="L363" s="31">
        <f t="shared" si="56"/>
        <v>600</v>
      </c>
      <c r="M363" s="31">
        <f t="shared" ref="M363:M369" si="57">K352</f>
        <v>600</v>
      </c>
      <c r="N363" s="31">
        <f t="shared" ref="N363:O369" si="58">K352</f>
        <v>600</v>
      </c>
      <c r="O363" s="31" t="str">
        <f t="shared" si="58"/>
        <v>NSW</v>
      </c>
    </row>
    <row r="364" spans="4:15" x14ac:dyDescent="0.25">
      <c r="D364" s="31" t="str">
        <f t="shared" si="55"/>
        <v>Northern Territory</v>
      </c>
      <c r="E364" s="31">
        <f t="shared" si="55"/>
        <v>770</v>
      </c>
      <c r="F364" s="31">
        <f t="shared" si="55"/>
        <v>770</v>
      </c>
      <c r="G364" s="31">
        <f t="shared" si="55"/>
        <v>550</v>
      </c>
      <c r="H364" s="31">
        <f t="shared" si="55"/>
        <v>550</v>
      </c>
      <c r="I364" s="31">
        <f t="shared" si="55"/>
        <v>550</v>
      </c>
      <c r="J364" s="31">
        <f t="shared" si="56"/>
        <v>550</v>
      </c>
      <c r="K364" s="31">
        <f t="shared" si="56"/>
        <v>660</v>
      </c>
      <c r="L364" s="31">
        <f t="shared" si="56"/>
        <v>660</v>
      </c>
      <c r="M364" s="31">
        <f t="shared" si="57"/>
        <v>660</v>
      </c>
      <c r="N364" s="31">
        <f t="shared" si="58"/>
        <v>660</v>
      </c>
      <c r="O364" s="31" t="str">
        <f t="shared" si="58"/>
        <v>NT</v>
      </c>
    </row>
    <row r="365" spans="4:15" x14ac:dyDescent="0.25">
      <c r="D365" s="31" t="str">
        <f t="shared" si="55"/>
        <v>Queensland</v>
      </c>
      <c r="E365" s="31">
        <f t="shared" si="55"/>
        <v>770</v>
      </c>
      <c r="F365" s="31">
        <f t="shared" si="55"/>
        <v>770</v>
      </c>
      <c r="G365" s="31">
        <f t="shared" si="55"/>
        <v>550</v>
      </c>
      <c r="H365" s="31">
        <f t="shared" si="55"/>
        <v>550</v>
      </c>
      <c r="I365" s="31">
        <f t="shared" si="55"/>
        <v>550</v>
      </c>
      <c r="J365" s="31">
        <f t="shared" si="56"/>
        <v>550</v>
      </c>
      <c r="K365" s="31">
        <f t="shared" si="56"/>
        <v>660</v>
      </c>
      <c r="L365" s="31">
        <f t="shared" si="56"/>
        <v>660</v>
      </c>
      <c r="M365" s="31">
        <f t="shared" si="57"/>
        <v>660</v>
      </c>
      <c r="N365" s="31">
        <f t="shared" si="58"/>
        <v>660</v>
      </c>
      <c r="O365" s="31" t="str">
        <f t="shared" si="58"/>
        <v>QLD</v>
      </c>
    </row>
    <row r="366" spans="4:15" x14ac:dyDescent="0.25">
      <c r="D366" s="31" t="str">
        <f t="shared" si="55"/>
        <v>South Australia</v>
      </c>
      <c r="E366" s="31">
        <f t="shared" si="55"/>
        <v>770</v>
      </c>
      <c r="F366" s="31">
        <f t="shared" si="55"/>
        <v>770</v>
      </c>
      <c r="G366" s="31">
        <f t="shared" si="55"/>
        <v>550</v>
      </c>
      <c r="H366" s="31">
        <f t="shared" si="55"/>
        <v>550</v>
      </c>
      <c r="I366" s="31">
        <f t="shared" si="55"/>
        <v>550</v>
      </c>
      <c r="J366" s="31">
        <f t="shared" si="56"/>
        <v>550</v>
      </c>
      <c r="K366" s="31">
        <f t="shared" si="56"/>
        <v>660</v>
      </c>
      <c r="L366" s="31">
        <f t="shared" si="56"/>
        <v>660</v>
      </c>
      <c r="M366" s="31">
        <f t="shared" si="57"/>
        <v>660</v>
      </c>
      <c r="N366" s="31">
        <f t="shared" si="58"/>
        <v>660</v>
      </c>
      <c r="O366" s="31" t="str">
        <f t="shared" si="58"/>
        <v>SA</v>
      </c>
    </row>
    <row r="367" spans="4:15" x14ac:dyDescent="0.25">
      <c r="D367" s="31" t="str">
        <f t="shared" si="55"/>
        <v>Tasmania</v>
      </c>
      <c r="E367" s="31">
        <f t="shared" si="55"/>
        <v>770</v>
      </c>
      <c r="F367" s="31">
        <f t="shared" si="55"/>
        <v>770</v>
      </c>
      <c r="G367" s="31">
        <f t="shared" si="55"/>
        <v>550</v>
      </c>
      <c r="H367" s="31">
        <f t="shared" si="55"/>
        <v>550</v>
      </c>
      <c r="I367" s="31">
        <f t="shared" si="55"/>
        <v>550</v>
      </c>
      <c r="J367" s="31">
        <f t="shared" si="56"/>
        <v>550</v>
      </c>
      <c r="K367" s="31">
        <f t="shared" si="56"/>
        <v>660</v>
      </c>
      <c r="L367" s="31">
        <f t="shared" si="56"/>
        <v>660</v>
      </c>
      <c r="M367" s="31">
        <f t="shared" si="57"/>
        <v>660</v>
      </c>
      <c r="N367" s="31">
        <f t="shared" si="58"/>
        <v>660</v>
      </c>
      <c r="O367" s="31" t="str">
        <f t="shared" si="58"/>
        <v>TAS</v>
      </c>
    </row>
    <row r="368" spans="4:15" x14ac:dyDescent="0.25">
      <c r="D368" s="31" t="str">
        <f t="shared" si="55"/>
        <v>Victoria</v>
      </c>
      <c r="E368" s="31">
        <f t="shared" si="55"/>
        <v>770</v>
      </c>
      <c r="F368" s="31">
        <f t="shared" si="55"/>
        <v>770</v>
      </c>
      <c r="G368" s="31">
        <f t="shared" si="55"/>
        <v>550</v>
      </c>
      <c r="H368" s="31">
        <f t="shared" si="55"/>
        <v>550</v>
      </c>
      <c r="I368" s="31">
        <f t="shared" si="55"/>
        <v>550</v>
      </c>
      <c r="J368" s="31">
        <f t="shared" si="56"/>
        <v>550</v>
      </c>
      <c r="K368" s="31">
        <f t="shared" si="56"/>
        <v>660</v>
      </c>
      <c r="L368" s="31">
        <f t="shared" si="56"/>
        <v>660</v>
      </c>
      <c r="M368" s="31">
        <f t="shared" si="57"/>
        <v>660</v>
      </c>
      <c r="N368" s="31">
        <f t="shared" si="58"/>
        <v>660</v>
      </c>
      <c r="O368" s="31" t="str">
        <f t="shared" si="58"/>
        <v>VIC</v>
      </c>
    </row>
    <row r="369" spans="4:15" x14ac:dyDescent="0.25">
      <c r="D369" s="31" t="str">
        <f t="shared" si="55"/>
        <v>Western Australia</v>
      </c>
      <c r="E369" s="31">
        <f t="shared" si="55"/>
        <v>770</v>
      </c>
      <c r="F369" s="31">
        <f t="shared" si="55"/>
        <v>770</v>
      </c>
      <c r="G369" s="31">
        <f t="shared" si="55"/>
        <v>550</v>
      </c>
      <c r="H369" s="31">
        <f t="shared" si="55"/>
        <v>550</v>
      </c>
      <c r="I369" s="31">
        <f t="shared" si="55"/>
        <v>550</v>
      </c>
      <c r="J369" s="31">
        <f t="shared" si="56"/>
        <v>550</v>
      </c>
      <c r="K369" s="31">
        <f t="shared" si="56"/>
        <v>660</v>
      </c>
      <c r="L369" s="31">
        <f t="shared" si="56"/>
        <v>660</v>
      </c>
      <c r="M369" s="31">
        <f t="shared" si="57"/>
        <v>660</v>
      </c>
      <c r="N369" s="31">
        <f t="shared" si="58"/>
        <v>660</v>
      </c>
      <c r="O369" s="31"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8"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7" t="s">
        <v>381</v>
      </c>
      <c r="M375" s="1"/>
    </row>
    <row r="376" spans="4:15" x14ac:dyDescent="0.25">
      <c r="D376" s="37" t="str" cm="1">
        <f t="array" ref="D376">SourceData_PastureBeef.SourceData_PastureBeef_FractionOfManureToMMS_Variation()</f>
        <v>VARIATION ON SOURCE: Removed comma from 'Pasture range and paddock' to aid lookup</v>
      </c>
      <c r="M376" s="1"/>
    </row>
    <row r="377" spans="4:15" x14ac:dyDescent="0.25">
      <c r="D377" s="31" t="s">
        <v>110</v>
      </c>
      <c r="E377" s="31" t="s">
        <v>308</v>
      </c>
      <c r="F377" s="31" t="s">
        <v>94</v>
      </c>
      <c r="G377" s="31" t="s">
        <v>382</v>
      </c>
      <c r="M377" s="1"/>
    </row>
    <row r="378" spans="4:15" x14ac:dyDescent="0.25">
      <c r="D378" s="31" t="str" cm="1">
        <f t="array" ref="D378">Common_InputFunctions.Utility_DisplayArrayInTable(SourceData_PastureBeef.SourceData_PastureBeef_FractionOfManureToMMS_Data(),Table_SourceData_PastureBeef_FractionManureToMMS[[#Headers],[State]], 0)</f>
        <v>ACT</v>
      </c>
      <c r="E378" s="31" t="str" cm="1">
        <f t="array" ref="E378">Common_InputFunctions.Utility_DisplayArrayInTable(SourceData_PastureBeef.SourceData_PastureBeef_FractionOfManureToMMS_Data(),Table_SourceData_PastureBeef_FractionManureToMMS[[#Headers],[State]], 0)</f>
        <v>n/a</v>
      </c>
      <c r="F378" s="31" cm="1">
        <f t="array" ref="F378">Common_InputFunctions.Utility_DisplayArrayInTable(SourceData_PastureBeef.SourceData_PastureBeef_FractionOfManureToMMS_Data(),Table_SourceData_PastureBeef_FractionManureToMMS[[#Headers],[State]], 0)</f>
        <v>99.191999999999993</v>
      </c>
      <c r="G378" s="31"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1" t="str" cm="1">
        <f t="array" ref="E379">Common_InputFunctions.Utility_DisplayArrayInTable(SourceData_PastureBeef.SourceData_PastureBeef_FractionOfManureToMMS_Data(),Table_SourceData_PastureBeef_FractionManureToMMS[[#Headers],[State]], 0)</f>
        <v>n/a</v>
      </c>
      <c r="F379" s="31" cm="1">
        <f t="array" ref="F379">Common_InputFunctions.Utility_DisplayArrayInTable(SourceData_PastureBeef.SourceData_PastureBeef_FractionOfManureToMMS_Data(),Table_SourceData_PastureBeef_FractionManureToMMS[[#Headers],[State]], 0)</f>
        <v>99.451999999999998</v>
      </c>
      <c r="G379" s="31"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1" t="str" cm="1">
        <f t="array" ref="E380">Common_InputFunctions.Utility_DisplayArrayInTable(SourceData_PastureBeef.SourceData_PastureBeef_FractionOfManureToMMS_Data(),Table_SourceData_PastureBeef_FractionManureToMMS[[#Headers],[State]], 0)</f>
        <v>n/a</v>
      </c>
      <c r="F380" s="31" cm="1">
        <f t="array" ref="F380">Common_InputFunctions.Utility_DisplayArrayInTable(SourceData_PastureBeef.SourceData_PastureBeef_FractionOfManureToMMS_Data(),Table_SourceData_PastureBeef_FractionManureToMMS[[#Headers],[State]], 0)</f>
        <v>99.759</v>
      </c>
      <c r="G380" s="31"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1" t="str" cm="1">
        <f t="array" ref="E381">Common_InputFunctions.Utility_DisplayArrayInTable(SourceData_PastureBeef.SourceData_PastureBeef_FractionOfManureToMMS_Data(),Table_SourceData_PastureBeef_FractionManureToMMS[[#Headers],[State]], 0)</f>
        <v>n/a</v>
      </c>
      <c r="F381" s="31" cm="1">
        <f t="array" ref="F381">Common_InputFunctions.Utility_DisplayArrayInTable(SourceData_PastureBeef.SourceData_PastureBeef_FractionOfManureToMMS_Data(),Table_SourceData_PastureBeef_FractionManureToMMS[[#Headers],[State]], 0)</f>
        <v>99.122</v>
      </c>
      <c r="G381" s="31"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1" t="str" cm="1">
        <f t="array" ref="E382">Common_InputFunctions.Utility_DisplayArrayInTable(SourceData_PastureBeef.SourceData_PastureBeef_FractionOfManureToMMS_Data(),Table_SourceData_PastureBeef_FractionManureToMMS[[#Headers],[State]], 0)</f>
        <v>n/a</v>
      </c>
      <c r="F382" s="31" cm="1">
        <f t="array" ref="F382">Common_InputFunctions.Utility_DisplayArrayInTable(SourceData_PastureBeef.SourceData_PastureBeef_FractionOfManureToMMS_Data(),Table_SourceData_PastureBeef_FractionManureToMMS[[#Headers],[State]], 0)</f>
        <v>98.894000000000005</v>
      </c>
      <c r="G382" s="31"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1" t="str" cm="1">
        <f t="array" ref="E383">Common_InputFunctions.Utility_DisplayArrayInTable(SourceData_PastureBeef.SourceData_PastureBeef_FractionOfManureToMMS_Data(),Table_SourceData_PastureBeef_FractionManureToMMS[[#Headers],[State]], 0)</f>
        <v>South West</v>
      </c>
      <c r="F383" s="31" cm="1">
        <f t="array" ref="F383">Common_InputFunctions.Utility_DisplayArrayInTable(SourceData_PastureBeef.SourceData_PastureBeef_FractionOfManureToMMS_Data(),Table_SourceData_PastureBeef_FractionManureToMMS[[#Headers],[State]], 0)</f>
        <v>99.622</v>
      </c>
      <c r="G383" s="31"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1" t="str" cm="1">
        <f t="array" ref="E384">Common_InputFunctions.Utility_DisplayArrayInTable(SourceData_PastureBeef.SourceData_PastureBeef_FractionOfManureToMMS_Data(),Table_SourceData_PastureBeef_FractionManureToMMS[[#Headers],[State]], 0)</f>
        <v>Pilbara</v>
      </c>
      <c r="F384" s="31" cm="1">
        <f t="array" ref="F384">Common_InputFunctions.Utility_DisplayArrayInTable(SourceData_PastureBeef.SourceData_PastureBeef_FractionOfManureToMMS_Data(),Table_SourceData_PastureBeef_FractionManureToMMS[[#Headers],[State]], 0)</f>
        <v>99.998999999999995</v>
      </c>
      <c r="G384" s="31"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1" t="str" cm="1">
        <f t="array" ref="E385">Common_InputFunctions.Utility_DisplayArrayInTable(SourceData_PastureBeef.SourceData_PastureBeef_FractionOfManureToMMS_Data(),Table_SourceData_PastureBeef_FractionManureToMMS[[#Headers],[State]], 0)</f>
        <v>Kimberley</v>
      </c>
      <c r="F385" s="31" cm="1">
        <f t="array" ref="F385">Common_InputFunctions.Utility_DisplayArrayInTable(SourceData_PastureBeef.SourceData_PastureBeef_FractionOfManureToMMS_Data(),Table_SourceData_PastureBeef_FractionManureToMMS[[#Headers],[State]], 0)</f>
        <v>99.998999999999995</v>
      </c>
      <c r="G385" s="31"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1" t="str" cm="1">
        <f t="array" ref="E386">Common_InputFunctions.Utility_DisplayArrayInTable(SourceData_PastureBeef.SourceData_PastureBeef_FractionOfManureToMMS_Data(),Table_SourceData_PastureBeef_FractionManureToMMS[[#Headers],[State]], 0)</f>
        <v>Alice Springs</v>
      </c>
      <c r="F386" s="31" cm="1">
        <f t="array" ref="F386">Common_InputFunctions.Utility_DisplayArrayInTable(SourceData_PastureBeef.SourceData_PastureBeef_FractionOfManureToMMS_Data(),Table_SourceData_PastureBeef_FractionManureToMMS[[#Headers],[State]], 0)</f>
        <v>99.998999999999995</v>
      </c>
      <c r="G386" s="31"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1" t="str" cm="1">
        <f t="array" ref="E387">Common_InputFunctions.Utility_DisplayArrayInTable(SourceData_PastureBeef.SourceData_PastureBeef_FractionOfManureToMMS_Data(),Table_SourceData_PastureBeef_FractionManureToMMS[[#Headers],[State]], 0)</f>
        <v>Barkly</v>
      </c>
      <c r="F387" s="31" cm="1">
        <f t="array" ref="F387">Common_InputFunctions.Utility_DisplayArrayInTable(SourceData_PastureBeef.SourceData_PastureBeef_FractionOfManureToMMS_Data(),Table_SourceData_PastureBeef_FractionManureToMMS[[#Headers],[State]], 0)</f>
        <v>99.994</v>
      </c>
      <c r="G387" s="31"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1" t="str" cm="1">
        <f t="array" ref="E388">Common_InputFunctions.Utility_DisplayArrayInTable(SourceData_PastureBeef.SourceData_PastureBeef_FractionOfManureToMMS_Data(),Table_SourceData_PastureBeef_FractionManureToMMS[[#Headers],[State]], 0)</f>
        <v>Northern</v>
      </c>
      <c r="F388" s="31" cm="1">
        <f t="array" ref="F388">Common_InputFunctions.Utility_DisplayArrayInTable(SourceData_PastureBeef.SourceData_PastureBeef_FractionOfManureToMMS_Data(),Table_SourceData_PastureBeef_FractionManureToMMS[[#Headers],[State]], 0)</f>
        <v>99.998999999999995</v>
      </c>
      <c r="G388" s="31"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1" t="str" cm="1">
        <f t="array" ref="E389">Common_InputFunctions.Utility_DisplayArrayInTable(SourceData_PastureBeef.SourceData_PastureBeef_FractionOfManureToMMS_Data(),Table_SourceData_PastureBeef_FractionManureToMMS[[#Headers],[State]], 0)</f>
        <v>High</v>
      </c>
      <c r="F389" s="31" cm="1">
        <f t="array" ref="F389">Common_InputFunctions.Utility_DisplayArrayInTable(SourceData_PastureBeef.SourceData_PastureBeef_FractionOfManureToMMS_Data(),Table_SourceData_PastureBeef_FractionManureToMMS[[#Headers],[State]], 0)</f>
        <v>99.772999999999996</v>
      </c>
      <c r="G389" s="31"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1" t="str" cm="1">
        <f t="array" ref="E390">Common_InputFunctions.Utility_DisplayArrayInTable(SourceData_PastureBeef.SourceData_PastureBeef_FractionOfManureToMMS_Data(),Table_SourceData_PastureBeef_FractionManureToMMS[[#Headers],[State]], 0)</f>
        <v>Moderate/High</v>
      </c>
      <c r="F390" s="31" cm="1">
        <f t="array" ref="F390">Common_InputFunctions.Utility_DisplayArrayInTable(SourceData_PastureBeef.SourceData_PastureBeef_FractionOfManureToMMS_Data(),Table_SourceData_PastureBeef_FractionManureToMMS[[#Headers],[State]], 0)</f>
        <v>99.897999999999996</v>
      </c>
      <c r="G390" s="31"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1" t="str" cm="1">
        <f t="array" ref="E391">Common_InputFunctions.Utility_DisplayArrayInTable(SourceData_PastureBeef.SourceData_PastureBeef_FractionOfManureToMMS_Data(),Table_SourceData_PastureBeef_FractionManureToMMS[[#Headers],[State]], 0)</f>
        <v>Moderate/Low</v>
      </c>
      <c r="F391" s="31" cm="1">
        <f t="array" ref="F391">Common_InputFunctions.Utility_DisplayArrayInTable(SourceData_PastureBeef.SourceData_PastureBeef_FractionOfManureToMMS_Data(),Table_SourceData_PastureBeef_FractionManureToMMS[[#Headers],[State]], 0)</f>
        <v>99.978999999999999</v>
      </c>
      <c r="G391" s="31"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1" t="str" cm="1">
        <f t="array" ref="E392">Common_InputFunctions.Utility_DisplayArrayInTable(SourceData_PastureBeef.SourceData_PastureBeef_FractionOfManureToMMS_Data(),Table_SourceData_PastureBeef_FractionManureToMMS[[#Headers],[State]], 0)</f>
        <v>Low</v>
      </c>
      <c r="F392" s="31" cm="1">
        <f t="array" ref="F392">Common_InputFunctions.Utility_DisplayArrayInTable(SourceData_PastureBeef.SourceData_PastureBeef_FractionOfManureToMMS_Data(),Table_SourceData_PastureBeef_FractionManureToMMS[[#Headers],[State]], 0)</f>
        <v>99.977000000000004</v>
      </c>
      <c r="G392" s="31"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8"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7" t="str" cm="1">
        <f t="array" ref="D399">SourceData_PastureBeef.SourceData_PastureBeef_MethaneConversionFactorPerRegion_Variation()</f>
        <v>VARIATION ON SOURCE: Removed comma from 'Pasture range and paddock' to aid lookup</v>
      </c>
      <c r="M399" s="1"/>
    </row>
    <row r="400" spans="4:13" x14ac:dyDescent="0.25">
      <c r="D400" s="31" t="s">
        <v>110</v>
      </c>
      <c r="E400" s="31" t="s">
        <v>308</v>
      </c>
      <c r="F400" s="31" t="s">
        <v>94</v>
      </c>
      <c r="G400" s="31" t="s">
        <v>382</v>
      </c>
      <c r="M400" s="1"/>
    </row>
    <row r="401" spans="4:13" x14ac:dyDescent="0.25">
      <c r="D401" s="31" t="str" cm="1">
        <f t="array" ref="D401">Common_InputFunctions.Utility_DisplayArrayInTable(SourceData_PastureBeef.SourceData_PastureBeef_MethaneConversionFactorPerRegion_Data(), Table_SourceData_PastureBeef_MethaneConversionFactor[[#Headers],[State]], 0)</f>
        <v>ACT</v>
      </c>
      <c r="E401" s="31" t="str" cm="1">
        <f t="array" ref="E401">Common_InputFunctions.Utility_DisplayArrayInTable(SourceData_PastureBeef.SourceData_PastureBeef_MethaneConversionFactorPerRegion_Data(), Table_SourceData_PastureBeef_MethaneConversionFactor[[#Headers],[State]], 0)</f>
        <v>n/a</v>
      </c>
      <c r="F401" s="31" cm="1">
        <f t="array" ref="F401">Common_InputFunctions.Utility_DisplayArrayInTable(SourceData_PastureBeef.SourceData_PastureBeef_MethaneConversionFactorPerRegion_Data(), Table_SourceData_PastureBeef_MethaneConversionFactor[[#Headers],[State]], 0)</f>
        <v>4.7000000000000002E-3</v>
      </c>
      <c r="G401" s="31"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1" t="str" cm="1">
        <f t="array" ref="D402">Common_InputFunctions.Utility_DisplayArrayInTable(SourceData_PastureBeef.SourceData_PastureBeef_MethaneConversionFactorPerRegion_Data(), Table_SourceData_PastureBeef_MethaneConversionFactor[[#Headers],[State]], 0)</f>
        <v>NSW</v>
      </c>
      <c r="E402" s="31" t="str" cm="1">
        <f t="array" ref="E402">Common_InputFunctions.Utility_DisplayArrayInTable(SourceData_PastureBeef.SourceData_PastureBeef_MethaneConversionFactorPerRegion_Data(), Table_SourceData_PastureBeef_MethaneConversionFactor[[#Headers],[State]], 0)</f>
        <v>n/a</v>
      </c>
      <c r="F402" s="31" cm="1">
        <f t="array" ref="F402">Common_InputFunctions.Utility_DisplayArrayInTable(SourceData_PastureBeef.SourceData_PastureBeef_MethaneConversionFactorPerRegion_Data(), Table_SourceData_PastureBeef_MethaneConversionFactor[[#Headers],[State]], 0)</f>
        <v>4.7000000000000002E-3</v>
      </c>
      <c r="G402" s="31"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1" t="str" cm="1">
        <f t="array" ref="D403">Common_InputFunctions.Utility_DisplayArrayInTable(SourceData_PastureBeef.SourceData_PastureBeef_MethaneConversionFactorPerRegion_Data(), Table_SourceData_PastureBeef_MethaneConversionFactor[[#Headers],[State]], 0)</f>
        <v>SA</v>
      </c>
      <c r="E403" s="31" t="str" cm="1">
        <f t="array" ref="E403">Common_InputFunctions.Utility_DisplayArrayInTable(SourceData_PastureBeef.SourceData_PastureBeef_MethaneConversionFactorPerRegion_Data(), Table_SourceData_PastureBeef_MethaneConversionFactor[[#Headers],[State]], 0)</f>
        <v>n/a</v>
      </c>
      <c r="F403" s="31" cm="1">
        <f t="array" ref="F403">Common_InputFunctions.Utility_DisplayArrayInTable(SourceData_PastureBeef.SourceData_PastureBeef_MethaneConversionFactorPerRegion_Data(), Table_SourceData_PastureBeef_MethaneConversionFactor[[#Headers],[State]], 0)</f>
        <v>4.7000000000000002E-3</v>
      </c>
      <c r="G403" s="31"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1" t="str" cm="1">
        <f t="array" ref="D404">Common_InputFunctions.Utility_DisplayArrayInTable(SourceData_PastureBeef.SourceData_PastureBeef_MethaneConversionFactorPerRegion_Data(), Table_SourceData_PastureBeef_MethaneConversionFactor[[#Headers],[State]], 0)</f>
        <v>TAS</v>
      </c>
      <c r="E404" s="31" t="str" cm="1">
        <f t="array" ref="E404">Common_InputFunctions.Utility_DisplayArrayInTable(SourceData_PastureBeef.SourceData_PastureBeef_MethaneConversionFactorPerRegion_Data(), Table_SourceData_PastureBeef_MethaneConversionFactor[[#Headers],[State]], 0)</f>
        <v>n/a</v>
      </c>
      <c r="F404" s="31" cm="1">
        <f t="array" ref="F404">Common_InputFunctions.Utility_DisplayArrayInTable(SourceData_PastureBeef.SourceData_PastureBeef_MethaneConversionFactorPerRegion_Data(), Table_SourceData_PastureBeef_MethaneConversionFactor[[#Headers],[State]], 0)</f>
        <v>4.7000000000000002E-3</v>
      </c>
      <c r="G404" s="31"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1" t="str" cm="1">
        <f t="array" ref="D405">Common_InputFunctions.Utility_DisplayArrayInTable(SourceData_PastureBeef.SourceData_PastureBeef_MethaneConversionFactorPerRegion_Data(), Table_SourceData_PastureBeef_MethaneConversionFactor[[#Headers],[State]], 0)</f>
        <v>VIC</v>
      </c>
      <c r="E405" s="31" t="str" cm="1">
        <f t="array" ref="E405">Common_InputFunctions.Utility_DisplayArrayInTable(SourceData_PastureBeef.SourceData_PastureBeef_MethaneConversionFactorPerRegion_Data(), Table_SourceData_PastureBeef_MethaneConversionFactor[[#Headers],[State]], 0)</f>
        <v>n/a</v>
      </c>
      <c r="F405" s="31" cm="1">
        <f t="array" ref="F405">Common_InputFunctions.Utility_DisplayArrayInTable(SourceData_PastureBeef.SourceData_PastureBeef_MethaneConversionFactorPerRegion_Data(), Table_SourceData_PastureBeef_MethaneConversionFactor[[#Headers],[State]], 0)</f>
        <v>4.7000000000000002E-3</v>
      </c>
      <c r="G405" s="31"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1" t="str" cm="1">
        <f t="array" ref="D406">Common_InputFunctions.Utility_DisplayArrayInTable(SourceData_PastureBeef.SourceData_PastureBeef_MethaneConversionFactorPerRegion_Data(), Table_SourceData_PastureBeef_MethaneConversionFactor[[#Headers],[State]], 0)</f>
        <v>WA</v>
      </c>
      <c r="E406" s="31" t="str" cm="1">
        <f t="array" ref="E406">Common_InputFunctions.Utility_DisplayArrayInTable(SourceData_PastureBeef.SourceData_PastureBeef_MethaneConversionFactorPerRegion_Data(), Table_SourceData_PastureBeef_MethaneConversionFactor[[#Headers],[State]], 0)</f>
        <v>South West</v>
      </c>
      <c r="F406" s="31" cm="1">
        <f t="array" ref="F406">Common_InputFunctions.Utility_DisplayArrayInTable(SourceData_PastureBeef.SourceData_PastureBeef_MethaneConversionFactorPerRegion_Data(), Table_SourceData_PastureBeef_MethaneConversionFactor[[#Headers],[State]], 0)</f>
        <v>4.7000000000000002E-3</v>
      </c>
      <c r="G406" s="31"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1" t="str" cm="1">
        <f t="array" ref="D407">Common_InputFunctions.Utility_DisplayArrayInTable(SourceData_PastureBeef.SourceData_PastureBeef_MethaneConversionFactorPerRegion_Data(), Table_SourceData_PastureBeef_MethaneConversionFactor[[#Headers],[State]], 0)</f>
        <v>WA</v>
      </c>
      <c r="E407" s="31" t="str" cm="1">
        <f t="array" ref="E407">Common_InputFunctions.Utility_DisplayArrayInTable(SourceData_PastureBeef.SourceData_PastureBeef_MethaneConversionFactorPerRegion_Data(), Table_SourceData_PastureBeef_MethaneConversionFactor[[#Headers],[State]], 0)</f>
        <v>Pilbara</v>
      </c>
      <c r="F407" s="31" cm="1">
        <f t="array" ref="F407">Common_InputFunctions.Utility_DisplayArrayInTable(SourceData_PastureBeef.SourceData_PastureBeef_MethaneConversionFactorPerRegion_Data(), Table_SourceData_PastureBeef_MethaneConversionFactor[[#Headers],[State]], 0)</f>
        <v>4.7000000000000002E-3</v>
      </c>
      <c r="G407" s="31"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1" t="str" cm="1">
        <f t="array" ref="D408">Common_InputFunctions.Utility_DisplayArrayInTable(SourceData_PastureBeef.SourceData_PastureBeef_MethaneConversionFactorPerRegion_Data(), Table_SourceData_PastureBeef_MethaneConversionFactor[[#Headers],[State]], 0)</f>
        <v>WA</v>
      </c>
      <c r="E408" s="31" t="str" cm="1">
        <f t="array" ref="E408">Common_InputFunctions.Utility_DisplayArrayInTable(SourceData_PastureBeef.SourceData_PastureBeef_MethaneConversionFactorPerRegion_Data(), Table_SourceData_PastureBeef_MethaneConversionFactor[[#Headers],[State]], 0)</f>
        <v>Kimberley</v>
      </c>
      <c r="F408" s="31" cm="1">
        <f t="array" ref="F408">Common_InputFunctions.Utility_DisplayArrayInTable(SourceData_PastureBeef.SourceData_PastureBeef_MethaneConversionFactorPerRegion_Data(), Table_SourceData_PastureBeef_MethaneConversionFactor[[#Headers],[State]], 0)</f>
        <v>4.7000000000000002E-3</v>
      </c>
      <c r="G408" s="31"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1" t="str" cm="1">
        <f t="array" ref="D409">Common_InputFunctions.Utility_DisplayArrayInTable(SourceData_PastureBeef.SourceData_PastureBeef_MethaneConversionFactorPerRegion_Data(), Table_SourceData_PastureBeef_MethaneConversionFactor[[#Headers],[State]], 0)</f>
        <v>NT</v>
      </c>
      <c r="E409" s="31" t="str" cm="1">
        <f t="array" ref="E409">Common_InputFunctions.Utility_DisplayArrayInTable(SourceData_PastureBeef.SourceData_PastureBeef_MethaneConversionFactorPerRegion_Data(), Table_SourceData_PastureBeef_MethaneConversionFactor[[#Headers],[State]], 0)</f>
        <v>Alice Springs</v>
      </c>
      <c r="F409" s="31" cm="1">
        <f t="array" ref="F409">Common_InputFunctions.Utility_DisplayArrayInTable(SourceData_PastureBeef.SourceData_PastureBeef_MethaneConversionFactorPerRegion_Data(), Table_SourceData_PastureBeef_MethaneConversionFactor[[#Headers],[State]], 0)</f>
        <v>4.7000000000000002E-3</v>
      </c>
      <c r="G409" s="31"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1" t="str" cm="1">
        <f t="array" ref="D410">Common_InputFunctions.Utility_DisplayArrayInTable(SourceData_PastureBeef.SourceData_PastureBeef_MethaneConversionFactorPerRegion_Data(), Table_SourceData_PastureBeef_MethaneConversionFactor[[#Headers],[State]], 0)</f>
        <v>NT</v>
      </c>
      <c r="E410" s="31" t="str" cm="1">
        <f t="array" ref="E410">Common_InputFunctions.Utility_DisplayArrayInTable(SourceData_PastureBeef.SourceData_PastureBeef_MethaneConversionFactorPerRegion_Data(), Table_SourceData_PastureBeef_MethaneConversionFactor[[#Headers],[State]], 0)</f>
        <v>Barkly</v>
      </c>
      <c r="F410" s="31" cm="1">
        <f t="array" ref="F410">Common_InputFunctions.Utility_DisplayArrayInTable(SourceData_PastureBeef.SourceData_PastureBeef_MethaneConversionFactorPerRegion_Data(), Table_SourceData_PastureBeef_MethaneConversionFactor[[#Headers],[State]], 0)</f>
        <v>4.7000000000000002E-3</v>
      </c>
      <c r="G410" s="31"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1" t="str" cm="1">
        <f t="array" ref="D411">Common_InputFunctions.Utility_DisplayArrayInTable(SourceData_PastureBeef.SourceData_PastureBeef_MethaneConversionFactorPerRegion_Data(), Table_SourceData_PastureBeef_MethaneConversionFactor[[#Headers],[State]], 0)</f>
        <v>NT</v>
      </c>
      <c r="E411" s="31" t="str" cm="1">
        <f t="array" ref="E411">Common_InputFunctions.Utility_DisplayArrayInTable(SourceData_PastureBeef.SourceData_PastureBeef_MethaneConversionFactorPerRegion_Data(), Table_SourceData_PastureBeef_MethaneConversionFactor[[#Headers],[State]], 0)</f>
        <v>Northern</v>
      </c>
      <c r="F411" s="31" cm="1">
        <f t="array" ref="F411">Common_InputFunctions.Utility_DisplayArrayInTable(SourceData_PastureBeef.SourceData_PastureBeef_MethaneConversionFactorPerRegion_Data(), Table_SourceData_PastureBeef_MethaneConversionFactor[[#Headers],[State]], 0)</f>
        <v>4.7000000000000002E-3</v>
      </c>
      <c r="G411" s="31"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1" t="str" cm="1">
        <f t="array" ref="D412">Common_InputFunctions.Utility_DisplayArrayInTable(SourceData_PastureBeef.SourceData_PastureBeef_MethaneConversionFactorPerRegion_Data(), Table_SourceData_PastureBeef_MethaneConversionFactor[[#Headers],[State]], 0)</f>
        <v>QLD</v>
      </c>
      <c r="E412" s="31" t="str" cm="1">
        <f t="array" ref="E412">Common_InputFunctions.Utility_DisplayArrayInTable(SourceData_PastureBeef.SourceData_PastureBeef_MethaneConversionFactorPerRegion_Data(), Table_SourceData_PastureBeef_MethaneConversionFactor[[#Headers],[State]], 0)</f>
        <v>High</v>
      </c>
      <c r="F412" s="31" cm="1">
        <f t="array" ref="F412">Common_InputFunctions.Utility_DisplayArrayInTable(SourceData_PastureBeef.SourceData_PastureBeef_MethaneConversionFactorPerRegion_Data(), Table_SourceData_PastureBeef_MethaneConversionFactor[[#Headers],[State]], 0)</f>
        <v>4.7000000000000002E-3</v>
      </c>
      <c r="G412" s="31"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1" t="str" cm="1">
        <f t="array" ref="D413">Common_InputFunctions.Utility_DisplayArrayInTable(SourceData_PastureBeef.SourceData_PastureBeef_MethaneConversionFactorPerRegion_Data(), Table_SourceData_PastureBeef_MethaneConversionFactor[[#Headers],[State]], 0)</f>
        <v>QLD</v>
      </c>
      <c r="E413" s="31" t="str" cm="1">
        <f t="array" ref="E413">Common_InputFunctions.Utility_DisplayArrayInTable(SourceData_PastureBeef.SourceData_PastureBeef_MethaneConversionFactorPerRegion_Data(), Table_SourceData_PastureBeef_MethaneConversionFactor[[#Headers],[State]], 0)</f>
        <v>Moderate/High</v>
      </c>
      <c r="F413" s="31" cm="1">
        <f t="array" ref="F413">Common_InputFunctions.Utility_DisplayArrayInTable(SourceData_PastureBeef.SourceData_PastureBeef_MethaneConversionFactorPerRegion_Data(), Table_SourceData_PastureBeef_MethaneConversionFactor[[#Headers],[State]], 0)</f>
        <v>4.7000000000000002E-3</v>
      </c>
      <c r="G413" s="31"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1" t="str" cm="1">
        <f t="array" ref="D414">Common_InputFunctions.Utility_DisplayArrayInTable(SourceData_PastureBeef.SourceData_PastureBeef_MethaneConversionFactorPerRegion_Data(), Table_SourceData_PastureBeef_MethaneConversionFactor[[#Headers],[State]], 0)</f>
        <v>QLD</v>
      </c>
      <c r="E414" s="31" t="str" cm="1">
        <f t="array" ref="E414">Common_InputFunctions.Utility_DisplayArrayInTable(SourceData_PastureBeef.SourceData_PastureBeef_MethaneConversionFactorPerRegion_Data(), Table_SourceData_PastureBeef_MethaneConversionFactor[[#Headers],[State]], 0)</f>
        <v>Moderate/Low</v>
      </c>
      <c r="F414" s="31" cm="1">
        <f t="array" ref="F414">Common_InputFunctions.Utility_DisplayArrayInTable(SourceData_PastureBeef.SourceData_PastureBeef_MethaneConversionFactorPerRegion_Data(), Table_SourceData_PastureBeef_MethaneConversionFactor[[#Headers],[State]], 0)</f>
        <v>4.7000000000000002E-3</v>
      </c>
      <c r="G414" s="31"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1" t="str" cm="1">
        <f t="array" ref="D415">Common_InputFunctions.Utility_DisplayArrayInTable(SourceData_PastureBeef.SourceData_PastureBeef_MethaneConversionFactorPerRegion_Data(), Table_SourceData_PastureBeef_MethaneConversionFactor[[#Headers],[State]], 0)</f>
        <v>QLD</v>
      </c>
      <c r="E415" s="31" t="str" cm="1">
        <f t="array" ref="E415">Common_InputFunctions.Utility_DisplayArrayInTable(SourceData_PastureBeef.SourceData_PastureBeef_MethaneConversionFactorPerRegion_Data(), Table_SourceData_PastureBeef_MethaneConversionFactor[[#Headers],[State]], 0)</f>
        <v>Low</v>
      </c>
      <c r="F415" s="31" cm="1">
        <f t="array" ref="F415">Common_InputFunctions.Utility_DisplayArrayInTable(SourceData_PastureBeef.SourceData_PastureBeef_MethaneConversionFactorPerRegion_Data(), Table_SourceData_PastureBeef_MethaneConversionFactor[[#Headers],[State]], 0)</f>
        <v>4.7000000000000002E-3</v>
      </c>
      <c r="G415" s="31"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8"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9"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8"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9"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8"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9"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8"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9" cm="1">
        <f t="array" ref="D440">SourceData_PastureBeef.SourceData_PastureBeef_FracLEACH_Data()</f>
        <v>0.24</v>
      </c>
      <c r="M440" s="1"/>
    </row>
    <row r="441" spans="4:13" x14ac:dyDescent="0.25">
      <c r="M441" s="1"/>
    </row>
    <row r="442" spans="4:13" x14ac:dyDescent="0.25">
      <c r="D442" s="31" t="s">
        <v>383</v>
      </c>
      <c r="E442" s="31" t="s">
        <v>156</v>
      </c>
      <c r="F442" s="31" t="s">
        <v>384</v>
      </c>
      <c r="G442" s="31" t="s">
        <v>385</v>
      </c>
      <c r="H442" s="31" t="s">
        <v>386</v>
      </c>
      <c r="I442" s="31" t="s">
        <v>387</v>
      </c>
      <c r="M442" s="1"/>
    </row>
    <row r="443" spans="4:13" x14ac:dyDescent="0.25">
      <c r="D443" s="31" t="str" cm="1">
        <f t="array" ref="D443">Common_InputFunctions.Utility_DisplayArrayInTable(Scope3_SourceData.Scope3_Livestock_Data(), Table_SourceData_Scope3_Animals[[#Headers],[Category]], 0, 2)</f>
        <v>Beef cattle</v>
      </c>
      <c r="E443" s="31" t="str" cm="1">
        <f t="array" ref="E443">Common_InputFunctions.Utility_DisplayArrayInTable(Scope3_SourceData.Scope3_Livestock_Data(), Table_SourceData_Scope3_Animals[[#Headers],[Category]], 0, 2)</f>
        <v>Cattle, for manufacturing beef</v>
      </c>
      <c r="F443" s="31" t="str" cm="1">
        <f t="array" ref="F443">Common_InputFunctions.Utility_DisplayArrayInTable(Scope3_SourceData.Scope3_Livestock_Data(), Table_SourceData_Scope3_Animals[[#Headers],[Category]], 0, 2)</f>
        <v>Australia</v>
      </c>
      <c r="G443" s="31" t="str" cm="1">
        <f t="array" ref="G443">Common_InputFunctions.Utility_DisplayArrayInTable(Scope3_SourceData.Scope3_Livestock_Data(), Table_SourceData_Scope3_Animals[[#Headers],[Category]], 0, 2)</f>
        <v>kg liveweight</v>
      </c>
      <c r="H443" s="31" cm="1">
        <f t="array" ref="H443">Common_InputFunctions.Utility_DisplayArrayInTable(Scope3_SourceData.Scope3_Livestock_Data(), Table_SourceData_Scope3_Animals[[#Headers],[Category]], 0, 2)</f>
        <v>11</v>
      </c>
      <c r="I443" s="31" t="str" cm="1">
        <f t="array" ref="I443">Common_InputFunctions.Utility_DisplayArrayInTable(Scope3_SourceData.Scope3_Livestock_Data(), Table_SourceData_Scope3_Animals[[#Headers],[Category]], 0, 2)</f>
        <v>at market</v>
      </c>
      <c r="M443" s="1"/>
    </row>
    <row r="444" spans="4:13" x14ac:dyDescent="0.25">
      <c r="D444" s="31" t="str" cm="1">
        <f t="array" ref="D444">Common_InputFunctions.Utility_DisplayArrayInTable(Scope3_SourceData.Scope3_Livestock_Data(), Table_SourceData_Scope3_Animals[[#Headers],[Category]], 0, 2)</f>
        <v>Beef cattle</v>
      </c>
      <c r="E444" s="31" t="str" cm="1">
        <f t="array" ref="E444">Common_InputFunctions.Utility_DisplayArrayInTable(Scope3_SourceData.Scope3_Livestock_Data(), Table_SourceData_Scope3_Animals[[#Headers],[Category]], 0, 2)</f>
        <v>Cattle, for manufacturing beef</v>
      </c>
      <c r="F444" s="31" t="str" cm="1">
        <f t="array" ref="F444">Common_InputFunctions.Utility_DisplayArrayInTable(Scope3_SourceData.Scope3_Livestock_Data(), Table_SourceData_Scope3_Animals[[#Headers],[Category]], 0, 2)</f>
        <v>NSW</v>
      </c>
      <c r="G444" s="31" t="str" cm="1">
        <f t="array" ref="G444">Common_InputFunctions.Utility_DisplayArrayInTable(Scope3_SourceData.Scope3_Livestock_Data(), Table_SourceData_Scope3_Animals[[#Headers],[Category]], 0, 2)</f>
        <v>kg liveweight</v>
      </c>
      <c r="H444" s="31" cm="1">
        <f t="array" ref="H444">Common_InputFunctions.Utility_DisplayArrayInTable(Scope3_SourceData.Scope3_Livestock_Data(), Table_SourceData_Scope3_Animals[[#Headers],[Category]], 0, 2)</f>
        <v>8.2100000000000009</v>
      </c>
      <c r="I444" s="31" t="str" cm="1">
        <f t="array" ref="I444">Common_InputFunctions.Utility_DisplayArrayInTable(Scope3_SourceData.Scope3_Livestock_Data(), Table_SourceData_Scope3_Animals[[#Headers],[Category]], 0, 2)</f>
        <v>at market</v>
      </c>
      <c r="M444" s="1"/>
    </row>
    <row r="445" spans="4:13" x14ac:dyDescent="0.25">
      <c r="D445" s="31" t="str" cm="1">
        <f t="array" ref="D445">Common_InputFunctions.Utility_DisplayArrayInTable(Scope3_SourceData.Scope3_Livestock_Data(), Table_SourceData_Scope3_Animals[[#Headers],[Category]], 0, 2)</f>
        <v>Beef cattle</v>
      </c>
      <c r="E445" s="31" t="str" cm="1">
        <f t="array" ref="E445">Common_InputFunctions.Utility_DisplayArrayInTable(Scope3_SourceData.Scope3_Livestock_Data(), Table_SourceData_Scope3_Animals[[#Headers],[Category]], 0, 2)</f>
        <v>Cattle, for manufacturing beef</v>
      </c>
      <c r="F445" s="31" t="str" cm="1">
        <f t="array" ref="F445">Common_InputFunctions.Utility_DisplayArrayInTable(Scope3_SourceData.Scope3_Livestock_Data(), Table_SourceData_Scope3_Animals[[#Headers],[Category]], 0, 2)</f>
        <v>NT</v>
      </c>
      <c r="G445" s="31" t="str" cm="1">
        <f t="array" ref="G445">Common_InputFunctions.Utility_DisplayArrayInTable(Scope3_SourceData.Scope3_Livestock_Data(), Table_SourceData_Scope3_Animals[[#Headers],[Category]], 0, 2)</f>
        <v>kg liveweight</v>
      </c>
      <c r="H445" s="31" cm="1">
        <f t="array" ref="H445">Common_InputFunctions.Utility_DisplayArrayInTable(Scope3_SourceData.Scope3_Livestock_Data(), Table_SourceData_Scope3_Animals[[#Headers],[Category]], 0, 2)</f>
        <v>12.2</v>
      </c>
      <c r="I445" s="31" t="str" cm="1">
        <f t="array" ref="I445">Common_InputFunctions.Utility_DisplayArrayInTable(Scope3_SourceData.Scope3_Livestock_Data(), Table_SourceData_Scope3_Animals[[#Headers],[Category]], 0, 2)</f>
        <v>at market</v>
      </c>
      <c r="M445" s="1"/>
    </row>
    <row r="446" spans="4:13" x14ac:dyDescent="0.25">
      <c r="D446" s="31" t="str" cm="1">
        <f t="array" ref="D446">Common_InputFunctions.Utility_DisplayArrayInTable(Scope3_SourceData.Scope3_Livestock_Data(), Table_SourceData_Scope3_Animals[[#Headers],[Category]], 0, 2)</f>
        <v>Beef cattle</v>
      </c>
      <c r="E446" s="31" t="str" cm="1">
        <f t="array" ref="E446">Common_InputFunctions.Utility_DisplayArrayInTable(Scope3_SourceData.Scope3_Livestock_Data(), Table_SourceData_Scope3_Animals[[#Headers],[Category]], 0, 2)</f>
        <v>Cattle, for manufacturing beef</v>
      </c>
      <c r="F446" s="31" t="str" cm="1">
        <f t="array" ref="F446">Common_InputFunctions.Utility_DisplayArrayInTable(Scope3_SourceData.Scope3_Livestock_Data(), Table_SourceData_Scope3_Animals[[#Headers],[Category]], 0, 2)</f>
        <v>QLD</v>
      </c>
      <c r="G446" s="31" t="str" cm="1">
        <f t="array" ref="G446">Common_InputFunctions.Utility_DisplayArrayInTable(Scope3_SourceData.Scope3_Livestock_Data(), Table_SourceData_Scope3_Animals[[#Headers],[Category]], 0, 2)</f>
        <v>kg liveweight</v>
      </c>
      <c r="H446" s="31" cm="1">
        <f t="array" ref="H446">Common_InputFunctions.Utility_DisplayArrayInTable(Scope3_SourceData.Scope3_Livestock_Data(), Table_SourceData_Scope3_Animals[[#Headers],[Category]], 0, 2)</f>
        <v>10.9</v>
      </c>
      <c r="I446" s="31" t="str" cm="1">
        <f t="array" ref="I446">Common_InputFunctions.Utility_DisplayArrayInTable(Scope3_SourceData.Scope3_Livestock_Data(), Table_SourceData_Scope3_Animals[[#Headers],[Category]], 0, 2)</f>
        <v>at market</v>
      </c>
      <c r="M446" s="1"/>
    </row>
    <row r="447" spans="4:13" x14ac:dyDescent="0.25">
      <c r="D447" s="31" t="str" cm="1">
        <f t="array" ref="D447">Common_InputFunctions.Utility_DisplayArrayInTable(Scope3_SourceData.Scope3_Livestock_Data(), Table_SourceData_Scope3_Animals[[#Headers],[Category]], 0, 2)</f>
        <v>Beef cattle</v>
      </c>
      <c r="E447" s="31" t="str" cm="1">
        <f t="array" ref="E447">Common_InputFunctions.Utility_DisplayArrayInTable(Scope3_SourceData.Scope3_Livestock_Data(), Table_SourceData_Scope3_Animals[[#Headers],[Category]], 0, 2)</f>
        <v>Cattle, for manufacturing beef</v>
      </c>
      <c r="F447" s="31" t="str" cm="1">
        <f t="array" ref="F447">Common_InputFunctions.Utility_DisplayArrayInTable(Scope3_SourceData.Scope3_Livestock_Data(), Table_SourceData_Scope3_Animals[[#Headers],[Category]], 0, 2)</f>
        <v>SA</v>
      </c>
      <c r="G447" s="31" t="str" cm="1">
        <f t="array" ref="G447">Common_InputFunctions.Utility_DisplayArrayInTable(Scope3_SourceData.Scope3_Livestock_Data(), Table_SourceData_Scope3_Animals[[#Headers],[Category]], 0, 2)</f>
        <v>kg liveweight</v>
      </c>
      <c r="H447" s="31" cm="1">
        <f t="array" ref="H447">Common_InputFunctions.Utility_DisplayArrayInTable(Scope3_SourceData.Scope3_Livestock_Data(), Table_SourceData_Scope3_Animals[[#Headers],[Category]], 0, 2)</f>
        <v>7.63</v>
      </c>
      <c r="I447" s="31" t="str" cm="1">
        <f t="array" ref="I447">Common_InputFunctions.Utility_DisplayArrayInTable(Scope3_SourceData.Scope3_Livestock_Data(), Table_SourceData_Scope3_Animals[[#Headers],[Category]], 0, 2)</f>
        <v>at market</v>
      </c>
      <c r="M447" s="1"/>
    </row>
    <row r="448" spans="4:13" x14ac:dyDescent="0.25">
      <c r="D448" s="31" t="str" cm="1">
        <f t="array" ref="D448">Common_InputFunctions.Utility_DisplayArrayInTable(Scope3_SourceData.Scope3_Livestock_Data(), Table_SourceData_Scope3_Animals[[#Headers],[Category]], 0, 2)</f>
        <v>Beef cattle</v>
      </c>
      <c r="E448" s="31" t="str" cm="1">
        <f t="array" ref="E448">Common_InputFunctions.Utility_DisplayArrayInTable(Scope3_SourceData.Scope3_Livestock_Data(), Table_SourceData_Scope3_Animals[[#Headers],[Category]], 0, 2)</f>
        <v>Cattle, for manufacturing beef</v>
      </c>
      <c r="F448" s="31" t="str" cm="1">
        <f t="array" ref="F448">Common_InputFunctions.Utility_DisplayArrayInTable(Scope3_SourceData.Scope3_Livestock_Data(), Table_SourceData_Scope3_Animals[[#Headers],[Category]], 0, 2)</f>
        <v>TAS</v>
      </c>
      <c r="G448" s="31" t="str" cm="1">
        <f t="array" ref="G448">Common_InputFunctions.Utility_DisplayArrayInTable(Scope3_SourceData.Scope3_Livestock_Data(), Table_SourceData_Scope3_Animals[[#Headers],[Category]], 0, 2)</f>
        <v>kg liveweight</v>
      </c>
      <c r="H448" s="31" cm="1">
        <f t="array" ref="H448">Common_InputFunctions.Utility_DisplayArrayInTable(Scope3_SourceData.Scope3_Livestock_Data(), Table_SourceData_Scope3_Animals[[#Headers],[Category]], 0, 2)</f>
        <v>8.75</v>
      </c>
      <c r="I448" s="31" t="str" cm="1">
        <f t="array" ref="I448">Common_InputFunctions.Utility_DisplayArrayInTable(Scope3_SourceData.Scope3_Livestock_Data(), Table_SourceData_Scope3_Animals[[#Headers],[Category]], 0, 2)</f>
        <v>at market</v>
      </c>
      <c r="M448" s="1"/>
    </row>
    <row r="449" spans="4:13" x14ac:dyDescent="0.25">
      <c r="D449" s="31" t="str" cm="1">
        <f t="array" ref="D449">Common_InputFunctions.Utility_DisplayArrayInTable(Scope3_SourceData.Scope3_Livestock_Data(), Table_SourceData_Scope3_Animals[[#Headers],[Category]], 0, 2)</f>
        <v>Beef cattle</v>
      </c>
      <c r="E449" s="31" t="str" cm="1">
        <f t="array" ref="E449">Common_InputFunctions.Utility_DisplayArrayInTable(Scope3_SourceData.Scope3_Livestock_Data(), Table_SourceData_Scope3_Animals[[#Headers],[Category]], 0, 2)</f>
        <v>Cattle, for manufacturing beef</v>
      </c>
      <c r="F449" s="31" t="str" cm="1">
        <f t="array" ref="F449">Common_InputFunctions.Utility_DisplayArrayInTable(Scope3_SourceData.Scope3_Livestock_Data(), Table_SourceData_Scope3_Animals[[#Headers],[Category]], 0, 2)</f>
        <v>VIC</v>
      </c>
      <c r="G449" s="31" t="str" cm="1">
        <f t="array" ref="G449">Common_InputFunctions.Utility_DisplayArrayInTable(Scope3_SourceData.Scope3_Livestock_Data(), Table_SourceData_Scope3_Animals[[#Headers],[Category]], 0, 2)</f>
        <v>kg liveweight</v>
      </c>
      <c r="H449" s="31" cm="1">
        <f t="array" ref="H449">Common_InputFunctions.Utility_DisplayArrayInTable(Scope3_SourceData.Scope3_Livestock_Data(), Table_SourceData_Scope3_Animals[[#Headers],[Category]], 0, 2)</f>
        <v>8.17</v>
      </c>
      <c r="I449" s="31" t="str" cm="1">
        <f t="array" ref="I449">Common_InputFunctions.Utility_DisplayArrayInTable(Scope3_SourceData.Scope3_Livestock_Data(), Table_SourceData_Scope3_Animals[[#Headers],[Category]], 0, 2)</f>
        <v>at market</v>
      </c>
      <c r="M449" s="1"/>
    </row>
    <row r="450" spans="4:13" x14ac:dyDescent="0.25">
      <c r="D450" s="31" t="str" cm="1">
        <f t="array" ref="D450">Common_InputFunctions.Utility_DisplayArrayInTable(Scope3_SourceData.Scope3_Livestock_Data(), Table_SourceData_Scope3_Animals[[#Headers],[Category]], 0, 2)</f>
        <v>Beef cattle</v>
      </c>
      <c r="E450" s="31" t="str" cm="1">
        <f t="array" ref="E450">Common_InputFunctions.Utility_DisplayArrayInTable(Scope3_SourceData.Scope3_Livestock_Data(), Table_SourceData_Scope3_Animals[[#Headers],[Category]], 0, 2)</f>
        <v>Cattle, for manufacturing beef</v>
      </c>
      <c r="F450" s="31" t="str" cm="1">
        <f t="array" ref="F450">Common_InputFunctions.Utility_DisplayArrayInTable(Scope3_SourceData.Scope3_Livestock_Data(), Table_SourceData_Scope3_Animals[[#Headers],[Category]], 0, 2)</f>
        <v>WA</v>
      </c>
      <c r="G450" s="31" t="str" cm="1">
        <f t="array" ref="G450">Common_InputFunctions.Utility_DisplayArrayInTable(Scope3_SourceData.Scope3_Livestock_Data(), Table_SourceData_Scope3_Animals[[#Headers],[Category]], 0, 2)</f>
        <v>kg liveweight</v>
      </c>
      <c r="H450" s="31" cm="1">
        <f t="array" ref="H450">Common_InputFunctions.Utility_DisplayArrayInTable(Scope3_SourceData.Scope3_Livestock_Data(), Table_SourceData_Scope3_Animals[[#Headers],[Category]], 0, 2)</f>
        <v>13.1</v>
      </c>
      <c r="I450" s="31" t="str" cm="1">
        <f t="array" ref="I450">Common_InputFunctions.Utility_DisplayArrayInTable(Scope3_SourceData.Scope3_Livestock_Data(), Table_SourceData_Scope3_Animals[[#Headers],[Category]], 0, 2)</f>
        <v>at market</v>
      </c>
      <c r="M450" s="1"/>
    </row>
    <row r="451" spans="4:13" x14ac:dyDescent="0.25">
      <c r="D451" s="31" t="str" cm="1">
        <f t="array" ref="D451">Common_InputFunctions.Utility_DisplayArrayInTable(Scope3_SourceData.Scope3_Livestock_Data(), Table_SourceData_Scope3_Animals[[#Headers],[Category]], 0, 2)</f>
        <v>Beef cattle</v>
      </c>
      <c r="E451" s="31" t="str" cm="1">
        <f t="array" ref="E451">Common_InputFunctions.Utility_DisplayArrayInTable(Scope3_SourceData.Scope3_Livestock_Data(), Table_SourceData_Scope3_Animals[[#Headers],[Category]], 0, 2)</f>
        <v>Cattle, for prime beef</v>
      </c>
      <c r="F451" s="31" t="str" cm="1">
        <f t="array" ref="F451">Common_InputFunctions.Utility_DisplayArrayInTable(Scope3_SourceData.Scope3_Livestock_Data(), Table_SourceData_Scope3_Animals[[#Headers],[Category]], 0, 2)</f>
        <v>Australia</v>
      </c>
      <c r="G451" s="31" t="str" cm="1">
        <f t="array" ref="G451">Common_InputFunctions.Utility_DisplayArrayInTable(Scope3_SourceData.Scope3_Livestock_Data(), Table_SourceData_Scope3_Animals[[#Headers],[Category]], 0, 2)</f>
        <v>kg liveweight</v>
      </c>
      <c r="H451" s="31" cm="1">
        <f t="array" ref="H451">Common_InputFunctions.Utility_DisplayArrayInTable(Scope3_SourceData.Scope3_Livestock_Data(), Table_SourceData_Scope3_Animals[[#Headers],[Category]], 0, 2)</f>
        <v>14.5</v>
      </c>
      <c r="I451" s="31" t="str" cm="1">
        <f t="array" ref="I451">Common_InputFunctions.Utility_DisplayArrayInTable(Scope3_SourceData.Scope3_Livestock_Data(), Table_SourceData_Scope3_Animals[[#Headers],[Category]], 0, 2)</f>
        <v>at market</v>
      </c>
      <c r="M451" s="1"/>
    </row>
    <row r="452" spans="4:13" x14ac:dyDescent="0.25">
      <c r="D452" s="31" t="str" cm="1">
        <f t="array" ref="D452">Common_InputFunctions.Utility_DisplayArrayInTable(Scope3_SourceData.Scope3_Livestock_Data(), Table_SourceData_Scope3_Animals[[#Headers],[Category]], 0, 2)</f>
        <v>Beef cattle</v>
      </c>
      <c r="E452" s="31" t="str" cm="1">
        <f t="array" ref="E452">Common_InputFunctions.Utility_DisplayArrayInTable(Scope3_SourceData.Scope3_Livestock_Data(), Table_SourceData_Scope3_Animals[[#Headers],[Category]], 0, 2)</f>
        <v>Cattle, for prime beef</v>
      </c>
      <c r="F452" s="31" t="str" cm="1">
        <f t="array" ref="F452">Common_InputFunctions.Utility_DisplayArrayInTable(Scope3_SourceData.Scope3_Livestock_Data(), Table_SourceData_Scope3_Animals[[#Headers],[Category]], 0, 2)</f>
        <v>NSW</v>
      </c>
      <c r="G452" s="31" t="str" cm="1">
        <f t="array" ref="G452">Common_InputFunctions.Utility_DisplayArrayInTable(Scope3_SourceData.Scope3_Livestock_Data(), Table_SourceData_Scope3_Animals[[#Headers],[Category]], 0, 2)</f>
        <v>kg liveweight</v>
      </c>
      <c r="H452" s="31" cm="1">
        <f t="array" ref="H452">Common_InputFunctions.Utility_DisplayArrayInTable(Scope3_SourceData.Scope3_Livestock_Data(), Table_SourceData_Scope3_Animals[[#Headers],[Category]], 0, 2)</f>
        <v>11.3</v>
      </c>
      <c r="I452" s="31" t="str" cm="1">
        <f t="array" ref="I452">Common_InputFunctions.Utility_DisplayArrayInTable(Scope3_SourceData.Scope3_Livestock_Data(), Table_SourceData_Scope3_Animals[[#Headers],[Category]], 0, 2)</f>
        <v>at market</v>
      </c>
      <c r="M452" s="1"/>
    </row>
    <row r="453" spans="4:13" x14ac:dyDescent="0.25">
      <c r="D453" s="31" t="str" cm="1">
        <f t="array" ref="D453">Common_InputFunctions.Utility_DisplayArrayInTable(Scope3_SourceData.Scope3_Livestock_Data(), Table_SourceData_Scope3_Animals[[#Headers],[Category]], 0, 2)</f>
        <v>Beef cattle</v>
      </c>
      <c r="E453" s="31" t="str" cm="1">
        <f t="array" ref="E453">Common_InputFunctions.Utility_DisplayArrayInTable(Scope3_SourceData.Scope3_Livestock_Data(), Table_SourceData_Scope3_Animals[[#Headers],[Category]], 0, 2)</f>
        <v>Cattle, for prime beef</v>
      </c>
      <c r="F453" s="31" t="str" cm="1">
        <f t="array" ref="F453">Common_InputFunctions.Utility_DisplayArrayInTable(Scope3_SourceData.Scope3_Livestock_Data(), Table_SourceData_Scope3_Animals[[#Headers],[Category]], 0, 2)</f>
        <v>NT</v>
      </c>
      <c r="G453" s="31" t="str" cm="1">
        <f t="array" ref="G453">Common_InputFunctions.Utility_DisplayArrayInTable(Scope3_SourceData.Scope3_Livestock_Data(), Table_SourceData_Scope3_Animals[[#Headers],[Category]], 0, 2)</f>
        <v>kg liveweight</v>
      </c>
      <c r="H453" s="31" cm="1">
        <f t="array" ref="H453">Common_InputFunctions.Utility_DisplayArrayInTable(Scope3_SourceData.Scope3_Livestock_Data(), Table_SourceData_Scope3_Animals[[#Headers],[Category]], 0, 2)</f>
        <v>18.899999999999999</v>
      </c>
      <c r="I453" s="31" t="str" cm="1">
        <f t="array" ref="I453">Common_InputFunctions.Utility_DisplayArrayInTable(Scope3_SourceData.Scope3_Livestock_Data(), Table_SourceData_Scope3_Animals[[#Headers],[Category]], 0, 2)</f>
        <v>at market</v>
      </c>
      <c r="M453" s="1"/>
    </row>
    <row r="454" spans="4:13" x14ac:dyDescent="0.25">
      <c r="D454" s="31" t="str" cm="1">
        <f t="array" ref="D454">Common_InputFunctions.Utility_DisplayArrayInTable(Scope3_SourceData.Scope3_Livestock_Data(), Table_SourceData_Scope3_Animals[[#Headers],[Category]], 0, 2)</f>
        <v>Beef cattle</v>
      </c>
      <c r="E454" s="31" t="str" cm="1">
        <f t="array" ref="E454">Common_InputFunctions.Utility_DisplayArrayInTable(Scope3_SourceData.Scope3_Livestock_Data(), Table_SourceData_Scope3_Animals[[#Headers],[Category]], 0, 2)</f>
        <v>Cattle, for prime beef</v>
      </c>
      <c r="F454" s="31" t="str" cm="1">
        <f t="array" ref="F454">Common_InputFunctions.Utility_DisplayArrayInTable(Scope3_SourceData.Scope3_Livestock_Data(), Table_SourceData_Scope3_Animals[[#Headers],[Category]], 0, 2)</f>
        <v>QLD</v>
      </c>
      <c r="G454" s="31" t="str" cm="1">
        <f t="array" ref="G454">Common_InputFunctions.Utility_DisplayArrayInTable(Scope3_SourceData.Scope3_Livestock_Data(), Table_SourceData_Scope3_Animals[[#Headers],[Category]], 0, 2)</f>
        <v>kg liveweight</v>
      </c>
      <c r="H454" s="31" cm="1">
        <f t="array" ref="H454">Common_InputFunctions.Utility_DisplayArrayInTable(Scope3_SourceData.Scope3_Livestock_Data(), Table_SourceData_Scope3_Animals[[#Headers],[Category]], 0, 2)</f>
        <v>13.9</v>
      </c>
      <c r="I454" s="31" t="str" cm="1">
        <f t="array" ref="I454">Common_InputFunctions.Utility_DisplayArrayInTable(Scope3_SourceData.Scope3_Livestock_Data(), Table_SourceData_Scope3_Animals[[#Headers],[Category]], 0, 2)</f>
        <v>at market</v>
      </c>
      <c r="M454" s="1"/>
    </row>
    <row r="455" spans="4:13" x14ac:dyDescent="0.25">
      <c r="D455" s="31" t="str" cm="1">
        <f t="array" ref="D455">Common_InputFunctions.Utility_DisplayArrayInTable(Scope3_SourceData.Scope3_Livestock_Data(), Table_SourceData_Scope3_Animals[[#Headers],[Category]], 0, 2)</f>
        <v>Beef cattle</v>
      </c>
      <c r="E455" s="31" t="str" cm="1">
        <f t="array" ref="E455">Common_InputFunctions.Utility_DisplayArrayInTable(Scope3_SourceData.Scope3_Livestock_Data(), Table_SourceData_Scope3_Animals[[#Headers],[Category]], 0, 2)</f>
        <v>Cattle, for prime beef</v>
      </c>
      <c r="F455" s="31" t="str" cm="1">
        <f t="array" ref="F455">Common_InputFunctions.Utility_DisplayArrayInTable(Scope3_SourceData.Scope3_Livestock_Data(), Table_SourceData_Scope3_Animals[[#Headers],[Category]], 0, 2)</f>
        <v>SA</v>
      </c>
      <c r="G455" s="31" t="str" cm="1">
        <f t="array" ref="G455">Common_InputFunctions.Utility_DisplayArrayInTable(Scope3_SourceData.Scope3_Livestock_Data(), Table_SourceData_Scope3_Animals[[#Headers],[Category]], 0, 2)</f>
        <v>kg liveweight</v>
      </c>
      <c r="H455" s="31" cm="1">
        <f t="array" ref="H455">Common_InputFunctions.Utility_DisplayArrayInTable(Scope3_SourceData.Scope3_Livestock_Data(), Table_SourceData_Scope3_Animals[[#Headers],[Category]], 0, 2)</f>
        <v>12.3</v>
      </c>
      <c r="I455" s="31" t="str" cm="1">
        <f t="array" ref="I455">Common_InputFunctions.Utility_DisplayArrayInTable(Scope3_SourceData.Scope3_Livestock_Data(), Table_SourceData_Scope3_Animals[[#Headers],[Category]], 0, 2)</f>
        <v>at market</v>
      </c>
    </row>
    <row r="456" spans="4:13" x14ac:dyDescent="0.25">
      <c r="D456" s="31" t="str" cm="1">
        <f t="array" ref="D456">Common_InputFunctions.Utility_DisplayArrayInTable(Scope3_SourceData.Scope3_Livestock_Data(), Table_SourceData_Scope3_Animals[[#Headers],[Category]], 0, 2)</f>
        <v>Beef cattle</v>
      </c>
      <c r="E456" s="31" t="str" cm="1">
        <f t="array" ref="E456">Common_InputFunctions.Utility_DisplayArrayInTable(Scope3_SourceData.Scope3_Livestock_Data(), Table_SourceData_Scope3_Animals[[#Headers],[Category]], 0, 2)</f>
        <v>Cattle, for prime beef</v>
      </c>
      <c r="F456" s="31" t="str" cm="1">
        <f t="array" ref="F456">Common_InputFunctions.Utility_DisplayArrayInTable(Scope3_SourceData.Scope3_Livestock_Data(), Table_SourceData_Scope3_Animals[[#Headers],[Category]], 0, 2)</f>
        <v>TAS</v>
      </c>
      <c r="G456" s="31" t="str" cm="1">
        <f t="array" ref="G456">Common_InputFunctions.Utility_DisplayArrayInTable(Scope3_SourceData.Scope3_Livestock_Data(), Table_SourceData_Scope3_Animals[[#Headers],[Category]], 0, 2)</f>
        <v>kg liveweight</v>
      </c>
      <c r="H456" s="31" cm="1">
        <f t="array" ref="H456">Common_InputFunctions.Utility_DisplayArrayInTable(Scope3_SourceData.Scope3_Livestock_Data(), Table_SourceData_Scope3_Animals[[#Headers],[Category]], 0, 2)</f>
        <v>11.5</v>
      </c>
      <c r="I456" s="31" t="str" cm="1">
        <f t="array" ref="I456">Common_InputFunctions.Utility_DisplayArrayInTable(Scope3_SourceData.Scope3_Livestock_Data(), Table_SourceData_Scope3_Animals[[#Headers],[Category]], 0, 2)</f>
        <v>at market</v>
      </c>
    </row>
    <row r="457" spans="4:13" x14ac:dyDescent="0.25">
      <c r="D457" s="31" t="str" cm="1">
        <f t="array" ref="D457">Common_InputFunctions.Utility_DisplayArrayInTable(Scope3_SourceData.Scope3_Livestock_Data(), Table_SourceData_Scope3_Animals[[#Headers],[Category]], 0, 2)</f>
        <v>Beef cattle</v>
      </c>
      <c r="E457" s="31" t="str" cm="1">
        <f t="array" ref="E457">Common_InputFunctions.Utility_DisplayArrayInTable(Scope3_SourceData.Scope3_Livestock_Data(), Table_SourceData_Scope3_Animals[[#Headers],[Category]], 0, 2)</f>
        <v>Cattle, for prime beef</v>
      </c>
      <c r="F457" s="31" t="str" cm="1">
        <f t="array" ref="F457">Common_InputFunctions.Utility_DisplayArrayInTable(Scope3_SourceData.Scope3_Livestock_Data(), Table_SourceData_Scope3_Animals[[#Headers],[Category]], 0, 2)</f>
        <v>VIC</v>
      </c>
      <c r="G457" s="31" t="str" cm="1">
        <f t="array" ref="G457">Common_InputFunctions.Utility_DisplayArrayInTable(Scope3_SourceData.Scope3_Livestock_Data(), Table_SourceData_Scope3_Animals[[#Headers],[Category]], 0, 2)</f>
        <v>kg liveweight</v>
      </c>
      <c r="H457" s="31" cm="1">
        <f t="array" ref="H457">Common_InputFunctions.Utility_DisplayArrayInTable(Scope3_SourceData.Scope3_Livestock_Data(), Table_SourceData_Scope3_Animals[[#Headers],[Category]], 0, 2)</f>
        <v>11.5</v>
      </c>
      <c r="I457" s="31" t="str" cm="1">
        <f t="array" ref="I457">Common_InputFunctions.Utility_DisplayArrayInTable(Scope3_SourceData.Scope3_Livestock_Data(), Table_SourceData_Scope3_Animals[[#Headers],[Category]], 0, 2)</f>
        <v>at market</v>
      </c>
    </row>
    <row r="458" spans="4:13" x14ac:dyDescent="0.25">
      <c r="D458" s="31" t="str" cm="1">
        <f t="array" ref="D458">Common_InputFunctions.Utility_DisplayArrayInTable(Scope3_SourceData.Scope3_Livestock_Data(), Table_SourceData_Scope3_Animals[[#Headers],[Category]], 0, 2)</f>
        <v>Beef cattle</v>
      </c>
      <c r="E458" s="31" t="str" cm="1">
        <f t="array" ref="E458">Common_InputFunctions.Utility_DisplayArrayInTable(Scope3_SourceData.Scope3_Livestock_Data(), Table_SourceData_Scope3_Animals[[#Headers],[Category]], 0, 2)</f>
        <v>Cattle, for prime beef</v>
      </c>
      <c r="F458" s="31" t="str" cm="1">
        <f t="array" ref="F458">Common_InputFunctions.Utility_DisplayArrayInTable(Scope3_SourceData.Scope3_Livestock_Data(), Table_SourceData_Scope3_Animals[[#Headers],[Category]], 0, 2)</f>
        <v>WA</v>
      </c>
      <c r="G458" s="31" t="str" cm="1">
        <f t="array" ref="G458">Common_InputFunctions.Utility_DisplayArrayInTable(Scope3_SourceData.Scope3_Livestock_Data(), Table_SourceData_Scope3_Animals[[#Headers],[Category]], 0, 2)</f>
        <v>kg liveweight</v>
      </c>
      <c r="H458" s="31" cm="1">
        <f t="array" ref="H458">Common_InputFunctions.Utility_DisplayArrayInTable(Scope3_SourceData.Scope3_Livestock_Data(), Table_SourceData_Scope3_Animals[[#Headers],[Category]], 0, 2)</f>
        <v>20.8</v>
      </c>
      <c r="I458" s="31" t="str" cm="1">
        <f t="array" ref="I458">Common_InputFunctions.Utility_DisplayArrayInTable(Scope3_SourceData.Scope3_Livestock_Data(), Table_SourceData_Scope3_Animals[[#Headers],[Category]], 0, 2)</f>
        <v>at market</v>
      </c>
    </row>
    <row r="459" spans="4:13" x14ac:dyDescent="0.25">
      <c r="D459" s="31" t="str" cm="1">
        <f t="array" ref="D459">Common_InputFunctions.Utility_DisplayArrayInTable(Scope3_SourceData.Scope3_Livestock_Data(), Table_SourceData_Scope3_Animals[[#Headers],[Category]], 0, 2)</f>
        <v>Beef cattle</v>
      </c>
      <c r="E459" s="31" t="str" cm="1">
        <f t="array" ref="E459">Common_InputFunctions.Utility_DisplayArrayInTable(Scope3_SourceData.Scope3_Livestock_Data(), Table_SourceData_Scope3_Animals[[#Headers],[Category]], 0, 2)</f>
        <v>Cattle, weaners</v>
      </c>
      <c r="F459" s="31" t="str" cm="1">
        <f t="array" ref="F459">Common_InputFunctions.Utility_DisplayArrayInTable(Scope3_SourceData.Scope3_Livestock_Data(), Table_SourceData_Scope3_Animals[[#Headers],[Category]], 0, 2)</f>
        <v>Australia</v>
      </c>
      <c r="G459" s="31" t="str" cm="1">
        <f t="array" ref="G459">Common_InputFunctions.Utility_DisplayArrayInTable(Scope3_SourceData.Scope3_Livestock_Data(), Table_SourceData_Scope3_Animals[[#Headers],[Category]], 0, 2)</f>
        <v>kg liveweight</v>
      </c>
      <c r="H459" s="31" cm="1">
        <f t="array" ref="H459">Common_InputFunctions.Utility_DisplayArrayInTable(Scope3_SourceData.Scope3_Livestock_Data(), Table_SourceData_Scope3_Animals[[#Headers],[Category]], 0, 2)</f>
        <v>15.5</v>
      </c>
      <c r="I459" s="31" t="str" cm="1">
        <f t="array" ref="I459">Common_InputFunctions.Utility_DisplayArrayInTable(Scope3_SourceData.Scope3_Livestock_Data(), Table_SourceData_Scope3_Animals[[#Headers],[Category]], 0, 2)</f>
        <v>at market</v>
      </c>
    </row>
    <row r="460" spans="4:13" x14ac:dyDescent="0.25">
      <c r="D460" s="31" t="str" cm="1">
        <f t="array" ref="D460">Common_InputFunctions.Utility_DisplayArrayInTable(Scope3_SourceData.Scope3_Livestock_Data(), Table_SourceData_Scope3_Animals[[#Headers],[Category]], 0, 2)</f>
        <v>Beef cattle</v>
      </c>
      <c r="E460" s="31" t="str" cm="1">
        <f t="array" ref="E460">Common_InputFunctions.Utility_DisplayArrayInTable(Scope3_SourceData.Scope3_Livestock_Data(), Table_SourceData_Scope3_Animals[[#Headers],[Category]], 0, 2)</f>
        <v>Cattle, weaners</v>
      </c>
      <c r="F460" s="31" t="str" cm="1">
        <f t="array" ref="F460">Common_InputFunctions.Utility_DisplayArrayInTable(Scope3_SourceData.Scope3_Livestock_Data(), Table_SourceData_Scope3_Animals[[#Headers],[Category]], 0, 2)</f>
        <v>NSW</v>
      </c>
      <c r="G460" s="31" t="str" cm="1">
        <f t="array" ref="G460">Common_InputFunctions.Utility_DisplayArrayInTable(Scope3_SourceData.Scope3_Livestock_Data(), Table_SourceData_Scope3_Animals[[#Headers],[Category]], 0, 2)</f>
        <v>kg liveweight</v>
      </c>
      <c r="H460" s="31" cm="1">
        <f t="array" ref="H460">Common_InputFunctions.Utility_DisplayArrayInTable(Scope3_SourceData.Scope3_Livestock_Data(), Table_SourceData_Scope3_Animals[[#Headers],[Category]], 0, 2)</f>
        <v>12.7</v>
      </c>
      <c r="I460" s="31" t="str" cm="1">
        <f t="array" ref="I460">Common_InputFunctions.Utility_DisplayArrayInTable(Scope3_SourceData.Scope3_Livestock_Data(), Table_SourceData_Scope3_Animals[[#Headers],[Category]], 0, 2)</f>
        <v>at market</v>
      </c>
    </row>
    <row r="461" spans="4:13" x14ac:dyDescent="0.25">
      <c r="D461" s="31" t="str" cm="1">
        <f t="array" ref="D461">Common_InputFunctions.Utility_DisplayArrayInTable(Scope3_SourceData.Scope3_Livestock_Data(), Table_SourceData_Scope3_Animals[[#Headers],[Category]], 0, 2)</f>
        <v>Beef cattle</v>
      </c>
      <c r="E461" s="31" t="str" cm="1">
        <f t="array" ref="E461">Common_InputFunctions.Utility_DisplayArrayInTable(Scope3_SourceData.Scope3_Livestock_Data(), Table_SourceData_Scope3_Animals[[#Headers],[Category]], 0, 2)</f>
        <v>Cattle, weaners</v>
      </c>
      <c r="F461" s="31" t="str" cm="1">
        <f t="array" ref="F461">Common_InputFunctions.Utility_DisplayArrayInTable(Scope3_SourceData.Scope3_Livestock_Data(), Table_SourceData_Scope3_Animals[[#Headers],[Category]], 0, 2)</f>
        <v>NT</v>
      </c>
      <c r="G461" s="31" t="str" cm="1">
        <f t="array" ref="G461">Common_InputFunctions.Utility_DisplayArrayInTable(Scope3_SourceData.Scope3_Livestock_Data(), Table_SourceData_Scope3_Animals[[#Headers],[Category]], 0, 2)</f>
        <v>kg liveweight</v>
      </c>
      <c r="H461" s="31" cm="1">
        <f t="array" ref="H461">Common_InputFunctions.Utility_DisplayArrayInTable(Scope3_SourceData.Scope3_Livestock_Data(), Table_SourceData_Scope3_Animals[[#Headers],[Category]], 0, 2)</f>
        <v>19.100000000000001</v>
      </c>
      <c r="I461" s="31" t="str" cm="1">
        <f t="array" ref="I461">Common_InputFunctions.Utility_DisplayArrayInTable(Scope3_SourceData.Scope3_Livestock_Data(), Table_SourceData_Scope3_Animals[[#Headers],[Category]], 0, 2)</f>
        <v>at market</v>
      </c>
    </row>
    <row r="462" spans="4:13" x14ac:dyDescent="0.25">
      <c r="D462" s="31" t="str" cm="1">
        <f t="array" ref="D462">Common_InputFunctions.Utility_DisplayArrayInTable(Scope3_SourceData.Scope3_Livestock_Data(), Table_SourceData_Scope3_Animals[[#Headers],[Category]], 0, 2)</f>
        <v>Beef cattle</v>
      </c>
      <c r="E462" s="31" t="str" cm="1">
        <f t="array" ref="E462">Common_InputFunctions.Utility_DisplayArrayInTable(Scope3_SourceData.Scope3_Livestock_Data(), Table_SourceData_Scope3_Animals[[#Headers],[Category]], 0, 2)</f>
        <v>Cattle, weaners</v>
      </c>
      <c r="F462" s="31" t="str" cm="1">
        <f t="array" ref="F462">Common_InputFunctions.Utility_DisplayArrayInTable(Scope3_SourceData.Scope3_Livestock_Data(), Table_SourceData_Scope3_Animals[[#Headers],[Category]], 0, 2)</f>
        <v>QLD</v>
      </c>
      <c r="G462" s="31" t="str" cm="1">
        <f t="array" ref="G462">Common_InputFunctions.Utility_DisplayArrayInTable(Scope3_SourceData.Scope3_Livestock_Data(), Table_SourceData_Scope3_Animals[[#Headers],[Category]], 0, 2)</f>
        <v>kg liveweight</v>
      </c>
      <c r="H462" s="31" cm="1">
        <f t="array" ref="H462">Common_InputFunctions.Utility_DisplayArrayInTable(Scope3_SourceData.Scope3_Livestock_Data(), Table_SourceData_Scope3_Animals[[#Headers],[Category]], 0, 2)</f>
        <v>20.5</v>
      </c>
      <c r="I462" s="31" t="str" cm="1">
        <f t="array" ref="I462">Common_InputFunctions.Utility_DisplayArrayInTable(Scope3_SourceData.Scope3_Livestock_Data(), Table_SourceData_Scope3_Animals[[#Headers],[Category]], 0, 2)</f>
        <v>at market</v>
      </c>
    </row>
    <row r="463" spans="4:13" x14ac:dyDescent="0.25">
      <c r="D463" s="31" t="str" cm="1">
        <f t="array" ref="D463">Common_InputFunctions.Utility_DisplayArrayInTable(Scope3_SourceData.Scope3_Livestock_Data(), Table_SourceData_Scope3_Animals[[#Headers],[Category]], 0, 2)</f>
        <v>Beef cattle</v>
      </c>
      <c r="E463" s="31" t="str" cm="1">
        <f t="array" ref="E463">Common_InputFunctions.Utility_DisplayArrayInTable(Scope3_SourceData.Scope3_Livestock_Data(), Table_SourceData_Scope3_Animals[[#Headers],[Category]], 0, 2)</f>
        <v>Cattle, weaners</v>
      </c>
      <c r="F463" s="31" t="str" cm="1">
        <f t="array" ref="F463">Common_InputFunctions.Utility_DisplayArrayInTable(Scope3_SourceData.Scope3_Livestock_Data(), Table_SourceData_Scope3_Animals[[#Headers],[Category]], 0, 2)</f>
        <v>SA</v>
      </c>
      <c r="G463" s="31" t="str" cm="1">
        <f t="array" ref="G463">Common_InputFunctions.Utility_DisplayArrayInTable(Scope3_SourceData.Scope3_Livestock_Data(), Table_SourceData_Scope3_Animals[[#Headers],[Category]], 0, 2)</f>
        <v>kg liveweight</v>
      </c>
      <c r="H463" s="31" cm="1">
        <f t="array" ref="H463">Common_InputFunctions.Utility_DisplayArrayInTable(Scope3_SourceData.Scope3_Livestock_Data(), Table_SourceData_Scope3_Animals[[#Headers],[Category]], 0, 2)</f>
        <v>10.8</v>
      </c>
      <c r="I463" s="31" t="str" cm="1">
        <f t="array" ref="I463">Common_InputFunctions.Utility_DisplayArrayInTable(Scope3_SourceData.Scope3_Livestock_Data(), Table_SourceData_Scope3_Animals[[#Headers],[Category]], 0, 2)</f>
        <v>at market</v>
      </c>
    </row>
    <row r="464" spans="4:13" x14ac:dyDescent="0.25">
      <c r="D464" s="31" t="str" cm="1">
        <f t="array" ref="D464">Common_InputFunctions.Utility_DisplayArrayInTable(Scope3_SourceData.Scope3_Livestock_Data(), Table_SourceData_Scope3_Animals[[#Headers],[Category]], 0, 2)</f>
        <v>Beef cattle</v>
      </c>
      <c r="E464" s="31" t="str" cm="1">
        <f t="array" ref="E464">Common_InputFunctions.Utility_DisplayArrayInTable(Scope3_SourceData.Scope3_Livestock_Data(), Table_SourceData_Scope3_Animals[[#Headers],[Category]], 0, 2)</f>
        <v>Cattle, weaners</v>
      </c>
      <c r="F464" s="31" t="str" cm="1">
        <f t="array" ref="F464">Common_InputFunctions.Utility_DisplayArrayInTable(Scope3_SourceData.Scope3_Livestock_Data(), Table_SourceData_Scope3_Animals[[#Headers],[Category]], 0, 2)</f>
        <v>TAS</v>
      </c>
      <c r="G464" s="31" t="str" cm="1">
        <f t="array" ref="G464">Common_InputFunctions.Utility_DisplayArrayInTable(Scope3_SourceData.Scope3_Livestock_Data(), Table_SourceData_Scope3_Animals[[#Headers],[Category]], 0, 2)</f>
        <v>kg liveweight</v>
      </c>
      <c r="H464" s="31" cm="1">
        <f t="array" ref="H464">Common_InputFunctions.Utility_DisplayArrayInTable(Scope3_SourceData.Scope3_Livestock_Data(), Table_SourceData_Scope3_Animals[[#Headers],[Category]], 0, 2)</f>
        <v>13.4</v>
      </c>
      <c r="I464" s="31" t="str" cm="1">
        <f t="array" ref="I464">Common_InputFunctions.Utility_DisplayArrayInTable(Scope3_SourceData.Scope3_Livestock_Data(), Table_SourceData_Scope3_Animals[[#Headers],[Category]], 0, 2)</f>
        <v>at market</v>
      </c>
    </row>
    <row r="465" spans="4:9" x14ac:dyDescent="0.25">
      <c r="D465" s="31" t="str" cm="1">
        <f t="array" ref="D465">Common_InputFunctions.Utility_DisplayArrayInTable(Scope3_SourceData.Scope3_Livestock_Data(), Table_SourceData_Scope3_Animals[[#Headers],[Category]], 0, 2)</f>
        <v>Beef cattle</v>
      </c>
      <c r="E465" s="31" t="str" cm="1">
        <f t="array" ref="E465">Common_InputFunctions.Utility_DisplayArrayInTable(Scope3_SourceData.Scope3_Livestock_Data(), Table_SourceData_Scope3_Animals[[#Headers],[Category]], 0, 2)</f>
        <v>Cattle, weaners</v>
      </c>
      <c r="F465" s="31" t="str" cm="1">
        <f t="array" ref="F465">Common_InputFunctions.Utility_DisplayArrayInTable(Scope3_SourceData.Scope3_Livestock_Data(), Table_SourceData_Scope3_Animals[[#Headers],[Category]], 0, 2)</f>
        <v>VIC</v>
      </c>
      <c r="G465" s="31" t="str" cm="1">
        <f t="array" ref="G465">Common_InputFunctions.Utility_DisplayArrayInTable(Scope3_SourceData.Scope3_Livestock_Data(), Table_SourceData_Scope3_Animals[[#Headers],[Category]], 0, 2)</f>
        <v>kg liveweight</v>
      </c>
      <c r="H465" s="31" cm="1">
        <f t="array" ref="H465">Common_InputFunctions.Utility_DisplayArrayInTable(Scope3_SourceData.Scope3_Livestock_Data(), Table_SourceData_Scope3_Animals[[#Headers],[Category]], 0, 2)</f>
        <v>12</v>
      </c>
      <c r="I465" s="31" t="str" cm="1">
        <f t="array" ref="I465">Common_InputFunctions.Utility_DisplayArrayInTable(Scope3_SourceData.Scope3_Livestock_Data(), Table_SourceData_Scope3_Animals[[#Headers],[Category]], 0, 2)</f>
        <v>at market</v>
      </c>
    </row>
    <row r="466" spans="4:9" x14ac:dyDescent="0.25">
      <c r="D466" s="31" t="str" cm="1">
        <f t="array" ref="D466">Common_InputFunctions.Utility_DisplayArrayInTable(Scope3_SourceData.Scope3_Livestock_Data(), Table_SourceData_Scope3_Animals[[#Headers],[Category]], 0, 2)</f>
        <v>Beef cattle</v>
      </c>
      <c r="E466" s="31" t="str" cm="1">
        <f t="array" ref="E466">Common_InputFunctions.Utility_DisplayArrayInTable(Scope3_SourceData.Scope3_Livestock_Data(), Table_SourceData_Scope3_Animals[[#Headers],[Category]], 0, 2)</f>
        <v>Cattle, weaners</v>
      </c>
      <c r="F466" s="31" t="str" cm="1">
        <f t="array" ref="F466">Common_InputFunctions.Utility_DisplayArrayInTable(Scope3_SourceData.Scope3_Livestock_Data(), Table_SourceData_Scope3_Animals[[#Headers],[Category]], 0, 2)</f>
        <v>WA</v>
      </c>
      <c r="G466" s="31" t="str" cm="1">
        <f t="array" ref="G466">Common_InputFunctions.Utility_DisplayArrayInTable(Scope3_SourceData.Scope3_Livestock_Data(), Table_SourceData_Scope3_Animals[[#Headers],[Category]], 0, 2)</f>
        <v>kg liveweight</v>
      </c>
      <c r="H466" s="31" cm="1">
        <f t="array" ref="H466">Common_InputFunctions.Utility_DisplayArrayInTable(Scope3_SourceData.Scope3_Livestock_Data(), Table_SourceData_Scope3_Animals[[#Headers],[Category]], 0, 2)</f>
        <v>12.4</v>
      </c>
      <c r="I466" s="31" t="str" cm="1">
        <f t="array" ref="I466">Common_InputFunctions.Utility_DisplayArrayInTable(Scope3_SourceData.Scope3_Livestock_Data(), Table_SourceData_Scope3_Animals[[#Headers],[Category]], 0, 2)</f>
        <v>at market</v>
      </c>
    </row>
    <row r="467" spans="4:9" x14ac:dyDescent="0.25">
      <c r="D467" s="31" t="str" cm="1">
        <f t="array" ref="D467">Common_InputFunctions.Utility_DisplayArrayInTable(Scope3_SourceData.Scope3_Livestock_Data(), Table_SourceData_Scope3_Animals[[#Headers],[Category]], 0, 2)</f>
        <v>Chickens</v>
      </c>
      <c r="E467" s="31" t="str" cm="1">
        <f t="array" ref="E467">Common_InputFunctions.Utility_DisplayArrayInTable(Scope3_SourceData.Scope3_Livestock_Data(), Table_SourceData_Scope3_Animals[[#Headers],[Category]], 0, 2)</f>
        <v>Chickens</v>
      </c>
      <c r="F467" s="31" t="str" cm="1">
        <f t="array" ref="F467">Common_InputFunctions.Utility_DisplayArrayInTable(Scope3_SourceData.Scope3_Livestock_Data(), Table_SourceData_Scope3_Animals[[#Headers],[Category]], 0, 2)</f>
        <v>Australia</v>
      </c>
      <c r="G467" s="31" t="str" cm="1">
        <f t="array" ref="G467">Common_InputFunctions.Utility_DisplayArrayInTable(Scope3_SourceData.Scope3_Livestock_Data(), Table_SourceData_Scope3_Animals[[#Headers],[Category]], 0, 2)</f>
        <v>kg liveweight</v>
      </c>
      <c r="H467" s="31" cm="1">
        <f t="array" ref="H467">Common_InputFunctions.Utility_DisplayArrayInTable(Scope3_SourceData.Scope3_Livestock_Data(), Table_SourceData_Scope3_Animals[[#Headers],[Category]], 0, 2)</f>
        <v>1.36</v>
      </c>
      <c r="I467" s="31" t="str" cm="1">
        <f t="array" ref="I467">Common_InputFunctions.Utility_DisplayArrayInTable(Scope3_SourceData.Scope3_Livestock_Data(), Table_SourceData_Scope3_Animals[[#Headers],[Category]], 0, 2)</f>
        <v>at market</v>
      </c>
    </row>
    <row r="468" spans="4:9" x14ac:dyDescent="0.25">
      <c r="D468" s="31" t="str" cm="1">
        <f t="array" ref="D468">Common_InputFunctions.Utility_DisplayArrayInTable(Scope3_SourceData.Scope3_Livestock_Data(), Table_SourceData_Scope3_Animals[[#Headers],[Category]], 0, 2)</f>
        <v>Dairy cattle</v>
      </c>
      <c r="E468" s="31" t="str" cm="1">
        <f t="array" ref="E468">Common_InputFunctions.Utility_DisplayArrayInTable(Scope3_SourceData.Scope3_Livestock_Data(), Table_SourceData_Scope3_Animals[[#Headers],[Category]], 0, 2)</f>
        <v>Dairy cows</v>
      </c>
      <c r="F468" s="31" t="str" cm="1">
        <f t="array" ref="F468">Common_InputFunctions.Utility_DisplayArrayInTable(Scope3_SourceData.Scope3_Livestock_Data(), Table_SourceData_Scope3_Animals[[#Headers],[Category]], 0, 2)</f>
        <v>VIC</v>
      </c>
      <c r="G468" s="31" t="str" cm="1">
        <f t="array" ref="G468">Common_InputFunctions.Utility_DisplayArrayInTable(Scope3_SourceData.Scope3_Livestock_Data(), Table_SourceData_Scope3_Animals[[#Headers],[Category]], 0, 2)</f>
        <v>kg liveweight</v>
      </c>
      <c r="H468" s="31" cm="1">
        <f t="array" ref="H468">Common_InputFunctions.Utility_DisplayArrayInTable(Scope3_SourceData.Scope3_Livestock_Data(), Table_SourceData_Scope3_Animals[[#Headers],[Category]], 0, 2)</f>
        <v>4.41</v>
      </c>
      <c r="I468" s="31" t="str" cm="1">
        <f t="array" ref="I468">Common_InputFunctions.Utility_DisplayArrayInTable(Scope3_SourceData.Scope3_Livestock_Data(), Table_SourceData_Scope3_Animals[[#Headers],[Category]], 0, 2)</f>
        <v>at market</v>
      </c>
    </row>
    <row r="469" spans="4:9" x14ac:dyDescent="0.25">
      <c r="D469" s="31" t="str" cm="1">
        <f t="array" ref="D469">Common_InputFunctions.Utility_DisplayArrayInTable(Scope3_SourceData.Scope3_Livestock_Data(), Table_SourceData_Scope3_Animals[[#Headers],[Category]], 0, 2)</f>
        <v>Pigs</v>
      </c>
      <c r="E469" s="31" t="str" cm="1">
        <f t="array" ref="E469">Common_InputFunctions.Utility_DisplayArrayInTable(Scope3_SourceData.Scope3_Livestock_Data(), Table_SourceData_Scope3_Animals[[#Headers],[Category]], 0, 2)</f>
        <v>Pigs</v>
      </c>
      <c r="F469" s="31" t="str" cm="1">
        <f t="array" ref="F469">Common_InputFunctions.Utility_DisplayArrayInTable(Scope3_SourceData.Scope3_Livestock_Data(), Table_SourceData_Scope3_Animals[[#Headers],[Category]], 0, 2)</f>
        <v>Australia</v>
      </c>
      <c r="G469" s="31" t="str" cm="1">
        <f t="array" ref="G469">Common_InputFunctions.Utility_DisplayArrayInTable(Scope3_SourceData.Scope3_Livestock_Data(), Table_SourceData_Scope3_Animals[[#Headers],[Category]], 0, 2)</f>
        <v>kg liveweight</v>
      </c>
      <c r="H469" s="31" cm="1">
        <f t="array" ref="H469">Common_InputFunctions.Utility_DisplayArrayInTable(Scope3_SourceData.Scope3_Livestock_Data(), Table_SourceData_Scope3_Animals[[#Headers],[Category]], 0, 2)</f>
        <v>3.38</v>
      </c>
      <c r="I469" s="31" t="str" cm="1">
        <f t="array" ref="I469">Common_InputFunctions.Utility_DisplayArrayInTable(Scope3_SourceData.Scope3_Livestock_Data(), Table_SourceData_Scope3_Animals[[#Headers],[Category]], 0, 2)</f>
        <v>at market</v>
      </c>
    </row>
    <row r="470" spans="4:9" x14ac:dyDescent="0.25">
      <c r="D470" s="31" t="str" cm="1">
        <f t="array" ref="D470">Common_InputFunctions.Utility_DisplayArrayInTable(Scope3_SourceData.Scope3_Livestock_Data(), Table_SourceData_Scope3_Animals[[#Headers],[Category]], 0, 2)</f>
        <v>Sheep</v>
      </c>
      <c r="E470" s="31" t="str" cm="1">
        <f t="array" ref="E470">Common_InputFunctions.Utility_DisplayArrayInTable(Scope3_SourceData.Scope3_Livestock_Data(), Table_SourceData_Scope3_Animals[[#Headers],[Category]], 0, 2)</f>
        <v>Sheep, for mutton</v>
      </c>
      <c r="F470" s="31" t="str" cm="1">
        <f t="array" ref="F470">Common_InputFunctions.Utility_DisplayArrayInTable(Scope3_SourceData.Scope3_Livestock_Data(), Table_SourceData_Scope3_Animals[[#Headers],[Category]], 0, 2)</f>
        <v>Australia</v>
      </c>
      <c r="G470" s="31" t="str" cm="1">
        <f t="array" ref="G470">Common_InputFunctions.Utility_DisplayArrayInTable(Scope3_SourceData.Scope3_Livestock_Data(), Table_SourceData_Scope3_Animals[[#Headers],[Category]], 0, 2)</f>
        <v>kg liveweight</v>
      </c>
      <c r="H470" s="31" cm="1">
        <f t="array" ref="H470">Common_InputFunctions.Utility_DisplayArrayInTable(Scope3_SourceData.Scope3_Livestock_Data(), Table_SourceData_Scope3_Animals[[#Headers],[Category]], 0, 2)</f>
        <v>6.81</v>
      </c>
      <c r="I470" s="31" t="str" cm="1">
        <f t="array" ref="I470">Common_InputFunctions.Utility_DisplayArrayInTable(Scope3_SourceData.Scope3_Livestock_Data(), Table_SourceData_Scope3_Animals[[#Headers],[Category]], 0, 2)</f>
        <v>at market</v>
      </c>
    </row>
    <row r="471" spans="4:9" x14ac:dyDescent="0.25">
      <c r="D471" s="31" t="str" cm="1">
        <f t="array" ref="D471">Common_InputFunctions.Utility_DisplayArrayInTable(Scope3_SourceData.Scope3_Livestock_Data(), Table_SourceData_Scope3_Animals[[#Headers],[Category]], 0, 2)</f>
        <v>Sheep</v>
      </c>
      <c r="E471" s="31" t="str" cm="1">
        <f t="array" ref="E471">Common_InputFunctions.Utility_DisplayArrayInTable(Scope3_SourceData.Scope3_Livestock_Data(), Table_SourceData_Scope3_Animals[[#Headers],[Category]], 0, 2)</f>
        <v>Sheep, for mutton</v>
      </c>
      <c r="F471" s="31" t="str" cm="1">
        <f t="array" ref="F471">Common_InputFunctions.Utility_DisplayArrayInTable(Scope3_SourceData.Scope3_Livestock_Data(), Table_SourceData_Scope3_Animals[[#Headers],[Category]], 0, 2)</f>
        <v>NSW</v>
      </c>
      <c r="G471" s="31" t="str" cm="1">
        <f t="array" ref="G471">Common_InputFunctions.Utility_DisplayArrayInTable(Scope3_SourceData.Scope3_Livestock_Data(), Table_SourceData_Scope3_Animals[[#Headers],[Category]], 0, 2)</f>
        <v>kg liveweight</v>
      </c>
      <c r="H471" s="31" cm="1">
        <f t="array" ref="H471">Common_InputFunctions.Utility_DisplayArrayInTable(Scope3_SourceData.Scope3_Livestock_Data(), Table_SourceData_Scope3_Animals[[#Headers],[Category]], 0, 2)</f>
        <v>2.2599999999999998</v>
      </c>
      <c r="I471" s="31" t="str" cm="1">
        <f t="array" ref="I471">Common_InputFunctions.Utility_DisplayArrayInTable(Scope3_SourceData.Scope3_Livestock_Data(), Table_SourceData_Scope3_Animals[[#Headers],[Category]], 0, 2)</f>
        <v>at market</v>
      </c>
    </row>
    <row r="472" spans="4:9" x14ac:dyDescent="0.25">
      <c r="D472" s="31" t="str" cm="1">
        <f t="array" ref="D472">Common_InputFunctions.Utility_DisplayArrayInTable(Scope3_SourceData.Scope3_Livestock_Data(), Table_SourceData_Scope3_Animals[[#Headers],[Category]], 0, 2)</f>
        <v>Sheep</v>
      </c>
      <c r="E472" s="31" t="str" cm="1">
        <f t="array" ref="E472">Common_InputFunctions.Utility_DisplayArrayInTable(Scope3_SourceData.Scope3_Livestock_Data(), Table_SourceData_Scope3_Animals[[#Headers],[Category]], 0, 2)</f>
        <v>Sheep, for mutton</v>
      </c>
      <c r="F472" s="31" t="str" cm="1">
        <f t="array" ref="F472">Common_InputFunctions.Utility_DisplayArrayInTable(Scope3_SourceData.Scope3_Livestock_Data(), Table_SourceData_Scope3_Animals[[#Headers],[Category]], 0, 2)</f>
        <v>QLD</v>
      </c>
      <c r="G472" s="31" t="str" cm="1">
        <f t="array" ref="G472">Common_InputFunctions.Utility_DisplayArrayInTable(Scope3_SourceData.Scope3_Livestock_Data(), Table_SourceData_Scope3_Animals[[#Headers],[Category]], 0, 2)</f>
        <v>kg liveweight</v>
      </c>
      <c r="H472" s="31" cm="1">
        <f t="array" ref="H472">Common_InputFunctions.Utility_DisplayArrayInTable(Scope3_SourceData.Scope3_Livestock_Data(), Table_SourceData_Scope3_Animals[[#Headers],[Category]], 0, 2)</f>
        <v>6.33</v>
      </c>
      <c r="I472" s="31" t="str" cm="1">
        <f t="array" ref="I472">Common_InputFunctions.Utility_DisplayArrayInTable(Scope3_SourceData.Scope3_Livestock_Data(), Table_SourceData_Scope3_Animals[[#Headers],[Category]], 0, 2)</f>
        <v>at market</v>
      </c>
    </row>
    <row r="473" spans="4:9" x14ac:dyDescent="0.25">
      <c r="D473" s="31" t="str" cm="1">
        <f t="array" ref="D473">Common_InputFunctions.Utility_DisplayArrayInTable(Scope3_SourceData.Scope3_Livestock_Data(), Table_SourceData_Scope3_Animals[[#Headers],[Category]], 0, 2)</f>
        <v>Sheep</v>
      </c>
      <c r="E473" s="31" t="str" cm="1">
        <f t="array" ref="E473">Common_InputFunctions.Utility_DisplayArrayInTable(Scope3_SourceData.Scope3_Livestock_Data(), Table_SourceData_Scope3_Animals[[#Headers],[Category]], 0, 2)</f>
        <v>Sheep, for mutton</v>
      </c>
      <c r="F473" s="31" t="str" cm="1">
        <f t="array" ref="F473">Common_InputFunctions.Utility_DisplayArrayInTable(Scope3_SourceData.Scope3_Livestock_Data(), Table_SourceData_Scope3_Animals[[#Headers],[Category]], 0, 2)</f>
        <v>SA</v>
      </c>
      <c r="G473" s="31" t="str" cm="1">
        <f t="array" ref="G473">Common_InputFunctions.Utility_DisplayArrayInTable(Scope3_SourceData.Scope3_Livestock_Data(), Table_SourceData_Scope3_Animals[[#Headers],[Category]], 0, 2)</f>
        <v>kg liveweight</v>
      </c>
      <c r="H473" s="31" cm="1">
        <f t="array" ref="H473">Common_InputFunctions.Utility_DisplayArrayInTable(Scope3_SourceData.Scope3_Livestock_Data(), Table_SourceData_Scope3_Animals[[#Headers],[Category]], 0, 2)</f>
        <v>6.18</v>
      </c>
      <c r="I473" s="31" t="str" cm="1">
        <f t="array" ref="I473">Common_InputFunctions.Utility_DisplayArrayInTable(Scope3_SourceData.Scope3_Livestock_Data(), Table_SourceData_Scope3_Animals[[#Headers],[Category]], 0, 2)</f>
        <v>at market</v>
      </c>
    </row>
    <row r="474" spans="4:9" x14ac:dyDescent="0.25">
      <c r="D474" s="31" t="str" cm="1">
        <f t="array" ref="D474">Common_InputFunctions.Utility_DisplayArrayInTable(Scope3_SourceData.Scope3_Livestock_Data(), Table_SourceData_Scope3_Animals[[#Headers],[Category]], 0, 2)</f>
        <v>Sheep</v>
      </c>
      <c r="E474" s="31" t="str" cm="1">
        <f t="array" ref="E474">Common_InputFunctions.Utility_DisplayArrayInTable(Scope3_SourceData.Scope3_Livestock_Data(), Table_SourceData_Scope3_Animals[[#Headers],[Category]], 0, 2)</f>
        <v>Sheep, for mutton</v>
      </c>
      <c r="F474" s="31" t="str" cm="1">
        <f t="array" ref="F474">Common_InputFunctions.Utility_DisplayArrayInTable(Scope3_SourceData.Scope3_Livestock_Data(), Table_SourceData_Scope3_Animals[[#Headers],[Category]], 0, 2)</f>
        <v>TAS</v>
      </c>
      <c r="G474" s="31" t="str" cm="1">
        <f t="array" ref="G474">Common_InputFunctions.Utility_DisplayArrayInTable(Scope3_SourceData.Scope3_Livestock_Data(), Table_SourceData_Scope3_Animals[[#Headers],[Category]], 0, 2)</f>
        <v>kg liveweight</v>
      </c>
      <c r="H474" s="31" cm="1">
        <f t="array" ref="H474">Common_InputFunctions.Utility_DisplayArrayInTable(Scope3_SourceData.Scope3_Livestock_Data(), Table_SourceData_Scope3_Animals[[#Headers],[Category]], 0, 2)</f>
        <v>7.5</v>
      </c>
      <c r="I474" s="31" t="str" cm="1">
        <f t="array" ref="I474">Common_InputFunctions.Utility_DisplayArrayInTable(Scope3_SourceData.Scope3_Livestock_Data(), Table_SourceData_Scope3_Animals[[#Headers],[Category]], 0, 2)</f>
        <v>at market</v>
      </c>
    </row>
    <row r="475" spans="4:9" x14ac:dyDescent="0.25">
      <c r="D475" s="31" t="str" cm="1">
        <f t="array" ref="D475">Common_InputFunctions.Utility_DisplayArrayInTable(Scope3_SourceData.Scope3_Livestock_Data(), Table_SourceData_Scope3_Animals[[#Headers],[Category]], 0, 2)</f>
        <v>Sheep</v>
      </c>
      <c r="E475" s="31" t="str" cm="1">
        <f t="array" ref="E475">Common_InputFunctions.Utility_DisplayArrayInTable(Scope3_SourceData.Scope3_Livestock_Data(), Table_SourceData_Scope3_Animals[[#Headers],[Category]], 0, 2)</f>
        <v>Sheep, for mutton</v>
      </c>
      <c r="F475" s="31" t="str" cm="1">
        <f t="array" ref="F475">Common_InputFunctions.Utility_DisplayArrayInTable(Scope3_SourceData.Scope3_Livestock_Data(), Table_SourceData_Scope3_Animals[[#Headers],[Category]], 0, 2)</f>
        <v>VIC</v>
      </c>
      <c r="G475" s="31" t="str" cm="1">
        <f t="array" ref="G475">Common_InputFunctions.Utility_DisplayArrayInTable(Scope3_SourceData.Scope3_Livestock_Data(), Table_SourceData_Scope3_Animals[[#Headers],[Category]], 0, 2)</f>
        <v>kg liveweight</v>
      </c>
      <c r="H475" s="31" cm="1">
        <f t="array" ref="H475">Common_InputFunctions.Utility_DisplayArrayInTable(Scope3_SourceData.Scope3_Livestock_Data(), Table_SourceData_Scope3_Animals[[#Headers],[Category]], 0, 2)</f>
        <v>8.08</v>
      </c>
      <c r="I475" s="31" t="str" cm="1">
        <f t="array" ref="I475">Common_InputFunctions.Utility_DisplayArrayInTable(Scope3_SourceData.Scope3_Livestock_Data(), Table_SourceData_Scope3_Animals[[#Headers],[Category]], 0, 2)</f>
        <v>at market</v>
      </c>
    </row>
    <row r="476" spans="4:9" x14ac:dyDescent="0.25">
      <c r="D476" s="31" t="str" cm="1">
        <f t="array" ref="D476">Common_InputFunctions.Utility_DisplayArrayInTable(Scope3_SourceData.Scope3_Livestock_Data(), Table_SourceData_Scope3_Animals[[#Headers],[Category]], 0, 2)</f>
        <v>Sheep</v>
      </c>
      <c r="E476" s="31" t="str" cm="1">
        <f t="array" ref="E476">Common_InputFunctions.Utility_DisplayArrayInTable(Scope3_SourceData.Scope3_Livestock_Data(), Table_SourceData_Scope3_Animals[[#Headers],[Category]], 0, 2)</f>
        <v>Sheep, for mutton</v>
      </c>
      <c r="F476" s="31" t="str" cm="1">
        <f t="array" ref="F476">Common_InputFunctions.Utility_DisplayArrayInTable(Scope3_SourceData.Scope3_Livestock_Data(), Table_SourceData_Scope3_Animals[[#Headers],[Category]], 0, 2)</f>
        <v>WA</v>
      </c>
      <c r="G476" s="31" t="str" cm="1">
        <f t="array" ref="G476">Common_InputFunctions.Utility_DisplayArrayInTable(Scope3_SourceData.Scope3_Livestock_Data(), Table_SourceData_Scope3_Animals[[#Headers],[Category]], 0, 2)</f>
        <v>kg liveweight</v>
      </c>
      <c r="H476" s="31" cm="1">
        <f t="array" ref="H476">Common_InputFunctions.Utility_DisplayArrayInTable(Scope3_SourceData.Scope3_Livestock_Data(), Table_SourceData_Scope3_Animals[[#Headers],[Category]], 0, 2)</f>
        <v>5.45</v>
      </c>
      <c r="I476" s="31" t="str" cm="1">
        <f t="array" ref="I476">Common_InputFunctions.Utility_DisplayArrayInTable(Scope3_SourceData.Scope3_Livestock_Data(), Table_SourceData_Scope3_Animals[[#Headers],[Category]], 0, 2)</f>
        <v>at market</v>
      </c>
    </row>
    <row r="477" spans="4:9" x14ac:dyDescent="0.25">
      <c r="D477" s="31" t="str" cm="1">
        <f t="array" ref="D477">Common_InputFunctions.Utility_DisplayArrayInTable(Scope3_SourceData.Scope3_Livestock_Data(), Table_SourceData_Scope3_Animals[[#Headers],[Category]], 0, 2)</f>
        <v>Sheep</v>
      </c>
      <c r="E477" s="31" t="str" cm="1">
        <f t="array" ref="E477">Common_InputFunctions.Utility_DisplayArrayInTable(Scope3_SourceData.Scope3_Livestock_Data(), Table_SourceData_Scope3_Animals[[#Headers],[Category]], 0, 2)</f>
        <v>Sheep, for prime lamb</v>
      </c>
      <c r="F477" s="31" t="str" cm="1">
        <f t="array" ref="F477">Common_InputFunctions.Utility_DisplayArrayInTable(Scope3_SourceData.Scope3_Livestock_Data(), Table_SourceData_Scope3_Animals[[#Headers],[Category]], 0, 2)</f>
        <v>Australia</v>
      </c>
      <c r="G477" s="31" t="str" cm="1">
        <f t="array" ref="G477">Common_InputFunctions.Utility_DisplayArrayInTable(Scope3_SourceData.Scope3_Livestock_Data(), Table_SourceData_Scope3_Animals[[#Headers],[Category]], 0, 2)</f>
        <v>kg liveweight</v>
      </c>
      <c r="H477" s="31" cm="1">
        <f t="array" ref="H477">Common_InputFunctions.Utility_DisplayArrayInTable(Scope3_SourceData.Scope3_Livestock_Data(), Table_SourceData_Scope3_Animals[[#Headers],[Category]], 0, 2)</f>
        <v>7.15</v>
      </c>
      <c r="I477" s="31" t="str" cm="1">
        <f t="array" ref="I477">Common_InputFunctions.Utility_DisplayArrayInTable(Scope3_SourceData.Scope3_Livestock_Data(), Table_SourceData_Scope3_Animals[[#Headers],[Category]], 0, 2)</f>
        <v>at market</v>
      </c>
    </row>
    <row r="478" spans="4:9" x14ac:dyDescent="0.25">
      <c r="D478" s="31" t="str" cm="1">
        <f t="array" ref="D478">Common_InputFunctions.Utility_DisplayArrayInTable(Scope3_SourceData.Scope3_Livestock_Data(), Table_SourceData_Scope3_Animals[[#Headers],[Category]], 0, 2)</f>
        <v>Sheep</v>
      </c>
      <c r="E478" s="31" t="str" cm="1">
        <f t="array" ref="E478">Common_InputFunctions.Utility_DisplayArrayInTable(Scope3_SourceData.Scope3_Livestock_Data(), Table_SourceData_Scope3_Animals[[#Headers],[Category]], 0, 2)</f>
        <v>Sheep, for prime lamb</v>
      </c>
      <c r="F478" s="31" t="str" cm="1">
        <f t="array" ref="F478">Common_InputFunctions.Utility_DisplayArrayInTable(Scope3_SourceData.Scope3_Livestock_Data(), Table_SourceData_Scope3_Animals[[#Headers],[Category]], 0, 2)</f>
        <v>NSW</v>
      </c>
      <c r="G478" s="31" t="str" cm="1">
        <f t="array" ref="G478">Common_InputFunctions.Utility_DisplayArrayInTable(Scope3_SourceData.Scope3_Livestock_Data(), Table_SourceData_Scope3_Animals[[#Headers],[Category]], 0, 2)</f>
        <v>kg liveweight</v>
      </c>
      <c r="H478" s="31" cm="1">
        <f t="array" ref="H478">Common_InputFunctions.Utility_DisplayArrayInTable(Scope3_SourceData.Scope3_Livestock_Data(), Table_SourceData_Scope3_Animals[[#Headers],[Category]], 0, 2)</f>
        <v>8.2899999999999991</v>
      </c>
      <c r="I478" s="31" t="str" cm="1">
        <f t="array" ref="I478">Common_InputFunctions.Utility_DisplayArrayInTable(Scope3_SourceData.Scope3_Livestock_Data(), Table_SourceData_Scope3_Animals[[#Headers],[Category]], 0, 2)</f>
        <v>at market</v>
      </c>
    </row>
    <row r="479" spans="4:9" x14ac:dyDescent="0.25">
      <c r="D479" s="31" t="str" cm="1">
        <f t="array" ref="D479">Common_InputFunctions.Utility_DisplayArrayInTable(Scope3_SourceData.Scope3_Livestock_Data(), Table_SourceData_Scope3_Animals[[#Headers],[Category]], 0, 2)</f>
        <v>Sheep</v>
      </c>
      <c r="E479" s="31" t="str" cm="1">
        <f t="array" ref="E479">Common_InputFunctions.Utility_DisplayArrayInTable(Scope3_SourceData.Scope3_Livestock_Data(), Table_SourceData_Scope3_Animals[[#Headers],[Category]], 0, 2)</f>
        <v>Sheep, for prime lamb</v>
      </c>
      <c r="F479" s="31" t="str" cm="1">
        <f t="array" ref="F479">Common_InputFunctions.Utility_DisplayArrayInTable(Scope3_SourceData.Scope3_Livestock_Data(), Table_SourceData_Scope3_Animals[[#Headers],[Category]], 0, 2)</f>
        <v>QLD</v>
      </c>
      <c r="G479" s="31" t="str" cm="1">
        <f t="array" ref="G479">Common_InputFunctions.Utility_DisplayArrayInTable(Scope3_SourceData.Scope3_Livestock_Data(), Table_SourceData_Scope3_Animals[[#Headers],[Category]], 0, 2)</f>
        <v>kg liveweight</v>
      </c>
      <c r="H479" s="31" cm="1">
        <f t="array" ref="H479">Common_InputFunctions.Utility_DisplayArrayInTable(Scope3_SourceData.Scope3_Livestock_Data(), Table_SourceData_Scope3_Animals[[#Headers],[Category]], 0, 2)</f>
        <v>6.39</v>
      </c>
      <c r="I479" s="31" t="str" cm="1">
        <f t="array" ref="I479">Common_InputFunctions.Utility_DisplayArrayInTable(Scope3_SourceData.Scope3_Livestock_Data(), Table_SourceData_Scope3_Animals[[#Headers],[Category]], 0, 2)</f>
        <v>at market</v>
      </c>
    </row>
    <row r="480" spans="4:9" x14ac:dyDescent="0.25">
      <c r="D480" s="31" t="str" cm="1">
        <f t="array" ref="D480">Common_InputFunctions.Utility_DisplayArrayInTable(Scope3_SourceData.Scope3_Livestock_Data(), Table_SourceData_Scope3_Animals[[#Headers],[Category]], 0, 2)</f>
        <v>Sheep</v>
      </c>
      <c r="E480" s="31" t="str" cm="1">
        <f t="array" ref="E480">Common_InputFunctions.Utility_DisplayArrayInTable(Scope3_SourceData.Scope3_Livestock_Data(), Table_SourceData_Scope3_Animals[[#Headers],[Category]], 0, 2)</f>
        <v>Sheep, for prime lamb</v>
      </c>
      <c r="F480" s="31" t="str" cm="1">
        <f t="array" ref="F480">Common_InputFunctions.Utility_DisplayArrayInTable(Scope3_SourceData.Scope3_Livestock_Data(), Table_SourceData_Scope3_Animals[[#Headers],[Category]], 0, 2)</f>
        <v>SA</v>
      </c>
      <c r="G480" s="31" t="str" cm="1">
        <f t="array" ref="G480">Common_InputFunctions.Utility_DisplayArrayInTable(Scope3_SourceData.Scope3_Livestock_Data(), Table_SourceData_Scope3_Animals[[#Headers],[Category]], 0, 2)</f>
        <v>kg liveweight</v>
      </c>
      <c r="H480" s="31" cm="1">
        <f t="array" ref="H480">Common_InputFunctions.Utility_DisplayArrayInTable(Scope3_SourceData.Scope3_Livestock_Data(), Table_SourceData_Scope3_Animals[[#Headers],[Category]], 0, 2)</f>
        <v>6.87</v>
      </c>
      <c r="I480" s="31" t="str" cm="1">
        <f t="array" ref="I480">Common_InputFunctions.Utility_DisplayArrayInTable(Scope3_SourceData.Scope3_Livestock_Data(), Table_SourceData_Scope3_Animals[[#Headers],[Category]], 0, 2)</f>
        <v>at market</v>
      </c>
    </row>
    <row r="481" spans="4:9" x14ac:dyDescent="0.25">
      <c r="D481" s="31" t="str" cm="1">
        <f t="array" ref="D481">Common_InputFunctions.Utility_DisplayArrayInTable(Scope3_SourceData.Scope3_Livestock_Data(), Table_SourceData_Scope3_Animals[[#Headers],[Category]], 0, 2)</f>
        <v>Sheep</v>
      </c>
      <c r="E481" s="31" t="str" cm="1">
        <f t="array" ref="E481">Common_InputFunctions.Utility_DisplayArrayInTable(Scope3_SourceData.Scope3_Livestock_Data(), Table_SourceData_Scope3_Animals[[#Headers],[Category]], 0, 2)</f>
        <v>Sheep, for prime lamb</v>
      </c>
      <c r="F481" s="31" t="str" cm="1">
        <f t="array" ref="F481">Common_InputFunctions.Utility_DisplayArrayInTable(Scope3_SourceData.Scope3_Livestock_Data(), Table_SourceData_Scope3_Animals[[#Headers],[Category]], 0, 2)</f>
        <v>TAS</v>
      </c>
      <c r="G481" s="31" t="str" cm="1">
        <f t="array" ref="G481">Common_InputFunctions.Utility_DisplayArrayInTable(Scope3_SourceData.Scope3_Livestock_Data(), Table_SourceData_Scope3_Animals[[#Headers],[Category]], 0, 2)</f>
        <v>kg liveweight</v>
      </c>
      <c r="H481" s="31" cm="1">
        <f t="array" ref="H481">Common_InputFunctions.Utility_DisplayArrayInTable(Scope3_SourceData.Scope3_Livestock_Data(), Table_SourceData_Scope3_Animals[[#Headers],[Category]], 0, 2)</f>
        <v>8.66</v>
      </c>
      <c r="I481" s="31" t="str" cm="1">
        <f t="array" ref="I481">Common_InputFunctions.Utility_DisplayArrayInTable(Scope3_SourceData.Scope3_Livestock_Data(), Table_SourceData_Scope3_Animals[[#Headers],[Category]], 0, 2)</f>
        <v>at market</v>
      </c>
    </row>
    <row r="482" spans="4:9" x14ac:dyDescent="0.25">
      <c r="D482" s="31" t="str" cm="1">
        <f t="array" ref="D482">Common_InputFunctions.Utility_DisplayArrayInTable(Scope3_SourceData.Scope3_Livestock_Data(), Table_SourceData_Scope3_Animals[[#Headers],[Category]], 0, 2)</f>
        <v>Sheep</v>
      </c>
      <c r="E482" s="31" t="str" cm="1">
        <f t="array" ref="E482">Common_InputFunctions.Utility_DisplayArrayInTable(Scope3_SourceData.Scope3_Livestock_Data(), Table_SourceData_Scope3_Animals[[#Headers],[Category]], 0, 2)</f>
        <v>Sheep, for prime lamb</v>
      </c>
      <c r="F482" s="31" t="str" cm="1">
        <f t="array" ref="F482">Common_InputFunctions.Utility_DisplayArrayInTable(Scope3_SourceData.Scope3_Livestock_Data(), Table_SourceData_Scope3_Animals[[#Headers],[Category]], 0, 2)</f>
        <v>VIC</v>
      </c>
      <c r="G482" s="31" t="str" cm="1">
        <f t="array" ref="G482">Common_InputFunctions.Utility_DisplayArrayInTable(Scope3_SourceData.Scope3_Livestock_Data(), Table_SourceData_Scope3_Animals[[#Headers],[Category]], 0, 2)</f>
        <v>kg liveweight</v>
      </c>
      <c r="H482" s="31" cm="1">
        <f t="array" ref="H482">Common_InputFunctions.Utility_DisplayArrayInTable(Scope3_SourceData.Scope3_Livestock_Data(), Table_SourceData_Scope3_Animals[[#Headers],[Category]], 0, 2)</f>
        <v>10</v>
      </c>
      <c r="I482" s="31" t="str" cm="1">
        <f t="array" ref="I482">Common_InputFunctions.Utility_DisplayArrayInTable(Scope3_SourceData.Scope3_Livestock_Data(), Table_SourceData_Scope3_Animals[[#Headers],[Category]], 0, 2)</f>
        <v>at market</v>
      </c>
    </row>
    <row r="483" spans="4:9" x14ac:dyDescent="0.25">
      <c r="D483" s="31" t="str" cm="1">
        <f t="array" ref="D483">Common_InputFunctions.Utility_DisplayArrayInTable(Scope3_SourceData.Scope3_Livestock_Data(), Table_SourceData_Scope3_Animals[[#Headers],[Category]], 0, 2)</f>
        <v>Sheep</v>
      </c>
      <c r="E483" s="31" t="str" cm="1">
        <f t="array" ref="E483">Common_InputFunctions.Utility_DisplayArrayInTable(Scope3_SourceData.Scope3_Livestock_Data(), Table_SourceData_Scope3_Animals[[#Headers],[Category]], 0, 2)</f>
        <v>Sheep, for prime lamb</v>
      </c>
      <c r="F483" s="31" t="str" cm="1">
        <f t="array" ref="F483">Common_InputFunctions.Utility_DisplayArrayInTable(Scope3_SourceData.Scope3_Livestock_Data(), Table_SourceData_Scope3_Animals[[#Headers],[Category]], 0, 2)</f>
        <v>WA</v>
      </c>
      <c r="G483" s="31" t="str" cm="1">
        <f t="array" ref="G483">Common_InputFunctions.Utility_DisplayArrayInTable(Scope3_SourceData.Scope3_Livestock_Data(), Table_SourceData_Scope3_Animals[[#Headers],[Category]], 0, 2)</f>
        <v>kg liveweight</v>
      </c>
      <c r="H483" s="31" cm="1">
        <f t="array" ref="H483">Common_InputFunctions.Utility_DisplayArrayInTable(Scope3_SourceData.Scope3_Livestock_Data(), Table_SourceData_Scope3_Animals[[#Headers],[Category]], 0, 2)</f>
        <v>5.67</v>
      </c>
      <c r="I483" s="31"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14A71-FBDD-4899-A85B-71B8739893E8}">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2" customFormat="1" ht="30" customHeight="1" x14ac:dyDescent="0.35">
      <c r="A1" s="16" t="e" vm="1">
        <v>#VALUE!</v>
      </c>
      <c r="C1" s="32" t="s">
        <v>827</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3" t="s">
        <v>828</v>
      </c>
      <c r="E7" s="243" t="s">
        <v>829</v>
      </c>
      <c r="F7" s="243" t="s">
        <v>830</v>
      </c>
      <c r="G7" s="243" t="s">
        <v>831</v>
      </c>
      <c r="H7" s="243" t="s">
        <v>832</v>
      </c>
      <c r="I7" s="243" t="s">
        <v>833</v>
      </c>
      <c r="J7" s="243" t="s">
        <v>834</v>
      </c>
      <c r="K7" s="243" t="s">
        <v>835</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8" t="str" cm="1">
        <f t="array" ref="D16">Agresidue_SourceData.CropAttributes_Source()</f>
        <v>VEERG 2026: Table A.2.1.1: Crop attributes</v>
      </c>
      <c r="E16" s="8"/>
      <c r="F16" s="8"/>
      <c r="G16" s="8"/>
      <c r="H16" s="8"/>
      <c r="I16" s="8"/>
      <c r="J16" s="8"/>
      <c r="K16" s="8"/>
      <c r="L16" s="8"/>
    </row>
    <row r="17" spans="1:14" ht="20.100000000000001" customHeight="1" x14ac:dyDescent="0.25">
      <c r="D17" s="37"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466</v>
      </c>
      <c r="E19" t="s">
        <v>836</v>
      </c>
      <c r="F19" t="s">
        <v>837</v>
      </c>
      <c r="G19" t="s">
        <v>838</v>
      </c>
      <c r="H19" t="s">
        <v>839</v>
      </c>
      <c r="I19" t="s">
        <v>840</v>
      </c>
      <c r="J19" t="s">
        <v>841</v>
      </c>
      <c r="K19" t="s">
        <v>842</v>
      </c>
      <c r="L19" t="s">
        <v>843</v>
      </c>
      <c r="N19" s="2" t="s">
        <v>302</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1" t="s">
        <v>75</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1" t="s">
        <v>309</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1" t="s">
        <v>313</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237</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321</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323</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0"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5"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6"/>
      <c r="F40" s="36"/>
      <c r="G40" s="8"/>
      <c r="H40" s="8"/>
      <c r="I40" s="8"/>
      <c r="J40" s="8"/>
      <c r="K40" s="8"/>
      <c r="L40" s="8"/>
    </row>
    <row r="41" spans="1:13" ht="20.100000000000001" customHeight="1" x14ac:dyDescent="0.25">
      <c r="A41" s="5" t="str">
        <f>HYPERLINK("#'Constants - Electricity'!A1", "Constants - Electricity")</f>
        <v>Constants - Electricity</v>
      </c>
      <c r="D41" s="28" t="str" cm="1">
        <f t="array" ref="D41">Agresidue_SourceData.N2OEFOrganicFertiliser_Source()</f>
        <v>VEERG 2026: Table A.2.1.4</v>
      </c>
      <c r="E41" s="36"/>
      <c r="F41" s="36"/>
      <c r="G41" s="8"/>
      <c r="H41" s="8"/>
      <c r="I41" s="8"/>
      <c r="J41" s="8"/>
      <c r="K41" s="8"/>
      <c r="L41" s="8"/>
    </row>
    <row r="42" spans="1:13" ht="20.100000000000001" customHeight="1" x14ac:dyDescent="0.25">
      <c r="A42" s="5" t="str">
        <f>HYPERLINK("#'Constants - Fertiliser'!A1", "Constants - Fertiliser")</f>
        <v>Constants - Fertiliser</v>
      </c>
      <c r="D42" s="28"/>
      <c r="E42" s="36"/>
      <c r="F42" s="36"/>
      <c r="H42" s="8"/>
      <c r="I42" s="8"/>
      <c r="M42" s="36"/>
    </row>
    <row r="43" spans="1:13" ht="20.100000000000001" customHeight="1" x14ac:dyDescent="0.25">
      <c r="A43" s="5" t="str">
        <f>HYPERLINK("#'Constants - Fuel'!A1", "Constants - Fuel")</f>
        <v>Constants - Fuel</v>
      </c>
      <c r="D43" s="185" t="s">
        <v>844</v>
      </c>
      <c r="E43" s="185" t="s">
        <v>845</v>
      </c>
      <c r="F43" s="36"/>
      <c r="H43" s="8"/>
      <c r="I43" s="8"/>
      <c r="M43" s="36"/>
    </row>
    <row r="44" spans="1:13" ht="20.100000000000001" customHeight="1" x14ac:dyDescent="0.25">
      <c r="A44" s="5" t="str">
        <f>HYPERLINK("#'Constants - Common'!A1", "Constants - Common")</f>
        <v>Constants - Common</v>
      </c>
      <c r="D44" s="38" t="str" cm="1">
        <f t="array" ref="D44">Common_InputFunctions.Utility_DisplayArrayInTable(Agresidue_SourceData.N2OEFOrganicFertiliser_Data(), Table_SourceData_N2OEFOrganicFert[[#Headers],[Climate zone type i]], 0)</f>
        <v>Wet climate zone</v>
      </c>
      <c r="E44" s="38" cm="1">
        <f t="array" ref="E44">Common_InputFunctions.Utility_DisplayArrayInTable(Agresidue_SourceData.N2OEFOrganicFertiliser_Data(), Table_SourceData_N2OEFOrganicFert[[#Headers],[Climate zone type i]], 0)</f>
        <v>6.0000000000000001E-3</v>
      </c>
      <c r="F44" s="36"/>
      <c r="H44" s="8"/>
      <c r="I44" s="8"/>
      <c r="M44" s="36"/>
    </row>
    <row r="45" spans="1:13" ht="20.100000000000001" customHeight="1" x14ac:dyDescent="0.25">
      <c r="A45" s="5" t="str">
        <f>HYPERLINK("#'Acknowledgements'!A1", "Acknowledgements")</f>
        <v>Acknowledgements</v>
      </c>
      <c r="D45" s="38" t="str" cm="1">
        <f t="array" ref="D45">Common_InputFunctions.Utility_DisplayArrayInTable(Agresidue_SourceData.N2OEFOrganicFertiliser_Data(), Table_SourceData_N2OEFOrganicFert[[#Headers],[Climate zone type i]], 0)</f>
        <v>Dry climate zone</v>
      </c>
      <c r="E45" s="38" cm="1">
        <f t="array" ref="E45">Common_InputFunctions.Utility_DisplayArrayInTable(Agresidue_SourceData.N2OEFOrganicFertiliser_Data(), Table_SourceData_N2OEFOrganicFert[[#Headers],[Climate zone type i]], 0)</f>
        <v>5.0000000000000001E-3</v>
      </c>
      <c r="F45" s="36"/>
      <c r="H45" s="8"/>
      <c r="I45" s="8"/>
      <c r="M45" s="36"/>
    </row>
    <row r="46" spans="1:13" ht="20.100000000000001" customHeight="1" x14ac:dyDescent="0.25">
      <c r="A46" s="5" t="str">
        <f>HYPERLINK("#'Overview'!A1", "Overview")</f>
        <v>Overview</v>
      </c>
      <c r="H46" s="8"/>
      <c r="I46" s="8"/>
      <c r="M46" s="36"/>
    </row>
    <row r="47" spans="1:13" ht="20.100000000000001" customHeight="1" x14ac:dyDescent="0.25">
      <c r="M47" s="36"/>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8"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1" t="s">
        <v>797</v>
      </c>
      <c r="E51" s="31" t="s">
        <v>846</v>
      </c>
      <c r="F51" s="31" t="s">
        <v>847</v>
      </c>
      <c r="G51" s="31" t="s">
        <v>848</v>
      </c>
      <c r="H51" s="31" t="s">
        <v>849</v>
      </c>
      <c r="I51" s="31" t="s">
        <v>850</v>
      </c>
      <c r="K51" s="8"/>
      <c r="L51" s="8"/>
    </row>
    <row r="52" spans="4:12" ht="20.100000000000001" customHeight="1" x14ac:dyDescent="0.25">
      <c r="D52" s="31" t="str" cm="1">
        <f t="array" ref="D52">Common_InputFunctions.Utility_DisplayArrayInTable(Agresidue_SourceData.PastureAttributes_Data(), Table_SourceData_PastureAttributes[[#Headers],[Pasture type]], 0)</f>
        <v>Annual grass</v>
      </c>
      <c r="E52" s="31" cm="1">
        <f t="array" ref="E52">Common_InputFunctions.Utility_DisplayArrayInTable(Agresidue_SourceData.PastureAttributes_Data(), Table_SourceData_PastureAttributes[[#Headers],[Pasture type]], 0)</f>
        <v>4.41</v>
      </c>
      <c r="F52" s="31" cm="1">
        <f t="array" ref="F52">Common_InputFunctions.Utility_DisplayArrayInTable(Agresidue_SourceData.PastureAttributes_Data(), Table_SourceData_PastureAttributes[[#Headers],[Pasture type]], 0)</f>
        <v>0.4</v>
      </c>
      <c r="G52" s="31" cm="1">
        <f t="array" ref="G52">Common_InputFunctions.Utility_DisplayArrayInTable(Agresidue_SourceData.PastureAttributes_Data(), Table_SourceData_PastureAttributes[[#Headers],[Pasture type]], 0)</f>
        <v>1.4999999999999999E-2</v>
      </c>
      <c r="H52" s="31" cm="1">
        <f t="array" ref="H52">Common_InputFunctions.Utility_DisplayArrayInTable(Agresidue_SourceData.PastureAttributes_Data(), Table_SourceData_PastureAttributes[[#Headers],[Pasture type]], 0)</f>
        <v>1.2E-2</v>
      </c>
      <c r="I52" s="31" cm="1">
        <f t="array" ref="I52">Common_InputFunctions.Utility_DisplayArrayInTable(Agresidue_SourceData.PastureAttributes_Data(), Table_SourceData_PastureAttributes[[#Headers],[Pasture type]], 0)</f>
        <v>0.8</v>
      </c>
      <c r="L52" s="8"/>
    </row>
    <row r="53" spans="4:12" ht="20.100000000000001" customHeight="1" x14ac:dyDescent="0.25">
      <c r="D53" s="31" t="str" cm="1">
        <f t="array" ref="D53">Common_InputFunctions.Utility_DisplayArrayInTable(Agresidue_SourceData.PastureAttributes_Data(), Table_SourceData_PastureAttributes[[#Headers],[Pasture type]], 0)</f>
        <v>Grass clover mixture</v>
      </c>
      <c r="E53" s="31" cm="1">
        <f t="array" ref="E53">Common_InputFunctions.Utility_DisplayArrayInTable(Agresidue_SourceData.PastureAttributes_Data(), Table_SourceData_PastureAttributes[[#Headers],[Pasture type]], 0)</f>
        <v>8.34</v>
      </c>
      <c r="F53" s="31" cm="1">
        <f t="array" ref="F53">Common_InputFunctions.Utility_DisplayArrayInTable(Agresidue_SourceData.PastureAttributes_Data(), Table_SourceData_PastureAttributes[[#Headers],[Pasture type]], 0)</f>
        <v>0.8</v>
      </c>
      <c r="G53" s="31" cm="1">
        <f t="array" ref="G53">Common_InputFunctions.Utility_DisplayArrayInTable(Agresidue_SourceData.PastureAttributes_Data(), Table_SourceData_PastureAttributes[[#Headers],[Pasture type]], 0)</f>
        <v>2.5000000000000001E-2</v>
      </c>
      <c r="H53" s="31" cm="1">
        <f t="array" ref="H53">Common_InputFunctions.Utility_DisplayArrayInTable(Agresidue_SourceData.PastureAttributes_Data(), Table_SourceData_PastureAttributes[[#Headers],[Pasture type]], 0)</f>
        <v>1.6E-2</v>
      </c>
      <c r="I53" s="31" cm="1">
        <f t="array" ref="I53">Common_InputFunctions.Utility_DisplayArrayInTable(Agresidue_SourceData.PastureAttributes_Data(), Table_SourceData_PastureAttributes[[#Headers],[Pasture type]], 0)</f>
        <v>0.8</v>
      </c>
      <c r="L53" s="8"/>
    </row>
    <row r="54" spans="4:12" ht="20.100000000000001" customHeight="1" x14ac:dyDescent="0.25">
      <c r="D54" s="31" t="str" cm="1">
        <f t="array" ref="D54">Common_InputFunctions.Utility_DisplayArrayInTable(Agresidue_SourceData.PastureAttributes_Data(), Table_SourceData_PastureAttributes[[#Headers],[Pasture type]], 0)</f>
        <v>Lucerne</v>
      </c>
      <c r="E54" s="31" cm="1">
        <f t="array" ref="E54">Common_InputFunctions.Utility_DisplayArrayInTable(Agresidue_SourceData.PastureAttributes_Data(), Table_SourceData_PastureAttributes[[#Headers],[Pasture type]], 0)</f>
        <v>8.6199999999999992</v>
      </c>
      <c r="F54" s="31" cm="1">
        <f t="array" ref="F54">Common_InputFunctions.Utility_DisplayArrayInTable(Agresidue_SourceData.PastureAttributes_Data(), Table_SourceData_PastureAttributes[[#Headers],[Pasture type]], 0)</f>
        <v>0.4</v>
      </c>
      <c r="G54" s="31" cm="1">
        <f t="array" ref="G54">Common_InputFunctions.Utility_DisplayArrayInTable(Agresidue_SourceData.PastureAttributes_Data(), Table_SourceData_PastureAttributes[[#Headers],[Pasture type]], 0)</f>
        <v>2.7E-2</v>
      </c>
      <c r="H54" s="31" cm="1">
        <f t="array" ref="H54">Common_InputFunctions.Utility_DisplayArrayInTable(Agresidue_SourceData.PastureAttributes_Data(), Table_SourceData_PastureAttributes[[#Headers],[Pasture type]], 0)</f>
        <v>1.9E-2</v>
      </c>
      <c r="I54" s="31" cm="1">
        <f t="array" ref="I54">Common_InputFunctions.Utility_DisplayArrayInTable(Agresidue_SourceData.PastureAttributes_Data(), Table_SourceData_PastureAttributes[[#Headers],[Pasture type]], 0)</f>
        <v>0.8</v>
      </c>
    </row>
    <row r="55" spans="4:12" ht="20.100000000000001" customHeight="1" x14ac:dyDescent="0.25">
      <c r="D55" s="31" t="str" cm="1">
        <f t="array" ref="D55">Common_InputFunctions.Utility_DisplayArrayInTable(Agresidue_SourceData.PastureAttributes_Data(), Table_SourceData_PastureAttributes[[#Headers],[Pasture type]], 0)</f>
        <v>Other legume</v>
      </c>
      <c r="E55" s="31" cm="1">
        <f t="array" ref="E55">Common_InputFunctions.Utility_DisplayArrayInTable(Agresidue_SourceData.PastureAttributes_Data(), Table_SourceData_PastureAttributes[[#Headers],[Pasture type]], 0)</f>
        <v>5.62</v>
      </c>
      <c r="F55" s="31" cm="1">
        <f t="array" ref="F55">Common_InputFunctions.Utility_DisplayArrayInTable(Agresidue_SourceData.PastureAttributes_Data(), Table_SourceData_PastureAttributes[[#Headers],[Pasture type]], 0)</f>
        <v>0.4</v>
      </c>
      <c r="G55" s="31" cm="1">
        <f t="array" ref="G55">Common_InputFunctions.Utility_DisplayArrayInTable(Agresidue_SourceData.PastureAttributes_Data(), Table_SourceData_PastureAttributes[[#Headers],[Pasture type]], 0)</f>
        <v>2.7E-2</v>
      </c>
      <c r="H55" s="31" cm="1">
        <f t="array" ref="H55">Common_InputFunctions.Utility_DisplayArrayInTable(Agresidue_SourceData.PastureAttributes_Data(), Table_SourceData_PastureAttributes[[#Headers],[Pasture type]], 0)</f>
        <v>2.1999999999999999E-2</v>
      </c>
      <c r="I55" s="31" cm="1">
        <f t="array" ref="I55">Common_InputFunctions.Utility_DisplayArrayInTable(Agresidue_SourceData.PastureAttributes_Data(), Table_SourceData_PastureAttributes[[#Headers],[Pasture type]], 0)</f>
        <v>0.8</v>
      </c>
    </row>
    <row r="56" spans="4:12" ht="20.100000000000001" customHeight="1" x14ac:dyDescent="0.25">
      <c r="D56" s="31" t="str" cm="1">
        <f t="array" ref="D56">Common_InputFunctions.Utility_DisplayArrayInTable(Agresidue_SourceData.PastureAttributes_Data(), Table_SourceData_PastureAttributes[[#Headers],[Pasture type]], 0)</f>
        <v>Perennial pasture</v>
      </c>
      <c r="E56" s="31" cm="1">
        <f t="array" ref="E56">Common_InputFunctions.Utility_DisplayArrayInTable(Agresidue_SourceData.PastureAttributes_Data(), Table_SourceData_PastureAttributes[[#Headers],[Pasture type]], 0)</f>
        <v>8.35</v>
      </c>
      <c r="F56" s="31" cm="1">
        <f t="array" ref="F56">Common_InputFunctions.Utility_DisplayArrayInTable(Agresidue_SourceData.PastureAttributes_Data(), Table_SourceData_PastureAttributes[[#Headers],[Pasture type]], 0)</f>
        <v>0.8</v>
      </c>
      <c r="G56" s="31" cm="1">
        <f t="array" ref="G56">Common_InputFunctions.Utility_DisplayArrayInTable(Agresidue_SourceData.PastureAttributes_Data(), Table_SourceData_PastureAttributes[[#Headers],[Pasture type]], 0)</f>
        <v>1.4999999999999999E-2</v>
      </c>
      <c r="H56" s="31" cm="1">
        <f t="array" ref="H56">Common_InputFunctions.Utility_DisplayArrayInTable(Agresidue_SourceData.PastureAttributes_Data(), Table_SourceData_PastureAttributes[[#Headers],[Pasture type]], 0)</f>
        <v>1.2E-2</v>
      </c>
      <c r="I56" s="31"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8"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1" t="s">
        <v>851</v>
      </c>
      <c r="E62" s="31" t="s">
        <v>852</v>
      </c>
      <c r="F62" s="31" t="s">
        <v>853</v>
      </c>
    </row>
    <row r="63" spans="4:12" ht="20.100000000000001" customHeight="1" x14ac:dyDescent="0.25">
      <c r="D63" s="31" t="str" cm="1">
        <f t="array" ref="D63">Common_InputFunctions.Utility_DisplayArrayInTable(AgResidues_SourceData.BurningOfAgriculturalResiduesEFs_Data(), Table_SourceData_BurningResidueEFs[[#Headers],[Gas species]], 0)</f>
        <v>CH4</v>
      </c>
      <c r="E63" s="31" cm="1">
        <f t="array" ref="E63">Common_InputFunctions.Utility_DisplayArrayInTable(AgResidues_SourceData.BurningOfAgriculturalResiduesEFs_Data(), Table_SourceData_BurningResidueEFs[[#Headers],[Gas species]], 0)</f>
        <v>3.5000000000000001E-3</v>
      </c>
      <c r="F63" s="31"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1" cm="1">
        <f t="array" ref="E64">Common_InputFunctions.Utility_DisplayArrayInTable(AgResidues_SourceData.BurningOfAgriculturalResiduesEFs_Data(), Table_SourceData_BurningResidueEFs[[#Headers],[Gas species]], 0)</f>
        <v>7.6E-3</v>
      </c>
      <c r="F64" s="31"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1" cm="1">
        <f t="array" ref="E65">Common_InputFunctions.Utility_DisplayArrayInTable(AgResidues_SourceData.BurningOfAgriculturalResiduesEFs_Data(), Table_SourceData_BurningResidueEFs[[#Headers],[Gas species]], 0)</f>
        <v>0.21</v>
      </c>
      <c r="F65" s="31"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1" cm="1">
        <f t="array" ref="E66">Common_InputFunctions.Utility_DisplayArrayInTable(AgResidues_SourceData.BurningOfAgriculturalResiduesEFs_Data(), Table_SourceData_BurningResidueEFs[[#Headers],[Gas species]], 0)</f>
        <v>7.8E-2</v>
      </c>
      <c r="F66" s="31"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1" cm="1">
        <f t="array" ref="E67">Common_InputFunctions.Utility_DisplayArrayInTable(AgResidues_SourceData.BurningOfAgriculturalResiduesEFs_Data(), Table_SourceData_BurningResidueEFs[[#Headers],[Gas species]], 0)</f>
        <v>9.1000000000000004E-3</v>
      </c>
      <c r="F67" s="31"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8"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854</v>
      </c>
      <c r="E73" t="s">
        <v>110</v>
      </c>
      <c r="F73" t="s">
        <v>855</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7"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854</v>
      </c>
      <c r="E92" t="s">
        <v>110</v>
      </c>
      <c r="F92" t="s">
        <v>855</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A1064-42AC-4AEB-BDE9-7E34EBAF9C89}">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2" t="s">
        <v>856</v>
      </c>
      <c r="D1" s="32"/>
      <c r="E1" s="32"/>
      <c r="F1" s="32"/>
      <c r="G1" s="32"/>
      <c r="H1" s="32"/>
      <c r="I1" s="32"/>
      <c r="J1" s="32"/>
      <c r="K1" s="32"/>
      <c r="L1" s="32"/>
      <c r="M1" s="32"/>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4"/>
      <c r="D3" s="34"/>
      <c r="E3" s="34"/>
      <c r="F3" s="34"/>
      <c r="G3" s="34"/>
      <c r="H3" s="34"/>
      <c r="I3" s="34"/>
      <c r="J3" s="34"/>
      <c r="K3" s="34"/>
      <c r="L3" s="34"/>
      <c r="M3" s="34"/>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6"/>
      <c r="F6" s="36"/>
      <c r="G6" s="36"/>
      <c r="H6" s="36"/>
    </row>
    <row r="7" spans="1:13" ht="20.100000000000001" customHeight="1" x14ac:dyDescent="0.25">
      <c r="A7" s="7" t="s">
        <v>0</v>
      </c>
      <c r="D7" s="36" t="str" cm="1">
        <f t="array" ref="D7">CommonLivestock_SourceData.SourceData_Livestock_Common_SymbolsMMS_Vairable()</f>
        <v>MMS</v>
      </c>
      <c r="E7" s="36"/>
      <c r="F7" s="36"/>
      <c r="G7" s="36"/>
      <c r="H7" s="36"/>
    </row>
    <row r="8" spans="1:13" ht="20.100000000000001" customHeight="1" x14ac:dyDescent="0.25">
      <c r="A8" s="5" t="str">
        <f>HYPERLINK("#'Input - Enterprise'!A1", "Enterprise")</f>
        <v>Enterprise</v>
      </c>
      <c r="D8" s="28" t="str" cm="1">
        <f t="array" ref="D8">CommonLivestock_SourceData.SourceData_Livestock_Common_SymbolsMMS_Source()</f>
        <v>National Inventory Report 2023 Volume 1: Table 5.12</v>
      </c>
      <c r="E8" s="36"/>
      <c r="F8" s="36"/>
      <c r="G8" s="36"/>
      <c r="H8" s="36"/>
    </row>
    <row r="9" spans="1:13" ht="20.100000000000001" customHeight="1" x14ac:dyDescent="0.25">
      <c r="A9" s="5" t="str">
        <f>HYPERLINK("#'Input - Site'!A1", "Site")</f>
        <v>Site</v>
      </c>
      <c r="D9" s="38" t="s">
        <v>857</v>
      </c>
      <c r="E9" s="31" t="s">
        <v>233</v>
      </c>
      <c r="F9" s="31" t="s">
        <v>858</v>
      </c>
      <c r="G9" s="36"/>
    </row>
    <row r="10" spans="1:13" ht="20.100000000000001" customHeight="1" x14ac:dyDescent="0.25">
      <c r="A10" s="5" t="str">
        <f>HYPERLINK("#'Input - Pasture Beef'!A1", "Pasture Beef")</f>
        <v>Pasture Beef</v>
      </c>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6"/>
    </row>
    <row r="11" spans="1:13" ht="20.100000000000001" customHeight="1" x14ac:dyDescent="0.25">
      <c r="A11" s="5" t="str">
        <f>HYPERLINK("#'Input - Pasture Beef (Enteric)'!A1", "Pasture Beef (Enteric)")</f>
        <v>Pasture Beef (Enteric)</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6"/>
    </row>
    <row r="12" spans="1:13" ht="20.100000000000001" customHeight="1" x14ac:dyDescent="0.25">
      <c r="A12" s="5" t="str">
        <f>HYPERLINK("#'Input - Pasture'!A1", "Pasture")</f>
        <v>Pasture</v>
      </c>
      <c r="D12" s="31" t="str" cm="1">
        <f t="array" ref="D12">Common_InputFunctions.Utility_DisplayArrayInTable(CommonLivestock_SourceData.SourceData_Livestock_Common_SymbolsMMS_Data(), Table_Data_MMSSymbols[[#Headers],[Symbol]], 0)</f>
        <v>3</v>
      </c>
      <c r="E12" s="31" t="str" cm="1">
        <f t="array" ref="E12">Common_InputFunctions.Utility_DisplayArrayInTable(CommonLivestock_SourceData.SourceData_Livestock_Common_SymbolsMMS_Data(), Table_Data_MMSSymbols[[#Headers],[Symbol]], 0)</f>
        <v>Daily spread</v>
      </c>
      <c r="F12" s="31" t="str" cm="1">
        <f t="array" ref="F12">Common_InputFunctions.Utility_DisplayArrayInTable(CommonLivestock_SourceData.SourceData_Livestock_Common_SymbolsMMS_Data(), Table_Data_MMSSymbols[[#Headers],[Symbol]], 0)</f>
        <v>Daily spread (m=3)</v>
      </c>
      <c r="G12" s="36"/>
    </row>
    <row r="13" spans="1:13" ht="20.100000000000001" customHeight="1" x14ac:dyDescent="0.25">
      <c r="A13" s="5" t="str">
        <f>HYPERLINK("#'Input - Fertiliser'!A1", "Fertiliser")</f>
        <v>Fertiliser</v>
      </c>
      <c r="D13" s="31" t="str" cm="1">
        <f t="array" ref="D13">Common_InputFunctions.Utility_DisplayArrayInTable(CommonLivestock_SourceData.SourceData_Livestock_Common_SymbolsMMS_Data(), Table_Data_MMSSymbols[[#Headers],[Symbol]], 0)</f>
        <v>3a</v>
      </c>
      <c r="E13" s="31" t="str" cm="1">
        <f t="array" ref="E13">Common_InputFunctions.Utility_DisplayArrayInTable(CommonLivestock_SourceData.SourceData_Livestock_Common_SymbolsMMS_Data(), Table_Data_MMSSymbols[[#Headers],[Symbol]], 0)</f>
        <v>Sump and dispersal system</v>
      </c>
      <c r="F13" s="31" t="str" cm="1">
        <f t="array" ref="F13">Common_InputFunctions.Utility_DisplayArrayInTable(CommonLivestock_SourceData.SourceData_Livestock_Common_SymbolsMMS_Data(), Table_Data_MMSSymbols[[#Headers],[Symbol]], 0)</f>
        <v>Sump and dispersal system (m=3a)</v>
      </c>
      <c r="G13" s="36"/>
    </row>
    <row r="14" spans="1:13" ht="20.100000000000001" customHeight="1" x14ac:dyDescent="0.25">
      <c r="A14" s="5" t="str">
        <f>HYPERLINK("#'Input - Fuel'!A1", "Fuel")</f>
        <v>Fuel</v>
      </c>
      <c r="D14" s="31" t="str" cm="1">
        <f t="array" ref="D14">Common_InputFunctions.Utility_DisplayArrayInTable(CommonLivestock_SourceData.SourceData_Livestock_Common_SymbolsMMS_Data(), Table_Data_MMSSymbols[[#Headers],[Symbol]], 0)</f>
        <v>3b</v>
      </c>
      <c r="E14" s="31" t="str" cm="1">
        <f t="array" ref="E14">Common_InputFunctions.Utility_DisplayArrayInTable(CommonLivestock_SourceData.SourceData_Livestock_Common_SymbolsMMS_Data(), Table_Data_MMSSymbols[[#Headers],[Symbol]], 0)</f>
        <v>Drains to paddock</v>
      </c>
      <c r="F14" s="31" t="str" cm="1">
        <f t="array" ref="F14">Common_InputFunctions.Utility_DisplayArrayInTable(CommonLivestock_SourceData.SourceData_Livestock_Common_SymbolsMMS_Data(), Table_Data_MMSSymbols[[#Headers],[Symbol]], 0)</f>
        <v>Drains to paddock (m=3b)</v>
      </c>
      <c r="G14" s="36"/>
    </row>
    <row r="15" spans="1:13" ht="20.100000000000001" customHeight="1" x14ac:dyDescent="0.25">
      <c r="A15" s="5" t="str">
        <f>HYPERLINK("#'Input - Electricity'!A1", "Electricity")</f>
        <v>Electricity</v>
      </c>
      <c r="D15" s="31" t="str" cm="1">
        <f t="array" ref="D15">Common_InputFunctions.Utility_DisplayArrayInTable(CommonLivestock_SourceData.SourceData_Livestock_Common_SymbolsMMS_Data(), Table_Data_MMSSymbols[[#Headers],[Symbol]], 0)</f>
        <v>4</v>
      </c>
      <c r="E15" s="31" t="str" cm="1">
        <f t="array" ref="E15">Common_InputFunctions.Utility_DisplayArrayInTable(CommonLivestock_SourceData.SourceData_Livestock_Common_SymbolsMMS_Data(), Table_Data_MMSSymbols[[#Headers],[Symbol]], 0)</f>
        <v>Solid storage</v>
      </c>
      <c r="F15" s="31" t="str" cm="1">
        <f t="array" ref="F15">Common_InputFunctions.Utility_DisplayArrayInTable(CommonLivestock_SourceData.SourceData_Livestock_Common_SymbolsMMS_Data(), Table_Data_MMSSymbols[[#Headers],[Symbol]], 0)</f>
        <v>Solid storage (m=4)</v>
      </c>
      <c r="G15" s="36"/>
    </row>
    <row r="16" spans="1:13" ht="20.100000000000001" customHeight="1" x14ac:dyDescent="0.25">
      <c r="D16" s="31" t="str" cm="1">
        <f t="array" ref="D16">Common_InputFunctions.Utility_DisplayArrayInTable(CommonLivestock_SourceData.SourceData_Livestock_Common_SymbolsMMS_Data(), Table_Data_MMSSymbols[[#Headers],[Symbol]], 0)</f>
        <v>5</v>
      </c>
      <c r="E16" s="31" t="str" cm="1">
        <f t="array" ref="E16">Common_InputFunctions.Utility_DisplayArrayInTable(CommonLivestock_SourceData.SourceData_Livestock_Common_SymbolsMMS_Data(), Table_Data_MMSSymbols[[#Headers],[Symbol]], 0)</f>
        <v>Drylot (feed pad)</v>
      </c>
      <c r="F16" s="31" t="str" cm="1">
        <f t="array" ref="F16">Common_InputFunctions.Utility_DisplayArrayInTable(CommonLivestock_SourceData.SourceData_Livestock_Common_SymbolsMMS_Data(), Table_Data_MMSSymbols[[#Headers],[Symbol]], 0)</f>
        <v>Drylot (feed pad) (m=5)</v>
      </c>
      <c r="G16" s="36"/>
    </row>
    <row r="17" spans="1:8" ht="20.100000000000001" customHeight="1" x14ac:dyDescent="0.25">
      <c r="D17" s="31" t="str" cm="1">
        <f t="array" ref="D17">Common_InputFunctions.Utility_DisplayArrayInTable(CommonLivestock_SourceData.SourceData_Livestock_Common_SymbolsMMS_Data(), Table_Data_MMSSymbols[[#Headers],[Symbol]], 0)</f>
        <v>6</v>
      </c>
      <c r="E17" s="31" t="str" cm="1">
        <f t="array" ref="E17">Common_InputFunctions.Utility_DisplayArrayInTable(CommonLivestock_SourceData.SourceData_Livestock_Common_SymbolsMMS_Data(), Table_Data_MMSSymbols[[#Headers],[Symbol]], 0)</f>
        <v>Composting (passive windrow)</v>
      </c>
      <c r="F17" s="31" t="str" cm="1">
        <f t="array" ref="F17">Common_InputFunctions.Utility_DisplayArrayInTable(CommonLivestock_SourceData.SourceData_Livestock_Common_SymbolsMMS_Data(), Table_Data_MMSSymbols[[#Headers],[Symbol]], 0)</f>
        <v>Composting (passive windrow) (m=6)</v>
      </c>
      <c r="G17" s="36"/>
    </row>
    <row r="18" spans="1:8" ht="20.100000000000001" customHeight="1" x14ac:dyDescent="0.25">
      <c r="A18" s="6" t="s">
        <v>2</v>
      </c>
      <c r="D18" s="31" t="str" cm="1">
        <f t="array" ref="D18">Common_InputFunctions.Utility_DisplayArrayInTable(CommonLivestock_SourceData.SourceData_Livestock_Common_SymbolsMMS_Data(), Table_Data_MMSSymbols[[#Headers],[Symbol]], 0)</f>
        <v>7</v>
      </c>
      <c r="E18" s="31" t="str" cm="1">
        <f t="array" ref="E18">Common_InputFunctions.Utility_DisplayArrayInTable(CommonLivestock_SourceData.SourceData_Livestock_Common_SymbolsMMS_Data(), Table_Data_MMSSymbols[[#Headers],[Symbol]], 0)</f>
        <v>Digester / covered lagoons</v>
      </c>
      <c r="F18" s="31" t="str" cm="1">
        <f t="array" ref="F18">Common_InputFunctions.Utility_DisplayArrayInTable(CommonLivestock_SourceData.SourceData_Livestock_Common_SymbolsMMS_Data(), Table_Data_MMSSymbols[[#Headers],[Symbol]], 0)</f>
        <v>Digester / covered lagoons (m=7)</v>
      </c>
      <c r="G18" s="36"/>
    </row>
    <row r="19" spans="1:8" ht="20.100000000000001" customHeight="1" x14ac:dyDescent="0.25">
      <c r="A19" s="5" t="str">
        <f>HYPERLINK("#'3.2.1.1-2 Enteric Methane'!A1", "3.2.1.1-2 Enteric methane")</f>
        <v>3.2.1.1-2 Enteric methane</v>
      </c>
      <c r="D19" s="31" t="str" cm="1">
        <f t="array" ref="D19">Common_InputFunctions.Utility_DisplayArrayInTable(CommonLivestock_SourceData.SourceData_Livestock_Common_SymbolsMMS_Data(), Table_Data_MMSSymbols[[#Headers],[Symbol]], 0)</f>
        <v>8</v>
      </c>
      <c r="E19" s="31" t="str" cm="1">
        <f t="array" ref="E19">Common_InputFunctions.Utility_DisplayArrayInTable(CommonLivestock_SourceData.SourceData_Livestock_Common_SymbolsMMS_Data(), Table_Data_MMSSymbols[[#Headers],[Symbol]], 0)</f>
        <v>Deep litter</v>
      </c>
      <c r="F19" s="31" t="str" cm="1">
        <f t="array" ref="F19">Common_InputFunctions.Utility_DisplayArrayInTable(CommonLivestock_SourceData.SourceData_Livestock_Common_SymbolsMMS_Data(), Table_Data_MMSSymbols[[#Headers],[Symbol]], 0)</f>
        <v>Deep litter (m=8)</v>
      </c>
      <c r="G19" s="36"/>
    </row>
    <row r="20" spans="1:8" ht="20.100000000000001" customHeight="1" x14ac:dyDescent="0.25">
      <c r="A20" s="5" t="str">
        <f>HYPERLINK("#'4.2.1.1-2 Methane'!A1", "4.2.1.1-2 Manure methane")</f>
        <v>4.2.1.1-2 Manure methane</v>
      </c>
      <c r="D20" s="31" t="str" cm="1">
        <f t="array" ref="D20">Common_InputFunctions.Utility_DisplayArrayInTable(CommonLivestock_SourceData.SourceData_Livestock_Common_SymbolsMMS_Data(), Table_Data_MMSSymbols[[#Headers],[Symbol]], 0)</f>
        <v>9</v>
      </c>
      <c r="E20" s="31" t="str" cm="1">
        <f t="array" ref="E20">Common_InputFunctions.Utility_DisplayArrayInTable(CommonLivestock_SourceData.SourceData_Livestock_Common_SymbolsMMS_Data(), Table_Data_MMSSymbols[[#Headers],[Symbol]], 0)</f>
        <v>Pit storage</v>
      </c>
      <c r="F20" s="31" t="str" cm="1">
        <f t="array" ref="F20">Common_InputFunctions.Utility_DisplayArrayInTable(CommonLivestock_SourceData.SourceData_Livestock_Common_SymbolsMMS_Data(), Table_Data_MMSSymbols[[#Headers],[Symbol]], 0)</f>
        <v>Pit storage (m=9)</v>
      </c>
      <c r="G20" s="36"/>
    </row>
    <row r="21" spans="1:8" ht="20.100000000000001" customHeight="1" x14ac:dyDescent="0.25">
      <c r="A21" s="5" t="str">
        <f>HYPERLINK("#'4.2.1.3-4 Soil direct N20'!A1", "4.2.1.3-4 Soil direct N2O")</f>
        <v>4.2.1.3-4 Soil direct N2O</v>
      </c>
      <c r="D21" s="31" t="str" cm="1">
        <f t="array" ref="D21">Common_InputFunctions.Utility_DisplayArrayInTable(CommonLivestock_SourceData.SourceData_Livestock_Common_SymbolsMMS_Data(), Table_Data_MMSSymbols[[#Headers],[Symbol]], 0)</f>
        <v>10</v>
      </c>
      <c r="E21" s="31" t="str" cm="1">
        <f t="array" ref="E21">Common_InputFunctions.Utility_DisplayArrayInTable(CommonLivestock_SourceData.SourceData_Livestock_Common_SymbolsMMS_Data(), Table_Data_MMSSymbols[[#Headers],[Symbol]], 0)</f>
        <v>Poultry manure with bedding</v>
      </c>
      <c r="F21" s="31" t="str" cm="1">
        <f t="array" ref="F21">Common_InputFunctions.Utility_DisplayArrayInTable(CommonLivestock_SourceData.SourceData_Livestock_Common_SymbolsMMS_Data(), Table_Data_MMSSymbols[[#Headers],[Symbol]], 0)</f>
        <v>Poultry manure with bedding (m=10)</v>
      </c>
      <c r="G21" s="36"/>
    </row>
    <row r="22" spans="1:8" ht="20.100000000000001" customHeight="1" x14ac:dyDescent="0.25">
      <c r="A22" s="5" t="str">
        <f>HYPERLINK("#'4.2.1.5-6 Soil Atmos Dep'!A1", "4.2.1.5-6 Soil atm. deposition")</f>
        <v>4.2.1.5-6 Soil atm. deposition</v>
      </c>
      <c r="D22" s="31" t="str" cm="1">
        <f t="array" ref="D22">Common_InputFunctions.Utility_DisplayArrayInTable(CommonLivestock_SourceData.SourceData_Livestock_Common_SymbolsMMS_Data(), Table_Data_MMSSymbols[[#Headers],[Symbol]], 0)</f>
        <v>11</v>
      </c>
      <c r="E22" s="31" t="str" cm="1">
        <f t="array" ref="E22">Common_InputFunctions.Utility_DisplayArrayInTable(CommonLivestock_SourceData.SourceData_Livestock_Common_SymbolsMMS_Data(), Table_Data_MMSSymbols[[#Headers],[Symbol]], 0)</f>
        <v>Poultry manure without bedding</v>
      </c>
      <c r="F22" s="31" t="str" cm="1">
        <f t="array" ref="F22">Common_InputFunctions.Utility_DisplayArrayInTable(CommonLivestock_SourceData.SourceData_Livestock_Common_SymbolsMMS_Data(), Table_Data_MMSSymbols[[#Headers],[Symbol]], 0)</f>
        <v>Poultry manure without bedding (m=11)</v>
      </c>
      <c r="G22" s="36"/>
    </row>
    <row r="23" spans="1:8" ht="20.100000000000001" customHeight="1" x14ac:dyDescent="0.25">
      <c r="A23" s="5" t="str">
        <f>HYPERLINK("#'4.2.1.7-8 Soil leach runoff'!A1", "4.2.1.7-8 Soil leach &amp; runoff")</f>
        <v>4.2.1.7-8 Soil leach &amp; runoff</v>
      </c>
      <c r="D23" s="31" t="str" cm="1">
        <f t="array" ref="D23">Common_InputFunctions.Utility_DisplayArrayInTable(CommonLivestock_SourceData.SourceData_Livestock_Common_SymbolsMMS_Data(), Table_Data_MMSSymbols[[#Headers],[Symbol]], 0)</f>
        <v>11a</v>
      </c>
      <c r="E23" s="31" t="str" cm="1">
        <f t="array" ref="E23">Common_InputFunctions.Utility_DisplayArrayInTable(CommonLivestock_SourceData.SourceData_Livestock_Common_SymbolsMMS_Data(), Table_Data_MMSSymbols[[#Headers],[Symbol]], 0)</f>
        <v>Belt manure removal</v>
      </c>
      <c r="F23" s="31" t="str" cm="1">
        <f t="array" ref="F23">Common_InputFunctions.Utility_DisplayArrayInTable(CommonLivestock_SourceData.SourceData_Livestock_Common_SymbolsMMS_Data(), Table_Data_MMSSymbols[[#Headers],[Symbol]], 0)</f>
        <v>Belt manure removal (m=11a)</v>
      </c>
      <c r="G23" s="36"/>
    </row>
    <row r="24" spans="1:8" ht="20.100000000000001" customHeight="1" x14ac:dyDescent="0.25">
      <c r="A24" s="5" t="str">
        <f>HYPERLINK("#'5.1.1.1-2 Inorganic fert N2O'!A1", "5.1.1.1-2 Inorganic fert N2O")</f>
        <v>5.1.1.1-2 Inorganic fert N2O</v>
      </c>
      <c r="D24" s="31" t="str" cm="1">
        <f t="array" ref="D24">Common_InputFunctions.Utility_DisplayArrayInTable(CommonLivestock_SourceData.SourceData_Livestock_Common_SymbolsMMS_Data(), Table_Data_MMSSymbols[[#Headers],[Symbol]], 0)</f>
        <v>11b</v>
      </c>
      <c r="E24" s="31" t="str" cm="1">
        <f t="array" ref="E24">Common_InputFunctions.Utility_DisplayArrayInTable(CommonLivestock_SourceData.SourceData_Livestock_Common_SymbolsMMS_Data(), Table_Data_MMSSymbols[[#Headers],[Symbol]], 0)</f>
        <v>Manure stored in house</v>
      </c>
      <c r="F24" s="31" t="str" cm="1">
        <f t="array" ref="F24">Common_InputFunctions.Utility_DisplayArrayInTable(CommonLivestock_SourceData.SourceData_Livestock_Common_SymbolsMMS_Data(), Table_Data_MMSSymbols[[#Headers],[Symbol]], 0)</f>
        <v>Manure stored in house (m=11b)</v>
      </c>
      <c r="G24" s="36"/>
    </row>
    <row r="25" spans="1:8" ht="20.100000000000001" customHeight="1" x14ac:dyDescent="0.25">
      <c r="A25" s="5" t="str">
        <f>HYPERLINK("#'5.1.1.3-4 Inorganic fert CO2'!A1", "5.1.1.3-4 Inorganic fert CO2")</f>
        <v>5.1.1.3-4 Inorganic fert CO2</v>
      </c>
      <c r="D25" s="31" t="str" cm="1">
        <f t="array" ref="D25">Common_InputFunctions.Utility_DisplayArrayInTable(CommonLivestock_SourceData.SourceData_Livestock_Common_SymbolsMMS_Data(), Table_Data_MMSSymbols[[#Headers],[Symbol]], 0)</f>
        <v>12</v>
      </c>
      <c r="E25" s="31" t="str" cm="1">
        <f t="array" ref="E25">Common_InputFunctions.Utility_DisplayArrayInTable(CommonLivestock_SourceData.SourceData_Livestock_Common_SymbolsMMS_Data(), Table_Data_MMSSymbols[[#Headers],[Symbol]], 0)</f>
        <v>Direct processing</v>
      </c>
      <c r="F25" s="31" t="str" cm="1">
        <f t="array" ref="F25">Common_InputFunctions.Utility_DisplayArrayInTable(CommonLivestock_SourceData.SourceData_Livestock_Common_SymbolsMMS_Data(), Table_Data_MMSSymbols[[#Headers],[Symbol]], 0)</f>
        <v>Direct processing (m=12)</v>
      </c>
      <c r="G25" s="36"/>
    </row>
    <row r="26" spans="1:8" ht="20.100000000000001" customHeight="1" x14ac:dyDescent="0.25">
      <c r="A26" s="5" t="str">
        <f>HYPERLINK("#'5.2.1.1-2 Organic Fert N2O'!A1", "5.2.1.1-2 Organic fert N2O")</f>
        <v>5.2.1.1-2 Organic fert N2O</v>
      </c>
      <c r="D26" s="31" t="str" cm="1">
        <f t="array" ref="D26">Common_InputFunctions.Utility_DisplayArrayInTable(CommonLivestock_SourceData.SourceData_Livestock_Common_SymbolsMMS_Data(), Table_Data_MMSSymbols[[#Headers],[Symbol]], 0)</f>
        <v>13</v>
      </c>
      <c r="E26" s="31" t="str" cm="1">
        <f t="array" ref="E26">Common_InputFunctions.Utility_DisplayArrayInTable(CommonLivestock_SourceData.SourceData_Livestock_Common_SymbolsMMS_Data(), Table_Data_MMSSymbols[[#Headers],[Symbol]], 0)</f>
        <v>Direct application</v>
      </c>
      <c r="F26" s="31" t="str" cm="1">
        <f t="array" ref="F26">Common_InputFunctions.Utility_DisplayArrayInTable(CommonLivestock_SourceData.SourceData_Livestock_Common_SymbolsMMS_Data(), Table_Data_MMSSymbols[[#Headers],[Symbol]], 0)</f>
        <v>Direct application (m=13)</v>
      </c>
      <c r="G26" s="36"/>
    </row>
    <row r="27" spans="1:8" ht="20.100000000000001" customHeight="1" x14ac:dyDescent="0.25">
      <c r="A27" s="5" t="str">
        <f>HYPERLINK("#'5.3.1.1-2 Lime CO2'!A1", "5.3.1.1-2 Lime CO2")</f>
        <v>5.3.1.1-2 Lime CO2</v>
      </c>
      <c r="D27" s="31" t="str" cm="1">
        <f t="array" ref="D27">Common_InputFunctions.Utility_DisplayArrayInTable(CommonLivestock_SourceData.SourceData_Livestock_Common_SymbolsMMS_Data(), Table_Data_MMSSymbols[[#Headers],[Symbol]], 0)</f>
        <v>14</v>
      </c>
      <c r="E27" s="31" t="str" cm="1">
        <f t="array" ref="E27">Common_InputFunctions.Utility_DisplayArrayInTable(CommonLivestock_SourceData.SourceData_Livestock_Common_SymbolsMMS_Data(), Table_Data_MMSSymbols[[#Headers],[Symbol]], 0)</f>
        <v>Pasture range and paddock</v>
      </c>
      <c r="F27" s="31" t="str" cm="1">
        <f t="array" ref="F27">Common_InputFunctions.Utility_DisplayArrayInTable(CommonLivestock_SourceData.SourceData_Livestock_Common_SymbolsMMS_Data(), Table_Data_MMSSymbols[[#Headers],[Symbol]], 0)</f>
        <v>Pasture range and paddock (m=14)</v>
      </c>
      <c r="G27" s="36"/>
    </row>
    <row r="28" spans="1:8" ht="20.100000000000001" customHeight="1" x14ac:dyDescent="0.25">
      <c r="A28" s="5" t="str">
        <f>HYPERLINK("#'5.4.1.1-4 Atmos deposition'!A1", "5.4.1.1-4 Atmos. deposition")</f>
        <v>5.4.1.1-4 Atmos. deposition</v>
      </c>
      <c r="G28" s="36"/>
      <c r="H28" s="36"/>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8"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1" t="s">
        <v>156</v>
      </c>
      <c r="E31" s="31" t="s">
        <v>859</v>
      </c>
      <c r="F31" s="1" t="s">
        <v>860</v>
      </c>
    </row>
    <row r="32" spans="1:8" ht="20.100000000000001" customHeight="1" x14ac:dyDescent="0.25">
      <c r="A32" s="5" t="str">
        <f>HYPERLINK("#'8.1.1.1-2 Transport fuel'!A1", "8.1.1.1-2 Transport fuel")</f>
        <v>8.1.1.1-2 Transport fuel</v>
      </c>
      <c r="D32" s="31" t="str" cm="1">
        <f t="array" ref="D32">Common_InputFunctions.Utility_DisplayArrayInTable(CommonLivestock_SourceData.SourceData_Livestock_Product_BeefCattle_Data(),Table_SourceData_LivestockProduct_Beefcattle[[#Headers],[Product]],0)</f>
        <v>Cattle, for manufacturing beef</v>
      </c>
      <c r="E32" s="31"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1"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1"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1"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1"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0" t="s">
        <v>1</v>
      </c>
      <c r="D37" s="1" t="str" cm="1">
        <f t="array" ref="D37">Common_InputFunctions.Utility_DisplayArrayInTable(CommonLivestock_SourceData.SourceData_Livestock_Product_BeefCattle_Data(),Table_SourceData_LivestockProduct_Beefcattle[[#Headers],[Product]],0)</f>
        <v/>
      </c>
      <c r="E37" s="31"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1"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1"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5"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8"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1" t="s">
        <v>156</v>
      </c>
      <c r="E43" s="31" t="s">
        <v>859</v>
      </c>
      <c r="F43" s="1" t="s">
        <v>861</v>
      </c>
    </row>
    <row r="44" spans="1:6" ht="20.100000000000001" customHeight="1" x14ac:dyDescent="0.25">
      <c r="A44" s="5" t="str">
        <f>HYPERLINK("#'Constants - Common'!A1", "Constants - Common")</f>
        <v>Constants - Common</v>
      </c>
      <c r="D44" s="31" t="str" cm="1">
        <f t="array" ref="D44">Common_InputFunctions.Utility_DisplayArrayInTable(CommonLivestock_SourceData.SourceData_Livestock_Product_Sheep_Data(),Table_SourceData_LivestockProduct_Sheep[[#Headers],[Product]],0)</f>
        <v>Sheep, for mutton</v>
      </c>
      <c r="E44" s="31"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1" t="str" cm="1">
        <f t="array" ref="D45">Common_InputFunctions.Utility_DisplayArrayInTable(CommonLivestock_SourceData.SourceData_Livestock_Product_Sheep_Data(),Table_SourceData_LivestockProduct_Sheep[[#Headers],[Product]],0)</f>
        <v>Sheep, for prime lamb</v>
      </c>
      <c r="E45" s="31"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1" t="str" cm="1">
        <f t="array" ref="D46">Common_InputFunctions.Utility_DisplayArrayInTable(CommonLivestock_SourceData.SourceData_Livestock_Product_Sheep_Data(),Table_SourceData_LivestockProduct_Sheep[[#Headers],[Product]],0)</f>
        <v/>
      </c>
      <c r="E46" s="31"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1" t="str" cm="1">
        <f t="array" ref="D47">Common_InputFunctions.Utility_DisplayArrayInTable(CommonLivestock_SourceData.SourceData_Livestock_Product_Sheep_Data(),Table_SourceData_LivestockProduct_Sheep[[#Headers],[Product]],0)</f>
        <v/>
      </c>
      <c r="E47" s="31"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1" t="str" cm="1">
        <f t="array" ref="D48">Common_InputFunctions.Utility_DisplayArrayInTable(CommonLivestock_SourceData.SourceData_Livestock_Product_Sheep_Data(),Table_SourceData_LivestockProduct_Sheep[[#Headers],[Product]],0)</f>
        <v/>
      </c>
      <c r="E48" s="31"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1" t="str" cm="1">
        <f t="array" ref="D49">Common_InputFunctions.Utility_DisplayArrayInTable(CommonLivestock_SourceData.SourceData_Livestock_Product_Sheep_Data(),Table_SourceData_LivestockProduct_Sheep[[#Headers],[Product]],0)</f>
        <v/>
      </c>
      <c r="E49" s="31"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1" t="str" cm="1">
        <f t="array" ref="D50">Common_InputFunctions.Utility_DisplayArrayInTable(CommonLivestock_SourceData.SourceData_Livestock_Product_Sheep_Data(),Table_SourceData_LivestockProduct_Sheep[[#Headers],[Product]],0)</f>
        <v/>
      </c>
      <c r="E50" s="31"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8"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1" t="s">
        <v>156</v>
      </c>
      <c r="E54" s="31" t="s">
        <v>859</v>
      </c>
      <c r="F54" s="1" t="s">
        <v>862</v>
      </c>
    </row>
    <row r="55" spans="4:6" ht="20.100000000000001" customHeight="1" x14ac:dyDescent="0.25">
      <c r="D55" s="31" t="str" cm="1">
        <f t="array" ref="D55">Common_InputFunctions.Utility_DisplayArrayInTable(CommonLivestock_SourceData.SourceData_Livestock_Product_Chickens_Data(),Table_SourceData_LivestockProduct_Chickens[[#Headers],[Product]],0)</f>
        <v>Chickens</v>
      </c>
      <c r="E55" s="31"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8"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1" t="s">
        <v>156</v>
      </c>
      <c r="E59" s="31" t="s">
        <v>859</v>
      </c>
      <c r="F59" s="1" t="s">
        <v>863</v>
      </c>
    </row>
    <row r="60" spans="4:6" ht="20.100000000000001" customHeight="1" x14ac:dyDescent="0.25">
      <c r="D60" s="31" t="str" cm="1">
        <f t="array" ref="D60">Common_InputFunctions.Utility_DisplayArrayInTable(CommonLivestock_SourceData.SourceData_Livestock_Product_Dairycattle_Data(),Table_SourceData_LivestockProduct_Dairycattle[[#Headers],[Product]],0)</f>
        <v>Dairy cows</v>
      </c>
      <c r="E60" s="31"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8"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1" t="s">
        <v>156</v>
      </c>
      <c r="E64" s="31" t="s">
        <v>859</v>
      </c>
      <c r="F64" s="1" t="s">
        <v>864</v>
      </c>
    </row>
    <row r="65" spans="4:5" x14ac:dyDescent="0.25">
      <c r="D65" s="31" t="str" cm="1">
        <f t="array" ref="D65">Common_InputFunctions.Utility_DisplayArrayInTable(CommonLivestock_SourceData.SourceData_Livestock_Product_Pigs_Data(),Table_SourceData_LivestockProduct_Pigs[[#Headers],[Product]],0)</f>
        <v>Pigs</v>
      </c>
      <c r="E65" s="31"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B1A-C19B-4C02-9818-64626110F532}">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2" customFormat="1" ht="30" customHeight="1" x14ac:dyDescent="0.35">
      <c r="A1" s="16" t="e" vm="1">
        <v>#VALUE!</v>
      </c>
      <c r="C1" s="32" t="s">
        <v>688</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8" t="str" cm="1">
        <f t="array" ref="D6">Electricity_SourceData.Electricity_Scope2Scope3LocationBased_Source()</f>
        <v>Australian National Greenhouse Accounts Factors 2025 - Table 1</v>
      </c>
      <c r="E6" s="8"/>
      <c r="F6" s="8"/>
    </row>
    <row r="7" spans="1:35" ht="20.100000000000001" customHeight="1" x14ac:dyDescent="0.25">
      <c r="A7" s="7" t="s">
        <v>0</v>
      </c>
      <c r="D7" s="37"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4" t="s">
        <v>689</v>
      </c>
      <c r="E9" s="194" t="s">
        <v>690</v>
      </c>
      <c r="F9" s="194" t="s">
        <v>691</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8"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5" t="s">
        <v>689</v>
      </c>
      <c r="E24" s="185" t="s">
        <v>692</v>
      </c>
      <c r="F24" s="185" t="s">
        <v>693</v>
      </c>
      <c r="G24" s="185" t="s">
        <v>694</v>
      </c>
      <c r="H24" s="185" t="s">
        <v>695</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0"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D437-CCC5-4E22-9767-7F3B8AB399F9}">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2" customFormat="1" ht="30" customHeight="1" x14ac:dyDescent="0.35">
      <c r="A1" s="16" t="e" vm="1">
        <v>#VALUE!</v>
      </c>
      <c r="C1" s="32" t="s">
        <v>620</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6"/>
      <c r="F5" s="176"/>
      <c r="G5" s="176"/>
      <c r="H5" s="176"/>
      <c r="I5" s="176"/>
      <c r="J5" s="176"/>
    </row>
    <row r="6" spans="1:35" ht="20.100000000000001" customHeight="1" x14ac:dyDescent="0.25">
      <c r="D6" s="2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7" t="str" cm="1">
        <f t="array" ref="D7:D18">Fertiliser_SourceData.Fertiliser_ChemicalCompoundElements_Variation()</f>
        <v>VARIATION ON SOURCE</v>
      </c>
    </row>
    <row r="8" spans="1:35" ht="20.100000000000001" customHeight="1" x14ac:dyDescent="0.25">
      <c r="A8" s="5" t="str">
        <f>HYPERLINK("#'Input - Enterprise'!A1", "Enterprise")</f>
        <v>Enterprise</v>
      </c>
      <c r="D8" s="37"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7" t="str">
        <v>Added extra fertiliser types and generic chemical compounds to allow for custom NPKS blends</v>
      </c>
    </row>
    <row r="10" spans="1:35" ht="20.100000000000001" customHeight="1" x14ac:dyDescent="0.25">
      <c r="A10" s="5" t="str">
        <f>HYPERLINK("#'Input - Pasture Beef'!A1", "Pasture Beef")</f>
        <v>Pasture Beef</v>
      </c>
      <c r="D10" s="37" t="str">
        <v>Added extra 'Scope 3 definition' column to allow mapping with scope 3 data</v>
      </c>
    </row>
    <row r="11" spans="1:35" ht="20.100000000000001" customHeight="1" x14ac:dyDescent="0.25">
      <c r="A11" s="5" t="str">
        <f>HYPERLINK("#'Input - Pasture Beef (Enteric)'!A1", "Pasture Beef (Enteric)")</f>
        <v>Pasture Beef (Enteric)</v>
      </c>
      <c r="D11" s="37" t="str">
        <v>Added 'Source' column</v>
      </c>
    </row>
    <row r="12" spans="1:35" ht="20.100000000000001" customHeight="1" x14ac:dyDescent="0.25">
      <c r="A12" s="5" t="str">
        <f>HYPERLINK("#'Input - Pasture'!A1", "Pasture")</f>
        <v>Pasture</v>
      </c>
      <c r="D12" s="37" t="str">
        <v>Combined data from Table A.2.2.3 and Table A.2.2.4 into one table to aid lookup.</v>
      </c>
    </row>
    <row r="13" spans="1:35" ht="20.100000000000001" customHeight="1" x14ac:dyDescent="0.25">
      <c r="A13" s="5" t="str">
        <f>HYPERLINK("#'Input - Fertiliser'!A1", "Fertiliser")</f>
        <v>Fertiliser</v>
      </c>
      <c r="D13" s="37" t="str">
        <v>Excluded 'References' column</v>
      </c>
    </row>
    <row r="14" spans="1:35" ht="20.100000000000001" customHeight="1" x14ac:dyDescent="0.25">
      <c r="A14" s="5" t="str">
        <f>HYPERLINK("#'Input - Fuel'!A1", "Fuel")</f>
        <v>Fuel</v>
      </c>
      <c r="D14" s="37" t="str">
        <v>Excluded 'Ammonium sulfate' as it is a duplicate of 'Sulphate of ammonia (SOA)'</v>
      </c>
    </row>
    <row r="15" spans="1:35" ht="20.100000000000001" customHeight="1" x14ac:dyDescent="0.25">
      <c r="A15" s="5" t="str">
        <f>HYPERLINK("#'Input - Electricity'!A1", "Electricity")</f>
        <v>Electricity</v>
      </c>
      <c r="D15" s="37" t="str">
        <v>Excluded 'Calcium nitrate' as no scope 3 value available.</v>
      </c>
    </row>
    <row r="16" spans="1:35" ht="20.100000000000001" customHeight="1" x14ac:dyDescent="0.25">
      <c r="D16" s="37" t="str">
        <v>Set 'Nitrogen - Generic' basis as 'Urea-based fertilisers, as urea is the most commonly used form of nitrogen in Australian fertilisers</v>
      </c>
    </row>
    <row r="17" spans="1:22" ht="20.100000000000001" customHeight="1" x14ac:dyDescent="0.25">
      <c r="D17" s="37"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7" t="str">
        <v>Ammonia has an FN value of 0.8235 based on (14/17)x100, where 14 is the mass of nitrogen in ammonia and 17 is the molar mass of ammonia.</v>
      </c>
      <c r="K18" s="28" t="str" cm="1">
        <f t="array" ref="K18">Fertiliser_SourceData.Fertiliser_FractionNCommonFertilisers_Source()</f>
        <v>VEERG 2026: Table A.2.2.3</v>
      </c>
      <c r="Q18" s="28" t="str" cm="1">
        <f t="array" ref="Q18">Fertiliser_SourceData.Fertiliser_FractionUreaCommonFertilisers_Source()</f>
        <v>VEERG 2026: Table A.2.2.4</v>
      </c>
      <c r="V18" s="2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539</v>
      </c>
      <c r="E19" t="s">
        <v>621</v>
      </c>
      <c r="F19" t="s">
        <v>622</v>
      </c>
      <c r="G19" t="s">
        <v>596</v>
      </c>
      <c r="H19" t="s">
        <v>623</v>
      </c>
      <c r="I19" t="s">
        <v>624</v>
      </c>
      <c r="K19" s="31" t="s">
        <v>539</v>
      </c>
      <c r="L19" s="31" t="s">
        <v>621</v>
      </c>
      <c r="Q19" s="31" t="s">
        <v>539</v>
      </c>
      <c r="R19" s="31" t="s">
        <v>621</v>
      </c>
      <c r="V19" s="31" t="s">
        <v>624</v>
      </c>
    </row>
    <row r="20" spans="1:22" ht="20.100000000000001" customHeight="1" x14ac:dyDescent="0.25">
      <c r="A20" s="5" t="str">
        <f>HYPERLINK("#'4.2.1.1-2 Methane'!A1", "4.2.1.1-2 Manure methane")</f>
        <v>4.2.1.1-2 Manure methane</v>
      </c>
      <c r="D20" s="185" t="str" cm="1">
        <f t="array" ref="D20">Common_InputFunctions.Utility_DisplayArrayInTable(Fertiliser_SourceData.Fertiliser_ChemicalCompoundElements_Data(),Table_Fertiliser_ChemicalCompounds[[#Headers],[Fertiliser type f]], 0)</f>
        <v>Monoammonium phosphate (MAP)</v>
      </c>
      <c r="E20" s="185" cm="1">
        <f t="array" ref="E20">Common_InputFunctions.Utility_DisplayArrayInTable(Fertiliser_SourceData.Fertiliser_ChemicalCompoundElements_Data(),Table_Fertiliser_ChemicalCompounds[[#Headers],[Fertiliser type f]], 0)</f>
        <v>0.1</v>
      </c>
      <c r="F20" s="185" cm="1">
        <f t="array" ref="F20">Common_InputFunctions.Utility_DisplayArrayInTable(Fertiliser_SourceData.Fertiliser_ChemicalCompoundElements_Data(),Table_Fertiliser_ChemicalCompounds[[#Headers],[Fertiliser type f]], 0)</f>
        <v>0</v>
      </c>
      <c r="G20" s="185" t="str" cm="1">
        <f t="array" ref="G20">Common_InputFunctions.Utility_DisplayArrayInTable(Fertiliser_SourceData.Fertiliser_ChemicalCompoundElements_Data(),Table_Fertiliser_ChemicalCompounds[[#Headers],[Fertiliser type f]], 0)</f>
        <v>Ammonium-based fertilisers</v>
      </c>
      <c r="H20" s="185" t="str" cm="1">
        <f t="array" ref="H20">Common_InputFunctions.Utility_DisplayArrayInTable(Fertiliser_SourceData.Fertiliser_ChemicalCompoundElements_Data(),Table_Fertiliser_ChemicalCompounds[[#Headers],[Fertiliser type f]], 0)</f>
        <v>Monoammonium phosphate (MAP)</v>
      </c>
      <c r="I20" s="185" t="str" cm="1">
        <f t="array" ref="I20">Common_InputFunctions.Utility_DisplayArrayInTable(Fertiliser_SourceData.Fertiliser_ChemicalCompoundElements_Data(),Table_Fertiliser_ChemicalCompounds[[#Headers],[Fertiliser type f]], 0)</f>
        <v>VEERG</v>
      </c>
      <c r="K20" s="31" t="str" cm="1">
        <f t="array" ref="K20">Common_InputFunctions.Utility_DisplayArrayInTable(Fertiliser_SourceData.Fertiliser_FractionNCommonFertilisers_Data(), Table2[[#Headers],[Fertiliser type f]], 0)</f>
        <v>Monoammonium phosphate (MAP)</v>
      </c>
      <c r="L20" s="31" cm="1">
        <f t="array" ref="L20">Common_InputFunctions.Utility_DisplayArrayInTable(Fertiliser_SourceData.Fertiliser_FractionNCommonFertilisers_Data(), Table2[[#Headers],[Fertiliser type f]], 0)</f>
        <v>0.1</v>
      </c>
      <c r="Q20" s="31" t="str" cm="1">
        <f t="array" ref="Q20">Common_InputFunctions.Utility_DisplayArrayInTable(Fertiliser_SourceData.Fertiliser_FractionUreaCommonFertilisers_Data(), Table28[[#Headers],[Fertiliser type f]], 0)</f>
        <v>Monoammonium phosphate (MAP)</v>
      </c>
      <c r="R20" s="31" cm="1">
        <f t="array" ref="R20">Common_InputFunctions.Utility_DisplayArrayInTable(Fertiliser_SourceData.Fertiliser_FractionUreaCommonFertilisers_Data(), Table28[[#Headers],[Fertiliser type f]], 0)</f>
        <v>0</v>
      </c>
      <c r="V20" s="31"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5" t="str" cm="1">
        <f t="array" ref="D21">Common_InputFunctions.Utility_DisplayArrayInTable(Fertiliser_SourceData.Fertiliser_ChemicalCompoundElements_Data(),Table_Fertiliser_ChemicalCompounds[[#Headers],[Fertiliser type f]], 0)</f>
        <v>Diammonium phosphate (DAP)</v>
      </c>
      <c r="E21" s="185" cm="1">
        <f t="array" ref="E21">Common_InputFunctions.Utility_DisplayArrayInTable(Fertiliser_SourceData.Fertiliser_ChemicalCompoundElements_Data(),Table_Fertiliser_ChemicalCompounds[[#Headers],[Fertiliser type f]], 0)</f>
        <v>0.18</v>
      </c>
      <c r="F21" s="185" cm="1">
        <f t="array" ref="F21">Common_InputFunctions.Utility_DisplayArrayInTable(Fertiliser_SourceData.Fertiliser_ChemicalCompoundElements_Data(),Table_Fertiliser_ChemicalCompounds[[#Headers],[Fertiliser type f]], 0)</f>
        <v>0</v>
      </c>
      <c r="G21" s="185" t="str" cm="1">
        <f t="array" ref="G21">Common_InputFunctions.Utility_DisplayArrayInTable(Fertiliser_SourceData.Fertiliser_ChemicalCompoundElements_Data(),Table_Fertiliser_ChemicalCompounds[[#Headers],[Fertiliser type f]], 0)</f>
        <v>Ammonium-based fertilisers</v>
      </c>
      <c r="H21" s="185" t="str" cm="1">
        <f t="array" ref="H21">Common_InputFunctions.Utility_DisplayArrayInTable(Fertiliser_SourceData.Fertiliser_ChemicalCompoundElements_Data(),Table_Fertiliser_ChemicalCompounds[[#Headers],[Fertiliser type f]], 0)</f>
        <v>Diammonium phosphate (DAP)</v>
      </c>
      <c r="I21" s="185" t="str" cm="1">
        <f t="array" ref="I21">Common_InputFunctions.Utility_DisplayArrayInTable(Fertiliser_SourceData.Fertiliser_ChemicalCompoundElements_Data(),Table_Fertiliser_ChemicalCompounds[[#Headers],[Fertiliser type f]], 0)</f>
        <v>VEERG</v>
      </c>
      <c r="K21" s="31" t="str" cm="1">
        <f t="array" ref="K21">Common_InputFunctions.Utility_DisplayArrayInTable(Fertiliser_SourceData.Fertiliser_FractionNCommonFertilisers_Data(), Table2[[#Headers],[Fertiliser type f]], 0)</f>
        <v>Diammonium phosphate (DAP)</v>
      </c>
      <c r="L21" s="31" cm="1">
        <f t="array" ref="L21">Common_InputFunctions.Utility_DisplayArrayInTable(Fertiliser_SourceData.Fertiliser_FractionNCommonFertilisers_Data(), Table2[[#Headers],[Fertiliser type f]], 0)</f>
        <v>0.18</v>
      </c>
      <c r="Q21" s="31" t="str" cm="1">
        <f t="array" ref="Q21">Common_InputFunctions.Utility_DisplayArrayInTable(Fertiliser_SourceData.Fertiliser_FractionUreaCommonFertilisers_Data(), Table28[[#Headers],[Fertiliser type f]], 0)</f>
        <v>Diammonium phosphate (DAP)</v>
      </c>
      <c r="R21" s="31" cm="1">
        <f t="array" ref="R21">Common_InputFunctions.Utility_DisplayArrayInTable(Fertiliser_SourceData.Fertiliser_FractionUreaCommonFertilisers_Data(), Table28[[#Headers],[Fertiliser type f]], 0)</f>
        <v>0</v>
      </c>
      <c r="V21" s="31"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5" t="str" cm="1">
        <f t="array" ref="D22">Common_InputFunctions.Utility_DisplayArrayInTable(Fertiliser_SourceData.Fertiliser_ChemicalCompoundElements_Data(),Table_Fertiliser_ChemicalCompounds[[#Headers],[Fertiliser type f]], 0)</f>
        <v>Urea</v>
      </c>
      <c r="E22" s="185" cm="1">
        <f t="array" ref="E22">Common_InputFunctions.Utility_DisplayArrayInTable(Fertiliser_SourceData.Fertiliser_ChemicalCompoundElements_Data(),Table_Fertiliser_ChemicalCompounds[[#Headers],[Fertiliser type f]], 0)</f>
        <v>0.46</v>
      </c>
      <c r="F22" s="185" cm="1">
        <f t="array" ref="F22">Common_InputFunctions.Utility_DisplayArrayInTable(Fertiliser_SourceData.Fertiliser_ChemicalCompoundElements_Data(),Table_Fertiliser_ChemicalCompounds[[#Headers],[Fertiliser type f]], 0)</f>
        <v>1</v>
      </c>
      <c r="G22" s="185" t="str" cm="1">
        <f t="array" ref="G22">Common_InputFunctions.Utility_DisplayArrayInTable(Fertiliser_SourceData.Fertiliser_ChemicalCompoundElements_Data(),Table_Fertiliser_ChemicalCompounds[[#Headers],[Fertiliser type f]], 0)</f>
        <v>Urea-based fertilisers</v>
      </c>
      <c r="H22" s="185" t="str" cm="1">
        <f t="array" ref="H22">Common_InputFunctions.Utility_DisplayArrayInTable(Fertiliser_SourceData.Fertiliser_ChemicalCompoundElements_Data(),Table_Fertiliser_ChemicalCompounds[[#Headers],[Fertiliser type f]], 0)</f>
        <v>Urea</v>
      </c>
      <c r="I22" s="185" t="str" cm="1">
        <f t="array" ref="I22">Common_InputFunctions.Utility_DisplayArrayInTable(Fertiliser_SourceData.Fertiliser_ChemicalCompoundElements_Data(),Table_Fertiliser_ChemicalCompounds[[#Headers],[Fertiliser type f]], 0)</f>
        <v>VEERG</v>
      </c>
      <c r="K22" s="31" t="str" cm="1">
        <f t="array" ref="K22">Common_InputFunctions.Utility_DisplayArrayInTable(Fertiliser_SourceData.Fertiliser_FractionNCommonFertilisers_Data(), Table2[[#Headers],[Fertiliser type f]], 0)</f>
        <v>Urea</v>
      </c>
      <c r="L22" s="31" cm="1">
        <f t="array" ref="L22">Common_InputFunctions.Utility_DisplayArrayInTable(Fertiliser_SourceData.Fertiliser_FractionNCommonFertilisers_Data(), Table2[[#Headers],[Fertiliser type f]], 0)</f>
        <v>0.46</v>
      </c>
      <c r="Q22" s="31" t="str" cm="1">
        <f t="array" ref="Q22">Common_InputFunctions.Utility_DisplayArrayInTable(Fertiliser_SourceData.Fertiliser_FractionUreaCommonFertilisers_Data(), Table28[[#Headers],[Fertiliser type f]], 0)</f>
        <v>Urea</v>
      </c>
      <c r="R22" s="31" cm="1">
        <f t="array" ref="R22">Common_InputFunctions.Utility_DisplayArrayInTable(Fertiliser_SourceData.Fertiliser_FractionUreaCommonFertilisers_Data(), Table28[[#Headers],[Fertiliser type f]], 0)</f>
        <v>1</v>
      </c>
      <c r="V22" s="31"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5" t="str" cm="1">
        <f t="array" ref="D23">Common_InputFunctions.Utility_DisplayArrayInTable(Fertiliser_SourceData.Fertiliser_ChemicalCompoundElements_Data(),Table_Fertiliser_ChemicalCompounds[[#Headers],[Fertiliser type f]], 0)</f>
        <v>Sulphate of ammonia (SOA)</v>
      </c>
      <c r="E23" s="185" cm="1">
        <f t="array" ref="E23">Common_InputFunctions.Utility_DisplayArrayInTable(Fertiliser_SourceData.Fertiliser_ChemicalCompoundElements_Data(),Table_Fertiliser_ChemicalCompounds[[#Headers],[Fertiliser type f]], 0)</f>
        <v>0.21</v>
      </c>
      <c r="F23" s="185" cm="1">
        <f t="array" ref="F23">Common_InputFunctions.Utility_DisplayArrayInTable(Fertiliser_SourceData.Fertiliser_ChemicalCompoundElements_Data(),Table_Fertiliser_ChemicalCompounds[[#Headers],[Fertiliser type f]], 0)</f>
        <v>0</v>
      </c>
      <c r="G23" s="185" t="str" cm="1">
        <f t="array" ref="G23">Common_InputFunctions.Utility_DisplayArrayInTable(Fertiliser_SourceData.Fertiliser_ChemicalCompoundElements_Data(),Table_Fertiliser_ChemicalCompounds[[#Headers],[Fertiliser type f]], 0)</f>
        <v>Ammonium-based fertilisers</v>
      </c>
      <c r="H23" s="185" t="str" cm="1">
        <f t="array" ref="H23">Common_InputFunctions.Utility_DisplayArrayInTable(Fertiliser_SourceData.Fertiliser_ChemicalCompoundElements_Data(),Table_Fertiliser_ChemicalCompounds[[#Headers],[Fertiliser type f]], 0)</f>
        <v>Sulphate of ammonia (SOA)</v>
      </c>
      <c r="I23" s="185" t="str" cm="1">
        <f t="array" ref="I23">Common_InputFunctions.Utility_DisplayArrayInTable(Fertiliser_SourceData.Fertiliser_ChemicalCompoundElements_Data(),Table_Fertiliser_ChemicalCompounds[[#Headers],[Fertiliser type f]], 0)</f>
        <v>VEERG</v>
      </c>
      <c r="K23" s="31" t="str" cm="1">
        <f t="array" ref="K23">Common_InputFunctions.Utility_DisplayArrayInTable(Fertiliser_SourceData.Fertiliser_FractionNCommonFertilisers_Data(), Table2[[#Headers],[Fertiliser type f]], 0)</f>
        <v>Sulphate of ammonia (SOA)</v>
      </c>
      <c r="L23" s="31" cm="1">
        <f t="array" ref="L23">Common_InputFunctions.Utility_DisplayArrayInTable(Fertiliser_SourceData.Fertiliser_FractionNCommonFertilisers_Data(), Table2[[#Headers],[Fertiliser type f]], 0)</f>
        <v>0.21</v>
      </c>
      <c r="Q23" s="31" t="str" cm="1">
        <f t="array" ref="Q23">Common_InputFunctions.Utility_DisplayArrayInTable(Fertiliser_SourceData.Fertiliser_FractionUreaCommonFertilisers_Data(), Table28[[#Headers],[Fertiliser type f]], 0)</f>
        <v>Sulphate of ammonia (SOA)</v>
      </c>
      <c r="R23" s="31" cm="1">
        <f t="array" ref="R23">Common_InputFunctions.Utility_DisplayArrayInTable(Fertiliser_SourceData.Fertiliser_FractionUreaCommonFertilisers_Data(), Table28[[#Headers],[Fertiliser type f]], 0)</f>
        <v>0</v>
      </c>
      <c r="V23" s="31"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5" t="str" cm="1">
        <f t="array" ref="D24">Common_InputFunctions.Utility_DisplayArrayInTable(Fertiliser_SourceData.Fertiliser_ChemicalCompoundElements_Data(),Table_Fertiliser_ChemicalCompounds[[#Headers],[Fertiliser type f]], 0)</f>
        <v>Urea-ammonium nitrate (UAN)</v>
      </c>
      <c r="E24" s="185" cm="1">
        <f t="array" ref="E24">Common_InputFunctions.Utility_DisplayArrayInTable(Fertiliser_SourceData.Fertiliser_ChemicalCompoundElements_Data(),Table_Fertiliser_ChemicalCompounds[[#Headers],[Fertiliser type f]], 0)</f>
        <v>0.32</v>
      </c>
      <c r="F24" s="185" cm="1">
        <f t="array" ref="F24">Common_InputFunctions.Utility_DisplayArrayInTable(Fertiliser_SourceData.Fertiliser_ChemicalCompoundElements_Data(),Table_Fertiliser_ChemicalCompounds[[#Headers],[Fertiliser type f]], 0)</f>
        <v>0.35</v>
      </c>
      <c r="G24" s="185" t="str" cm="1">
        <f t="array" ref="G24">Common_InputFunctions.Utility_DisplayArrayInTable(Fertiliser_SourceData.Fertiliser_ChemicalCompoundElements_Data(),Table_Fertiliser_ChemicalCompounds[[#Headers],[Fertiliser type f]], 0)</f>
        <v>Urea-based fertilisers</v>
      </c>
      <c r="H24" s="185" t="str" cm="1">
        <f t="array" ref="H24">Common_InputFunctions.Utility_DisplayArrayInTable(Fertiliser_SourceData.Fertiliser_ChemicalCompoundElements_Data(),Table_Fertiliser_ChemicalCompounds[[#Headers],[Fertiliser type f]], 0)</f>
        <v>Urea-ammonium nitrate (UAN)</v>
      </c>
      <c r="I24" s="185" t="str" cm="1">
        <f t="array" ref="I24">Common_InputFunctions.Utility_DisplayArrayInTable(Fertiliser_SourceData.Fertiliser_ChemicalCompoundElements_Data(),Table_Fertiliser_ChemicalCompounds[[#Headers],[Fertiliser type f]], 0)</f>
        <v>VEERG</v>
      </c>
      <c r="K24" s="31" t="str" cm="1">
        <f t="array" ref="K24">Common_InputFunctions.Utility_DisplayArrayInTable(Fertiliser_SourceData.Fertiliser_FractionNCommonFertilisers_Data(), Table2[[#Headers],[Fertiliser type f]], 0)</f>
        <v>Urea-ammonium nitrate (UAN)</v>
      </c>
      <c r="L24" s="31" cm="1">
        <f t="array" ref="L24">Common_InputFunctions.Utility_DisplayArrayInTable(Fertiliser_SourceData.Fertiliser_FractionNCommonFertilisers_Data(), Table2[[#Headers],[Fertiliser type f]], 0)</f>
        <v>0.32</v>
      </c>
      <c r="Q24" s="31" t="str" cm="1">
        <f t="array" ref="Q24">Common_InputFunctions.Utility_DisplayArrayInTable(Fertiliser_SourceData.Fertiliser_FractionUreaCommonFertilisers_Data(), Table28[[#Headers],[Fertiliser type f]], 0)</f>
        <v>Urea-ammonium nitrate (UAN)</v>
      </c>
      <c r="R24" s="31"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5" t="str" cm="1">
        <f t="array" ref="D25">Common_InputFunctions.Utility_DisplayArrayInTable(Fertiliser_SourceData.Fertiliser_ChemicalCompoundElements_Data(),Table_Fertiliser_ChemicalCompounds[[#Headers],[Fertiliser type f]], 0)</f>
        <v>Ammonium nitrate (AN)</v>
      </c>
      <c r="E25" s="185" cm="1">
        <f t="array" ref="E25">Common_InputFunctions.Utility_DisplayArrayInTable(Fertiliser_SourceData.Fertiliser_ChemicalCompoundElements_Data(),Table_Fertiliser_ChemicalCompounds[[#Headers],[Fertiliser type f]], 0)</f>
        <v>0.33700000000000002</v>
      </c>
      <c r="F25" s="185" cm="1">
        <f t="array" ref="F25">Common_InputFunctions.Utility_DisplayArrayInTable(Fertiliser_SourceData.Fertiliser_ChemicalCompoundElements_Data(),Table_Fertiliser_ChemicalCompounds[[#Headers],[Fertiliser type f]], 0)</f>
        <v>0</v>
      </c>
      <c r="G25" s="185" t="str" cm="1">
        <f t="array" ref="G25">Common_InputFunctions.Utility_DisplayArrayInTable(Fertiliser_SourceData.Fertiliser_ChemicalCompoundElements_Data(),Table_Fertiliser_ChemicalCompounds[[#Headers],[Fertiliser type f]], 0)</f>
        <v>Ammonium-nitrate based fertilisers</v>
      </c>
      <c r="H25" s="185" t="str" cm="1">
        <f t="array" ref="H25">Common_InputFunctions.Utility_DisplayArrayInTable(Fertiliser_SourceData.Fertiliser_ChemicalCompoundElements_Data(),Table_Fertiliser_ChemicalCompounds[[#Headers],[Fertiliser type f]], 0)</f>
        <v>Ammonium nitrate (AN)</v>
      </c>
      <c r="I25" s="185" t="str" cm="1">
        <f t="array" ref="I25">Common_InputFunctions.Utility_DisplayArrayInTable(Fertiliser_SourceData.Fertiliser_ChemicalCompoundElements_Data(),Table_Fertiliser_ChemicalCompounds[[#Headers],[Fertiliser type f]], 0)</f>
        <v>VEERG</v>
      </c>
      <c r="K25" s="31" t="str" cm="1">
        <f t="array" ref="K25">Common_InputFunctions.Utility_DisplayArrayInTable(Fertiliser_SourceData.Fertiliser_FractionNCommonFertilisers_Data(), Table2[[#Headers],[Fertiliser type f]], 0)</f>
        <v>Ammonium nitrate (AN)</v>
      </c>
      <c r="L25" s="31" cm="1">
        <f t="array" ref="L25">Common_InputFunctions.Utility_DisplayArrayInTable(Fertiliser_SourceData.Fertiliser_FractionNCommonFertilisers_Data(), Table2[[#Headers],[Fertiliser type f]], 0)</f>
        <v>0.33700000000000002</v>
      </c>
      <c r="Q25" s="31" t="str" cm="1">
        <f t="array" ref="Q25">Common_InputFunctions.Utility_DisplayArrayInTable(Fertiliser_SourceData.Fertiliser_FractionUreaCommonFertilisers_Data(), Table28[[#Headers],[Fertiliser type f]], 0)</f>
        <v>Ammonium nitrate (AN)</v>
      </c>
      <c r="R25" s="31"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5" t="str" cm="1">
        <f t="array" ref="D26">Common_InputFunctions.Utility_DisplayArrayInTable(Fertiliser_SourceData.Fertiliser_ChemicalCompoundElements_Data(),Table_Fertiliser_ChemicalCompounds[[#Headers],[Fertiliser type f]], 0)</f>
        <v>Calcium ammonium nitrate (CAN)</v>
      </c>
      <c r="E26" s="185" cm="1">
        <f t="array" ref="E26">Common_InputFunctions.Utility_DisplayArrayInTable(Fertiliser_SourceData.Fertiliser_ChemicalCompoundElements_Data(),Table_Fertiliser_ChemicalCompounds[[#Headers],[Fertiliser type f]], 0)</f>
        <v>0.27</v>
      </c>
      <c r="F26" s="185" cm="1">
        <f t="array" ref="F26">Common_InputFunctions.Utility_DisplayArrayInTable(Fertiliser_SourceData.Fertiliser_ChemicalCompoundElements_Data(),Table_Fertiliser_ChemicalCompounds[[#Headers],[Fertiliser type f]], 0)</f>
        <v>0</v>
      </c>
      <c r="G26" s="185" t="str" cm="1">
        <f t="array" ref="G26">Common_InputFunctions.Utility_DisplayArrayInTable(Fertiliser_SourceData.Fertiliser_ChemicalCompoundElements_Data(),Table_Fertiliser_ChemicalCompounds[[#Headers],[Fertiliser type f]], 0)</f>
        <v>Ammonium-nitrate based fertilisers</v>
      </c>
      <c r="H26" s="185" t="str" cm="1">
        <f t="array" ref="H26">Common_InputFunctions.Utility_DisplayArrayInTable(Fertiliser_SourceData.Fertiliser_ChemicalCompoundElements_Data(),Table_Fertiliser_ChemicalCompounds[[#Headers],[Fertiliser type f]], 0)</f>
        <v>Calcium ammonium nitrate (CAN)</v>
      </c>
      <c r="I26" s="185" t="str" cm="1">
        <f t="array" ref="I26">Common_InputFunctions.Utility_DisplayArrayInTable(Fertiliser_SourceData.Fertiliser_ChemicalCompoundElements_Data(),Table_Fertiliser_ChemicalCompounds[[#Headers],[Fertiliser type f]], 0)</f>
        <v>VEERG</v>
      </c>
      <c r="K26" s="31" t="str" cm="1">
        <f t="array" ref="K26">Common_InputFunctions.Utility_DisplayArrayInTable(Fertiliser_SourceData.Fertiliser_FractionNCommonFertilisers_Data(), Table2[[#Headers],[Fertiliser type f]], 0)</f>
        <v>Calcium ammonium nitrate (CAN)</v>
      </c>
      <c r="L26" s="31" cm="1">
        <f t="array" ref="L26">Common_InputFunctions.Utility_DisplayArrayInTable(Fertiliser_SourceData.Fertiliser_FractionNCommonFertilisers_Data(), Table2[[#Headers],[Fertiliser type f]], 0)</f>
        <v>0.27</v>
      </c>
      <c r="Q26" s="31" t="str" cm="1">
        <f t="array" ref="Q26">Common_InputFunctions.Utility_DisplayArrayInTable(Fertiliser_SourceData.Fertiliser_FractionUreaCommonFertilisers_Data(), Table28[[#Headers],[Fertiliser type f]], 0)</f>
        <v>Calcium ammonium nitrate (CAN)</v>
      </c>
      <c r="R26" s="31"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5" t="str" cm="1">
        <f t="array" ref="D27">Common_InputFunctions.Utility_DisplayArrayInTable(Fertiliser_SourceData.Fertiliser_ChemicalCompoundElements_Data(),Table_Fertiliser_ChemicalCompounds[[#Headers],[Fertiliser type f]], 0)</f>
        <v>Nitrogen - Ammoniacal</v>
      </c>
      <c r="E27" s="185" cm="1">
        <f t="array" ref="E27">Common_InputFunctions.Utility_DisplayArrayInTable(Fertiliser_SourceData.Fertiliser_ChemicalCompoundElements_Data(),Table_Fertiliser_ChemicalCompounds[[#Headers],[Fertiliser type f]], 0)</f>
        <v>1</v>
      </c>
      <c r="F27" s="185" cm="1">
        <f t="array" ref="F27">Common_InputFunctions.Utility_DisplayArrayInTable(Fertiliser_SourceData.Fertiliser_ChemicalCompoundElements_Data(),Table_Fertiliser_ChemicalCompounds[[#Headers],[Fertiliser type f]], 0)</f>
        <v>0</v>
      </c>
      <c r="G27" s="185" t="str" cm="1">
        <f t="array" ref="G27">Common_InputFunctions.Utility_DisplayArrayInTable(Fertiliser_SourceData.Fertiliser_ChemicalCompoundElements_Data(),Table_Fertiliser_ChemicalCompounds[[#Headers],[Fertiliser type f]], 0)</f>
        <v>Ammonium-based fertilisers</v>
      </c>
      <c r="H27" s="185" t="str" cm="1">
        <f t="array" ref="H27">Common_InputFunctions.Utility_DisplayArrayInTable(Fertiliser_SourceData.Fertiliser_ChemicalCompoundElements_Data(),Table_Fertiliser_ChemicalCompounds[[#Headers],[Fertiliser type f]], 0)</f>
        <v>Nitrogen - Ammoniacal</v>
      </c>
      <c r="I27" s="185" t="str" cm="1">
        <f t="array" ref="I27">Common_InputFunctions.Utility_DisplayArrayInTable(Fertiliser_SourceData.Fertiliser_ChemicalCompoundElements_Data(),Table_Fertiliser_ChemicalCompounds[[#Headers],[Fertiliser type f]], 0)</f>
        <v>LifeCycles</v>
      </c>
      <c r="K27" s="31" t="str" cm="1">
        <f t="array" ref="K27">Common_InputFunctions.Utility_DisplayArrayInTable(Fertiliser_SourceData.Fertiliser_FractionNCommonFertilisers_Data(), Table2[[#Headers],[Fertiliser type f]], 0)</f>
        <v>Ammonium Sulfate</v>
      </c>
      <c r="L27" s="31" cm="1">
        <f t="array" ref="L27">Common_InputFunctions.Utility_DisplayArrayInTable(Fertiliser_SourceData.Fertiliser_FractionNCommonFertilisers_Data(), Table2[[#Headers],[Fertiliser type f]], 0)</f>
        <v>0.21</v>
      </c>
      <c r="Q27" s="31" t="str" cm="1">
        <f t="array" ref="Q27">Common_InputFunctions.Utility_DisplayArrayInTable(Fertiliser_SourceData.Fertiliser_FractionUreaCommonFertilisers_Data(), Table28[[#Headers],[Fertiliser type f]], 0)</f>
        <v>Ammonium Sulfate</v>
      </c>
      <c r="R27" s="31"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5" t="str" cm="1">
        <f t="array" ref="D28">Common_InputFunctions.Utility_DisplayArrayInTable(Fertiliser_SourceData.Fertiliser_ChemicalCompoundElements_Data(),Table_Fertiliser_ChemicalCompounds[[#Headers],[Fertiliser type f]], 0)</f>
        <v>Nitrogen - Nitrate</v>
      </c>
      <c r="E28" s="185" cm="1">
        <f t="array" ref="E28">Common_InputFunctions.Utility_DisplayArrayInTable(Fertiliser_SourceData.Fertiliser_ChemicalCompoundElements_Data(),Table_Fertiliser_ChemicalCompounds[[#Headers],[Fertiliser type f]], 0)</f>
        <v>1</v>
      </c>
      <c r="F28" s="185" cm="1">
        <f t="array" ref="F28">Common_InputFunctions.Utility_DisplayArrayInTable(Fertiliser_SourceData.Fertiliser_ChemicalCompoundElements_Data(),Table_Fertiliser_ChemicalCompounds[[#Headers],[Fertiliser type f]], 0)</f>
        <v>0</v>
      </c>
      <c r="G28" s="185" t="str" cm="1">
        <f t="array" ref="G28">Common_InputFunctions.Utility_DisplayArrayInTable(Fertiliser_SourceData.Fertiliser_ChemicalCompoundElements_Data(),Table_Fertiliser_ChemicalCompounds[[#Headers],[Fertiliser type f]], 0)</f>
        <v>Nitrate-based fertilisers</v>
      </c>
      <c r="H28" s="185" t="str" cm="1">
        <f t="array" ref="H28">Common_InputFunctions.Utility_DisplayArrayInTable(Fertiliser_SourceData.Fertiliser_ChemicalCompoundElements_Data(),Table_Fertiliser_ChemicalCompounds[[#Headers],[Fertiliser type f]], 0)</f>
        <v>Nitrogen from Nitrate</v>
      </c>
      <c r="I28" s="185" t="str" cm="1">
        <f t="array" ref="I28">Common_InputFunctions.Utility_DisplayArrayInTable(Fertiliser_SourceData.Fertiliser_ChemicalCompoundElements_Data(),Table_Fertiliser_ChemicalCompounds[[#Headers],[Fertiliser type f]], 0)</f>
        <v>LifeCycles</v>
      </c>
      <c r="K28" s="31" t="str" cm="1">
        <f t="array" ref="K28">Common_InputFunctions.Utility_DisplayArrayInTable(Fertiliser_SourceData.Fertiliser_FractionNCommonFertilisers_Data(), Table2[[#Headers],[Fertiliser type f]], 0)</f>
        <v>Calcium Nitrate</v>
      </c>
      <c r="L28" s="31" cm="1">
        <f t="array" ref="L28">Common_InputFunctions.Utility_DisplayArrayInTable(Fertiliser_SourceData.Fertiliser_FractionNCommonFertilisers_Data(), Table2[[#Headers],[Fertiliser type f]], 0)</f>
        <v>0.155</v>
      </c>
      <c r="Q28" s="31" t="str" cm="1">
        <f t="array" ref="Q28">Common_InputFunctions.Utility_DisplayArrayInTable(Fertiliser_SourceData.Fertiliser_FractionUreaCommonFertilisers_Data(), Table28[[#Headers],[Fertiliser type f]], 0)</f>
        <v>Calcium Nitrate</v>
      </c>
      <c r="R28" s="31"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5" t="str" cm="1">
        <f t="array" ref="D29">Common_InputFunctions.Utility_DisplayArrayInTable(Fertiliser_SourceData.Fertiliser_ChemicalCompoundElements_Data(),Table_Fertiliser_ChemicalCompounds[[#Headers],[Fertiliser type f]], 0)</f>
        <v>Nitrogen - Generic</v>
      </c>
      <c r="E29" s="185" cm="1">
        <f t="array" ref="E29">Common_InputFunctions.Utility_DisplayArrayInTable(Fertiliser_SourceData.Fertiliser_ChemicalCompoundElements_Data(),Table_Fertiliser_ChemicalCompounds[[#Headers],[Fertiliser type f]], 0)</f>
        <v>1</v>
      </c>
      <c r="F29" s="185" cm="1">
        <f t="array" ref="F29">Common_InputFunctions.Utility_DisplayArrayInTable(Fertiliser_SourceData.Fertiliser_ChemicalCompoundElements_Data(),Table_Fertiliser_ChemicalCompounds[[#Headers],[Fertiliser type f]], 0)</f>
        <v>0</v>
      </c>
      <c r="G29" s="185" t="str" cm="1">
        <f t="array" ref="G29">Common_InputFunctions.Utility_DisplayArrayInTable(Fertiliser_SourceData.Fertiliser_ChemicalCompoundElements_Data(),Table_Fertiliser_ChemicalCompounds[[#Headers],[Fertiliser type f]], 0)</f>
        <v>Urea-based fertilisers</v>
      </c>
      <c r="H29" s="185" t="str" cm="1">
        <f t="array" ref="H29">Common_InputFunctions.Utility_DisplayArrayInTable(Fertiliser_SourceData.Fertiliser_ChemicalCompoundElements_Data(),Table_Fertiliser_ChemicalCompounds[[#Headers],[Fertiliser type f]], 0)</f>
        <v>Nitrogen from fertiliser</v>
      </c>
      <c r="I29" s="18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5" t="str" cm="1">
        <f t="array" ref="D30">Common_InputFunctions.Utility_DisplayArrayInTable(Fertiliser_SourceData.Fertiliser_ChemicalCompoundElements_Data(),Table_Fertiliser_ChemicalCompounds[[#Headers],[Fertiliser type f]], 0)</f>
        <v>Phosphorus - Generic</v>
      </c>
      <c r="E30" s="185" cm="1">
        <f t="array" ref="E30">Common_InputFunctions.Utility_DisplayArrayInTable(Fertiliser_SourceData.Fertiliser_ChemicalCompoundElements_Data(),Table_Fertiliser_ChemicalCompounds[[#Headers],[Fertiliser type f]], 0)</f>
        <v>0</v>
      </c>
      <c r="F30" s="185" cm="1">
        <f t="array" ref="F30">Common_InputFunctions.Utility_DisplayArrayInTable(Fertiliser_SourceData.Fertiliser_ChemicalCompoundElements_Data(),Table_Fertiliser_ChemicalCompounds[[#Headers],[Fertiliser type f]], 0)</f>
        <v>0</v>
      </c>
      <c r="G30" s="185" t="str" cm="1">
        <f t="array" ref="G30">Common_InputFunctions.Utility_DisplayArrayInTable(Fertiliser_SourceData.Fertiliser_ChemicalCompoundElements_Data(),Table_Fertiliser_ChemicalCompounds[[#Headers],[Fertiliser type f]], 0)</f>
        <v>Other fertilisers</v>
      </c>
      <c r="H30" s="185" t="str" cm="1">
        <f t="array" ref="H30">Common_InputFunctions.Utility_DisplayArrayInTable(Fertiliser_SourceData.Fertiliser_ChemicalCompoundElements_Data(),Table_Fertiliser_ChemicalCompounds[[#Headers],[Fertiliser type f]], 0)</f>
        <v>Phosphorus from fertiliser</v>
      </c>
      <c r="I30" s="18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5" t="str" cm="1">
        <f t="array" ref="D31">Common_InputFunctions.Utility_DisplayArrayInTable(Fertiliser_SourceData.Fertiliser_ChemicalCompoundElements_Data(),Table_Fertiliser_ChemicalCompounds[[#Headers],[Fertiliser type f]], 0)</f>
        <v>Potassium - Generic</v>
      </c>
      <c r="E31" s="185" cm="1">
        <f t="array" ref="E31">Common_InputFunctions.Utility_DisplayArrayInTable(Fertiliser_SourceData.Fertiliser_ChemicalCompoundElements_Data(),Table_Fertiliser_ChemicalCompounds[[#Headers],[Fertiliser type f]], 0)</f>
        <v>0</v>
      </c>
      <c r="F31" s="185" cm="1">
        <f t="array" ref="F31">Common_InputFunctions.Utility_DisplayArrayInTable(Fertiliser_SourceData.Fertiliser_ChemicalCompoundElements_Data(),Table_Fertiliser_ChemicalCompounds[[#Headers],[Fertiliser type f]], 0)</f>
        <v>0</v>
      </c>
      <c r="G31" s="185" t="str" cm="1">
        <f t="array" ref="G31">Common_InputFunctions.Utility_DisplayArrayInTable(Fertiliser_SourceData.Fertiliser_ChemicalCompoundElements_Data(),Table_Fertiliser_ChemicalCompounds[[#Headers],[Fertiliser type f]], 0)</f>
        <v>Other fertilisers</v>
      </c>
      <c r="H31" s="185" t="str" cm="1">
        <f t="array" ref="H31">Common_InputFunctions.Utility_DisplayArrayInTable(Fertiliser_SourceData.Fertiliser_ChemicalCompoundElements_Data(),Table_Fertiliser_ChemicalCompounds[[#Headers],[Fertiliser type f]], 0)</f>
        <v>Potassium from fertiliser</v>
      </c>
      <c r="I31" s="18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5" t="str" cm="1">
        <f t="array" ref="D32">Common_InputFunctions.Utility_DisplayArrayInTable(Fertiliser_SourceData.Fertiliser_ChemicalCompoundElements_Data(),Table_Fertiliser_ChemicalCompounds[[#Headers],[Fertiliser type f]], 0)</f>
        <v>Sulfur - Generic</v>
      </c>
      <c r="E32" s="185" cm="1">
        <f t="array" ref="E32">Common_InputFunctions.Utility_DisplayArrayInTable(Fertiliser_SourceData.Fertiliser_ChemicalCompoundElements_Data(),Table_Fertiliser_ChemicalCompounds[[#Headers],[Fertiliser type f]], 0)</f>
        <v>0</v>
      </c>
      <c r="F32" s="185" cm="1">
        <f t="array" ref="F32">Common_InputFunctions.Utility_DisplayArrayInTable(Fertiliser_SourceData.Fertiliser_ChemicalCompoundElements_Data(),Table_Fertiliser_ChemicalCompounds[[#Headers],[Fertiliser type f]], 0)</f>
        <v>0</v>
      </c>
      <c r="G32" s="185" t="str" cm="1">
        <f t="array" ref="G32">Common_InputFunctions.Utility_DisplayArrayInTable(Fertiliser_SourceData.Fertiliser_ChemicalCompoundElements_Data(),Table_Fertiliser_ChemicalCompounds[[#Headers],[Fertiliser type f]], 0)</f>
        <v>Other fertilisers</v>
      </c>
      <c r="H32" s="185" t="str" cm="1">
        <f t="array" ref="H32">Common_InputFunctions.Utility_DisplayArrayInTable(Fertiliser_SourceData.Fertiliser_ChemicalCompoundElements_Data(),Table_Fertiliser_ChemicalCompounds[[#Headers],[Fertiliser type f]], 0)</f>
        <v>Sulfur from fertiliser</v>
      </c>
      <c r="I32" s="185"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5" t="str" cm="1">
        <f t="array" ref="D33">Common_InputFunctions.Utility_DisplayArrayInTable(Fertiliser_SourceData.Fertiliser_ChemicalCompoundElements_Data(),Table_Fertiliser_ChemicalCompounds[[#Headers],[Fertiliser type f]], 0)</f>
        <v>Zinc - Generic</v>
      </c>
      <c r="E33" s="185" cm="1">
        <f t="array" ref="E33">Common_InputFunctions.Utility_DisplayArrayInTable(Fertiliser_SourceData.Fertiliser_ChemicalCompoundElements_Data(),Table_Fertiliser_ChemicalCompounds[[#Headers],[Fertiliser type f]], 0)</f>
        <v>0</v>
      </c>
      <c r="F33" s="185" cm="1">
        <f t="array" ref="F33">Common_InputFunctions.Utility_DisplayArrayInTable(Fertiliser_SourceData.Fertiliser_ChemicalCompoundElements_Data(),Table_Fertiliser_ChemicalCompounds[[#Headers],[Fertiliser type f]], 0)</f>
        <v>0</v>
      </c>
      <c r="G33" s="185" t="str" cm="1">
        <f t="array" ref="G33">Common_InputFunctions.Utility_DisplayArrayInTable(Fertiliser_SourceData.Fertiliser_ChemicalCompoundElements_Data(),Table_Fertiliser_ChemicalCompounds[[#Headers],[Fertiliser type f]], 0)</f>
        <v>Other fertilisers</v>
      </c>
      <c r="H33" s="185" t="str" cm="1">
        <f t="array" ref="H33">Common_InputFunctions.Utility_DisplayArrayInTable(Fertiliser_SourceData.Fertiliser_ChemicalCompoundElements_Data(),Table_Fertiliser_ChemicalCompounds[[#Headers],[Fertiliser type f]], 0)</f>
        <v>Zinc from fertiliser</v>
      </c>
      <c r="I33" s="185"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5" t="str" cm="1">
        <f t="array" ref="D34">Common_InputFunctions.Utility_DisplayArrayInTable(Fertiliser_SourceData.Fertiliser_ChemicalCompoundElements_Data(),Table_Fertiliser_ChemicalCompounds[[#Headers],[Fertiliser type f]], 0)</f>
        <v>Muriate of potash (MOP)</v>
      </c>
      <c r="E34" s="185" cm="1">
        <f t="array" ref="E34">Common_InputFunctions.Utility_DisplayArrayInTable(Fertiliser_SourceData.Fertiliser_ChemicalCompoundElements_Data(),Table_Fertiliser_ChemicalCompounds[[#Headers],[Fertiliser type f]], 0)</f>
        <v>0</v>
      </c>
      <c r="F34" s="185" cm="1">
        <f t="array" ref="F34">Common_InputFunctions.Utility_DisplayArrayInTable(Fertiliser_SourceData.Fertiliser_ChemicalCompoundElements_Data(),Table_Fertiliser_ChemicalCompounds[[#Headers],[Fertiliser type f]], 0)</f>
        <v>0</v>
      </c>
      <c r="G34" s="185" t="str" cm="1">
        <f t="array" ref="G34">Common_InputFunctions.Utility_DisplayArrayInTable(Fertiliser_SourceData.Fertiliser_ChemicalCompoundElements_Data(),Table_Fertiliser_ChemicalCompounds[[#Headers],[Fertiliser type f]], 0)</f>
        <v>Other fertilisers</v>
      </c>
      <c r="H34" s="185" t="str" cm="1">
        <f t="array" ref="H34">Common_InputFunctions.Utility_DisplayArrayInTable(Fertiliser_SourceData.Fertiliser_ChemicalCompoundElements_Data(),Table_Fertiliser_ChemicalCompounds[[#Headers],[Fertiliser type f]], 0)</f>
        <v>Muriate of potash (MOP)</v>
      </c>
      <c r="I34" s="185"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5" t="str" cm="1">
        <f t="array" ref="D35">Common_InputFunctions.Utility_DisplayArrayInTable(Fertiliser_SourceData.Fertiliser_ChemicalCompoundElements_Data(),Table_Fertiliser_ChemicalCompounds[[#Headers],[Fertiliser type f]], 0)</f>
        <v>Double superphosphate</v>
      </c>
      <c r="E35" s="185" cm="1">
        <f t="array" ref="E35">Common_InputFunctions.Utility_DisplayArrayInTable(Fertiliser_SourceData.Fertiliser_ChemicalCompoundElements_Data(),Table_Fertiliser_ChemicalCompounds[[#Headers],[Fertiliser type f]], 0)</f>
        <v>0</v>
      </c>
      <c r="F35" s="185" cm="1">
        <f t="array" ref="F35">Common_InputFunctions.Utility_DisplayArrayInTable(Fertiliser_SourceData.Fertiliser_ChemicalCompoundElements_Data(),Table_Fertiliser_ChemicalCompounds[[#Headers],[Fertiliser type f]], 0)</f>
        <v>0</v>
      </c>
      <c r="G35" s="185" t="str" cm="1">
        <f t="array" ref="G35">Common_InputFunctions.Utility_DisplayArrayInTable(Fertiliser_SourceData.Fertiliser_ChemicalCompoundElements_Data(),Table_Fertiliser_ChemicalCompounds[[#Headers],[Fertiliser type f]], 0)</f>
        <v>Other fertilisers</v>
      </c>
      <c r="H35" s="185" t="str" cm="1">
        <f t="array" ref="H35">Common_InputFunctions.Utility_DisplayArrayInTable(Fertiliser_SourceData.Fertiliser_ChemicalCompoundElements_Data(),Table_Fertiliser_ChemicalCompounds[[#Headers],[Fertiliser type f]], 0)</f>
        <v>Double superphosphate</v>
      </c>
      <c r="I35" s="185"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5" t="str" cm="1">
        <f t="array" ref="D36">Common_InputFunctions.Utility_DisplayArrayInTable(Fertiliser_SourceData.Fertiliser_ChemicalCompoundElements_Data(),Table_Fertiliser_ChemicalCompounds[[#Headers],[Fertiliser type f]], 0)</f>
        <v>Single superphosphate (SSP)</v>
      </c>
      <c r="E36" s="185" cm="1">
        <f t="array" ref="E36">Common_InputFunctions.Utility_DisplayArrayInTable(Fertiliser_SourceData.Fertiliser_ChemicalCompoundElements_Data(),Table_Fertiliser_ChemicalCompounds[[#Headers],[Fertiliser type f]], 0)</f>
        <v>0</v>
      </c>
      <c r="F36" s="185" cm="1">
        <f t="array" ref="F36">Common_InputFunctions.Utility_DisplayArrayInTable(Fertiliser_SourceData.Fertiliser_ChemicalCompoundElements_Data(),Table_Fertiliser_ChemicalCompounds[[#Headers],[Fertiliser type f]], 0)</f>
        <v>0</v>
      </c>
      <c r="G36" s="185" t="str" cm="1">
        <f t="array" ref="G36">Common_InputFunctions.Utility_DisplayArrayInTable(Fertiliser_SourceData.Fertiliser_ChemicalCompoundElements_Data(),Table_Fertiliser_ChemicalCompounds[[#Headers],[Fertiliser type f]], 0)</f>
        <v>Other fertilisers</v>
      </c>
      <c r="H36" s="185" t="str" cm="1">
        <f t="array" ref="H36">Common_InputFunctions.Utility_DisplayArrayInTable(Fertiliser_SourceData.Fertiliser_ChemicalCompoundElements_Data(),Table_Fertiliser_ChemicalCompounds[[#Headers],[Fertiliser type f]], 0)</f>
        <v>Single superphosphate (SSP)</v>
      </c>
      <c r="I36" s="185"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0" t="s">
        <v>1</v>
      </c>
      <c r="D37" s="185" t="str" cm="1">
        <f t="array" ref="D37">Common_InputFunctions.Utility_DisplayArrayInTable(Fertiliser_SourceData.Fertiliser_ChemicalCompoundElements_Data(),Table_Fertiliser_ChemicalCompounds[[#Headers],[Fertiliser type f]], 0)</f>
        <v>Ammonia</v>
      </c>
      <c r="E37" s="185" cm="1">
        <f t="array" ref="E37">Common_InputFunctions.Utility_DisplayArrayInTable(Fertiliser_SourceData.Fertiliser_ChemicalCompoundElements_Data(),Table_Fertiliser_ChemicalCompounds[[#Headers],[Fertiliser type f]], 0)</f>
        <v>0.82350000000000001</v>
      </c>
      <c r="F37" s="185" cm="1">
        <f t="array" ref="F37">Common_InputFunctions.Utility_DisplayArrayInTable(Fertiliser_SourceData.Fertiliser_ChemicalCompoundElements_Data(),Table_Fertiliser_ChemicalCompounds[[#Headers],[Fertiliser type f]], 0)</f>
        <v>0</v>
      </c>
      <c r="G37" s="185" t="str" cm="1">
        <f t="array" ref="G37">Common_InputFunctions.Utility_DisplayArrayInTable(Fertiliser_SourceData.Fertiliser_ChemicalCompoundElements_Data(),Table_Fertiliser_ChemicalCompounds[[#Headers],[Fertiliser type f]], 0)</f>
        <v>Ammonium-based fertilisers</v>
      </c>
      <c r="H37" s="185" t="str" cm="1">
        <f t="array" ref="H37">Common_InputFunctions.Utility_DisplayArrayInTable(Fertiliser_SourceData.Fertiliser_ChemicalCompoundElements_Data(),Table_Fertiliser_ChemicalCompounds[[#Headers],[Fertiliser type f]], 0)</f>
        <v>Ammonia</v>
      </c>
      <c r="I37" s="185"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1" t="str" cm="1">
        <f t="array" ref="D38">Common_InputFunctions.Utility_DisplayArrayInTable(Fertiliser_SourceData.Fertiliser_ChemicalCompoundElements_Data(),Table_Fertiliser_ChemicalCompounds[[#Headers],[Fertiliser type f]], 0)</f>
        <v>Calcium nitrate</v>
      </c>
      <c r="E38" s="31" cm="1">
        <f t="array" ref="E38">Common_InputFunctions.Utility_DisplayArrayInTable(Fertiliser_SourceData.Fertiliser_ChemicalCompoundElements_Data(),Table_Fertiliser_ChemicalCompounds[[#Headers],[Fertiliser type f]], 0)</f>
        <v>0.155</v>
      </c>
      <c r="F38" s="31" cm="1">
        <f t="array" ref="F38">Common_InputFunctions.Utility_DisplayArrayInTable(Fertiliser_SourceData.Fertiliser_ChemicalCompoundElements_Data(),Table_Fertiliser_ChemicalCompounds[[#Headers],[Fertiliser type f]], 0)</f>
        <v>0</v>
      </c>
      <c r="G38" s="31" t="str" cm="1">
        <f t="array" ref="G38">Common_InputFunctions.Utility_DisplayArrayInTable(Fertiliser_SourceData.Fertiliser_ChemicalCompoundElements_Data(),Table_Fertiliser_ChemicalCompounds[[#Headers],[Fertiliser type f]], 0)</f>
        <v>Nitrate-based fertilisers</v>
      </c>
      <c r="H38" s="31" t="str" cm="1">
        <f t="array" ref="H38">Common_InputFunctions.Utility_DisplayArrayInTable(Fertiliser_SourceData.Fertiliser_ChemicalCompoundElements_Data(),Table_Fertiliser_ChemicalCompounds[[#Headers],[Fertiliser type f]], 0)</f>
        <v>Calcium nitrate</v>
      </c>
      <c r="I38" s="31"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625</v>
      </c>
      <c r="F40" s="2" t="s">
        <v>626</v>
      </c>
      <c r="H40" s="2" t="s">
        <v>302</v>
      </c>
      <c r="J40" s="2" t="s">
        <v>627</v>
      </c>
    </row>
    <row r="41" spans="1:10" ht="20.100000000000001" customHeight="1" x14ac:dyDescent="0.25">
      <c r="A41" s="5" t="str">
        <f>HYPERLINK("#'Constants - Electricity'!A1", "Constants - Electricity")</f>
        <v>Constants - Electricity</v>
      </c>
      <c r="D41" s="31" t="s">
        <v>307</v>
      </c>
      <c r="F41" s="31" t="s">
        <v>307</v>
      </c>
      <c r="H41" s="31" t="s">
        <v>75</v>
      </c>
      <c r="J41" s="31" t="s">
        <v>628</v>
      </c>
    </row>
    <row r="42" spans="1:10" ht="20.100000000000001" customHeight="1" x14ac:dyDescent="0.25">
      <c r="A42" s="125" t="str">
        <f>HYPERLINK("#'Constants - Fertiliser'!A1", "Constants - Fertiliser")</f>
        <v>Constants - Fertiliser</v>
      </c>
      <c r="D42" s="31" t="s">
        <v>236</v>
      </c>
      <c r="F42" s="31" t="s">
        <v>236</v>
      </c>
      <c r="H42" s="31" t="s">
        <v>309</v>
      </c>
      <c r="J42" s="31" t="s">
        <v>629</v>
      </c>
    </row>
    <row r="43" spans="1:10" ht="20.100000000000001" customHeight="1" x14ac:dyDescent="0.25">
      <c r="A43" s="5" t="str">
        <f>HYPERLINK("#'Constants - Fuel'!A1", "Constants - Fuel")</f>
        <v>Constants - Fuel</v>
      </c>
      <c r="D43" s="1" t="s">
        <v>465</v>
      </c>
      <c r="F43" s="1" t="s">
        <v>467</v>
      </c>
      <c r="H43" s="31" t="s">
        <v>313</v>
      </c>
      <c r="J43" s="1" t="s">
        <v>533</v>
      </c>
    </row>
    <row r="44" spans="1:10" ht="20.100000000000001" customHeight="1" x14ac:dyDescent="0.25">
      <c r="A44" s="5" t="str">
        <f>HYPERLINK("#'Constants - Common'!A1", "Constants - Common")</f>
        <v>Constants - Common</v>
      </c>
      <c r="F44" s="1" t="s">
        <v>630</v>
      </c>
      <c r="H44" s="1" t="s">
        <v>237</v>
      </c>
      <c r="J44" s="1" t="s">
        <v>631</v>
      </c>
    </row>
    <row r="45" spans="1:10" ht="20.100000000000001" customHeight="1" x14ac:dyDescent="0.25">
      <c r="A45" s="5" t="str">
        <f>HYPERLINK("#'Acknowledgements'!A1", "Acknowledgements")</f>
        <v>Acknowledgements</v>
      </c>
      <c r="F45" s="1" t="s">
        <v>632</v>
      </c>
      <c r="H45" s="1" t="s">
        <v>321</v>
      </c>
      <c r="J45" s="1" t="s">
        <v>532</v>
      </c>
    </row>
    <row r="46" spans="1:10" ht="20.100000000000001" customHeight="1" x14ac:dyDescent="0.25">
      <c r="A46" s="5" t="str">
        <f>HYPERLINK("#'Overview'!A1", "Overview")</f>
        <v>Overview</v>
      </c>
      <c r="H46" s="1" t="s">
        <v>323</v>
      </c>
      <c r="J46" s="1" t="s">
        <v>534</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6"/>
    </row>
    <row r="49" spans="4:8" ht="20.100000000000001" customHeight="1" x14ac:dyDescent="0.25">
      <c r="D49" s="28" t="str" cm="1">
        <f t="array" ref="D49">Fertiliser_SourceData.Fertiliser_FracGASF_Source()</f>
        <v>Table A.2.2.6: Fraction of inorganic fertiliser f that volatilises as NH3 and NOx ((kg NH3â€“N + NOxâ€“N)/kg N) (FracGASFf)</v>
      </c>
      <c r="G49" s="176"/>
    </row>
    <row r="50" spans="4:8" ht="20.100000000000001" customHeight="1" x14ac:dyDescent="0.25">
      <c r="D50" s="31" t="s">
        <v>539</v>
      </c>
      <c r="E50" s="31" t="s">
        <v>633</v>
      </c>
      <c r="G50" s="176"/>
    </row>
    <row r="51" spans="4:8" ht="20.100000000000001" customHeight="1" x14ac:dyDescent="0.25">
      <c r="D51" s="31" t="str" cm="1">
        <f t="array" ref="D51">Common_InputFunctions.Utility_DisplayArrayInTable(Fertiliser_SourceData.Fertiliser_FracGASF_Data(), Table_SourceData_Fertiliser_FracGASF[[#Headers],[Fertiliser type f]], 0)</f>
        <v>Urea-based fertilisers</v>
      </c>
      <c r="E51" s="31" cm="1">
        <f t="array" ref="E51">Common_InputFunctions.Utility_DisplayArrayInTable(Fertiliser_SourceData.Fertiliser_FracGASF_Data(), Table_SourceData_Fertiliser_FracGASF[[#Headers],[Fertiliser type f]], 0)</f>
        <v>0.15</v>
      </c>
      <c r="G51" s="176"/>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1" cm="1">
        <f t="array" ref="E52">Common_InputFunctions.Utility_DisplayArrayInTable(Fertiliser_SourceData.Fertiliser_FracGASF_Data(), Table_SourceData_Fertiliser_FracGASF[[#Headers],[Fertiliser type f]], 0)</f>
        <v>0.08</v>
      </c>
      <c r="G52" s="176"/>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1" cm="1">
        <f t="array" ref="E53">Common_InputFunctions.Utility_DisplayArrayInTable(Fertiliser_SourceData.Fertiliser_FracGASF_Data(), Table_SourceData_Fertiliser_FracGASF[[#Headers],[Fertiliser type f]], 0)</f>
        <v>0.01</v>
      </c>
      <c r="G53" s="176"/>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1" cm="1">
        <f t="array" ref="E54">Common_InputFunctions.Utility_DisplayArrayInTable(Fertiliser_SourceData.Fertiliser_FracGASF_Data(), Table_SourceData_Fertiliser_FracGASF[[#Headers],[Fertiliser type f]], 0)</f>
        <v>0.05</v>
      </c>
      <c r="G54" s="176"/>
      <c r="H54" s="176"/>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1" cm="1">
        <f t="array" ref="E55">Common_InputFunctions.Utility_DisplayArrayInTable(Fertiliser_SourceData.Fertiliser_FracGASF_Data(), Table_SourceData_Fertiliser_FracGASF[[#Headers],[Fertiliser type f]], 0)</f>
        <v>0.11</v>
      </c>
      <c r="G55" s="176"/>
      <c r="H55" s="176"/>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8" t="str" cm="1">
        <f t="array" ref="D59">Fertiliser_SourceData.Fertiliser_EFUreaCO2_Source()</f>
        <v>VEERG 2026: 5.1.2.2 Constant Parameters</v>
      </c>
    </row>
    <row r="60" spans="4:8" ht="20.100000000000001" customHeight="1" x14ac:dyDescent="0.25">
      <c r="D60" s="89"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8" t="str" cm="1">
        <f t="array" ref="D64">Fertiliser_SourceData.Fertiliser_LimeDolomiteGypsumConstants_Source()</f>
        <v>VEERG 2026: 5.3.2.3 Constant Parameters</v>
      </c>
    </row>
    <row r="65" spans="4:6" ht="20.100000000000001" customHeight="1" x14ac:dyDescent="0.25">
      <c r="D65" s="31" t="s">
        <v>585</v>
      </c>
      <c r="E65" s="31" t="s">
        <v>634</v>
      </c>
      <c r="F65" s="31" t="s">
        <v>635</v>
      </c>
    </row>
    <row r="66" spans="4:6" ht="20.100000000000001" customHeight="1" x14ac:dyDescent="0.25">
      <c r="D66" s="31" t="str" cm="1">
        <f t="array" ref="D66">Common_InputFunctions.Utility_DisplayArrayInTable(Fertiliser_SourceData.Fertiliser_LimeDolomiteGypsumConstants_Data(), Table_SourceData_Fertiliser_LimeDolomiteConstants[[#Headers],[Element]], 0)</f>
        <v>Lime (Calcium carbonate)</v>
      </c>
      <c r="E66" s="31" cm="1">
        <f t="array" ref="E66">Common_InputFunctions.Utility_DisplayArrayInTable(Fertiliser_SourceData.Fertiliser_LimeDolomiteGypsumConstants_Data(), Table_SourceData_Fertiliser_LimeDolomiteConstants[[#Headers],[Element]], 0)</f>
        <v>0.9</v>
      </c>
      <c r="F66" s="31"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1" cm="1">
        <f t="array" ref="E67">Common_InputFunctions.Utility_DisplayArrayInTable(Fertiliser_SourceData.Fertiliser_LimeDolomiteGypsumConstants_Data(), Table_SourceData_Fertiliser_LimeDolomiteConstants[[#Headers],[Element]], 0)</f>
        <v>0.95</v>
      </c>
      <c r="F67" s="31"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1" cm="1">
        <f t="array" ref="E68">Common_InputFunctions.Utility_DisplayArrayInTable(Fertiliser_SourceData.Fertiliser_LimeDolomiteGypsumConstants_Data(), Table_SourceData_Fertiliser_LimeDolomiteConstants[[#Headers],[Element]], 0)</f>
        <v>0</v>
      </c>
      <c r="F68" s="31"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8" t="str" cm="1">
        <f t="array" ref="D72">Fertiliser_SourceData.Fertiliser_FracGASMSoil_Source()</f>
        <v>VEERG 2026: 5.4.2.3 Constant Parameters</v>
      </c>
    </row>
    <row r="73" spans="4:6" ht="20.100000000000001" customHeight="1" x14ac:dyDescent="0.25">
      <c r="D73" s="89"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8" t="str" cm="1">
        <f t="array" ref="D77">Fertiliser_SourceData.Fertiliser_FracLEACH_Source()</f>
        <v>VEERG 2026: 5.5.2.3 Constant Parameters</v>
      </c>
    </row>
    <row r="78" spans="4:6" ht="20.100000000000001" customHeight="1" x14ac:dyDescent="0.25">
      <c r="D78" s="89"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8" t="str" cm="1">
        <f t="array" ref="D82">Fertiliser_SourceData.Fertiliser_EFLeach_Source()</f>
        <v>VEERG 2026: 5.5.2.3 Constant Parameters</v>
      </c>
    </row>
    <row r="83" spans="4:31" ht="20.100000000000001" customHeight="1" x14ac:dyDescent="0.25">
      <c r="D83" s="89"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636</v>
      </c>
    </row>
    <row r="87" spans="4:31" ht="20.100000000000001" customHeight="1" x14ac:dyDescent="0.25">
      <c r="D87" s="2" t="s">
        <v>637</v>
      </c>
      <c r="E87" s="176"/>
      <c r="F87" s="176"/>
      <c r="G87" s="176"/>
      <c r="H87" s="176"/>
      <c r="I87" s="176"/>
      <c r="J87" s="176"/>
      <c r="K87" s="176"/>
      <c r="L87" s="176"/>
      <c r="N87" s="176" t="s">
        <v>636</v>
      </c>
      <c r="O87" s="176"/>
      <c r="P87" s="176"/>
      <c r="Q87" s="176"/>
      <c r="R87" s="176"/>
      <c r="S87" s="176"/>
      <c r="T87" s="176"/>
      <c r="U87" s="176"/>
    </row>
    <row r="88" spans="4:31" ht="20.100000000000001" customHeight="1" x14ac:dyDescent="0.25">
      <c r="D88" s="176"/>
    </row>
    <row r="89" spans="4:31" ht="20.100000000000001" customHeight="1" x14ac:dyDescent="0.25">
      <c r="D89" s="186" t="s">
        <v>638</v>
      </c>
      <c r="E89" s="31" t="s">
        <v>639</v>
      </c>
      <c r="F89" s="31" t="s">
        <v>640</v>
      </c>
      <c r="G89" s="141" t="s">
        <v>641</v>
      </c>
      <c r="H89" s="141" t="s">
        <v>133</v>
      </c>
      <c r="I89" s="141" t="s">
        <v>642</v>
      </c>
      <c r="J89" s="141" t="s">
        <v>493</v>
      </c>
      <c r="K89" s="141" t="s">
        <v>494</v>
      </c>
      <c r="L89" s="141" t="s">
        <v>480</v>
      </c>
      <c r="M89" s="141" t="s">
        <v>481</v>
      </c>
      <c r="N89" s="141" t="s">
        <v>482</v>
      </c>
      <c r="O89" s="31" t="s">
        <v>483</v>
      </c>
      <c r="P89" s="31" t="s">
        <v>484</v>
      </c>
      <c r="Q89" s="31" t="s">
        <v>485</v>
      </c>
      <c r="R89" s="141" t="s">
        <v>486</v>
      </c>
      <c r="S89" s="141" t="s">
        <v>487</v>
      </c>
      <c r="T89" s="31" t="s">
        <v>488</v>
      </c>
      <c r="U89" s="141" t="s">
        <v>489</v>
      </c>
      <c r="V89" s="141" t="s">
        <v>490</v>
      </c>
      <c r="W89" s="141" t="s">
        <v>491</v>
      </c>
      <c r="X89" s="141" t="s">
        <v>643</v>
      </c>
      <c r="Y89" s="141" t="s">
        <v>644</v>
      </c>
      <c r="Z89" s="31" t="s">
        <v>645</v>
      </c>
      <c r="AA89" s="31" t="s">
        <v>646</v>
      </c>
      <c r="AB89" s="31" t="s">
        <v>647</v>
      </c>
      <c r="AC89" s="31" t="s">
        <v>648</v>
      </c>
      <c r="AD89" s="31" t="s">
        <v>649</v>
      </c>
      <c r="AE89" s="31" t="s">
        <v>650</v>
      </c>
    </row>
    <row r="90" spans="4:31" ht="20.100000000000001" customHeight="1" x14ac:dyDescent="0.25">
      <c r="D90" s="185" t="str" cm="1">
        <f t="array" ref="D90">Common_InputFunctions.Utility_DisplayArrayInTable(Fertiliser_SourceData.Fertiliser_Products_Data1(),FertiliserProducts[[#Headers],[Include or Exclude]], -1)</f>
        <v>Include</v>
      </c>
      <c r="E90" s="185" t="str" cm="1">
        <f t="array" ref="E90">Common_InputFunctions.Utility_DisplayArrayInTable(Fertiliser_SourceData.Fertiliser_Products_Data1(),FertiliserProducts[[#Headers],[Include or Exclude]], 0)</f>
        <v/>
      </c>
      <c r="F90" s="185" t="str" cm="1">
        <f t="array" ref="F90">Common_InputFunctions.Utility_DisplayArrayInTable(Fertiliser_SourceData.Fertiliser_Products_Data1(),FertiliserProducts[[#Headers],[Include or Exclude]], 0)</f>
        <v>Campbells fertilisers Australia</v>
      </c>
      <c r="G90" s="185" t="str" cm="1">
        <f t="array" ref="G90">Common_InputFunctions.Utility_DisplayArrayInTable(Fertiliser_SourceData.Fertiliser_Products_Data1(),FertiliserProducts[[#Headers],[Include or Exclude]], 0)</f>
        <v>Aqua Finish</v>
      </c>
      <c r="H90" s="185" t="str" cm="1">
        <f t="array" ref="H90">Common_InputFunctions.Utility_DisplayArrayInTable(Fertiliser_SourceData.Fertiliser_Products_Data1(),FertiliserProducts[[#Headers],[Include or Exclude]], 0,4)</f>
        <v>L</v>
      </c>
      <c r="I90" s="185" cm="1">
        <f t="array" ref="I90">Common_InputFunctions.Utility_DisplayArrayInTable(Fertiliser_SourceData.Fertiliser_Products_Data1(),FertiliserProducts[[#Headers],[Include or Exclude]], 0,4)</f>
        <v>1.26</v>
      </c>
      <c r="J90" s="185" t="str" cm="1">
        <f t="array" ref="J90">Common_InputFunctions.Utility_DisplayArrayInTable(Fertiliser_SourceData.Fertiliser_Products_Data1(),FertiliserProducts[[#Headers],[Include or Exclude]], 0,4)</f>
        <v/>
      </c>
      <c r="K90" s="185" t="str" cm="1">
        <f t="array" ref="K90">Common_InputFunctions.Utility_DisplayArrayInTable(Fertiliser_SourceData.Fertiliser_Products_Data1(),FertiliserProducts[[#Headers],[Include or Exclude]], 0,4)</f>
        <v/>
      </c>
      <c r="L90" s="185" t="str" cm="1">
        <f t="array" ref="L90">Common_InputFunctions.Utility_DisplayArrayInTable(Fertiliser_SourceData.Fertiliser_Products_Data1(),FertiliserProducts[[#Headers],[Include or Exclude]], 0,4)</f>
        <v>Potassium - Generic</v>
      </c>
      <c r="M90" s="185" cm="1">
        <f t="array" ref="M90">Common_InputFunctions.Utility_DisplayArrayInTable(Fertiliser_SourceData.Fertiliser_Products_Data1(),FertiliserProducts[[#Headers],[Include or Exclude]], 0,4)</f>
        <v>0.22500000000000001</v>
      </c>
      <c r="N90" s="185" t="str" cm="1">
        <f t="array" ref="N90">Common_InputFunctions.Utility_DisplayArrayInTable(Fertiliser_SourceData.Fertiliser_Products_Data1(),FertiliserProducts[[#Headers],[Include or Exclude]], 0,4)</f>
        <v>Phosphorus - Generic</v>
      </c>
      <c r="O90" s="185" cm="1">
        <f t="array" ref="O90">Common_InputFunctions.Utility_DisplayArrayInTable(Fertiliser_SourceData.Fertiliser_Products_Data1(),FertiliserProducts[[#Headers],[Include or Exclude]], 0,4)</f>
        <v>0.04</v>
      </c>
      <c r="P90" s="185" t="str" cm="1">
        <f t="array" ref="P90">Common_InputFunctions.Utility_DisplayArrayInTable(Fertiliser_SourceData.Fertiliser_Products_Data1(),FertiliserProducts[[#Headers],[Include or Exclude]], 0,4)</f>
        <v>Nitrogen - Generic</v>
      </c>
      <c r="Q90" s="185" cm="1">
        <f t="array" ref="Q90">Common_InputFunctions.Utility_DisplayArrayInTable(Fertiliser_SourceData.Fertiliser_Products_Data1(),FertiliserProducts[[#Headers],[Include or Exclude]], 0,4)</f>
        <v>2.5999999999999999E-2</v>
      </c>
      <c r="R90" s="185" t="str" cm="1">
        <f t="array" ref="R90">Common_InputFunctions.Utility_DisplayArrayInTable(Fertiliser_SourceData.Fertiliser_Products_Data1(),FertiliserProducts[[#Headers],[Include or Exclude]], 0,4)</f>
        <v/>
      </c>
      <c r="S90" s="185" t="str" cm="1">
        <f t="array" ref="S90">Common_InputFunctions.Utility_DisplayArrayInTable(Fertiliser_SourceData.Fertiliser_Products_Data1(),FertiliserProducts[[#Headers],[Include or Exclude]], 0,4)</f>
        <v/>
      </c>
      <c r="T90" s="185" t="str" cm="1">
        <f t="array" ref="T90">Common_InputFunctions.Utility_DisplayArrayInTable(Fertiliser_SourceData.Fertiliser_Products_Data1(),FertiliserProducts[[#Headers],[Include or Exclude]], 0,4)</f>
        <v/>
      </c>
      <c r="U90" s="185" t="str" cm="1">
        <f t="array" ref="U90">Common_InputFunctions.Utility_DisplayArrayInTable(Fertiliser_SourceData.Fertiliser_Products_Data1(),FertiliserProducts[[#Headers],[Include or Exclude]], 0,4)</f>
        <v/>
      </c>
      <c r="V90" s="185" t="str" cm="1">
        <f t="array" ref="V90">Common_InputFunctions.Utility_DisplayArrayInTable(Fertiliser_SourceData.Fertiliser_Products_Data1(),FertiliserProducts[[#Headers],[Include or Exclude]], 0,4)</f>
        <v/>
      </c>
      <c r="W90" s="185" t="str" cm="1">
        <f t="array" ref="W90">Common_InputFunctions.Utility_DisplayArrayInTable(Fertiliser_SourceData.Fertiliser_Products_Data1(),FertiliserProducts[[#Headers],[Include or Exclude]], 0,4)</f>
        <v/>
      </c>
      <c r="X90" s="185" t="str" cm="1">
        <f t="array" ref="X90">Common_InputFunctions.Utility_DisplayArrayInTable(Fertiliser_SourceData.Fertiliser_Products_Data1(),FertiliserProducts[[#Headers],[Include or Exclude]], 0,4)</f>
        <v/>
      </c>
      <c r="Y90" s="185" t="str" cm="1">
        <f t="array" ref="Y90">Common_InputFunctions.Utility_DisplayArrayInTable(Fertiliser_SourceData.Fertiliser_Products_Data1(),FertiliserProducts[[#Headers],[Include or Exclude]], 0,4)</f>
        <v/>
      </c>
      <c r="Z90" s="185" t="str" cm="1">
        <f t="array" ref="Z90">Common_InputFunctions.Utility_DisplayArrayInTable(Fertiliser_SourceData.Fertiliser_Products_Data1(),FertiliserProducts[[#Headers],[Include or Exclude]], 0,4)</f>
        <v/>
      </c>
      <c r="AA90" s="185" t="str" cm="1">
        <f t="array" ref="AA90">Common_InputFunctions.Utility_DisplayArrayInTable(Fertiliser_SourceData.Fertiliser_Products_Data1(),FertiliserProducts[[#Headers],[Include or Exclude]], 0,4)</f>
        <v/>
      </c>
      <c r="AB90" s="185" t="str" cm="1">
        <f t="array" ref="AB90">Common_InputFunctions.Utility_DisplayArrayInTable(Fertiliser_SourceData.Fertiliser_Products_Data1(),FertiliserProducts[[#Headers],[Include or Exclude]], 0,4)</f>
        <v/>
      </c>
      <c r="AC90" s="185" t="str" cm="1">
        <f t="array" ref="AC90">Common_InputFunctions.Utility_DisplayArrayInTable(Fertiliser_SourceData.Fertiliser_Products_Data1(),FertiliserProducts[[#Headers],[Include or Exclude]], 0,4)</f>
        <v/>
      </c>
      <c r="AD90" s="185" t="str" cm="1">
        <f t="array" ref="AD90">Common_InputFunctions.Utility_DisplayArrayInTable(Fertiliser_SourceData.Fertiliser_Products_Data1(),FertiliserProducts[[#Headers],[Include or Exclude]], 0,4)</f>
        <v/>
      </c>
      <c r="AE90" s="185" t="str" cm="1">
        <f t="array" ref="AE90">Common_InputFunctions.Utility_DisplayArrayInTable(Fertiliser_SourceData.Fertiliser_Products_Data1(),FertiliserProducts[[#Headers],[Include or Exclude]], 0,4)</f>
        <v/>
      </c>
    </row>
    <row r="91" spans="4:31" ht="20.100000000000001" customHeight="1" x14ac:dyDescent="0.25">
      <c r="D91" s="185" t="str" cm="1">
        <f t="array" ref="D91">Common_InputFunctions.Utility_DisplayArrayInTable(Fertiliser_SourceData.Fertiliser_Products_Data1(),FertiliserProducts[[#Headers],[Include or Exclude]], -1)</f>
        <v>Include</v>
      </c>
      <c r="E91" s="185" t="str" cm="1">
        <f t="array" ref="E91">Common_InputFunctions.Utility_DisplayArrayInTable(Fertiliser_SourceData.Fertiliser_Products_Data1(),FertiliserProducts[[#Headers],[Include or Exclude]], 0)</f>
        <v/>
      </c>
      <c r="F91" s="185" t="str" cm="1">
        <f t="array" ref="F91">Common_InputFunctions.Utility_DisplayArrayInTable(Fertiliser_SourceData.Fertiliser_Products_Data1(),FertiliserProducts[[#Headers],[Include or Exclude]], 0)</f>
        <v>Campbells fertilisers Australia</v>
      </c>
      <c r="G91" s="185" t="str" cm="1">
        <f t="array" ref="G91">Common_InputFunctions.Utility_DisplayArrayInTable(Fertiliser_SourceData.Fertiliser_Products_Data1(),FertiliserProducts[[#Headers],[Include or Exclude]], 0)</f>
        <v>Aqua Grow</v>
      </c>
      <c r="H91" s="185" t="str" cm="1">
        <f t="array" ref="H91">Common_InputFunctions.Utility_DisplayArrayInTable(Fertiliser_SourceData.Fertiliser_Products_Data1(),FertiliserProducts[[#Headers],[Include or Exclude]], 0,4)</f>
        <v>L</v>
      </c>
      <c r="I91" s="185" cm="1">
        <f t="array" ref="I91">Common_InputFunctions.Utility_DisplayArrayInTable(Fertiliser_SourceData.Fertiliser_Products_Data1(),FertiliserProducts[[#Headers],[Include or Exclude]], 0,4)</f>
        <v>1.26</v>
      </c>
      <c r="J91" s="185" t="str" cm="1">
        <f t="array" ref="J91">Common_InputFunctions.Utility_DisplayArrayInTable(Fertiliser_SourceData.Fertiliser_Products_Data1(),FertiliserProducts[[#Headers],[Include or Exclude]], 0,4)</f>
        <v/>
      </c>
      <c r="K91" s="185" t="str" cm="1">
        <f t="array" ref="K91">Common_InputFunctions.Utility_DisplayArrayInTable(Fertiliser_SourceData.Fertiliser_Products_Data1(),FertiliserProducts[[#Headers],[Include or Exclude]], 0,4)</f>
        <v/>
      </c>
      <c r="L91" s="185" t="str" cm="1">
        <f t="array" ref="L91">Common_InputFunctions.Utility_DisplayArrayInTable(Fertiliser_SourceData.Fertiliser_Products_Data1(),FertiliserProducts[[#Headers],[Include or Exclude]], 0,4)</f>
        <v>Potassium - Generic</v>
      </c>
      <c r="M91" s="185" cm="1">
        <f t="array" ref="M91">Common_InputFunctions.Utility_DisplayArrayInTable(Fertiliser_SourceData.Fertiliser_Products_Data1(),FertiliserProducts[[#Headers],[Include or Exclude]], 0,4)</f>
        <v>0.105</v>
      </c>
      <c r="N91" s="185" t="str" cm="1">
        <f t="array" ref="N91">Common_InputFunctions.Utility_DisplayArrayInTable(Fertiliser_SourceData.Fertiliser_Products_Data1(),FertiliserProducts[[#Headers],[Include or Exclude]], 0,4)</f>
        <v>Nitrogen - Generic</v>
      </c>
      <c r="O91" s="185" cm="1">
        <f t="array" ref="O91">Common_InputFunctions.Utility_DisplayArrayInTable(Fertiliser_SourceData.Fertiliser_Products_Data1(),FertiliserProducts[[#Headers],[Include or Exclude]], 0,4)</f>
        <v>9.6000000000000002E-2</v>
      </c>
      <c r="P91" s="185" t="str" cm="1">
        <f t="array" ref="P91">Common_InputFunctions.Utility_DisplayArrayInTable(Fertiliser_SourceData.Fertiliser_Products_Data1(),FertiliserProducts[[#Headers],[Include or Exclude]], 0,4)</f>
        <v>Phosphorus - Generic</v>
      </c>
      <c r="Q91" s="185" cm="1">
        <f t="array" ref="Q91">Common_InputFunctions.Utility_DisplayArrayInTable(Fertiliser_SourceData.Fertiliser_Products_Data1(),FertiliserProducts[[#Headers],[Include or Exclude]], 0,4)</f>
        <v>0.05</v>
      </c>
      <c r="R91" s="185" t="str" cm="1">
        <f t="array" ref="R91">Common_InputFunctions.Utility_DisplayArrayInTable(Fertiliser_SourceData.Fertiliser_Products_Data1(),FertiliserProducts[[#Headers],[Include or Exclude]], 0,4)</f>
        <v/>
      </c>
      <c r="S91" s="185" t="str" cm="1">
        <f t="array" ref="S91">Common_InputFunctions.Utility_DisplayArrayInTable(Fertiliser_SourceData.Fertiliser_Products_Data1(),FertiliserProducts[[#Headers],[Include or Exclude]], 0,4)</f>
        <v/>
      </c>
      <c r="T91" s="185" t="str" cm="1">
        <f t="array" ref="T91">Common_InputFunctions.Utility_DisplayArrayInTable(Fertiliser_SourceData.Fertiliser_Products_Data1(),FertiliserProducts[[#Headers],[Include or Exclude]], 0,4)</f>
        <v/>
      </c>
      <c r="U91" s="185" t="str" cm="1">
        <f t="array" ref="U91">Common_InputFunctions.Utility_DisplayArrayInTable(Fertiliser_SourceData.Fertiliser_Products_Data1(),FertiliserProducts[[#Headers],[Include or Exclude]], 0,4)</f>
        <v/>
      </c>
      <c r="V91" s="185" t="str" cm="1">
        <f t="array" ref="V91">Common_InputFunctions.Utility_DisplayArrayInTable(Fertiliser_SourceData.Fertiliser_Products_Data1(),FertiliserProducts[[#Headers],[Include or Exclude]], 0,4)</f>
        <v/>
      </c>
      <c r="W91" s="185" t="str" cm="1">
        <f t="array" ref="W91">Common_InputFunctions.Utility_DisplayArrayInTable(Fertiliser_SourceData.Fertiliser_Products_Data1(),FertiliserProducts[[#Headers],[Include or Exclude]], 0,4)</f>
        <v/>
      </c>
      <c r="X91" s="185" t="str" cm="1">
        <f t="array" ref="X91">Common_InputFunctions.Utility_DisplayArrayInTable(Fertiliser_SourceData.Fertiliser_Products_Data1(),FertiliserProducts[[#Headers],[Include or Exclude]], 0,4)</f>
        <v/>
      </c>
      <c r="Y91" s="185" t="str" cm="1">
        <f t="array" ref="Y91">Common_InputFunctions.Utility_DisplayArrayInTable(Fertiliser_SourceData.Fertiliser_Products_Data1(),FertiliserProducts[[#Headers],[Include or Exclude]], 0,4)</f>
        <v/>
      </c>
      <c r="Z91" s="185" t="str" cm="1">
        <f t="array" ref="Z91">Common_InputFunctions.Utility_DisplayArrayInTable(Fertiliser_SourceData.Fertiliser_Products_Data1(),FertiliserProducts[[#Headers],[Include or Exclude]], 0,4)</f>
        <v/>
      </c>
      <c r="AA91" s="185" t="str" cm="1">
        <f t="array" ref="AA91">Common_InputFunctions.Utility_DisplayArrayInTable(Fertiliser_SourceData.Fertiliser_Products_Data1(),FertiliserProducts[[#Headers],[Include or Exclude]], 0,4)</f>
        <v/>
      </c>
      <c r="AB91" s="185" t="str" cm="1">
        <f t="array" ref="AB91">Common_InputFunctions.Utility_DisplayArrayInTable(Fertiliser_SourceData.Fertiliser_Products_Data1(),FertiliserProducts[[#Headers],[Include or Exclude]], 0,4)</f>
        <v/>
      </c>
      <c r="AC91" s="185" t="str" cm="1">
        <f t="array" ref="AC91">Common_InputFunctions.Utility_DisplayArrayInTable(Fertiliser_SourceData.Fertiliser_Products_Data1(),FertiliserProducts[[#Headers],[Include or Exclude]], 0,4)</f>
        <v/>
      </c>
      <c r="AD91" s="185" t="str" cm="1">
        <f t="array" ref="AD91">Common_InputFunctions.Utility_DisplayArrayInTable(Fertiliser_SourceData.Fertiliser_Products_Data1(),FertiliserProducts[[#Headers],[Include or Exclude]], 0,4)</f>
        <v/>
      </c>
      <c r="AE91" s="185" t="str" cm="1">
        <f t="array" ref="AE91">Common_InputFunctions.Utility_DisplayArrayInTable(Fertiliser_SourceData.Fertiliser_Products_Data1(),FertiliserProducts[[#Headers],[Include or Exclude]], 0,4)</f>
        <v/>
      </c>
    </row>
    <row r="92" spans="4:31" ht="20.100000000000001" customHeight="1" x14ac:dyDescent="0.25">
      <c r="D92" s="185" t="str" cm="1">
        <f t="array" ref="D92">Common_InputFunctions.Utility_DisplayArrayInTable(Fertiliser_SourceData.Fertiliser_Products_Data1(),FertiliserProducts[[#Headers],[Include or Exclude]], -1)</f>
        <v>Include</v>
      </c>
      <c r="E92" s="185" t="str" cm="1">
        <f t="array" ref="E92">Common_InputFunctions.Utility_DisplayArrayInTable(Fertiliser_SourceData.Fertiliser_Products_Data1(),FertiliserProducts[[#Headers],[Include or Exclude]], 0)</f>
        <v/>
      </c>
      <c r="F92" s="185" t="str" cm="1">
        <f t="array" ref="F92">Common_InputFunctions.Utility_DisplayArrayInTable(Fertiliser_SourceData.Fertiliser_Products_Data1(),FertiliserProducts[[#Headers],[Include or Exclude]], 0)</f>
        <v>Campbells fertilisers Australia</v>
      </c>
      <c r="G92" s="185" t="str" cm="1">
        <f t="array" ref="G92">Common_InputFunctions.Utility_DisplayArrayInTable(Fertiliser_SourceData.Fertiliser_Products_Data1(),FertiliserProducts[[#Headers],[Include or Exclude]], 0)</f>
        <v>Aqua Nitro AN</v>
      </c>
      <c r="H92" s="185" t="str" cm="1">
        <f t="array" ref="H92">Common_InputFunctions.Utility_DisplayArrayInTable(Fertiliser_SourceData.Fertiliser_Products_Data1(),FertiliserProducts[[#Headers],[Include or Exclude]], 0,4)</f>
        <v>L</v>
      </c>
      <c r="I92" s="185" cm="1">
        <f t="array" ref="I92">Common_InputFunctions.Utility_DisplayArrayInTable(Fertiliser_SourceData.Fertiliser_Products_Data1(),FertiliserProducts[[#Headers],[Include or Exclude]], 0,4)</f>
        <v>1.24</v>
      </c>
      <c r="J92" s="185" t="str" cm="1">
        <f t="array" ref="J92">Common_InputFunctions.Utility_DisplayArrayInTable(Fertiliser_SourceData.Fertiliser_Products_Data1(),FertiliserProducts[[#Headers],[Include or Exclude]], 0,4)</f>
        <v/>
      </c>
      <c r="K92" s="185" t="str" cm="1">
        <f t="array" ref="K92">Common_InputFunctions.Utility_DisplayArrayInTable(Fertiliser_SourceData.Fertiliser_Products_Data1(),FertiliserProducts[[#Headers],[Include or Exclude]], 0,4)</f>
        <v/>
      </c>
      <c r="L92" s="185" t="str" cm="1">
        <f t="array" ref="L92">Common_InputFunctions.Utility_DisplayArrayInTable(Fertiliser_SourceData.Fertiliser_Products_Data1(),FertiliserProducts[[#Headers],[Include or Exclude]], 0,4)</f>
        <v>Nitrogen - Ammoniacal</v>
      </c>
      <c r="M92" s="185" cm="1">
        <f t="array" ref="M92">Common_InputFunctions.Utility_DisplayArrayInTable(Fertiliser_SourceData.Fertiliser_Products_Data1(),FertiliserProducts[[#Headers],[Include or Exclude]], 0,4)</f>
        <v>0.223</v>
      </c>
      <c r="N92" s="185" t="str" cm="1">
        <f t="array" ref="N92">Common_InputFunctions.Utility_DisplayArrayInTable(Fertiliser_SourceData.Fertiliser_Products_Data1(),FertiliserProducts[[#Headers],[Include or Exclude]], 0,4)</f>
        <v/>
      </c>
      <c r="O92" s="185" t="str" cm="1">
        <f t="array" ref="O92">Common_InputFunctions.Utility_DisplayArrayInTable(Fertiliser_SourceData.Fertiliser_Products_Data1(),FertiliserProducts[[#Headers],[Include or Exclude]], 0,4)</f>
        <v/>
      </c>
      <c r="P92" s="185" t="str" cm="1">
        <f t="array" ref="P92">Common_InputFunctions.Utility_DisplayArrayInTable(Fertiliser_SourceData.Fertiliser_Products_Data1(),FertiliserProducts[[#Headers],[Include or Exclude]], 0,4)</f>
        <v/>
      </c>
      <c r="Q92" s="185" t="str" cm="1">
        <f t="array" ref="Q92">Common_InputFunctions.Utility_DisplayArrayInTable(Fertiliser_SourceData.Fertiliser_Products_Data1(),FertiliserProducts[[#Headers],[Include or Exclude]], 0,4)</f>
        <v/>
      </c>
      <c r="R92" s="185" t="str" cm="1">
        <f t="array" ref="R92">Common_InputFunctions.Utility_DisplayArrayInTable(Fertiliser_SourceData.Fertiliser_Products_Data1(),FertiliserProducts[[#Headers],[Include or Exclude]], 0,4)</f>
        <v/>
      </c>
      <c r="S92" s="185" t="str" cm="1">
        <f t="array" ref="S92">Common_InputFunctions.Utility_DisplayArrayInTable(Fertiliser_SourceData.Fertiliser_Products_Data1(),FertiliserProducts[[#Headers],[Include or Exclude]], 0,4)</f>
        <v/>
      </c>
      <c r="T92" s="185" t="str" cm="1">
        <f t="array" ref="T92">Common_InputFunctions.Utility_DisplayArrayInTable(Fertiliser_SourceData.Fertiliser_Products_Data1(),FertiliserProducts[[#Headers],[Include or Exclude]], 0,4)</f>
        <v/>
      </c>
      <c r="U92" s="185" t="str" cm="1">
        <f t="array" ref="U92">Common_InputFunctions.Utility_DisplayArrayInTable(Fertiliser_SourceData.Fertiliser_Products_Data1(),FertiliserProducts[[#Headers],[Include or Exclude]], 0,4)</f>
        <v/>
      </c>
      <c r="V92" s="185" t="str" cm="1">
        <f t="array" ref="V92">Common_InputFunctions.Utility_DisplayArrayInTable(Fertiliser_SourceData.Fertiliser_Products_Data1(),FertiliserProducts[[#Headers],[Include or Exclude]], 0,4)</f>
        <v/>
      </c>
      <c r="W92" s="185" t="str" cm="1">
        <f t="array" ref="W92">Common_InputFunctions.Utility_DisplayArrayInTable(Fertiliser_SourceData.Fertiliser_Products_Data1(),FertiliserProducts[[#Headers],[Include or Exclude]], 0,4)</f>
        <v/>
      </c>
      <c r="X92" s="185" t="str" cm="1">
        <f t="array" ref="X92">Common_InputFunctions.Utility_DisplayArrayInTable(Fertiliser_SourceData.Fertiliser_Products_Data1(),FertiliserProducts[[#Headers],[Include or Exclude]], 0,4)</f>
        <v/>
      </c>
      <c r="Y92" s="185" t="str" cm="1">
        <f t="array" ref="Y92">Common_InputFunctions.Utility_DisplayArrayInTable(Fertiliser_SourceData.Fertiliser_Products_Data1(),FertiliserProducts[[#Headers],[Include or Exclude]], 0,4)</f>
        <v/>
      </c>
      <c r="Z92" s="185" t="str" cm="1">
        <f t="array" ref="Z92">Common_InputFunctions.Utility_DisplayArrayInTable(Fertiliser_SourceData.Fertiliser_Products_Data1(),FertiliserProducts[[#Headers],[Include or Exclude]], 0,4)</f>
        <v/>
      </c>
      <c r="AA92" s="185" t="str" cm="1">
        <f t="array" ref="AA92">Common_InputFunctions.Utility_DisplayArrayInTable(Fertiliser_SourceData.Fertiliser_Products_Data1(),FertiliserProducts[[#Headers],[Include or Exclude]], 0,4)</f>
        <v/>
      </c>
      <c r="AB92" s="185" t="str" cm="1">
        <f t="array" ref="AB92">Common_InputFunctions.Utility_DisplayArrayInTable(Fertiliser_SourceData.Fertiliser_Products_Data1(),FertiliserProducts[[#Headers],[Include or Exclude]], 0,4)</f>
        <v/>
      </c>
      <c r="AC92" s="185" t="str" cm="1">
        <f t="array" ref="AC92">Common_InputFunctions.Utility_DisplayArrayInTable(Fertiliser_SourceData.Fertiliser_Products_Data1(),FertiliserProducts[[#Headers],[Include or Exclude]], 0,4)</f>
        <v/>
      </c>
      <c r="AD92" s="185" t="str" cm="1">
        <f t="array" ref="AD92">Common_InputFunctions.Utility_DisplayArrayInTable(Fertiliser_SourceData.Fertiliser_Products_Data1(),FertiliserProducts[[#Headers],[Include or Exclude]], 0,4)</f>
        <v/>
      </c>
      <c r="AE92" s="185" t="str" cm="1">
        <f t="array" ref="AE92">Common_InputFunctions.Utility_DisplayArrayInTable(Fertiliser_SourceData.Fertiliser_Products_Data1(),FertiliserProducts[[#Headers],[Include or Exclude]], 0,4)</f>
        <v/>
      </c>
    </row>
    <row r="93" spans="4:31" ht="20.100000000000001" customHeight="1" x14ac:dyDescent="0.25">
      <c r="D93" s="185" t="str" cm="1">
        <f t="array" ref="D93">Common_InputFunctions.Utility_DisplayArrayInTable(Fertiliser_SourceData.Fertiliser_Products_Data1(),FertiliserProducts[[#Headers],[Include or Exclude]], -1)</f>
        <v>Include</v>
      </c>
      <c r="E93" s="185" t="str" cm="1">
        <f t="array" ref="E93">Common_InputFunctions.Utility_DisplayArrayInTable(Fertiliser_SourceData.Fertiliser_Products_Data1(),FertiliserProducts[[#Headers],[Include or Exclude]], 0)</f>
        <v>Use Lime EF for calcium</v>
      </c>
      <c r="F93" s="185" t="str" cm="1">
        <f t="array" ref="F93">Common_InputFunctions.Utility_DisplayArrayInTable(Fertiliser_SourceData.Fertiliser_Products_Data1(),FertiliserProducts[[#Headers],[Include or Exclude]], 0)</f>
        <v>Campbells fertilisers Australia</v>
      </c>
      <c r="G93" s="185" t="str" cm="1">
        <f t="array" ref="G93">Common_InputFunctions.Utility_DisplayArrayInTable(Fertiliser_SourceData.Fertiliser_Products_Data1(),FertiliserProducts[[#Headers],[Include or Exclude]], 0)</f>
        <v>Aqua NitroCal</v>
      </c>
      <c r="H93" s="185" t="str" cm="1">
        <f t="array" ref="H93">Common_InputFunctions.Utility_DisplayArrayInTable(Fertiliser_SourceData.Fertiliser_Products_Data1(),FertiliserProducts[[#Headers],[Include or Exclude]], 0,4)</f>
        <v>L</v>
      </c>
      <c r="I93" s="185" cm="1">
        <f t="array" ref="I93">Common_InputFunctions.Utility_DisplayArrayInTable(Fertiliser_SourceData.Fertiliser_Products_Data1(),FertiliserProducts[[#Headers],[Include or Exclude]], 0,4)</f>
        <v>1.5</v>
      </c>
      <c r="J93" s="185" t="str" cm="1">
        <f t="array" ref="J93">Common_InputFunctions.Utility_DisplayArrayInTable(Fertiliser_SourceData.Fertiliser_Products_Data1(),FertiliserProducts[[#Headers],[Include or Exclude]], 0,4)</f>
        <v/>
      </c>
      <c r="K93" s="185" t="str" cm="1">
        <f t="array" ref="K93">Common_InputFunctions.Utility_DisplayArrayInTable(Fertiliser_SourceData.Fertiliser_Products_Data1(),FertiliserProducts[[#Headers],[Include or Exclude]], 0,4)</f>
        <v/>
      </c>
      <c r="L93" s="185" t="str" cm="1">
        <f t="array" ref="L93">Common_InputFunctions.Utility_DisplayArrayInTable(Fertiliser_SourceData.Fertiliser_Products_Data1(),FertiliserProducts[[#Headers],[Include or Exclude]], 0,4)</f>
        <v>Calcium - Generic</v>
      </c>
      <c r="M93" s="185" cm="1">
        <f t="array" ref="M93">Common_InputFunctions.Utility_DisplayArrayInTable(Fertiliser_SourceData.Fertiliser_Products_Data1(),FertiliserProducts[[#Headers],[Include or Exclude]], 0,4)</f>
        <v>0.16200000000000001</v>
      </c>
      <c r="N93" s="185" t="str" cm="1">
        <f t="array" ref="N93">Common_InputFunctions.Utility_DisplayArrayInTable(Fertiliser_SourceData.Fertiliser_Products_Data1(),FertiliserProducts[[#Headers],[Include or Exclude]], 0,4)</f>
        <v>Nitrogen - Nitrate</v>
      </c>
      <c r="O93" s="185" cm="1">
        <f t="array" ref="O93">Common_InputFunctions.Utility_DisplayArrayInTable(Fertiliser_SourceData.Fertiliser_Products_Data1(),FertiliserProducts[[#Headers],[Include or Exclude]], 0,4)</f>
        <v>0.13200000000000001</v>
      </c>
      <c r="P93" s="185" t="str" cm="1">
        <f t="array" ref="P93">Common_InputFunctions.Utility_DisplayArrayInTable(Fertiliser_SourceData.Fertiliser_Products_Data1(),FertiliserProducts[[#Headers],[Include or Exclude]], 0,4)</f>
        <v/>
      </c>
      <c r="Q93" s="185" t="str" cm="1">
        <f t="array" ref="Q93">Common_InputFunctions.Utility_DisplayArrayInTable(Fertiliser_SourceData.Fertiliser_Products_Data1(),FertiliserProducts[[#Headers],[Include or Exclude]], 0,4)</f>
        <v/>
      </c>
      <c r="R93" s="185" t="str" cm="1">
        <f t="array" ref="R93">Common_InputFunctions.Utility_DisplayArrayInTable(Fertiliser_SourceData.Fertiliser_Products_Data1(),FertiliserProducts[[#Headers],[Include or Exclude]], 0,4)</f>
        <v/>
      </c>
      <c r="S93" s="185" t="str" cm="1">
        <f t="array" ref="S93">Common_InputFunctions.Utility_DisplayArrayInTable(Fertiliser_SourceData.Fertiliser_Products_Data1(),FertiliserProducts[[#Headers],[Include or Exclude]], 0,4)</f>
        <v/>
      </c>
      <c r="T93" s="185" t="str" cm="1">
        <f t="array" ref="T93">Common_InputFunctions.Utility_DisplayArrayInTable(Fertiliser_SourceData.Fertiliser_Products_Data1(),FertiliserProducts[[#Headers],[Include or Exclude]], 0,4)</f>
        <v/>
      </c>
      <c r="U93" s="185" t="str" cm="1">
        <f t="array" ref="U93">Common_InputFunctions.Utility_DisplayArrayInTable(Fertiliser_SourceData.Fertiliser_Products_Data1(),FertiliserProducts[[#Headers],[Include or Exclude]], 0,4)</f>
        <v/>
      </c>
      <c r="V93" s="185" t="str" cm="1">
        <f t="array" ref="V93">Common_InputFunctions.Utility_DisplayArrayInTable(Fertiliser_SourceData.Fertiliser_Products_Data1(),FertiliserProducts[[#Headers],[Include or Exclude]], 0,4)</f>
        <v/>
      </c>
      <c r="W93" s="185" t="str" cm="1">
        <f t="array" ref="W93">Common_InputFunctions.Utility_DisplayArrayInTable(Fertiliser_SourceData.Fertiliser_Products_Data1(),FertiliserProducts[[#Headers],[Include or Exclude]], 0,4)</f>
        <v/>
      </c>
      <c r="X93" s="185" t="str" cm="1">
        <f t="array" ref="X93">Common_InputFunctions.Utility_DisplayArrayInTable(Fertiliser_SourceData.Fertiliser_Products_Data1(),FertiliserProducts[[#Headers],[Include or Exclude]], 0,4)</f>
        <v/>
      </c>
      <c r="Y93" s="185" t="str" cm="1">
        <f t="array" ref="Y93">Common_InputFunctions.Utility_DisplayArrayInTable(Fertiliser_SourceData.Fertiliser_Products_Data1(),FertiliserProducts[[#Headers],[Include or Exclude]], 0,4)</f>
        <v/>
      </c>
      <c r="Z93" s="185" t="str" cm="1">
        <f t="array" ref="Z93">Common_InputFunctions.Utility_DisplayArrayInTable(Fertiliser_SourceData.Fertiliser_Products_Data1(),FertiliserProducts[[#Headers],[Include or Exclude]], 0,4)</f>
        <v/>
      </c>
      <c r="AA93" s="185" t="str" cm="1">
        <f t="array" ref="AA93">Common_InputFunctions.Utility_DisplayArrayInTable(Fertiliser_SourceData.Fertiliser_Products_Data1(),FertiliserProducts[[#Headers],[Include or Exclude]], 0,4)</f>
        <v/>
      </c>
      <c r="AB93" s="185" t="str" cm="1">
        <f t="array" ref="AB93">Common_InputFunctions.Utility_DisplayArrayInTable(Fertiliser_SourceData.Fertiliser_Products_Data1(),FertiliserProducts[[#Headers],[Include or Exclude]], 0,4)</f>
        <v/>
      </c>
      <c r="AC93" s="185" t="str" cm="1">
        <f t="array" ref="AC93">Common_InputFunctions.Utility_DisplayArrayInTable(Fertiliser_SourceData.Fertiliser_Products_Data1(),FertiliserProducts[[#Headers],[Include or Exclude]], 0,4)</f>
        <v/>
      </c>
      <c r="AD93" s="185" t="str" cm="1">
        <f t="array" ref="AD93">Common_InputFunctions.Utility_DisplayArrayInTable(Fertiliser_SourceData.Fertiliser_Products_Data1(),FertiliserProducts[[#Headers],[Include or Exclude]], 0,4)</f>
        <v/>
      </c>
      <c r="AE93" s="185" t="str" cm="1">
        <f t="array" ref="AE93">Common_InputFunctions.Utility_DisplayArrayInTable(Fertiliser_SourceData.Fertiliser_Products_Data1(),FertiliserProducts[[#Headers],[Include or Exclude]], 0,4)</f>
        <v/>
      </c>
    </row>
    <row r="94" spans="4:31" ht="20.100000000000001" customHeight="1" x14ac:dyDescent="0.25">
      <c r="D94" s="185" t="str" cm="1">
        <f t="array" ref="D94">Common_InputFunctions.Utility_DisplayArrayInTable(Fertiliser_SourceData.Fertiliser_Products_Data1(),FertiliserProducts[[#Headers],[Include or Exclude]], -1)</f>
        <v>Include</v>
      </c>
      <c r="E94" s="185" t="str" cm="1">
        <f t="array" ref="E94">Common_InputFunctions.Utility_DisplayArrayInTable(Fertiliser_SourceData.Fertiliser_Products_Data1(),FertiliserProducts[[#Headers],[Include or Exclude]], 0)</f>
        <v>Use Lime EF for calcium</v>
      </c>
      <c r="F94" s="185" t="str" cm="1">
        <f t="array" ref="F94">Common_InputFunctions.Utility_DisplayArrayInTable(Fertiliser_SourceData.Fertiliser_Products_Data1(),FertiliserProducts[[#Headers],[Include or Exclude]], 0)</f>
        <v>Campbells fertilisers Australia</v>
      </c>
      <c r="G94" s="185" t="str" cm="1">
        <f t="array" ref="G94">Common_InputFunctions.Utility_DisplayArrayInTable(Fertiliser_SourceData.Fertiliser_Products_Data1(),FertiliserProducts[[#Headers],[Include or Exclude]], 0)</f>
        <v>Aqua NitroCal (VI)</v>
      </c>
      <c r="H94" s="185" t="str" cm="1">
        <f t="array" ref="H94">Common_InputFunctions.Utility_DisplayArrayInTable(Fertiliser_SourceData.Fertiliser_Products_Data1(),FertiliserProducts[[#Headers],[Include or Exclude]], 0,4)</f>
        <v>L</v>
      </c>
      <c r="I94" s="185" cm="1">
        <f t="array" ref="I94">Common_InputFunctions.Utility_DisplayArrayInTable(Fertiliser_SourceData.Fertiliser_Products_Data1(),FertiliserProducts[[#Headers],[Include or Exclude]], 0,4)</f>
        <v>1.5</v>
      </c>
      <c r="J94" s="185" t="str" cm="1">
        <f t="array" ref="J94">Common_InputFunctions.Utility_DisplayArrayInTable(Fertiliser_SourceData.Fertiliser_Products_Data1(),FertiliserProducts[[#Headers],[Include or Exclude]], 0,4)</f>
        <v/>
      </c>
      <c r="K94" s="185" t="str" cm="1">
        <f t="array" ref="K94">Common_InputFunctions.Utility_DisplayArrayInTable(Fertiliser_SourceData.Fertiliser_Products_Data1(),FertiliserProducts[[#Headers],[Include or Exclude]], 0,4)</f>
        <v/>
      </c>
      <c r="L94" s="185" t="str" cm="1">
        <f t="array" ref="L94">Common_InputFunctions.Utility_DisplayArrayInTable(Fertiliser_SourceData.Fertiliser_Products_Data1(),FertiliserProducts[[#Headers],[Include or Exclude]], 0,4)</f>
        <v>Calcium - Generic</v>
      </c>
      <c r="M94" s="185" cm="1">
        <f t="array" ref="M94">Common_InputFunctions.Utility_DisplayArrayInTable(Fertiliser_SourceData.Fertiliser_Products_Data1(),FertiliserProducts[[#Headers],[Include or Exclude]], 0,4)</f>
        <v>0.187</v>
      </c>
      <c r="N94" s="185" t="str" cm="1">
        <f t="array" ref="N94">Common_InputFunctions.Utility_DisplayArrayInTable(Fertiliser_SourceData.Fertiliser_Products_Data1(),FertiliserProducts[[#Headers],[Include or Exclude]], 0,4)</f>
        <v>Nitrogen - Nitrate</v>
      </c>
      <c r="O94" s="185" cm="1">
        <f t="array" ref="O94">Common_InputFunctions.Utility_DisplayArrayInTable(Fertiliser_SourceData.Fertiliser_Products_Data1(),FertiliserProducts[[#Headers],[Include or Exclude]], 0,4)</f>
        <v>0.13200000000000001</v>
      </c>
      <c r="P94" s="185" t="str" cm="1">
        <f t="array" ref="P94">Common_InputFunctions.Utility_DisplayArrayInTable(Fertiliser_SourceData.Fertiliser_Products_Data1(),FertiliserProducts[[#Headers],[Include or Exclude]], 0,4)</f>
        <v/>
      </c>
      <c r="Q94" s="185" t="str" cm="1">
        <f t="array" ref="Q94">Common_InputFunctions.Utility_DisplayArrayInTable(Fertiliser_SourceData.Fertiliser_Products_Data1(),FertiliserProducts[[#Headers],[Include or Exclude]], 0,4)</f>
        <v/>
      </c>
      <c r="R94" s="185" t="str" cm="1">
        <f t="array" ref="R94">Common_InputFunctions.Utility_DisplayArrayInTable(Fertiliser_SourceData.Fertiliser_Products_Data1(),FertiliserProducts[[#Headers],[Include or Exclude]], 0,4)</f>
        <v/>
      </c>
      <c r="S94" s="185" t="str" cm="1">
        <f t="array" ref="S94">Common_InputFunctions.Utility_DisplayArrayInTable(Fertiliser_SourceData.Fertiliser_Products_Data1(),FertiliserProducts[[#Headers],[Include or Exclude]], 0,4)</f>
        <v/>
      </c>
      <c r="T94" s="185" t="str" cm="1">
        <f t="array" ref="T94">Common_InputFunctions.Utility_DisplayArrayInTable(Fertiliser_SourceData.Fertiliser_Products_Data1(),FertiliserProducts[[#Headers],[Include or Exclude]], 0,4)</f>
        <v/>
      </c>
      <c r="U94" s="185" t="str" cm="1">
        <f t="array" ref="U94">Common_InputFunctions.Utility_DisplayArrayInTable(Fertiliser_SourceData.Fertiliser_Products_Data1(),FertiliserProducts[[#Headers],[Include or Exclude]], 0,4)</f>
        <v/>
      </c>
      <c r="V94" s="185" t="str" cm="1">
        <f t="array" ref="V94">Common_InputFunctions.Utility_DisplayArrayInTable(Fertiliser_SourceData.Fertiliser_Products_Data1(),FertiliserProducts[[#Headers],[Include or Exclude]], 0,4)</f>
        <v/>
      </c>
      <c r="W94" s="185" t="str" cm="1">
        <f t="array" ref="W94">Common_InputFunctions.Utility_DisplayArrayInTable(Fertiliser_SourceData.Fertiliser_Products_Data1(),FertiliserProducts[[#Headers],[Include or Exclude]], 0,4)</f>
        <v/>
      </c>
      <c r="X94" s="185" t="str" cm="1">
        <f t="array" ref="X94">Common_InputFunctions.Utility_DisplayArrayInTable(Fertiliser_SourceData.Fertiliser_Products_Data1(),FertiliserProducts[[#Headers],[Include or Exclude]], 0,4)</f>
        <v/>
      </c>
      <c r="Y94" s="185" t="str" cm="1">
        <f t="array" ref="Y94">Common_InputFunctions.Utility_DisplayArrayInTable(Fertiliser_SourceData.Fertiliser_Products_Data1(),FertiliserProducts[[#Headers],[Include or Exclude]], 0,4)</f>
        <v/>
      </c>
      <c r="Z94" s="185" t="str" cm="1">
        <f t="array" ref="Z94">Common_InputFunctions.Utility_DisplayArrayInTable(Fertiliser_SourceData.Fertiliser_Products_Data1(),FertiliserProducts[[#Headers],[Include or Exclude]], 0,4)</f>
        <v/>
      </c>
      <c r="AA94" s="185" t="str" cm="1">
        <f t="array" ref="AA94">Common_InputFunctions.Utility_DisplayArrayInTable(Fertiliser_SourceData.Fertiliser_Products_Data1(),FertiliserProducts[[#Headers],[Include or Exclude]], 0,4)</f>
        <v/>
      </c>
      <c r="AB94" s="185" t="str" cm="1">
        <f t="array" ref="AB94">Common_InputFunctions.Utility_DisplayArrayInTable(Fertiliser_SourceData.Fertiliser_Products_Data1(),FertiliserProducts[[#Headers],[Include or Exclude]], 0,4)</f>
        <v/>
      </c>
      <c r="AC94" s="185" t="str" cm="1">
        <f t="array" ref="AC94">Common_InputFunctions.Utility_DisplayArrayInTable(Fertiliser_SourceData.Fertiliser_Products_Data1(),FertiliserProducts[[#Headers],[Include or Exclude]], 0,4)</f>
        <v/>
      </c>
      <c r="AD94" s="185" t="str" cm="1">
        <f t="array" ref="AD94">Common_InputFunctions.Utility_DisplayArrayInTable(Fertiliser_SourceData.Fertiliser_Products_Data1(),FertiliserProducts[[#Headers],[Include or Exclude]], 0,4)</f>
        <v/>
      </c>
      <c r="AE94" s="185" t="str" cm="1">
        <f t="array" ref="AE94">Common_InputFunctions.Utility_DisplayArrayInTable(Fertiliser_SourceData.Fertiliser_Products_Data1(),FertiliserProducts[[#Headers],[Include or Exclude]], 0,4)</f>
        <v/>
      </c>
    </row>
    <row r="95" spans="4:31" ht="20.100000000000001" customHeight="1" x14ac:dyDescent="0.25">
      <c r="D95" s="185" t="str" cm="1">
        <f t="array" ref="D95">Common_InputFunctions.Utility_DisplayArrayInTable(Fertiliser_SourceData.Fertiliser_Products_Data1(),FertiliserProducts[[#Headers],[Include or Exclude]], -1)</f>
        <v>Include</v>
      </c>
      <c r="E95" s="185" t="str" cm="1">
        <f t="array" ref="E95">Common_InputFunctions.Utility_DisplayArrayInTable(Fertiliser_SourceData.Fertiliser_Products_Data1(),FertiliserProducts[[#Headers],[Include or Exclude]], 0)</f>
        <v>Use Lime EF for calcium</v>
      </c>
      <c r="F95" s="185" t="str" cm="1">
        <f t="array" ref="F95">Common_InputFunctions.Utility_DisplayArrayInTable(Fertiliser_SourceData.Fertiliser_Products_Data1(),FertiliserProducts[[#Headers],[Include or Exclude]], 0)</f>
        <v>Campbells fertilisers Australia</v>
      </c>
      <c r="G95" s="185" t="str" cm="1">
        <f t="array" ref="G95">Common_InputFunctions.Utility_DisplayArrayInTable(Fertiliser_SourceData.Fertiliser_Products_Data1(),FertiliserProducts[[#Headers],[Include or Exclude]], 0)</f>
        <v>Aqua NitroCal Ultimate</v>
      </c>
      <c r="H95" s="185" t="str" cm="1">
        <f t="array" ref="H95">Common_InputFunctions.Utility_DisplayArrayInTable(Fertiliser_SourceData.Fertiliser_Products_Data1(),FertiliserProducts[[#Headers],[Include or Exclude]], 0,4)</f>
        <v>L</v>
      </c>
      <c r="I95" s="185" cm="1">
        <f t="array" ref="I95">Common_InputFunctions.Utility_DisplayArrayInTable(Fertiliser_SourceData.Fertiliser_Products_Data1(),FertiliserProducts[[#Headers],[Include or Exclude]], 0,4)</f>
        <v>1.5</v>
      </c>
      <c r="J95" s="185" t="str" cm="1">
        <f t="array" ref="J95">Common_InputFunctions.Utility_DisplayArrayInTable(Fertiliser_SourceData.Fertiliser_Products_Data1(),FertiliserProducts[[#Headers],[Include or Exclude]], 0,4)</f>
        <v/>
      </c>
      <c r="K95" s="185" t="str" cm="1">
        <f t="array" ref="K95">Common_InputFunctions.Utility_DisplayArrayInTable(Fertiliser_SourceData.Fertiliser_Products_Data1(),FertiliserProducts[[#Headers],[Include or Exclude]], 0,4)</f>
        <v/>
      </c>
      <c r="L95" s="185" t="str" cm="1">
        <f t="array" ref="L95">Common_InputFunctions.Utility_DisplayArrayInTable(Fertiliser_SourceData.Fertiliser_Products_Data1(),FertiliserProducts[[#Headers],[Include or Exclude]], 0,4)</f>
        <v>Calcium - Generic</v>
      </c>
      <c r="M95" s="185" cm="1">
        <f t="array" ref="M95">Common_InputFunctions.Utility_DisplayArrayInTable(Fertiliser_SourceData.Fertiliser_Products_Data1(),FertiliserProducts[[#Headers],[Include or Exclude]], 0,4)</f>
        <v>0.183</v>
      </c>
      <c r="N95" s="185" t="str" cm="1">
        <f t="array" ref="N95">Common_InputFunctions.Utility_DisplayArrayInTable(Fertiliser_SourceData.Fertiliser_Products_Data1(),FertiliserProducts[[#Headers],[Include or Exclude]], 0,4)</f>
        <v>Nitrogen  - Nitrate</v>
      </c>
      <c r="O95" s="185" cm="1">
        <f t="array" ref="O95">Common_InputFunctions.Utility_DisplayArrayInTable(Fertiliser_SourceData.Fertiliser_Products_Data1(),FertiliserProducts[[#Headers],[Include or Exclude]], 0,4)</f>
        <v>0.13200000000000001</v>
      </c>
      <c r="P95" s="185" t="str" cm="1">
        <f t="array" ref="P95">Common_InputFunctions.Utility_DisplayArrayInTable(Fertiliser_SourceData.Fertiliser_Products_Data1(),FertiliserProducts[[#Headers],[Include or Exclude]], 0,4)</f>
        <v/>
      </c>
      <c r="Q95" s="185" t="str" cm="1">
        <f t="array" ref="Q95">Common_InputFunctions.Utility_DisplayArrayInTable(Fertiliser_SourceData.Fertiliser_Products_Data1(),FertiliserProducts[[#Headers],[Include or Exclude]], 0,4)</f>
        <v/>
      </c>
      <c r="R95" s="185" t="str" cm="1">
        <f t="array" ref="R95">Common_InputFunctions.Utility_DisplayArrayInTable(Fertiliser_SourceData.Fertiliser_Products_Data1(),FertiliserProducts[[#Headers],[Include or Exclude]], 0,4)</f>
        <v/>
      </c>
      <c r="S95" s="185" t="str" cm="1">
        <f t="array" ref="S95">Common_InputFunctions.Utility_DisplayArrayInTable(Fertiliser_SourceData.Fertiliser_Products_Data1(),FertiliserProducts[[#Headers],[Include or Exclude]], 0,4)</f>
        <v/>
      </c>
      <c r="T95" s="185" t="str" cm="1">
        <f t="array" ref="T95">Common_InputFunctions.Utility_DisplayArrayInTable(Fertiliser_SourceData.Fertiliser_Products_Data1(),FertiliserProducts[[#Headers],[Include or Exclude]], 0,4)</f>
        <v/>
      </c>
      <c r="U95" s="185" t="str" cm="1">
        <f t="array" ref="U95">Common_InputFunctions.Utility_DisplayArrayInTable(Fertiliser_SourceData.Fertiliser_Products_Data1(),FertiliserProducts[[#Headers],[Include or Exclude]], 0,4)</f>
        <v/>
      </c>
      <c r="V95" s="185" t="str" cm="1">
        <f t="array" ref="V95">Common_InputFunctions.Utility_DisplayArrayInTable(Fertiliser_SourceData.Fertiliser_Products_Data1(),FertiliserProducts[[#Headers],[Include or Exclude]], 0,4)</f>
        <v/>
      </c>
      <c r="W95" s="185" t="str" cm="1">
        <f t="array" ref="W95">Common_InputFunctions.Utility_DisplayArrayInTable(Fertiliser_SourceData.Fertiliser_Products_Data1(),FertiliserProducts[[#Headers],[Include or Exclude]], 0,4)</f>
        <v/>
      </c>
      <c r="X95" s="185" t="str" cm="1">
        <f t="array" ref="X95">Common_InputFunctions.Utility_DisplayArrayInTable(Fertiliser_SourceData.Fertiliser_Products_Data1(),FertiliserProducts[[#Headers],[Include or Exclude]], 0,4)</f>
        <v/>
      </c>
      <c r="Y95" s="185" t="str" cm="1">
        <f t="array" ref="Y95">Common_InputFunctions.Utility_DisplayArrayInTable(Fertiliser_SourceData.Fertiliser_Products_Data1(),FertiliserProducts[[#Headers],[Include or Exclude]], 0,4)</f>
        <v/>
      </c>
      <c r="Z95" s="185" t="str" cm="1">
        <f t="array" ref="Z95">Common_InputFunctions.Utility_DisplayArrayInTable(Fertiliser_SourceData.Fertiliser_Products_Data1(),FertiliserProducts[[#Headers],[Include or Exclude]], 0,4)</f>
        <v/>
      </c>
      <c r="AA95" s="185" t="str" cm="1">
        <f t="array" ref="AA95">Common_InputFunctions.Utility_DisplayArrayInTable(Fertiliser_SourceData.Fertiliser_Products_Data1(),FertiliserProducts[[#Headers],[Include or Exclude]], 0,4)</f>
        <v/>
      </c>
      <c r="AB95" s="185" t="str" cm="1">
        <f t="array" ref="AB95">Common_InputFunctions.Utility_DisplayArrayInTable(Fertiliser_SourceData.Fertiliser_Products_Data1(),FertiliserProducts[[#Headers],[Include or Exclude]], 0,4)</f>
        <v/>
      </c>
      <c r="AC95" s="185" t="str" cm="1">
        <f t="array" ref="AC95">Common_InputFunctions.Utility_DisplayArrayInTable(Fertiliser_SourceData.Fertiliser_Products_Data1(),FertiliserProducts[[#Headers],[Include or Exclude]], 0,4)</f>
        <v/>
      </c>
      <c r="AD95" s="185" t="str" cm="1">
        <f t="array" ref="AD95">Common_InputFunctions.Utility_DisplayArrayInTable(Fertiliser_SourceData.Fertiliser_Products_Data1(),FertiliserProducts[[#Headers],[Include or Exclude]], 0,4)</f>
        <v/>
      </c>
      <c r="AE95" s="185" t="str" cm="1">
        <f t="array" ref="AE95">Common_InputFunctions.Utility_DisplayArrayInTable(Fertiliser_SourceData.Fertiliser_Products_Data1(),FertiliserProducts[[#Headers],[Include or Exclude]], 0,4)</f>
        <v/>
      </c>
    </row>
    <row r="96" spans="4:31" ht="20.100000000000001" customHeight="1" x14ac:dyDescent="0.25">
      <c r="D96" s="185" t="str" cm="1">
        <f t="array" ref="D96">Common_InputFunctions.Utility_DisplayArrayInTable(Fertiliser_SourceData.Fertiliser_Products_Data1(),FertiliserProducts[[#Headers],[Include or Exclude]], -1)</f>
        <v>Include</v>
      </c>
      <c r="E96" s="185" t="str" cm="1">
        <f t="array" ref="E96">Common_InputFunctions.Utility_DisplayArrayInTable(Fertiliser_SourceData.Fertiliser_Products_Data1(),FertiliserProducts[[#Headers],[Include or Exclude]], 0)</f>
        <v/>
      </c>
      <c r="F96" s="185" t="str" cm="1">
        <f t="array" ref="F96">Common_InputFunctions.Utility_DisplayArrayInTable(Fertiliser_SourceData.Fertiliser_Products_Data1(),FertiliserProducts[[#Headers],[Include or Exclude]], 0)</f>
        <v>Campbells fertilisers Australia</v>
      </c>
      <c r="G96" s="185" t="str" cm="1">
        <f t="array" ref="G96">Common_InputFunctions.Utility_DisplayArrayInTable(Fertiliser_SourceData.Fertiliser_Products_Data1(),FertiliserProducts[[#Headers],[Include or Exclude]], 0)</f>
        <v>Aqua Start</v>
      </c>
      <c r="H96" s="185" t="str" cm="1">
        <f t="array" ref="H96">Common_InputFunctions.Utility_DisplayArrayInTable(Fertiliser_SourceData.Fertiliser_Products_Data1(),FertiliserProducts[[#Headers],[Include or Exclude]], 0,4)</f>
        <v>L</v>
      </c>
      <c r="I96" s="185" cm="1">
        <f t="array" ref="I96">Common_InputFunctions.Utility_DisplayArrayInTable(Fertiliser_SourceData.Fertiliser_Products_Data1(),FertiliserProducts[[#Headers],[Include or Exclude]], 0,4)</f>
        <v>1.25</v>
      </c>
      <c r="J96" s="185" t="str" cm="1">
        <f t="array" ref="J96">Common_InputFunctions.Utility_DisplayArrayInTable(Fertiliser_SourceData.Fertiliser_Products_Data1(),FertiliserProducts[[#Headers],[Include or Exclude]], 0,4)</f>
        <v/>
      </c>
      <c r="K96" s="185" t="str" cm="1">
        <f t="array" ref="K96">Common_InputFunctions.Utility_DisplayArrayInTable(Fertiliser_SourceData.Fertiliser_Products_Data1(),FertiliserProducts[[#Headers],[Include or Exclude]], 0,4)</f>
        <v/>
      </c>
      <c r="L96" s="185" t="str" cm="1">
        <f t="array" ref="L96">Common_InputFunctions.Utility_DisplayArrayInTable(Fertiliser_SourceData.Fertiliser_Products_Data1(),FertiliserProducts[[#Headers],[Include or Exclude]], 0,4)</f>
        <v>Nitrogen - Generic</v>
      </c>
      <c r="M96" s="185" cm="1">
        <f t="array" ref="M96">Common_InputFunctions.Utility_DisplayArrayInTable(Fertiliser_SourceData.Fertiliser_Products_Data1(),FertiliserProducts[[#Headers],[Include or Exclude]], 0,4)</f>
        <v>0.10299999999999999</v>
      </c>
      <c r="N96" s="185" t="str" cm="1">
        <f t="array" ref="N96">Common_InputFunctions.Utility_DisplayArrayInTable(Fertiliser_SourceData.Fertiliser_Products_Data1(),FertiliserProducts[[#Headers],[Include or Exclude]], 0,4)</f>
        <v>Phosphorus - Generic</v>
      </c>
      <c r="O96" s="185" cm="1">
        <f t="array" ref="O96">Common_InputFunctions.Utility_DisplayArrayInTable(Fertiliser_SourceData.Fertiliser_Products_Data1(),FertiliserProducts[[#Headers],[Include or Exclude]], 0,4)</f>
        <v>0.1</v>
      </c>
      <c r="P96" s="185" t="str" cm="1">
        <f t="array" ref="P96">Common_InputFunctions.Utility_DisplayArrayInTable(Fertiliser_SourceData.Fertiliser_Products_Data1(),FertiliserProducts[[#Headers],[Include or Exclude]], 0,4)</f>
        <v>Potassium - Generic</v>
      </c>
      <c r="Q96" s="185" cm="1">
        <f t="array" ref="Q96">Common_InputFunctions.Utility_DisplayArrayInTable(Fertiliser_SourceData.Fertiliser_Products_Data1(),FertiliserProducts[[#Headers],[Include or Exclude]], 0,4)</f>
        <v>3.4000000000000002E-2</v>
      </c>
      <c r="R96" s="185" t="str" cm="1">
        <f t="array" ref="R96">Common_InputFunctions.Utility_DisplayArrayInTable(Fertiliser_SourceData.Fertiliser_Products_Data1(),FertiliserProducts[[#Headers],[Include or Exclude]], 0,4)</f>
        <v/>
      </c>
      <c r="S96" s="185" t="str" cm="1">
        <f t="array" ref="S96">Common_InputFunctions.Utility_DisplayArrayInTable(Fertiliser_SourceData.Fertiliser_Products_Data1(),FertiliserProducts[[#Headers],[Include or Exclude]], 0,4)</f>
        <v/>
      </c>
      <c r="T96" s="185" t="str" cm="1">
        <f t="array" ref="T96">Common_InputFunctions.Utility_DisplayArrayInTable(Fertiliser_SourceData.Fertiliser_Products_Data1(),FertiliserProducts[[#Headers],[Include or Exclude]], 0,4)</f>
        <v/>
      </c>
      <c r="U96" s="185" t="str" cm="1">
        <f t="array" ref="U96">Common_InputFunctions.Utility_DisplayArrayInTable(Fertiliser_SourceData.Fertiliser_Products_Data1(),FertiliserProducts[[#Headers],[Include or Exclude]], 0,4)</f>
        <v/>
      </c>
      <c r="V96" s="185" t="str" cm="1">
        <f t="array" ref="V96">Common_InputFunctions.Utility_DisplayArrayInTable(Fertiliser_SourceData.Fertiliser_Products_Data1(),FertiliserProducts[[#Headers],[Include or Exclude]], 0,4)</f>
        <v/>
      </c>
      <c r="W96" s="185" t="str" cm="1">
        <f t="array" ref="W96">Common_InputFunctions.Utility_DisplayArrayInTable(Fertiliser_SourceData.Fertiliser_Products_Data1(),FertiliserProducts[[#Headers],[Include or Exclude]], 0,4)</f>
        <v/>
      </c>
      <c r="X96" s="185" t="str" cm="1">
        <f t="array" ref="X96">Common_InputFunctions.Utility_DisplayArrayInTable(Fertiliser_SourceData.Fertiliser_Products_Data1(),FertiliserProducts[[#Headers],[Include or Exclude]], 0,4)</f>
        <v/>
      </c>
      <c r="Y96" s="185" t="str" cm="1">
        <f t="array" ref="Y96">Common_InputFunctions.Utility_DisplayArrayInTable(Fertiliser_SourceData.Fertiliser_Products_Data1(),FertiliserProducts[[#Headers],[Include or Exclude]], 0,4)</f>
        <v/>
      </c>
      <c r="Z96" s="185" t="str" cm="1">
        <f t="array" ref="Z96">Common_InputFunctions.Utility_DisplayArrayInTable(Fertiliser_SourceData.Fertiliser_Products_Data1(),FertiliserProducts[[#Headers],[Include or Exclude]], 0,4)</f>
        <v/>
      </c>
      <c r="AA96" s="185" t="str" cm="1">
        <f t="array" ref="AA96">Common_InputFunctions.Utility_DisplayArrayInTable(Fertiliser_SourceData.Fertiliser_Products_Data1(),FertiliserProducts[[#Headers],[Include or Exclude]], 0,4)</f>
        <v/>
      </c>
      <c r="AB96" s="185" t="str" cm="1">
        <f t="array" ref="AB96">Common_InputFunctions.Utility_DisplayArrayInTable(Fertiliser_SourceData.Fertiliser_Products_Data1(),FertiliserProducts[[#Headers],[Include or Exclude]], 0,4)</f>
        <v/>
      </c>
      <c r="AC96" s="185" t="str" cm="1">
        <f t="array" ref="AC96">Common_InputFunctions.Utility_DisplayArrayInTable(Fertiliser_SourceData.Fertiliser_Products_Data1(),FertiliserProducts[[#Headers],[Include or Exclude]], 0,4)</f>
        <v/>
      </c>
      <c r="AD96" s="185" t="str" cm="1">
        <f t="array" ref="AD96">Common_InputFunctions.Utility_DisplayArrayInTable(Fertiliser_SourceData.Fertiliser_Products_Data1(),FertiliserProducts[[#Headers],[Include or Exclude]], 0,4)</f>
        <v/>
      </c>
      <c r="AE96" s="185" t="str" cm="1">
        <f t="array" ref="AE96">Common_InputFunctions.Utility_DisplayArrayInTable(Fertiliser_SourceData.Fertiliser_Products_Data1(),FertiliserProducts[[#Headers],[Include or Exclude]], 0,4)</f>
        <v/>
      </c>
    </row>
    <row r="97" spans="4:31" ht="20.100000000000001" customHeight="1" x14ac:dyDescent="0.25">
      <c r="D97" s="185" t="str" cm="1">
        <f t="array" ref="D97">Common_InputFunctions.Utility_DisplayArrayInTable(Fertiliser_SourceData.Fertiliser_Products_Data1(),FertiliserProducts[[#Headers],[Include or Exclude]], -1)</f>
        <v>Include</v>
      </c>
      <c r="E97" s="185" t="str" cm="1">
        <f t="array" ref="E97">Common_InputFunctions.Utility_DisplayArrayInTable(Fertiliser_SourceData.Fertiliser_Products_Data1(),FertiliserProducts[[#Headers],[Include or Exclude]], 0)</f>
        <v/>
      </c>
      <c r="F97" s="185" t="str" cm="1">
        <f t="array" ref="F97">Common_InputFunctions.Utility_DisplayArrayInTable(Fertiliser_SourceData.Fertiliser_Products_Data1(),FertiliserProducts[[#Headers],[Include or Exclude]], 0)</f>
        <v>Campbells fertilisers Australia</v>
      </c>
      <c r="G97" s="185" t="str" cm="1">
        <f t="array" ref="G97">Common_InputFunctions.Utility_DisplayArrayInTable(Fertiliser_SourceData.Fertiliser_Products_Data1(),FertiliserProducts[[#Headers],[Include or Exclude]], 0)</f>
        <v>Aqua Thio-Complete</v>
      </c>
      <c r="H97" s="185" t="str" cm="1">
        <f t="array" ref="H97">Common_InputFunctions.Utility_DisplayArrayInTable(Fertiliser_SourceData.Fertiliser_Products_Data1(),FertiliserProducts[[#Headers],[Include or Exclude]], 0,4)</f>
        <v>L</v>
      </c>
      <c r="I97" s="185" cm="1">
        <f t="array" ref="I97">Common_InputFunctions.Utility_DisplayArrayInTable(Fertiliser_SourceData.Fertiliser_Products_Data1(),FertiliserProducts[[#Headers],[Include or Exclude]], 0,4)</f>
        <v>1.43</v>
      </c>
      <c r="J97" s="185" t="str" cm="1">
        <f t="array" ref="J97">Common_InputFunctions.Utility_DisplayArrayInTable(Fertiliser_SourceData.Fertiliser_Products_Data1(),FertiliserProducts[[#Headers],[Include or Exclude]], 0,4)</f>
        <v/>
      </c>
      <c r="K97" s="185" t="str" cm="1">
        <f t="array" ref="K97">Common_InputFunctions.Utility_DisplayArrayInTable(Fertiliser_SourceData.Fertiliser_Products_Data1(),FertiliserProducts[[#Headers],[Include or Exclude]], 0,4)</f>
        <v/>
      </c>
      <c r="L97" s="185" t="str" cm="1">
        <f t="array" ref="L97">Common_InputFunctions.Utility_DisplayArrayInTable(Fertiliser_SourceData.Fertiliser_Products_Data1(),FertiliserProducts[[#Headers],[Include or Exclude]], 0,4)</f>
        <v>Potassium - Generic</v>
      </c>
      <c r="M97" s="185" cm="1">
        <f t="array" ref="M97">Common_InputFunctions.Utility_DisplayArrayInTable(Fertiliser_SourceData.Fertiliser_Products_Data1(),FertiliserProducts[[#Headers],[Include or Exclude]], 0,4)</f>
        <v>0.22500000000000001</v>
      </c>
      <c r="N97" s="185" t="str" cm="1">
        <f t="array" ref="N97">Common_InputFunctions.Utility_DisplayArrayInTable(Fertiliser_SourceData.Fertiliser_Products_Data1(),FertiliserProducts[[#Headers],[Include or Exclude]], 0,4)</f>
        <v>Phosphorus - Generic</v>
      </c>
      <c r="O97" s="185" cm="1">
        <f t="array" ref="O97">Common_InputFunctions.Utility_DisplayArrayInTable(Fertiliser_SourceData.Fertiliser_Products_Data1(),FertiliserProducts[[#Headers],[Include or Exclude]], 0,4)</f>
        <v>3.7999999999999999E-2</v>
      </c>
      <c r="P97" s="185" t="str" cm="1">
        <f t="array" ref="P97">Common_InputFunctions.Utility_DisplayArrayInTable(Fertiliser_SourceData.Fertiliser_Products_Data1(),FertiliserProducts[[#Headers],[Include or Exclude]], 0,4)</f>
        <v>Nitrogen - Generic</v>
      </c>
      <c r="Q97" s="185" cm="1">
        <f t="array" ref="Q97">Common_InputFunctions.Utility_DisplayArrayInTable(Fertiliser_SourceData.Fertiliser_Products_Data1(),FertiliserProducts[[#Headers],[Include or Exclude]], 0,4)</f>
        <v>2.5000000000000001E-2</v>
      </c>
      <c r="R97" s="185" t="str" cm="1">
        <f t="array" ref="R97">Common_InputFunctions.Utility_DisplayArrayInTable(Fertiliser_SourceData.Fertiliser_Products_Data1(),FertiliserProducts[[#Headers],[Include or Exclude]], 0,4)</f>
        <v/>
      </c>
      <c r="S97" s="185" t="str" cm="1">
        <f t="array" ref="S97">Common_InputFunctions.Utility_DisplayArrayInTable(Fertiliser_SourceData.Fertiliser_Products_Data1(),FertiliserProducts[[#Headers],[Include or Exclude]], 0,4)</f>
        <v/>
      </c>
      <c r="T97" s="185" t="str" cm="1">
        <f t="array" ref="T97">Common_InputFunctions.Utility_DisplayArrayInTable(Fertiliser_SourceData.Fertiliser_Products_Data1(),FertiliserProducts[[#Headers],[Include or Exclude]], 0,4)</f>
        <v/>
      </c>
      <c r="U97" s="185" t="str" cm="1">
        <f t="array" ref="U97">Common_InputFunctions.Utility_DisplayArrayInTable(Fertiliser_SourceData.Fertiliser_Products_Data1(),FertiliserProducts[[#Headers],[Include or Exclude]], 0,4)</f>
        <v/>
      </c>
      <c r="V97" s="185" t="str" cm="1">
        <f t="array" ref="V97">Common_InputFunctions.Utility_DisplayArrayInTable(Fertiliser_SourceData.Fertiliser_Products_Data1(),FertiliserProducts[[#Headers],[Include or Exclude]], 0,4)</f>
        <v/>
      </c>
      <c r="W97" s="185" t="str" cm="1">
        <f t="array" ref="W97">Common_InputFunctions.Utility_DisplayArrayInTable(Fertiliser_SourceData.Fertiliser_Products_Data1(),FertiliserProducts[[#Headers],[Include or Exclude]], 0,4)</f>
        <v/>
      </c>
      <c r="X97" s="185" t="str" cm="1">
        <f t="array" ref="X97">Common_InputFunctions.Utility_DisplayArrayInTable(Fertiliser_SourceData.Fertiliser_Products_Data1(),FertiliserProducts[[#Headers],[Include or Exclude]], 0,4)</f>
        <v/>
      </c>
      <c r="Y97" s="185" t="str" cm="1">
        <f t="array" ref="Y97">Common_InputFunctions.Utility_DisplayArrayInTable(Fertiliser_SourceData.Fertiliser_Products_Data1(),FertiliserProducts[[#Headers],[Include or Exclude]], 0,4)</f>
        <v/>
      </c>
      <c r="Z97" s="185" t="str" cm="1">
        <f t="array" ref="Z97">Common_InputFunctions.Utility_DisplayArrayInTable(Fertiliser_SourceData.Fertiliser_Products_Data1(),FertiliserProducts[[#Headers],[Include or Exclude]], 0,4)</f>
        <v/>
      </c>
      <c r="AA97" s="185" t="str" cm="1">
        <f t="array" ref="AA97">Common_InputFunctions.Utility_DisplayArrayInTable(Fertiliser_SourceData.Fertiliser_Products_Data1(),FertiliserProducts[[#Headers],[Include or Exclude]], 0,4)</f>
        <v/>
      </c>
      <c r="AB97" s="185" t="str" cm="1">
        <f t="array" ref="AB97">Common_InputFunctions.Utility_DisplayArrayInTable(Fertiliser_SourceData.Fertiliser_Products_Data1(),FertiliserProducts[[#Headers],[Include or Exclude]], 0,4)</f>
        <v/>
      </c>
      <c r="AC97" s="185" t="str" cm="1">
        <f t="array" ref="AC97">Common_InputFunctions.Utility_DisplayArrayInTable(Fertiliser_SourceData.Fertiliser_Products_Data1(),FertiliserProducts[[#Headers],[Include or Exclude]], 0,4)</f>
        <v/>
      </c>
      <c r="AD97" s="185" t="str" cm="1">
        <f t="array" ref="AD97">Common_InputFunctions.Utility_DisplayArrayInTable(Fertiliser_SourceData.Fertiliser_Products_Data1(),FertiliserProducts[[#Headers],[Include or Exclude]], 0,4)</f>
        <v/>
      </c>
      <c r="AE97" s="185" t="str" cm="1">
        <f t="array" ref="AE97">Common_InputFunctions.Utility_DisplayArrayInTable(Fertiliser_SourceData.Fertiliser_Products_Data1(),FertiliserProducts[[#Headers],[Include or Exclude]], 0,4)</f>
        <v/>
      </c>
    </row>
    <row r="98" spans="4:31" ht="20.100000000000001" customHeight="1" x14ac:dyDescent="0.25">
      <c r="D98" s="185" t="str" cm="1">
        <f t="array" ref="D98">Common_InputFunctions.Utility_DisplayArrayInTable(Fertiliser_SourceData.Fertiliser_Products_Data1(),FertiliserProducts[[#Headers],[Include or Exclude]], -1)</f>
        <v>Include</v>
      </c>
      <c r="E98" s="185" t="str" cm="1">
        <f t="array" ref="E98">Common_InputFunctions.Utility_DisplayArrayInTable(Fertiliser_SourceData.Fertiliser_Products_Data1(),FertiliserProducts[[#Headers],[Include or Exclude]], 0)</f>
        <v/>
      </c>
      <c r="F98" s="185" t="str" cm="1">
        <f t="array" ref="F98">Common_InputFunctions.Utility_DisplayArrayInTable(Fertiliser_SourceData.Fertiliser_Products_Data1(),FertiliserProducts[[#Headers],[Include or Exclude]], 0)</f>
        <v>Campbells fertilisers Australia</v>
      </c>
      <c r="G98" s="185" t="str" cm="1">
        <f t="array" ref="G98">Common_InputFunctions.Utility_DisplayArrayInTable(Fertiliser_SourceData.Fertiliser_Products_Data1(),FertiliserProducts[[#Headers],[Include or Exclude]], 0)</f>
        <v>Aqua Thio-Emerge</v>
      </c>
      <c r="H98" s="185" t="str" cm="1">
        <f t="array" ref="H98">Common_InputFunctions.Utility_DisplayArrayInTable(Fertiliser_SourceData.Fertiliser_Products_Data1(),FertiliserProducts[[#Headers],[Include or Exclude]], 0,4)</f>
        <v>L</v>
      </c>
      <c r="I98" s="185" cm="1">
        <f t="array" ref="I98">Common_InputFunctions.Utility_DisplayArrayInTable(Fertiliser_SourceData.Fertiliser_Products_Data1(),FertiliserProducts[[#Headers],[Include or Exclude]], 0,4)</f>
        <v>1.29</v>
      </c>
      <c r="J98" s="185" t="str" cm="1">
        <f t="array" ref="J98">Common_InputFunctions.Utility_DisplayArrayInTable(Fertiliser_SourceData.Fertiliser_Products_Data1(),FertiliserProducts[[#Headers],[Include or Exclude]], 0,4)</f>
        <v/>
      </c>
      <c r="K98" s="185" t="str" cm="1">
        <f t="array" ref="K98">Common_InputFunctions.Utility_DisplayArrayInTable(Fertiliser_SourceData.Fertiliser_Products_Data1(),FertiliserProducts[[#Headers],[Include or Exclude]], 0,4)</f>
        <v/>
      </c>
      <c r="L98" s="185" t="str" cm="1">
        <f t="array" ref="L98">Common_InputFunctions.Utility_DisplayArrayInTable(Fertiliser_SourceData.Fertiliser_Products_Data1(),FertiliserProducts[[#Headers],[Include or Exclude]], 0,4)</f>
        <v>Nitrogen - Generic</v>
      </c>
      <c r="M98" s="185" cm="1">
        <f t="array" ref="M98">Common_InputFunctions.Utility_DisplayArrayInTable(Fertiliser_SourceData.Fertiliser_Products_Data1(),FertiliserProducts[[#Headers],[Include or Exclude]], 0,4)</f>
        <v>0.105</v>
      </c>
      <c r="N98" s="185" t="str" cm="1">
        <f t="array" ref="N98">Common_InputFunctions.Utility_DisplayArrayInTable(Fertiliser_SourceData.Fertiliser_Products_Data1(),FertiliserProducts[[#Headers],[Include or Exclude]], 0,4)</f>
        <v>Phosphorus - Generic</v>
      </c>
      <c r="O98" s="185" cm="1">
        <f t="array" ref="O98">Common_InputFunctions.Utility_DisplayArrayInTable(Fertiliser_SourceData.Fertiliser_Products_Data1(),FertiliserProducts[[#Headers],[Include or Exclude]], 0,4)</f>
        <v>9.4E-2</v>
      </c>
      <c r="P98" s="185" t="str" cm="1">
        <f t="array" ref="P98">Common_InputFunctions.Utility_DisplayArrayInTable(Fertiliser_SourceData.Fertiliser_Products_Data1(),FertiliserProducts[[#Headers],[Include or Exclude]], 0,4)</f>
        <v>Potassium - Generic</v>
      </c>
      <c r="Q98" s="185" cm="1">
        <f t="array" ref="Q98">Common_InputFunctions.Utility_DisplayArrayInTable(Fertiliser_SourceData.Fertiliser_Products_Data1(),FertiliserProducts[[#Headers],[Include or Exclude]], 0,4)</f>
        <v>0.04</v>
      </c>
      <c r="R98" s="185" t="str" cm="1">
        <f t="array" ref="R98">Common_InputFunctions.Utility_DisplayArrayInTable(Fertiliser_SourceData.Fertiliser_Products_Data1(),FertiliserProducts[[#Headers],[Include or Exclude]], 0,4)</f>
        <v>Sulfur - Generic</v>
      </c>
      <c r="S98" s="185" cm="1">
        <f t="array" ref="S98">Common_InputFunctions.Utility_DisplayArrayInTable(Fertiliser_SourceData.Fertiliser_Products_Data1(),FertiliserProducts[[#Headers],[Include or Exclude]], 0,4)</f>
        <v>0.03</v>
      </c>
      <c r="T98" s="185" t="str" cm="1">
        <f t="array" ref="T98">Common_InputFunctions.Utility_DisplayArrayInTable(Fertiliser_SourceData.Fertiliser_Products_Data1(),FertiliserProducts[[#Headers],[Include or Exclude]], 0,4)</f>
        <v/>
      </c>
      <c r="U98" s="185" t="str" cm="1">
        <f t="array" ref="U98">Common_InputFunctions.Utility_DisplayArrayInTable(Fertiliser_SourceData.Fertiliser_Products_Data1(),FertiliserProducts[[#Headers],[Include or Exclude]], 0,4)</f>
        <v/>
      </c>
      <c r="V98" s="185" t="str" cm="1">
        <f t="array" ref="V98">Common_InputFunctions.Utility_DisplayArrayInTable(Fertiliser_SourceData.Fertiliser_Products_Data1(),FertiliserProducts[[#Headers],[Include or Exclude]], 0,4)</f>
        <v/>
      </c>
      <c r="W98" s="185" t="str" cm="1">
        <f t="array" ref="W98">Common_InputFunctions.Utility_DisplayArrayInTable(Fertiliser_SourceData.Fertiliser_Products_Data1(),FertiliserProducts[[#Headers],[Include or Exclude]], 0,4)</f>
        <v/>
      </c>
      <c r="X98" s="185" t="str" cm="1">
        <f t="array" ref="X98">Common_InputFunctions.Utility_DisplayArrayInTable(Fertiliser_SourceData.Fertiliser_Products_Data1(),FertiliserProducts[[#Headers],[Include or Exclude]], 0,4)</f>
        <v/>
      </c>
      <c r="Y98" s="185" t="str" cm="1">
        <f t="array" ref="Y98">Common_InputFunctions.Utility_DisplayArrayInTable(Fertiliser_SourceData.Fertiliser_Products_Data1(),FertiliserProducts[[#Headers],[Include or Exclude]], 0,4)</f>
        <v/>
      </c>
      <c r="Z98" s="185" t="str" cm="1">
        <f t="array" ref="Z98">Common_InputFunctions.Utility_DisplayArrayInTable(Fertiliser_SourceData.Fertiliser_Products_Data1(),FertiliserProducts[[#Headers],[Include or Exclude]], 0,4)</f>
        <v/>
      </c>
      <c r="AA98" s="185" t="str" cm="1">
        <f t="array" ref="AA98">Common_InputFunctions.Utility_DisplayArrayInTable(Fertiliser_SourceData.Fertiliser_Products_Data1(),FertiliserProducts[[#Headers],[Include or Exclude]], 0,4)</f>
        <v/>
      </c>
      <c r="AB98" s="185" t="str" cm="1">
        <f t="array" ref="AB98">Common_InputFunctions.Utility_DisplayArrayInTable(Fertiliser_SourceData.Fertiliser_Products_Data1(),FertiliserProducts[[#Headers],[Include or Exclude]], 0,4)</f>
        <v/>
      </c>
      <c r="AC98" s="185" t="str" cm="1">
        <f t="array" ref="AC98">Common_InputFunctions.Utility_DisplayArrayInTable(Fertiliser_SourceData.Fertiliser_Products_Data1(),FertiliserProducts[[#Headers],[Include or Exclude]], 0,4)</f>
        <v/>
      </c>
      <c r="AD98" s="185" t="str" cm="1">
        <f t="array" ref="AD98">Common_InputFunctions.Utility_DisplayArrayInTable(Fertiliser_SourceData.Fertiliser_Products_Data1(),FertiliserProducts[[#Headers],[Include or Exclude]], 0,4)</f>
        <v/>
      </c>
      <c r="AE98" s="185" t="str" cm="1">
        <f t="array" ref="AE98">Common_InputFunctions.Utility_DisplayArrayInTable(Fertiliser_SourceData.Fertiliser_Products_Data1(),FertiliserProducts[[#Headers],[Include or Exclude]], 0,4)</f>
        <v/>
      </c>
    </row>
    <row r="99" spans="4:31" ht="20.100000000000001" customHeight="1" x14ac:dyDescent="0.25">
      <c r="D99" s="185" t="str" cm="1">
        <f t="array" ref="D99">Common_InputFunctions.Utility_DisplayArrayInTable(Fertiliser_SourceData.Fertiliser_Products_Data1(),FertiliserProducts[[#Headers],[Include or Exclude]], -1)</f>
        <v>Exclude - Not relevant</v>
      </c>
      <c r="E99" s="185" t="str" cm="1">
        <f t="array" ref="E99">Common_InputFunctions.Utility_DisplayArrayInTable(Fertiliser_SourceData.Fertiliser_Products_Data1(),FertiliserProducts[[#Headers],[Include or Exclude]], 0)</f>
        <v/>
      </c>
      <c r="F99" s="185" t="str" cm="1">
        <f t="array" ref="F99">Common_InputFunctions.Utility_DisplayArrayInTable(Fertiliser_SourceData.Fertiliser_Products_Data1(),FertiliserProducts[[#Headers],[Include or Exclude]], 0)</f>
        <v>Campbells fertilisers Australia</v>
      </c>
      <c r="G99" s="185" t="str" cm="1">
        <f t="array" ref="G99">Common_InputFunctions.Utility_DisplayArrayInTable(Fertiliser_SourceData.Fertiliser_Products_Data1(),FertiliserProducts[[#Headers],[Include or Exclude]], 0)</f>
        <v>Aqua Thio-Flourish</v>
      </c>
      <c r="H99" s="185" t="str" cm="1">
        <f t="array" ref="H99">Common_InputFunctions.Utility_DisplayArrayInTable(Fertiliser_SourceData.Fertiliser_Products_Data1(),FertiliserProducts[[#Headers],[Include or Exclude]], 0,4)</f>
        <v>L</v>
      </c>
      <c r="I99" s="185" cm="1">
        <f t="array" ref="I99">Common_InputFunctions.Utility_DisplayArrayInTable(Fertiliser_SourceData.Fertiliser_Products_Data1(),FertiliserProducts[[#Headers],[Include or Exclude]], 0,4)</f>
        <v>1.32</v>
      </c>
      <c r="J99" s="185" t="str" cm="1">
        <f t="array" ref="J99">Common_InputFunctions.Utility_DisplayArrayInTable(Fertiliser_SourceData.Fertiliser_Products_Data1(),FertiliserProducts[[#Headers],[Include or Exclude]], 0,4)</f>
        <v/>
      </c>
      <c r="K99" s="185" t="str" cm="1">
        <f t="array" ref="K99">Common_InputFunctions.Utility_DisplayArrayInTable(Fertiliser_SourceData.Fertiliser_Products_Data1(),FertiliserProducts[[#Headers],[Include or Exclude]], 0,4)</f>
        <v/>
      </c>
      <c r="L99" s="185" t="str" cm="1">
        <f t="array" ref="L99">Common_InputFunctions.Utility_DisplayArrayInTable(Fertiliser_SourceData.Fertiliser_Products_Data1(),FertiliserProducts[[#Headers],[Include or Exclude]], 0,4)</f>
        <v>Potassium - Generic</v>
      </c>
      <c r="M99" s="185" cm="1">
        <f t="array" ref="M99">Common_InputFunctions.Utility_DisplayArrayInTable(Fertiliser_SourceData.Fertiliser_Products_Data1(),FertiliserProducts[[#Headers],[Include or Exclude]], 0,4)</f>
        <v>0.108</v>
      </c>
      <c r="N99" s="185" t="str" cm="1">
        <f t="array" ref="N99">Common_InputFunctions.Utility_DisplayArrayInTable(Fertiliser_SourceData.Fertiliser_Products_Data1(),FertiliserProducts[[#Headers],[Include or Exclude]], 0,4)</f>
        <v>Nitrogen - Generic</v>
      </c>
      <c r="O99" s="185" cm="1">
        <f t="array" ref="O99">Common_InputFunctions.Utility_DisplayArrayInTable(Fertiliser_SourceData.Fertiliser_Products_Data1(),FertiliserProducts[[#Headers],[Include or Exclude]], 0,4)</f>
        <v>9.5000000000000001E-2</v>
      </c>
      <c r="P99" s="185" t="str" cm="1">
        <f t="array" ref="P99">Common_InputFunctions.Utility_DisplayArrayInTable(Fertiliser_SourceData.Fertiliser_Products_Data1(),FertiliserProducts[[#Headers],[Include or Exclude]], 0,4)</f>
        <v>Sulfur - Generic</v>
      </c>
      <c r="Q99" s="185" cm="1">
        <f t="array" ref="Q99">Common_InputFunctions.Utility_DisplayArrayInTable(Fertiliser_SourceData.Fertiliser_Products_Data1(),FertiliserProducts[[#Headers],[Include or Exclude]], 0,4)</f>
        <v>8.1000000000000003E-2</v>
      </c>
      <c r="R99" s="185" t="str" cm="1">
        <f t="array" ref="R99">Common_InputFunctions.Utility_DisplayArrayInTable(Fertiliser_SourceData.Fertiliser_Products_Data1(),FertiliserProducts[[#Headers],[Include or Exclude]], 0,4)</f>
        <v>Phosphorus - Generic</v>
      </c>
      <c r="S99" s="185" cm="1">
        <f t="array" ref="S99">Common_InputFunctions.Utility_DisplayArrayInTable(Fertiliser_SourceData.Fertiliser_Products_Data1(),FertiliserProducts[[#Headers],[Include or Exclude]], 0,4)</f>
        <v>4.7E-2</v>
      </c>
      <c r="T99" s="185" t="str" cm="1">
        <f t="array" ref="T99">Common_InputFunctions.Utility_DisplayArrayInTable(Fertiliser_SourceData.Fertiliser_Products_Data1(),FertiliserProducts[[#Headers],[Include or Exclude]], 0,4)</f>
        <v/>
      </c>
      <c r="U99" s="185" t="str" cm="1">
        <f t="array" ref="U99">Common_InputFunctions.Utility_DisplayArrayInTable(Fertiliser_SourceData.Fertiliser_Products_Data1(),FertiliserProducts[[#Headers],[Include or Exclude]], 0,4)</f>
        <v/>
      </c>
      <c r="V99" s="185" t="str" cm="1">
        <f t="array" ref="V99">Common_InputFunctions.Utility_DisplayArrayInTable(Fertiliser_SourceData.Fertiliser_Products_Data1(),FertiliserProducts[[#Headers],[Include or Exclude]], 0,4)</f>
        <v/>
      </c>
      <c r="W99" s="185" t="str" cm="1">
        <f t="array" ref="W99">Common_InputFunctions.Utility_DisplayArrayInTable(Fertiliser_SourceData.Fertiliser_Products_Data1(),FertiliserProducts[[#Headers],[Include or Exclude]], 0,4)</f>
        <v/>
      </c>
      <c r="X99" s="185" t="str" cm="1">
        <f t="array" ref="X99">Common_InputFunctions.Utility_DisplayArrayInTable(Fertiliser_SourceData.Fertiliser_Products_Data1(),FertiliserProducts[[#Headers],[Include or Exclude]], 0,4)</f>
        <v/>
      </c>
      <c r="Y99" s="185" t="str" cm="1">
        <f t="array" ref="Y99">Common_InputFunctions.Utility_DisplayArrayInTable(Fertiliser_SourceData.Fertiliser_Products_Data1(),FertiliserProducts[[#Headers],[Include or Exclude]], 0,4)</f>
        <v/>
      </c>
      <c r="Z99" s="185" t="str" cm="1">
        <f t="array" ref="Z99">Common_InputFunctions.Utility_DisplayArrayInTable(Fertiliser_SourceData.Fertiliser_Products_Data1(),FertiliserProducts[[#Headers],[Include or Exclude]], 0,4)</f>
        <v/>
      </c>
      <c r="AA99" s="185" t="str" cm="1">
        <f t="array" ref="AA99">Common_InputFunctions.Utility_DisplayArrayInTable(Fertiliser_SourceData.Fertiliser_Products_Data1(),FertiliserProducts[[#Headers],[Include or Exclude]], 0,4)</f>
        <v/>
      </c>
      <c r="AB99" s="185" t="str" cm="1">
        <f t="array" ref="AB99">Common_InputFunctions.Utility_DisplayArrayInTable(Fertiliser_SourceData.Fertiliser_Products_Data1(),FertiliserProducts[[#Headers],[Include or Exclude]], 0,4)</f>
        <v/>
      </c>
      <c r="AC99" s="185" t="str" cm="1">
        <f t="array" ref="AC99">Common_InputFunctions.Utility_DisplayArrayInTable(Fertiliser_SourceData.Fertiliser_Products_Data1(),FertiliserProducts[[#Headers],[Include or Exclude]], 0,4)</f>
        <v/>
      </c>
      <c r="AD99" s="185" t="str" cm="1">
        <f t="array" ref="AD99">Common_InputFunctions.Utility_DisplayArrayInTable(Fertiliser_SourceData.Fertiliser_Products_Data1(),FertiliserProducts[[#Headers],[Include or Exclude]], 0,4)</f>
        <v/>
      </c>
      <c r="AE99" s="185" t="str" cm="1">
        <f t="array" ref="AE99">Common_InputFunctions.Utility_DisplayArrayInTable(Fertiliser_SourceData.Fertiliser_Products_Data1(),FertiliserProducts[[#Headers],[Include or Exclude]], 0,4)</f>
        <v/>
      </c>
    </row>
    <row r="100" spans="4:31" ht="20.100000000000001" customHeight="1" x14ac:dyDescent="0.25">
      <c r="D100" s="185" t="str" cm="1">
        <f t="array" ref="D100">Common_InputFunctions.Utility_DisplayArrayInTable(Fertiliser_SourceData.Fertiliser_Products_Data1(),FertiliserProducts[[#Headers],[Include or Exclude]], -1)</f>
        <v>Exclude - Not relevant</v>
      </c>
      <c r="E100" s="185" t="str" cm="1">
        <f t="array" ref="E100">Common_InputFunctions.Utility_DisplayArrayInTable(Fertiliser_SourceData.Fertiliser_Products_Data1(),FertiliserProducts[[#Headers],[Include or Exclude]], 0)</f>
        <v/>
      </c>
      <c r="F100" s="185" t="str" cm="1">
        <f t="array" ref="F100">Common_InputFunctions.Utility_DisplayArrayInTable(Fertiliser_SourceData.Fertiliser_Products_Data1(),FertiliserProducts[[#Headers],[Include or Exclude]], 0)</f>
        <v>Campbells fertilisers Australia</v>
      </c>
      <c r="G100" s="185" t="str" cm="1">
        <f t="array" ref="G100">Common_InputFunctions.Utility_DisplayArrayInTable(Fertiliser_SourceData.Fertiliser_Products_Data1(),FertiliserProducts[[#Headers],[Include or Exclude]], 0)</f>
        <v>Asco Fol Plus</v>
      </c>
      <c r="H100" s="185" t="str" cm="1">
        <f t="array" ref="H100">Common_InputFunctions.Utility_DisplayArrayInTable(Fertiliser_SourceData.Fertiliser_Products_Data1(),FertiliserProducts[[#Headers],[Include or Exclude]], 0,4)</f>
        <v/>
      </c>
      <c r="I100" s="185" t="str" cm="1">
        <f t="array" ref="I100">Common_InputFunctions.Utility_DisplayArrayInTable(Fertiliser_SourceData.Fertiliser_Products_Data1(),FertiliserProducts[[#Headers],[Include or Exclude]], 0,4)</f>
        <v/>
      </c>
      <c r="J100" s="185" t="str" cm="1">
        <f t="array" ref="J100">Common_InputFunctions.Utility_DisplayArrayInTable(Fertiliser_SourceData.Fertiliser_Products_Data1(),FertiliserProducts[[#Headers],[Include or Exclude]], 0,4)</f>
        <v/>
      </c>
      <c r="K100" s="185" t="str" cm="1">
        <f t="array" ref="K100">Common_InputFunctions.Utility_DisplayArrayInTable(Fertiliser_SourceData.Fertiliser_Products_Data1(),FertiliserProducts[[#Headers],[Include or Exclude]], 0,4)</f>
        <v/>
      </c>
      <c r="L100" s="185" t="str" cm="1">
        <f t="array" ref="L100">Common_InputFunctions.Utility_DisplayArrayInTable(Fertiliser_SourceData.Fertiliser_Products_Data1(),FertiliserProducts[[#Headers],[Include or Exclude]], 0,4)</f>
        <v/>
      </c>
      <c r="M100" s="185" t="str" cm="1">
        <f t="array" ref="M100">Common_InputFunctions.Utility_DisplayArrayInTable(Fertiliser_SourceData.Fertiliser_Products_Data1(),FertiliserProducts[[#Headers],[Include or Exclude]], 0,4)</f>
        <v/>
      </c>
      <c r="N100" s="185" t="str" cm="1">
        <f t="array" ref="N100">Common_InputFunctions.Utility_DisplayArrayInTable(Fertiliser_SourceData.Fertiliser_Products_Data1(),FertiliserProducts[[#Headers],[Include or Exclude]], 0,4)</f>
        <v/>
      </c>
      <c r="O100" s="185" t="str" cm="1">
        <f t="array" ref="O100">Common_InputFunctions.Utility_DisplayArrayInTable(Fertiliser_SourceData.Fertiliser_Products_Data1(),FertiliserProducts[[#Headers],[Include or Exclude]], 0,4)</f>
        <v/>
      </c>
      <c r="P100" s="185" t="str" cm="1">
        <f t="array" ref="P100">Common_InputFunctions.Utility_DisplayArrayInTable(Fertiliser_SourceData.Fertiliser_Products_Data1(),FertiliserProducts[[#Headers],[Include or Exclude]], 0,4)</f>
        <v/>
      </c>
      <c r="Q100" s="185" t="str" cm="1">
        <f t="array" ref="Q100">Common_InputFunctions.Utility_DisplayArrayInTable(Fertiliser_SourceData.Fertiliser_Products_Data1(),FertiliserProducts[[#Headers],[Include or Exclude]], 0,4)</f>
        <v/>
      </c>
      <c r="R100" s="185" t="str" cm="1">
        <f t="array" ref="R100">Common_InputFunctions.Utility_DisplayArrayInTable(Fertiliser_SourceData.Fertiliser_Products_Data1(),FertiliserProducts[[#Headers],[Include or Exclude]], 0,4)</f>
        <v/>
      </c>
      <c r="S100" s="185" t="str" cm="1">
        <f t="array" ref="S100">Common_InputFunctions.Utility_DisplayArrayInTable(Fertiliser_SourceData.Fertiliser_Products_Data1(),FertiliserProducts[[#Headers],[Include or Exclude]], 0,4)</f>
        <v/>
      </c>
      <c r="T100" s="185" t="str" cm="1">
        <f t="array" ref="T100">Common_InputFunctions.Utility_DisplayArrayInTable(Fertiliser_SourceData.Fertiliser_Products_Data1(),FertiliserProducts[[#Headers],[Include or Exclude]], 0,4)</f>
        <v/>
      </c>
      <c r="U100" s="185" t="str" cm="1">
        <f t="array" ref="U100">Common_InputFunctions.Utility_DisplayArrayInTable(Fertiliser_SourceData.Fertiliser_Products_Data1(),FertiliserProducts[[#Headers],[Include or Exclude]], 0,4)</f>
        <v/>
      </c>
      <c r="V100" s="185" t="str" cm="1">
        <f t="array" ref="V100">Common_InputFunctions.Utility_DisplayArrayInTable(Fertiliser_SourceData.Fertiliser_Products_Data1(),FertiliserProducts[[#Headers],[Include or Exclude]], 0,4)</f>
        <v/>
      </c>
      <c r="W100" s="185" t="str" cm="1">
        <f t="array" ref="W100">Common_InputFunctions.Utility_DisplayArrayInTable(Fertiliser_SourceData.Fertiliser_Products_Data1(),FertiliserProducts[[#Headers],[Include or Exclude]], 0,4)</f>
        <v/>
      </c>
      <c r="X100" s="185" t="str" cm="1">
        <f t="array" ref="X100">Common_InputFunctions.Utility_DisplayArrayInTable(Fertiliser_SourceData.Fertiliser_Products_Data1(),FertiliserProducts[[#Headers],[Include or Exclude]], 0,4)</f>
        <v/>
      </c>
      <c r="Y100" s="185" t="str" cm="1">
        <f t="array" ref="Y100">Common_InputFunctions.Utility_DisplayArrayInTable(Fertiliser_SourceData.Fertiliser_Products_Data1(),FertiliserProducts[[#Headers],[Include or Exclude]], 0,4)</f>
        <v/>
      </c>
      <c r="Z100" s="185" t="str" cm="1">
        <f t="array" ref="Z100">Common_InputFunctions.Utility_DisplayArrayInTable(Fertiliser_SourceData.Fertiliser_Products_Data1(),FertiliserProducts[[#Headers],[Include or Exclude]], 0,4)</f>
        <v/>
      </c>
      <c r="AA100" s="185" t="str" cm="1">
        <f t="array" ref="AA100">Common_InputFunctions.Utility_DisplayArrayInTable(Fertiliser_SourceData.Fertiliser_Products_Data1(),FertiliserProducts[[#Headers],[Include or Exclude]], 0,4)</f>
        <v/>
      </c>
      <c r="AB100" s="185" t="str" cm="1">
        <f t="array" ref="AB100">Common_InputFunctions.Utility_DisplayArrayInTable(Fertiliser_SourceData.Fertiliser_Products_Data1(),FertiliserProducts[[#Headers],[Include or Exclude]], 0,4)</f>
        <v/>
      </c>
      <c r="AC100" s="185" t="str" cm="1">
        <f t="array" ref="AC100">Common_InputFunctions.Utility_DisplayArrayInTable(Fertiliser_SourceData.Fertiliser_Products_Data1(),FertiliserProducts[[#Headers],[Include or Exclude]], 0,4)</f>
        <v/>
      </c>
      <c r="AD100" s="185" t="str" cm="1">
        <f t="array" ref="AD100">Common_InputFunctions.Utility_DisplayArrayInTable(Fertiliser_SourceData.Fertiliser_Products_Data1(),FertiliserProducts[[#Headers],[Include or Exclude]], 0,4)</f>
        <v/>
      </c>
      <c r="AE100" s="185" t="str" cm="1">
        <f t="array" ref="AE100">Common_InputFunctions.Utility_DisplayArrayInTable(Fertiliser_SourceData.Fertiliser_Products_Data1(),FertiliserProducts[[#Headers],[Include or Exclude]], 0,4)</f>
        <v/>
      </c>
    </row>
    <row r="101" spans="4:31" ht="20.100000000000001" customHeight="1" x14ac:dyDescent="0.25">
      <c r="D101" s="185" t="str" cm="1">
        <f t="array" ref="D101">Common_InputFunctions.Utility_DisplayArrayInTable(Fertiliser_SourceData.Fertiliser_Products_Data1(),FertiliserProducts[[#Headers],[Include or Exclude]], -1)</f>
        <v>Exclude - Not relevant</v>
      </c>
      <c r="E101" s="185" t="str" cm="1">
        <f t="array" ref="E101">Common_InputFunctions.Utility_DisplayArrayInTable(Fertiliser_SourceData.Fertiliser_Products_Data1(),FertiliserProducts[[#Headers],[Include or Exclude]], 0)</f>
        <v/>
      </c>
      <c r="F101" s="185" t="str" cm="1">
        <f t="array" ref="F101">Common_InputFunctions.Utility_DisplayArrayInTable(Fertiliser_SourceData.Fertiliser_Products_Data1(),FertiliserProducts[[#Headers],[Include or Exclude]], 0)</f>
        <v>Campbells fertilisers Australia</v>
      </c>
      <c r="G101" s="185" t="str" cm="1">
        <f t="array" ref="G101">Common_InputFunctions.Utility_DisplayArrayInTable(Fertiliser_SourceData.Fertiliser_Products_Data1(),FertiliserProducts[[#Headers],[Include or Exclude]], 0)</f>
        <v>Asco Plus</v>
      </c>
      <c r="H101" s="185" t="str" cm="1">
        <f t="array" ref="H101">Common_InputFunctions.Utility_DisplayArrayInTable(Fertiliser_SourceData.Fertiliser_Products_Data1(),FertiliserProducts[[#Headers],[Include or Exclude]], 0,4)</f>
        <v/>
      </c>
      <c r="I101" s="185" t="str" cm="1">
        <f t="array" ref="I101">Common_InputFunctions.Utility_DisplayArrayInTable(Fertiliser_SourceData.Fertiliser_Products_Data1(),FertiliserProducts[[#Headers],[Include or Exclude]], 0,4)</f>
        <v/>
      </c>
      <c r="J101" s="185" t="str" cm="1">
        <f t="array" ref="J101">Common_InputFunctions.Utility_DisplayArrayInTable(Fertiliser_SourceData.Fertiliser_Products_Data1(),FertiliserProducts[[#Headers],[Include or Exclude]], 0,4)</f>
        <v/>
      </c>
      <c r="K101" s="185" t="str" cm="1">
        <f t="array" ref="K101">Common_InputFunctions.Utility_DisplayArrayInTable(Fertiliser_SourceData.Fertiliser_Products_Data1(),FertiliserProducts[[#Headers],[Include or Exclude]], 0,4)</f>
        <v/>
      </c>
      <c r="L101" s="185" t="str" cm="1">
        <f t="array" ref="L101">Common_InputFunctions.Utility_DisplayArrayInTable(Fertiliser_SourceData.Fertiliser_Products_Data1(),FertiliserProducts[[#Headers],[Include or Exclude]], 0,4)</f>
        <v/>
      </c>
      <c r="M101" s="185" t="str" cm="1">
        <f t="array" ref="M101">Common_InputFunctions.Utility_DisplayArrayInTable(Fertiliser_SourceData.Fertiliser_Products_Data1(),FertiliserProducts[[#Headers],[Include or Exclude]], 0,4)</f>
        <v/>
      </c>
      <c r="N101" s="185" t="str" cm="1">
        <f t="array" ref="N101">Common_InputFunctions.Utility_DisplayArrayInTable(Fertiliser_SourceData.Fertiliser_Products_Data1(),FertiliserProducts[[#Headers],[Include or Exclude]], 0,4)</f>
        <v/>
      </c>
      <c r="O101" s="185" t="str" cm="1">
        <f t="array" ref="O101">Common_InputFunctions.Utility_DisplayArrayInTable(Fertiliser_SourceData.Fertiliser_Products_Data1(),FertiliserProducts[[#Headers],[Include or Exclude]], 0,4)</f>
        <v/>
      </c>
      <c r="P101" s="185" t="str" cm="1">
        <f t="array" ref="P101">Common_InputFunctions.Utility_DisplayArrayInTable(Fertiliser_SourceData.Fertiliser_Products_Data1(),FertiliserProducts[[#Headers],[Include or Exclude]], 0,4)</f>
        <v/>
      </c>
      <c r="Q101" s="185" t="str" cm="1">
        <f t="array" ref="Q101">Common_InputFunctions.Utility_DisplayArrayInTable(Fertiliser_SourceData.Fertiliser_Products_Data1(),FertiliserProducts[[#Headers],[Include or Exclude]], 0,4)</f>
        <v/>
      </c>
      <c r="R101" s="185" t="str" cm="1">
        <f t="array" ref="R101">Common_InputFunctions.Utility_DisplayArrayInTable(Fertiliser_SourceData.Fertiliser_Products_Data1(),FertiliserProducts[[#Headers],[Include or Exclude]], 0,4)</f>
        <v/>
      </c>
      <c r="S101" s="185" t="str" cm="1">
        <f t="array" ref="S101">Common_InputFunctions.Utility_DisplayArrayInTable(Fertiliser_SourceData.Fertiliser_Products_Data1(),FertiliserProducts[[#Headers],[Include or Exclude]], 0,4)</f>
        <v/>
      </c>
      <c r="T101" s="185" t="str" cm="1">
        <f t="array" ref="T101">Common_InputFunctions.Utility_DisplayArrayInTable(Fertiliser_SourceData.Fertiliser_Products_Data1(),FertiliserProducts[[#Headers],[Include or Exclude]], 0,4)</f>
        <v/>
      </c>
      <c r="U101" s="185" t="str" cm="1">
        <f t="array" ref="U101">Common_InputFunctions.Utility_DisplayArrayInTable(Fertiliser_SourceData.Fertiliser_Products_Data1(),FertiliserProducts[[#Headers],[Include or Exclude]], 0,4)</f>
        <v/>
      </c>
      <c r="V101" s="185" t="str" cm="1">
        <f t="array" ref="V101">Common_InputFunctions.Utility_DisplayArrayInTable(Fertiliser_SourceData.Fertiliser_Products_Data1(),FertiliserProducts[[#Headers],[Include or Exclude]], 0,4)</f>
        <v/>
      </c>
      <c r="W101" s="185" t="str" cm="1">
        <f t="array" ref="W101">Common_InputFunctions.Utility_DisplayArrayInTable(Fertiliser_SourceData.Fertiliser_Products_Data1(),FertiliserProducts[[#Headers],[Include or Exclude]], 0,4)</f>
        <v/>
      </c>
      <c r="X101" s="185" t="str" cm="1">
        <f t="array" ref="X101">Common_InputFunctions.Utility_DisplayArrayInTable(Fertiliser_SourceData.Fertiliser_Products_Data1(),FertiliserProducts[[#Headers],[Include or Exclude]], 0,4)</f>
        <v/>
      </c>
      <c r="Y101" s="185" t="str" cm="1">
        <f t="array" ref="Y101">Common_InputFunctions.Utility_DisplayArrayInTable(Fertiliser_SourceData.Fertiliser_Products_Data1(),FertiliserProducts[[#Headers],[Include or Exclude]], 0,4)</f>
        <v/>
      </c>
      <c r="Z101" s="185" t="str" cm="1">
        <f t="array" ref="Z101">Common_InputFunctions.Utility_DisplayArrayInTable(Fertiliser_SourceData.Fertiliser_Products_Data1(),FertiliserProducts[[#Headers],[Include or Exclude]], 0,4)</f>
        <v/>
      </c>
      <c r="AA101" s="185" t="str" cm="1">
        <f t="array" ref="AA101">Common_InputFunctions.Utility_DisplayArrayInTable(Fertiliser_SourceData.Fertiliser_Products_Data1(),FertiliserProducts[[#Headers],[Include or Exclude]], 0,4)</f>
        <v/>
      </c>
      <c r="AB101" s="185" t="str" cm="1">
        <f t="array" ref="AB101">Common_InputFunctions.Utility_DisplayArrayInTable(Fertiliser_SourceData.Fertiliser_Products_Data1(),FertiliserProducts[[#Headers],[Include or Exclude]], 0,4)</f>
        <v/>
      </c>
      <c r="AC101" s="185" t="str" cm="1">
        <f t="array" ref="AC101">Common_InputFunctions.Utility_DisplayArrayInTable(Fertiliser_SourceData.Fertiliser_Products_Data1(),FertiliserProducts[[#Headers],[Include or Exclude]], 0,4)</f>
        <v/>
      </c>
      <c r="AD101" s="185" t="str" cm="1">
        <f t="array" ref="AD101">Common_InputFunctions.Utility_DisplayArrayInTable(Fertiliser_SourceData.Fertiliser_Products_Data1(),FertiliserProducts[[#Headers],[Include or Exclude]], 0,4)</f>
        <v/>
      </c>
      <c r="AE101" s="185" t="str" cm="1">
        <f t="array" ref="AE101">Common_InputFunctions.Utility_DisplayArrayInTable(Fertiliser_SourceData.Fertiliser_Products_Data1(),FertiliserProducts[[#Headers],[Include or Exclude]], 0,4)</f>
        <v/>
      </c>
    </row>
    <row r="102" spans="4:31" ht="20.100000000000001" customHeight="1" x14ac:dyDescent="0.25">
      <c r="D102" s="185" t="str" cm="1">
        <f t="array" ref="D102">Common_InputFunctions.Utility_DisplayArrayInTable(Fertiliser_SourceData.Fertiliser_Products_Data1(),FertiliserProducts[[#Headers],[Include or Exclude]], -1)</f>
        <v>Exclude - Not relevant</v>
      </c>
      <c r="E102" s="185" t="str" cm="1">
        <f t="array" ref="E102">Common_InputFunctions.Utility_DisplayArrayInTable(Fertiliser_SourceData.Fertiliser_Products_Data1(),FertiliserProducts[[#Headers],[Include or Exclude]], 0)</f>
        <v/>
      </c>
      <c r="F102" s="185" t="str" cm="1">
        <f t="array" ref="F102">Common_InputFunctions.Utility_DisplayArrayInTable(Fertiliser_SourceData.Fertiliser_Products_Data1(),FertiliserProducts[[#Headers],[Include or Exclude]], 0)</f>
        <v>Campbells fertilisers Australia</v>
      </c>
      <c r="G102" s="185" t="str" cm="1">
        <f t="array" ref="G102">Common_InputFunctions.Utility_DisplayArrayInTable(Fertiliser_SourceData.Fertiliser_Products_Data1(),FertiliserProducts[[#Headers],[Include or Exclude]], 0)</f>
        <v>Asco Rhizo Plus</v>
      </c>
      <c r="H102" s="185" t="str" cm="1">
        <f t="array" ref="H102">Common_InputFunctions.Utility_DisplayArrayInTable(Fertiliser_SourceData.Fertiliser_Products_Data1(),FertiliserProducts[[#Headers],[Include or Exclude]], 0,4)</f>
        <v/>
      </c>
      <c r="I102" s="185" t="str" cm="1">
        <f t="array" ref="I102">Common_InputFunctions.Utility_DisplayArrayInTable(Fertiliser_SourceData.Fertiliser_Products_Data1(),FertiliserProducts[[#Headers],[Include or Exclude]], 0,4)</f>
        <v/>
      </c>
      <c r="J102" s="185" t="str" cm="1">
        <f t="array" ref="J102">Common_InputFunctions.Utility_DisplayArrayInTable(Fertiliser_SourceData.Fertiliser_Products_Data1(),FertiliserProducts[[#Headers],[Include or Exclude]], 0,4)</f>
        <v/>
      </c>
      <c r="K102" s="185" t="str" cm="1">
        <f t="array" ref="K102">Common_InputFunctions.Utility_DisplayArrayInTable(Fertiliser_SourceData.Fertiliser_Products_Data1(),FertiliserProducts[[#Headers],[Include or Exclude]], 0,4)</f>
        <v/>
      </c>
      <c r="L102" s="185" t="str" cm="1">
        <f t="array" ref="L102">Common_InputFunctions.Utility_DisplayArrayInTable(Fertiliser_SourceData.Fertiliser_Products_Data1(),FertiliserProducts[[#Headers],[Include or Exclude]], 0,4)</f>
        <v/>
      </c>
      <c r="M102" s="185" t="str" cm="1">
        <f t="array" ref="M102">Common_InputFunctions.Utility_DisplayArrayInTable(Fertiliser_SourceData.Fertiliser_Products_Data1(),FertiliserProducts[[#Headers],[Include or Exclude]], 0,4)</f>
        <v/>
      </c>
      <c r="N102" s="185" t="str" cm="1">
        <f t="array" ref="N102">Common_InputFunctions.Utility_DisplayArrayInTable(Fertiliser_SourceData.Fertiliser_Products_Data1(),FertiliserProducts[[#Headers],[Include or Exclude]], 0,4)</f>
        <v/>
      </c>
      <c r="O102" s="185" t="str" cm="1">
        <f t="array" ref="O102">Common_InputFunctions.Utility_DisplayArrayInTable(Fertiliser_SourceData.Fertiliser_Products_Data1(),FertiliserProducts[[#Headers],[Include or Exclude]], 0,4)</f>
        <v/>
      </c>
      <c r="P102" s="185" t="str" cm="1">
        <f t="array" ref="P102">Common_InputFunctions.Utility_DisplayArrayInTable(Fertiliser_SourceData.Fertiliser_Products_Data1(),FertiliserProducts[[#Headers],[Include or Exclude]], 0,4)</f>
        <v/>
      </c>
      <c r="Q102" s="185" t="str" cm="1">
        <f t="array" ref="Q102">Common_InputFunctions.Utility_DisplayArrayInTable(Fertiliser_SourceData.Fertiliser_Products_Data1(),FertiliserProducts[[#Headers],[Include or Exclude]], 0,4)</f>
        <v/>
      </c>
      <c r="R102" s="185" t="str" cm="1">
        <f t="array" ref="R102">Common_InputFunctions.Utility_DisplayArrayInTable(Fertiliser_SourceData.Fertiliser_Products_Data1(),FertiliserProducts[[#Headers],[Include or Exclude]], 0,4)</f>
        <v/>
      </c>
      <c r="S102" s="185" t="str" cm="1">
        <f t="array" ref="S102">Common_InputFunctions.Utility_DisplayArrayInTable(Fertiliser_SourceData.Fertiliser_Products_Data1(),FertiliserProducts[[#Headers],[Include or Exclude]], 0,4)</f>
        <v/>
      </c>
      <c r="T102" s="185" t="str" cm="1">
        <f t="array" ref="T102">Common_InputFunctions.Utility_DisplayArrayInTable(Fertiliser_SourceData.Fertiliser_Products_Data1(),FertiliserProducts[[#Headers],[Include or Exclude]], 0,4)</f>
        <v/>
      </c>
      <c r="U102" s="185" t="str" cm="1">
        <f t="array" ref="U102">Common_InputFunctions.Utility_DisplayArrayInTable(Fertiliser_SourceData.Fertiliser_Products_Data1(),FertiliserProducts[[#Headers],[Include or Exclude]], 0,4)</f>
        <v/>
      </c>
      <c r="V102" s="185" t="str" cm="1">
        <f t="array" ref="V102">Common_InputFunctions.Utility_DisplayArrayInTable(Fertiliser_SourceData.Fertiliser_Products_Data1(),FertiliserProducts[[#Headers],[Include or Exclude]], 0,4)</f>
        <v/>
      </c>
      <c r="W102" s="185" t="str" cm="1">
        <f t="array" ref="W102">Common_InputFunctions.Utility_DisplayArrayInTable(Fertiliser_SourceData.Fertiliser_Products_Data1(),FertiliserProducts[[#Headers],[Include or Exclude]], 0,4)</f>
        <v/>
      </c>
      <c r="X102" s="185" t="str" cm="1">
        <f t="array" ref="X102">Common_InputFunctions.Utility_DisplayArrayInTable(Fertiliser_SourceData.Fertiliser_Products_Data1(),FertiliserProducts[[#Headers],[Include or Exclude]], 0,4)</f>
        <v/>
      </c>
      <c r="Y102" s="185" t="str" cm="1">
        <f t="array" ref="Y102">Common_InputFunctions.Utility_DisplayArrayInTable(Fertiliser_SourceData.Fertiliser_Products_Data1(),FertiliserProducts[[#Headers],[Include or Exclude]], 0,4)</f>
        <v/>
      </c>
      <c r="Z102" s="185" t="str" cm="1">
        <f t="array" ref="Z102">Common_InputFunctions.Utility_DisplayArrayInTable(Fertiliser_SourceData.Fertiliser_Products_Data1(),FertiliserProducts[[#Headers],[Include or Exclude]], 0,4)</f>
        <v/>
      </c>
      <c r="AA102" s="185" t="str" cm="1">
        <f t="array" ref="AA102">Common_InputFunctions.Utility_DisplayArrayInTable(Fertiliser_SourceData.Fertiliser_Products_Data1(),FertiliserProducts[[#Headers],[Include or Exclude]], 0,4)</f>
        <v/>
      </c>
      <c r="AB102" s="185" t="str" cm="1">
        <f t="array" ref="AB102">Common_InputFunctions.Utility_DisplayArrayInTable(Fertiliser_SourceData.Fertiliser_Products_Data1(),FertiliserProducts[[#Headers],[Include or Exclude]], 0,4)</f>
        <v/>
      </c>
      <c r="AC102" s="185" t="str" cm="1">
        <f t="array" ref="AC102">Common_InputFunctions.Utility_DisplayArrayInTable(Fertiliser_SourceData.Fertiliser_Products_Data1(),FertiliserProducts[[#Headers],[Include or Exclude]], 0,4)</f>
        <v/>
      </c>
      <c r="AD102" s="185" t="str" cm="1">
        <f t="array" ref="AD102">Common_InputFunctions.Utility_DisplayArrayInTable(Fertiliser_SourceData.Fertiliser_Products_Data1(),FertiliserProducts[[#Headers],[Include or Exclude]], 0,4)</f>
        <v/>
      </c>
      <c r="AE102" s="185" t="str" cm="1">
        <f t="array" ref="AE102">Common_InputFunctions.Utility_DisplayArrayInTable(Fertiliser_SourceData.Fertiliser_Products_Data1(),FertiliserProducts[[#Headers],[Include or Exclude]], 0,4)</f>
        <v/>
      </c>
    </row>
    <row r="103" spans="4:31" ht="20.100000000000001" customHeight="1" x14ac:dyDescent="0.25">
      <c r="D103" s="185" t="str" cm="1">
        <f t="array" ref="D103">Common_InputFunctions.Utility_DisplayArrayInTable(Fertiliser_SourceData.Fertiliser_Products_Data1(),FertiliserProducts[[#Headers],[Include or Exclude]], -1)</f>
        <v>Include - Absent ingredients &lt; 2%</v>
      </c>
      <c r="E103" s="185" t="str" cm="1">
        <f t="array" ref="E103">Common_InputFunctions.Utility_DisplayArrayInTable(Fertiliser_SourceData.Fertiliser_Products_Data1(),FertiliserProducts[[#Headers],[Include or Exclude]], 0)</f>
        <v/>
      </c>
      <c r="F103" s="185" t="str" cm="1">
        <f t="array" ref="F103">Common_InputFunctions.Utility_DisplayArrayInTable(Fertiliser_SourceData.Fertiliser_Products_Data1(),FertiliserProducts[[#Headers],[Include or Exclude]], 0)</f>
        <v>Campbells fertilisers Australia</v>
      </c>
      <c r="G103" s="185" t="str" cm="1">
        <f t="array" ref="G103">Common_InputFunctions.Utility_DisplayArrayInTable(Fertiliser_SourceData.Fertiliser_Products_Data1(),FertiliserProducts[[#Headers],[Include or Exclude]], 0)</f>
        <v>Benefit PZ</v>
      </c>
      <c r="H103" s="185" t="str" cm="1">
        <f t="array" ref="H103">Common_InputFunctions.Utility_DisplayArrayInTable(Fertiliser_SourceData.Fertiliser_Products_Data1(),FertiliserProducts[[#Headers],[Include or Exclude]], 0,4)</f>
        <v/>
      </c>
      <c r="I103" s="185" t="str" cm="1">
        <f t="array" ref="I103">Common_InputFunctions.Utility_DisplayArrayInTable(Fertiliser_SourceData.Fertiliser_Products_Data1(),FertiliserProducts[[#Headers],[Include or Exclude]], 0,4)</f>
        <v/>
      </c>
      <c r="J103" s="185" t="str" cm="1">
        <f t="array" ref="J103">Common_InputFunctions.Utility_DisplayArrayInTable(Fertiliser_SourceData.Fertiliser_Products_Data1(),FertiliserProducts[[#Headers],[Include or Exclude]], 0,4)</f>
        <v/>
      </c>
      <c r="K103" s="185" t="str" cm="1">
        <f t="array" ref="K103">Common_InputFunctions.Utility_DisplayArrayInTable(Fertiliser_SourceData.Fertiliser_Products_Data1(),FertiliserProducts[[#Headers],[Include or Exclude]], 0,4)</f>
        <v/>
      </c>
      <c r="L103" s="185" t="str" cm="1">
        <f t="array" ref="L103">Common_InputFunctions.Utility_DisplayArrayInTable(Fertiliser_SourceData.Fertiliser_Products_Data1(),FertiliserProducts[[#Headers],[Include or Exclude]], 0,4)</f>
        <v/>
      </c>
      <c r="M103" s="185" t="str" cm="1">
        <f t="array" ref="M103">Common_InputFunctions.Utility_DisplayArrayInTable(Fertiliser_SourceData.Fertiliser_Products_Data1(),FertiliserProducts[[#Headers],[Include or Exclude]], 0,4)</f>
        <v/>
      </c>
      <c r="N103" s="185" t="str" cm="1">
        <f t="array" ref="N103">Common_InputFunctions.Utility_DisplayArrayInTable(Fertiliser_SourceData.Fertiliser_Products_Data1(),FertiliserProducts[[#Headers],[Include or Exclude]], 0,4)</f>
        <v/>
      </c>
      <c r="O103" s="185" t="str" cm="1">
        <f t="array" ref="O103">Common_InputFunctions.Utility_DisplayArrayInTable(Fertiliser_SourceData.Fertiliser_Products_Data1(),FertiliserProducts[[#Headers],[Include or Exclude]], 0,4)</f>
        <v/>
      </c>
      <c r="P103" s="185" t="str" cm="1">
        <f t="array" ref="P103">Common_InputFunctions.Utility_DisplayArrayInTable(Fertiliser_SourceData.Fertiliser_Products_Data1(),FertiliserProducts[[#Headers],[Include or Exclude]], 0,4)</f>
        <v/>
      </c>
      <c r="Q103" s="185" t="str" cm="1">
        <f t="array" ref="Q103">Common_InputFunctions.Utility_DisplayArrayInTable(Fertiliser_SourceData.Fertiliser_Products_Data1(),FertiliserProducts[[#Headers],[Include or Exclude]], 0,4)</f>
        <v/>
      </c>
      <c r="R103" s="185" t="str" cm="1">
        <f t="array" ref="R103">Common_InputFunctions.Utility_DisplayArrayInTable(Fertiliser_SourceData.Fertiliser_Products_Data1(),FertiliserProducts[[#Headers],[Include or Exclude]], 0,4)</f>
        <v/>
      </c>
      <c r="S103" s="185" t="str" cm="1">
        <f t="array" ref="S103">Common_InputFunctions.Utility_DisplayArrayInTable(Fertiliser_SourceData.Fertiliser_Products_Data1(),FertiliserProducts[[#Headers],[Include or Exclude]], 0,4)</f>
        <v/>
      </c>
      <c r="T103" s="185" t="str" cm="1">
        <f t="array" ref="T103">Common_InputFunctions.Utility_DisplayArrayInTable(Fertiliser_SourceData.Fertiliser_Products_Data1(),FertiliserProducts[[#Headers],[Include or Exclude]], 0,4)</f>
        <v/>
      </c>
      <c r="U103" s="185" t="str" cm="1">
        <f t="array" ref="U103">Common_InputFunctions.Utility_DisplayArrayInTable(Fertiliser_SourceData.Fertiliser_Products_Data1(),FertiliserProducts[[#Headers],[Include or Exclude]], 0,4)</f>
        <v/>
      </c>
      <c r="V103" s="185" t="str" cm="1">
        <f t="array" ref="V103">Common_InputFunctions.Utility_DisplayArrayInTable(Fertiliser_SourceData.Fertiliser_Products_Data1(),FertiliserProducts[[#Headers],[Include or Exclude]], 0,4)</f>
        <v/>
      </c>
      <c r="W103" s="185" t="str" cm="1">
        <f t="array" ref="W103">Common_InputFunctions.Utility_DisplayArrayInTable(Fertiliser_SourceData.Fertiliser_Products_Data1(),FertiliserProducts[[#Headers],[Include or Exclude]], 0,4)</f>
        <v/>
      </c>
      <c r="X103" s="185" t="str" cm="1">
        <f t="array" ref="X103">Common_InputFunctions.Utility_DisplayArrayInTable(Fertiliser_SourceData.Fertiliser_Products_Data1(),FertiliserProducts[[#Headers],[Include or Exclude]], 0,4)</f>
        <v/>
      </c>
      <c r="Y103" s="185" t="str" cm="1">
        <f t="array" ref="Y103">Common_InputFunctions.Utility_DisplayArrayInTable(Fertiliser_SourceData.Fertiliser_Products_Data1(),FertiliserProducts[[#Headers],[Include or Exclude]], 0,4)</f>
        <v/>
      </c>
      <c r="Z103" s="185" t="str" cm="1">
        <f t="array" ref="Z103">Common_InputFunctions.Utility_DisplayArrayInTable(Fertiliser_SourceData.Fertiliser_Products_Data1(),FertiliserProducts[[#Headers],[Include or Exclude]], 0,4)</f>
        <v/>
      </c>
      <c r="AA103" s="185" t="str" cm="1">
        <f t="array" ref="AA103">Common_InputFunctions.Utility_DisplayArrayInTable(Fertiliser_SourceData.Fertiliser_Products_Data1(),FertiliserProducts[[#Headers],[Include or Exclude]], 0,4)</f>
        <v/>
      </c>
      <c r="AB103" s="185" t="str" cm="1">
        <f t="array" ref="AB103">Common_InputFunctions.Utility_DisplayArrayInTable(Fertiliser_SourceData.Fertiliser_Products_Data1(),FertiliserProducts[[#Headers],[Include or Exclude]], 0,4)</f>
        <v/>
      </c>
      <c r="AC103" s="185" t="str" cm="1">
        <f t="array" ref="AC103">Common_InputFunctions.Utility_DisplayArrayInTable(Fertiliser_SourceData.Fertiliser_Products_Data1(),FertiliserProducts[[#Headers],[Include or Exclude]], 0,4)</f>
        <v/>
      </c>
      <c r="AD103" s="185" t="str" cm="1">
        <f t="array" ref="AD103">Common_InputFunctions.Utility_DisplayArrayInTable(Fertiliser_SourceData.Fertiliser_Products_Data1(),FertiliserProducts[[#Headers],[Include or Exclude]], 0,4)</f>
        <v/>
      </c>
      <c r="AE103" s="185" t="str" cm="1">
        <f t="array" ref="AE103">Common_InputFunctions.Utility_DisplayArrayInTable(Fertiliser_SourceData.Fertiliser_Products_Data1(),FertiliserProducts[[#Headers],[Include or Exclude]], 0,4)</f>
        <v/>
      </c>
    </row>
    <row r="104" spans="4:31" ht="20.100000000000001" customHeight="1" x14ac:dyDescent="0.25">
      <c r="D104" s="185" t="str" cm="1">
        <f t="array" ref="D104">Common_InputFunctions.Utility_DisplayArrayInTable(Fertiliser_SourceData.Fertiliser_Products_Data1(),FertiliserProducts[[#Headers],[Include or Exclude]], -1)</f>
        <v>Exclude - Not relevant</v>
      </c>
      <c r="E104" s="185" t="str" cm="1">
        <f t="array" ref="E104">Common_InputFunctions.Utility_DisplayArrayInTable(Fertiliser_SourceData.Fertiliser_Products_Data1(),FertiliserProducts[[#Headers],[Include or Exclude]], 0)</f>
        <v>Amount of urea calculated from urea nitrogen amount</v>
      </c>
      <c r="F104" s="185" t="str" cm="1">
        <f t="array" ref="F104">Common_InputFunctions.Utility_DisplayArrayInTable(Fertiliser_SourceData.Fertiliser_Products_Data1(),FertiliserProducts[[#Headers],[Include or Exclude]], 0)</f>
        <v>Campbells fertilisers Australia</v>
      </c>
      <c r="G104" s="185" t="str" cm="1">
        <f t="array" ref="G104">Common_InputFunctions.Utility_DisplayArrayInTable(Fertiliser_SourceData.Fertiliser_Products_Data1(),FertiliserProducts[[#Headers],[Include or Exclude]], 0)</f>
        <v>Boost-It</v>
      </c>
      <c r="H104" s="185" t="str" cm="1">
        <f t="array" ref="H104">Common_InputFunctions.Utility_DisplayArrayInTable(Fertiliser_SourceData.Fertiliser_Products_Data1(),FertiliserProducts[[#Headers],[Include or Exclude]], 0,4)</f>
        <v>kg</v>
      </c>
      <c r="I104" s="185" cm="1">
        <f t="array" ref="I104">Common_InputFunctions.Utility_DisplayArrayInTable(Fertiliser_SourceData.Fertiliser_Products_Data1(),FertiliserProducts[[#Headers],[Include or Exclude]], 0,4)</f>
        <v>1</v>
      </c>
      <c r="J104" s="185" t="str" cm="1">
        <f t="array" ref="J104">Common_InputFunctions.Utility_DisplayArrayInTable(Fertiliser_SourceData.Fertiliser_Products_Data1(),FertiliserProducts[[#Headers],[Include or Exclude]], 0,4)</f>
        <v/>
      </c>
      <c r="K104" s="185" t="str" cm="1">
        <f t="array" ref="K104">Common_InputFunctions.Utility_DisplayArrayInTable(Fertiliser_SourceData.Fertiliser_Products_Data1(),FertiliserProducts[[#Headers],[Include or Exclude]], 0,4)</f>
        <v/>
      </c>
      <c r="L104" s="185" t="str" cm="1">
        <f t="array" ref="L104">Common_InputFunctions.Utility_DisplayArrayInTable(Fertiliser_SourceData.Fertiliser_Products_Data1(),FertiliserProducts[[#Headers],[Include or Exclude]], 0,4)</f>
        <v>Urea</v>
      </c>
      <c r="M104" s="185" cm="1">
        <f t="array" ref="M104">Common_InputFunctions.Utility_DisplayArrayInTable(Fertiliser_SourceData.Fertiliser_Products_Data1(),FertiliserProducts[[#Headers],[Include or Exclude]], 0,4)</f>
        <v>0.52173913000000005</v>
      </c>
      <c r="N104" s="185" t="str" cm="1">
        <f t="array" ref="N104">Common_InputFunctions.Utility_DisplayArrayInTable(Fertiliser_SourceData.Fertiliser_Products_Data1(),FertiliserProducts[[#Headers],[Include or Exclude]], 0,4)</f>
        <v>Potassium - Generic</v>
      </c>
      <c r="O104" s="185" cm="1">
        <f t="array" ref="O104">Common_InputFunctions.Utility_DisplayArrayInTable(Fertiliser_SourceData.Fertiliser_Products_Data1(),FertiliserProducts[[#Headers],[Include or Exclude]], 0,4)</f>
        <v>0.08</v>
      </c>
      <c r="P104" s="185" t="str" cm="1">
        <f t="array" ref="P104">Common_InputFunctions.Utility_DisplayArrayInTable(Fertiliser_SourceData.Fertiliser_Products_Data1(),FertiliserProducts[[#Headers],[Include or Exclude]], 0,4)</f>
        <v>Sulfur - Generic</v>
      </c>
      <c r="Q104" s="185" cm="1">
        <f t="array" ref="Q104">Common_InputFunctions.Utility_DisplayArrayInTable(Fertiliser_SourceData.Fertiliser_Products_Data1(),FertiliserProducts[[#Headers],[Include or Exclude]], 0,4)</f>
        <v>5.2999999999999999E-2</v>
      </c>
      <c r="R104" s="185" t="str" cm="1">
        <f t="array" ref="R104">Common_InputFunctions.Utility_DisplayArrayInTable(Fertiliser_SourceData.Fertiliser_Products_Data1(),FertiliserProducts[[#Headers],[Include or Exclude]], 0,4)</f>
        <v>Phosphorus - Generic</v>
      </c>
      <c r="S104" s="185" cm="1">
        <f t="array" ref="S104">Common_InputFunctions.Utility_DisplayArrayInTable(Fertiliser_SourceData.Fertiliser_Products_Data1(),FertiliserProducts[[#Headers],[Include or Exclude]], 0,4)</f>
        <v>5.1999999999999998E-2</v>
      </c>
      <c r="T104" s="185" t="str" cm="1">
        <f t="array" ref="T104">Common_InputFunctions.Utility_DisplayArrayInTable(Fertiliser_SourceData.Fertiliser_Products_Data1(),FertiliserProducts[[#Headers],[Include or Exclude]], 0,4)</f>
        <v>Magnesium</v>
      </c>
      <c r="U104" s="185" cm="1">
        <f t="array" ref="U104">Common_InputFunctions.Utility_DisplayArrayInTable(Fertiliser_SourceData.Fertiliser_Products_Data1(),FertiliserProducts[[#Headers],[Include or Exclude]], 0,4)</f>
        <v>1.2999999999999999E-2</v>
      </c>
      <c r="V104" s="185" t="str" cm="1">
        <f t="array" ref="V104">Common_InputFunctions.Utility_DisplayArrayInTable(Fertiliser_SourceData.Fertiliser_Products_Data1(),FertiliserProducts[[#Headers],[Include or Exclude]], 0,4)</f>
        <v>Zinc</v>
      </c>
      <c r="W104" s="185" cm="1">
        <f t="array" ref="W104">Common_InputFunctions.Utility_DisplayArrayInTable(Fertiliser_SourceData.Fertiliser_Products_Data1(),FertiliserProducts[[#Headers],[Include or Exclude]], 0,4)</f>
        <v>2E-3</v>
      </c>
      <c r="X104" s="185" t="str" cm="1">
        <f t="array" ref="X104">Common_InputFunctions.Utility_DisplayArrayInTable(Fertiliser_SourceData.Fertiliser_Products_Data1(),FertiliserProducts[[#Headers],[Include or Exclude]], 0,4)</f>
        <v>Manganese</v>
      </c>
      <c r="Y104" s="185" cm="1">
        <f t="array" ref="Y104">Common_InputFunctions.Utility_DisplayArrayInTable(Fertiliser_SourceData.Fertiliser_Products_Data1(),FertiliserProducts[[#Headers],[Include or Exclude]], 0,4)</f>
        <v>3.5000000000000001E-3</v>
      </c>
      <c r="Z104" s="185" t="str" cm="1">
        <f t="array" ref="Z104">Common_InputFunctions.Utility_DisplayArrayInTable(Fertiliser_SourceData.Fertiliser_Products_Data1(),FertiliserProducts[[#Headers],[Include or Exclude]], 0,4)</f>
        <v>Iron</v>
      </c>
      <c r="AA104" s="185" cm="1">
        <f t="array" ref="AA104">Common_InputFunctions.Utility_DisplayArrayInTable(Fertiliser_SourceData.Fertiliser_Products_Data1(),FertiliserProducts[[#Headers],[Include or Exclude]], 0,4)</f>
        <v>1.2999999999999999E-3</v>
      </c>
      <c r="AB104" s="185" t="str" cm="1">
        <f t="array" ref="AB104">Common_InputFunctions.Utility_DisplayArrayInTable(Fertiliser_SourceData.Fertiliser_Products_Data1(),FertiliserProducts[[#Headers],[Include or Exclude]], 0,4)</f>
        <v>Copper</v>
      </c>
      <c r="AC104" s="185" cm="1">
        <f t="array" ref="AC104">Common_InputFunctions.Utility_DisplayArrayInTable(Fertiliser_SourceData.Fertiliser_Products_Data1(),FertiliserProducts[[#Headers],[Include or Exclude]], 0,4)</f>
        <v>6.9999999999999999E-4</v>
      </c>
      <c r="AD104" s="185" t="str" cm="1">
        <f t="array" ref="AD104">Common_InputFunctions.Utility_DisplayArrayInTable(Fertiliser_SourceData.Fertiliser_Products_Data1(),FertiliserProducts[[#Headers],[Include or Exclude]], 0,4)</f>
        <v>Boron</v>
      </c>
      <c r="AE104" s="185" cm="1">
        <f t="array" ref="AE104">Common_InputFunctions.Utility_DisplayArrayInTable(Fertiliser_SourceData.Fertiliser_Products_Data1(),FertiliserProducts[[#Headers],[Include or Exclude]], 0,4)</f>
        <v>6.9999999999999999E-4</v>
      </c>
    </row>
    <row r="105" spans="4:31" ht="20.100000000000001" customHeight="1" x14ac:dyDescent="0.25">
      <c r="D105" s="185" t="str" cm="1">
        <f t="array" ref="D105">Common_InputFunctions.Utility_DisplayArrayInTable(Fertiliser_SourceData.Fertiliser_Products_Data1(),FertiliserProducts[[#Headers],[Include or Exclude]], -1)</f>
        <v>Exclude - Not relevant</v>
      </c>
      <c r="E105" s="185" t="str" cm="1">
        <f t="array" ref="E105">Common_InputFunctions.Utility_DisplayArrayInTable(Fertiliser_SourceData.Fertiliser_Products_Data1(),FertiliserProducts[[#Headers],[Include or Exclude]], 0)</f>
        <v/>
      </c>
      <c r="F105" s="185" t="str" cm="1">
        <f t="array" ref="F105">Common_InputFunctions.Utility_DisplayArrayInTable(Fertiliser_SourceData.Fertiliser_Products_Data1(),FertiliserProducts[[#Headers],[Include or Exclude]], 0)</f>
        <v>Campbells fertilisers Australia</v>
      </c>
      <c r="G105" s="185" t="str" cm="1">
        <f t="array" ref="G105">Common_InputFunctions.Utility_DisplayArrayInTable(Fertiliser_SourceData.Fertiliser_Products_Data1(),FertiliserProducts[[#Headers],[Include or Exclude]], 0)</f>
        <v>Boroplus</v>
      </c>
      <c r="H105" s="185" t="str" cm="1">
        <f t="array" ref="H105">Common_InputFunctions.Utility_DisplayArrayInTable(Fertiliser_SourceData.Fertiliser_Products_Data1(),FertiliserProducts[[#Headers],[Include or Exclude]], 0,4)</f>
        <v/>
      </c>
      <c r="I105" s="185" t="str" cm="1">
        <f t="array" ref="I105">Common_InputFunctions.Utility_DisplayArrayInTable(Fertiliser_SourceData.Fertiliser_Products_Data1(),FertiliserProducts[[#Headers],[Include or Exclude]], 0,4)</f>
        <v/>
      </c>
      <c r="J105" s="185" t="str" cm="1">
        <f t="array" ref="J105">Common_InputFunctions.Utility_DisplayArrayInTable(Fertiliser_SourceData.Fertiliser_Products_Data1(),FertiliserProducts[[#Headers],[Include or Exclude]], 0,4)</f>
        <v/>
      </c>
      <c r="K105" s="185" t="str" cm="1">
        <f t="array" ref="K105">Common_InputFunctions.Utility_DisplayArrayInTable(Fertiliser_SourceData.Fertiliser_Products_Data1(),FertiliserProducts[[#Headers],[Include or Exclude]], 0,4)</f>
        <v/>
      </c>
      <c r="L105" s="185" t="str" cm="1">
        <f t="array" ref="L105">Common_InputFunctions.Utility_DisplayArrayInTable(Fertiliser_SourceData.Fertiliser_Products_Data1(),FertiliserProducts[[#Headers],[Include or Exclude]], 0,4)</f>
        <v/>
      </c>
      <c r="M105" s="185" t="str" cm="1">
        <f t="array" ref="M105">Common_InputFunctions.Utility_DisplayArrayInTable(Fertiliser_SourceData.Fertiliser_Products_Data1(),FertiliserProducts[[#Headers],[Include or Exclude]], 0,4)</f>
        <v/>
      </c>
      <c r="N105" s="185" t="str" cm="1">
        <f t="array" ref="N105">Common_InputFunctions.Utility_DisplayArrayInTable(Fertiliser_SourceData.Fertiliser_Products_Data1(),FertiliserProducts[[#Headers],[Include or Exclude]], 0,4)</f>
        <v/>
      </c>
      <c r="O105" s="185" t="str" cm="1">
        <f t="array" ref="O105">Common_InputFunctions.Utility_DisplayArrayInTable(Fertiliser_SourceData.Fertiliser_Products_Data1(),FertiliserProducts[[#Headers],[Include or Exclude]], 0,4)</f>
        <v/>
      </c>
      <c r="P105" s="185" t="str" cm="1">
        <f t="array" ref="P105">Common_InputFunctions.Utility_DisplayArrayInTable(Fertiliser_SourceData.Fertiliser_Products_Data1(),FertiliserProducts[[#Headers],[Include or Exclude]], 0,4)</f>
        <v/>
      </c>
      <c r="Q105" s="185" t="str" cm="1">
        <f t="array" ref="Q105">Common_InputFunctions.Utility_DisplayArrayInTable(Fertiliser_SourceData.Fertiliser_Products_Data1(),FertiliserProducts[[#Headers],[Include or Exclude]], 0,4)</f>
        <v/>
      </c>
      <c r="R105" s="185" t="str" cm="1">
        <f t="array" ref="R105">Common_InputFunctions.Utility_DisplayArrayInTable(Fertiliser_SourceData.Fertiliser_Products_Data1(),FertiliserProducts[[#Headers],[Include or Exclude]], 0,4)</f>
        <v/>
      </c>
      <c r="S105" s="185" t="str" cm="1">
        <f t="array" ref="S105">Common_InputFunctions.Utility_DisplayArrayInTable(Fertiliser_SourceData.Fertiliser_Products_Data1(),FertiliserProducts[[#Headers],[Include or Exclude]], 0,4)</f>
        <v/>
      </c>
      <c r="T105" s="185" t="str" cm="1">
        <f t="array" ref="T105">Common_InputFunctions.Utility_DisplayArrayInTable(Fertiliser_SourceData.Fertiliser_Products_Data1(),FertiliserProducts[[#Headers],[Include or Exclude]], 0,4)</f>
        <v/>
      </c>
      <c r="U105" s="185" t="str" cm="1">
        <f t="array" ref="U105">Common_InputFunctions.Utility_DisplayArrayInTable(Fertiliser_SourceData.Fertiliser_Products_Data1(),FertiliserProducts[[#Headers],[Include or Exclude]], 0,4)</f>
        <v/>
      </c>
      <c r="V105" s="185" t="str" cm="1">
        <f t="array" ref="V105">Common_InputFunctions.Utility_DisplayArrayInTable(Fertiliser_SourceData.Fertiliser_Products_Data1(),FertiliserProducts[[#Headers],[Include or Exclude]], 0,4)</f>
        <v/>
      </c>
      <c r="W105" s="185" t="str" cm="1">
        <f t="array" ref="W105">Common_InputFunctions.Utility_DisplayArrayInTable(Fertiliser_SourceData.Fertiliser_Products_Data1(),FertiliserProducts[[#Headers],[Include or Exclude]], 0,4)</f>
        <v/>
      </c>
      <c r="X105" s="185" t="str" cm="1">
        <f t="array" ref="X105">Common_InputFunctions.Utility_DisplayArrayInTable(Fertiliser_SourceData.Fertiliser_Products_Data1(),FertiliserProducts[[#Headers],[Include or Exclude]], 0,4)</f>
        <v/>
      </c>
      <c r="Y105" s="185" t="str" cm="1">
        <f t="array" ref="Y105">Common_InputFunctions.Utility_DisplayArrayInTable(Fertiliser_SourceData.Fertiliser_Products_Data1(),FertiliserProducts[[#Headers],[Include or Exclude]], 0,4)</f>
        <v/>
      </c>
      <c r="Z105" s="185" t="str" cm="1">
        <f t="array" ref="Z105">Common_InputFunctions.Utility_DisplayArrayInTable(Fertiliser_SourceData.Fertiliser_Products_Data1(),FertiliserProducts[[#Headers],[Include or Exclude]], 0,4)</f>
        <v/>
      </c>
      <c r="AA105" s="185" t="str" cm="1">
        <f t="array" ref="AA105">Common_InputFunctions.Utility_DisplayArrayInTable(Fertiliser_SourceData.Fertiliser_Products_Data1(),FertiliserProducts[[#Headers],[Include or Exclude]], 0,4)</f>
        <v/>
      </c>
      <c r="AB105" s="185" t="str" cm="1">
        <f t="array" ref="AB105">Common_InputFunctions.Utility_DisplayArrayInTable(Fertiliser_SourceData.Fertiliser_Products_Data1(),FertiliserProducts[[#Headers],[Include or Exclude]], 0,4)</f>
        <v/>
      </c>
      <c r="AC105" s="185" t="str" cm="1">
        <f t="array" ref="AC105">Common_InputFunctions.Utility_DisplayArrayInTable(Fertiliser_SourceData.Fertiliser_Products_Data1(),FertiliserProducts[[#Headers],[Include or Exclude]], 0,4)</f>
        <v/>
      </c>
      <c r="AD105" s="185" t="str" cm="1">
        <f t="array" ref="AD105">Common_InputFunctions.Utility_DisplayArrayInTable(Fertiliser_SourceData.Fertiliser_Products_Data1(),FertiliserProducts[[#Headers],[Include or Exclude]], 0,4)</f>
        <v/>
      </c>
      <c r="AE105" s="185" t="str" cm="1">
        <f t="array" ref="AE105">Common_InputFunctions.Utility_DisplayArrayInTable(Fertiliser_SourceData.Fertiliser_Products_Data1(),FertiliserProducts[[#Headers],[Include or Exclude]], 0,4)</f>
        <v/>
      </c>
    </row>
    <row r="106" spans="4:31" ht="20.100000000000001" customHeight="1" x14ac:dyDescent="0.25">
      <c r="D106" s="185" t="str" cm="1">
        <f t="array" ref="D106">Common_InputFunctions.Utility_DisplayArrayInTable(Fertiliser_SourceData.Fertiliser_Products_Data1(),FertiliserProducts[[#Headers],[Include or Exclude]], -1)</f>
        <v>Exclude - Not relevant</v>
      </c>
      <c r="E106" s="185" t="str" cm="1">
        <f t="array" ref="E106">Common_InputFunctions.Utility_DisplayArrayInTable(Fertiliser_SourceData.Fertiliser_Products_Data1(),FertiliserProducts[[#Headers],[Include or Exclude]], 0)</f>
        <v/>
      </c>
      <c r="F106" s="185" t="str" cm="1">
        <f t="array" ref="F106">Common_InputFunctions.Utility_DisplayArrayInTable(Fertiliser_SourceData.Fertiliser_Products_Data1(),FertiliserProducts[[#Headers],[Include or Exclude]], 0)</f>
        <v>Campbells fertilisers Australia</v>
      </c>
      <c r="G106" s="185" t="str" cm="1">
        <f t="array" ref="G106">Common_InputFunctions.Utility_DisplayArrayInTable(Fertiliser_SourceData.Fertiliser_Products_Data1(),FertiliserProducts[[#Headers],[Include or Exclude]], 0)</f>
        <v>Brevisol Range</v>
      </c>
      <c r="H106" s="185" t="str" cm="1">
        <f t="array" ref="H106">Common_InputFunctions.Utility_DisplayArrayInTable(Fertiliser_SourceData.Fertiliser_Products_Data1(),FertiliserProducts[[#Headers],[Include or Exclude]], 0,4)</f>
        <v/>
      </c>
      <c r="I106" s="185" t="str" cm="1">
        <f t="array" ref="I106">Common_InputFunctions.Utility_DisplayArrayInTable(Fertiliser_SourceData.Fertiliser_Products_Data1(),FertiliserProducts[[#Headers],[Include or Exclude]], 0,4)</f>
        <v/>
      </c>
      <c r="J106" s="185" t="str" cm="1">
        <f t="array" ref="J106">Common_InputFunctions.Utility_DisplayArrayInTable(Fertiliser_SourceData.Fertiliser_Products_Data1(),FertiliserProducts[[#Headers],[Include or Exclude]], 0,4)</f>
        <v/>
      </c>
      <c r="K106" s="185" t="str" cm="1">
        <f t="array" ref="K106">Common_InputFunctions.Utility_DisplayArrayInTable(Fertiliser_SourceData.Fertiliser_Products_Data1(),FertiliserProducts[[#Headers],[Include or Exclude]], 0,4)</f>
        <v/>
      </c>
      <c r="L106" s="185" t="str" cm="1">
        <f t="array" ref="L106">Common_InputFunctions.Utility_DisplayArrayInTable(Fertiliser_SourceData.Fertiliser_Products_Data1(),FertiliserProducts[[#Headers],[Include or Exclude]], 0,4)</f>
        <v/>
      </c>
      <c r="M106" s="185" t="str" cm="1">
        <f t="array" ref="M106">Common_InputFunctions.Utility_DisplayArrayInTable(Fertiliser_SourceData.Fertiliser_Products_Data1(),FertiliserProducts[[#Headers],[Include or Exclude]], 0,4)</f>
        <v/>
      </c>
      <c r="N106" s="185" t="str" cm="1">
        <f t="array" ref="N106">Common_InputFunctions.Utility_DisplayArrayInTable(Fertiliser_SourceData.Fertiliser_Products_Data1(),FertiliserProducts[[#Headers],[Include or Exclude]], 0,4)</f>
        <v/>
      </c>
      <c r="O106" s="185" t="str" cm="1">
        <f t="array" ref="O106">Common_InputFunctions.Utility_DisplayArrayInTable(Fertiliser_SourceData.Fertiliser_Products_Data1(),FertiliserProducts[[#Headers],[Include or Exclude]], 0,4)</f>
        <v/>
      </c>
      <c r="P106" s="185" t="str" cm="1">
        <f t="array" ref="P106">Common_InputFunctions.Utility_DisplayArrayInTable(Fertiliser_SourceData.Fertiliser_Products_Data1(),FertiliserProducts[[#Headers],[Include or Exclude]], 0,4)</f>
        <v/>
      </c>
      <c r="Q106" s="185" t="str" cm="1">
        <f t="array" ref="Q106">Common_InputFunctions.Utility_DisplayArrayInTable(Fertiliser_SourceData.Fertiliser_Products_Data1(),FertiliserProducts[[#Headers],[Include or Exclude]], 0,4)</f>
        <v/>
      </c>
      <c r="R106" s="185" t="str" cm="1">
        <f t="array" ref="R106">Common_InputFunctions.Utility_DisplayArrayInTable(Fertiliser_SourceData.Fertiliser_Products_Data1(),FertiliserProducts[[#Headers],[Include or Exclude]], 0,4)</f>
        <v/>
      </c>
      <c r="S106" s="185" t="str" cm="1">
        <f t="array" ref="S106">Common_InputFunctions.Utility_DisplayArrayInTable(Fertiliser_SourceData.Fertiliser_Products_Data1(),FertiliserProducts[[#Headers],[Include or Exclude]], 0,4)</f>
        <v/>
      </c>
      <c r="T106" s="185" t="str" cm="1">
        <f t="array" ref="T106">Common_InputFunctions.Utility_DisplayArrayInTable(Fertiliser_SourceData.Fertiliser_Products_Data1(),FertiliserProducts[[#Headers],[Include or Exclude]], 0,4)</f>
        <v/>
      </c>
      <c r="U106" s="185" t="str" cm="1">
        <f t="array" ref="U106">Common_InputFunctions.Utility_DisplayArrayInTable(Fertiliser_SourceData.Fertiliser_Products_Data1(),FertiliserProducts[[#Headers],[Include or Exclude]], 0,4)</f>
        <v/>
      </c>
      <c r="V106" s="185" t="str" cm="1">
        <f t="array" ref="V106">Common_InputFunctions.Utility_DisplayArrayInTable(Fertiliser_SourceData.Fertiliser_Products_Data1(),FertiliserProducts[[#Headers],[Include or Exclude]], 0,4)</f>
        <v/>
      </c>
      <c r="W106" s="185" t="str" cm="1">
        <f t="array" ref="W106">Common_InputFunctions.Utility_DisplayArrayInTable(Fertiliser_SourceData.Fertiliser_Products_Data1(),FertiliserProducts[[#Headers],[Include or Exclude]], 0,4)</f>
        <v/>
      </c>
      <c r="X106" s="185" t="str" cm="1">
        <f t="array" ref="X106">Common_InputFunctions.Utility_DisplayArrayInTable(Fertiliser_SourceData.Fertiliser_Products_Data1(),FertiliserProducts[[#Headers],[Include or Exclude]], 0,4)</f>
        <v/>
      </c>
      <c r="Y106" s="185" t="str" cm="1">
        <f t="array" ref="Y106">Common_InputFunctions.Utility_DisplayArrayInTable(Fertiliser_SourceData.Fertiliser_Products_Data1(),FertiliserProducts[[#Headers],[Include or Exclude]], 0,4)</f>
        <v/>
      </c>
      <c r="Z106" s="185" t="str" cm="1">
        <f t="array" ref="Z106">Common_InputFunctions.Utility_DisplayArrayInTable(Fertiliser_SourceData.Fertiliser_Products_Data1(),FertiliserProducts[[#Headers],[Include or Exclude]], 0,4)</f>
        <v/>
      </c>
      <c r="AA106" s="185" t="str" cm="1">
        <f t="array" ref="AA106">Common_InputFunctions.Utility_DisplayArrayInTable(Fertiliser_SourceData.Fertiliser_Products_Data1(),FertiliserProducts[[#Headers],[Include or Exclude]], 0,4)</f>
        <v/>
      </c>
      <c r="AB106" s="185" t="str" cm="1">
        <f t="array" ref="AB106">Common_InputFunctions.Utility_DisplayArrayInTable(Fertiliser_SourceData.Fertiliser_Products_Data1(),FertiliserProducts[[#Headers],[Include or Exclude]], 0,4)</f>
        <v/>
      </c>
      <c r="AC106" s="185" t="str" cm="1">
        <f t="array" ref="AC106">Common_InputFunctions.Utility_DisplayArrayInTable(Fertiliser_SourceData.Fertiliser_Products_Data1(),FertiliserProducts[[#Headers],[Include or Exclude]], 0,4)</f>
        <v/>
      </c>
      <c r="AD106" s="185" t="str" cm="1">
        <f t="array" ref="AD106">Common_InputFunctions.Utility_DisplayArrayInTable(Fertiliser_SourceData.Fertiliser_Products_Data1(),FertiliserProducts[[#Headers],[Include or Exclude]], 0,4)</f>
        <v/>
      </c>
      <c r="AE106" s="185" t="str" cm="1">
        <f t="array" ref="AE106">Common_InputFunctions.Utility_DisplayArrayInTable(Fertiliser_SourceData.Fertiliser_Products_Data1(),FertiliserProducts[[#Headers],[Include or Exclude]], 0,4)</f>
        <v/>
      </c>
    </row>
    <row r="107" spans="4:31" ht="20.100000000000001" customHeight="1" x14ac:dyDescent="0.25">
      <c r="D107" s="185" t="str" cm="1">
        <f t="array" ref="D107">Common_InputFunctions.Utility_DisplayArrayInTable(Fertiliser_SourceData.Fertiliser_Products_Data1(),FertiliserProducts[[#Headers],[Include or Exclude]], -1)</f>
        <v>Include</v>
      </c>
      <c r="E107" s="185" t="str" cm="1">
        <f t="array" ref="E107">Common_InputFunctions.Utility_DisplayArrayInTable(Fertiliser_SourceData.Fertiliser_Products_Data1(),FertiliserProducts[[#Headers],[Include or Exclude]], 0)</f>
        <v/>
      </c>
      <c r="F107" s="185" t="str" cm="1">
        <f t="array" ref="F107">Common_InputFunctions.Utility_DisplayArrayInTable(Fertiliser_SourceData.Fertiliser_Products_Data1(),FertiliserProducts[[#Headers],[Include or Exclude]], 0)</f>
        <v>Campbells fertilisers Australia</v>
      </c>
      <c r="G107" s="185" t="str" cm="1">
        <f t="array" ref="G107">Common_InputFunctions.Utility_DisplayArrayInTable(Fertiliser_SourceData.Fertiliser_Products_Data1(),FertiliserProducts[[#Headers],[Include or Exclude]], 0)</f>
        <v>Brexil Line</v>
      </c>
      <c r="H107" s="185" t="str" cm="1">
        <f t="array" ref="H107">Common_InputFunctions.Utility_DisplayArrayInTable(Fertiliser_SourceData.Fertiliser_Products_Data1(),FertiliserProducts[[#Headers],[Include or Exclude]], 0,4)</f>
        <v/>
      </c>
      <c r="I107" s="185" t="str" cm="1">
        <f t="array" ref="I107">Common_InputFunctions.Utility_DisplayArrayInTable(Fertiliser_SourceData.Fertiliser_Products_Data1(),FertiliserProducts[[#Headers],[Include or Exclude]], 0,4)</f>
        <v/>
      </c>
      <c r="J107" s="185" t="str" cm="1">
        <f t="array" ref="J107">Common_InputFunctions.Utility_DisplayArrayInTable(Fertiliser_SourceData.Fertiliser_Products_Data1(),FertiliserProducts[[#Headers],[Include or Exclude]], 0,4)</f>
        <v/>
      </c>
      <c r="K107" s="185" t="str" cm="1">
        <f t="array" ref="K107">Common_InputFunctions.Utility_DisplayArrayInTable(Fertiliser_SourceData.Fertiliser_Products_Data1(),FertiliserProducts[[#Headers],[Include or Exclude]], 0,4)</f>
        <v/>
      </c>
      <c r="L107" s="185" t="str" cm="1">
        <f t="array" ref="L107">Common_InputFunctions.Utility_DisplayArrayInTable(Fertiliser_SourceData.Fertiliser_Products_Data1(),FertiliserProducts[[#Headers],[Include or Exclude]], 0,4)</f>
        <v/>
      </c>
      <c r="M107" s="185" t="str" cm="1">
        <f t="array" ref="M107">Common_InputFunctions.Utility_DisplayArrayInTable(Fertiliser_SourceData.Fertiliser_Products_Data1(),FertiliserProducts[[#Headers],[Include or Exclude]], 0,4)</f>
        <v/>
      </c>
      <c r="N107" s="185" t="str" cm="1">
        <f t="array" ref="N107">Common_InputFunctions.Utility_DisplayArrayInTable(Fertiliser_SourceData.Fertiliser_Products_Data1(),FertiliserProducts[[#Headers],[Include or Exclude]], 0,4)</f>
        <v/>
      </c>
      <c r="O107" s="185" t="str" cm="1">
        <f t="array" ref="O107">Common_InputFunctions.Utility_DisplayArrayInTable(Fertiliser_SourceData.Fertiliser_Products_Data1(),FertiliserProducts[[#Headers],[Include or Exclude]], 0,4)</f>
        <v/>
      </c>
      <c r="P107" s="185" t="str" cm="1">
        <f t="array" ref="P107">Common_InputFunctions.Utility_DisplayArrayInTable(Fertiliser_SourceData.Fertiliser_Products_Data1(),FertiliserProducts[[#Headers],[Include or Exclude]], 0,4)</f>
        <v/>
      </c>
      <c r="Q107" s="185" t="str" cm="1">
        <f t="array" ref="Q107">Common_InputFunctions.Utility_DisplayArrayInTable(Fertiliser_SourceData.Fertiliser_Products_Data1(),FertiliserProducts[[#Headers],[Include or Exclude]], 0,4)</f>
        <v/>
      </c>
      <c r="R107" s="185" t="str" cm="1">
        <f t="array" ref="R107">Common_InputFunctions.Utility_DisplayArrayInTable(Fertiliser_SourceData.Fertiliser_Products_Data1(),FertiliserProducts[[#Headers],[Include or Exclude]], 0,4)</f>
        <v/>
      </c>
      <c r="S107" s="185" t="str" cm="1">
        <f t="array" ref="S107">Common_InputFunctions.Utility_DisplayArrayInTable(Fertiliser_SourceData.Fertiliser_Products_Data1(),FertiliserProducts[[#Headers],[Include or Exclude]], 0,4)</f>
        <v/>
      </c>
      <c r="T107" s="185" t="str" cm="1">
        <f t="array" ref="T107">Common_InputFunctions.Utility_DisplayArrayInTable(Fertiliser_SourceData.Fertiliser_Products_Data1(),FertiliserProducts[[#Headers],[Include or Exclude]], 0,4)</f>
        <v/>
      </c>
      <c r="U107" s="185" t="str" cm="1">
        <f t="array" ref="U107">Common_InputFunctions.Utility_DisplayArrayInTable(Fertiliser_SourceData.Fertiliser_Products_Data1(),FertiliserProducts[[#Headers],[Include or Exclude]], 0,4)</f>
        <v/>
      </c>
      <c r="V107" s="185" t="str" cm="1">
        <f t="array" ref="V107">Common_InputFunctions.Utility_DisplayArrayInTable(Fertiliser_SourceData.Fertiliser_Products_Data1(),FertiliserProducts[[#Headers],[Include or Exclude]], 0,4)</f>
        <v/>
      </c>
      <c r="W107" s="185" t="str" cm="1">
        <f t="array" ref="W107">Common_InputFunctions.Utility_DisplayArrayInTable(Fertiliser_SourceData.Fertiliser_Products_Data1(),FertiliserProducts[[#Headers],[Include or Exclude]], 0,4)</f>
        <v/>
      </c>
      <c r="X107" s="185" t="str" cm="1">
        <f t="array" ref="X107">Common_InputFunctions.Utility_DisplayArrayInTable(Fertiliser_SourceData.Fertiliser_Products_Data1(),FertiliserProducts[[#Headers],[Include or Exclude]], 0,4)</f>
        <v/>
      </c>
      <c r="Y107" s="185" t="str" cm="1">
        <f t="array" ref="Y107">Common_InputFunctions.Utility_DisplayArrayInTable(Fertiliser_SourceData.Fertiliser_Products_Data1(),FertiliserProducts[[#Headers],[Include or Exclude]], 0,4)</f>
        <v/>
      </c>
      <c r="Z107" s="185" t="str" cm="1">
        <f t="array" ref="Z107">Common_InputFunctions.Utility_DisplayArrayInTable(Fertiliser_SourceData.Fertiliser_Products_Data1(),FertiliserProducts[[#Headers],[Include or Exclude]], 0,4)</f>
        <v/>
      </c>
      <c r="AA107" s="185" t="str" cm="1">
        <f t="array" ref="AA107">Common_InputFunctions.Utility_DisplayArrayInTable(Fertiliser_SourceData.Fertiliser_Products_Data1(),FertiliserProducts[[#Headers],[Include or Exclude]], 0,4)</f>
        <v/>
      </c>
      <c r="AB107" s="185" t="str" cm="1">
        <f t="array" ref="AB107">Common_InputFunctions.Utility_DisplayArrayInTable(Fertiliser_SourceData.Fertiliser_Products_Data1(),FertiliserProducts[[#Headers],[Include or Exclude]], 0,4)</f>
        <v/>
      </c>
      <c r="AC107" s="185" t="str" cm="1">
        <f t="array" ref="AC107">Common_InputFunctions.Utility_DisplayArrayInTable(Fertiliser_SourceData.Fertiliser_Products_Data1(),FertiliserProducts[[#Headers],[Include or Exclude]], 0,4)</f>
        <v/>
      </c>
      <c r="AD107" s="185" t="str" cm="1">
        <f t="array" ref="AD107">Common_InputFunctions.Utility_DisplayArrayInTable(Fertiliser_SourceData.Fertiliser_Products_Data1(),FertiliserProducts[[#Headers],[Include or Exclude]], 0,4)</f>
        <v/>
      </c>
      <c r="AE107" s="185" t="str" cm="1">
        <f t="array" ref="AE107">Common_InputFunctions.Utility_DisplayArrayInTable(Fertiliser_SourceData.Fertiliser_Products_Data1(),FertiliserProducts[[#Headers],[Include or Exclude]], 0,4)</f>
        <v/>
      </c>
    </row>
    <row r="108" spans="4:31" ht="20.100000000000001" customHeight="1" x14ac:dyDescent="0.25">
      <c r="D108" s="185" t="str" cm="1">
        <f t="array" ref="D108">Common_InputFunctions.Utility_DisplayArrayInTable(Fertiliser_SourceData.Fertiliser_Products_Data1(),FertiliserProducts[[#Headers],[Include or Exclude]], -1)</f>
        <v>Exclude - Absent ingredients &gt; 2%</v>
      </c>
      <c r="E108" s="185" t="str" cm="1">
        <f t="array" ref="E108">Common_InputFunctions.Utility_DisplayArrayInTable(Fertiliser_SourceData.Fertiliser_Products_Data1(),FertiliserProducts[[#Headers],[Include or Exclude]], 0)</f>
        <v/>
      </c>
      <c r="F108" s="185" t="str" cm="1">
        <f t="array" ref="F108">Common_InputFunctions.Utility_DisplayArrayInTable(Fertiliser_SourceData.Fertiliser_Products_Data1(),FertiliserProducts[[#Headers],[Include or Exclude]], 0)</f>
        <v>Campbells fertilisers Australia</v>
      </c>
      <c r="G108" s="185" t="str" cm="1">
        <f t="array" ref="G108">Common_InputFunctions.Utility_DisplayArrayInTable(Fertiliser_SourceData.Fertiliser_Products_Data1(),FertiliserProducts[[#Headers],[Include or Exclude]], 0)</f>
        <v>Bronze</v>
      </c>
      <c r="H108" s="185" t="str" cm="1">
        <f t="array" ref="H108">Common_InputFunctions.Utility_DisplayArrayInTable(Fertiliser_SourceData.Fertiliser_Products_Data1(),FertiliserProducts[[#Headers],[Include or Exclude]], 0,4)</f>
        <v>kg</v>
      </c>
      <c r="I108" s="185" t="str" cm="1">
        <f t="array" ref="I108">Common_InputFunctions.Utility_DisplayArrayInTable(Fertiliser_SourceData.Fertiliser_Products_Data1(),FertiliserProducts[[#Headers],[Include or Exclude]], 0,4)</f>
        <v/>
      </c>
      <c r="J108" s="185" t="str" cm="1">
        <f t="array" ref="J108">Common_InputFunctions.Utility_DisplayArrayInTable(Fertiliser_SourceData.Fertiliser_Products_Data1(),FertiliserProducts[[#Headers],[Include or Exclude]], 0,4)</f>
        <v/>
      </c>
      <c r="K108" s="185" t="str" cm="1">
        <f t="array" ref="K108">Common_InputFunctions.Utility_DisplayArrayInTable(Fertiliser_SourceData.Fertiliser_Products_Data1(),FertiliserProducts[[#Headers],[Include or Exclude]], 0,4)</f>
        <v/>
      </c>
      <c r="L108" s="185" t="str" cm="1">
        <f t="array" ref="L108">Common_InputFunctions.Utility_DisplayArrayInTable(Fertiliser_SourceData.Fertiliser_Products_Data1(),FertiliserProducts[[#Headers],[Include or Exclude]], 0,4)</f>
        <v>Muriate of Potash (MOP)</v>
      </c>
      <c r="M108" s="185" cm="1">
        <f t="array" ref="M108">Common_InputFunctions.Utility_DisplayArrayInTable(Fertiliser_SourceData.Fertiliser_Products_Data1(),FertiliserProducts[[#Headers],[Include or Exclude]], 0,4)</f>
        <v>0.23200000000000001</v>
      </c>
      <c r="N108" s="185" t="str" cm="1">
        <f t="array" ref="N108">Common_InputFunctions.Utility_DisplayArrayInTable(Fertiliser_SourceData.Fertiliser_Products_Data1(),FertiliserProducts[[#Headers],[Include or Exclude]], 0,4)</f>
        <v>Nitrogen - Generic</v>
      </c>
      <c r="O108" s="185" cm="1">
        <f t="array" ref="O108">Common_InputFunctions.Utility_DisplayArrayInTable(Fertiliser_SourceData.Fertiliser_Products_Data1(),FertiliserProducts[[#Headers],[Include or Exclude]], 0,4)</f>
        <v>0.17</v>
      </c>
      <c r="P108" s="185" t="str" cm="1">
        <f t="array" ref="P108">Common_InputFunctions.Utility_DisplayArrayInTable(Fertiliser_SourceData.Fertiliser_Products_Data1(),FertiliserProducts[[#Headers],[Include or Exclude]], 0,4)</f>
        <v>Sulfur - Generic</v>
      </c>
      <c r="Q108" s="185" cm="1">
        <f t="array" ref="Q108">Common_InputFunctions.Utility_DisplayArrayInTable(Fertiliser_SourceData.Fertiliser_Products_Data1(),FertiliserProducts[[#Headers],[Include or Exclude]], 0,4)</f>
        <v>5.0000000000000001E-3</v>
      </c>
      <c r="R108" s="185" t="str" cm="1">
        <f t="array" ref="R108">Common_InputFunctions.Utility_DisplayArrayInTable(Fertiliser_SourceData.Fertiliser_Products_Data1(),FertiliserProducts[[#Headers],[Include or Exclude]], 0,4)</f>
        <v>Magnesium</v>
      </c>
      <c r="S108" s="185" cm="1">
        <f t="array" ref="S108">Common_InputFunctions.Utility_DisplayArrayInTable(Fertiliser_SourceData.Fertiliser_Products_Data1(),FertiliserProducts[[#Headers],[Include or Exclude]], 0,4)</f>
        <v>2.3999999999999998E-3</v>
      </c>
      <c r="T108" s="185" t="str" cm="1">
        <f t="array" ref="T108">Common_InputFunctions.Utility_DisplayArrayInTable(Fertiliser_SourceData.Fertiliser_Products_Data1(),FertiliserProducts[[#Headers],[Include or Exclude]], 0,4)</f>
        <v>Phosphorus - Generic</v>
      </c>
      <c r="U108" s="185" cm="1">
        <f t="array" ref="U108">Common_InputFunctions.Utility_DisplayArrayInTable(Fertiliser_SourceData.Fertiliser_Products_Data1(),FertiliserProducts[[#Headers],[Include or Exclude]], 0,4)</f>
        <v>4.0000000000000002E-4</v>
      </c>
      <c r="V108" s="185" t="str" cm="1">
        <f t="array" ref="V108">Common_InputFunctions.Utility_DisplayArrayInTable(Fertiliser_SourceData.Fertiliser_Products_Data1(),FertiliserProducts[[#Headers],[Include or Exclude]], 0,4)</f>
        <v/>
      </c>
      <c r="W108" s="185" t="str" cm="1">
        <f t="array" ref="W108">Common_InputFunctions.Utility_DisplayArrayInTable(Fertiliser_SourceData.Fertiliser_Products_Data1(),FertiliserProducts[[#Headers],[Include or Exclude]], 0,4)</f>
        <v/>
      </c>
      <c r="X108" s="185" t="str" cm="1">
        <f t="array" ref="X108">Common_InputFunctions.Utility_DisplayArrayInTable(Fertiliser_SourceData.Fertiliser_Products_Data1(),FertiliserProducts[[#Headers],[Include or Exclude]], 0,4)</f>
        <v/>
      </c>
      <c r="Y108" s="185" t="str" cm="1">
        <f t="array" ref="Y108">Common_InputFunctions.Utility_DisplayArrayInTable(Fertiliser_SourceData.Fertiliser_Products_Data1(),FertiliserProducts[[#Headers],[Include or Exclude]], 0,4)</f>
        <v/>
      </c>
      <c r="Z108" s="185" t="str" cm="1">
        <f t="array" ref="Z108">Common_InputFunctions.Utility_DisplayArrayInTable(Fertiliser_SourceData.Fertiliser_Products_Data1(),FertiliserProducts[[#Headers],[Include or Exclude]], 0,4)</f>
        <v/>
      </c>
      <c r="AA108" s="185" t="str" cm="1">
        <f t="array" ref="AA108">Common_InputFunctions.Utility_DisplayArrayInTable(Fertiliser_SourceData.Fertiliser_Products_Data1(),FertiliserProducts[[#Headers],[Include or Exclude]], 0,4)</f>
        <v/>
      </c>
      <c r="AB108" s="185" t="str" cm="1">
        <f t="array" ref="AB108">Common_InputFunctions.Utility_DisplayArrayInTable(Fertiliser_SourceData.Fertiliser_Products_Data1(),FertiliserProducts[[#Headers],[Include or Exclude]], 0,4)</f>
        <v/>
      </c>
      <c r="AC108" s="185" t="str" cm="1">
        <f t="array" ref="AC108">Common_InputFunctions.Utility_DisplayArrayInTable(Fertiliser_SourceData.Fertiliser_Products_Data1(),FertiliserProducts[[#Headers],[Include or Exclude]], 0,4)</f>
        <v/>
      </c>
      <c r="AD108" s="185" t="str" cm="1">
        <f t="array" ref="AD108">Common_InputFunctions.Utility_DisplayArrayInTable(Fertiliser_SourceData.Fertiliser_Products_Data1(),FertiliserProducts[[#Headers],[Include or Exclude]], 0,4)</f>
        <v/>
      </c>
      <c r="AE108" s="185" t="str" cm="1">
        <f t="array" ref="AE108">Common_InputFunctions.Utility_DisplayArrayInTable(Fertiliser_SourceData.Fertiliser_Products_Data1(),FertiliserProducts[[#Headers],[Include or Exclude]], 0,4)</f>
        <v/>
      </c>
    </row>
    <row r="109" spans="4:31" ht="20.100000000000001" customHeight="1" x14ac:dyDescent="0.25">
      <c r="D109" s="185" t="str" cm="1">
        <f t="array" ref="D109">Common_InputFunctions.Utility_DisplayArrayInTable(Fertiliser_SourceData.Fertiliser_Products_Data1(),FertiliserProducts[[#Headers],[Include or Exclude]], -1)</f>
        <v>Exclude - Not relevant</v>
      </c>
      <c r="E109" s="185" t="str" cm="1">
        <f t="array" ref="E109">Common_InputFunctions.Utility_DisplayArrayInTable(Fertiliser_SourceData.Fertiliser_Products_Data1(),FertiliserProducts[[#Headers],[Include or Exclude]], 0)</f>
        <v/>
      </c>
      <c r="F109" s="185" t="str" cm="1">
        <f t="array" ref="F109">Common_InputFunctions.Utility_DisplayArrayInTable(Fertiliser_SourceData.Fertiliser_Products_Data1(),FertiliserProducts[[#Headers],[Include or Exclude]], 0)</f>
        <v>Campbells fertilisers Australia</v>
      </c>
      <c r="G109" s="185" t="str" cm="1">
        <f t="array" ref="G109">Common_InputFunctions.Utility_DisplayArrayInTable(Fertiliser_SourceData.Fertiliser_Products_Data1(),FertiliserProducts[[#Headers],[Include or Exclude]], 0)</f>
        <v>Bud-Wiser Dry</v>
      </c>
      <c r="H109" s="185" t="str" cm="1">
        <f t="array" ref="H109">Common_InputFunctions.Utility_DisplayArrayInTable(Fertiliser_SourceData.Fertiliser_Products_Data1(),FertiliserProducts[[#Headers],[Include or Exclude]], 0,4)</f>
        <v>kg</v>
      </c>
      <c r="I109" s="185" t="str" cm="1">
        <f t="array" ref="I109">Common_InputFunctions.Utility_DisplayArrayInTable(Fertiliser_SourceData.Fertiliser_Products_Data1(),FertiliserProducts[[#Headers],[Include or Exclude]], 0,4)</f>
        <v/>
      </c>
      <c r="J109" s="185" t="str" cm="1">
        <f t="array" ref="J109">Common_InputFunctions.Utility_DisplayArrayInTable(Fertiliser_SourceData.Fertiliser_Products_Data1(),FertiliserProducts[[#Headers],[Include or Exclude]], 0,4)</f>
        <v/>
      </c>
      <c r="K109" s="185" t="str" cm="1">
        <f t="array" ref="K109">Common_InputFunctions.Utility_DisplayArrayInTable(Fertiliser_SourceData.Fertiliser_Products_Data1(),FertiliserProducts[[#Headers],[Include or Exclude]], 0,4)</f>
        <v/>
      </c>
      <c r="L109" s="185" t="str" cm="1">
        <f t="array" ref="L109">Common_InputFunctions.Utility_DisplayArrayInTable(Fertiliser_SourceData.Fertiliser_Products_Data1(),FertiliserProducts[[#Headers],[Include or Exclude]], 0,4)</f>
        <v>Sulfur - Generic</v>
      </c>
      <c r="M109" s="185" cm="1">
        <f t="array" ref="M109">Common_InputFunctions.Utility_DisplayArrayInTable(Fertiliser_SourceData.Fertiliser_Products_Data1(),FertiliserProducts[[#Headers],[Include or Exclude]], 0,4)</f>
        <v>9.4E-2</v>
      </c>
      <c r="N109" s="185" t="str" cm="1">
        <f t="array" ref="N109">Common_InputFunctions.Utility_DisplayArrayInTable(Fertiliser_SourceData.Fertiliser_Products_Data1(),FertiliserProducts[[#Headers],[Include or Exclude]], 0,4)</f>
        <v>Magnesium</v>
      </c>
      <c r="O109" s="185" cm="1">
        <f t="array" ref="O109">Common_InputFunctions.Utility_DisplayArrayInTable(Fertiliser_SourceData.Fertiliser_Products_Data1(),FertiliserProducts[[#Headers],[Include or Exclude]], 0,4)</f>
        <v>0.06</v>
      </c>
      <c r="P109" s="185" t="str" cm="1">
        <f t="array" ref="P109">Common_InputFunctions.Utility_DisplayArrayInTable(Fertiliser_SourceData.Fertiliser_Products_Data1(),FertiliserProducts[[#Headers],[Include or Exclude]], 0,4)</f>
        <v>Boron</v>
      </c>
      <c r="Q109" s="185" cm="1">
        <f t="array" ref="Q109">Common_InputFunctions.Utility_DisplayArrayInTable(Fertiliser_SourceData.Fertiliser_Products_Data1(),FertiliserProducts[[#Headers],[Include or Exclude]], 0,4)</f>
        <v>4.4999999999999998E-2</v>
      </c>
      <c r="R109" s="185" t="str" cm="1">
        <f t="array" ref="R109">Common_InputFunctions.Utility_DisplayArrayInTable(Fertiliser_SourceData.Fertiliser_Products_Data1(),FertiliserProducts[[#Headers],[Include or Exclude]], 0,4)</f>
        <v>Zinc</v>
      </c>
      <c r="S109" s="185" cm="1">
        <f t="array" ref="S109">Common_InputFunctions.Utility_DisplayArrayInTable(Fertiliser_SourceData.Fertiliser_Products_Data1(),FertiliserProducts[[#Headers],[Include or Exclude]], 0,4)</f>
        <v>2.7E-2</v>
      </c>
      <c r="T109" s="185" t="str" cm="1">
        <f t="array" ref="T109">Common_InputFunctions.Utility_DisplayArrayInTable(Fertiliser_SourceData.Fertiliser_Products_Data1(),FertiliserProducts[[#Headers],[Include or Exclude]], 0,4)</f>
        <v/>
      </c>
      <c r="U109" s="185" t="str" cm="1">
        <f t="array" ref="U109">Common_InputFunctions.Utility_DisplayArrayInTable(Fertiliser_SourceData.Fertiliser_Products_Data1(),FertiliserProducts[[#Headers],[Include or Exclude]], 0,4)</f>
        <v/>
      </c>
      <c r="V109" s="185" t="str" cm="1">
        <f t="array" ref="V109">Common_InputFunctions.Utility_DisplayArrayInTable(Fertiliser_SourceData.Fertiliser_Products_Data1(),FertiliserProducts[[#Headers],[Include or Exclude]], 0,4)</f>
        <v/>
      </c>
      <c r="W109" s="185" t="str" cm="1">
        <f t="array" ref="W109">Common_InputFunctions.Utility_DisplayArrayInTable(Fertiliser_SourceData.Fertiliser_Products_Data1(),FertiliserProducts[[#Headers],[Include or Exclude]], 0,4)</f>
        <v/>
      </c>
      <c r="X109" s="185" t="str" cm="1">
        <f t="array" ref="X109">Common_InputFunctions.Utility_DisplayArrayInTable(Fertiliser_SourceData.Fertiliser_Products_Data1(),FertiliserProducts[[#Headers],[Include or Exclude]], 0,4)</f>
        <v/>
      </c>
      <c r="Y109" s="185" t="str" cm="1">
        <f t="array" ref="Y109">Common_InputFunctions.Utility_DisplayArrayInTable(Fertiliser_SourceData.Fertiliser_Products_Data1(),FertiliserProducts[[#Headers],[Include or Exclude]], 0,4)</f>
        <v/>
      </c>
      <c r="Z109" s="185" t="str" cm="1">
        <f t="array" ref="Z109">Common_InputFunctions.Utility_DisplayArrayInTable(Fertiliser_SourceData.Fertiliser_Products_Data1(),FertiliserProducts[[#Headers],[Include or Exclude]], 0,4)</f>
        <v/>
      </c>
      <c r="AA109" s="185" t="str" cm="1">
        <f t="array" ref="AA109">Common_InputFunctions.Utility_DisplayArrayInTable(Fertiliser_SourceData.Fertiliser_Products_Data1(),FertiliserProducts[[#Headers],[Include or Exclude]], 0,4)</f>
        <v/>
      </c>
      <c r="AB109" s="185" t="str" cm="1">
        <f t="array" ref="AB109">Common_InputFunctions.Utility_DisplayArrayInTable(Fertiliser_SourceData.Fertiliser_Products_Data1(),FertiliserProducts[[#Headers],[Include or Exclude]], 0,4)</f>
        <v/>
      </c>
      <c r="AC109" s="185" t="str" cm="1">
        <f t="array" ref="AC109">Common_InputFunctions.Utility_DisplayArrayInTable(Fertiliser_SourceData.Fertiliser_Products_Data1(),FertiliserProducts[[#Headers],[Include or Exclude]], 0,4)</f>
        <v/>
      </c>
      <c r="AD109" s="185" t="str" cm="1">
        <f t="array" ref="AD109">Common_InputFunctions.Utility_DisplayArrayInTable(Fertiliser_SourceData.Fertiliser_Products_Data1(),FertiliserProducts[[#Headers],[Include or Exclude]], 0,4)</f>
        <v/>
      </c>
      <c r="AE109" s="185" t="str" cm="1">
        <f t="array" ref="AE109">Common_InputFunctions.Utility_DisplayArrayInTable(Fertiliser_SourceData.Fertiliser_Products_Data1(),FertiliserProducts[[#Headers],[Include or Exclude]], 0,4)</f>
        <v/>
      </c>
    </row>
    <row r="110" spans="4:31" ht="20.100000000000001" customHeight="1" x14ac:dyDescent="0.25">
      <c r="D110" s="185" t="str" cm="1">
        <f t="array" ref="D110">Common_InputFunctions.Utility_DisplayArrayInTable(Fertiliser_SourceData.Fertiliser_Products_Data1(),FertiliserProducts[[#Headers],[Include or Exclude]], -1)</f>
        <v>Exclude - Not relevant</v>
      </c>
      <c r="E110" s="185" t="str" cm="1">
        <f t="array" ref="E110">Common_InputFunctions.Utility_DisplayArrayInTable(Fertiliser_SourceData.Fertiliser_Products_Data1(),FertiliserProducts[[#Headers],[Include or Exclude]], 0)</f>
        <v/>
      </c>
      <c r="F110" s="185" t="str" cm="1">
        <f t="array" ref="F110">Common_InputFunctions.Utility_DisplayArrayInTable(Fertiliser_SourceData.Fertiliser_Products_Data1(),FertiliserProducts[[#Headers],[Include or Exclude]], 0)</f>
        <v>Campbells fertilisers Australia</v>
      </c>
      <c r="G110" s="185" t="str" cm="1">
        <f t="array" ref="G110">Common_InputFunctions.Utility_DisplayArrayInTable(Fertiliser_SourceData.Fertiliser_Products_Data1(),FertiliserProducts[[#Headers],[Include or Exclude]], 0)</f>
        <v>Calbit C</v>
      </c>
      <c r="H110" s="185" t="str" cm="1">
        <f t="array" ref="H110">Common_InputFunctions.Utility_DisplayArrayInTable(Fertiliser_SourceData.Fertiliser_Products_Data1(),FertiliserProducts[[#Headers],[Include or Exclude]], 0,4)</f>
        <v>L</v>
      </c>
      <c r="I110" s="185" t="str" cm="1">
        <f t="array" ref="I110">Common_InputFunctions.Utility_DisplayArrayInTable(Fertiliser_SourceData.Fertiliser_Products_Data1(),FertiliserProducts[[#Headers],[Include or Exclude]], 0,4)</f>
        <v/>
      </c>
      <c r="J110" s="185" t="str" cm="1">
        <f t="array" ref="J110">Common_InputFunctions.Utility_DisplayArrayInTable(Fertiliser_SourceData.Fertiliser_Products_Data1(),FertiliserProducts[[#Headers],[Include or Exclude]], 0,4)</f>
        <v/>
      </c>
      <c r="K110" s="185" t="str" cm="1">
        <f t="array" ref="K110">Common_InputFunctions.Utility_DisplayArrayInTable(Fertiliser_SourceData.Fertiliser_Products_Data1(),FertiliserProducts[[#Headers],[Include or Exclude]], 0,4)</f>
        <v/>
      </c>
      <c r="L110" s="185" t="str" cm="1">
        <f t="array" ref="L110">Common_InputFunctions.Utility_DisplayArrayInTable(Fertiliser_SourceData.Fertiliser_Products_Data1(),FertiliserProducts[[#Headers],[Include or Exclude]], 0,4)</f>
        <v/>
      </c>
      <c r="M110" s="185" t="str" cm="1">
        <f t="array" ref="M110">Common_InputFunctions.Utility_DisplayArrayInTable(Fertiliser_SourceData.Fertiliser_Products_Data1(),FertiliserProducts[[#Headers],[Include or Exclude]], 0,4)</f>
        <v/>
      </c>
      <c r="N110" s="185" t="str" cm="1">
        <f t="array" ref="N110">Common_InputFunctions.Utility_DisplayArrayInTable(Fertiliser_SourceData.Fertiliser_Products_Data1(),FertiliserProducts[[#Headers],[Include or Exclude]], 0,4)</f>
        <v/>
      </c>
      <c r="O110" s="185" t="str" cm="1">
        <f t="array" ref="O110">Common_InputFunctions.Utility_DisplayArrayInTable(Fertiliser_SourceData.Fertiliser_Products_Data1(),FertiliserProducts[[#Headers],[Include or Exclude]], 0,4)</f>
        <v/>
      </c>
      <c r="P110" s="185" t="str" cm="1">
        <f t="array" ref="P110">Common_InputFunctions.Utility_DisplayArrayInTable(Fertiliser_SourceData.Fertiliser_Products_Data1(),FertiliserProducts[[#Headers],[Include or Exclude]], 0,4)</f>
        <v/>
      </c>
      <c r="Q110" s="185" t="str" cm="1">
        <f t="array" ref="Q110">Common_InputFunctions.Utility_DisplayArrayInTable(Fertiliser_SourceData.Fertiliser_Products_Data1(),FertiliserProducts[[#Headers],[Include or Exclude]], 0,4)</f>
        <v/>
      </c>
      <c r="R110" s="185" t="str" cm="1">
        <f t="array" ref="R110">Common_InputFunctions.Utility_DisplayArrayInTable(Fertiliser_SourceData.Fertiliser_Products_Data1(),FertiliserProducts[[#Headers],[Include or Exclude]], 0,4)</f>
        <v/>
      </c>
      <c r="S110" s="185" t="str" cm="1">
        <f t="array" ref="S110">Common_InputFunctions.Utility_DisplayArrayInTable(Fertiliser_SourceData.Fertiliser_Products_Data1(),FertiliserProducts[[#Headers],[Include or Exclude]], 0,4)</f>
        <v/>
      </c>
      <c r="T110" s="185" t="str" cm="1">
        <f t="array" ref="T110">Common_InputFunctions.Utility_DisplayArrayInTable(Fertiliser_SourceData.Fertiliser_Products_Data1(),FertiliserProducts[[#Headers],[Include or Exclude]], 0,4)</f>
        <v/>
      </c>
      <c r="U110" s="185" t="str" cm="1">
        <f t="array" ref="U110">Common_InputFunctions.Utility_DisplayArrayInTable(Fertiliser_SourceData.Fertiliser_Products_Data1(),FertiliserProducts[[#Headers],[Include or Exclude]], 0,4)</f>
        <v/>
      </c>
      <c r="V110" s="185" t="str" cm="1">
        <f t="array" ref="V110">Common_InputFunctions.Utility_DisplayArrayInTable(Fertiliser_SourceData.Fertiliser_Products_Data1(),FertiliserProducts[[#Headers],[Include or Exclude]], 0,4)</f>
        <v/>
      </c>
      <c r="W110" s="185" t="str" cm="1">
        <f t="array" ref="W110">Common_InputFunctions.Utility_DisplayArrayInTable(Fertiliser_SourceData.Fertiliser_Products_Data1(),FertiliserProducts[[#Headers],[Include or Exclude]], 0,4)</f>
        <v/>
      </c>
      <c r="X110" s="185" t="str" cm="1">
        <f t="array" ref="X110">Common_InputFunctions.Utility_DisplayArrayInTable(Fertiliser_SourceData.Fertiliser_Products_Data1(),FertiliserProducts[[#Headers],[Include or Exclude]], 0,4)</f>
        <v/>
      </c>
      <c r="Y110" s="185" t="str" cm="1">
        <f t="array" ref="Y110">Common_InputFunctions.Utility_DisplayArrayInTable(Fertiliser_SourceData.Fertiliser_Products_Data1(),FertiliserProducts[[#Headers],[Include or Exclude]], 0,4)</f>
        <v/>
      </c>
      <c r="Z110" s="185" t="str" cm="1">
        <f t="array" ref="Z110">Common_InputFunctions.Utility_DisplayArrayInTable(Fertiliser_SourceData.Fertiliser_Products_Data1(),FertiliserProducts[[#Headers],[Include or Exclude]], 0,4)</f>
        <v/>
      </c>
      <c r="AA110" s="185" t="str" cm="1">
        <f t="array" ref="AA110">Common_InputFunctions.Utility_DisplayArrayInTable(Fertiliser_SourceData.Fertiliser_Products_Data1(),FertiliserProducts[[#Headers],[Include or Exclude]], 0,4)</f>
        <v/>
      </c>
      <c r="AB110" s="185" t="str" cm="1">
        <f t="array" ref="AB110">Common_InputFunctions.Utility_DisplayArrayInTable(Fertiliser_SourceData.Fertiliser_Products_Data1(),FertiliserProducts[[#Headers],[Include or Exclude]], 0,4)</f>
        <v/>
      </c>
      <c r="AC110" s="185" t="str" cm="1">
        <f t="array" ref="AC110">Common_InputFunctions.Utility_DisplayArrayInTable(Fertiliser_SourceData.Fertiliser_Products_Data1(),FertiliserProducts[[#Headers],[Include or Exclude]], 0,4)</f>
        <v/>
      </c>
      <c r="AD110" s="185" t="str" cm="1">
        <f t="array" ref="AD110">Common_InputFunctions.Utility_DisplayArrayInTable(Fertiliser_SourceData.Fertiliser_Products_Data1(),FertiliserProducts[[#Headers],[Include or Exclude]], 0,4)</f>
        <v/>
      </c>
      <c r="AE110" s="185" t="str" cm="1">
        <f t="array" ref="AE110">Common_InputFunctions.Utility_DisplayArrayInTable(Fertiliser_SourceData.Fertiliser_Products_Data1(),FertiliserProducts[[#Headers],[Include or Exclude]], 0,4)</f>
        <v/>
      </c>
    </row>
    <row r="111" spans="4:31" ht="20.100000000000001" customHeight="1" x14ac:dyDescent="0.25">
      <c r="D111" s="185" t="str" cm="1">
        <f t="array" ref="D111">Common_InputFunctions.Utility_DisplayArrayInTable(Fertiliser_SourceData.Fertiliser_Products_Data1(),FertiliserProducts[[#Headers],[Include or Exclude]], -1)</f>
        <v>Include</v>
      </c>
      <c r="E111" s="185" t="str" cm="1">
        <f t="array" ref="E111">Common_InputFunctions.Utility_DisplayArrayInTable(Fertiliser_SourceData.Fertiliser_Products_Data1(),FertiliserProducts[[#Headers],[Include or Exclude]], 0)</f>
        <v/>
      </c>
      <c r="F111" s="185" t="str" cm="1">
        <f t="array" ref="F111">Common_InputFunctions.Utility_DisplayArrayInTable(Fertiliser_SourceData.Fertiliser_Products_Data1(),FertiliserProducts[[#Headers],[Include or Exclude]], 0)</f>
        <v>Campbells fertilisers Australia</v>
      </c>
      <c r="G111" s="185" t="str" cm="1">
        <f t="array" ref="G111">Common_InputFunctions.Utility_DisplayArrayInTable(Fertiliser_SourceData.Fertiliser_Products_Data1(),FertiliserProducts[[#Headers],[Include or Exclude]], 0)</f>
        <v>Calcium 175</v>
      </c>
      <c r="H111" s="185" t="str" cm="1">
        <f t="array" ref="H111">Common_InputFunctions.Utility_DisplayArrayInTable(Fertiliser_SourceData.Fertiliser_Products_Data1(),FertiliserProducts[[#Headers],[Include or Exclude]], 0,4)</f>
        <v>L</v>
      </c>
      <c r="I111" s="185" t="str" cm="1">
        <f t="array" ref="I111">Common_InputFunctions.Utility_DisplayArrayInTable(Fertiliser_SourceData.Fertiliser_Products_Data1(),FertiliserProducts[[#Headers],[Include or Exclude]], 0,4)</f>
        <v/>
      </c>
      <c r="J111" s="185" t="str" cm="1">
        <f t="array" ref="J111">Common_InputFunctions.Utility_DisplayArrayInTable(Fertiliser_SourceData.Fertiliser_Products_Data1(),FertiliserProducts[[#Headers],[Include or Exclude]], 0,4)</f>
        <v/>
      </c>
      <c r="K111" s="185" t="str" cm="1">
        <f t="array" ref="K111">Common_InputFunctions.Utility_DisplayArrayInTable(Fertiliser_SourceData.Fertiliser_Products_Data1(),FertiliserProducts[[#Headers],[Include or Exclude]], 0,4)</f>
        <v/>
      </c>
      <c r="L111" s="185" t="str" cm="1">
        <f t="array" ref="L111">Common_InputFunctions.Utility_DisplayArrayInTable(Fertiliser_SourceData.Fertiliser_Products_Data1(),FertiliserProducts[[#Headers],[Include or Exclude]], 0,4)</f>
        <v/>
      </c>
      <c r="M111" s="185" t="str" cm="1">
        <f t="array" ref="M111">Common_InputFunctions.Utility_DisplayArrayInTable(Fertiliser_SourceData.Fertiliser_Products_Data1(),FertiliserProducts[[#Headers],[Include or Exclude]], 0,4)</f>
        <v/>
      </c>
      <c r="N111" s="185" t="str" cm="1">
        <f t="array" ref="N111">Common_InputFunctions.Utility_DisplayArrayInTable(Fertiliser_SourceData.Fertiliser_Products_Data1(),FertiliserProducts[[#Headers],[Include or Exclude]], 0,4)</f>
        <v/>
      </c>
      <c r="O111" s="185" t="str" cm="1">
        <f t="array" ref="O111">Common_InputFunctions.Utility_DisplayArrayInTable(Fertiliser_SourceData.Fertiliser_Products_Data1(),FertiliserProducts[[#Headers],[Include or Exclude]], 0,4)</f>
        <v/>
      </c>
      <c r="P111" s="185" t="str" cm="1">
        <f t="array" ref="P111">Common_InputFunctions.Utility_DisplayArrayInTable(Fertiliser_SourceData.Fertiliser_Products_Data1(),FertiliserProducts[[#Headers],[Include or Exclude]], 0,4)</f>
        <v/>
      </c>
      <c r="Q111" s="185" t="str" cm="1">
        <f t="array" ref="Q111">Common_InputFunctions.Utility_DisplayArrayInTable(Fertiliser_SourceData.Fertiliser_Products_Data1(),FertiliserProducts[[#Headers],[Include or Exclude]], 0,4)</f>
        <v/>
      </c>
      <c r="R111" s="185" t="str" cm="1">
        <f t="array" ref="R111">Common_InputFunctions.Utility_DisplayArrayInTable(Fertiliser_SourceData.Fertiliser_Products_Data1(),FertiliserProducts[[#Headers],[Include or Exclude]], 0,4)</f>
        <v/>
      </c>
      <c r="S111" s="185" t="str" cm="1">
        <f t="array" ref="S111">Common_InputFunctions.Utility_DisplayArrayInTable(Fertiliser_SourceData.Fertiliser_Products_Data1(),FertiliserProducts[[#Headers],[Include or Exclude]], 0,4)</f>
        <v/>
      </c>
      <c r="T111" s="185" t="str" cm="1">
        <f t="array" ref="T111">Common_InputFunctions.Utility_DisplayArrayInTable(Fertiliser_SourceData.Fertiliser_Products_Data1(),FertiliserProducts[[#Headers],[Include or Exclude]], 0,4)</f>
        <v/>
      </c>
      <c r="U111" s="185" t="str" cm="1">
        <f t="array" ref="U111">Common_InputFunctions.Utility_DisplayArrayInTable(Fertiliser_SourceData.Fertiliser_Products_Data1(),FertiliserProducts[[#Headers],[Include or Exclude]], 0,4)</f>
        <v/>
      </c>
      <c r="V111" s="185" t="str" cm="1">
        <f t="array" ref="V111">Common_InputFunctions.Utility_DisplayArrayInTable(Fertiliser_SourceData.Fertiliser_Products_Data1(),FertiliserProducts[[#Headers],[Include or Exclude]], 0,4)</f>
        <v/>
      </c>
      <c r="W111" s="185" t="str" cm="1">
        <f t="array" ref="W111">Common_InputFunctions.Utility_DisplayArrayInTable(Fertiliser_SourceData.Fertiliser_Products_Data1(),FertiliserProducts[[#Headers],[Include or Exclude]], 0,4)</f>
        <v/>
      </c>
      <c r="X111" s="185" t="str" cm="1">
        <f t="array" ref="X111">Common_InputFunctions.Utility_DisplayArrayInTable(Fertiliser_SourceData.Fertiliser_Products_Data1(),FertiliserProducts[[#Headers],[Include or Exclude]], 0,4)</f>
        <v/>
      </c>
      <c r="Y111" s="185" t="str" cm="1">
        <f t="array" ref="Y111">Common_InputFunctions.Utility_DisplayArrayInTable(Fertiliser_SourceData.Fertiliser_Products_Data1(),FertiliserProducts[[#Headers],[Include or Exclude]], 0,4)</f>
        <v/>
      </c>
      <c r="Z111" s="185" t="str" cm="1">
        <f t="array" ref="Z111">Common_InputFunctions.Utility_DisplayArrayInTable(Fertiliser_SourceData.Fertiliser_Products_Data1(),FertiliserProducts[[#Headers],[Include or Exclude]], 0,4)</f>
        <v/>
      </c>
      <c r="AA111" s="185" t="str" cm="1">
        <f t="array" ref="AA111">Common_InputFunctions.Utility_DisplayArrayInTable(Fertiliser_SourceData.Fertiliser_Products_Data1(),FertiliserProducts[[#Headers],[Include or Exclude]], 0,4)</f>
        <v/>
      </c>
      <c r="AB111" s="185" t="str" cm="1">
        <f t="array" ref="AB111">Common_InputFunctions.Utility_DisplayArrayInTable(Fertiliser_SourceData.Fertiliser_Products_Data1(),FertiliserProducts[[#Headers],[Include or Exclude]], 0,4)</f>
        <v/>
      </c>
      <c r="AC111" s="185" t="str" cm="1">
        <f t="array" ref="AC111">Common_InputFunctions.Utility_DisplayArrayInTable(Fertiliser_SourceData.Fertiliser_Products_Data1(),FertiliserProducts[[#Headers],[Include or Exclude]], 0,4)</f>
        <v/>
      </c>
      <c r="AD111" s="185" t="str" cm="1">
        <f t="array" ref="AD111">Common_InputFunctions.Utility_DisplayArrayInTable(Fertiliser_SourceData.Fertiliser_Products_Data1(),FertiliserProducts[[#Headers],[Include or Exclude]], 0,4)</f>
        <v/>
      </c>
      <c r="AE111" s="185" t="str" cm="1">
        <f t="array" ref="AE111">Common_InputFunctions.Utility_DisplayArrayInTable(Fertiliser_SourceData.Fertiliser_Products_Data1(),FertiliserProducts[[#Headers],[Include or Exclude]], 0,4)</f>
        <v/>
      </c>
    </row>
    <row r="112" spans="4:31" ht="20.100000000000001" customHeight="1" x14ac:dyDescent="0.25">
      <c r="D112" s="185" t="str" cm="1">
        <f t="array" ref="D112">Common_InputFunctions.Utility_DisplayArrayInTable(Fertiliser_SourceData.Fertiliser_Products_Data1(),FertiliserProducts[[#Headers],[Include or Exclude]], -1)</f>
        <v/>
      </c>
      <c r="E112" s="185" t="str" cm="1">
        <f t="array" ref="E112">Common_InputFunctions.Utility_DisplayArrayInTable(Fertiliser_SourceData.Fertiliser_Products_Data1(),FertiliserProducts[[#Headers],[Include or Exclude]], 0)</f>
        <v>Use Lime EF for calcium</v>
      </c>
      <c r="F112" s="185" t="str" cm="1">
        <f t="array" ref="F112">Common_InputFunctions.Utility_DisplayArrayInTable(Fertiliser_SourceData.Fertiliser_Products_Data1(),FertiliserProducts[[#Headers],[Include or Exclude]], 0)</f>
        <v>Campbells fertilisers Australia</v>
      </c>
      <c r="G112" s="185" t="str" cm="1">
        <f t="array" ref="G112">Common_InputFunctions.Utility_DisplayArrayInTable(Fertiliser_SourceData.Fertiliser_Products_Data1(),FertiliserProducts[[#Headers],[Include or Exclude]], 0)</f>
        <v>CalPhos</v>
      </c>
      <c r="H112" s="185" t="str" cm="1">
        <f t="array" ref="H112">Common_InputFunctions.Utility_DisplayArrayInTable(Fertiliser_SourceData.Fertiliser_Products_Data1(),FertiliserProducts[[#Headers],[Include or Exclude]], 0,4)</f>
        <v>L</v>
      </c>
      <c r="I112" s="185" cm="1">
        <f t="array" ref="I112">Common_InputFunctions.Utility_DisplayArrayInTable(Fertiliser_SourceData.Fertiliser_Products_Data1(),FertiliserProducts[[#Headers],[Include or Exclude]], 0,4)</f>
        <v>1.2849999999999999</v>
      </c>
      <c r="J112" s="185" t="str" cm="1">
        <f t="array" ref="J112">Common_InputFunctions.Utility_DisplayArrayInTable(Fertiliser_SourceData.Fertiliser_Products_Data1(),FertiliserProducts[[#Headers],[Include or Exclude]], 0,4)</f>
        <v/>
      </c>
      <c r="K112" s="185" t="str" cm="1">
        <f t="array" ref="K112">Common_InputFunctions.Utility_DisplayArrayInTable(Fertiliser_SourceData.Fertiliser_Products_Data1(),FertiliserProducts[[#Headers],[Include or Exclude]], 0,4)</f>
        <v/>
      </c>
      <c r="L112" s="185" t="str" cm="1">
        <f t="array" ref="L112">Common_InputFunctions.Utility_DisplayArrayInTable(Fertiliser_SourceData.Fertiliser_Products_Data1(),FertiliserProducts[[#Headers],[Include or Exclude]], 0,4)</f>
        <v>Phosphorus - Generic</v>
      </c>
      <c r="M112" s="185" cm="1">
        <f t="array" ref="M112">Common_InputFunctions.Utility_DisplayArrayInTable(Fertiliser_SourceData.Fertiliser_Products_Data1(),FertiliserProducts[[#Headers],[Include or Exclude]], 0,4)</f>
        <v>0.13500000000000001</v>
      </c>
      <c r="N112" s="185" t="str" cm="1">
        <f t="array" ref="N112">Common_InputFunctions.Utility_DisplayArrayInTable(Fertiliser_SourceData.Fertiliser_Products_Data1(),FertiliserProducts[[#Headers],[Include or Exclude]], 0,4)</f>
        <v>Calcium - Generic</v>
      </c>
      <c r="O112" s="185" cm="1">
        <f t="array" ref="O112">Common_InputFunctions.Utility_DisplayArrayInTable(Fertiliser_SourceData.Fertiliser_Products_Data1(),FertiliserProducts[[#Headers],[Include or Exclude]], 0,4)</f>
        <v>0.04</v>
      </c>
      <c r="P112" s="185" t="str" cm="1">
        <f t="array" ref="P112">Common_InputFunctions.Utility_DisplayArrayInTable(Fertiliser_SourceData.Fertiliser_Products_Data1(),FertiliserProducts[[#Headers],[Include or Exclude]], 0,4)</f>
        <v/>
      </c>
      <c r="Q112" s="185" t="str" cm="1">
        <f t="array" ref="Q112">Common_InputFunctions.Utility_DisplayArrayInTable(Fertiliser_SourceData.Fertiliser_Products_Data1(),FertiliserProducts[[#Headers],[Include or Exclude]], 0,4)</f>
        <v/>
      </c>
      <c r="R112" s="185" t="str" cm="1">
        <f t="array" ref="R112">Common_InputFunctions.Utility_DisplayArrayInTable(Fertiliser_SourceData.Fertiliser_Products_Data1(),FertiliserProducts[[#Headers],[Include or Exclude]], 0,4)</f>
        <v/>
      </c>
      <c r="S112" s="185" t="str" cm="1">
        <f t="array" ref="S112">Common_InputFunctions.Utility_DisplayArrayInTable(Fertiliser_SourceData.Fertiliser_Products_Data1(),FertiliserProducts[[#Headers],[Include or Exclude]], 0,4)</f>
        <v/>
      </c>
      <c r="T112" s="185" t="str" cm="1">
        <f t="array" ref="T112">Common_InputFunctions.Utility_DisplayArrayInTable(Fertiliser_SourceData.Fertiliser_Products_Data1(),FertiliserProducts[[#Headers],[Include or Exclude]], 0,4)</f>
        <v/>
      </c>
      <c r="U112" s="185" t="str" cm="1">
        <f t="array" ref="U112">Common_InputFunctions.Utility_DisplayArrayInTable(Fertiliser_SourceData.Fertiliser_Products_Data1(),FertiliserProducts[[#Headers],[Include or Exclude]], 0,4)</f>
        <v/>
      </c>
      <c r="V112" s="185" t="str" cm="1">
        <f t="array" ref="V112">Common_InputFunctions.Utility_DisplayArrayInTable(Fertiliser_SourceData.Fertiliser_Products_Data1(),FertiliserProducts[[#Headers],[Include or Exclude]], 0,4)</f>
        <v/>
      </c>
      <c r="W112" s="185" t="str" cm="1">
        <f t="array" ref="W112">Common_InputFunctions.Utility_DisplayArrayInTable(Fertiliser_SourceData.Fertiliser_Products_Data1(),FertiliserProducts[[#Headers],[Include or Exclude]], 0,4)</f>
        <v/>
      </c>
      <c r="X112" s="185" t="str" cm="1">
        <f t="array" ref="X112">Common_InputFunctions.Utility_DisplayArrayInTable(Fertiliser_SourceData.Fertiliser_Products_Data1(),FertiliserProducts[[#Headers],[Include or Exclude]], 0,4)</f>
        <v/>
      </c>
      <c r="Y112" s="185" t="str" cm="1">
        <f t="array" ref="Y112">Common_InputFunctions.Utility_DisplayArrayInTable(Fertiliser_SourceData.Fertiliser_Products_Data1(),FertiliserProducts[[#Headers],[Include or Exclude]], 0,4)</f>
        <v/>
      </c>
      <c r="Z112" s="185" t="str" cm="1">
        <f t="array" ref="Z112">Common_InputFunctions.Utility_DisplayArrayInTable(Fertiliser_SourceData.Fertiliser_Products_Data1(),FertiliserProducts[[#Headers],[Include or Exclude]], 0,4)</f>
        <v/>
      </c>
      <c r="AA112" s="185" t="str" cm="1">
        <f t="array" ref="AA112">Common_InputFunctions.Utility_DisplayArrayInTable(Fertiliser_SourceData.Fertiliser_Products_Data1(),FertiliserProducts[[#Headers],[Include or Exclude]], 0,4)</f>
        <v/>
      </c>
      <c r="AB112" s="185" t="str" cm="1">
        <f t="array" ref="AB112">Common_InputFunctions.Utility_DisplayArrayInTable(Fertiliser_SourceData.Fertiliser_Products_Data1(),FertiliserProducts[[#Headers],[Include or Exclude]], 0,4)</f>
        <v/>
      </c>
      <c r="AC112" s="185" t="str" cm="1">
        <f t="array" ref="AC112">Common_InputFunctions.Utility_DisplayArrayInTable(Fertiliser_SourceData.Fertiliser_Products_Data1(),FertiliserProducts[[#Headers],[Include or Exclude]], 0,4)</f>
        <v/>
      </c>
      <c r="AD112" s="185" t="str" cm="1">
        <f t="array" ref="AD112">Common_InputFunctions.Utility_DisplayArrayInTable(Fertiliser_SourceData.Fertiliser_Products_Data1(),FertiliserProducts[[#Headers],[Include or Exclude]], 0,4)</f>
        <v/>
      </c>
      <c r="AE112" s="185" t="str" cm="1">
        <f t="array" ref="AE112">Common_InputFunctions.Utility_DisplayArrayInTable(Fertiliser_SourceData.Fertiliser_Products_Data1(),FertiliserProducts[[#Headers],[Include or Exclude]], 0,4)</f>
        <v/>
      </c>
    </row>
    <row r="113" spans="4:31" ht="20.100000000000001" customHeight="1" x14ac:dyDescent="0.25">
      <c r="D113" s="185" t="str" cm="1">
        <f t="array" ref="D113">Common_InputFunctions.Utility_DisplayArrayInTable(Fertiliser_SourceData.Fertiliser_Products_Data1(),FertiliserProducts[[#Headers],[Include or Exclude]], -1)</f>
        <v/>
      </c>
      <c r="E113" s="185" t="str" cm="1">
        <f t="array" ref="E113">Common_InputFunctions.Utility_DisplayArrayInTable(Fertiliser_SourceData.Fertiliser_Products_Data1(),FertiliserProducts[[#Headers],[Include or Exclude]], 0)</f>
        <v/>
      </c>
      <c r="F113" s="185" t="str" cm="1">
        <f t="array" ref="F113">Common_InputFunctions.Utility_DisplayArrayInTable(Fertiliser_SourceData.Fertiliser_Products_Data1(),FertiliserProducts[[#Headers],[Include or Exclude]], 0)</f>
        <v/>
      </c>
      <c r="G113" s="185" t="str" cm="1">
        <f t="array" ref="G113">Common_InputFunctions.Utility_DisplayArrayInTable(Fertiliser_SourceData.Fertiliser_Products_Data1(),FertiliserProducts[[#Headers],[Include or Exclude]], 0)</f>
        <v/>
      </c>
      <c r="H113" s="185" t="str" cm="1">
        <f t="array" ref="H113">Common_InputFunctions.Utility_DisplayArrayInTable(Fertiliser_SourceData.Fertiliser_Products_Data1(),FertiliserProducts[[#Headers],[Include or Exclude]], 0,4)</f>
        <v/>
      </c>
      <c r="I113" s="185" t="str" cm="1">
        <f t="array" ref="I113">Common_InputFunctions.Utility_DisplayArrayInTable(Fertiliser_SourceData.Fertiliser_Products_Data1(),FertiliserProducts[[#Headers],[Include or Exclude]], 0,4)</f>
        <v/>
      </c>
      <c r="J113" s="185" t="str" cm="1">
        <f t="array" ref="J113">Common_InputFunctions.Utility_DisplayArrayInTable(Fertiliser_SourceData.Fertiliser_Products_Data1(),FertiliserProducts[[#Headers],[Include or Exclude]], 0,4)</f>
        <v/>
      </c>
      <c r="K113" s="185" t="str" cm="1">
        <f t="array" ref="K113">Common_InputFunctions.Utility_DisplayArrayInTable(Fertiliser_SourceData.Fertiliser_Products_Data1(),FertiliserProducts[[#Headers],[Include or Exclude]], 0,4)</f>
        <v/>
      </c>
      <c r="L113" s="185" t="str" cm="1">
        <f t="array" ref="L113">Common_InputFunctions.Utility_DisplayArrayInTable(Fertiliser_SourceData.Fertiliser_Products_Data1(),FertiliserProducts[[#Headers],[Include or Exclude]], 0,4)</f>
        <v/>
      </c>
      <c r="M113" s="185" t="str" cm="1">
        <f t="array" ref="M113">Common_InputFunctions.Utility_DisplayArrayInTable(Fertiliser_SourceData.Fertiliser_Products_Data1(),FertiliserProducts[[#Headers],[Include or Exclude]], 0,4)</f>
        <v/>
      </c>
      <c r="N113" s="185" t="str" cm="1">
        <f t="array" ref="N113">Common_InputFunctions.Utility_DisplayArrayInTable(Fertiliser_SourceData.Fertiliser_Products_Data1(),FertiliserProducts[[#Headers],[Include or Exclude]], 0,4)</f>
        <v/>
      </c>
      <c r="O113" s="185" t="str" cm="1">
        <f t="array" ref="O113">Common_InputFunctions.Utility_DisplayArrayInTable(Fertiliser_SourceData.Fertiliser_Products_Data1(),FertiliserProducts[[#Headers],[Include or Exclude]], 0,4)</f>
        <v/>
      </c>
      <c r="P113" s="185" t="str" cm="1">
        <f t="array" ref="P113">Common_InputFunctions.Utility_DisplayArrayInTable(Fertiliser_SourceData.Fertiliser_Products_Data1(),FertiliserProducts[[#Headers],[Include or Exclude]], 0,4)</f>
        <v/>
      </c>
      <c r="Q113" s="185" t="str" cm="1">
        <f t="array" ref="Q113">Common_InputFunctions.Utility_DisplayArrayInTable(Fertiliser_SourceData.Fertiliser_Products_Data1(),FertiliserProducts[[#Headers],[Include or Exclude]], 0,4)</f>
        <v/>
      </c>
      <c r="R113" s="185" t="str" cm="1">
        <f t="array" ref="R113">Common_InputFunctions.Utility_DisplayArrayInTable(Fertiliser_SourceData.Fertiliser_Products_Data1(),FertiliserProducts[[#Headers],[Include or Exclude]], 0,4)</f>
        <v/>
      </c>
      <c r="S113" s="185" t="str" cm="1">
        <f t="array" ref="S113">Common_InputFunctions.Utility_DisplayArrayInTable(Fertiliser_SourceData.Fertiliser_Products_Data1(),FertiliserProducts[[#Headers],[Include or Exclude]], 0,4)</f>
        <v/>
      </c>
      <c r="T113" s="185" t="str" cm="1">
        <f t="array" ref="T113">Common_InputFunctions.Utility_DisplayArrayInTable(Fertiliser_SourceData.Fertiliser_Products_Data1(),FertiliserProducts[[#Headers],[Include or Exclude]], 0,4)</f>
        <v/>
      </c>
      <c r="U113" s="185" t="str" cm="1">
        <f t="array" ref="U113">Common_InputFunctions.Utility_DisplayArrayInTable(Fertiliser_SourceData.Fertiliser_Products_Data1(),FertiliserProducts[[#Headers],[Include or Exclude]], 0,4)</f>
        <v/>
      </c>
      <c r="V113" s="185" t="str" cm="1">
        <f t="array" ref="V113">Common_InputFunctions.Utility_DisplayArrayInTable(Fertiliser_SourceData.Fertiliser_Products_Data1(),FertiliserProducts[[#Headers],[Include or Exclude]], 0,4)</f>
        <v/>
      </c>
      <c r="W113" s="185" t="str" cm="1">
        <f t="array" ref="W113">Common_InputFunctions.Utility_DisplayArrayInTable(Fertiliser_SourceData.Fertiliser_Products_Data1(),FertiliserProducts[[#Headers],[Include or Exclude]], 0,4)</f>
        <v/>
      </c>
      <c r="X113" s="185" t="str" cm="1">
        <f t="array" ref="X113">Common_InputFunctions.Utility_DisplayArrayInTable(Fertiliser_SourceData.Fertiliser_Products_Data1(),FertiliserProducts[[#Headers],[Include or Exclude]], 0,4)</f>
        <v/>
      </c>
      <c r="Y113" s="185" t="str" cm="1">
        <f t="array" ref="Y113">Common_InputFunctions.Utility_DisplayArrayInTable(Fertiliser_SourceData.Fertiliser_Products_Data1(),FertiliserProducts[[#Headers],[Include or Exclude]], 0,4)</f>
        <v/>
      </c>
      <c r="Z113" s="185" t="str" cm="1">
        <f t="array" ref="Z113">Common_InputFunctions.Utility_DisplayArrayInTable(Fertiliser_SourceData.Fertiliser_Products_Data1(),FertiliserProducts[[#Headers],[Include or Exclude]], 0,4)</f>
        <v/>
      </c>
      <c r="AA113" s="185" t="str" cm="1">
        <f t="array" ref="AA113">Common_InputFunctions.Utility_DisplayArrayInTable(Fertiliser_SourceData.Fertiliser_Products_Data1(),FertiliserProducts[[#Headers],[Include or Exclude]], 0,4)</f>
        <v/>
      </c>
      <c r="AB113" s="185" t="str" cm="1">
        <f t="array" ref="AB113">Common_InputFunctions.Utility_DisplayArrayInTable(Fertiliser_SourceData.Fertiliser_Products_Data1(),FertiliserProducts[[#Headers],[Include or Exclude]], 0,4)</f>
        <v/>
      </c>
      <c r="AC113" s="185" t="str" cm="1">
        <f t="array" ref="AC113">Common_InputFunctions.Utility_DisplayArrayInTable(Fertiliser_SourceData.Fertiliser_Products_Data1(),FertiliserProducts[[#Headers],[Include or Exclude]], 0,4)</f>
        <v/>
      </c>
      <c r="AD113" s="185" t="str" cm="1">
        <f t="array" ref="AD113">Common_InputFunctions.Utility_DisplayArrayInTable(Fertiliser_SourceData.Fertiliser_Products_Data1(),FertiliserProducts[[#Headers],[Include or Exclude]], 0,4)</f>
        <v/>
      </c>
      <c r="AE113" s="185" t="str" cm="1">
        <f t="array" ref="AE113">Common_InputFunctions.Utility_DisplayArrayInTable(Fertiliser_SourceData.Fertiliser_Products_Data1(),FertiliserProducts[[#Headers],[Include or Exclude]], 0,4)</f>
        <v/>
      </c>
    </row>
    <row r="114" spans="4:31" ht="20.100000000000001" customHeight="1" x14ac:dyDescent="0.25">
      <c r="D114" s="185" t="str" cm="1">
        <f t="array" ref="D114">Common_InputFunctions.Utility_DisplayArrayInTable(Fertiliser_SourceData.Fertiliser_Products_Data1(),FertiliserProducts[[#Headers],[Include or Exclude]], -1)</f>
        <v/>
      </c>
      <c r="E114" s="185" t="str" cm="1">
        <f t="array" ref="E114">Common_InputFunctions.Utility_DisplayArrayInTable(Fertiliser_SourceData.Fertiliser_Products_Data1(),FertiliserProducts[[#Headers],[Include or Exclude]], 0)</f>
        <v/>
      </c>
      <c r="F114" s="185" t="str" cm="1">
        <f t="array" ref="F114">Common_InputFunctions.Utility_DisplayArrayInTable(Fertiliser_SourceData.Fertiliser_Products_Data1(),FertiliserProducts[[#Headers],[Include or Exclude]], 0)</f>
        <v/>
      </c>
      <c r="G114" s="185" t="str" cm="1">
        <f t="array" ref="G114">Common_InputFunctions.Utility_DisplayArrayInTable(Fertiliser_SourceData.Fertiliser_Products_Data1(),FertiliserProducts[[#Headers],[Include or Exclude]], 0)</f>
        <v/>
      </c>
      <c r="H114" s="185" t="str" cm="1">
        <f t="array" ref="H114">Common_InputFunctions.Utility_DisplayArrayInTable(Fertiliser_SourceData.Fertiliser_Products_Data1(),FertiliserProducts[[#Headers],[Include or Exclude]], 0,4)</f>
        <v/>
      </c>
      <c r="I114" s="185" t="str" cm="1">
        <f t="array" ref="I114">Common_InputFunctions.Utility_DisplayArrayInTable(Fertiliser_SourceData.Fertiliser_Products_Data1(),FertiliserProducts[[#Headers],[Include or Exclude]], 0,4)</f>
        <v/>
      </c>
      <c r="J114" s="185" t="str" cm="1">
        <f t="array" ref="J114">Common_InputFunctions.Utility_DisplayArrayInTable(Fertiliser_SourceData.Fertiliser_Products_Data1(),FertiliserProducts[[#Headers],[Include or Exclude]], 0,4)</f>
        <v/>
      </c>
      <c r="K114" s="185" t="str" cm="1">
        <f t="array" ref="K114">Common_InputFunctions.Utility_DisplayArrayInTable(Fertiliser_SourceData.Fertiliser_Products_Data1(),FertiliserProducts[[#Headers],[Include or Exclude]], 0,4)</f>
        <v/>
      </c>
      <c r="L114" s="185" t="str" cm="1">
        <f t="array" ref="L114">Common_InputFunctions.Utility_DisplayArrayInTable(Fertiliser_SourceData.Fertiliser_Products_Data1(),FertiliserProducts[[#Headers],[Include or Exclude]], 0,4)</f>
        <v/>
      </c>
      <c r="M114" s="185" t="str" cm="1">
        <f t="array" ref="M114">Common_InputFunctions.Utility_DisplayArrayInTable(Fertiliser_SourceData.Fertiliser_Products_Data1(),FertiliserProducts[[#Headers],[Include or Exclude]], 0,4)</f>
        <v/>
      </c>
      <c r="N114" s="185" t="str" cm="1">
        <f t="array" ref="N114">Common_InputFunctions.Utility_DisplayArrayInTable(Fertiliser_SourceData.Fertiliser_Products_Data1(),FertiliserProducts[[#Headers],[Include or Exclude]], 0,4)</f>
        <v/>
      </c>
      <c r="O114" s="185" t="str" cm="1">
        <f t="array" ref="O114">Common_InputFunctions.Utility_DisplayArrayInTable(Fertiliser_SourceData.Fertiliser_Products_Data1(),FertiliserProducts[[#Headers],[Include or Exclude]], 0,4)</f>
        <v/>
      </c>
      <c r="P114" s="185" t="str" cm="1">
        <f t="array" ref="P114">Common_InputFunctions.Utility_DisplayArrayInTable(Fertiliser_SourceData.Fertiliser_Products_Data1(),FertiliserProducts[[#Headers],[Include or Exclude]], 0,4)</f>
        <v/>
      </c>
      <c r="Q114" s="185" t="str" cm="1">
        <f t="array" ref="Q114">Common_InputFunctions.Utility_DisplayArrayInTable(Fertiliser_SourceData.Fertiliser_Products_Data1(),FertiliserProducts[[#Headers],[Include or Exclude]], 0,4)</f>
        <v/>
      </c>
      <c r="R114" s="185" t="str" cm="1">
        <f t="array" ref="R114">Common_InputFunctions.Utility_DisplayArrayInTable(Fertiliser_SourceData.Fertiliser_Products_Data1(),FertiliserProducts[[#Headers],[Include or Exclude]], 0,4)</f>
        <v/>
      </c>
      <c r="S114" s="185" t="str" cm="1">
        <f t="array" ref="S114">Common_InputFunctions.Utility_DisplayArrayInTable(Fertiliser_SourceData.Fertiliser_Products_Data1(),FertiliserProducts[[#Headers],[Include or Exclude]], 0,4)</f>
        <v/>
      </c>
      <c r="T114" s="185" t="str" cm="1">
        <f t="array" ref="T114">Common_InputFunctions.Utility_DisplayArrayInTable(Fertiliser_SourceData.Fertiliser_Products_Data1(),FertiliserProducts[[#Headers],[Include or Exclude]], 0,4)</f>
        <v/>
      </c>
      <c r="U114" s="185" t="str" cm="1">
        <f t="array" ref="U114">Common_InputFunctions.Utility_DisplayArrayInTable(Fertiliser_SourceData.Fertiliser_Products_Data1(),FertiliserProducts[[#Headers],[Include or Exclude]], 0,4)</f>
        <v/>
      </c>
      <c r="V114" s="185" t="str" cm="1">
        <f t="array" ref="V114">Common_InputFunctions.Utility_DisplayArrayInTable(Fertiliser_SourceData.Fertiliser_Products_Data1(),FertiliserProducts[[#Headers],[Include or Exclude]], 0,4)</f>
        <v/>
      </c>
      <c r="W114" s="185" t="str" cm="1">
        <f t="array" ref="W114">Common_InputFunctions.Utility_DisplayArrayInTable(Fertiliser_SourceData.Fertiliser_Products_Data1(),FertiliserProducts[[#Headers],[Include or Exclude]], 0,4)</f>
        <v/>
      </c>
      <c r="X114" s="185" t="str" cm="1">
        <f t="array" ref="X114">Common_InputFunctions.Utility_DisplayArrayInTable(Fertiliser_SourceData.Fertiliser_Products_Data1(),FertiliserProducts[[#Headers],[Include or Exclude]], 0,4)</f>
        <v/>
      </c>
      <c r="Y114" s="185" t="str" cm="1">
        <f t="array" ref="Y114">Common_InputFunctions.Utility_DisplayArrayInTable(Fertiliser_SourceData.Fertiliser_Products_Data1(),FertiliserProducts[[#Headers],[Include or Exclude]], 0,4)</f>
        <v/>
      </c>
      <c r="Z114" s="185" t="str" cm="1">
        <f t="array" ref="Z114">Common_InputFunctions.Utility_DisplayArrayInTable(Fertiliser_SourceData.Fertiliser_Products_Data1(),FertiliserProducts[[#Headers],[Include or Exclude]], 0,4)</f>
        <v/>
      </c>
      <c r="AA114" s="185" t="str" cm="1">
        <f t="array" ref="AA114">Common_InputFunctions.Utility_DisplayArrayInTable(Fertiliser_SourceData.Fertiliser_Products_Data1(),FertiliserProducts[[#Headers],[Include or Exclude]], 0,4)</f>
        <v/>
      </c>
      <c r="AB114" s="185" t="str" cm="1">
        <f t="array" ref="AB114">Common_InputFunctions.Utility_DisplayArrayInTable(Fertiliser_SourceData.Fertiliser_Products_Data1(),FertiliserProducts[[#Headers],[Include or Exclude]], 0,4)</f>
        <v/>
      </c>
      <c r="AC114" s="185" t="str" cm="1">
        <f t="array" ref="AC114">Common_InputFunctions.Utility_DisplayArrayInTable(Fertiliser_SourceData.Fertiliser_Products_Data1(),FertiliserProducts[[#Headers],[Include or Exclude]], 0,4)</f>
        <v/>
      </c>
      <c r="AD114" s="185" t="str" cm="1">
        <f t="array" ref="AD114">Common_InputFunctions.Utility_DisplayArrayInTable(Fertiliser_SourceData.Fertiliser_Products_Data1(),FertiliserProducts[[#Headers],[Include or Exclude]], 0,4)</f>
        <v/>
      </c>
      <c r="AE114" s="185" t="str" cm="1">
        <f t="array" ref="AE114">Common_InputFunctions.Utility_DisplayArrayInTable(Fertiliser_SourceData.Fertiliser_Products_Data1(),FertiliserProducts[[#Headers],[Include or Exclude]], 0,4)</f>
        <v/>
      </c>
    </row>
    <row r="115" spans="4:31" ht="20.100000000000001" customHeight="1" x14ac:dyDescent="0.25">
      <c r="D115" s="185" t="str" cm="1">
        <f t="array" ref="D115">Common_InputFunctions.Utility_DisplayArrayInTable(Fertiliser_SourceData.Fertiliser_Products_Data1(),FertiliserProducts[[#Headers],[Include or Exclude]], -1)</f>
        <v/>
      </c>
      <c r="E115" s="185" t="str" cm="1">
        <f t="array" ref="E115">Common_InputFunctions.Utility_DisplayArrayInTable(Fertiliser_SourceData.Fertiliser_Products_Data1(),FertiliserProducts[[#Headers],[Include or Exclude]], 0)</f>
        <v/>
      </c>
      <c r="F115" s="185" t="str" cm="1">
        <f t="array" ref="F115">Common_InputFunctions.Utility_DisplayArrayInTable(Fertiliser_SourceData.Fertiliser_Products_Data1(),FertiliserProducts[[#Headers],[Include or Exclude]], 0)</f>
        <v/>
      </c>
      <c r="G115" s="185" t="str" cm="1">
        <f t="array" ref="G115">Common_InputFunctions.Utility_DisplayArrayInTable(Fertiliser_SourceData.Fertiliser_Products_Data1(),FertiliserProducts[[#Headers],[Include or Exclude]], 0)</f>
        <v/>
      </c>
      <c r="H115" s="185" t="str" cm="1">
        <f t="array" ref="H115">Common_InputFunctions.Utility_DisplayArrayInTable(Fertiliser_SourceData.Fertiliser_Products_Data1(),FertiliserProducts[[#Headers],[Include or Exclude]], 0,4)</f>
        <v/>
      </c>
      <c r="I115" s="185" t="str" cm="1">
        <f t="array" ref="I115">Common_InputFunctions.Utility_DisplayArrayInTable(Fertiliser_SourceData.Fertiliser_Products_Data1(),FertiliserProducts[[#Headers],[Include or Exclude]], 0,4)</f>
        <v/>
      </c>
      <c r="J115" s="185" t="str" cm="1">
        <f t="array" ref="J115">Common_InputFunctions.Utility_DisplayArrayInTable(Fertiliser_SourceData.Fertiliser_Products_Data1(),FertiliserProducts[[#Headers],[Include or Exclude]], 0,4)</f>
        <v/>
      </c>
      <c r="K115" s="185" t="str" cm="1">
        <f t="array" ref="K115">Common_InputFunctions.Utility_DisplayArrayInTable(Fertiliser_SourceData.Fertiliser_Products_Data1(),FertiliserProducts[[#Headers],[Include or Exclude]], 0,4)</f>
        <v/>
      </c>
      <c r="L115" s="185" t="str" cm="1">
        <f t="array" ref="L115">Common_InputFunctions.Utility_DisplayArrayInTable(Fertiliser_SourceData.Fertiliser_Products_Data1(),FertiliserProducts[[#Headers],[Include or Exclude]], 0,4)</f>
        <v/>
      </c>
      <c r="M115" s="185" t="str" cm="1">
        <f t="array" ref="M115">Common_InputFunctions.Utility_DisplayArrayInTable(Fertiliser_SourceData.Fertiliser_Products_Data1(),FertiliserProducts[[#Headers],[Include or Exclude]], 0,4)</f>
        <v/>
      </c>
      <c r="N115" s="185" t="str" cm="1">
        <f t="array" ref="N115">Common_InputFunctions.Utility_DisplayArrayInTable(Fertiliser_SourceData.Fertiliser_Products_Data1(),FertiliserProducts[[#Headers],[Include or Exclude]], 0,4)</f>
        <v/>
      </c>
      <c r="O115" s="185" t="str" cm="1">
        <f t="array" ref="O115">Common_InputFunctions.Utility_DisplayArrayInTable(Fertiliser_SourceData.Fertiliser_Products_Data1(),FertiliserProducts[[#Headers],[Include or Exclude]], 0,4)</f>
        <v/>
      </c>
      <c r="P115" s="185" t="str" cm="1">
        <f t="array" ref="P115">Common_InputFunctions.Utility_DisplayArrayInTable(Fertiliser_SourceData.Fertiliser_Products_Data1(),FertiliserProducts[[#Headers],[Include or Exclude]], 0,4)</f>
        <v/>
      </c>
      <c r="Q115" s="185" t="str" cm="1">
        <f t="array" ref="Q115">Common_InputFunctions.Utility_DisplayArrayInTable(Fertiliser_SourceData.Fertiliser_Products_Data1(),FertiliserProducts[[#Headers],[Include or Exclude]], 0,4)</f>
        <v/>
      </c>
      <c r="R115" s="185" t="str" cm="1">
        <f t="array" ref="R115">Common_InputFunctions.Utility_DisplayArrayInTable(Fertiliser_SourceData.Fertiliser_Products_Data1(),FertiliserProducts[[#Headers],[Include or Exclude]], 0,4)</f>
        <v/>
      </c>
      <c r="S115" s="185" t="str" cm="1">
        <f t="array" ref="S115">Common_InputFunctions.Utility_DisplayArrayInTable(Fertiliser_SourceData.Fertiliser_Products_Data1(),FertiliserProducts[[#Headers],[Include or Exclude]], 0,4)</f>
        <v/>
      </c>
      <c r="T115" s="185" t="str" cm="1">
        <f t="array" ref="T115">Common_InputFunctions.Utility_DisplayArrayInTable(Fertiliser_SourceData.Fertiliser_Products_Data1(),FertiliserProducts[[#Headers],[Include or Exclude]], 0,4)</f>
        <v/>
      </c>
      <c r="U115" s="185" t="str" cm="1">
        <f t="array" ref="U115">Common_InputFunctions.Utility_DisplayArrayInTable(Fertiliser_SourceData.Fertiliser_Products_Data1(),FertiliserProducts[[#Headers],[Include or Exclude]], 0,4)</f>
        <v/>
      </c>
      <c r="V115" s="185" t="str" cm="1">
        <f t="array" ref="V115">Common_InputFunctions.Utility_DisplayArrayInTable(Fertiliser_SourceData.Fertiliser_Products_Data1(),FertiliserProducts[[#Headers],[Include or Exclude]], 0,4)</f>
        <v/>
      </c>
      <c r="W115" s="185" t="str" cm="1">
        <f t="array" ref="W115">Common_InputFunctions.Utility_DisplayArrayInTable(Fertiliser_SourceData.Fertiliser_Products_Data1(),FertiliserProducts[[#Headers],[Include or Exclude]], 0,4)</f>
        <v/>
      </c>
      <c r="X115" s="185" t="str" cm="1">
        <f t="array" ref="X115">Common_InputFunctions.Utility_DisplayArrayInTable(Fertiliser_SourceData.Fertiliser_Products_Data1(),FertiliserProducts[[#Headers],[Include or Exclude]], 0,4)</f>
        <v/>
      </c>
      <c r="Y115" s="185" t="str" cm="1">
        <f t="array" ref="Y115">Common_InputFunctions.Utility_DisplayArrayInTable(Fertiliser_SourceData.Fertiliser_Products_Data1(),FertiliserProducts[[#Headers],[Include or Exclude]], 0,4)</f>
        <v/>
      </c>
      <c r="Z115" s="185" t="str" cm="1">
        <f t="array" ref="Z115">Common_InputFunctions.Utility_DisplayArrayInTable(Fertiliser_SourceData.Fertiliser_Products_Data1(),FertiliserProducts[[#Headers],[Include or Exclude]], 0,4)</f>
        <v/>
      </c>
      <c r="AA115" s="185" t="str" cm="1">
        <f t="array" ref="AA115">Common_InputFunctions.Utility_DisplayArrayInTable(Fertiliser_SourceData.Fertiliser_Products_Data1(),FertiliserProducts[[#Headers],[Include or Exclude]], 0,4)</f>
        <v/>
      </c>
      <c r="AB115" s="185" t="str" cm="1">
        <f t="array" ref="AB115">Common_InputFunctions.Utility_DisplayArrayInTable(Fertiliser_SourceData.Fertiliser_Products_Data1(),FertiliserProducts[[#Headers],[Include or Exclude]], 0,4)</f>
        <v/>
      </c>
      <c r="AC115" s="185" t="str" cm="1">
        <f t="array" ref="AC115">Common_InputFunctions.Utility_DisplayArrayInTable(Fertiliser_SourceData.Fertiliser_Products_Data1(),FertiliserProducts[[#Headers],[Include or Exclude]], 0,4)</f>
        <v/>
      </c>
      <c r="AD115" s="185" t="str" cm="1">
        <f t="array" ref="AD115">Common_InputFunctions.Utility_DisplayArrayInTable(Fertiliser_SourceData.Fertiliser_Products_Data1(),FertiliserProducts[[#Headers],[Include or Exclude]], 0,4)</f>
        <v/>
      </c>
      <c r="AE115" s="185" t="str" cm="1">
        <f t="array" ref="AE115">Common_InputFunctions.Utility_DisplayArrayInTable(Fertiliser_SourceData.Fertiliser_Products_Data1(),FertiliserProducts[[#Headers],[Include or Exclude]], 0,4)</f>
        <v/>
      </c>
    </row>
    <row r="116" spans="4:31" ht="20.100000000000001" customHeight="1" x14ac:dyDescent="0.25">
      <c r="D116" s="185" t="str" cm="1">
        <f t="array" ref="D116">Common_InputFunctions.Utility_DisplayArrayInTable(Fertiliser_SourceData.Fertiliser_Products_Data1(),FertiliserProducts[[#Headers],[Include or Exclude]], -1)</f>
        <v/>
      </c>
      <c r="E116" s="185" t="str" cm="1">
        <f t="array" ref="E116">Common_InputFunctions.Utility_DisplayArrayInTable(Fertiliser_SourceData.Fertiliser_Products_Data1(),FertiliserProducts[[#Headers],[Include or Exclude]], 0)</f>
        <v/>
      </c>
      <c r="F116" s="185" t="str" cm="1">
        <f t="array" ref="F116">Common_InputFunctions.Utility_DisplayArrayInTable(Fertiliser_SourceData.Fertiliser_Products_Data1(),FertiliserProducts[[#Headers],[Include or Exclude]], 0)</f>
        <v/>
      </c>
      <c r="G116" s="185" t="str" cm="1">
        <f t="array" ref="G116">Common_InputFunctions.Utility_DisplayArrayInTable(Fertiliser_SourceData.Fertiliser_Products_Data1(),FertiliserProducts[[#Headers],[Include or Exclude]], 0)</f>
        <v/>
      </c>
      <c r="H116" s="185" t="str" cm="1">
        <f t="array" ref="H116">Common_InputFunctions.Utility_DisplayArrayInTable(Fertiliser_SourceData.Fertiliser_Products_Data1(),FertiliserProducts[[#Headers],[Include or Exclude]], 0,4)</f>
        <v/>
      </c>
      <c r="I116" s="185" t="str" cm="1">
        <f t="array" ref="I116">Common_InputFunctions.Utility_DisplayArrayInTable(Fertiliser_SourceData.Fertiliser_Products_Data1(),FertiliserProducts[[#Headers],[Include or Exclude]], 0,4)</f>
        <v/>
      </c>
      <c r="J116" s="185" t="str" cm="1">
        <f t="array" ref="J116">Common_InputFunctions.Utility_DisplayArrayInTable(Fertiliser_SourceData.Fertiliser_Products_Data1(),FertiliserProducts[[#Headers],[Include or Exclude]], 0,4)</f>
        <v/>
      </c>
      <c r="K116" s="185" t="str" cm="1">
        <f t="array" ref="K116">Common_InputFunctions.Utility_DisplayArrayInTable(Fertiliser_SourceData.Fertiliser_Products_Data1(),FertiliserProducts[[#Headers],[Include or Exclude]], 0,4)</f>
        <v/>
      </c>
      <c r="L116" s="185" t="str" cm="1">
        <f t="array" ref="L116">Common_InputFunctions.Utility_DisplayArrayInTable(Fertiliser_SourceData.Fertiliser_Products_Data1(),FertiliserProducts[[#Headers],[Include or Exclude]], 0,4)</f>
        <v/>
      </c>
      <c r="M116" s="185" t="str" cm="1">
        <f t="array" ref="M116">Common_InputFunctions.Utility_DisplayArrayInTable(Fertiliser_SourceData.Fertiliser_Products_Data1(),FertiliserProducts[[#Headers],[Include or Exclude]], 0,4)</f>
        <v/>
      </c>
      <c r="N116" s="185" t="str" cm="1">
        <f t="array" ref="N116">Common_InputFunctions.Utility_DisplayArrayInTable(Fertiliser_SourceData.Fertiliser_Products_Data1(),FertiliserProducts[[#Headers],[Include or Exclude]], 0,4)</f>
        <v/>
      </c>
      <c r="O116" s="185" t="str" cm="1">
        <f t="array" ref="O116">Common_InputFunctions.Utility_DisplayArrayInTable(Fertiliser_SourceData.Fertiliser_Products_Data1(),FertiliserProducts[[#Headers],[Include or Exclude]], 0,4)</f>
        <v/>
      </c>
      <c r="P116" s="185" t="str" cm="1">
        <f t="array" ref="P116">Common_InputFunctions.Utility_DisplayArrayInTable(Fertiliser_SourceData.Fertiliser_Products_Data1(),FertiliserProducts[[#Headers],[Include or Exclude]], 0,4)</f>
        <v/>
      </c>
      <c r="Q116" s="185" t="str" cm="1">
        <f t="array" ref="Q116">Common_InputFunctions.Utility_DisplayArrayInTable(Fertiliser_SourceData.Fertiliser_Products_Data1(),FertiliserProducts[[#Headers],[Include or Exclude]], 0,4)</f>
        <v/>
      </c>
      <c r="R116" s="185" t="str" cm="1">
        <f t="array" ref="R116">Common_InputFunctions.Utility_DisplayArrayInTable(Fertiliser_SourceData.Fertiliser_Products_Data1(),FertiliserProducts[[#Headers],[Include or Exclude]], 0,4)</f>
        <v/>
      </c>
      <c r="S116" s="185" t="str" cm="1">
        <f t="array" ref="S116">Common_InputFunctions.Utility_DisplayArrayInTable(Fertiliser_SourceData.Fertiliser_Products_Data1(),FertiliserProducts[[#Headers],[Include or Exclude]], 0,4)</f>
        <v/>
      </c>
      <c r="T116" s="185" t="str" cm="1">
        <f t="array" ref="T116">Common_InputFunctions.Utility_DisplayArrayInTable(Fertiliser_SourceData.Fertiliser_Products_Data1(),FertiliserProducts[[#Headers],[Include or Exclude]], 0,4)</f>
        <v/>
      </c>
      <c r="U116" s="185" t="str" cm="1">
        <f t="array" ref="U116">Common_InputFunctions.Utility_DisplayArrayInTable(Fertiliser_SourceData.Fertiliser_Products_Data1(),FertiliserProducts[[#Headers],[Include or Exclude]], 0,4)</f>
        <v/>
      </c>
      <c r="V116" s="185" t="str" cm="1">
        <f t="array" ref="V116">Common_InputFunctions.Utility_DisplayArrayInTable(Fertiliser_SourceData.Fertiliser_Products_Data1(),FertiliserProducts[[#Headers],[Include or Exclude]], 0,4)</f>
        <v/>
      </c>
      <c r="W116" s="185" t="str" cm="1">
        <f t="array" ref="W116">Common_InputFunctions.Utility_DisplayArrayInTable(Fertiliser_SourceData.Fertiliser_Products_Data1(),FertiliserProducts[[#Headers],[Include or Exclude]], 0,4)</f>
        <v/>
      </c>
      <c r="X116" s="185" t="str" cm="1">
        <f t="array" ref="X116">Common_InputFunctions.Utility_DisplayArrayInTable(Fertiliser_SourceData.Fertiliser_Products_Data1(),FertiliserProducts[[#Headers],[Include or Exclude]], 0,4)</f>
        <v/>
      </c>
      <c r="Y116" s="185" t="str" cm="1">
        <f t="array" ref="Y116">Common_InputFunctions.Utility_DisplayArrayInTable(Fertiliser_SourceData.Fertiliser_Products_Data1(),FertiliserProducts[[#Headers],[Include or Exclude]], 0,4)</f>
        <v/>
      </c>
      <c r="Z116" s="185" t="str" cm="1">
        <f t="array" ref="Z116">Common_InputFunctions.Utility_DisplayArrayInTable(Fertiliser_SourceData.Fertiliser_Products_Data1(),FertiliserProducts[[#Headers],[Include or Exclude]], 0,4)</f>
        <v/>
      </c>
      <c r="AA116" s="185" t="str" cm="1">
        <f t="array" ref="AA116">Common_InputFunctions.Utility_DisplayArrayInTable(Fertiliser_SourceData.Fertiliser_Products_Data1(),FertiliserProducts[[#Headers],[Include or Exclude]], 0,4)</f>
        <v/>
      </c>
      <c r="AB116" s="185" t="str" cm="1">
        <f t="array" ref="AB116">Common_InputFunctions.Utility_DisplayArrayInTable(Fertiliser_SourceData.Fertiliser_Products_Data1(),FertiliserProducts[[#Headers],[Include or Exclude]], 0,4)</f>
        <v/>
      </c>
      <c r="AC116" s="185" t="str" cm="1">
        <f t="array" ref="AC116">Common_InputFunctions.Utility_DisplayArrayInTable(Fertiliser_SourceData.Fertiliser_Products_Data1(),FertiliserProducts[[#Headers],[Include or Exclude]], 0,4)</f>
        <v/>
      </c>
      <c r="AD116" s="185" t="str" cm="1">
        <f t="array" ref="AD116">Common_InputFunctions.Utility_DisplayArrayInTable(Fertiliser_SourceData.Fertiliser_Products_Data1(),FertiliserProducts[[#Headers],[Include or Exclude]], 0,4)</f>
        <v/>
      </c>
      <c r="AE116" s="185" t="str" cm="1">
        <f t="array" ref="AE116">Common_InputFunctions.Utility_DisplayArrayInTable(Fertiliser_SourceData.Fertiliser_Products_Data1(),FertiliserProducts[[#Headers],[Include or Exclude]], 0,4)</f>
        <v/>
      </c>
    </row>
    <row r="117" spans="4:31" ht="20.100000000000001" customHeight="1" x14ac:dyDescent="0.25">
      <c r="D117" s="185" t="str" cm="1">
        <f t="array" ref="D117">Common_InputFunctions.Utility_DisplayArrayInTable(Fertiliser_SourceData.Fertiliser_Products_Data1(),FertiliserProducts[[#Headers],[Include or Exclude]], -1)</f>
        <v/>
      </c>
      <c r="E117" s="185" t="str" cm="1">
        <f t="array" ref="E117">Common_InputFunctions.Utility_DisplayArrayInTable(Fertiliser_SourceData.Fertiliser_Products_Data1(),FertiliserProducts[[#Headers],[Include or Exclude]], 0)</f>
        <v/>
      </c>
      <c r="F117" s="185" t="str" cm="1">
        <f t="array" ref="F117">Common_InputFunctions.Utility_DisplayArrayInTable(Fertiliser_SourceData.Fertiliser_Products_Data1(),FertiliserProducts[[#Headers],[Include or Exclude]], 0)</f>
        <v/>
      </c>
      <c r="G117" s="185" t="str" cm="1">
        <f t="array" ref="G117">Common_InputFunctions.Utility_DisplayArrayInTable(Fertiliser_SourceData.Fertiliser_Products_Data1(),FertiliserProducts[[#Headers],[Include or Exclude]], 0)</f>
        <v/>
      </c>
      <c r="H117" s="185" t="str" cm="1">
        <f t="array" ref="H117">Common_InputFunctions.Utility_DisplayArrayInTable(Fertiliser_SourceData.Fertiliser_Products_Data1(),FertiliserProducts[[#Headers],[Include or Exclude]], 0,4)</f>
        <v/>
      </c>
      <c r="I117" s="185" t="str" cm="1">
        <f t="array" ref="I117">Common_InputFunctions.Utility_DisplayArrayInTable(Fertiliser_SourceData.Fertiliser_Products_Data1(),FertiliserProducts[[#Headers],[Include or Exclude]], 0,4)</f>
        <v/>
      </c>
      <c r="J117" s="185" t="str" cm="1">
        <f t="array" ref="J117">Common_InputFunctions.Utility_DisplayArrayInTable(Fertiliser_SourceData.Fertiliser_Products_Data1(),FertiliserProducts[[#Headers],[Include or Exclude]], 0,4)</f>
        <v/>
      </c>
      <c r="K117" s="185" t="str" cm="1">
        <f t="array" ref="K117">Common_InputFunctions.Utility_DisplayArrayInTable(Fertiliser_SourceData.Fertiliser_Products_Data1(),FertiliserProducts[[#Headers],[Include or Exclude]], 0,4)</f>
        <v/>
      </c>
      <c r="L117" s="185" t="str" cm="1">
        <f t="array" ref="L117">Common_InputFunctions.Utility_DisplayArrayInTable(Fertiliser_SourceData.Fertiliser_Products_Data1(),FertiliserProducts[[#Headers],[Include or Exclude]], 0,4)</f>
        <v/>
      </c>
      <c r="M117" s="185" t="str" cm="1">
        <f t="array" ref="M117">Common_InputFunctions.Utility_DisplayArrayInTable(Fertiliser_SourceData.Fertiliser_Products_Data1(),FertiliserProducts[[#Headers],[Include or Exclude]], 0,4)</f>
        <v/>
      </c>
      <c r="N117" s="185" t="str" cm="1">
        <f t="array" ref="N117">Common_InputFunctions.Utility_DisplayArrayInTable(Fertiliser_SourceData.Fertiliser_Products_Data1(),FertiliserProducts[[#Headers],[Include or Exclude]], 0,4)</f>
        <v/>
      </c>
      <c r="O117" s="185" t="str" cm="1">
        <f t="array" ref="O117">Common_InputFunctions.Utility_DisplayArrayInTable(Fertiliser_SourceData.Fertiliser_Products_Data1(),FertiliserProducts[[#Headers],[Include or Exclude]], 0,4)</f>
        <v/>
      </c>
      <c r="P117" s="185" t="str" cm="1">
        <f t="array" ref="P117">Common_InputFunctions.Utility_DisplayArrayInTable(Fertiliser_SourceData.Fertiliser_Products_Data1(),FertiliserProducts[[#Headers],[Include or Exclude]], 0,4)</f>
        <v/>
      </c>
      <c r="Q117" s="185" t="str" cm="1">
        <f t="array" ref="Q117">Common_InputFunctions.Utility_DisplayArrayInTable(Fertiliser_SourceData.Fertiliser_Products_Data1(),FertiliserProducts[[#Headers],[Include or Exclude]], 0,4)</f>
        <v/>
      </c>
      <c r="R117" s="185" t="str" cm="1">
        <f t="array" ref="R117">Common_InputFunctions.Utility_DisplayArrayInTable(Fertiliser_SourceData.Fertiliser_Products_Data1(),FertiliserProducts[[#Headers],[Include or Exclude]], 0,4)</f>
        <v/>
      </c>
      <c r="S117" s="185" t="str" cm="1">
        <f t="array" ref="S117">Common_InputFunctions.Utility_DisplayArrayInTable(Fertiliser_SourceData.Fertiliser_Products_Data1(),FertiliserProducts[[#Headers],[Include or Exclude]], 0,4)</f>
        <v/>
      </c>
      <c r="T117" s="185" t="str" cm="1">
        <f t="array" ref="T117">Common_InputFunctions.Utility_DisplayArrayInTable(Fertiliser_SourceData.Fertiliser_Products_Data1(),FertiliserProducts[[#Headers],[Include or Exclude]], 0,4)</f>
        <v/>
      </c>
      <c r="U117" s="185" t="str" cm="1">
        <f t="array" ref="U117">Common_InputFunctions.Utility_DisplayArrayInTable(Fertiliser_SourceData.Fertiliser_Products_Data1(),FertiliserProducts[[#Headers],[Include or Exclude]], 0,4)</f>
        <v/>
      </c>
      <c r="V117" s="185" t="str" cm="1">
        <f t="array" ref="V117">Common_InputFunctions.Utility_DisplayArrayInTable(Fertiliser_SourceData.Fertiliser_Products_Data1(),FertiliserProducts[[#Headers],[Include or Exclude]], 0,4)</f>
        <v/>
      </c>
      <c r="W117" s="185" t="str" cm="1">
        <f t="array" ref="W117">Common_InputFunctions.Utility_DisplayArrayInTable(Fertiliser_SourceData.Fertiliser_Products_Data1(),FertiliserProducts[[#Headers],[Include or Exclude]], 0,4)</f>
        <v/>
      </c>
      <c r="X117" s="185" t="str" cm="1">
        <f t="array" ref="X117">Common_InputFunctions.Utility_DisplayArrayInTable(Fertiliser_SourceData.Fertiliser_Products_Data1(),FertiliserProducts[[#Headers],[Include or Exclude]], 0,4)</f>
        <v/>
      </c>
      <c r="Y117" s="185" t="str" cm="1">
        <f t="array" ref="Y117">Common_InputFunctions.Utility_DisplayArrayInTable(Fertiliser_SourceData.Fertiliser_Products_Data1(),FertiliserProducts[[#Headers],[Include or Exclude]], 0,4)</f>
        <v/>
      </c>
      <c r="Z117" s="185" t="str" cm="1">
        <f t="array" ref="Z117">Common_InputFunctions.Utility_DisplayArrayInTable(Fertiliser_SourceData.Fertiliser_Products_Data1(),FertiliserProducts[[#Headers],[Include or Exclude]], 0,4)</f>
        <v/>
      </c>
      <c r="AA117" s="185" t="str" cm="1">
        <f t="array" ref="AA117">Common_InputFunctions.Utility_DisplayArrayInTable(Fertiliser_SourceData.Fertiliser_Products_Data1(),FertiliserProducts[[#Headers],[Include or Exclude]], 0,4)</f>
        <v/>
      </c>
      <c r="AB117" s="185" t="str" cm="1">
        <f t="array" ref="AB117">Common_InputFunctions.Utility_DisplayArrayInTable(Fertiliser_SourceData.Fertiliser_Products_Data1(),FertiliserProducts[[#Headers],[Include or Exclude]], 0,4)</f>
        <v/>
      </c>
      <c r="AC117" s="185" t="str" cm="1">
        <f t="array" ref="AC117">Common_InputFunctions.Utility_DisplayArrayInTable(Fertiliser_SourceData.Fertiliser_Products_Data1(),FertiliserProducts[[#Headers],[Include or Exclude]], 0,4)</f>
        <v/>
      </c>
      <c r="AD117" s="185" t="str" cm="1">
        <f t="array" ref="AD117">Common_InputFunctions.Utility_DisplayArrayInTable(Fertiliser_SourceData.Fertiliser_Products_Data1(),FertiliserProducts[[#Headers],[Include or Exclude]], 0,4)</f>
        <v/>
      </c>
      <c r="AE117" s="185" t="str" cm="1">
        <f t="array" ref="AE117">Common_InputFunctions.Utility_DisplayArrayInTable(Fertiliser_SourceData.Fertiliser_Products_Data1(),FertiliserProducts[[#Headers],[Include or Exclude]], 0,4)</f>
        <v/>
      </c>
    </row>
    <row r="118" spans="4:31" ht="20.100000000000001" customHeight="1" x14ac:dyDescent="0.25">
      <c r="D118" s="185" t="str" cm="1">
        <f t="array" ref="D118">Common_InputFunctions.Utility_DisplayArrayInTable(Fertiliser_SourceData.Fertiliser_Products_Data1(),FertiliserProducts[[#Headers],[Include or Exclude]], -1)</f>
        <v/>
      </c>
      <c r="E118" s="185" t="str" cm="1">
        <f t="array" ref="E118">Common_InputFunctions.Utility_DisplayArrayInTable(Fertiliser_SourceData.Fertiliser_Products_Data1(),FertiliserProducts[[#Headers],[Include or Exclude]], 0)</f>
        <v/>
      </c>
      <c r="F118" s="185" t="str" cm="1">
        <f t="array" ref="F118">Common_InputFunctions.Utility_DisplayArrayInTable(Fertiliser_SourceData.Fertiliser_Products_Data1(),FertiliserProducts[[#Headers],[Include or Exclude]], 0)</f>
        <v/>
      </c>
      <c r="G118" s="185" t="str" cm="1">
        <f t="array" ref="G118">Common_InputFunctions.Utility_DisplayArrayInTable(Fertiliser_SourceData.Fertiliser_Products_Data1(),FertiliserProducts[[#Headers],[Include or Exclude]], 0)</f>
        <v/>
      </c>
      <c r="H118" s="185" t="str" cm="1">
        <f t="array" ref="H118">Common_InputFunctions.Utility_DisplayArrayInTable(Fertiliser_SourceData.Fertiliser_Products_Data1(),FertiliserProducts[[#Headers],[Include or Exclude]], 0,4)</f>
        <v/>
      </c>
      <c r="I118" s="185" t="str" cm="1">
        <f t="array" ref="I118">Common_InputFunctions.Utility_DisplayArrayInTable(Fertiliser_SourceData.Fertiliser_Products_Data1(),FertiliserProducts[[#Headers],[Include or Exclude]], 0,4)</f>
        <v/>
      </c>
      <c r="J118" s="185" t="str" cm="1">
        <f t="array" ref="J118">Common_InputFunctions.Utility_DisplayArrayInTable(Fertiliser_SourceData.Fertiliser_Products_Data1(),FertiliserProducts[[#Headers],[Include or Exclude]], 0,4)</f>
        <v/>
      </c>
      <c r="K118" s="185" t="str" cm="1">
        <f t="array" ref="K118">Common_InputFunctions.Utility_DisplayArrayInTable(Fertiliser_SourceData.Fertiliser_Products_Data1(),FertiliserProducts[[#Headers],[Include or Exclude]], 0,4)</f>
        <v/>
      </c>
      <c r="L118" s="185" t="str" cm="1">
        <f t="array" ref="L118">Common_InputFunctions.Utility_DisplayArrayInTable(Fertiliser_SourceData.Fertiliser_Products_Data1(),FertiliserProducts[[#Headers],[Include or Exclude]], 0,4)</f>
        <v/>
      </c>
      <c r="M118" s="185" t="str" cm="1">
        <f t="array" ref="M118">Common_InputFunctions.Utility_DisplayArrayInTable(Fertiliser_SourceData.Fertiliser_Products_Data1(),FertiliserProducts[[#Headers],[Include or Exclude]], 0,4)</f>
        <v/>
      </c>
      <c r="N118" s="185" t="str" cm="1">
        <f t="array" ref="N118">Common_InputFunctions.Utility_DisplayArrayInTable(Fertiliser_SourceData.Fertiliser_Products_Data1(),FertiliserProducts[[#Headers],[Include or Exclude]], 0,4)</f>
        <v/>
      </c>
      <c r="O118" s="185" t="str" cm="1">
        <f t="array" ref="O118">Common_InputFunctions.Utility_DisplayArrayInTable(Fertiliser_SourceData.Fertiliser_Products_Data1(),FertiliserProducts[[#Headers],[Include or Exclude]], 0,4)</f>
        <v/>
      </c>
      <c r="P118" s="185" t="str" cm="1">
        <f t="array" ref="P118">Common_InputFunctions.Utility_DisplayArrayInTable(Fertiliser_SourceData.Fertiliser_Products_Data1(),FertiliserProducts[[#Headers],[Include or Exclude]], 0,4)</f>
        <v/>
      </c>
      <c r="Q118" s="185" t="str" cm="1">
        <f t="array" ref="Q118">Common_InputFunctions.Utility_DisplayArrayInTable(Fertiliser_SourceData.Fertiliser_Products_Data1(),FertiliserProducts[[#Headers],[Include or Exclude]], 0,4)</f>
        <v/>
      </c>
      <c r="R118" s="185" t="str" cm="1">
        <f t="array" ref="R118">Common_InputFunctions.Utility_DisplayArrayInTable(Fertiliser_SourceData.Fertiliser_Products_Data1(),FertiliserProducts[[#Headers],[Include or Exclude]], 0,4)</f>
        <v/>
      </c>
      <c r="S118" s="185" t="str" cm="1">
        <f t="array" ref="S118">Common_InputFunctions.Utility_DisplayArrayInTable(Fertiliser_SourceData.Fertiliser_Products_Data1(),FertiliserProducts[[#Headers],[Include or Exclude]], 0,4)</f>
        <v/>
      </c>
      <c r="T118" s="185" t="str" cm="1">
        <f t="array" ref="T118">Common_InputFunctions.Utility_DisplayArrayInTable(Fertiliser_SourceData.Fertiliser_Products_Data1(),FertiliserProducts[[#Headers],[Include or Exclude]], 0,4)</f>
        <v/>
      </c>
      <c r="U118" s="185" t="str" cm="1">
        <f t="array" ref="U118">Common_InputFunctions.Utility_DisplayArrayInTable(Fertiliser_SourceData.Fertiliser_Products_Data1(),FertiliserProducts[[#Headers],[Include or Exclude]], 0,4)</f>
        <v/>
      </c>
      <c r="V118" s="185" t="str" cm="1">
        <f t="array" ref="V118">Common_InputFunctions.Utility_DisplayArrayInTable(Fertiliser_SourceData.Fertiliser_Products_Data1(),FertiliserProducts[[#Headers],[Include or Exclude]], 0,4)</f>
        <v/>
      </c>
      <c r="W118" s="185" t="str" cm="1">
        <f t="array" ref="W118">Common_InputFunctions.Utility_DisplayArrayInTable(Fertiliser_SourceData.Fertiliser_Products_Data1(),FertiliserProducts[[#Headers],[Include or Exclude]], 0,4)</f>
        <v/>
      </c>
      <c r="X118" s="185" t="str" cm="1">
        <f t="array" ref="X118">Common_InputFunctions.Utility_DisplayArrayInTable(Fertiliser_SourceData.Fertiliser_Products_Data1(),FertiliserProducts[[#Headers],[Include or Exclude]], 0,4)</f>
        <v/>
      </c>
      <c r="Y118" s="185" t="str" cm="1">
        <f t="array" ref="Y118">Common_InputFunctions.Utility_DisplayArrayInTable(Fertiliser_SourceData.Fertiliser_Products_Data1(),FertiliserProducts[[#Headers],[Include or Exclude]], 0,4)</f>
        <v/>
      </c>
      <c r="Z118" s="185" t="str" cm="1">
        <f t="array" ref="Z118">Common_InputFunctions.Utility_DisplayArrayInTable(Fertiliser_SourceData.Fertiliser_Products_Data1(),FertiliserProducts[[#Headers],[Include or Exclude]], 0,4)</f>
        <v/>
      </c>
      <c r="AA118" s="185" t="str" cm="1">
        <f t="array" ref="AA118">Common_InputFunctions.Utility_DisplayArrayInTable(Fertiliser_SourceData.Fertiliser_Products_Data1(),FertiliserProducts[[#Headers],[Include or Exclude]], 0,4)</f>
        <v/>
      </c>
      <c r="AB118" s="185" t="str" cm="1">
        <f t="array" ref="AB118">Common_InputFunctions.Utility_DisplayArrayInTable(Fertiliser_SourceData.Fertiliser_Products_Data1(),FertiliserProducts[[#Headers],[Include or Exclude]], 0,4)</f>
        <v/>
      </c>
      <c r="AC118" s="185" t="str" cm="1">
        <f t="array" ref="AC118">Common_InputFunctions.Utility_DisplayArrayInTable(Fertiliser_SourceData.Fertiliser_Products_Data1(),FertiliserProducts[[#Headers],[Include or Exclude]], 0,4)</f>
        <v/>
      </c>
      <c r="AD118" s="185" t="str" cm="1">
        <f t="array" ref="AD118">Common_InputFunctions.Utility_DisplayArrayInTable(Fertiliser_SourceData.Fertiliser_Products_Data1(),FertiliserProducts[[#Headers],[Include or Exclude]], 0,4)</f>
        <v/>
      </c>
      <c r="AE118" s="185" t="str" cm="1">
        <f t="array" ref="AE118">Common_InputFunctions.Utility_DisplayArrayInTable(Fertiliser_SourceData.Fertiliser_Products_Data1(),FertiliserProducts[[#Headers],[Include or Exclude]], 0,4)</f>
        <v/>
      </c>
    </row>
    <row r="119" spans="4:31" ht="20.100000000000001" customHeight="1" x14ac:dyDescent="0.25">
      <c r="D119" s="185" t="str" cm="1">
        <f t="array" ref="D119">Common_InputFunctions.Utility_DisplayArrayInTable(Fertiliser_SourceData.Fertiliser_Products_Data1(),FertiliserProducts[[#Headers],[Include or Exclude]], -1)</f>
        <v/>
      </c>
      <c r="E119" s="185" t="str" cm="1">
        <f t="array" ref="E119">Common_InputFunctions.Utility_DisplayArrayInTable(Fertiliser_SourceData.Fertiliser_Products_Data1(),FertiliserProducts[[#Headers],[Include or Exclude]], 0)</f>
        <v/>
      </c>
      <c r="F119" s="185" t="str" cm="1">
        <f t="array" ref="F119">Common_InputFunctions.Utility_DisplayArrayInTable(Fertiliser_SourceData.Fertiliser_Products_Data1(),FertiliserProducts[[#Headers],[Include or Exclude]], 0)</f>
        <v/>
      </c>
      <c r="G119" s="185" t="str" cm="1">
        <f t="array" ref="G119">Common_InputFunctions.Utility_DisplayArrayInTable(Fertiliser_SourceData.Fertiliser_Products_Data1(),FertiliserProducts[[#Headers],[Include or Exclude]], 0)</f>
        <v/>
      </c>
      <c r="H119" s="185" t="str" cm="1">
        <f t="array" ref="H119">Common_InputFunctions.Utility_DisplayArrayInTable(Fertiliser_SourceData.Fertiliser_Products_Data1(),FertiliserProducts[[#Headers],[Include or Exclude]], 0,4)</f>
        <v/>
      </c>
      <c r="I119" s="185" t="str" cm="1">
        <f t="array" ref="I119">Common_InputFunctions.Utility_DisplayArrayInTable(Fertiliser_SourceData.Fertiliser_Products_Data1(),FertiliserProducts[[#Headers],[Include or Exclude]], 0,4)</f>
        <v/>
      </c>
      <c r="J119" s="185" t="str" cm="1">
        <f t="array" ref="J119">Common_InputFunctions.Utility_DisplayArrayInTable(Fertiliser_SourceData.Fertiliser_Products_Data1(),FertiliserProducts[[#Headers],[Include or Exclude]], 0,4)</f>
        <v/>
      </c>
      <c r="K119" s="185" t="str" cm="1">
        <f t="array" ref="K119">Common_InputFunctions.Utility_DisplayArrayInTable(Fertiliser_SourceData.Fertiliser_Products_Data1(),FertiliserProducts[[#Headers],[Include or Exclude]], 0,4)</f>
        <v/>
      </c>
      <c r="L119" s="185" t="str" cm="1">
        <f t="array" ref="L119">Common_InputFunctions.Utility_DisplayArrayInTable(Fertiliser_SourceData.Fertiliser_Products_Data1(),FertiliserProducts[[#Headers],[Include or Exclude]], 0,4)</f>
        <v/>
      </c>
      <c r="M119" s="185" t="str" cm="1">
        <f t="array" ref="M119">Common_InputFunctions.Utility_DisplayArrayInTable(Fertiliser_SourceData.Fertiliser_Products_Data1(),FertiliserProducts[[#Headers],[Include or Exclude]], 0,4)</f>
        <v/>
      </c>
      <c r="N119" s="185" t="str" cm="1">
        <f t="array" ref="N119">Common_InputFunctions.Utility_DisplayArrayInTable(Fertiliser_SourceData.Fertiliser_Products_Data1(),FertiliserProducts[[#Headers],[Include or Exclude]], 0,4)</f>
        <v/>
      </c>
      <c r="O119" s="185" t="str" cm="1">
        <f t="array" ref="O119">Common_InputFunctions.Utility_DisplayArrayInTable(Fertiliser_SourceData.Fertiliser_Products_Data1(),FertiliserProducts[[#Headers],[Include or Exclude]], 0,4)</f>
        <v/>
      </c>
      <c r="P119" s="185" t="str" cm="1">
        <f t="array" ref="P119">Common_InputFunctions.Utility_DisplayArrayInTable(Fertiliser_SourceData.Fertiliser_Products_Data1(),FertiliserProducts[[#Headers],[Include or Exclude]], 0,4)</f>
        <v/>
      </c>
      <c r="Q119" s="185" t="str" cm="1">
        <f t="array" ref="Q119">Common_InputFunctions.Utility_DisplayArrayInTable(Fertiliser_SourceData.Fertiliser_Products_Data1(),FertiliserProducts[[#Headers],[Include or Exclude]], 0,4)</f>
        <v/>
      </c>
      <c r="R119" s="185" t="str" cm="1">
        <f t="array" ref="R119">Common_InputFunctions.Utility_DisplayArrayInTable(Fertiliser_SourceData.Fertiliser_Products_Data1(),FertiliserProducts[[#Headers],[Include or Exclude]], 0,4)</f>
        <v/>
      </c>
      <c r="S119" s="185" t="str" cm="1">
        <f t="array" ref="S119">Common_InputFunctions.Utility_DisplayArrayInTable(Fertiliser_SourceData.Fertiliser_Products_Data1(),FertiliserProducts[[#Headers],[Include or Exclude]], 0,4)</f>
        <v/>
      </c>
      <c r="T119" s="185" t="str" cm="1">
        <f t="array" ref="T119">Common_InputFunctions.Utility_DisplayArrayInTable(Fertiliser_SourceData.Fertiliser_Products_Data1(),FertiliserProducts[[#Headers],[Include or Exclude]], 0,4)</f>
        <v/>
      </c>
      <c r="U119" s="185" t="str" cm="1">
        <f t="array" ref="U119">Common_InputFunctions.Utility_DisplayArrayInTable(Fertiliser_SourceData.Fertiliser_Products_Data1(),FertiliserProducts[[#Headers],[Include or Exclude]], 0,4)</f>
        <v/>
      </c>
      <c r="V119" s="185" t="str" cm="1">
        <f t="array" ref="V119">Common_InputFunctions.Utility_DisplayArrayInTable(Fertiliser_SourceData.Fertiliser_Products_Data1(),FertiliserProducts[[#Headers],[Include or Exclude]], 0,4)</f>
        <v/>
      </c>
      <c r="W119" s="185" t="str" cm="1">
        <f t="array" ref="W119">Common_InputFunctions.Utility_DisplayArrayInTable(Fertiliser_SourceData.Fertiliser_Products_Data1(),FertiliserProducts[[#Headers],[Include or Exclude]], 0,4)</f>
        <v/>
      </c>
      <c r="X119" s="185" t="str" cm="1">
        <f t="array" ref="X119">Common_InputFunctions.Utility_DisplayArrayInTable(Fertiliser_SourceData.Fertiliser_Products_Data1(),FertiliserProducts[[#Headers],[Include or Exclude]], 0,4)</f>
        <v/>
      </c>
      <c r="Y119" s="185" t="str" cm="1">
        <f t="array" ref="Y119">Common_InputFunctions.Utility_DisplayArrayInTable(Fertiliser_SourceData.Fertiliser_Products_Data1(),FertiliserProducts[[#Headers],[Include or Exclude]], 0,4)</f>
        <v/>
      </c>
      <c r="Z119" s="185" t="str" cm="1">
        <f t="array" ref="Z119">Common_InputFunctions.Utility_DisplayArrayInTable(Fertiliser_SourceData.Fertiliser_Products_Data1(),FertiliserProducts[[#Headers],[Include or Exclude]], 0,4)</f>
        <v/>
      </c>
      <c r="AA119" s="185" t="str" cm="1">
        <f t="array" ref="AA119">Common_InputFunctions.Utility_DisplayArrayInTable(Fertiliser_SourceData.Fertiliser_Products_Data1(),FertiliserProducts[[#Headers],[Include or Exclude]], 0,4)</f>
        <v/>
      </c>
      <c r="AB119" s="185" t="str" cm="1">
        <f t="array" ref="AB119">Common_InputFunctions.Utility_DisplayArrayInTable(Fertiliser_SourceData.Fertiliser_Products_Data1(),FertiliserProducts[[#Headers],[Include or Exclude]], 0,4)</f>
        <v/>
      </c>
      <c r="AC119" s="185" t="str" cm="1">
        <f t="array" ref="AC119">Common_InputFunctions.Utility_DisplayArrayInTable(Fertiliser_SourceData.Fertiliser_Products_Data1(),FertiliserProducts[[#Headers],[Include or Exclude]], 0,4)</f>
        <v/>
      </c>
      <c r="AD119" s="185" t="str" cm="1">
        <f t="array" ref="AD119">Common_InputFunctions.Utility_DisplayArrayInTable(Fertiliser_SourceData.Fertiliser_Products_Data1(),FertiliserProducts[[#Headers],[Include or Exclude]], 0,4)</f>
        <v/>
      </c>
      <c r="AE119" s="185" t="str" cm="1">
        <f t="array" ref="AE119">Common_InputFunctions.Utility_DisplayArrayInTable(Fertiliser_SourceData.Fertiliser_Products_Data1(),FertiliserProducts[[#Headers],[Include or Exclude]], 0,4)</f>
        <v/>
      </c>
    </row>
    <row r="120" spans="4:31" ht="20.100000000000001" customHeight="1" x14ac:dyDescent="0.25">
      <c r="D120" s="185" t="str" cm="1">
        <f t="array" ref="D120">Common_InputFunctions.Utility_DisplayArrayInTable(Fertiliser_SourceData.Fertiliser_Products_Data1(),FertiliserProducts[[#Headers],[Include or Exclude]], -1)</f>
        <v/>
      </c>
      <c r="E120" s="185" t="str" cm="1">
        <f t="array" ref="E120">Common_InputFunctions.Utility_DisplayArrayInTable(Fertiliser_SourceData.Fertiliser_Products_Data1(),FertiliserProducts[[#Headers],[Include or Exclude]], 0)</f>
        <v/>
      </c>
      <c r="F120" s="185" t="str" cm="1">
        <f t="array" ref="F120">Common_InputFunctions.Utility_DisplayArrayInTable(Fertiliser_SourceData.Fertiliser_Products_Data1(),FertiliserProducts[[#Headers],[Include or Exclude]], 0)</f>
        <v/>
      </c>
      <c r="G120" s="185" t="str" cm="1">
        <f t="array" ref="G120">Common_InputFunctions.Utility_DisplayArrayInTable(Fertiliser_SourceData.Fertiliser_Products_Data1(),FertiliserProducts[[#Headers],[Include or Exclude]], 0)</f>
        <v/>
      </c>
      <c r="H120" s="185" t="str" cm="1">
        <f t="array" ref="H120">Common_InputFunctions.Utility_DisplayArrayInTable(Fertiliser_SourceData.Fertiliser_Products_Data1(),FertiliserProducts[[#Headers],[Include or Exclude]], 0,4)</f>
        <v/>
      </c>
      <c r="I120" s="185" t="str" cm="1">
        <f t="array" ref="I120">Common_InputFunctions.Utility_DisplayArrayInTable(Fertiliser_SourceData.Fertiliser_Products_Data1(),FertiliserProducts[[#Headers],[Include or Exclude]], 0,4)</f>
        <v/>
      </c>
      <c r="J120" s="185" t="str" cm="1">
        <f t="array" ref="J120">Common_InputFunctions.Utility_DisplayArrayInTable(Fertiliser_SourceData.Fertiliser_Products_Data1(),FertiliserProducts[[#Headers],[Include or Exclude]], 0,4)</f>
        <v/>
      </c>
      <c r="K120" s="185" t="str" cm="1">
        <f t="array" ref="K120">Common_InputFunctions.Utility_DisplayArrayInTable(Fertiliser_SourceData.Fertiliser_Products_Data1(),FertiliserProducts[[#Headers],[Include or Exclude]], 0,4)</f>
        <v/>
      </c>
      <c r="L120" s="185" t="str" cm="1">
        <f t="array" ref="L120">Common_InputFunctions.Utility_DisplayArrayInTable(Fertiliser_SourceData.Fertiliser_Products_Data1(),FertiliserProducts[[#Headers],[Include or Exclude]], 0,4)</f>
        <v/>
      </c>
      <c r="M120" s="185" t="str" cm="1">
        <f t="array" ref="M120">Common_InputFunctions.Utility_DisplayArrayInTable(Fertiliser_SourceData.Fertiliser_Products_Data1(),FertiliserProducts[[#Headers],[Include or Exclude]], 0,4)</f>
        <v/>
      </c>
      <c r="N120" s="185" t="str" cm="1">
        <f t="array" ref="N120">Common_InputFunctions.Utility_DisplayArrayInTable(Fertiliser_SourceData.Fertiliser_Products_Data1(),FertiliserProducts[[#Headers],[Include or Exclude]], 0,4)</f>
        <v/>
      </c>
      <c r="O120" s="185" t="str" cm="1">
        <f t="array" ref="O120">Common_InputFunctions.Utility_DisplayArrayInTable(Fertiliser_SourceData.Fertiliser_Products_Data1(),FertiliserProducts[[#Headers],[Include or Exclude]], 0,4)</f>
        <v/>
      </c>
      <c r="P120" s="185" t="str" cm="1">
        <f t="array" ref="P120">Common_InputFunctions.Utility_DisplayArrayInTable(Fertiliser_SourceData.Fertiliser_Products_Data1(),FertiliserProducts[[#Headers],[Include or Exclude]], 0,4)</f>
        <v/>
      </c>
      <c r="Q120" s="185" t="str" cm="1">
        <f t="array" ref="Q120">Common_InputFunctions.Utility_DisplayArrayInTable(Fertiliser_SourceData.Fertiliser_Products_Data1(),FertiliserProducts[[#Headers],[Include or Exclude]], 0,4)</f>
        <v/>
      </c>
      <c r="R120" s="185" t="str" cm="1">
        <f t="array" ref="R120">Common_InputFunctions.Utility_DisplayArrayInTable(Fertiliser_SourceData.Fertiliser_Products_Data1(),FertiliserProducts[[#Headers],[Include or Exclude]], 0,4)</f>
        <v/>
      </c>
      <c r="S120" s="185" t="str" cm="1">
        <f t="array" ref="S120">Common_InputFunctions.Utility_DisplayArrayInTable(Fertiliser_SourceData.Fertiliser_Products_Data1(),FertiliserProducts[[#Headers],[Include or Exclude]], 0,4)</f>
        <v/>
      </c>
      <c r="T120" s="185" t="str" cm="1">
        <f t="array" ref="T120">Common_InputFunctions.Utility_DisplayArrayInTable(Fertiliser_SourceData.Fertiliser_Products_Data1(),FertiliserProducts[[#Headers],[Include or Exclude]], 0,4)</f>
        <v/>
      </c>
      <c r="U120" s="185" t="str" cm="1">
        <f t="array" ref="U120">Common_InputFunctions.Utility_DisplayArrayInTable(Fertiliser_SourceData.Fertiliser_Products_Data1(),FertiliserProducts[[#Headers],[Include or Exclude]], 0,4)</f>
        <v/>
      </c>
      <c r="V120" s="185" t="str" cm="1">
        <f t="array" ref="V120">Common_InputFunctions.Utility_DisplayArrayInTable(Fertiliser_SourceData.Fertiliser_Products_Data1(),FertiliserProducts[[#Headers],[Include or Exclude]], 0,4)</f>
        <v/>
      </c>
      <c r="W120" s="185" t="str" cm="1">
        <f t="array" ref="W120">Common_InputFunctions.Utility_DisplayArrayInTable(Fertiliser_SourceData.Fertiliser_Products_Data1(),FertiliserProducts[[#Headers],[Include or Exclude]], 0,4)</f>
        <v/>
      </c>
      <c r="X120" s="185" t="str" cm="1">
        <f t="array" ref="X120">Common_InputFunctions.Utility_DisplayArrayInTable(Fertiliser_SourceData.Fertiliser_Products_Data1(),FertiliserProducts[[#Headers],[Include or Exclude]], 0,4)</f>
        <v/>
      </c>
      <c r="Y120" s="185" t="str" cm="1">
        <f t="array" ref="Y120">Common_InputFunctions.Utility_DisplayArrayInTable(Fertiliser_SourceData.Fertiliser_Products_Data1(),FertiliserProducts[[#Headers],[Include or Exclude]], 0,4)</f>
        <v/>
      </c>
      <c r="Z120" s="185" t="str" cm="1">
        <f t="array" ref="Z120">Common_InputFunctions.Utility_DisplayArrayInTable(Fertiliser_SourceData.Fertiliser_Products_Data1(),FertiliserProducts[[#Headers],[Include or Exclude]], 0,4)</f>
        <v/>
      </c>
      <c r="AA120" s="185" t="str" cm="1">
        <f t="array" ref="AA120">Common_InputFunctions.Utility_DisplayArrayInTable(Fertiliser_SourceData.Fertiliser_Products_Data1(),FertiliserProducts[[#Headers],[Include or Exclude]], 0,4)</f>
        <v/>
      </c>
      <c r="AB120" s="185" t="str" cm="1">
        <f t="array" ref="AB120">Common_InputFunctions.Utility_DisplayArrayInTable(Fertiliser_SourceData.Fertiliser_Products_Data1(),FertiliserProducts[[#Headers],[Include or Exclude]], 0,4)</f>
        <v/>
      </c>
      <c r="AC120" s="185" t="str" cm="1">
        <f t="array" ref="AC120">Common_InputFunctions.Utility_DisplayArrayInTable(Fertiliser_SourceData.Fertiliser_Products_Data1(),FertiliserProducts[[#Headers],[Include or Exclude]], 0,4)</f>
        <v/>
      </c>
      <c r="AD120" s="185" t="str" cm="1">
        <f t="array" ref="AD120">Common_InputFunctions.Utility_DisplayArrayInTable(Fertiliser_SourceData.Fertiliser_Products_Data1(),FertiliserProducts[[#Headers],[Include or Exclude]], 0,4)</f>
        <v/>
      </c>
      <c r="AE120" s="185" t="str" cm="1">
        <f t="array" ref="AE120">Common_InputFunctions.Utility_DisplayArrayInTable(Fertiliser_SourceData.Fertiliser_Products_Data1(),FertiliserProducts[[#Headers],[Include or Exclude]], 0,4)</f>
        <v/>
      </c>
    </row>
    <row r="121" spans="4:31" ht="20.100000000000001" customHeight="1" x14ac:dyDescent="0.25">
      <c r="D121" s="185" t="str" cm="1">
        <f t="array" ref="D121">Common_InputFunctions.Utility_DisplayArrayInTable(Fertiliser_SourceData.Fertiliser_Products_Data1(),FertiliserProducts[[#Headers],[Include or Exclude]], -1)</f>
        <v/>
      </c>
      <c r="E121" s="185" t="str" cm="1">
        <f t="array" ref="E121">Common_InputFunctions.Utility_DisplayArrayInTable(Fertiliser_SourceData.Fertiliser_Products_Data1(),FertiliserProducts[[#Headers],[Include or Exclude]], 0)</f>
        <v/>
      </c>
      <c r="F121" s="185" t="str" cm="1">
        <f t="array" ref="F121">Common_InputFunctions.Utility_DisplayArrayInTable(Fertiliser_SourceData.Fertiliser_Products_Data1(),FertiliserProducts[[#Headers],[Include or Exclude]], 0)</f>
        <v/>
      </c>
      <c r="G121" s="185" t="str" cm="1">
        <f t="array" ref="G121">Common_InputFunctions.Utility_DisplayArrayInTable(Fertiliser_SourceData.Fertiliser_Products_Data1(),FertiliserProducts[[#Headers],[Include or Exclude]], 0)</f>
        <v/>
      </c>
      <c r="H121" s="185" t="str" cm="1">
        <f t="array" ref="H121">Common_InputFunctions.Utility_DisplayArrayInTable(Fertiliser_SourceData.Fertiliser_Products_Data1(),FertiliserProducts[[#Headers],[Include or Exclude]], 0,4)</f>
        <v/>
      </c>
      <c r="I121" s="185" t="str" cm="1">
        <f t="array" ref="I121">Common_InputFunctions.Utility_DisplayArrayInTable(Fertiliser_SourceData.Fertiliser_Products_Data1(),FertiliserProducts[[#Headers],[Include or Exclude]], 0,4)</f>
        <v/>
      </c>
      <c r="J121" s="185" t="str" cm="1">
        <f t="array" ref="J121">Common_InputFunctions.Utility_DisplayArrayInTable(Fertiliser_SourceData.Fertiliser_Products_Data1(),FertiliserProducts[[#Headers],[Include or Exclude]], 0,4)</f>
        <v/>
      </c>
      <c r="K121" s="185" t="str" cm="1">
        <f t="array" ref="K121">Common_InputFunctions.Utility_DisplayArrayInTable(Fertiliser_SourceData.Fertiliser_Products_Data1(),FertiliserProducts[[#Headers],[Include or Exclude]], 0,4)</f>
        <v/>
      </c>
      <c r="L121" s="185" t="str" cm="1">
        <f t="array" ref="L121">Common_InputFunctions.Utility_DisplayArrayInTable(Fertiliser_SourceData.Fertiliser_Products_Data1(),FertiliserProducts[[#Headers],[Include or Exclude]], 0,4)</f>
        <v/>
      </c>
      <c r="M121" s="185" t="str" cm="1">
        <f t="array" ref="M121">Common_InputFunctions.Utility_DisplayArrayInTable(Fertiliser_SourceData.Fertiliser_Products_Data1(),FertiliserProducts[[#Headers],[Include or Exclude]], 0,4)</f>
        <v/>
      </c>
      <c r="N121" s="185" t="str" cm="1">
        <f t="array" ref="N121">Common_InputFunctions.Utility_DisplayArrayInTable(Fertiliser_SourceData.Fertiliser_Products_Data1(),FertiliserProducts[[#Headers],[Include or Exclude]], 0,4)</f>
        <v/>
      </c>
      <c r="O121" s="185" t="str" cm="1">
        <f t="array" ref="O121">Common_InputFunctions.Utility_DisplayArrayInTable(Fertiliser_SourceData.Fertiliser_Products_Data1(),FertiliserProducts[[#Headers],[Include or Exclude]], 0,4)</f>
        <v/>
      </c>
      <c r="P121" s="185" t="str" cm="1">
        <f t="array" ref="P121">Common_InputFunctions.Utility_DisplayArrayInTable(Fertiliser_SourceData.Fertiliser_Products_Data1(),FertiliserProducts[[#Headers],[Include or Exclude]], 0,4)</f>
        <v/>
      </c>
      <c r="Q121" s="185" t="str" cm="1">
        <f t="array" ref="Q121">Common_InputFunctions.Utility_DisplayArrayInTable(Fertiliser_SourceData.Fertiliser_Products_Data1(),FertiliserProducts[[#Headers],[Include or Exclude]], 0,4)</f>
        <v/>
      </c>
      <c r="R121" s="185" t="str" cm="1">
        <f t="array" ref="R121">Common_InputFunctions.Utility_DisplayArrayInTable(Fertiliser_SourceData.Fertiliser_Products_Data1(),FertiliserProducts[[#Headers],[Include or Exclude]], 0,4)</f>
        <v/>
      </c>
      <c r="S121" s="185" t="str" cm="1">
        <f t="array" ref="S121">Common_InputFunctions.Utility_DisplayArrayInTable(Fertiliser_SourceData.Fertiliser_Products_Data1(),FertiliserProducts[[#Headers],[Include or Exclude]], 0,4)</f>
        <v/>
      </c>
      <c r="T121" s="185" t="str" cm="1">
        <f t="array" ref="T121">Common_InputFunctions.Utility_DisplayArrayInTable(Fertiliser_SourceData.Fertiliser_Products_Data1(),FertiliserProducts[[#Headers],[Include or Exclude]], 0,4)</f>
        <v/>
      </c>
      <c r="U121" s="185" t="str" cm="1">
        <f t="array" ref="U121">Common_InputFunctions.Utility_DisplayArrayInTable(Fertiliser_SourceData.Fertiliser_Products_Data1(),FertiliserProducts[[#Headers],[Include or Exclude]], 0,4)</f>
        <v/>
      </c>
      <c r="V121" s="185" t="str" cm="1">
        <f t="array" ref="V121">Common_InputFunctions.Utility_DisplayArrayInTable(Fertiliser_SourceData.Fertiliser_Products_Data1(),FertiliserProducts[[#Headers],[Include or Exclude]], 0,4)</f>
        <v/>
      </c>
      <c r="W121" s="185" t="str" cm="1">
        <f t="array" ref="W121">Common_InputFunctions.Utility_DisplayArrayInTable(Fertiliser_SourceData.Fertiliser_Products_Data1(),FertiliserProducts[[#Headers],[Include or Exclude]], 0,4)</f>
        <v/>
      </c>
      <c r="X121" s="185" t="str" cm="1">
        <f t="array" ref="X121">Common_InputFunctions.Utility_DisplayArrayInTable(Fertiliser_SourceData.Fertiliser_Products_Data1(),FertiliserProducts[[#Headers],[Include or Exclude]], 0,4)</f>
        <v/>
      </c>
      <c r="Y121" s="185" t="str" cm="1">
        <f t="array" ref="Y121">Common_InputFunctions.Utility_DisplayArrayInTable(Fertiliser_SourceData.Fertiliser_Products_Data1(),FertiliserProducts[[#Headers],[Include or Exclude]], 0,4)</f>
        <v/>
      </c>
      <c r="Z121" s="185" t="str" cm="1">
        <f t="array" ref="Z121">Common_InputFunctions.Utility_DisplayArrayInTable(Fertiliser_SourceData.Fertiliser_Products_Data1(),FertiliserProducts[[#Headers],[Include or Exclude]], 0,4)</f>
        <v/>
      </c>
      <c r="AA121" s="185" t="str" cm="1">
        <f t="array" ref="AA121">Common_InputFunctions.Utility_DisplayArrayInTable(Fertiliser_SourceData.Fertiliser_Products_Data1(),FertiliserProducts[[#Headers],[Include or Exclude]], 0,4)</f>
        <v/>
      </c>
      <c r="AB121" s="185" t="str" cm="1">
        <f t="array" ref="AB121">Common_InputFunctions.Utility_DisplayArrayInTable(Fertiliser_SourceData.Fertiliser_Products_Data1(),FertiliserProducts[[#Headers],[Include or Exclude]], 0,4)</f>
        <v/>
      </c>
      <c r="AC121" s="185" t="str" cm="1">
        <f t="array" ref="AC121">Common_InputFunctions.Utility_DisplayArrayInTable(Fertiliser_SourceData.Fertiliser_Products_Data1(),FertiliserProducts[[#Headers],[Include or Exclude]], 0,4)</f>
        <v/>
      </c>
      <c r="AD121" s="185" t="str" cm="1">
        <f t="array" ref="AD121">Common_InputFunctions.Utility_DisplayArrayInTable(Fertiliser_SourceData.Fertiliser_Products_Data1(),FertiliserProducts[[#Headers],[Include or Exclude]], 0,4)</f>
        <v/>
      </c>
      <c r="AE121" s="185" t="str" cm="1">
        <f t="array" ref="AE121">Common_InputFunctions.Utility_DisplayArrayInTable(Fertiliser_SourceData.Fertiliser_Products_Data1(),FertiliserProducts[[#Headers],[Include or Exclude]], 0,4)</f>
        <v/>
      </c>
    </row>
    <row r="122" spans="4:31" ht="20.100000000000001" customHeight="1" x14ac:dyDescent="0.25">
      <c r="D122" s="185" t="str" cm="1">
        <f t="array" ref="D122">Common_InputFunctions.Utility_DisplayArrayInTable(Fertiliser_SourceData.Fertiliser_Products_Data1(),FertiliserProducts[[#Headers],[Include or Exclude]], -1)</f>
        <v/>
      </c>
      <c r="E122" s="185" t="str" cm="1">
        <f t="array" ref="E122">Common_InputFunctions.Utility_DisplayArrayInTable(Fertiliser_SourceData.Fertiliser_Products_Data1(),FertiliserProducts[[#Headers],[Include or Exclude]], 0)</f>
        <v/>
      </c>
      <c r="F122" s="185" t="str" cm="1">
        <f t="array" ref="F122">Common_InputFunctions.Utility_DisplayArrayInTable(Fertiliser_SourceData.Fertiliser_Products_Data1(),FertiliserProducts[[#Headers],[Include or Exclude]], 0)</f>
        <v/>
      </c>
      <c r="G122" s="185" t="str" cm="1">
        <f t="array" ref="G122">Common_InputFunctions.Utility_DisplayArrayInTable(Fertiliser_SourceData.Fertiliser_Products_Data1(),FertiliserProducts[[#Headers],[Include or Exclude]], 0)</f>
        <v/>
      </c>
      <c r="H122" s="185" t="str" cm="1">
        <f t="array" ref="H122">Common_InputFunctions.Utility_DisplayArrayInTable(Fertiliser_SourceData.Fertiliser_Products_Data1(),FertiliserProducts[[#Headers],[Include or Exclude]], 0,4)</f>
        <v/>
      </c>
      <c r="I122" s="185" t="str" cm="1">
        <f t="array" ref="I122">Common_InputFunctions.Utility_DisplayArrayInTable(Fertiliser_SourceData.Fertiliser_Products_Data1(),FertiliserProducts[[#Headers],[Include or Exclude]], 0,4)</f>
        <v/>
      </c>
      <c r="J122" s="185" t="str" cm="1">
        <f t="array" ref="J122">Common_InputFunctions.Utility_DisplayArrayInTable(Fertiliser_SourceData.Fertiliser_Products_Data1(),FertiliserProducts[[#Headers],[Include or Exclude]], 0,4)</f>
        <v/>
      </c>
      <c r="K122" s="185" t="str" cm="1">
        <f t="array" ref="K122">Common_InputFunctions.Utility_DisplayArrayInTable(Fertiliser_SourceData.Fertiliser_Products_Data1(),FertiliserProducts[[#Headers],[Include or Exclude]], 0,4)</f>
        <v/>
      </c>
      <c r="L122" s="185" t="str" cm="1">
        <f t="array" ref="L122">Common_InputFunctions.Utility_DisplayArrayInTable(Fertiliser_SourceData.Fertiliser_Products_Data1(),FertiliserProducts[[#Headers],[Include or Exclude]], 0,4)</f>
        <v/>
      </c>
      <c r="M122" s="185" t="str" cm="1">
        <f t="array" ref="M122">Common_InputFunctions.Utility_DisplayArrayInTable(Fertiliser_SourceData.Fertiliser_Products_Data1(),FertiliserProducts[[#Headers],[Include or Exclude]], 0,4)</f>
        <v/>
      </c>
      <c r="N122" s="185" t="str" cm="1">
        <f t="array" ref="N122">Common_InputFunctions.Utility_DisplayArrayInTable(Fertiliser_SourceData.Fertiliser_Products_Data1(),FertiliserProducts[[#Headers],[Include or Exclude]], 0,4)</f>
        <v/>
      </c>
      <c r="O122" s="185" t="str" cm="1">
        <f t="array" ref="O122">Common_InputFunctions.Utility_DisplayArrayInTable(Fertiliser_SourceData.Fertiliser_Products_Data1(),FertiliserProducts[[#Headers],[Include or Exclude]], 0,4)</f>
        <v/>
      </c>
      <c r="P122" s="185" t="str" cm="1">
        <f t="array" ref="P122">Common_InputFunctions.Utility_DisplayArrayInTable(Fertiliser_SourceData.Fertiliser_Products_Data1(),FertiliserProducts[[#Headers],[Include or Exclude]], 0,4)</f>
        <v/>
      </c>
      <c r="Q122" s="185" t="str" cm="1">
        <f t="array" ref="Q122">Common_InputFunctions.Utility_DisplayArrayInTable(Fertiliser_SourceData.Fertiliser_Products_Data1(),FertiliserProducts[[#Headers],[Include or Exclude]], 0,4)</f>
        <v/>
      </c>
      <c r="R122" s="185" t="str" cm="1">
        <f t="array" ref="R122">Common_InputFunctions.Utility_DisplayArrayInTable(Fertiliser_SourceData.Fertiliser_Products_Data1(),FertiliserProducts[[#Headers],[Include or Exclude]], 0,4)</f>
        <v/>
      </c>
      <c r="S122" s="185" t="str" cm="1">
        <f t="array" ref="S122">Common_InputFunctions.Utility_DisplayArrayInTable(Fertiliser_SourceData.Fertiliser_Products_Data1(),FertiliserProducts[[#Headers],[Include or Exclude]], 0,4)</f>
        <v/>
      </c>
      <c r="T122" s="185" t="str" cm="1">
        <f t="array" ref="T122">Common_InputFunctions.Utility_DisplayArrayInTable(Fertiliser_SourceData.Fertiliser_Products_Data1(),FertiliserProducts[[#Headers],[Include or Exclude]], 0,4)</f>
        <v/>
      </c>
      <c r="U122" s="185" t="str" cm="1">
        <f t="array" ref="U122">Common_InputFunctions.Utility_DisplayArrayInTable(Fertiliser_SourceData.Fertiliser_Products_Data1(),FertiliserProducts[[#Headers],[Include or Exclude]], 0,4)</f>
        <v/>
      </c>
      <c r="V122" s="185" t="str" cm="1">
        <f t="array" ref="V122">Common_InputFunctions.Utility_DisplayArrayInTable(Fertiliser_SourceData.Fertiliser_Products_Data1(),FertiliserProducts[[#Headers],[Include or Exclude]], 0,4)</f>
        <v/>
      </c>
      <c r="W122" s="185" t="str" cm="1">
        <f t="array" ref="W122">Common_InputFunctions.Utility_DisplayArrayInTable(Fertiliser_SourceData.Fertiliser_Products_Data1(),FertiliserProducts[[#Headers],[Include or Exclude]], 0,4)</f>
        <v/>
      </c>
      <c r="X122" s="185" t="str" cm="1">
        <f t="array" ref="X122">Common_InputFunctions.Utility_DisplayArrayInTable(Fertiliser_SourceData.Fertiliser_Products_Data1(),FertiliserProducts[[#Headers],[Include or Exclude]], 0,4)</f>
        <v/>
      </c>
      <c r="Y122" s="185" t="str" cm="1">
        <f t="array" ref="Y122">Common_InputFunctions.Utility_DisplayArrayInTable(Fertiliser_SourceData.Fertiliser_Products_Data1(),FertiliserProducts[[#Headers],[Include or Exclude]], 0,4)</f>
        <v/>
      </c>
      <c r="Z122" s="185" t="str" cm="1">
        <f t="array" ref="Z122">Common_InputFunctions.Utility_DisplayArrayInTable(Fertiliser_SourceData.Fertiliser_Products_Data1(),FertiliserProducts[[#Headers],[Include or Exclude]], 0,4)</f>
        <v/>
      </c>
      <c r="AA122" s="185" t="str" cm="1">
        <f t="array" ref="AA122">Common_InputFunctions.Utility_DisplayArrayInTable(Fertiliser_SourceData.Fertiliser_Products_Data1(),FertiliserProducts[[#Headers],[Include or Exclude]], 0,4)</f>
        <v/>
      </c>
      <c r="AB122" s="185" t="str" cm="1">
        <f t="array" ref="AB122">Common_InputFunctions.Utility_DisplayArrayInTable(Fertiliser_SourceData.Fertiliser_Products_Data1(),FertiliserProducts[[#Headers],[Include or Exclude]], 0,4)</f>
        <v/>
      </c>
      <c r="AC122" s="185" t="str" cm="1">
        <f t="array" ref="AC122">Common_InputFunctions.Utility_DisplayArrayInTable(Fertiliser_SourceData.Fertiliser_Products_Data1(),FertiliserProducts[[#Headers],[Include or Exclude]], 0,4)</f>
        <v/>
      </c>
      <c r="AD122" s="185" t="str" cm="1">
        <f t="array" ref="AD122">Common_InputFunctions.Utility_DisplayArrayInTable(Fertiliser_SourceData.Fertiliser_Products_Data1(),FertiliserProducts[[#Headers],[Include or Exclude]], 0,4)</f>
        <v/>
      </c>
      <c r="AE122" s="185" t="str" cm="1">
        <f t="array" ref="AE122">Common_InputFunctions.Utility_DisplayArrayInTable(Fertiliser_SourceData.Fertiliser_Products_Data1(),FertiliserProducts[[#Headers],[Include or Exclude]], 0,4)</f>
        <v/>
      </c>
    </row>
    <row r="123" spans="4:31" ht="20.100000000000001" customHeight="1" x14ac:dyDescent="0.25">
      <c r="D123" s="185" t="str" cm="1">
        <f t="array" ref="D123">Common_InputFunctions.Utility_DisplayArrayInTable(Fertiliser_SourceData.Fertiliser_Products_Data1(),FertiliserProducts[[#Headers],[Include or Exclude]], -1)</f>
        <v/>
      </c>
      <c r="E123" s="185" t="str" cm="1">
        <f t="array" ref="E123">Common_InputFunctions.Utility_DisplayArrayInTable(Fertiliser_SourceData.Fertiliser_Products_Data1(),FertiliserProducts[[#Headers],[Include or Exclude]], 0)</f>
        <v/>
      </c>
      <c r="F123" s="185" t="str" cm="1">
        <f t="array" ref="F123">Common_InputFunctions.Utility_DisplayArrayInTable(Fertiliser_SourceData.Fertiliser_Products_Data1(),FertiliserProducts[[#Headers],[Include or Exclude]], 0)</f>
        <v/>
      </c>
      <c r="G123" s="185" t="str" cm="1">
        <f t="array" ref="G123">Common_InputFunctions.Utility_DisplayArrayInTable(Fertiliser_SourceData.Fertiliser_Products_Data1(),FertiliserProducts[[#Headers],[Include or Exclude]], 0)</f>
        <v/>
      </c>
      <c r="H123" s="185" t="str" cm="1">
        <f t="array" ref="H123">Common_InputFunctions.Utility_DisplayArrayInTable(Fertiliser_SourceData.Fertiliser_Products_Data1(),FertiliserProducts[[#Headers],[Include or Exclude]], 0,4)</f>
        <v/>
      </c>
      <c r="I123" s="185" t="str" cm="1">
        <f t="array" ref="I123">Common_InputFunctions.Utility_DisplayArrayInTable(Fertiliser_SourceData.Fertiliser_Products_Data1(),FertiliserProducts[[#Headers],[Include or Exclude]], 0,4)</f>
        <v/>
      </c>
      <c r="J123" s="185" t="str" cm="1">
        <f t="array" ref="J123">Common_InputFunctions.Utility_DisplayArrayInTable(Fertiliser_SourceData.Fertiliser_Products_Data1(),FertiliserProducts[[#Headers],[Include or Exclude]], 0,4)</f>
        <v/>
      </c>
      <c r="K123" s="185" t="str" cm="1">
        <f t="array" ref="K123">Common_InputFunctions.Utility_DisplayArrayInTable(Fertiliser_SourceData.Fertiliser_Products_Data1(),FertiliserProducts[[#Headers],[Include or Exclude]], 0,4)</f>
        <v/>
      </c>
      <c r="L123" s="185" t="str" cm="1">
        <f t="array" ref="L123">Common_InputFunctions.Utility_DisplayArrayInTable(Fertiliser_SourceData.Fertiliser_Products_Data1(),FertiliserProducts[[#Headers],[Include or Exclude]], 0,4)</f>
        <v/>
      </c>
      <c r="M123" s="185" t="str" cm="1">
        <f t="array" ref="M123">Common_InputFunctions.Utility_DisplayArrayInTable(Fertiliser_SourceData.Fertiliser_Products_Data1(),FertiliserProducts[[#Headers],[Include or Exclude]], 0,4)</f>
        <v/>
      </c>
      <c r="N123" s="185" t="str" cm="1">
        <f t="array" ref="N123">Common_InputFunctions.Utility_DisplayArrayInTable(Fertiliser_SourceData.Fertiliser_Products_Data1(),FertiliserProducts[[#Headers],[Include or Exclude]], 0,4)</f>
        <v/>
      </c>
      <c r="O123" s="185" t="str" cm="1">
        <f t="array" ref="O123">Common_InputFunctions.Utility_DisplayArrayInTable(Fertiliser_SourceData.Fertiliser_Products_Data1(),FertiliserProducts[[#Headers],[Include or Exclude]], 0,4)</f>
        <v/>
      </c>
      <c r="P123" s="185" t="str" cm="1">
        <f t="array" ref="P123">Common_InputFunctions.Utility_DisplayArrayInTable(Fertiliser_SourceData.Fertiliser_Products_Data1(),FertiliserProducts[[#Headers],[Include or Exclude]], 0,4)</f>
        <v/>
      </c>
      <c r="Q123" s="185" t="str" cm="1">
        <f t="array" ref="Q123">Common_InputFunctions.Utility_DisplayArrayInTable(Fertiliser_SourceData.Fertiliser_Products_Data1(),FertiliserProducts[[#Headers],[Include or Exclude]], 0,4)</f>
        <v/>
      </c>
      <c r="R123" s="185" t="str" cm="1">
        <f t="array" ref="R123">Common_InputFunctions.Utility_DisplayArrayInTable(Fertiliser_SourceData.Fertiliser_Products_Data1(),FertiliserProducts[[#Headers],[Include or Exclude]], 0,4)</f>
        <v/>
      </c>
      <c r="S123" s="185" t="str" cm="1">
        <f t="array" ref="S123">Common_InputFunctions.Utility_DisplayArrayInTable(Fertiliser_SourceData.Fertiliser_Products_Data1(),FertiliserProducts[[#Headers],[Include or Exclude]], 0,4)</f>
        <v/>
      </c>
      <c r="T123" s="185" t="str" cm="1">
        <f t="array" ref="T123">Common_InputFunctions.Utility_DisplayArrayInTable(Fertiliser_SourceData.Fertiliser_Products_Data1(),FertiliserProducts[[#Headers],[Include or Exclude]], 0,4)</f>
        <v/>
      </c>
      <c r="U123" s="185" t="str" cm="1">
        <f t="array" ref="U123">Common_InputFunctions.Utility_DisplayArrayInTable(Fertiliser_SourceData.Fertiliser_Products_Data1(),FertiliserProducts[[#Headers],[Include or Exclude]], 0,4)</f>
        <v/>
      </c>
      <c r="V123" s="185" t="str" cm="1">
        <f t="array" ref="V123">Common_InputFunctions.Utility_DisplayArrayInTable(Fertiliser_SourceData.Fertiliser_Products_Data1(),FertiliserProducts[[#Headers],[Include or Exclude]], 0,4)</f>
        <v/>
      </c>
      <c r="W123" s="185" t="str" cm="1">
        <f t="array" ref="W123">Common_InputFunctions.Utility_DisplayArrayInTable(Fertiliser_SourceData.Fertiliser_Products_Data1(),FertiliserProducts[[#Headers],[Include or Exclude]], 0,4)</f>
        <v/>
      </c>
      <c r="X123" s="185" t="str" cm="1">
        <f t="array" ref="X123">Common_InputFunctions.Utility_DisplayArrayInTable(Fertiliser_SourceData.Fertiliser_Products_Data1(),FertiliserProducts[[#Headers],[Include or Exclude]], 0,4)</f>
        <v/>
      </c>
      <c r="Y123" s="185" t="str" cm="1">
        <f t="array" ref="Y123">Common_InputFunctions.Utility_DisplayArrayInTable(Fertiliser_SourceData.Fertiliser_Products_Data1(),FertiliserProducts[[#Headers],[Include or Exclude]], 0,4)</f>
        <v/>
      </c>
      <c r="Z123" s="185" t="str" cm="1">
        <f t="array" ref="Z123">Common_InputFunctions.Utility_DisplayArrayInTable(Fertiliser_SourceData.Fertiliser_Products_Data1(),FertiliserProducts[[#Headers],[Include or Exclude]], 0,4)</f>
        <v/>
      </c>
      <c r="AA123" s="185" t="str" cm="1">
        <f t="array" ref="AA123">Common_InputFunctions.Utility_DisplayArrayInTable(Fertiliser_SourceData.Fertiliser_Products_Data1(),FertiliserProducts[[#Headers],[Include or Exclude]], 0,4)</f>
        <v/>
      </c>
      <c r="AB123" s="185" t="str" cm="1">
        <f t="array" ref="AB123">Common_InputFunctions.Utility_DisplayArrayInTable(Fertiliser_SourceData.Fertiliser_Products_Data1(),FertiliserProducts[[#Headers],[Include or Exclude]], 0,4)</f>
        <v/>
      </c>
      <c r="AC123" s="185" t="str" cm="1">
        <f t="array" ref="AC123">Common_InputFunctions.Utility_DisplayArrayInTable(Fertiliser_SourceData.Fertiliser_Products_Data1(),FertiliserProducts[[#Headers],[Include or Exclude]], 0,4)</f>
        <v/>
      </c>
      <c r="AD123" s="185" t="str" cm="1">
        <f t="array" ref="AD123">Common_InputFunctions.Utility_DisplayArrayInTable(Fertiliser_SourceData.Fertiliser_Products_Data1(),FertiliserProducts[[#Headers],[Include or Exclude]], 0,4)</f>
        <v/>
      </c>
      <c r="AE123" s="185" t="str" cm="1">
        <f t="array" ref="AE123">Common_InputFunctions.Utility_DisplayArrayInTable(Fertiliser_SourceData.Fertiliser_Products_Data1(),FertiliserProducts[[#Headers],[Include or Exclude]], 0,4)</f>
        <v/>
      </c>
    </row>
    <row r="124" spans="4:31" ht="20.100000000000001" customHeight="1" x14ac:dyDescent="0.25">
      <c r="D124" s="185" t="str" cm="1">
        <f t="array" ref="D124">Common_InputFunctions.Utility_DisplayArrayInTable(Fertiliser_SourceData.Fertiliser_Products_Data1(),FertiliserProducts[[#Headers],[Include or Exclude]], -1)</f>
        <v/>
      </c>
      <c r="E124" s="185" t="str" cm="1">
        <f t="array" ref="E124">Common_InputFunctions.Utility_DisplayArrayInTable(Fertiliser_SourceData.Fertiliser_Products_Data1(),FertiliserProducts[[#Headers],[Include or Exclude]], 0)</f>
        <v/>
      </c>
      <c r="F124" s="185" t="str" cm="1">
        <f t="array" ref="F124">Common_InputFunctions.Utility_DisplayArrayInTable(Fertiliser_SourceData.Fertiliser_Products_Data1(),FertiliserProducts[[#Headers],[Include or Exclude]], 0)</f>
        <v/>
      </c>
      <c r="G124" s="185" t="str" cm="1">
        <f t="array" ref="G124">Common_InputFunctions.Utility_DisplayArrayInTable(Fertiliser_SourceData.Fertiliser_Products_Data1(),FertiliserProducts[[#Headers],[Include or Exclude]], 0)</f>
        <v/>
      </c>
      <c r="H124" s="185" t="str" cm="1">
        <f t="array" ref="H124">Common_InputFunctions.Utility_DisplayArrayInTable(Fertiliser_SourceData.Fertiliser_Products_Data1(),FertiliserProducts[[#Headers],[Include or Exclude]], 0,4)</f>
        <v/>
      </c>
      <c r="I124" s="185" t="str" cm="1">
        <f t="array" ref="I124">Common_InputFunctions.Utility_DisplayArrayInTable(Fertiliser_SourceData.Fertiliser_Products_Data1(),FertiliserProducts[[#Headers],[Include or Exclude]], 0,4)</f>
        <v/>
      </c>
      <c r="J124" s="185" t="str" cm="1">
        <f t="array" ref="J124">Common_InputFunctions.Utility_DisplayArrayInTable(Fertiliser_SourceData.Fertiliser_Products_Data1(),FertiliserProducts[[#Headers],[Include or Exclude]], 0,4)</f>
        <v/>
      </c>
      <c r="K124" s="185" t="str" cm="1">
        <f t="array" ref="K124">Common_InputFunctions.Utility_DisplayArrayInTable(Fertiliser_SourceData.Fertiliser_Products_Data1(),FertiliserProducts[[#Headers],[Include or Exclude]], 0,4)</f>
        <v/>
      </c>
      <c r="L124" s="185" t="str" cm="1">
        <f t="array" ref="L124">Common_InputFunctions.Utility_DisplayArrayInTable(Fertiliser_SourceData.Fertiliser_Products_Data1(),FertiliserProducts[[#Headers],[Include or Exclude]], 0,4)</f>
        <v/>
      </c>
      <c r="M124" s="185" t="str" cm="1">
        <f t="array" ref="M124">Common_InputFunctions.Utility_DisplayArrayInTable(Fertiliser_SourceData.Fertiliser_Products_Data1(),FertiliserProducts[[#Headers],[Include or Exclude]], 0,4)</f>
        <v/>
      </c>
      <c r="N124" s="185" t="str" cm="1">
        <f t="array" ref="N124">Common_InputFunctions.Utility_DisplayArrayInTable(Fertiliser_SourceData.Fertiliser_Products_Data1(),FertiliserProducts[[#Headers],[Include or Exclude]], 0,4)</f>
        <v/>
      </c>
      <c r="O124" s="185" t="str" cm="1">
        <f t="array" ref="O124">Common_InputFunctions.Utility_DisplayArrayInTable(Fertiliser_SourceData.Fertiliser_Products_Data1(),FertiliserProducts[[#Headers],[Include or Exclude]], 0,4)</f>
        <v/>
      </c>
      <c r="P124" s="185" t="str" cm="1">
        <f t="array" ref="P124">Common_InputFunctions.Utility_DisplayArrayInTable(Fertiliser_SourceData.Fertiliser_Products_Data1(),FertiliserProducts[[#Headers],[Include or Exclude]], 0,4)</f>
        <v/>
      </c>
      <c r="Q124" s="185" t="str" cm="1">
        <f t="array" ref="Q124">Common_InputFunctions.Utility_DisplayArrayInTable(Fertiliser_SourceData.Fertiliser_Products_Data1(),FertiliserProducts[[#Headers],[Include or Exclude]], 0,4)</f>
        <v/>
      </c>
      <c r="R124" s="185" t="str" cm="1">
        <f t="array" ref="R124">Common_InputFunctions.Utility_DisplayArrayInTable(Fertiliser_SourceData.Fertiliser_Products_Data1(),FertiliserProducts[[#Headers],[Include or Exclude]], 0,4)</f>
        <v/>
      </c>
      <c r="S124" s="185" t="str" cm="1">
        <f t="array" ref="S124">Common_InputFunctions.Utility_DisplayArrayInTable(Fertiliser_SourceData.Fertiliser_Products_Data1(),FertiliserProducts[[#Headers],[Include or Exclude]], 0,4)</f>
        <v/>
      </c>
      <c r="T124" s="185" t="str" cm="1">
        <f t="array" ref="T124">Common_InputFunctions.Utility_DisplayArrayInTable(Fertiliser_SourceData.Fertiliser_Products_Data1(),FertiliserProducts[[#Headers],[Include or Exclude]], 0,4)</f>
        <v/>
      </c>
      <c r="U124" s="185" t="str" cm="1">
        <f t="array" ref="U124">Common_InputFunctions.Utility_DisplayArrayInTable(Fertiliser_SourceData.Fertiliser_Products_Data1(),FertiliserProducts[[#Headers],[Include or Exclude]], 0,4)</f>
        <v/>
      </c>
      <c r="V124" s="185" t="str" cm="1">
        <f t="array" ref="V124">Common_InputFunctions.Utility_DisplayArrayInTable(Fertiliser_SourceData.Fertiliser_Products_Data1(),FertiliserProducts[[#Headers],[Include or Exclude]], 0,4)</f>
        <v/>
      </c>
      <c r="W124" s="185" t="str" cm="1">
        <f t="array" ref="W124">Common_InputFunctions.Utility_DisplayArrayInTable(Fertiliser_SourceData.Fertiliser_Products_Data1(),FertiliserProducts[[#Headers],[Include or Exclude]], 0,4)</f>
        <v/>
      </c>
      <c r="X124" s="185" t="str" cm="1">
        <f t="array" ref="X124">Common_InputFunctions.Utility_DisplayArrayInTable(Fertiliser_SourceData.Fertiliser_Products_Data1(),FertiliserProducts[[#Headers],[Include or Exclude]], 0,4)</f>
        <v/>
      </c>
      <c r="Y124" s="185" t="str" cm="1">
        <f t="array" ref="Y124">Common_InputFunctions.Utility_DisplayArrayInTable(Fertiliser_SourceData.Fertiliser_Products_Data1(),FertiliserProducts[[#Headers],[Include or Exclude]], 0,4)</f>
        <v/>
      </c>
      <c r="Z124" s="185" t="str" cm="1">
        <f t="array" ref="Z124">Common_InputFunctions.Utility_DisplayArrayInTable(Fertiliser_SourceData.Fertiliser_Products_Data1(),FertiliserProducts[[#Headers],[Include or Exclude]], 0,4)</f>
        <v/>
      </c>
      <c r="AA124" s="185" t="str" cm="1">
        <f t="array" ref="AA124">Common_InputFunctions.Utility_DisplayArrayInTable(Fertiliser_SourceData.Fertiliser_Products_Data1(),FertiliserProducts[[#Headers],[Include or Exclude]], 0,4)</f>
        <v/>
      </c>
      <c r="AB124" s="185" t="str" cm="1">
        <f t="array" ref="AB124">Common_InputFunctions.Utility_DisplayArrayInTable(Fertiliser_SourceData.Fertiliser_Products_Data1(),FertiliserProducts[[#Headers],[Include or Exclude]], 0,4)</f>
        <v/>
      </c>
      <c r="AC124" s="185" t="str" cm="1">
        <f t="array" ref="AC124">Common_InputFunctions.Utility_DisplayArrayInTable(Fertiliser_SourceData.Fertiliser_Products_Data1(),FertiliserProducts[[#Headers],[Include or Exclude]], 0,4)</f>
        <v/>
      </c>
      <c r="AD124" s="185" t="str" cm="1">
        <f t="array" ref="AD124">Common_InputFunctions.Utility_DisplayArrayInTable(Fertiliser_SourceData.Fertiliser_Products_Data1(),FertiliserProducts[[#Headers],[Include or Exclude]], 0,4)</f>
        <v/>
      </c>
      <c r="AE124" s="185" t="str" cm="1">
        <f t="array" ref="AE124">Common_InputFunctions.Utility_DisplayArrayInTable(Fertiliser_SourceData.Fertiliser_Products_Data1(),FertiliserProducts[[#Headers],[Include or Exclude]], 0,4)</f>
        <v/>
      </c>
    </row>
    <row r="125" spans="4:31" ht="20.100000000000001" customHeight="1" x14ac:dyDescent="0.25">
      <c r="D125" s="185" t="str" cm="1">
        <f t="array" ref="D125">Common_InputFunctions.Utility_DisplayArrayInTable(Fertiliser_SourceData.Fertiliser_Products_Data1(),FertiliserProducts[[#Headers],[Include or Exclude]], -1)</f>
        <v/>
      </c>
      <c r="E125" s="185" t="str" cm="1">
        <f t="array" ref="E125">Common_InputFunctions.Utility_DisplayArrayInTable(Fertiliser_SourceData.Fertiliser_Products_Data1(),FertiliserProducts[[#Headers],[Include or Exclude]], 0)</f>
        <v/>
      </c>
      <c r="F125" s="185" t="str" cm="1">
        <f t="array" ref="F125">Common_InputFunctions.Utility_DisplayArrayInTable(Fertiliser_SourceData.Fertiliser_Products_Data1(),FertiliserProducts[[#Headers],[Include or Exclude]], 0)</f>
        <v/>
      </c>
      <c r="G125" s="185" t="str" cm="1">
        <f t="array" ref="G125">Common_InputFunctions.Utility_DisplayArrayInTable(Fertiliser_SourceData.Fertiliser_Products_Data1(),FertiliserProducts[[#Headers],[Include or Exclude]], 0)</f>
        <v/>
      </c>
      <c r="H125" s="185" t="str" cm="1">
        <f t="array" ref="H125">Common_InputFunctions.Utility_DisplayArrayInTable(Fertiliser_SourceData.Fertiliser_Products_Data1(),FertiliserProducts[[#Headers],[Include or Exclude]], 0,4)</f>
        <v/>
      </c>
      <c r="I125" s="185" t="str" cm="1">
        <f t="array" ref="I125">Common_InputFunctions.Utility_DisplayArrayInTable(Fertiliser_SourceData.Fertiliser_Products_Data1(),FertiliserProducts[[#Headers],[Include or Exclude]], 0,4)</f>
        <v/>
      </c>
      <c r="J125" s="185" t="str" cm="1">
        <f t="array" ref="J125">Common_InputFunctions.Utility_DisplayArrayInTable(Fertiliser_SourceData.Fertiliser_Products_Data1(),FertiliserProducts[[#Headers],[Include or Exclude]], 0,4)</f>
        <v/>
      </c>
      <c r="K125" s="185" t="str" cm="1">
        <f t="array" ref="K125">Common_InputFunctions.Utility_DisplayArrayInTable(Fertiliser_SourceData.Fertiliser_Products_Data1(),FertiliserProducts[[#Headers],[Include or Exclude]], 0,4)</f>
        <v/>
      </c>
      <c r="L125" s="185" t="str" cm="1">
        <f t="array" ref="L125">Common_InputFunctions.Utility_DisplayArrayInTable(Fertiliser_SourceData.Fertiliser_Products_Data1(),FertiliserProducts[[#Headers],[Include or Exclude]], 0,4)</f>
        <v/>
      </c>
      <c r="M125" s="185" t="str" cm="1">
        <f t="array" ref="M125">Common_InputFunctions.Utility_DisplayArrayInTable(Fertiliser_SourceData.Fertiliser_Products_Data1(),FertiliserProducts[[#Headers],[Include or Exclude]], 0,4)</f>
        <v/>
      </c>
      <c r="N125" s="185" t="str" cm="1">
        <f t="array" ref="N125">Common_InputFunctions.Utility_DisplayArrayInTable(Fertiliser_SourceData.Fertiliser_Products_Data1(),FertiliserProducts[[#Headers],[Include or Exclude]], 0,4)</f>
        <v/>
      </c>
      <c r="O125" s="185" t="str" cm="1">
        <f t="array" ref="O125">Common_InputFunctions.Utility_DisplayArrayInTable(Fertiliser_SourceData.Fertiliser_Products_Data1(),FertiliserProducts[[#Headers],[Include or Exclude]], 0,4)</f>
        <v/>
      </c>
      <c r="P125" s="185" t="str" cm="1">
        <f t="array" ref="P125">Common_InputFunctions.Utility_DisplayArrayInTable(Fertiliser_SourceData.Fertiliser_Products_Data1(),FertiliserProducts[[#Headers],[Include or Exclude]], 0,4)</f>
        <v/>
      </c>
      <c r="Q125" s="185" t="str" cm="1">
        <f t="array" ref="Q125">Common_InputFunctions.Utility_DisplayArrayInTable(Fertiliser_SourceData.Fertiliser_Products_Data1(),FertiliserProducts[[#Headers],[Include or Exclude]], 0,4)</f>
        <v/>
      </c>
      <c r="R125" s="185" t="str" cm="1">
        <f t="array" ref="R125">Common_InputFunctions.Utility_DisplayArrayInTable(Fertiliser_SourceData.Fertiliser_Products_Data1(),FertiliserProducts[[#Headers],[Include or Exclude]], 0,4)</f>
        <v/>
      </c>
      <c r="S125" s="185" t="str" cm="1">
        <f t="array" ref="S125">Common_InputFunctions.Utility_DisplayArrayInTable(Fertiliser_SourceData.Fertiliser_Products_Data1(),FertiliserProducts[[#Headers],[Include or Exclude]], 0,4)</f>
        <v/>
      </c>
      <c r="T125" s="185" t="str" cm="1">
        <f t="array" ref="T125">Common_InputFunctions.Utility_DisplayArrayInTable(Fertiliser_SourceData.Fertiliser_Products_Data1(),FertiliserProducts[[#Headers],[Include or Exclude]], 0,4)</f>
        <v/>
      </c>
      <c r="U125" s="185" t="str" cm="1">
        <f t="array" ref="U125">Common_InputFunctions.Utility_DisplayArrayInTable(Fertiliser_SourceData.Fertiliser_Products_Data1(),FertiliserProducts[[#Headers],[Include or Exclude]], 0,4)</f>
        <v/>
      </c>
      <c r="V125" s="185" t="str" cm="1">
        <f t="array" ref="V125">Common_InputFunctions.Utility_DisplayArrayInTable(Fertiliser_SourceData.Fertiliser_Products_Data1(),FertiliserProducts[[#Headers],[Include or Exclude]], 0,4)</f>
        <v/>
      </c>
      <c r="W125" s="185" t="str" cm="1">
        <f t="array" ref="W125">Common_InputFunctions.Utility_DisplayArrayInTable(Fertiliser_SourceData.Fertiliser_Products_Data1(),FertiliserProducts[[#Headers],[Include or Exclude]], 0,4)</f>
        <v/>
      </c>
      <c r="X125" s="185" t="str" cm="1">
        <f t="array" ref="X125">Common_InputFunctions.Utility_DisplayArrayInTable(Fertiliser_SourceData.Fertiliser_Products_Data1(),FertiliserProducts[[#Headers],[Include or Exclude]], 0,4)</f>
        <v/>
      </c>
      <c r="Y125" s="185" t="str" cm="1">
        <f t="array" ref="Y125">Common_InputFunctions.Utility_DisplayArrayInTable(Fertiliser_SourceData.Fertiliser_Products_Data1(),FertiliserProducts[[#Headers],[Include or Exclude]], 0,4)</f>
        <v/>
      </c>
      <c r="Z125" s="185" t="str" cm="1">
        <f t="array" ref="Z125">Common_InputFunctions.Utility_DisplayArrayInTable(Fertiliser_SourceData.Fertiliser_Products_Data1(),FertiliserProducts[[#Headers],[Include or Exclude]], 0,4)</f>
        <v/>
      </c>
      <c r="AA125" s="185" t="str" cm="1">
        <f t="array" ref="AA125">Common_InputFunctions.Utility_DisplayArrayInTable(Fertiliser_SourceData.Fertiliser_Products_Data1(),FertiliserProducts[[#Headers],[Include or Exclude]], 0,4)</f>
        <v/>
      </c>
      <c r="AB125" s="185" t="str" cm="1">
        <f t="array" ref="AB125">Common_InputFunctions.Utility_DisplayArrayInTable(Fertiliser_SourceData.Fertiliser_Products_Data1(),FertiliserProducts[[#Headers],[Include or Exclude]], 0,4)</f>
        <v/>
      </c>
      <c r="AC125" s="185" t="str" cm="1">
        <f t="array" ref="AC125">Common_InputFunctions.Utility_DisplayArrayInTable(Fertiliser_SourceData.Fertiliser_Products_Data1(),FertiliserProducts[[#Headers],[Include or Exclude]], 0,4)</f>
        <v/>
      </c>
      <c r="AD125" s="185" t="str" cm="1">
        <f t="array" ref="AD125">Common_InputFunctions.Utility_DisplayArrayInTable(Fertiliser_SourceData.Fertiliser_Products_Data1(),FertiliserProducts[[#Headers],[Include or Exclude]], 0,4)</f>
        <v/>
      </c>
      <c r="AE125" s="185" t="str" cm="1">
        <f t="array" ref="AE125">Common_InputFunctions.Utility_DisplayArrayInTable(Fertiliser_SourceData.Fertiliser_Products_Data1(),FertiliserProducts[[#Headers],[Include or Exclude]], 0,4)</f>
        <v/>
      </c>
    </row>
    <row r="126" spans="4:31" ht="20.100000000000001" customHeight="1" x14ac:dyDescent="0.25">
      <c r="D126" s="185" t="str" cm="1">
        <f t="array" ref="D126">Common_InputFunctions.Utility_DisplayArrayInTable(Fertiliser_SourceData.Fertiliser_Products_Data1(),FertiliserProducts[[#Headers],[Include or Exclude]], -1)</f>
        <v/>
      </c>
      <c r="E126" s="185" t="str" cm="1">
        <f t="array" ref="E126">Common_InputFunctions.Utility_DisplayArrayInTable(Fertiliser_SourceData.Fertiliser_Products_Data1(),FertiliserProducts[[#Headers],[Include or Exclude]], 0)</f>
        <v/>
      </c>
      <c r="F126" s="185" t="str" cm="1">
        <f t="array" ref="F126">Common_InputFunctions.Utility_DisplayArrayInTable(Fertiliser_SourceData.Fertiliser_Products_Data1(),FertiliserProducts[[#Headers],[Include or Exclude]], 0)</f>
        <v/>
      </c>
      <c r="G126" s="185" t="str" cm="1">
        <f t="array" ref="G126">Common_InputFunctions.Utility_DisplayArrayInTable(Fertiliser_SourceData.Fertiliser_Products_Data1(),FertiliserProducts[[#Headers],[Include or Exclude]], 0)</f>
        <v/>
      </c>
      <c r="H126" s="185" t="str" cm="1">
        <f t="array" ref="H126">Common_InputFunctions.Utility_DisplayArrayInTable(Fertiliser_SourceData.Fertiliser_Products_Data1(),FertiliserProducts[[#Headers],[Include or Exclude]], 0,4)</f>
        <v/>
      </c>
      <c r="I126" s="185" t="str" cm="1">
        <f t="array" ref="I126">Common_InputFunctions.Utility_DisplayArrayInTable(Fertiliser_SourceData.Fertiliser_Products_Data1(),FertiliserProducts[[#Headers],[Include or Exclude]], 0,4)</f>
        <v/>
      </c>
      <c r="J126" s="185" t="str" cm="1">
        <f t="array" ref="J126">Common_InputFunctions.Utility_DisplayArrayInTable(Fertiliser_SourceData.Fertiliser_Products_Data1(),FertiliserProducts[[#Headers],[Include or Exclude]], 0,4)</f>
        <v/>
      </c>
      <c r="K126" s="185" t="str" cm="1">
        <f t="array" ref="K126">Common_InputFunctions.Utility_DisplayArrayInTable(Fertiliser_SourceData.Fertiliser_Products_Data1(),FertiliserProducts[[#Headers],[Include or Exclude]], 0,4)</f>
        <v/>
      </c>
      <c r="L126" s="185" t="str" cm="1">
        <f t="array" ref="L126">Common_InputFunctions.Utility_DisplayArrayInTable(Fertiliser_SourceData.Fertiliser_Products_Data1(),FertiliserProducts[[#Headers],[Include or Exclude]], 0,4)</f>
        <v/>
      </c>
      <c r="M126" s="185" t="str" cm="1">
        <f t="array" ref="M126">Common_InputFunctions.Utility_DisplayArrayInTable(Fertiliser_SourceData.Fertiliser_Products_Data1(),FertiliserProducts[[#Headers],[Include or Exclude]], 0,4)</f>
        <v/>
      </c>
      <c r="N126" s="185" t="str" cm="1">
        <f t="array" ref="N126">Common_InputFunctions.Utility_DisplayArrayInTable(Fertiliser_SourceData.Fertiliser_Products_Data1(),FertiliserProducts[[#Headers],[Include or Exclude]], 0,4)</f>
        <v/>
      </c>
      <c r="O126" s="185" t="str" cm="1">
        <f t="array" ref="O126">Common_InputFunctions.Utility_DisplayArrayInTable(Fertiliser_SourceData.Fertiliser_Products_Data1(),FertiliserProducts[[#Headers],[Include or Exclude]], 0,4)</f>
        <v/>
      </c>
      <c r="P126" s="185" t="str" cm="1">
        <f t="array" ref="P126">Common_InputFunctions.Utility_DisplayArrayInTable(Fertiliser_SourceData.Fertiliser_Products_Data1(),FertiliserProducts[[#Headers],[Include or Exclude]], 0,4)</f>
        <v/>
      </c>
      <c r="Q126" s="185" t="str" cm="1">
        <f t="array" ref="Q126">Common_InputFunctions.Utility_DisplayArrayInTable(Fertiliser_SourceData.Fertiliser_Products_Data1(),FertiliserProducts[[#Headers],[Include or Exclude]], 0,4)</f>
        <v/>
      </c>
      <c r="R126" s="185" t="str" cm="1">
        <f t="array" ref="R126">Common_InputFunctions.Utility_DisplayArrayInTable(Fertiliser_SourceData.Fertiliser_Products_Data1(),FertiliserProducts[[#Headers],[Include or Exclude]], 0,4)</f>
        <v/>
      </c>
      <c r="S126" s="185" t="str" cm="1">
        <f t="array" ref="S126">Common_InputFunctions.Utility_DisplayArrayInTable(Fertiliser_SourceData.Fertiliser_Products_Data1(),FertiliserProducts[[#Headers],[Include or Exclude]], 0,4)</f>
        <v/>
      </c>
      <c r="T126" s="185" t="str" cm="1">
        <f t="array" ref="T126">Common_InputFunctions.Utility_DisplayArrayInTable(Fertiliser_SourceData.Fertiliser_Products_Data1(),FertiliserProducts[[#Headers],[Include or Exclude]], 0,4)</f>
        <v/>
      </c>
      <c r="U126" s="185" t="str" cm="1">
        <f t="array" ref="U126">Common_InputFunctions.Utility_DisplayArrayInTable(Fertiliser_SourceData.Fertiliser_Products_Data1(),FertiliserProducts[[#Headers],[Include or Exclude]], 0,4)</f>
        <v/>
      </c>
      <c r="V126" s="185" t="str" cm="1">
        <f t="array" ref="V126">Common_InputFunctions.Utility_DisplayArrayInTable(Fertiliser_SourceData.Fertiliser_Products_Data1(),FertiliserProducts[[#Headers],[Include or Exclude]], 0,4)</f>
        <v/>
      </c>
      <c r="W126" s="185" t="str" cm="1">
        <f t="array" ref="W126">Common_InputFunctions.Utility_DisplayArrayInTable(Fertiliser_SourceData.Fertiliser_Products_Data1(),FertiliserProducts[[#Headers],[Include or Exclude]], 0,4)</f>
        <v/>
      </c>
      <c r="X126" s="185" t="str" cm="1">
        <f t="array" ref="X126">Common_InputFunctions.Utility_DisplayArrayInTable(Fertiliser_SourceData.Fertiliser_Products_Data1(),FertiliserProducts[[#Headers],[Include or Exclude]], 0,4)</f>
        <v/>
      </c>
      <c r="Y126" s="185" t="str" cm="1">
        <f t="array" ref="Y126">Common_InputFunctions.Utility_DisplayArrayInTable(Fertiliser_SourceData.Fertiliser_Products_Data1(),FertiliserProducts[[#Headers],[Include or Exclude]], 0,4)</f>
        <v/>
      </c>
      <c r="Z126" s="185" t="str" cm="1">
        <f t="array" ref="Z126">Common_InputFunctions.Utility_DisplayArrayInTable(Fertiliser_SourceData.Fertiliser_Products_Data1(),FertiliserProducts[[#Headers],[Include or Exclude]], 0,4)</f>
        <v/>
      </c>
      <c r="AA126" s="185" t="str" cm="1">
        <f t="array" ref="AA126">Common_InputFunctions.Utility_DisplayArrayInTable(Fertiliser_SourceData.Fertiliser_Products_Data1(),FertiliserProducts[[#Headers],[Include or Exclude]], 0,4)</f>
        <v/>
      </c>
      <c r="AB126" s="185" t="str" cm="1">
        <f t="array" ref="AB126">Common_InputFunctions.Utility_DisplayArrayInTable(Fertiliser_SourceData.Fertiliser_Products_Data1(),FertiliserProducts[[#Headers],[Include or Exclude]], 0,4)</f>
        <v/>
      </c>
      <c r="AC126" s="185" t="str" cm="1">
        <f t="array" ref="AC126">Common_InputFunctions.Utility_DisplayArrayInTable(Fertiliser_SourceData.Fertiliser_Products_Data1(),FertiliserProducts[[#Headers],[Include or Exclude]], 0,4)</f>
        <v/>
      </c>
      <c r="AD126" s="185" t="str" cm="1">
        <f t="array" ref="AD126">Common_InputFunctions.Utility_DisplayArrayInTable(Fertiliser_SourceData.Fertiliser_Products_Data1(),FertiliserProducts[[#Headers],[Include or Exclude]], 0,4)</f>
        <v/>
      </c>
      <c r="AE126" s="185" t="str" cm="1">
        <f t="array" ref="AE126">Common_InputFunctions.Utility_DisplayArrayInTable(Fertiliser_SourceData.Fertiliser_Products_Data1(),FertiliserProducts[[#Headers],[Include or Exclude]], 0,4)</f>
        <v/>
      </c>
    </row>
    <row r="127" spans="4:31" ht="20.100000000000001" customHeight="1" x14ac:dyDescent="0.25">
      <c r="D127" s="185" t="str" cm="1">
        <f t="array" ref="D127">Common_InputFunctions.Utility_DisplayArrayInTable(Fertiliser_SourceData.Fertiliser_Products_Data1(),FertiliserProducts[[#Headers],[Include or Exclude]], -1)</f>
        <v/>
      </c>
      <c r="E127" s="185" t="str" cm="1">
        <f t="array" ref="E127">Common_InputFunctions.Utility_DisplayArrayInTable(Fertiliser_SourceData.Fertiliser_Products_Data1(),FertiliserProducts[[#Headers],[Include or Exclude]], 0)</f>
        <v/>
      </c>
      <c r="F127" s="185" t="str" cm="1">
        <f t="array" ref="F127">Common_InputFunctions.Utility_DisplayArrayInTable(Fertiliser_SourceData.Fertiliser_Products_Data1(),FertiliserProducts[[#Headers],[Include or Exclude]], 0)</f>
        <v/>
      </c>
      <c r="G127" s="185" t="str" cm="1">
        <f t="array" ref="G127">Common_InputFunctions.Utility_DisplayArrayInTable(Fertiliser_SourceData.Fertiliser_Products_Data1(),FertiliserProducts[[#Headers],[Include or Exclude]], 0)</f>
        <v/>
      </c>
      <c r="H127" s="185" t="str" cm="1">
        <f t="array" ref="H127">Common_InputFunctions.Utility_DisplayArrayInTable(Fertiliser_SourceData.Fertiliser_Products_Data1(),FertiliserProducts[[#Headers],[Include or Exclude]], 0,4)</f>
        <v/>
      </c>
      <c r="I127" s="185" t="str" cm="1">
        <f t="array" ref="I127">Common_InputFunctions.Utility_DisplayArrayInTable(Fertiliser_SourceData.Fertiliser_Products_Data1(),FertiliserProducts[[#Headers],[Include or Exclude]], 0,4)</f>
        <v/>
      </c>
      <c r="J127" s="185" t="str" cm="1">
        <f t="array" ref="J127">Common_InputFunctions.Utility_DisplayArrayInTable(Fertiliser_SourceData.Fertiliser_Products_Data1(),FertiliserProducts[[#Headers],[Include or Exclude]], 0,4)</f>
        <v/>
      </c>
      <c r="K127" s="185" t="str" cm="1">
        <f t="array" ref="K127">Common_InputFunctions.Utility_DisplayArrayInTable(Fertiliser_SourceData.Fertiliser_Products_Data1(),FertiliserProducts[[#Headers],[Include or Exclude]], 0,4)</f>
        <v/>
      </c>
      <c r="L127" s="185" t="str" cm="1">
        <f t="array" ref="L127">Common_InputFunctions.Utility_DisplayArrayInTable(Fertiliser_SourceData.Fertiliser_Products_Data1(),FertiliserProducts[[#Headers],[Include or Exclude]], 0,4)</f>
        <v/>
      </c>
      <c r="M127" s="185" t="str" cm="1">
        <f t="array" ref="M127">Common_InputFunctions.Utility_DisplayArrayInTable(Fertiliser_SourceData.Fertiliser_Products_Data1(),FertiliserProducts[[#Headers],[Include or Exclude]], 0,4)</f>
        <v/>
      </c>
      <c r="N127" s="185" t="str" cm="1">
        <f t="array" ref="N127">Common_InputFunctions.Utility_DisplayArrayInTable(Fertiliser_SourceData.Fertiliser_Products_Data1(),FertiliserProducts[[#Headers],[Include or Exclude]], 0,4)</f>
        <v/>
      </c>
      <c r="O127" s="185" t="str" cm="1">
        <f t="array" ref="O127">Common_InputFunctions.Utility_DisplayArrayInTable(Fertiliser_SourceData.Fertiliser_Products_Data1(),FertiliserProducts[[#Headers],[Include or Exclude]], 0,4)</f>
        <v/>
      </c>
      <c r="P127" s="185" t="str" cm="1">
        <f t="array" ref="P127">Common_InputFunctions.Utility_DisplayArrayInTable(Fertiliser_SourceData.Fertiliser_Products_Data1(),FertiliserProducts[[#Headers],[Include or Exclude]], 0,4)</f>
        <v/>
      </c>
      <c r="Q127" s="185" t="str" cm="1">
        <f t="array" ref="Q127">Common_InputFunctions.Utility_DisplayArrayInTable(Fertiliser_SourceData.Fertiliser_Products_Data1(),FertiliserProducts[[#Headers],[Include or Exclude]], 0,4)</f>
        <v/>
      </c>
      <c r="R127" s="185" t="str" cm="1">
        <f t="array" ref="R127">Common_InputFunctions.Utility_DisplayArrayInTable(Fertiliser_SourceData.Fertiliser_Products_Data1(),FertiliserProducts[[#Headers],[Include or Exclude]], 0,4)</f>
        <v/>
      </c>
      <c r="S127" s="185" t="str" cm="1">
        <f t="array" ref="S127">Common_InputFunctions.Utility_DisplayArrayInTable(Fertiliser_SourceData.Fertiliser_Products_Data1(),FertiliserProducts[[#Headers],[Include or Exclude]], 0,4)</f>
        <v/>
      </c>
      <c r="T127" s="185" t="str" cm="1">
        <f t="array" ref="T127">Common_InputFunctions.Utility_DisplayArrayInTable(Fertiliser_SourceData.Fertiliser_Products_Data1(),FertiliserProducts[[#Headers],[Include or Exclude]], 0,4)</f>
        <v/>
      </c>
      <c r="U127" s="185" t="str" cm="1">
        <f t="array" ref="U127">Common_InputFunctions.Utility_DisplayArrayInTable(Fertiliser_SourceData.Fertiliser_Products_Data1(),FertiliserProducts[[#Headers],[Include or Exclude]], 0,4)</f>
        <v/>
      </c>
      <c r="V127" s="185" t="str" cm="1">
        <f t="array" ref="V127">Common_InputFunctions.Utility_DisplayArrayInTable(Fertiliser_SourceData.Fertiliser_Products_Data1(),FertiliserProducts[[#Headers],[Include or Exclude]], 0,4)</f>
        <v/>
      </c>
      <c r="W127" s="185" t="str" cm="1">
        <f t="array" ref="W127">Common_InputFunctions.Utility_DisplayArrayInTable(Fertiliser_SourceData.Fertiliser_Products_Data1(),FertiliserProducts[[#Headers],[Include or Exclude]], 0,4)</f>
        <v/>
      </c>
      <c r="X127" s="185" t="str" cm="1">
        <f t="array" ref="X127">Common_InputFunctions.Utility_DisplayArrayInTable(Fertiliser_SourceData.Fertiliser_Products_Data1(),FertiliserProducts[[#Headers],[Include or Exclude]], 0,4)</f>
        <v/>
      </c>
      <c r="Y127" s="185" t="str" cm="1">
        <f t="array" ref="Y127">Common_InputFunctions.Utility_DisplayArrayInTable(Fertiliser_SourceData.Fertiliser_Products_Data1(),FertiliserProducts[[#Headers],[Include or Exclude]], 0,4)</f>
        <v/>
      </c>
      <c r="Z127" s="185" t="str" cm="1">
        <f t="array" ref="Z127">Common_InputFunctions.Utility_DisplayArrayInTable(Fertiliser_SourceData.Fertiliser_Products_Data1(),FertiliserProducts[[#Headers],[Include or Exclude]], 0,4)</f>
        <v/>
      </c>
      <c r="AA127" s="185" t="str" cm="1">
        <f t="array" ref="AA127">Common_InputFunctions.Utility_DisplayArrayInTable(Fertiliser_SourceData.Fertiliser_Products_Data1(),FertiliserProducts[[#Headers],[Include or Exclude]], 0,4)</f>
        <v/>
      </c>
      <c r="AB127" s="185" t="str" cm="1">
        <f t="array" ref="AB127">Common_InputFunctions.Utility_DisplayArrayInTable(Fertiliser_SourceData.Fertiliser_Products_Data1(),FertiliserProducts[[#Headers],[Include or Exclude]], 0,4)</f>
        <v/>
      </c>
      <c r="AC127" s="185" t="str" cm="1">
        <f t="array" ref="AC127">Common_InputFunctions.Utility_DisplayArrayInTable(Fertiliser_SourceData.Fertiliser_Products_Data1(),FertiliserProducts[[#Headers],[Include or Exclude]], 0,4)</f>
        <v/>
      </c>
      <c r="AD127" s="185" t="str" cm="1">
        <f t="array" ref="AD127">Common_InputFunctions.Utility_DisplayArrayInTable(Fertiliser_SourceData.Fertiliser_Products_Data1(),FertiliserProducts[[#Headers],[Include or Exclude]], 0,4)</f>
        <v/>
      </c>
      <c r="AE127" s="185" t="str" cm="1">
        <f t="array" ref="AE127">Common_InputFunctions.Utility_DisplayArrayInTable(Fertiliser_SourceData.Fertiliser_Products_Data1(),FertiliserProducts[[#Headers],[Include or Exclude]], 0,4)</f>
        <v/>
      </c>
    </row>
    <row r="128" spans="4:31" ht="20.100000000000001" customHeight="1" x14ac:dyDescent="0.25">
      <c r="D128" s="185" t="str" cm="1">
        <f t="array" ref="D128">Common_InputFunctions.Utility_DisplayArrayInTable(Fertiliser_SourceData.Fertiliser_Products_Data1(),FertiliserProducts[[#Headers],[Include or Exclude]], -1)</f>
        <v/>
      </c>
      <c r="E128" s="185" t="str" cm="1">
        <f t="array" ref="E128">Common_InputFunctions.Utility_DisplayArrayInTable(Fertiliser_SourceData.Fertiliser_Products_Data1(),FertiliserProducts[[#Headers],[Include or Exclude]], 0)</f>
        <v/>
      </c>
      <c r="F128" s="185" t="str" cm="1">
        <f t="array" ref="F128">Common_InputFunctions.Utility_DisplayArrayInTable(Fertiliser_SourceData.Fertiliser_Products_Data1(),FertiliserProducts[[#Headers],[Include or Exclude]], 0)</f>
        <v/>
      </c>
      <c r="G128" s="185" t="str" cm="1">
        <f t="array" ref="G128">Common_InputFunctions.Utility_DisplayArrayInTable(Fertiliser_SourceData.Fertiliser_Products_Data1(),FertiliserProducts[[#Headers],[Include or Exclude]], 0)</f>
        <v/>
      </c>
      <c r="H128" s="185" t="str" cm="1">
        <f t="array" ref="H128">Common_InputFunctions.Utility_DisplayArrayInTable(Fertiliser_SourceData.Fertiliser_Products_Data1(),FertiliserProducts[[#Headers],[Include or Exclude]], 0,4)</f>
        <v/>
      </c>
      <c r="I128" s="185" t="str" cm="1">
        <f t="array" ref="I128">Common_InputFunctions.Utility_DisplayArrayInTable(Fertiliser_SourceData.Fertiliser_Products_Data1(),FertiliserProducts[[#Headers],[Include or Exclude]], 0,4)</f>
        <v/>
      </c>
      <c r="J128" s="185" t="str" cm="1">
        <f t="array" ref="J128">Common_InputFunctions.Utility_DisplayArrayInTable(Fertiliser_SourceData.Fertiliser_Products_Data1(),FertiliserProducts[[#Headers],[Include or Exclude]], 0,4)</f>
        <v/>
      </c>
      <c r="K128" s="185" t="str" cm="1">
        <f t="array" ref="K128">Common_InputFunctions.Utility_DisplayArrayInTable(Fertiliser_SourceData.Fertiliser_Products_Data1(),FertiliserProducts[[#Headers],[Include or Exclude]], 0,4)</f>
        <v/>
      </c>
      <c r="L128" s="185" t="str" cm="1">
        <f t="array" ref="L128">Common_InputFunctions.Utility_DisplayArrayInTable(Fertiliser_SourceData.Fertiliser_Products_Data1(),FertiliserProducts[[#Headers],[Include or Exclude]], 0,4)</f>
        <v/>
      </c>
      <c r="M128" s="185" t="str" cm="1">
        <f t="array" ref="M128">Common_InputFunctions.Utility_DisplayArrayInTable(Fertiliser_SourceData.Fertiliser_Products_Data1(),FertiliserProducts[[#Headers],[Include or Exclude]], 0,4)</f>
        <v/>
      </c>
      <c r="N128" s="185" t="str" cm="1">
        <f t="array" ref="N128">Common_InputFunctions.Utility_DisplayArrayInTable(Fertiliser_SourceData.Fertiliser_Products_Data1(),FertiliserProducts[[#Headers],[Include or Exclude]], 0,4)</f>
        <v/>
      </c>
      <c r="O128" s="185" t="str" cm="1">
        <f t="array" ref="O128">Common_InputFunctions.Utility_DisplayArrayInTable(Fertiliser_SourceData.Fertiliser_Products_Data1(),FertiliserProducts[[#Headers],[Include or Exclude]], 0,4)</f>
        <v/>
      </c>
      <c r="P128" s="185" t="str" cm="1">
        <f t="array" ref="P128">Common_InputFunctions.Utility_DisplayArrayInTable(Fertiliser_SourceData.Fertiliser_Products_Data1(),FertiliserProducts[[#Headers],[Include or Exclude]], 0,4)</f>
        <v/>
      </c>
      <c r="Q128" s="185" t="str" cm="1">
        <f t="array" ref="Q128">Common_InputFunctions.Utility_DisplayArrayInTable(Fertiliser_SourceData.Fertiliser_Products_Data1(),FertiliserProducts[[#Headers],[Include or Exclude]], 0,4)</f>
        <v/>
      </c>
      <c r="R128" s="185" t="str" cm="1">
        <f t="array" ref="R128">Common_InputFunctions.Utility_DisplayArrayInTable(Fertiliser_SourceData.Fertiliser_Products_Data1(),FertiliserProducts[[#Headers],[Include or Exclude]], 0,4)</f>
        <v/>
      </c>
      <c r="S128" s="185" t="str" cm="1">
        <f t="array" ref="S128">Common_InputFunctions.Utility_DisplayArrayInTable(Fertiliser_SourceData.Fertiliser_Products_Data1(),FertiliserProducts[[#Headers],[Include or Exclude]], 0,4)</f>
        <v/>
      </c>
      <c r="T128" s="185" t="str" cm="1">
        <f t="array" ref="T128">Common_InputFunctions.Utility_DisplayArrayInTable(Fertiliser_SourceData.Fertiliser_Products_Data1(),FertiliserProducts[[#Headers],[Include or Exclude]], 0,4)</f>
        <v/>
      </c>
      <c r="U128" s="185" t="str" cm="1">
        <f t="array" ref="U128">Common_InputFunctions.Utility_DisplayArrayInTable(Fertiliser_SourceData.Fertiliser_Products_Data1(),FertiliserProducts[[#Headers],[Include or Exclude]], 0,4)</f>
        <v/>
      </c>
      <c r="V128" s="185" t="str" cm="1">
        <f t="array" ref="V128">Common_InputFunctions.Utility_DisplayArrayInTable(Fertiliser_SourceData.Fertiliser_Products_Data1(),FertiliserProducts[[#Headers],[Include or Exclude]], 0,4)</f>
        <v/>
      </c>
      <c r="W128" s="185" t="str" cm="1">
        <f t="array" ref="W128">Common_InputFunctions.Utility_DisplayArrayInTable(Fertiliser_SourceData.Fertiliser_Products_Data1(),FertiliserProducts[[#Headers],[Include or Exclude]], 0,4)</f>
        <v/>
      </c>
      <c r="X128" s="185" t="str" cm="1">
        <f t="array" ref="X128">Common_InputFunctions.Utility_DisplayArrayInTable(Fertiliser_SourceData.Fertiliser_Products_Data1(),FertiliserProducts[[#Headers],[Include or Exclude]], 0,4)</f>
        <v/>
      </c>
      <c r="Y128" s="185" t="str" cm="1">
        <f t="array" ref="Y128">Common_InputFunctions.Utility_DisplayArrayInTable(Fertiliser_SourceData.Fertiliser_Products_Data1(),FertiliserProducts[[#Headers],[Include or Exclude]], 0,4)</f>
        <v/>
      </c>
      <c r="Z128" s="185" t="str" cm="1">
        <f t="array" ref="Z128">Common_InputFunctions.Utility_DisplayArrayInTable(Fertiliser_SourceData.Fertiliser_Products_Data1(),FertiliserProducts[[#Headers],[Include or Exclude]], 0,4)</f>
        <v/>
      </c>
      <c r="AA128" s="185" t="str" cm="1">
        <f t="array" ref="AA128">Common_InputFunctions.Utility_DisplayArrayInTable(Fertiliser_SourceData.Fertiliser_Products_Data1(),FertiliserProducts[[#Headers],[Include or Exclude]], 0,4)</f>
        <v/>
      </c>
      <c r="AB128" s="185" t="str" cm="1">
        <f t="array" ref="AB128">Common_InputFunctions.Utility_DisplayArrayInTable(Fertiliser_SourceData.Fertiliser_Products_Data1(),FertiliserProducts[[#Headers],[Include or Exclude]], 0,4)</f>
        <v/>
      </c>
      <c r="AC128" s="185" t="str" cm="1">
        <f t="array" ref="AC128">Common_InputFunctions.Utility_DisplayArrayInTable(Fertiliser_SourceData.Fertiliser_Products_Data1(),FertiliserProducts[[#Headers],[Include or Exclude]], 0,4)</f>
        <v/>
      </c>
      <c r="AD128" s="185" t="str" cm="1">
        <f t="array" ref="AD128">Common_InputFunctions.Utility_DisplayArrayInTable(Fertiliser_SourceData.Fertiliser_Products_Data1(),FertiliserProducts[[#Headers],[Include or Exclude]], 0,4)</f>
        <v/>
      </c>
      <c r="AE128" s="185" t="str" cm="1">
        <f t="array" ref="AE128">Common_InputFunctions.Utility_DisplayArrayInTable(Fertiliser_SourceData.Fertiliser_Products_Data1(),FertiliserProducts[[#Headers],[Include or Exclude]], 0,4)</f>
        <v/>
      </c>
    </row>
    <row r="129" spans="4:31" ht="20.100000000000001" customHeight="1" x14ac:dyDescent="0.25">
      <c r="D129" s="185" t="str" cm="1">
        <f t="array" ref="D129">Common_InputFunctions.Utility_DisplayArrayInTable(Fertiliser_SourceData.Fertiliser_Products_Data1(),FertiliserProducts[[#Headers],[Include or Exclude]], -1)</f>
        <v/>
      </c>
      <c r="E129" s="185" t="str" cm="1">
        <f t="array" ref="E129">Common_InputFunctions.Utility_DisplayArrayInTable(Fertiliser_SourceData.Fertiliser_Products_Data1(),FertiliserProducts[[#Headers],[Include or Exclude]], 0)</f>
        <v/>
      </c>
      <c r="F129" s="185" t="str" cm="1">
        <f t="array" ref="F129">Common_InputFunctions.Utility_DisplayArrayInTable(Fertiliser_SourceData.Fertiliser_Products_Data1(),FertiliserProducts[[#Headers],[Include or Exclude]], 0)</f>
        <v/>
      </c>
      <c r="G129" s="185" t="str" cm="1">
        <f t="array" ref="G129">Common_InputFunctions.Utility_DisplayArrayInTable(Fertiliser_SourceData.Fertiliser_Products_Data1(),FertiliserProducts[[#Headers],[Include or Exclude]], 0)</f>
        <v/>
      </c>
      <c r="H129" s="185" t="str" cm="1">
        <f t="array" ref="H129">Common_InputFunctions.Utility_DisplayArrayInTable(Fertiliser_SourceData.Fertiliser_Products_Data1(),FertiliserProducts[[#Headers],[Include or Exclude]], 0,4)</f>
        <v/>
      </c>
      <c r="I129" s="185" t="str" cm="1">
        <f t="array" ref="I129">Common_InputFunctions.Utility_DisplayArrayInTable(Fertiliser_SourceData.Fertiliser_Products_Data1(),FertiliserProducts[[#Headers],[Include or Exclude]], 0,4)</f>
        <v/>
      </c>
      <c r="J129" s="185" t="str" cm="1">
        <f t="array" ref="J129">Common_InputFunctions.Utility_DisplayArrayInTable(Fertiliser_SourceData.Fertiliser_Products_Data1(),FertiliserProducts[[#Headers],[Include or Exclude]], 0,4)</f>
        <v/>
      </c>
      <c r="K129" s="185" t="str" cm="1">
        <f t="array" ref="K129">Common_InputFunctions.Utility_DisplayArrayInTable(Fertiliser_SourceData.Fertiliser_Products_Data1(),FertiliserProducts[[#Headers],[Include or Exclude]], 0,4)</f>
        <v/>
      </c>
      <c r="L129" s="185" t="str" cm="1">
        <f t="array" ref="L129">Common_InputFunctions.Utility_DisplayArrayInTable(Fertiliser_SourceData.Fertiliser_Products_Data1(),FertiliserProducts[[#Headers],[Include or Exclude]], 0,4)</f>
        <v/>
      </c>
      <c r="M129" s="185" t="str" cm="1">
        <f t="array" ref="M129">Common_InputFunctions.Utility_DisplayArrayInTable(Fertiliser_SourceData.Fertiliser_Products_Data1(),FertiliserProducts[[#Headers],[Include or Exclude]], 0,4)</f>
        <v/>
      </c>
      <c r="N129" s="185" t="str" cm="1">
        <f t="array" ref="N129">Common_InputFunctions.Utility_DisplayArrayInTable(Fertiliser_SourceData.Fertiliser_Products_Data1(),FertiliserProducts[[#Headers],[Include or Exclude]], 0,4)</f>
        <v/>
      </c>
      <c r="O129" s="185" t="str" cm="1">
        <f t="array" ref="O129">Common_InputFunctions.Utility_DisplayArrayInTable(Fertiliser_SourceData.Fertiliser_Products_Data1(),FertiliserProducts[[#Headers],[Include or Exclude]], 0,4)</f>
        <v/>
      </c>
      <c r="P129" s="185" t="str" cm="1">
        <f t="array" ref="P129">Common_InputFunctions.Utility_DisplayArrayInTable(Fertiliser_SourceData.Fertiliser_Products_Data1(),FertiliserProducts[[#Headers],[Include or Exclude]], 0,4)</f>
        <v/>
      </c>
      <c r="Q129" s="185" t="str" cm="1">
        <f t="array" ref="Q129">Common_InputFunctions.Utility_DisplayArrayInTable(Fertiliser_SourceData.Fertiliser_Products_Data1(),FertiliserProducts[[#Headers],[Include or Exclude]], 0,4)</f>
        <v/>
      </c>
      <c r="R129" s="185" t="str" cm="1">
        <f t="array" ref="R129">Common_InputFunctions.Utility_DisplayArrayInTable(Fertiliser_SourceData.Fertiliser_Products_Data1(),FertiliserProducts[[#Headers],[Include or Exclude]], 0,4)</f>
        <v/>
      </c>
      <c r="S129" s="185" t="str" cm="1">
        <f t="array" ref="S129">Common_InputFunctions.Utility_DisplayArrayInTable(Fertiliser_SourceData.Fertiliser_Products_Data1(),FertiliserProducts[[#Headers],[Include or Exclude]], 0,4)</f>
        <v/>
      </c>
      <c r="T129" s="185" t="str" cm="1">
        <f t="array" ref="T129">Common_InputFunctions.Utility_DisplayArrayInTable(Fertiliser_SourceData.Fertiliser_Products_Data1(),FertiliserProducts[[#Headers],[Include or Exclude]], 0,4)</f>
        <v/>
      </c>
      <c r="U129" s="185" t="str" cm="1">
        <f t="array" ref="U129">Common_InputFunctions.Utility_DisplayArrayInTable(Fertiliser_SourceData.Fertiliser_Products_Data1(),FertiliserProducts[[#Headers],[Include or Exclude]], 0,4)</f>
        <v/>
      </c>
      <c r="V129" s="185" t="str" cm="1">
        <f t="array" ref="V129">Common_InputFunctions.Utility_DisplayArrayInTable(Fertiliser_SourceData.Fertiliser_Products_Data1(),FertiliserProducts[[#Headers],[Include or Exclude]], 0,4)</f>
        <v/>
      </c>
      <c r="W129" s="185" t="str" cm="1">
        <f t="array" ref="W129">Common_InputFunctions.Utility_DisplayArrayInTable(Fertiliser_SourceData.Fertiliser_Products_Data1(),FertiliserProducts[[#Headers],[Include or Exclude]], 0,4)</f>
        <v/>
      </c>
      <c r="X129" s="185" t="str" cm="1">
        <f t="array" ref="X129">Common_InputFunctions.Utility_DisplayArrayInTable(Fertiliser_SourceData.Fertiliser_Products_Data1(),FertiliserProducts[[#Headers],[Include or Exclude]], 0,4)</f>
        <v/>
      </c>
      <c r="Y129" s="185" t="str" cm="1">
        <f t="array" ref="Y129">Common_InputFunctions.Utility_DisplayArrayInTable(Fertiliser_SourceData.Fertiliser_Products_Data1(),FertiliserProducts[[#Headers],[Include or Exclude]], 0,4)</f>
        <v/>
      </c>
      <c r="Z129" s="185" t="str" cm="1">
        <f t="array" ref="Z129">Common_InputFunctions.Utility_DisplayArrayInTable(Fertiliser_SourceData.Fertiliser_Products_Data1(),FertiliserProducts[[#Headers],[Include or Exclude]], 0,4)</f>
        <v/>
      </c>
      <c r="AA129" s="185" t="str" cm="1">
        <f t="array" ref="AA129">Common_InputFunctions.Utility_DisplayArrayInTable(Fertiliser_SourceData.Fertiliser_Products_Data1(),FertiliserProducts[[#Headers],[Include or Exclude]], 0,4)</f>
        <v/>
      </c>
      <c r="AB129" s="185" t="str" cm="1">
        <f t="array" ref="AB129">Common_InputFunctions.Utility_DisplayArrayInTable(Fertiliser_SourceData.Fertiliser_Products_Data1(),FertiliserProducts[[#Headers],[Include or Exclude]], 0,4)</f>
        <v/>
      </c>
      <c r="AC129" s="185" t="str" cm="1">
        <f t="array" ref="AC129">Common_InputFunctions.Utility_DisplayArrayInTable(Fertiliser_SourceData.Fertiliser_Products_Data1(),FertiliserProducts[[#Headers],[Include or Exclude]], 0,4)</f>
        <v/>
      </c>
      <c r="AD129" s="185" t="str" cm="1">
        <f t="array" ref="AD129">Common_InputFunctions.Utility_DisplayArrayInTable(Fertiliser_SourceData.Fertiliser_Products_Data1(),FertiliserProducts[[#Headers],[Include or Exclude]], 0,4)</f>
        <v/>
      </c>
      <c r="AE129" s="185" t="str" cm="1">
        <f t="array" ref="AE129">Common_InputFunctions.Utility_DisplayArrayInTable(Fertiliser_SourceData.Fertiliser_Products_Data1(),FertiliserProducts[[#Headers],[Include or Exclude]], 0,4)</f>
        <v/>
      </c>
    </row>
    <row r="130" spans="4:31" ht="20.100000000000001" customHeight="1" x14ac:dyDescent="0.25">
      <c r="D130" s="185" t="str" cm="1">
        <f t="array" ref="D130">Common_InputFunctions.Utility_DisplayArrayInTable(Fertiliser_SourceData.Fertiliser_Products_Data1(),FertiliserProducts[[#Headers],[Include or Exclude]], -1)</f>
        <v/>
      </c>
      <c r="E130" s="185" t="str" cm="1">
        <f t="array" ref="E130">Common_InputFunctions.Utility_DisplayArrayInTable(Fertiliser_SourceData.Fertiliser_Products_Data1(),FertiliserProducts[[#Headers],[Include or Exclude]], 0)</f>
        <v/>
      </c>
      <c r="F130" s="185" t="str" cm="1">
        <f t="array" ref="F130">Common_InputFunctions.Utility_DisplayArrayInTable(Fertiliser_SourceData.Fertiliser_Products_Data1(),FertiliserProducts[[#Headers],[Include or Exclude]], 0)</f>
        <v/>
      </c>
      <c r="G130" s="185" t="str" cm="1">
        <f t="array" ref="G130">Common_InputFunctions.Utility_DisplayArrayInTable(Fertiliser_SourceData.Fertiliser_Products_Data1(),FertiliserProducts[[#Headers],[Include or Exclude]], 0)</f>
        <v/>
      </c>
      <c r="H130" s="185" t="str" cm="1">
        <f t="array" ref="H130">Common_InputFunctions.Utility_DisplayArrayInTable(Fertiliser_SourceData.Fertiliser_Products_Data1(),FertiliserProducts[[#Headers],[Include or Exclude]], 0,4)</f>
        <v/>
      </c>
      <c r="I130" s="185" t="str" cm="1">
        <f t="array" ref="I130">Common_InputFunctions.Utility_DisplayArrayInTable(Fertiliser_SourceData.Fertiliser_Products_Data1(),FertiliserProducts[[#Headers],[Include or Exclude]], 0,4)</f>
        <v/>
      </c>
      <c r="J130" s="185" t="str" cm="1">
        <f t="array" ref="J130">Common_InputFunctions.Utility_DisplayArrayInTable(Fertiliser_SourceData.Fertiliser_Products_Data1(),FertiliserProducts[[#Headers],[Include or Exclude]], 0,4)</f>
        <v/>
      </c>
      <c r="K130" s="185" t="str" cm="1">
        <f t="array" ref="K130">Common_InputFunctions.Utility_DisplayArrayInTable(Fertiliser_SourceData.Fertiliser_Products_Data1(),FertiliserProducts[[#Headers],[Include or Exclude]], 0,4)</f>
        <v/>
      </c>
      <c r="L130" s="185" t="str" cm="1">
        <f t="array" ref="L130">Common_InputFunctions.Utility_DisplayArrayInTable(Fertiliser_SourceData.Fertiliser_Products_Data1(),FertiliserProducts[[#Headers],[Include or Exclude]], 0,4)</f>
        <v/>
      </c>
      <c r="M130" s="185" t="str" cm="1">
        <f t="array" ref="M130">Common_InputFunctions.Utility_DisplayArrayInTable(Fertiliser_SourceData.Fertiliser_Products_Data1(),FertiliserProducts[[#Headers],[Include or Exclude]], 0,4)</f>
        <v/>
      </c>
      <c r="N130" s="185" t="str" cm="1">
        <f t="array" ref="N130">Common_InputFunctions.Utility_DisplayArrayInTable(Fertiliser_SourceData.Fertiliser_Products_Data1(),FertiliserProducts[[#Headers],[Include or Exclude]], 0,4)</f>
        <v/>
      </c>
      <c r="O130" s="185" t="str" cm="1">
        <f t="array" ref="O130">Common_InputFunctions.Utility_DisplayArrayInTable(Fertiliser_SourceData.Fertiliser_Products_Data1(),FertiliserProducts[[#Headers],[Include or Exclude]], 0,4)</f>
        <v/>
      </c>
      <c r="P130" s="185" t="str" cm="1">
        <f t="array" ref="P130">Common_InputFunctions.Utility_DisplayArrayInTable(Fertiliser_SourceData.Fertiliser_Products_Data1(),FertiliserProducts[[#Headers],[Include or Exclude]], 0,4)</f>
        <v/>
      </c>
      <c r="Q130" s="185" t="str" cm="1">
        <f t="array" ref="Q130">Common_InputFunctions.Utility_DisplayArrayInTable(Fertiliser_SourceData.Fertiliser_Products_Data1(),FertiliserProducts[[#Headers],[Include or Exclude]], 0,4)</f>
        <v/>
      </c>
      <c r="R130" s="185" t="str" cm="1">
        <f t="array" ref="R130">Common_InputFunctions.Utility_DisplayArrayInTable(Fertiliser_SourceData.Fertiliser_Products_Data1(),FertiliserProducts[[#Headers],[Include or Exclude]], 0,4)</f>
        <v/>
      </c>
      <c r="S130" s="185" t="str" cm="1">
        <f t="array" ref="S130">Common_InputFunctions.Utility_DisplayArrayInTable(Fertiliser_SourceData.Fertiliser_Products_Data1(),FertiliserProducts[[#Headers],[Include or Exclude]], 0,4)</f>
        <v/>
      </c>
      <c r="T130" s="185" t="str" cm="1">
        <f t="array" ref="T130">Common_InputFunctions.Utility_DisplayArrayInTable(Fertiliser_SourceData.Fertiliser_Products_Data1(),FertiliserProducts[[#Headers],[Include or Exclude]], 0,4)</f>
        <v/>
      </c>
      <c r="U130" s="185" t="str" cm="1">
        <f t="array" ref="U130">Common_InputFunctions.Utility_DisplayArrayInTable(Fertiliser_SourceData.Fertiliser_Products_Data1(),FertiliserProducts[[#Headers],[Include or Exclude]], 0,4)</f>
        <v/>
      </c>
      <c r="V130" s="185" t="str" cm="1">
        <f t="array" ref="V130">Common_InputFunctions.Utility_DisplayArrayInTable(Fertiliser_SourceData.Fertiliser_Products_Data1(),FertiliserProducts[[#Headers],[Include or Exclude]], 0,4)</f>
        <v/>
      </c>
      <c r="W130" s="185" t="str" cm="1">
        <f t="array" ref="W130">Common_InputFunctions.Utility_DisplayArrayInTable(Fertiliser_SourceData.Fertiliser_Products_Data1(),FertiliserProducts[[#Headers],[Include or Exclude]], 0,4)</f>
        <v/>
      </c>
      <c r="X130" s="185" t="str" cm="1">
        <f t="array" ref="X130">Common_InputFunctions.Utility_DisplayArrayInTable(Fertiliser_SourceData.Fertiliser_Products_Data1(),FertiliserProducts[[#Headers],[Include or Exclude]], 0,4)</f>
        <v/>
      </c>
      <c r="Y130" s="185" t="str" cm="1">
        <f t="array" ref="Y130">Common_InputFunctions.Utility_DisplayArrayInTable(Fertiliser_SourceData.Fertiliser_Products_Data1(),FertiliserProducts[[#Headers],[Include or Exclude]], 0,4)</f>
        <v/>
      </c>
      <c r="Z130" s="185" t="str" cm="1">
        <f t="array" ref="Z130">Common_InputFunctions.Utility_DisplayArrayInTable(Fertiliser_SourceData.Fertiliser_Products_Data1(),FertiliserProducts[[#Headers],[Include or Exclude]], 0,4)</f>
        <v/>
      </c>
      <c r="AA130" s="185" t="str" cm="1">
        <f t="array" ref="AA130">Common_InputFunctions.Utility_DisplayArrayInTable(Fertiliser_SourceData.Fertiliser_Products_Data1(),FertiliserProducts[[#Headers],[Include or Exclude]], 0,4)</f>
        <v/>
      </c>
      <c r="AB130" s="185" t="str" cm="1">
        <f t="array" ref="AB130">Common_InputFunctions.Utility_DisplayArrayInTable(Fertiliser_SourceData.Fertiliser_Products_Data1(),FertiliserProducts[[#Headers],[Include or Exclude]], 0,4)</f>
        <v/>
      </c>
      <c r="AC130" s="185" t="str" cm="1">
        <f t="array" ref="AC130">Common_InputFunctions.Utility_DisplayArrayInTable(Fertiliser_SourceData.Fertiliser_Products_Data1(),FertiliserProducts[[#Headers],[Include or Exclude]], 0,4)</f>
        <v/>
      </c>
      <c r="AD130" s="185" t="str" cm="1">
        <f t="array" ref="AD130">Common_InputFunctions.Utility_DisplayArrayInTable(Fertiliser_SourceData.Fertiliser_Products_Data1(),FertiliserProducts[[#Headers],[Include or Exclude]], 0,4)</f>
        <v/>
      </c>
      <c r="AE130" s="185" t="str" cm="1">
        <f t="array" ref="AE130">Common_InputFunctions.Utility_DisplayArrayInTable(Fertiliser_SourceData.Fertiliser_Products_Data1(),FertiliserProducts[[#Headers],[Include or Exclude]], 0,4)</f>
        <v/>
      </c>
    </row>
    <row r="131" spans="4:31" ht="20.100000000000001" customHeight="1" x14ac:dyDescent="0.25">
      <c r="D131" s="185" t="str" cm="1">
        <f t="array" ref="D131">Common_InputFunctions.Utility_DisplayArrayInTable(Fertiliser_SourceData.Fertiliser_Products_Data1(),FertiliserProducts[[#Headers],[Include or Exclude]], -1)</f>
        <v/>
      </c>
      <c r="E131" s="185" t="str" cm="1">
        <f t="array" ref="E131">Common_InputFunctions.Utility_DisplayArrayInTable(Fertiliser_SourceData.Fertiliser_Products_Data1(),FertiliserProducts[[#Headers],[Include or Exclude]], 0)</f>
        <v/>
      </c>
      <c r="F131" s="185" t="str" cm="1">
        <f t="array" ref="F131">Common_InputFunctions.Utility_DisplayArrayInTable(Fertiliser_SourceData.Fertiliser_Products_Data1(),FertiliserProducts[[#Headers],[Include or Exclude]], 0)</f>
        <v/>
      </c>
      <c r="G131" s="185" t="str" cm="1">
        <f t="array" ref="G131">Common_InputFunctions.Utility_DisplayArrayInTable(Fertiliser_SourceData.Fertiliser_Products_Data1(),FertiliserProducts[[#Headers],[Include or Exclude]], 0)</f>
        <v/>
      </c>
      <c r="H131" s="185" t="str" cm="1">
        <f t="array" ref="H131">Common_InputFunctions.Utility_DisplayArrayInTable(Fertiliser_SourceData.Fertiliser_Products_Data1(),FertiliserProducts[[#Headers],[Include or Exclude]], 0,4)</f>
        <v/>
      </c>
      <c r="I131" s="185" t="str" cm="1">
        <f t="array" ref="I131">Common_InputFunctions.Utility_DisplayArrayInTable(Fertiliser_SourceData.Fertiliser_Products_Data1(),FertiliserProducts[[#Headers],[Include or Exclude]], 0,4)</f>
        <v/>
      </c>
      <c r="J131" s="185" t="str" cm="1">
        <f t="array" ref="J131">Common_InputFunctions.Utility_DisplayArrayInTable(Fertiliser_SourceData.Fertiliser_Products_Data1(),FertiliserProducts[[#Headers],[Include or Exclude]], 0,4)</f>
        <v/>
      </c>
      <c r="K131" s="185" t="str" cm="1">
        <f t="array" ref="K131">Common_InputFunctions.Utility_DisplayArrayInTable(Fertiliser_SourceData.Fertiliser_Products_Data1(),FertiliserProducts[[#Headers],[Include or Exclude]], 0,4)</f>
        <v/>
      </c>
      <c r="L131" s="185" t="str" cm="1">
        <f t="array" ref="L131">Common_InputFunctions.Utility_DisplayArrayInTable(Fertiliser_SourceData.Fertiliser_Products_Data1(),FertiliserProducts[[#Headers],[Include or Exclude]], 0,4)</f>
        <v/>
      </c>
      <c r="M131" s="185" t="str" cm="1">
        <f t="array" ref="M131">Common_InputFunctions.Utility_DisplayArrayInTable(Fertiliser_SourceData.Fertiliser_Products_Data1(),FertiliserProducts[[#Headers],[Include or Exclude]], 0,4)</f>
        <v/>
      </c>
      <c r="N131" s="185" t="str" cm="1">
        <f t="array" ref="N131">Common_InputFunctions.Utility_DisplayArrayInTable(Fertiliser_SourceData.Fertiliser_Products_Data1(),FertiliserProducts[[#Headers],[Include or Exclude]], 0,4)</f>
        <v/>
      </c>
      <c r="O131" s="185" t="str" cm="1">
        <f t="array" ref="O131">Common_InputFunctions.Utility_DisplayArrayInTable(Fertiliser_SourceData.Fertiliser_Products_Data1(),FertiliserProducts[[#Headers],[Include or Exclude]], 0,4)</f>
        <v/>
      </c>
      <c r="P131" s="185" t="str" cm="1">
        <f t="array" ref="P131">Common_InputFunctions.Utility_DisplayArrayInTable(Fertiliser_SourceData.Fertiliser_Products_Data1(),FertiliserProducts[[#Headers],[Include or Exclude]], 0,4)</f>
        <v/>
      </c>
      <c r="Q131" s="185" t="str" cm="1">
        <f t="array" ref="Q131">Common_InputFunctions.Utility_DisplayArrayInTable(Fertiliser_SourceData.Fertiliser_Products_Data1(),FertiliserProducts[[#Headers],[Include or Exclude]], 0,4)</f>
        <v/>
      </c>
      <c r="R131" s="185" t="str" cm="1">
        <f t="array" ref="R131">Common_InputFunctions.Utility_DisplayArrayInTable(Fertiliser_SourceData.Fertiliser_Products_Data1(),FertiliserProducts[[#Headers],[Include or Exclude]], 0,4)</f>
        <v/>
      </c>
      <c r="S131" s="185" t="str" cm="1">
        <f t="array" ref="S131">Common_InputFunctions.Utility_DisplayArrayInTable(Fertiliser_SourceData.Fertiliser_Products_Data1(),FertiliserProducts[[#Headers],[Include or Exclude]], 0,4)</f>
        <v/>
      </c>
      <c r="T131" s="185" t="str" cm="1">
        <f t="array" ref="T131">Common_InputFunctions.Utility_DisplayArrayInTable(Fertiliser_SourceData.Fertiliser_Products_Data1(),FertiliserProducts[[#Headers],[Include or Exclude]], 0,4)</f>
        <v/>
      </c>
      <c r="U131" s="185" t="str" cm="1">
        <f t="array" ref="U131">Common_InputFunctions.Utility_DisplayArrayInTable(Fertiliser_SourceData.Fertiliser_Products_Data1(),FertiliserProducts[[#Headers],[Include or Exclude]], 0,4)</f>
        <v/>
      </c>
      <c r="V131" s="185" t="str" cm="1">
        <f t="array" ref="V131">Common_InputFunctions.Utility_DisplayArrayInTable(Fertiliser_SourceData.Fertiliser_Products_Data1(),FertiliserProducts[[#Headers],[Include or Exclude]], 0,4)</f>
        <v/>
      </c>
      <c r="W131" s="185" t="str" cm="1">
        <f t="array" ref="W131">Common_InputFunctions.Utility_DisplayArrayInTable(Fertiliser_SourceData.Fertiliser_Products_Data1(),FertiliserProducts[[#Headers],[Include or Exclude]], 0,4)</f>
        <v/>
      </c>
      <c r="X131" s="185" t="str" cm="1">
        <f t="array" ref="X131">Common_InputFunctions.Utility_DisplayArrayInTable(Fertiliser_SourceData.Fertiliser_Products_Data1(),FertiliserProducts[[#Headers],[Include or Exclude]], 0,4)</f>
        <v/>
      </c>
      <c r="Y131" s="185" t="str" cm="1">
        <f t="array" ref="Y131">Common_InputFunctions.Utility_DisplayArrayInTable(Fertiliser_SourceData.Fertiliser_Products_Data1(),FertiliserProducts[[#Headers],[Include or Exclude]], 0,4)</f>
        <v/>
      </c>
      <c r="Z131" s="185" t="str" cm="1">
        <f t="array" ref="Z131">Common_InputFunctions.Utility_DisplayArrayInTable(Fertiliser_SourceData.Fertiliser_Products_Data1(),FertiliserProducts[[#Headers],[Include or Exclude]], 0,4)</f>
        <v/>
      </c>
      <c r="AA131" s="185" t="str" cm="1">
        <f t="array" ref="AA131">Common_InputFunctions.Utility_DisplayArrayInTable(Fertiliser_SourceData.Fertiliser_Products_Data1(),FertiliserProducts[[#Headers],[Include or Exclude]], 0,4)</f>
        <v/>
      </c>
      <c r="AB131" s="185" t="str" cm="1">
        <f t="array" ref="AB131">Common_InputFunctions.Utility_DisplayArrayInTable(Fertiliser_SourceData.Fertiliser_Products_Data1(),FertiliserProducts[[#Headers],[Include or Exclude]], 0,4)</f>
        <v/>
      </c>
      <c r="AC131" s="185" t="str" cm="1">
        <f t="array" ref="AC131">Common_InputFunctions.Utility_DisplayArrayInTable(Fertiliser_SourceData.Fertiliser_Products_Data1(),FertiliserProducts[[#Headers],[Include or Exclude]], 0,4)</f>
        <v/>
      </c>
      <c r="AD131" s="185" t="str" cm="1">
        <f t="array" ref="AD131">Common_InputFunctions.Utility_DisplayArrayInTable(Fertiliser_SourceData.Fertiliser_Products_Data1(),FertiliserProducts[[#Headers],[Include or Exclude]], 0,4)</f>
        <v/>
      </c>
      <c r="AE131" s="185" t="str" cm="1">
        <f t="array" ref="AE131">Common_InputFunctions.Utility_DisplayArrayInTable(Fertiliser_SourceData.Fertiliser_Products_Data1(),FertiliserProducts[[#Headers],[Include or Exclude]], 0,4)</f>
        <v/>
      </c>
    </row>
    <row r="132" spans="4:31" ht="20.100000000000001" customHeight="1" x14ac:dyDescent="0.25">
      <c r="D132" s="185" t="str" cm="1">
        <f t="array" ref="D132">Common_InputFunctions.Utility_DisplayArrayInTable(Fertiliser_SourceData.Fertiliser_Products_Data1(),FertiliserProducts[[#Headers],[Include or Exclude]], -1)</f>
        <v/>
      </c>
      <c r="E132" s="185" t="str" cm="1">
        <f t="array" ref="E132">Common_InputFunctions.Utility_DisplayArrayInTable(Fertiliser_SourceData.Fertiliser_Products_Data1(),FertiliserProducts[[#Headers],[Include or Exclude]], 0)</f>
        <v/>
      </c>
      <c r="F132" s="185" t="str" cm="1">
        <f t="array" ref="F132">Common_InputFunctions.Utility_DisplayArrayInTable(Fertiliser_SourceData.Fertiliser_Products_Data1(),FertiliserProducts[[#Headers],[Include or Exclude]], 0)</f>
        <v/>
      </c>
      <c r="G132" s="185" t="str" cm="1">
        <f t="array" ref="G132">Common_InputFunctions.Utility_DisplayArrayInTable(Fertiliser_SourceData.Fertiliser_Products_Data1(),FertiliserProducts[[#Headers],[Include or Exclude]], 0)</f>
        <v/>
      </c>
      <c r="H132" s="185" t="str" cm="1">
        <f t="array" ref="H132">Common_InputFunctions.Utility_DisplayArrayInTable(Fertiliser_SourceData.Fertiliser_Products_Data1(),FertiliserProducts[[#Headers],[Include or Exclude]], 0,4)</f>
        <v/>
      </c>
      <c r="I132" s="185" t="str" cm="1">
        <f t="array" ref="I132">Common_InputFunctions.Utility_DisplayArrayInTable(Fertiliser_SourceData.Fertiliser_Products_Data1(),FertiliserProducts[[#Headers],[Include or Exclude]], 0,4)</f>
        <v/>
      </c>
      <c r="J132" s="185" t="str" cm="1">
        <f t="array" ref="J132">Common_InputFunctions.Utility_DisplayArrayInTable(Fertiliser_SourceData.Fertiliser_Products_Data1(),FertiliserProducts[[#Headers],[Include or Exclude]], 0,4)</f>
        <v/>
      </c>
      <c r="K132" s="185" t="str" cm="1">
        <f t="array" ref="K132">Common_InputFunctions.Utility_DisplayArrayInTable(Fertiliser_SourceData.Fertiliser_Products_Data1(),FertiliserProducts[[#Headers],[Include or Exclude]], 0,4)</f>
        <v/>
      </c>
      <c r="L132" s="185" t="str" cm="1">
        <f t="array" ref="L132">Common_InputFunctions.Utility_DisplayArrayInTable(Fertiliser_SourceData.Fertiliser_Products_Data1(),FertiliserProducts[[#Headers],[Include or Exclude]], 0,4)</f>
        <v/>
      </c>
      <c r="M132" s="185" t="str" cm="1">
        <f t="array" ref="M132">Common_InputFunctions.Utility_DisplayArrayInTable(Fertiliser_SourceData.Fertiliser_Products_Data1(),FertiliserProducts[[#Headers],[Include or Exclude]], 0,4)</f>
        <v/>
      </c>
      <c r="N132" s="185" t="str" cm="1">
        <f t="array" ref="N132">Common_InputFunctions.Utility_DisplayArrayInTable(Fertiliser_SourceData.Fertiliser_Products_Data1(),FertiliserProducts[[#Headers],[Include or Exclude]], 0,4)</f>
        <v/>
      </c>
      <c r="O132" s="185" t="str" cm="1">
        <f t="array" ref="O132">Common_InputFunctions.Utility_DisplayArrayInTable(Fertiliser_SourceData.Fertiliser_Products_Data1(),FertiliserProducts[[#Headers],[Include or Exclude]], 0,4)</f>
        <v/>
      </c>
      <c r="P132" s="185" t="str" cm="1">
        <f t="array" ref="P132">Common_InputFunctions.Utility_DisplayArrayInTable(Fertiliser_SourceData.Fertiliser_Products_Data1(),FertiliserProducts[[#Headers],[Include or Exclude]], 0,4)</f>
        <v/>
      </c>
      <c r="Q132" s="185" t="str" cm="1">
        <f t="array" ref="Q132">Common_InputFunctions.Utility_DisplayArrayInTable(Fertiliser_SourceData.Fertiliser_Products_Data1(),FertiliserProducts[[#Headers],[Include or Exclude]], 0,4)</f>
        <v/>
      </c>
      <c r="R132" s="185" t="str" cm="1">
        <f t="array" ref="R132">Common_InputFunctions.Utility_DisplayArrayInTable(Fertiliser_SourceData.Fertiliser_Products_Data1(),FertiliserProducts[[#Headers],[Include or Exclude]], 0,4)</f>
        <v/>
      </c>
      <c r="S132" s="185" t="str" cm="1">
        <f t="array" ref="S132">Common_InputFunctions.Utility_DisplayArrayInTable(Fertiliser_SourceData.Fertiliser_Products_Data1(),FertiliserProducts[[#Headers],[Include or Exclude]], 0,4)</f>
        <v/>
      </c>
      <c r="T132" s="185" t="str" cm="1">
        <f t="array" ref="T132">Common_InputFunctions.Utility_DisplayArrayInTable(Fertiliser_SourceData.Fertiliser_Products_Data1(),FertiliserProducts[[#Headers],[Include or Exclude]], 0,4)</f>
        <v/>
      </c>
      <c r="U132" s="185" t="str" cm="1">
        <f t="array" ref="U132">Common_InputFunctions.Utility_DisplayArrayInTable(Fertiliser_SourceData.Fertiliser_Products_Data1(),FertiliserProducts[[#Headers],[Include or Exclude]], 0,4)</f>
        <v/>
      </c>
      <c r="V132" s="185" t="str" cm="1">
        <f t="array" ref="V132">Common_InputFunctions.Utility_DisplayArrayInTable(Fertiliser_SourceData.Fertiliser_Products_Data1(),FertiliserProducts[[#Headers],[Include or Exclude]], 0,4)</f>
        <v/>
      </c>
      <c r="W132" s="185" t="str" cm="1">
        <f t="array" ref="W132">Common_InputFunctions.Utility_DisplayArrayInTable(Fertiliser_SourceData.Fertiliser_Products_Data1(),FertiliserProducts[[#Headers],[Include or Exclude]], 0,4)</f>
        <v/>
      </c>
      <c r="X132" s="185" t="str" cm="1">
        <f t="array" ref="X132">Common_InputFunctions.Utility_DisplayArrayInTable(Fertiliser_SourceData.Fertiliser_Products_Data1(),FertiliserProducts[[#Headers],[Include or Exclude]], 0,4)</f>
        <v/>
      </c>
      <c r="Y132" s="185" t="str" cm="1">
        <f t="array" ref="Y132">Common_InputFunctions.Utility_DisplayArrayInTable(Fertiliser_SourceData.Fertiliser_Products_Data1(),FertiliserProducts[[#Headers],[Include or Exclude]], 0,4)</f>
        <v/>
      </c>
      <c r="Z132" s="185" t="str" cm="1">
        <f t="array" ref="Z132">Common_InputFunctions.Utility_DisplayArrayInTable(Fertiliser_SourceData.Fertiliser_Products_Data1(),FertiliserProducts[[#Headers],[Include or Exclude]], 0,4)</f>
        <v/>
      </c>
      <c r="AA132" s="185" t="str" cm="1">
        <f t="array" ref="AA132">Common_InputFunctions.Utility_DisplayArrayInTable(Fertiliser_SourceData.Fertiliser_Products_Data1(),FertiliserProducts[[#Headers],[Include or Exclude]], 0,4)</f>
        <v/>
      </c>
      <c r="AB132" s="185" t="str" cm="1">
        <f t="array" ref="AB132">Common_InputFunctions.Utility_DisplayArrayInTable(Fertiliser_SourceData.Fertiliser_Products_Data1(),FertiliserProducts[[#Headers],[Include or Exclude]], 0,4)</f>
        <v/>
      </c>
      <c r="AC132" s="185" t="str" cm="1">
        <f t="array" ref="AC132">Common_InputFunctions.Utility_DisplayArrayInTable(Fertiliser_SourceData.Fertiliser_Products_Data1(),FertiliserProducts[[#Headers],[Include or Exclude]], 0,4)</f>
        <v/>
      </c>
      <c r="AD132" s="185" t="str" cm="1">
        <f t="array" ref="AD132">Common_InputFunctions.Utility_DisplayArrayInTable(Fertiliser_SourceData.Fertiliser_Products_Data1(),FertiliserProducts[[#Headers],[Include or Exclude]], 0,4)</f>
        <v/>
      </c>
      <c r="AE132" s="185" t="str" cm="1">
        <f t="array" ref="AE132">Common_InputFunctions.Utility_DisplayArrayInTable(Fertiliser_SourceData.Fertiliser_Products_Data1(),FertiliserProducts[[#Headers],[Include or Exclude]], 0,4)</f>
        <v/>
      </c>
    </row>
    <row r="133" spans="4:31" ht="20.100000000000001" customHeight="1" x14ac:dyDescent="0.25">
      <c r="D133" s="185" t="str" cm="1">
        <f t="array" ref="D133">Common_InputFunctions.Utility_DisplayArrayInTable(Fertiliser_SourceData.Fertiliser_Products_Data1(),FertiliserProducts[[#Headers],[Include or Exclude]], -1)</f>
        <v/>
      </c>
      <c r="E133" s="185" t="str" cm="1">
        <f t="array" ref="E133">Common_InputFunctions.Utility_DisplayArrayInTable(Fertiliser_SourceData.Fertiliser_Products_Data1(),FertiliserProducts[[#Headers],[Include or Exclude]], 0)</f>
        <v/>
      </c>
      <c r="F133" s="185" t="str" cm="1">
        <f t="array" ref="F133">Common_InputFunctions.Utility_DisplayArrayInTable(Fertiliser_SourceData.Fertiliser_Products_Data1(),FertiliserProducts[[#Headers],[Include or Exclude]], 0)</f>
        <v/>
      </c>
      <c r="G133" s="185" t="str" cm="1">
        <f t="array" ref="G133">Common_InputFunctions.Utility_DisplayArrayInTable(Fertiliser_SourceData.Fertiliser_Products_Data1(),FertiliserProducts[[#Headers],[Include or Exclude]], 0)</f>
        <v/>
      </c>
      <c r="H133" s="185" t="str" cm="1">
        <f t="array" ref="H133">Common_InputFunctions.Utility_DisplayArrayInTable(Fertiliser_SourceData.Fertiliser_Products_Data1(),FertiliserProducts[[#Headers],[Include or Exclude]], 0,4)</f>
        <v/>
      </c>
      <c r="I133" s="185" t="str" cm="1">
        <f t="array" ref="I133">Common_InputFunctions.Utility_DisplayArrayInTable(Fertiliser_SourceData.Fertiliser_Products_Data1(),FertiliserProducts[[#Headers],[Include or Exclude]], 0,4)</f>
        <v/>
      </c>
      <c r="J133" s="185" t="str" cm="1">
        <f t="array" ref="J133">Common_InputFunctions.Utility_DisplayArrayInTable(Fertiliser_SourceData.Fertiliser_Products_Data1(),FertiliserProducts[[#Headers],[Include or Exclude]], 0,4)</f>
        <v/>
      </c>
      <c r="K133" s="185" t="str" cm="1">
        <f t="array" ref="K133">Common_InputFunctions.Utility_DisplayArrayInTable(Fertiliser_SourceData.Fertiliser_Products_Data1(),FertiliserProducts[[#Headers],[Include or Exclude]], 0,4)</f>
        <v/>
      </c>
      <c r="L133" s="185" t="str" cm="1">
        <f t="array" ref="L133">Common_InputFunctions.Utility_DisplayArrayInTable(Fertiliser_SourceData.Fertiliser_Products_Data1(),FertiliserProducts[[#Headers],[Include or Exclude]], 0,4)</f>
        <v/>
      </c>
      <c r="M133" s="185" t="str" cm="1">
        <f t="array" ref="M133">Common_InputFunctions.Utility_DisplayArrayInTable(Fertiliser_SourceData.Fertiliser_Products_Data1(),FertiliserProducts[[#Headers],[Include or Exclude]], 0,4)</f>
        <v/>
      </c>
      <c r="N133" s="185" t="str" cm="1">
        <f t="array" ref="N133">Common_InputFunctions.Utility_DisplayArrayInTable(Fertiliser_SourceData.Fertiliser_Products_Data1(),FertiliserProducts[[#Headers],[Include or Exclude]], 0,4)</f>
        <v/>
      </c>
      <c r="O133" s="185" t="str" cm="1">
        <f t="array" ref="O133">Common_InputFunctions.Utility_DisplayArrayInTable(Fertiliser_SourceData.Fertiliser_Products_Data1(),FertiliserProducts[[#Headers],[Include or Exclude]], 0,4)</f>
        <v/>
      </c>
      <c r="P133" s="185" t="str" cm="1">
        <f t="array" ref="P133">Common_InputFunctions.Utility_DisplayArrayInTable(Fertiliser_SourceData.Fertiliser_Products_Data1(),FertiliserProducts[[#Headers],[Include or Exclude]], 0,4)</f>
        <v/>
      </c>
      <c r="Q133" s="185" t="str" cm="1">
        <f t="array" ref="Q133">Common_InputFunctions.Utility_DisplayArrayInTable(Fertiliser_SourceData.Fertiliser_Products_Data1(),FertiliserProducts[[#Headers],[Include or Exclude]], 0,4)</f>
        <v/>
      </c>
      <c r="R133" s="185" t="str" cm="1">
        <f t="array" ref="R133">Common_InputFunctions.Utility_DisplayArrayInTable(Fertiliser_SourceData.Fertiliser_Products_Data1(),FertiliserProducts[[#Headers],[Include or Exclude]], 0,4)</f>
        <v/>
      </c>
      <c r="S133" s="185" t="str" cm="1">
        <f t="array" ref="S133">Common_InputFunctions.Utility_DisplayArrayInTable(Fertiliser_SourceData.Fertiliser_Products_Data1(),FertiliserProducts[[#Headers],[Include or Exclude]], 0,4)</f>
        <v/>
      </c>
      <c r="T133" s="185" t="str" cm="1">
        <f t="array" ref="T133">Common_InputFunctions.Utility_DisplayArrayInTable(Fertiliser_SourceData.Fertiliser_Products_Data1(),FertiliserProducts[[#Headers],[Include or Exclude]], 0,4)</f>
        <v/>
      </c>
      <c r="U133" s="185" t="str" cm="1">
        <f t="array" ref="U133">Common_InputFunctions.Utility_DisplayArrayInTable(Fertiliser_SourceData.Fertiliser_Products_Data1(),FertiliserProducts[[#Headers],[Include or Exclude]], 0,4)</f>
        <v/>
      </c>
      <c r="V133" s="185" t="str" cm="1">
        <f t="array" ref="V133">Common_InputFunctions.Utility_DisplayArrayInTable(Fertiliser_SourceData.Fertiliser_Products_Data1(),FertiliserProducts[[#Headers],[Include or Exclude]], 0,4)</f>
        <v/>
      </c>
      <c r="W133" s="185" t="str" cm="1">
        <f t="array" ref="W133">Common_InputFunctions.Utility_DisplayArrayInTable(Fertiliser_SourceData.Fertiliser_Products_Data1(),FertiliserProducts[[#Headers],[Include or Exclude]], 0,4)</f>
        <v/>
      </c>
      <c r="X133" s="185" t="str" cm="1">
        <f t="array" ref="X133">Common_InputFunctions.Utility_DisplayArrayInTable(Fertiliser_SourceData.Fertiliser_Products_Data1(),FertiliserProducts[[#Headers],[Include or Exclude]], 0,4)</f>
        <v/>
      </c>
      <c r="Y133" s="185" t="str" cm="1">
        <f t="array" ref="Y133">Common_InputFunctions.Utility_DisplayArrayInTable(Fertiliser_SourceData.Fertiliser_Products_Data1(),FertiliserProducts[[#Headers],[Include or Exclude]], 0,4)</f>
        <v/>
      </c>
      <c r="Z133" s="185" t="str" cm="1">
        <f t="array" ref="Z133">Common_InputFunctions.Utility_DisplayArrayInTable(Fertiliser_SourceData.Fertiliser_Products_Data1(),FertiliserProducts[[#Headers],[Include or Exclude]], 0,4)</f>
        <v/>
      </c>
      <c r="AA133" s="185" t="str" cm="1">
        <f t="array" ref="AA133">Common_InputFunctions.Utility_DisplayArrayInTable(Fertiliser_SourceData.Fertiliser_Products_Data1(),FertiliserProducts[[#Headers],[Include or Exclude]], 0,4)</f>
        <v/>
      </c>
      <c r="AB133" s="185" t="str" cm="1">
        <f t="array" ref="AB133">Common_InputFunctions.Utility_DisplayArrayInTable(Fertiliser_SourceData.Fertiliser_Products_Data1(),FertiliserProducts[[#Headers],[Include or Exclude]], 0,4)</f>
        <v/>
      </c>
      <c r="AC133" s="185" t="str" cm="1">
        <f t="array" ref="AC133">Common_InputFunctions.Utility_DisplayArrayInTable(Fertiliser_SourceData.Fertiliser_Products_Data1(),FertiliserProducts[[#Headers],[Include or Exclude]], 0,4)</f>
        <v/>
      </c>
      <c r="AD133" s="185" t="str" cm="1">
        <f t="array" ref="AD133">Common_InputFunctions.Utility_DisplayArrayInTable(Fertiliser_SourceData.Fertiliser_Products_Data1(),FertiliserProducts[[#Headers],[Include or Exclude]], 0,4)</f>
        <v/>
      </c>
      <c r="AE133" s="185" t="str" cm="1">
        <f t="array" ref="AE133">Common_InputFunctions.Utility_DisplayArrayInTable(Fertiliser_SourceData.Fertiliser_Products_Data1(),FertiliserProducts[[#Headers],[Include or Exclude]], 0,4)</f>
        <v/>
      </c>
    </row>
    <row r="134" spans="4:31" ht="20.100000000000001" customHeight="1" x14ac:dyDescent="0.25">
      <c r="D134" s="185" t="str" cm="1">
        <f t="array" ref="D134">Common_InputFunctions.Utility_DisplayArrayInTable(Fertiliser_SourceData.Fertiliser_Products_Data1(),FertiliserProducts[[#Headers],[Include or Exclude]], -1)</f>
        <v/>
      </c>
      <c r="E134" s="185" t="str" cm="1">
        <f t="array" ref="E134">Common_InputFunctions.Utility_DisplayArrayInTable(Fertiliser_SourceData.Fertiliser_Products_Data1(),FertiliserProducts[[#Headers],[Include or Exclude]], 0)</f>
        <v/>
      </c>
      <c r="F134" s="185" t="str" cm="1">
        <f t="array" ref="F134">Common_InputFunctions.Utility_DisplayArrayInTable(Fertiliser_SourceData.Fertiliser_Products_Data1(),FertiliserProducts[[#Headers],[Include or Exclude]], 0)</f>
        <v/>
      </c>
      <c r="G134" s="185" t="str" cm="1">
        <f t="array" ref="G134">Common_InputFunctions.Utility_DisplayArrayInTable(Fertiliser_SourceData.Fertiliser_Products_Data1(),FertiliserProducts[[#Headers],[Include or Exclude]], 0)</f>
        <v/>
      </c>
      <c r="H134" s="185" t="str" cm="1">
        <f t="array" ref="H134">Common_InputFunctions.Utility_DisplayArrayInTable(Fertiliser_SourceData.Fertiliser_Products_Data1(),FertiliserProducts[[#Headers],[Include or Exclude]], 0,4)</f>
        <v/>
      </c>
      <c r="I134" s="185" t="str" cm="1">
        <f t="array" ref="I134">Common_InputFunctions.Utility_DisplayArrayInTable(Fertiliser_SourceData.Fertiliser_Products_Data1(),FertiliserProducts[[#Headers],[Include or Exclude]], 0,4)</f>
        <v/>
      </c>
      <c r="J134" s="185" t="str" cm="1">
        <f t="array" ref="J134">Common_InputFunctions.Utility_DisplayArrayInTable(Fertiliser_SourceData.Fertiliser_Products_Data1(),FertiliserProducts[[#Headers],[Include or Exclude]], 0,4)</f>
        <v/>
      </c>
      <c r="K134" s="185" t="str" cm="1">
        <f t="array" ref="K134">Common_InputFunctions.Utility_DisplayArrayInTable(Fertiliser_SourceData.Fertiliser_Products_Data1(),FertiliserProducts[[#Headers],[Include or Exclude]], 0,4)</f>
        <v/>
      </c>
      <c r="L134" s="185" t="str" cm="1">
        <f t="array" ref="L134">Common_InputFunctions.Utility_DisplayArrayInTable(Fertiliser_SourceData.Fertiliser_Products_Data1(),FertiliserProducts[[#Headers],[Include or Exclude]], 0,4)</f>
        <v/>
      </c>
      <c r="M134" s="185" t="str" cm="1">
        <f t="array" ref="M134">Common_InputFunctions.Utility_DisplayArrayInTable(Fertiliser_SourceData.Fertiliser_Products_Data1(),FertiliserProducts[[#Headers],[Include or Exclude]], 0,4)</f>
        <v/>
      </c>
      <c r="N134" s="185" t="str" cm="1">
        <f t="array" ref="N134">Common_InputFunctions.Utility_DisplayArrayInTable(Fertiliser_SourceData.Fertiliser_Products_Data1(),FertiliserProducts[[#Headers],[Include or Exclude]], 0,4)</f>
        <v/>
      </c>
      <c r="O134" s="185" t="str" cm="1">
        <f t="array" ref="O134">Common_InputFunctions.Utility_DisplayArrayInTable(Fertiliser_SourceData.Fertiliser_Products_Data1(),FertiliserProducts[[#Headers],[Include or Exclude]], 0,4)</f>
        <v/>
      </c>
      <c r="P134" s="185" t="str" cm="1">
        <f t="array" ref="P134">Common_InputFunctions.Utility_DisplayArrayInTable(Fertiliser_SourceData.Fertiliser_Products_Data1(),FertiliserProducts[[#Headers],[Include or Exclude]], 0,4)</f>
        <v/>
      </c>
      <c r="Q134" s="185" t="str" cm="1">
        <f t="array" ref="Q134">Common_InputFunctions.Utility_DisplayArrayInTable(Fertiliser_SourceData.Fertiliser_Products_Data1(),FertiliserProducts[[#Headers],[Include or Exclude]], 0,4)</f>
        <v/>
      </c>
      <c r="R134" s="185" t="str" cm="1">
        <f t="array" ref="R134">Common_InputFunctions.Utility_DisplayArrayInTable(Fertiliser_SourceData.Fertiliser_Products_Data1(),FertiliserProducts[[#Headers],[Include or Exclude]], 0,4)</f>
        <v/>
      </c>
      <c r="S134" s="185" t="str" cm="1">
        <f t="array" ref="S134">Common_InputFunctions.Utility_DisplayArrayInTable(Fertiliser_SourceData.Fertiliser_Products_Data1(),FertiliserProducts[[#Headers],[Include or Exclude]], 0,4)</f>
        <v/>
      </c>
      <c r="T134" s="185" t="str" cm="1">
        <f t="array" ref="T134">Common_InputFunctions.Utility_DisplayArrayInTable(Fertiliser_SourceData.Fertiliser_Products_Data1(),FertiliserProducts[[#Headers],[Include or Exclude]], 0,4)</f>
        <v/>
      </c>
      <c r="U134" s="185" t="str" cm="1">
        <f t="array" ref="U134">Common_InputFunctions.Utility_DisplayArrayInTable(Fertiliser_SourceData.Fertiliser_Products_Data1(),FertiliserProducts[[#Headers],[Include or Exclude]], 0,4)</f>
        <v/>
      </c>
      <c r="V134" s="185" t="str" cm="1">
        <f t="array" ref="V134">Common_InputFunctions.Utility_DisplayArrayInTable(Fertiliser_SourceData.Fertiliser_Products_Data1(),FertiliserProducts[[#Headers],[Include or Exclude]], 0,4)</f>
        <v/>
      </c>
      <c r="W134" s="185" t="str" cm="1">
        <f t="array" ref="W134">Common_InputFunctions.Utility_DisplayArrayInTable(Fertiliser_SourceData.Fertiliser_Products_Data1(),FertiliserProducts[[#Headers],[Include or Exclude]], 0,4)</f>
        <v/>
      </c>
      <c r="X134" s="185" t="str" cm="1">
        <f t="array" ref="X134">Common_InputFunctions.Utility_DisplayArrayInTable(Fertiliser_SourceData.Fertiliser_Products_Data1(),FertiliserProducts[[#Headers],[Include or Exclude]], 0,4)</f>
        <v/>
      </c>
      <c r="Y134" s="185" t="str" cm="1">
        <f t="array" ref="Y134">Common_InputFunctions.Utility_DisplayArrayInTable(Fertiliser_SourceData.Fertiliser_Products_Data1(),FertiliserProducts[[#Headers],[Include or Exclude]], 0,4)</f>
        <v/>
      </c>
      <c r="Z134" s="185" t="str" cm="1">
        <f t="array" ref="Z134">Common_InputFunctions.Utility_DisplayArrayInTable(Fertiliser_SourceData.Fertiliser_Products_Data1(),FertiliserProducts[[#Headers],[Include or Exclude]], 0,4)</f>
        <v/>
      </c>
      <c r="AA134" s="185" t="str" cm="1">
        <f t="array" ref="AA134">Common_InputFunctions.Utility_DisplayArrayInTable(Fertiliser_SourceData.Fertiliser_Products_Data1(),FertiliserProducts[[#Headers],[Include or Exclude]], 0,4)</f>
        <v/>
      </c>
      <c r="AB134" s="185" t="str" cm="1">
        <f t="array" ref="AB134">Common_InputFunctions.Utility_DisplayArrayInTable(Fertiliser_SourceData.Fertiliser_Products_Data1(),FertiliserProducts[[#Headers],[Include or Exclude]], 0,4)</f>
        <v/>
      </c>
      <c r="AC134" s="185" t="str" cm="1">
        <f t="array" ref="AC134">Common_InputFunctions.Utility_DisplayArrayInTable(Fertiliser_SourceData.Fertiliser_Products_Data1(),FertiliserProducts[[#Headers],[Include or Exclude]], 0,4)</f>
        <v/>
      </c>
      <c r="AD134" s="185" t="str" cm="1">
        <f t="array" ref="AD134">Common_InputFunctions.Utility_DisplayArrayInTable(Fertiliser_SourceData.Fertiliser_Products_Data1(),FertiliserProducts[[#Headers],[Include or Exclude]], 0,4)</f>
        <v/>
      </c>
      <c r="AE134" s="185" t="str" cm="1">
        <f t="array" ref="AE134">Common_InputFunctions.Utility_DisplayArrayInTable(Fertiliser_SourceData.Fertiliser_Products_Data1(),FertiliserProducts[[#Headers],[Include or Exclude]], 0,4)</f>
        <v/>
      </c>
    </row>
    <row r="135" spans="4:31" ht="20.100000000000001" customHeight="1" x14ac:dyDescent="0.25">
      <c r="D135" s="185" t="str" cm="1">
        <f t="array" ref="D135">Common_InputFunctions.Utility_DisplayArrayInTable(Fertiliser_SourceData.Fertiliser_Products_Data1(),FertiliserProducts[[#Headers],[Include or Exclude]], -1)</f>
        <v/>
      </c>
      <c r="E135" s="185" t="str" cm="1">
        <f t="array" ref="E135">Common_InputFunctions.Utility_DisplayArrayInTable(Fertiliser_SourceData.Fertiliser_Products_Data1(),FertiliserProducts[[#Headers],[Include or Exclude]], 0)</f>
        <v/>
      </c>
      <c r="F135" s="185" t="str" cm="1">
        <f t="array" ref="F135">Common_InputFunctions.Utility_DisplayArrayInTable(Fertiliser_SourceData.Fertiliser_Products_Data1(),FertiliserProducts[[#Headers],[Include or Exclude]], 0)</f>
        <v/>
      </c>
      <c r="G135" s="185" t="str" cm="1">
        <f t="array" ref="G135">Common_InputFunctions.Utility_DisplayArrayInTable(Fertiliser_SourceData.Fertiliser_Products_Data1(),FertiliserProducts[[#Headers],[Include or Exclude]], 0)</f>
        <v/>
      </c>
      <c r="H135" s="185" t="str" cm="1">
        <f t="array" ref="H135">Common_InputFunctions.Utility_DisplayArrayInTable(Fertiliser_SourceData.Fertiliser_Products_Data1(),FertiliserProducts[[#Headers],[Include or Exclude]], 0,4)</f>
        <v/>
      </c>
      <c r="I135" s="185" t="str" cm="1">
        <f t="array" ref="I135">Common_InputFunctions.Utility_DisplayArrayInTable(Fertiliser_SourceData.Fertiliser_Products_Data1(),FertiliserProducts[[#Headers],[Include or Exclude]], 0,4)</f>
        <v/>
      </c>
      <c r="J135" s="185" t="str" cm="1">
        <f t="array" ref="J135">Common_InputFunctions.Utility_DisplayArrayInTable(Fertiliser_SourceData.Fertiliser_Products_Data1(),FertiliserProducts[[#Headers],[Include or Exclude]], 0,4)</f>
        <v/>
      </c>
      <c r="K135" s="185" t="str" cm="1">
        <f t="array" ref="K135">Common_InputFunctions.Utility_DisplayArrayInTable(Fertiliser_SourceData.Fertiliser_Products_Data1(),FertiliserProducts[[#Headers],[Include or Exclude]], 0,4)</f>
        <v/>
      </c>
      <c r="L135" s="185" t="str" cm="1">
        <f t="array" ref="L135">Common_InputFunctions.Utility_DisplayArrayInTable(Fertiliser_SourceData.Fertiliser_Products_Data1(),FertiliserProducts[[#Headers],[Include or Exclude]], 0,4)</f>
        <v/>
      </c>
      <c r="M135" s="185" t="str" cm="1">
        <f t="array" ref="M135">Common_InputFunctions.Utility_DisplayArrayInTable(Fertiliser_SourceData.Fertiliser_Products_Data1(),FertiliserProducts[[#Headers],[Include or Exclude]], 0,4)</f>
        <v/>
      </c>
      <c r="N135" s="185" t="str" cm="1">
        <f t="array" ref="N135">Common_InputFunctions.Utility_DisplayArrayInTable(Fertiliser_SourceData.Fertiliser_Products_Data1(),FertiliserProducts[[#Headers],[Include or Exclude]], 0,4)</f>
        <v/>
      </c>
      <c r="O135" s="185" t="str" cm="1">
        <f t="array" ref="O135">Common_InputFunctions.Utility_DisplayArrayInTable(Fertiliser_SourceData.Fertiliser_Products_Data1(),FertiliserProducts[[#Headers],[Include or Exclude]], 0,4)</f>
        <v/>
      </c>
      <c r="P135" s="185" t="str" cm="1">
        <f t="array" ref="P135">Common_InputFunctions.Utility_DisplayArrayInTable(Fertiliser_SourceData.Fertiliser_Products_Data1(),FertiliserProducts[[#Headers],[Include or Exclude]], 0,4)</f>
        <v/>
      </c>
      <c r="Q135" s="185" t="str" cm="1">
        <f t="array" ref="Q135">Common_InputFunctions.Utility_DisplayArrayInTable(Fertiliser_SourceData.Fertiliser_Products_Data1(),FertiliserProducts[[#Headers],[Include or Exclude]], 0,4)</f>
        <v/>
      </c>
      <c r="R135" s="185" t="str" cm="1">
        <f t="array" ref="R135">Common_InputFunctions.Utility_DisplayArrayInTable(Fertiliser_SourceData.Fertiliser_Products_Data1(),FertiliserProducts[[#Headers],[Include or Exclude]], 0,4)</f>
        <v/>
      </c>
      <c r="S135" s="185" t="str" cm="1">
        <f t="array" ref="S135">Common_InputFunctions.Utility_DisplayArrayInTable(Fertiliser_SourceData.Fertiliser_Products_Data1(),FertiliserProducts[[#Headers],[Include or Exclude]], 0,4)</f>
        <v/>
      </c>
      <c r="T135" s="185" t="str" cm="1">
        <f t="array" ref="T135">Common_InputFunctions.Utility_DisplayArrayInTable(Fertiliser_SourceData.Fertiliser_Products_Data1(),FertiliserProducts[[#Headers],[Include or Exclude]], 0,4)</f>
        <v/>
      </c>
      <c r="U135" s="185" t="str" cm="1">
        <f t="array" ref="U135">Common_InputFunctions.Utility_DisplayArrayInTable(Fertiliser_SourceData.Fertiliser_Products_Data1(),FertiliserProducts[[#Headers],[Include or Exclude]], 0,4)</f>
        <v/>
      </c>
      <c r="V135" s="185" t="str" cm="1">
        <f t="array" ref="V135">Common_InputFunctions.Utility_DisplayArrayInTable(Fertiliser_SourceData.Fertiliser_Products_Data1(),FertiliserProducts[[#Headers],[Include or Exclude]], 0,4)</f>
        <v/>
      </c>
      <c r="W135" s="185" t="str" cm="1">
        <f t="array" ref="W135">Common_InputFunctions.Utility_DisplayArrayInTable(Fertiliser_SourceData.Fertiliser_Products_Data1(),FertiliserProducts[[#Headers],[Include or Exclude]], 0,4)</f>
        <v/>
      </c>
      <c r="X135" s="185" t="str" cm="1">
        <f t="array" ref="X135">Common_InputFunctions.Utility_DisplayArrayInTable(Fertiliser_SourceData.Fertiliser_Products_Data1(),FertiliserProducts[[#Headers],[Include or Exclude]], 0,4)</f>
        <v/>
      </c>
      <c r="Y135" s="185" t="str" cm="1">
        <f t="array" ref="Y135">Common_InputFunctions.Utility_DisplayArrayInTable(Fertiliser_SourceData.Fertiliser_Products_Data1(),FertiliserProducts[[#Headers],[Include or Exclude]], 0,4)</f>
        <v/>
      </c>
      <c r="Z135" s="185" t="str" cm="1">
        <f t="array" ref="Z135">Common_InputFunctions.Utility_DisplayArrayInTable(Fertiliser_SourceData.Fertiliser_Products_Data1(),FertiliserProducts[[#Headers],[Include or Exclude]], 0,4)</f>
        <v/>
      </c>
      <c r="AA135" s="185" t="str" cm="1">
        <f t="array" ref="AA135">Common_InputFunctions.Utility_DisplayArrayInTable(Fertiliser_SourceData.Fertiliser_Products_Data1(),FertiliserProducts[[#Headers],[Include or Exclude]], 0,4)</f>
        <v/>
      </c>
      <c r="AB135" s="185" t="str" cm="1">
        <f t="array" ref="AB135">Common_InputFunctions.Utility_DisplayArrayInTable(Fertiliser_SourceData.Fertiliser_Products_Data1(),FertiliserProducts[[#Headers],[Include or Exclude]], 0,4)</f>
        <v/>
      </c>
      <c r="AC135" s="185" t="str" cm="1">
        <f t="array" ref="AC135">Common_InputFunctions.Utility_DisplayArrayInTable(Fertiliser_SourceData.Fertiliser_Products_Data1(),FertiliserProducts[[#Headers],[Include or Exclude]], 0,4)</f>
        <v/>
      </c>
      <c r="AD135" s="185" t="str" cm="1">
        <f t="array" ref="AD135">Common_InputFunctions.Utility_DisplayArrayInTable(Fertiliser_SourceData.Fertiliser_Products_Data1(),FertiliserProducts[[#Headers],[Include or Exclude]], 0,4)</f>
        <v/>
      </c>
      <c r="AE135" s="185" t="str" cm="1">
        <f t="array" ref="AE135">Common_InputFunctions.Utility_DisplayArrayInTable(Fertiliser_SourceData.Fertiliser_Products_Data1(),FertiliserProducts[[#Headers],[Include or Exclude]], 0,4)</f>
        <v/>
      </c>
    </row>
    <row r="136" spans="4:31" ht="20.100000000000001" customHeight="1" x14ac:dyDescent="0.25">
      <c r="D136" s="185" t="str" cm="1">
        <f t="array" ref="D136">Common_InputFunctions.Utility_DisplayArrayInTable(Fertiliser_SourceData.Fertiliser_Products_Data1(),FertiliserProducts[[#Headers],[Include or Exclude]], -1)</f>
        <v/>
      </c>
      <c r="E136" s="185" t="str" cm="1">
        <f t="array" ref="E136">Common_InputFunctions.Utility_DisplayArrayInTable(Fertiliser_SourceData.Fertiliser_Products_Data1(),FertiliserProducts[[#Headers],[Include or Exclude]], 0)</f>
        <v/>
      </c>
      <c r="F136" s="185" t="str" cm="1">
        <f t="array" ref="F136">Common_InputFunctions.Utility_DisplayArrayInTable(Fertiliser_SourceData.Fertiliser_Products_Data1(),FertiliserProducts[[#Headers],[Include or Exclude]], 0)</f>
        <v/>
      </c>
      <c r="G136" s="185" t="str" cm="1">
        <f t="array" ref="G136">Common_InputFunctions.Utility_DisplayArrayInTable(Fertiliser_SourceData.Fertiliser_Products_Data1(),FertiliserProducts[[#Headers],[Include or Exclude]], 0)</f>
        <v/>
      </c>
      <c r="H136" s="185" t="str" cm="1">
        <f t="array" ref="H136">Common_InputFunctions.Utility_DisplayArrayInTable(Fertiliser_SourceData.Fertiliser_Products_Data1(),FertiliserProducts[[#Headers],[Include or Exclude]], 0,4)</f>
        <v/>
      </c>
      <c r="I136" s="185" t="str" cm="1">
        <f t="array" ref="I136">Common_InputFunctions.Utility_DisplayArrayInTable(Fertiliser_SourceData.Fertiliser_Products_Data1(),FertiliserProducts[[#Headers],[Include or Exclude]], 0,4)</f>
        <v/>
      </c>
      <c r="J136" s="185" t="str" cm="1">
        <f t="array" ref="J136">Common_InputFunctions.Utility_DisplayArrayInTable(Fertiliser_SourceData.Fertiliser_Products_Data1(),FertiliserProducts[[#Headers],[Include or Exclude]], 0,4)</f>
        <v/>
      </c>
      <c r="K136" s="185" t="str" cm="1">
        <f t="array" ref="K136">Common_InputFunctions.Utility_DisplayArrayInTable(Fertiliser_SourceData.Fertiliser_Products_Data1(),FertiliserProducts[[#Headers],[Include or Exclude]], 0,4)</f>
        <v/>
      </c>
      <c r="L136" s="185" t="str" cm="1">
        <f t="array" ref="L136">Common_InputFunctions.Utility_DisplayArrayInTable(Fertiliser_SourceData.Fertiliser_Products_Data1(),FertiliserProducts[[#Headers],[Include or Exclude]], 0,4)</f>
        <v/>
      </c>
      <c r="M136" s="185" t="str" cm="1">
        <f t="array" ref="M136">Common_InputFunctions.Utility_DisplayArrayInTable(Fertiliser_SourceData.Fertiliser_Products_Data1(),FertiliserProducts[[#Headers],[Include or Exclude]], 0,4)</f>
        <v/>
      </c>
      <c r="N136" s="185" t="str" cm="1">
        <f t="array" ref="N136">Common_InputFunctions.Utility_DisplayArrayInTable(Fertiliser_SourceData.Fertiliser_Products_Data1(),FertiliserProducts[[#Headers],[Include or Exclude]], 0,4)</f>
        <v/>
      </c>
      <c r="O136" s="185" t="str" cm="1">
        <f t="array" ref="O136">Common_InputFunctions.Utility_DisplayArrayInTable(Fertiliser_SourceData.Fertiliser_Products_Data1(),FertiliserProducts[[#Headers],[Include or Exclude]], 0,4)</f>
        <v/>
      </c>
      <c r="P136" s="185" t="str" cm="1">
        <f t="array" ref="P136">Common_InputFunctions.Utility_DisplayArrayInTable(Fertiliser_SourceData.Fertiliser_Products_Data1(),FertiliserProducts[[#Headers],[Include or Exclude]], 0,4)</f>
        <v/>
      </c>
      <c r="Q136" s="185" t="str" cm="1">
        <f t="array" ref="Q136">Common_InputFunctions.Utility_DisplayArrayInTable(Fertiliser_SourceData.Fertiliser_Products_Data1(),FertiliserProducts[[#Headers],[Include or Exclude]], 0,4)</f>
        <v/>
      </c>
      <c r="R136" s="185" t="str" cm="1">
        <f t="array" ref="R136">Common_InputFunctions.Utility_DisplayArrayInTable(Fertiliser_SourceData.Fertiliser_Products_Data1(),FertiliserProducts[[#Headers],[Include or Exclude]], 0,4)</f>
        <v/>
      </c>
      <c r="S136" s="185" t="str" cm="1">
        <f t="array" ref="S136">Common_InputFunctions.Utility_DisplayArrayInTable(Fertiliser_SourceData.Fertiliser_Products_Data1(),FertiliserProducts[[#Headers],[Include or Exclude]], 0,4)</f>
        <v/>
      </c>
      <c r="T136" s="185" t="str" cm="1">
        <f t="array" ref="T136">Common_InputFunctions.Utility_DisplayArrayInTable(Fertiliser_SourceData.Fertiliser_Products_Data1(),FertiliserProducts[[#Headers],[Include or Exclude]], 0,4)</f>
        <v/>
      </c>
      <c r="U136" s="185" t="str" cm="1">
        <f t="array" ref="U136">Common_InputFunctions.Utility_DisplayArrayInTable(Fertiliser_SourceData.Fertiliser_Products_Data1(),FertiliserProducts[[#Headers],[Include or Exclude]], 0,4)</f>
        <v/>
      </c>
      <c r="V136" s="185" t="str" cm="1">
        <f t="array" ref="V136">Common_InputFunctions.Utility_DisplayArrayInTable(Fertiliser_SourceData.Fertiliser_Products_Data1(),FertiliserProducts[[#Headers],[Include or Exclude]], 0,4)</f>
        <v/>
      </c>
      <c r="W136" s="185" t="str" cm="1">
        <f t="array" ref="W136">Common_InputFunctions.Utility_DisplayArrayInTable(Fertiliser_SourceData.Fertiliser_Products_Data1(),FertiliserProducts[[#Headers],[Include or Exclude]], 0,4)</f>
        <v/>
      </c>
      <c r="X136" s="185" t="str" cm="1">
        <f t="array" ref="X136">Common_InputFunctions.Utility_DisplayArrayInTable(Fertiliser_SourceData.Fertiliser_Products_Data1(),FertiliserProducts[[#Headers],[Include or Exclude]], 0,4)</f>
        <v/>
      </c>
      <c r="Y136" s="185" t="str" cm="1">
        <f t="array" ref="Y136">Common_InputFunctions.Utility_DisplayArrayInTable(Fertiliser_SourceData.Fertiliser_Products_Data1(),FertiliserProducts[[#Headers],[Include or Exclude]], 0,4)</f>
        <v/>
      </c>
      <c r="Z136" s="185" t="str" cm="1">
        <f t="array" ref="Z136">Common_InputFunctions.Utility_DisplayArrayInTable(Fertiliser_SourceData.Fertiliser_Products_Data1(),FertiliserProducts[[#Headers],[Include or Exclude]], 0,4)</f>
        <v/>
      </c>
      <c r="AA136" s="185" t="str" cm="1">
        <f t="array" ref="AA136">Common_InputFunctions.Utility_DisplayArrayInTable(Fertiliser_SourceData.Fertiliser_Products_Data1(),FertiliserProducts[[#Headers],[Include or Exclude]], 0,4)</f>
        <v/>
      </c>
      <c r="AB136" s="185" t="str" cm="1">
        <f t="array" ref="AB136">Common_InputFunctions.Utility_DisplayArrayInTable(Fertiliser_SourceData.Fertiliser_Products_Data1(),FertiliserProducts[[#Headers],[Include or Exclude]], 0,4)</f>
        <v/>
      </c>
      <c r="AC136" s="185" t="str" cm="1">
        <f t="array" ref="AC136">Common_InputFunctions.Utility_DisplayArrayInTable(Fertiliser_SourceData.Fertiliser_Products_Data1(),FertiliserProducts[[#Headers],[Include or Exclude]], 0,4)</f>
        <v/>
      </c>
      <c r="AD136" s="185" t="str" cm="1">
        <f t="array" ref="AD136">Common_InputFunctions.Utility_DisplayArrayInTable(Fertiliser_SourceData.Fertiliser_Products_Data1(),FertiliserProducts[[#Headers],[Include or Exclude]], 0,4)</f>
        <v/>
      </c>
      <c r="AE136" s="185" t="str" cm="1">
        <f t="array" ref="AE136">Common_InputFunctions.Utility_DisplayArrayInTable(Fertiliser_SourceData.Fertiliser_Products_Data1(),FertiliserProducts[[#Headers],[Include or Exclude]], 0,4)</f>
        <v/>
      </c>
    </row>
    <row r="137" spans="4:31" ht="20.100000000000001" customHeight="1" x14ac:dyDescent="0.25">
      <c r="D137" s="185" t="str" cm="1">
        <f t="array" ref="D137">Common_InputFunctions.Utility_DisplayArrayInTable(Fertiliser_SourceData.Fertiliser_Products_Data1(),FertiliserProducts[[#Headers],[Include or Exclude]], -1)</f>
        <v/>
      </c>
      <c r="E137" s="185" t="str" cm="1">
        <f t="array" ref="E137">Common_InputFunctions.Utility_DisplayArrayInTable(Fertiliser_SourceData.Fertiliser_Products_Data1(),FertiliserProducts[[#Headers],[Include or Exclude]], 0)</f>
        <v/>
      </c>
      <c r="F137" s="185" t="str" cm="1">
        <f t="array" ref="F137">Common_InputFunctions.Utility_DisplayArrayInTable(Fertiliser_SourceData.Fertiliser_Products_Data1(),FertiliserProducts[[#Headers],[Include or Exclude]], 0)</f>
        <v/>
      </c>
      <c r="G137" s="185" t="str" cm="1">
        <f t="array" ref="G137">Common_InputFunctions.Utility_DisplayArrayInTable(Fertiliser_SourceData.Fertiliser_Products_Data1(),FertiliserProducts[[#Headers],[Include or Exclude]], 0)</f>
        <v/>
      </c>
      <c r="H137" s="185" t="str" cm="1">
        <f t="array" ref="H137">Common_InputFunctions.Utility_DisplayArrayInTable(Fertiliser_SourceData.Fertiliser_Products_Data1(),FertiliserProducts[[#Headers],[Include or Exclude]], 0,4)</f>
        <v/>
      </c>
      <c r="I137" s="185" t="str" cm="1">
        <f t="array" ref="I137">Common_InputFunctions.Utility_DisplayArrayInTable(Fertiliser_SourceData.Fertiliser_Products_Data1(),FertiliserProducts[[#Headers],[Include or Exclude]], 0,4)</f>
        <v/>
      </c>
      <c r="J137" s="185" t="str" cm="1">
        <f t="array" ref="J137">Common_InputFunctions.Utility_DisplayArrayInTable(Fertiliser_SourceData.Fertiliser_Products_Data1(),FertiliserProducts[[#Headers],[Include or Exclude]], 0,4)</f>
        <v/>
      </c>
      <c r="K137" s="185" t="str" cm="1">
        <f t="array" ref="K137">Common_InputFunctions.Utility_DisplayArrayInTable(Fertiliser_SourceData.Fertiliser_Products_Data1(),FertiliserProducts[[#Headers],[Include or Exclude]], 0,4)</f>
        <v/>
      </c>
      <c r="L137" s="185" t="str" cm="1">
        <f t="array" ref="L137">Common_InputFunctions.Utility_DisplayArrayInTable(Fertiliser_SourceData.Fertiliser_Products_Data1(),FertiliserProducts[[#Headers],[Include or Exclude]], 0,4)</f>
        <v/>
      </c>
      <c r="M137" s="185" t="str" cm="1">
        <f t="array" ref="M137">Common_InputFunctions.Utility_DisplayArrayInTable(Fertiliser_SourceData.Fertiliser_Products_Data1(),FertiliserProducts[[#Headers],[Include or Exclude]], 0,4)</f>
        <v/>
      </c>
      <c r="N137" s="185" t="str" cm="1">
        <f t="array" ref="N137">Common_InputFunctions.Utility_DisplayArrayInTable(Fertiliser_SourceData.Fertiliser_Products_Data1(),FertiliserProducts[[#Headers],[Include or Exclude]], 0,4)</f>
        <v/>
      </c>
      <c r="O137" s="185" t="str" cm="1">
        <f t="array" ref="O137">Common_InputFunctions.Utility_DisplayArrayInTable(Fertiliser_SourceData.Fertiliser_Products_Data1(),FertiliserProducts[[#Headers],[Include or Exclude]], 0,4)</f>
        <v/>
      </c>
      <c r="P137" s="185" t="str" cm="1">
        <f t="array" ref="P137">Common_InputFunctions.Utility_DisplayArrayInTable(Fertiliser_SourceData.Fertiliser_Products_Data1(),FertiliserProducts[[#Headers],[Include or Exclude]], 0,4)</f>
        <v/>
      </c>
      <c r="Q137" s="185" t="str" cm="1">
        <f t="array" ref="Q137">Common_InputFunctions.Utility_DisplayArrayInTable(Fertiliser_SourceData.Fertiliser_Products_Data1(),FertiliserProducts[[#Headers],[Include or Exclude]], 0,4)</f>
        <v/>
      </c>
      <c r="R137" s="185" t="str" cm="1">
        <f t="array" ref="R137">Common_InputFunctions.Utility_DisplayArrayInTable(Fertiliser_SourceData.Fertiliser_Products_Data1(),FertiliserProducts[[#Headers],[Include or Exclude]], 0,4)</f>
        <v/>
      </c>
      <c r="S137" s="185" t="str" cm="1">
        <f t="array" ref="S137">Common_InputFunctions.Utility_DisplayArrayInTable(Fertiliser_SourceData.Fertiliser_Products_Data1(),FertiliserProducts[[#Headers],[Include or Exclude]], 0,4)</f>
        <v/>
      </c>
      <c r="T137" s="185" t="str" cm="1">
        <f t="array" ref="T137">Common_InputFunctions.Utility_DisplayArrayInTable(Fertiliser_SourceData.Fertiliser_Products_Data1(),FertiliserProducts[[#Headers],[Include or Exclude]], 0,4)</f>
        <v/>
      </c>
      <c r="U137" s="185" t="str" cm="1">
        <f t="array" ref="U137">Common_InputFunctions.Utility_DisplayArrayInTable(Fertiliser_SourceData.Fertiliser_Products_Data1(),FertiliserProducts[[#Headers],[Include or Exclude]], 0,4)</f>
        <v/>
      </c>
      <c r="V137" s="185" t="str" cm="1">
        <f t="array" ref="V137">Common_InputFunctions.Utility_DisplayArrayInTable(Fertiliser_SourceData.Fertiliser_Products_Data1(),FertiliserProducts[[#Headers],[Include or Exclude]], 0,4)</f>
        <v/>
      </c>
      <c r="W137" s="185" t="str" cm="1">
        <f t="array" ref="W137">Common_InputFunctions.Utility_DisplayArrayInTable(Fertiliser_SourceData.Fertiliser_Products_Data1(),FertiliserProducts[[#Headers],[Include or Exclude]], 0,4)</f>
        <v/>
      </c>
      <c r="X137" s="185" t="str" cm="1">
        <f t="array" ref="X137">Common_InputFunctions.Utility_DisplayArrayInTable(Fertiliser_SourceData.Fertiliser_Products_Data1(),FertiliserProducts[[#Headers],[Include or Exclude]], 0,4)</f>
        <v/>
      </c>
      <c r="Y137" s="185" t="str" cm="1">
        <f t="array" ref="Y137">Common_InputFunctions.Utility_DisplayArrayInTable(Fertiliser_SourceData.Fertiliser_Products_Data1(),FertiliserProducts[[#Headers],[Include or Exclude]], 0,4)</f>
        <v/>
      </c>
      <c r="Z137" s="185" t="str" cm="1">
        <f t="array" ref="Z137">Common_InputFunctions.Utility_DisplayArrayInTable(Fertiliser_SourceData.Fertiliser_Products_Data1(),FertiliserProducts[[#Headers],[Include or Exclude]], 0,4)</f>
        <v/>
      </c>
      <c r="AA137" s="185" t="str" cm="1">
        <f t="array" ref="AA137">Common_InputFunctions.Utility_DisplayArrayInTable(Fertiliser_SourceData.Fertiliser_Products_Data1(),FertiliserProducts[[#Headers],[Include or Exclude]], 0,4)</f>
        <v/>
      </c>
      <c r="AB137" s="185" t="str" cm="1">
        <f t="array" ref="AB137">Common_InputFunctions.Utility_DisplayArrayInTable(Fertiliser_SourceData.Fertiliser_Products_Data1(),FertiliserProducts[[#Headers],[Include or Exclude]], 0,4)</f>
        <v/>
      </c>
      <c r="AC137" s="185" t="str" cm="1">
        <f t="array" ref="AC137">Common_InputFunctions.Utility_DisplayArrayInTable(Fertiliser_SourceData.Fertiliser_Products_Data1(),FertiliserProducts[[#Headers],[Include or Exclude]], 0,4)</f>
        <v/>
      </c>
      <c r="AD137" s="185" t="str" cm="1">
        <f t="array" ref="AD137">Common_InputFunctions.Utility_DisplayArrayInTable(Fertiliser_SourceData.Fertiliser_Products_Data1(),FertiliserProducts[[#Headers],[Include or Exclude]], 0,4)</f>
        <v/>
      </c>
      <c r="AE137" s="185" t="str" cm="1">
        <f t="array" ref="AE137">Common_InputFunctions.Utility_DisplayArrayInTable(Fertiliser_SourceData.Fertiliser_Products_Data1(),FertiliserProducts[[#Headers],[Include or Exclude]], 0,4)</f>
        <v/>
      </c>
    </row>
    <row r="138" spans="4:31" ht="20.100000000000001" customHeight="1" x14ac:dyDescent="0.25">
      <c r="D138" s="185" t="str" cm="1">
        <f t="array" ref="D138">Common_InputFunctions.Utility_DisplayArrayInTable(Fertiliser_SourceData.Fertiliser_Products_Data1(),FertiliserProducts[[#Headers],[Include or Exclude]], -1)</f>
        <v/>
      </c>
      <c r="E138" s="185" t="str" cm="1">
        <f t="array" ref="E138">Common_InputFunctions.Utility_DisplayArrayInTable(Fertiliser_SourceData.Fertiliser_Products_Data1(),FertiliserProducts[[#Headers],[Include or Exclude]], 0)</f>
        <v/>
      </c>
      <c r="F138" s="185" t="str" cm="1">
        <f t="array" ref="F138">Common_InputFunctions.Utility_DisplayArrayInTable(Fertiliser_SourceData.Fertiliser_Products_Data1(),FertiliserProducts[[#Headers],[Include or Exclude]], 0)</f>
        <v/>
      </c>
      <c r="G138" s="185" t="str" cm="1">
        <f t="array" ref="G138">Common_InputFunctions.Utility_DisplayArrayInTable(Fertiliser_SourceData.Fertiliser_Products_Data1(),FertiliserProducts[[#Headers],[Include or Exclude]], 0)</f>
        <v/>
      </c>
      <c r="H138" s="185" t="str" cm="1">
        <f t="array" ref="H138">Common_InputFunctions.Utility_DisplayArrayInTable(Fertiliser_SourceData.Fertiliser_Products_Data1(),FertiliserProducts[[#Headers],[Include or Exclude]], 0,4)</f>
        <v/>
      </c>
      <c r="I138" s="185" t="str" cm="1">
        <f t="array" ref="I138">Common_InputFunctions.Utility_DisplayArrayInTable(Fertiliser_SourceData.Fertiliser_Products_Data1(),FertiliserProducts[[#Headers],[Include or Exclude]], 0,4)</f>
        <v/>
      </c>
      <c r="J138" s="185" t="str" cm="1">
        <f t="array" ref="J138">Common_InputFunctions.Utility_DisplayArrayInTable(Fertiliser_SourceData.Fertiliser_Products_Data1(),FertiliserProducts[[#Headers],[Include or Exclude]], 0,4)</f>
        <v/>
      </c>
      <c r="K138" s="185" t="str" cm="1">
        <f t="array" ref="K138">Common_InputFunctions.Utility_DisplayArrayInTable(Fertiliser_SourceData.Fertiliser_Products_Data1(),FertiliserProducts[[#Headers],[Include or Exclude]], 0,4)</f>
        <v/>
      </c>
      <c r="L138" s="185" t="str" cm="1">
        <f t="array" ref="L138">Common_InputFunctions.Utility_DisplayArrayInTable(Fertiliser_SourceData.Fertiliser_Products_Data1(),FertiliserProducts[[#Headers],[Include or Exclude]], 0,4)</f>
        <v/>
      </c>
      <c r="M138" s="185" t="str" cm="1">
        <f t="array" ref="M138">Common_InputFunctions.Utility_DisplayArrayInTable(Fertiliser_SourceData.Fertiliser_Products_Data1(),FertiliserProducts[[#Headers],[Include or Exclude]], 0,4)</f>
        <v/>
      </c>
      <c r="N138" s="185" t="str" cm="1">
        <f t="array" ref="N138">Common_InputFunctions.Utility_DisplayArrayInTable(Fertiliser_SourceData.Fertiliser_Products_Data1(),FertiliserProducts[[#Headers],[Include or Exclude]], 0,4)</f>
        <v/>
      </c>
      <c r="O138" s="185" t="str" cm="1">
        <f t="array" ref="O138">Common_InputFunctions.Utility_DisplayArrayInTable(Fertiliser_SourceData.Fertiliser_Products_Data1(),FertiliserProducts[[#Headers],[Include or Exclude]], 0,4)</f>
        <v/>
      </c>
      <c r="P138" s="185" t="str" cm="1">
        <f t="array" ref="P138">Common_InputFunctions.Utility_DisplayArrayInTable(Fertiliser_SourceData.Fertiliser_Products_Data1(),FertiliserProducts[[#Headers],[Include or Exclude]], 0,4)</f>
        <v/>
      </c>
      <c r="Q138" s="185" t="str" cm="1">
        <f t="array" ref="Q138">Common_InputFunctions.Utility_DisplayArrayInTable(Fertiliser_SourceData.Fertiliser_Products_Data1(),FertiliserProducts[[#Headers],[Include or Exclude]], 0,4)</f>
        <v/>
      </c>
      <c r="R138" s="185" t="str" cm="1">
        <f t="array" ref="R138">Common_InputFunctions.Utility_DisplayArrayInTable(Fertiliser_SourceData.Fertiliser_Products_Data1(),FertiliserProducts[[#Headers],[Include or Exclude]], 0,4)</f>
        <v/>
      </c>
      <c r="S138" s="185" t="str" cm="1">
        <f t="array" ref="S138">Common_InputFunctions.Utility_DisplayArrayInTable(Fertiliser_SourceData.Fertiliser_Products_Data1(),FertiliserProducts[[#Headers],[Include or Exclude]], 0,4)</f>
        <v/>
      </c>
      <c r="T138" s="185" t="str" cm="1">
        <f t="array" ref="T138">Common_InputFunctions.Utility_DisplayArrayInTable(Fertiliser_SourceData.Fertiliser_Products_Data1(),FertiliserProducts[[#Headers],[Include or Exclude]], 0,4)</f>
        <v/>
      </c>
      <c r="U138" s="185" t="str" cm="1">
        <f t="array" ref="U138">Common_InputFunctions.Utility_DisplayArrayInTable(Fertiliser_SourceData.Fertiliser_Products_Data1(),FertiliserProducts[[#Headers],[Include or Exclude]], 0,4)</f>
        <v/>
      </c>
      <c r="V138" s="185" t="str" cm="1">
        <f t="array" ref="V138">Common_InputFunctions.Utility_DisplayArrayInTable(Fertiliser_SourceData.Fertiliser_Products_Data1(),FertiliserProducts[[#Headers],[Include or Exclude]], 0,4)</f>
        <v/>
      </c>
      <c r="W138" s="185" t="str" cm="1">
        <f t="array" ref="W138">Common_InputFunctions.Utility_DisplayArrayInTable(Fertiliser_SourceData.Fertiliser_Products_Data1(),FertiliserProducts[[#Headers],[Include or Exclude]], 0,4)</f>
        <v/>
      </c>
      <c r="X138" s="185" t="str" cm="1">
        <f t="array" ref="X138">Common_InputFunctions.Utility_DisplayArrayInTable(Fertiliser_SourceData.Fertiliser_Products_Data1(),FertiliserProducts[[#Headers],[Include or Exclude]], 0,4)</f>
        <v/>
      </c>
      <c r="Y138" s="185" t="str" cm="1">
        <f t="array" ref="Y138">Common_InputFunctions.Utility_DisplayArrayInTable(Fertiliser_SourceData.Fertiliser_Products_Data1(),FertiliserProducts[[#Headers],[Include or Exclude]], 0,4)</f>
        <v/>
      </c>
      <c r="Z138" s="185" t="str" cm="1">
        <f t="array" ref="Z138">Common_InputFunctions.Utility_DisplayArrayInTable(Fertiliser_SourceData.Fertiliser_Products_Data1(),FertiliserProducts[[#Headers],[Include or Exclude]], 0,4)</f>
        <v/>
      </c>
      <c r="AA138" s="185" t="str" cm="1">
        <f t="array" ref="AA138">Common_InputFunctions.Utility_DisplayArrayInTable(Fertiliser_SourceData.Fertiliser_Products_Data1(),FertiliserProducts[[#Headers],[Include or Exclude]], 0,4)</f>
        <v/>
      </c>
      <c r="AB138" s="185" t="str" cm="1">
        <f t="array" ref="AB138">Common_InputFunctions.Utility_DisplayArrayInTable(Fertiliser_SourceData.Fertiliser_Products_Data1(),FertiliserProducts[[#Headers],[Include or Exclude]], 0,4)</f>
        <v/>
      </c>
      <c r="AC138" s="185" t="str" cm="1">
        <f t="array" ref="AC138">Common_InputFunctions.Utility_DisplayArrayInTable(Fertiliser_SourceData.Fertiliser_Products_Data1(),FertiliserProducts[[#Headers],[Include or Exclude]], 0,4)</f>
        <v/>
      </c>
      <c r="AD138" s="185" t="str" cm="1">
        <f t="array" ref="AD138">Common_InputFunctions.Utility_DisplayArrayInTable(Fertiliser_SourceData.Fertiliser_Products_Data1(),FertiliserProducts[[#Headers],[Include or Exclude]], 0,4)</f>
        <v/>
      </c>
      <c r="AE138" s="185" t="str" cm="1">
        <f t="array" ref="AE138">Common_InputFunctions.Utility_DisplayArrayInTable(Fertiliser_SourceData.Fertiliser_Products_Data1(),FertiliserProducts[[#Headers],[Include or Exclude]], 0,4)</f>
        <v/>
      </c>
    </row>
    <row r="139" spans="4:31" ht="20.100000000000001" customHeight="1" x14ac:dyDescent="0.25">
      <c r="D139" s="185" t="str" cm="1">
        <f t="array" ref="D139">Common_InputFunctions.Utility_DisplayArrayInTable(Fertiliser_SourceData.Fertiliser_Products_Data1(),FertiliserProducts[[#Headers],[Include or Exclude]], -1)</f>
        <v/>
      </c>
      <c r="E139" s="185" t="str" cm="1">
        <f t="array" ref="E139">Common_InputFunctions.Utility_DisplayArrayInTable(Fertiliser_SourceData.Fertiliser_Products_Data1(),FertiliserProducts[[#Headers],[Include or Exclude]], 0)</f>
        <v/>
      </c>
      <c r="F139" s="185" t="str" cm="1">
        <f t="array" ref="F139">Common_InputFunctions.Utility_DisplayArrayInTable(Fertiliser_SourceData.Fertiliser_Products_Data1(),FertiliserProducts[[#Headers],[Include or Exclude]], 0)</f>
        <v/>
      </c>
      <c r="G139" s="185" t="str" cm="1">
        <f t="array" ref="G139">Common_InputFunctions.Utility_DisplayArrayInTable(Fertiliser_SourceData.Fertiliser_Products_Data1(),FertiliserProducts[[#Headers],[Include or Exclude]], 0)</f>
        <v/>
      </c>
      <c r="H139" s="185" t="str" cm="1">
        <f t="array" ref="H139">Common_InputFunctions.Utility_DisplayArrayInTable(Fertiliser_SourceData.Fertiliser_Products_Data1(),FertiliserProducts[[#Headers],[Include or Exclude]], 0,4)</f>
        <v/>
      </c>
      <c r="I139" s="185" t="str" cm="1">
        <f t="array" ref="I139">Common_InputFunctions.Utility_DisplayArrayInTable(Fertiliser_SourceData.Fertiliser_Products_Data1(),FertiliserProducts[[#Headers],[Include or Exclude]], 0,4)</f>
        <v/>
      </c>
      <c r="J139" s="185" t="str" cm="1">
        <f t="array" ref="J139">Common_InputFunctions.Utility_DisplayArrayInTable(Fertiliser_SourceData.Fertiliser_Products_Data1(),FertiliserProducts[[#Headers],[Include or Exclude]], 0,4)</f>
        <v/>
      </c>
      <c r="K139" s="185" t="str" cm="1">
        <f t="array" ref="K139">Common_InputFunctions.Utility_DisplayArrayInTable(Fertiliser_SourceData.Fertiliser_Products_Data1(),FertiliserProducts[[#Headers],[Include or Exclude]], 0,4)</f>
        <v/>
      </c>
      <c r="L139" s="185" t="str" cm="1">
        <f t="array" ref="L139">Common_InputFunctions.Utility_DisplayArrayInTable(Fertiliser_SourceData.Fertiliser_Products_Data1(),FertiliserProducts[[#Headers],[Include or Exclude]], 0,4)</f>
        <v/>
      </c>
      <c r="M139" s="185" t="str" cm="1">
        <f t="array" ref="M139">Common_InputFunctions.Utility_DisplayArrayInTable(Fertiliser_SourceData.Fertiliser_Products_Data1(),FertiliserProducts[[#Headers],[Include or Exclude]], 0,4)</f>
        <v/>
      </c>
      <c r="N139" s="185" t="str" cm="1">
        <f t="array" ref="N139">Common_InputFunctions.Utility_DisplayArrayInTable(Fertiliser_SourceData.Fertiliser_Products_Data1(),FertiliserProducts[[#Headers],[Include or Exclude]], 0,4)</f>
        <v/>
      </c>
      <c r="O139" s="185" t="str" cm="1">
        <f t="array" ref="O139">Common_InputFunctions.Utility_DisplayArrayInTable(Fertiliser_SourceData.Fertiliser_Products_Data1(),FertiliserProducts[[#Headers],[Include or Exclude]], 0,4)</f>
        <v/>
      </c>
      <c r="P139" s="185" t="str" cm="1">
        <f t="array" ref="P139">Common_InputFunctions.Utility_DisplayArrayInTable(Fertiliser_SourceData.Fertiliser_Products_Data1(),FertiliserProducts[[#Headers],[Include or Exclude]], 0,4)</f>
        <v/>
      </c>
      <c r="Q139" s="185" t="str" cm="1">
        <f t="array" ref="Q139">Common_InputFunctions.Utility_DisplayArrayInTable(Fertiliser_SourceData.Fertiliser_Products_Data1(),FertiliserProducts[[#Headers],[Include or Exclude]], 0,4)</f>
        <v/>
      </c>
      <c r="R139" s="185" t="str" cm="1">
        <f t="array" ref="R139">Common_InputFunctions.Utility_DisplayArrayInTable(Fertiliser_SourceData.Fertiliser_Products_Data1(),FertiliserProducts[[#Headers],[Include or Exclude]], 0,4)</f>
        <v/>
      </c>
      <c r="S139" s="185" t="str" cm="1">
        <f t="array" ref="S139">Common_InputFunctions.Utility_DisplayArrayInTable(Fertiliser_SourceData.Fertiliser_Products_Data1(),FertiliserProducts[[#Headers],[Include or Exclude]], 0,4)</f>
        <v/>
      </c>
      <c r="T139" s="185" t="str" cm="1">
        <f t="array" ref="T139">Common_InputFunctions.Utility_DisplayArrayInTable(Fertiliser_SourceData.Fertiliser_Products_Data1(),FertiliserProducts[[#Headers],[Include or Exclude]], 0,4)</f>
        <v/>
      </c>
      <c r="U139" s="185" t="str" cm="1">
        <f t="array" ref="U139">Common_InputFunctions.Utility_DisplayArrayInTable(Fertiliser_SourceData.Fertiliser_Products_Data1(),FertiliserProducts[[#Headers],[Include or Exclude]], 0,4)</f>
        <v/>
      </c>
      <c r="V139" s="185" t="str" cm="1">
        <f t="array" ref="V139">Common_InputFunctions.Utility_DisplayArrayInTable(Fertiliser_SourceData.Fertiliser_Products_Data1(),FertiliserProducts[[#Headers],[Include or Exclude]], 0,4)</f>
        <v/>
      </c>
      <c r="W139" s="185" t="str" cm="1">
        <f t="array" ref="W139">Common_InputFunctions.Utility_DisplayArrayInTable(Fertiliser_SourceData.Fertiliser_Products_Data1(),FertiliserProducts[[#Headers],[Include or Exclude]], 0,4)</f>
        <v/>
      </c>
      <c r="X139" s="185" t="str" cm="1">
        <f t="array" ref="X139">Common_InputFunctions.Utility_DisplayArrayInTable(Fertiliser_SourceData.Fertiliser_Products_Data1(),FertiliserProducts[[#Headers],[Include or Exclude]], 0,4)</f>
        <v/>
      </c>
      <c r="Y139" s="185" t="str" cm="1">
        <f t="array" ref="Y139">Common_InputFunctions.Utility_DisplayArrayInTable(Fertiliser_SourceData.Fertiliser_Products_Data1(),FertiliserProducts[[#Headers],[Include or Exclude]], 0,4)</f>
        <v/>
      </c>
      <c r="Z139" s="185" t="str" cm="1">
        <f t="array" ref="Z139">Common_InputFunctions.Utility_DisplayArrayInTable(Fertiliser_SourceData.Fertiliser_Products_Data1(),FertiliserProducts[[#Headers],[Include or Exclude]], 0,4)</f>
        <v/>
      </c>
      <c r="AA139" s="185" t="str" cm="1">
        <f t="array" ref="AA139">Common_InputFunctions.Utility_DisplayArrayInTable(Fertiliser_SourceData.Fertiliser_Products_Data1(),FertiliserProducts[[#Headers],[Include or Exclude]], 0,4)</f>
        <v/>
      </c>
      <c r="AB139" s="185" t="str" cm="1">
        <f t="array" ref="AB139">Common_InputFunctions.Utility_DisplayArrayInTable(Fertiliser_SourceData.Fertiliser_Products_Data1(),FertiliserProducts[[#Headers],[Include or Exclude]], 0,4)</f>
        <v/>
      </c>
      <c r="AC139" s="185" t="str" cm="1">
        <f t="array" ref="AC139">Common_InputFunctions.Utility_DisplayArrayInTable(Fertiliser_SourceData.Fertiliser_Products_Data1(),FertiliserProducts[[#Headers],[Include or Exclude]], 0,4)</f>
        <v/>
      </c>
      <c r="AD139" s="185" t="str" cm="1">
        <f t="array" ref="AD139">Common_InputFunctions.Utility_DisplayArrayInTable(Fertiliser_SourceData.Fertiliser_Products_Data1(),FertiliserProducts[[#Headers],[Include or Exclude]], 0,4)</f>
        <v/>
      </c>
      <c r="AE139" s="185" t="str" cm="1">
        <f t="array" ref="AE139">Common_InputFunctions.Utility_DisplayArrayInTable(Fertiliser_SourceData.Fertiliser_Products_Data1(),FertiliserProducts[[#Headers],[Include or Exclude]], 0,4)</f>
        <v/>
      </c>
    </row>
    <row r="140" spans="4:31" ht="20.100000000000001" customHeight="1" x14ac:dyDescent="0.25">
      <c r="D140" s="185" t="str" cm="1">
        <f t="array" ref="D140">Common_InputFunctions.Utility_DisplayArrayInTable(Fertiliser_SourceData.Fertiliser_Products_Data1(),FertiliserProducts[[#Headers],[Include or Exclude]], -1)</f>
        <v/>
      </c>
      <c r="E140" s="185" t="str" cm="1">
        <f t="array" ref="E140">Common_InputFunctions.Utility_DisplayArrayInTable(Fertiliser_SourceData.Fertiliser_Products_Data1(),FertiliserProducts[[#Headers],[Include or Exclude]], 0)</f>
        <v/>
      </c>
      <c r="F140" s="185" t="str" cm="1">
        <f t="array" ref="F140">Common_InputFunctions.Utility_DisplayArrayInTable(Fertiliser_SourceData.Fertiliser_Products_Data1(),FertiliserProducts[[#Headers],[Include or Exclude]], 0)</f>
        <v/>
      </c>
      <c r="G140" s="185" t="str" cm="1">
        <f t="array" ref="G140">Common_InputFunctions.Utility_DisplayArrayInTable(Fertiliser_SourceData.Fertiliser_Products_Data1(),FertiliserProducts[[#Headers],[Include or Exclude]], 0)</f>
        <v/>
      </c>
      <c r="H140" s="185" t="str" cm="1">
        <f t="array" ref="H140">Common_InputFunctions.Utility_DisplayArrayInTable(Fertiliser_SourceData.Fertiliser_Products_Data1(),FertiliserProducts[[#Headers],[Include or Exclude]], 0,4)</f>
        <v/>
      </c>
      <c r="I140" s="185" t="str" cm="1">
        <f t="array" ref="I140">Common_InputFunctions.Utility_DisplayArrayInTable(Fertiliser_SourceData.Fertiliser_Products_Data1(),FertiliserProducts[[#Headers],[Include or Exclude]], 0,4)</f>
        <v/>
      </c>
      <c r="J140" s="185" t="str" cm="1">
        <f t="array" ref="J140">Common_InputFunctions.Utility_DisplayArrayInTable(Fertiliser_SourceData.Fertiliser_Products_Data1(),FertiliserProducts[[#Headers],[Include or Exclude]], 0,4)</f>
        <v/>
      </c>
      <c r="K140" s="185" t="str" cm="1">
        <f t="array" ref="K140">Common_InputFunctions.Utility_DisplayArrayInTable(Fertiliser_SourceData.Fertiliser_Products_Data1(),FertiliserProducts[[#Headers],[Include or Exclude]], 0,4)</f>
        <v/>
      </c>
      <c r="L140" s="185" t="str" cm="1">
        <f t="array" ref="L140">Common_InputFunctions.Utility_DisplayArrayInTable(Fertiliser_SourceData.Fertiliser_Products_Data1(),FertiliserProducts[[#Headers],[Include or Exclude]], 0,4)</f>
        <v/>
      </c>
      <c r="M140" s="185" t="str" cm="1">
        <f t="array" ref="M140">Common_InputFunctions.Utility_DisplayArrayInTable(Fertiliser_SourceData.Fertiliser_Products_Data1(),FertiliserProducts[[#Headers],[Include or Exclude]], 0,4)</f>
        <v/>
      </c>
      <c r="N140" s="185" t="str" cm="1">
        <f t="array" ref="N140">Common_InputFunctions.Utility_DisplayArrayInTable(Fertiliser_SourceData.Fertiliser_Products_Data1(),FertiliserProducts[[#Headers],[Include or Exclude]], 0,4)</f>
        <v/>
      </c>
      <c r="O140" s="185" t="str" cm="1">
        <f t="array" ref="O140">Common_InputFunctions.Utility_DisplayArrayInTable(Fertiliser_SourceData.Fertiliser_Products_Data1(),FertiliserProducts[[#Headers],[Include or Exclude]], 0,4)</f>
        <v/>
      </c>
      <c r="P140" s="185" t="str" cm="1">
        <f t="array" ref="P140">Common_InputFunctions.Utility_DisplayArrayInTable(Fertiliser_SourceData.Fertiliser_Products_Data1(),FertiliserProducts[[#Headers],[Include or Exclude]], 0,4)</f>
        <v/>
      </c>
      <c r="Q140" s="185" t="str" cm="1">
        <f t="array" ref="Q140">Common_InputFunctions.Utility_DisplayArrayInTable(Fertiliser_SourceData.Fertiliser_Products_Data1(),FertiliserProducts[[#Headers],[Include or Exclude]], 0,4)</f>
        <v/>
      </c>
      <c r="R140" s="185" t="str" cm="1">
        <f t="array" ref="R140">Common_InputFunctions.Utility_DisplayArrayInTable(Fertiliser_SourceData.Fertiliser_Products_Data1(),FertiliserProducts[[#Headers],[Include or Exclude]], 0,4)</f>
        <v/>
      </c>
      <c r="S140" s="185" t="str" cm="1">
        <f t="array" ref="S140">Common_InputFunctions.Utility_DisplayArrayInTable(Fertiliser_SourceData.Fertiliser_Products_Data1(),FertiliserProducts[[#Headers],[Include or Exclude]], 0,4)</f>
        <v/>
      </c>
      <c r="T140" s="185" t="str" cm="1">
        <f t="array" ref="T140">Common_InputFunctions.Utility_DisplayArrayInTable(Fertiliser_SourceData.Fertiliser_Products_Data1(),FertiliserProducts[[#Headers],[Include or Exclude]], 0,4)</f>
        <v/>
      </c>
      <c r="U140" s="185" t="str" cm="1">
        <f t="array" ref="U140">Common_InputFunctions.Utility_DisplayArrayInTable(Fertiliser_SourceData.Fertiliser_Products_Data1(),FertiliserProducts[[#Headers],[Include or Exclude]], 0,4)</f>
        <v/>
      </c>
      <c r="V140" s="185" t="str" cm="1">
        <f t="array" ref="V140">Common_InputFunctions.Utility_DisplayArrayInTable(Fertiliser_SourceData.Fertiliser_Products_Data1(),FertiliserProducts[[#Headers],[Include or Exclude]], 0,4)</f>
        <v/>
      </c>
      <c r="W140" s="185" t="str" cm="1">
        <f t="array" ref="W140">Common_InputFunctions.Utility_DisplayArrayInTable(Fertiliser_SourceData.Fertiliser_Products_Data1(),FertiliserProducts[[#Headers],[Include or Exclude]], 0,4)</f>
        <v/>
      </c>
      <c r="X140" s="185" t="str" cm="1">
        <f t="array" ref="X140">Common_InputFunctions.Utility_DisplayArrayInTable(Fertiliser_SourceData.Fertiliser_Products_Data1(),FertiliserProducts[[#Headers],[Include or Exclude]], 0,4)</f>
        <v/>
      </c>
      <c r="Y140" s="185" t="str" cm="1">
        <f t="array" ref="Y140">Common_InputFunctions.Utility_DisplayArrayInTable(Fertiliser_SourceData.Fertiliser_Products_Data1(),FertiliserProducts[[#Headers],[Include or Exclude]], 0,4)</f>
        <v/>
      </c>
      <c r="Z140" s="185" t="str" cm="1">
        <f t="array" ref="Z140">Common_InputFunctions.Utility_DisplayArrayInTable(Fertiliser_SourceData.Fertiliser_Products_Data1(),FertiliserProducts[[#Headers],[Include or Exclude]], 0,4)</f>
        <v/>
      </c>
      <c r="AA140" s="185" t="str" cm="1">
        <f t="array" ref="AA140">Common_InputFunctions.Utility_DisplayArrayInTable(Fertiliser_SourceData.Fertiliser_Products_Data1(),FertiliserProducts[[#Headers],[Include or Exclude]], 0,4)</f>
        <v/>
      </c>
      <c r="AB140" s="185" t="str" cm="1">
        <f t="array" ref="AB140">Common_InputFunctions.Utility_DisplayArrayInTable(Fertiliser_SourceData.Fertiliser_Products_Data1(),FertiliserProducts[[#Headers],[Include or Exclude]], 0,4)</f>
        <v/>
      </c>
      <c r="AC140" s="185" t="str" cm="1">
        <f t="array" ref="AC140">Common_InputFunctions.Utility_DisplayArrayInTable(Fertiliser_SourceData.Fertiliser_Products_Data1(),FertiliserProducts[[#Headers],[Include or Exclude]], 0,4)</f>
        <v/>
      </c>
      <c r="AD140" s="185" t="str" cm="1">
        <f t="array" ref="AD140">Common_InputFunctions.Utility_DisplayArrayInTable(Fertiliser_SourceData.Fertiliser_Products_Data1(),FertiliserProducts[[#Headers],[Include or Exclude]], 0,4)</f>
        <v/>
      </c>
      <c r="AE140" s="185" t="str" cm="1">
        <f t="array" ref="AE140">Common_InputFunctions.Utility_DisplayArrayInTable(Fertiliser_SourceData.Fertiliser_Products_Data1(),FertiliserProducts[[#Headers],[Include or Exclude]], 0,4)</f>
        <v/>
      </c>
    </row>
    <row r="141" spans="4:31" ht="20.100000000000001" customHeight="1" x14ac:dyDescent="0.25">
      <c r="D141" s="185" t="str" cm="1">
        <f t="array" ref="D141">Common_InputFunctions.Utility_DisplayArrayInTable(Fertiliser_SourceData.Fertiliser_Products_Data1(),FertiliserProducts[[#Headers],[Include or Exclude]], -1)</f>
        <v/>
      </c>
      <c r="E141" s="185" t="str" cm="1">
        <f t="array" ref="E141">Common_InputFunctions.Utility_DisplayArrayInTable(Fertiliser_SourceData.Fertiliser_Products_Data1(),FertiliserProducts[[#Headers],[Include or Exclude]], 0)</f>
        <v/>
      </c>
      <c r="F141" s="185" t="str" cm="1">
        <f t="array" ref="F141">Common_InputFunctions.Utility_DisplayArrayInTable(Fertiliser_SourceData.Fertiliser_Products_Data1(),FertiliserProducts[[#Headers],[Include or Exclude]], 0)</f>
        <v/>
      </c>
      <c r="G141" s="185" t="str" cm="1">
        <f t="array" ref="G141">Common_InputFunctions.Utility_DisplayArrayInTable(Fertiliser_SourceData.Fertiliser_Products_Data1(),FertiliserProducts[[#Headers],[Include or Exclude]], 0)</f>
        <v/>
      </c>
      <c r="H141" s="185" t="str" cm="1">
        <f t="array" ref="H141">Common_InputFunctions.Utility_DisplayArrayInTable(Fertiliser_SourceData.Fertiliser_Products_Data1(),FertiliserProducts[[#Headers],[Include or Exclude]], 0,4)</f>
        <v/>
      </c>
      <c r="I141" s="185" t="str" cm="1">
        <f t="array" ref="I141">Common_InputFunctions.Utility_DisplayArrayInTable(Fertiliser_SourceData.Fertiliser_Products_Data1(),FertiliserProducts[[#Headers],[Include or Exclude]], 0,4)</f>
        <v/>
      </c>
      <c r="J141" s="185" t="str" cm="1">
        <f t="array" ref="J141">Common_InputFunctions.Utility_DisplayArrayInTable(Fertiliser_SourceData.Fertiliser_Products_Data1(),FertiliserProducts[[#Headers],[Include or Exclude]], 0,4)</f>
        <v/>
      </c>
      <c r="K141" s="185" t="str" cm="1">
        <f t="array" ref="K141">Common_InputFunctions.Utility_DisplayArrayInTable(Fertiliser_SourceData.Fertiliser_Products_Data1(),FertiliserProducts[[#Headers],[Include or Exclude]], 0,4)</f>
        <v/>
      </c>
      <c r="L141" s="185" t="str" cm="1">
        <f t="array" ref="L141">Common_InputFunctions.Utility_DisplayArrayInTable(Fertiliser_SourceData.Fertiliser_Products_Data1(),FertiliserProducts[[#Headers],[Include or Exclude]], 0,4)</f>
        <v/>
      </c>
      <c r="M141" s="185" t="str" cm="1">
        <f t="array" ref="M141">Common_InputFunctions.Utility_DisplayArrayInTable(Fertiliser_SourceData.Fertiliser_Products_Data1(),FertiliserProducts[[#Headers],[Include or Exclude]], 0,4)</f>
        <v/>
      </c>
      <c r="N141" s="185" t="str" cm="1">
        <f t="array" ref="N141">Common_InputFunctions.Utility_DisplayArrayInTable(Fertiliser_SourceData.Fertiliser_Products_Data1(),FertiliserProducts[[#Headers],[Include or Exclude]], 0,4)</f>
        <v/>
      </c>
      <c r="O141" s="185" t="str" cm="1">
        <f t="array" ref="O141">Common_InputFunctions.Utility_DisplayArrayInTable(Fertiliser_SourceData.Fertiliser_Products_Data1(),FertiliserProducts[[#Headers],[Include or Exclude]], 0,4)</f>
        <v/>
      </c>
      <c r="P141" s="185" t="str" cm="1">
        <f t="array" ref="P141">Common_InputFunctions.Utility_DisplayArrayInTable(Fertiliser_SourceData.Fertiliser_Products_Data1(),FertiliserProducts[[#Headers],[Include or Exclude]], 0,4)</f>
        <v/>
      </c>
      <c r="Q141" s="185" t="str" cm="1">
        <f t="array" ref="Q141">Common_InputFunctions.Utility_DisplayArrayInTable(Fertiliser_SourceData.Fertiliser_Products_Data1(),FertiliserProducts[[#Headers],[Include or Exclude]], 0,4)</f>
        <v/>
      </c>
      <c r="R141" s="185" t="str" cm="1">
        <f t="array" ref="R141">Common_InputFunctions.Utility_DisplayArrayInTable(Fertiliser_SourceData.Fertiliser_Products_Data1(),FertiliserProducts[[#Headers],[Include or Exclude]], 0,4)</f>
        <v/>
      </c>
      <c r="S141" s="185" t="str" cm="1">
        <f t="array" ref="S141">Common_InputFunctions.Utility_DisplayArrayInTable(Fertiliser_SourceData.Fertiliser_Products_Data1(),FertiliserProducts[[#Headers],[Include or Exclude]], 0,4)</f>
        <v/>
      </c>
      <c r="T141" s="185" t="str" cm="1">
        <f t="array" ref="T141">Common_InputFunctions.Utility_DisplayArrayInTable(Fertiliser_SourceData.Fertiliser_Products_Data1(),FertiliserProducts[[#Headers],[Include or Exclude]], 0,4)</f>
        <v/>
      </c>
      <c r="U141" s="185" t="str" cm="1">
        <f t="array" ref="U141">Common_InputFunctions.Utility_DisplayArrayInTable(Fertiliser_SourceData.Fertiliser_Products_Data1(),FertiliserProducts[[#Headers],[Include or Exclude]], 0,4)</f>
        <v/>
      </c>
      <c r="V141" s="185" t="str" cm="1">
        <f t="array" ref="V141">Common_InputFunctions.Utility_DisplayArrayInTable(Fertiliser_SourceData.Fertiliser_Products_Data1(),FertiliserProducts[[#Headers],[Include or Exclude]], 0,4)</f>
        <v/>
      </c>
      <c r="W141" s="185" t="str" cm="1">
        <f t="array" ref="W141">Common_InputFunctions.Utility_DisplayArrayInTable(Fertiliser_SourceData.Fertiliser_Products_Data1(),FertiliserProducts[[#Headers],[Include or Exclude]], 0,4)</f>
        <v/>
      </c>
      <c r="X141" s="185" t="str" cm="1">
        <f t="array" ref="X141">Common_InputFunctions.Utility_DisplayArrayInTable(Fertiliser_SourceData.Fertiliser_Products_Data1(),FertiliserProducts[[#Headers],[Include or Exclude]], 0,4)</f>
        <v/>
      </c>
      <c r="Y141" s="185" t="str" cm="1">
        <f t="array" ref="Y141">Common_InputFunctions.Utility_DisplayArrayInTable(Fertiliser_SourceData.Fertiliser_Products_Data1(),FertiliserProducts[[#Headers],[Include or Exclude]], 0,4)</f>
        <v/>
      </c>
      <c r="Z141" s="185" t="str" cm="1">
        <f t="array" ref="Z141">Common_InputFunctions.Utility_DisplayArrayInTable(Fertiliser_SourceData.Fertiliser_Products_Data1(),FertiliserProducts[[#Headers],[Include or Exclude]], 0,4)</f>
        <v/>
      </c>
      <c r="AA141" s="185" t="str" cm="1">
        <f t="array" ref="AA141">Common_InputFunctions.Utility_DisplayArrayInTable(Fertiliser_SourceData.Fertiliser_Products_Data1(),FertiliserProducts[[#Headers],[Include or Exclude]], 0,4)</f>
        <v/>
      </c>
      <c r="AB141" s="185" t="str" cm="1">
        <f t="array" ref="AB141">Common_InputFunctions.Utility_DisplayArrayInTable(Fertiliser_SourceData.Fertiliser_Products_Data1(),FertiliserProducts[[#Headers],[Include or Exclude]], 0,4)</f>
        <v/>
      </c>
      <c r="AC141" s="185" t="str" cm="1">
        <f t="array" ref="AC141">Common_InputFunctions.Utility_DisplayArrayInTable(Fertiliser_SourceData.Fertiliser_Products_Data1(),FertiliserProducts[[#Headers],[Include or Exclude]], 0,4)</f>
        <v/>
      </c>
      <c r="AD141" s="185" t="str" cm="1">
        <f t="array" ref="AD141">Common_InputFunctions.Utility_DisplayArrayInTable(Fertiliser_SourceData.Fertiliser_Products_Data1(),FertiliserProducts[[#Headers],[Include or Exclude]], 0,4)</f>
        <v/>
      </c>
      <c r="AE141" s="185" t="str" cm="1">
        <f t="array" ref="AE141">Common_InputFunctions.Utility_DisplayArrayInTable(Fertiliser_SourceData.Fertiliser_Products_Data1(),FertiliserProducts[[#Headers],[Include or Exclude]], 0,4)</f>
        <v/>
      </c>
    </row>
    <row r="142" spans="4:31" ht="20.100000000000001" customHeight="1" x14ac:dyDescent="0.25">
      <c r="D142" s="185" t="str" cm="1">
        <f t="array" ref="D142">Common_InputFunctions.Utility_DisplayArrayInTable(Fertiliser_SourceData.Fertiliser_Products_Data1(),FertiliserProducts[[#Headers],[Include or Exclude]], -1)</f>
        <v/>
      </c>
      <c r="E142" s="185" t="str" cm="1">
        <f t="array" ref="E142">Common_InputFunctions.Utility_DisplayArrayInTable(Fertiliser_SourceData.Fertiliser_Products_Data1(),FertiliserProducts[[#Headers],[Include or Exclude]], 0)</f>
        <v/>
      </c>
      <c r="F142" s="185" t="str" cm="1">
        <f t="array" ref="F142">Common_InputFunctions.Utility_DisplayArrayInTable(Fertiliser_SourceData.Fertiliser_Products_Data1(),FertiliserProducts[[#Headers],[Include or Exclude]], 0)</f>
        <v/>
      </c>
      <c r="G142" s="185" t="str" cm="1">
        <f t="array" ref="G142">Common_InputFunctions.Utility_DisplayArrayInTable(Fertiliser_SourceData.Fertiliser_Products_Data1(),FertiliserProducts[[#Headers],[Include or Exclude]], 0)</f>
        <v/>
      </c>
      <c r="H142" s="185" t="str" cm="1">
        <f t="array" ref="H142">Common_InputFunctions.Utility_DisplayArrayInTable(Fertiliser_SourceData.Fertiliser_Products_Data1(),FertiliserProducts[[#Headers],[Include or Exclude]], 0,4)</f>
        <v/>
      </c>
      <c r="I142" s="185" t="str" cm="1">
        <f t="array" ref="I142">Common_InputFunctions.Utility_DisplayArrayInTable(Fertiliser_SourceData.Fertiliser_Products_Data1(),FertiliserProducts[[#Headers],[Include or Exclude]], 0,4)</f>
        <v/>
      </c>
      <c r="J142" s="185" t="str" cm="1">
        <f t="array" ref="J142">Common_InputFunctions.Utility_DisplayArrayInTable(Fertiliser_SourceData.Fertiliser_Products_Data1(),FertiliserProducts[[#Headers],[Include or Exclude]], 0,4)</f>
        <v/>
      </c>
      <c r="K142" s="185" t="str" cm="1">
        <f t="array" ref="K142">Common_InputFunctions.Utility_DisplayArrayInTable(Fertiliser_SourceData.Fertiliser_Products_Data1(),FertiliserProducts[[#Headers],[Include or Exclude]], 0,4)</f>
        <v/>
      </c>
      <c r="L142" s="185" t="str" cm="1">
        <f t="array" ref="L142">Common_InputFunctions.Utility_DisplayArrayInTable(Fertiliser_SourceData.Fertiliser_Products_Data1(),FertiliserProducts[[#Headers],[Include or Exclude]], 0,4)</f>
        <v/>
      </c>
      <c r="M142" s="185" t="str" cm="1">
        <f t="array" ref="M142">Common_InputFunctions.Utility_DisplayArrayInTable(Fertiliser_SourceData.Fertiliser_Products_Data1(),FertiliserProducts[[#Headers],[Include or Exclude]], 0,4)</f>
        <v/>
      </c>
      <c r="N142" s="185" t="str" cm="1">
        <f t="array" ref="N142">Common_InputFunctions.Utility_DisplayArrayInTable(Fertiliser_SourceData.Fertiliser_Products_Data1(),FertiliserProducts[[#Headers],[Include or Exclude]], 0,4)</f>
        <v/>
      </c>
      <c r="O142" s="185" t="str" cm="1">
        <f t="array" ref="O142">Common_InputFunctions.Utility_DisplayArrayInTable(Fertiliser_SourceData.Fertiliser_Products_Data1(),FertiliserProducts[[#Headers],[Include or Exclude]], 0,4)</f>
        <v/>
      </c>
      <c r="P142" s="185" t="str" cm="1">
        <f t="array" ref="P142">Common_InputFunctions.Utility_DisplayArrayInTable(Fertiliser_SourceData.Fertiliser_Products_Data1(),FertiliserProducts[[#Headers],[Include or Exclude]], 0,4)</f>
        <v/>
      </c>
      <c r="Q142" s="185" t="str" cm="1">
        <f t="array" ref="Q142">Common_InputFunctions.Utility_DisplayArrayInTable(Fertiliser_SourceData.Fertiliser_Products_Data1(),FertiliserProducts[[#Headers],[Include or Exclude]], 0,4)</f>
        <v/>
      </c>
      <c r="R142" s="185" t="str" cm="1">
        <f t="array" ref="R142">Common_InputFunctions.Utility_DisplayArrayInTable(Fertiliser_SourceData.Fertiliser_Products_Data1(),FertiliserProducts[[#Headers],[Include or Exclude]], 0,4)</f>
        <v/>
      </c>
      <c r="S142" s="185" t="str" cm="1">
        <f t="array" ref="S142">Common_InputFunctions.Utility_DisplayArrayInTable(Fertiliser_SourceData.Fertiliser_Products_Data1(),FertiliserProducts[[#Headers],[Include or Exclude]], 0,4)</f>
        <v/>
      </c>
      <c r="T142" s="185" t="str" cm="1">
        <f t="array" ref="T142">Common_InputFunctions.Utility_DisplayArrayInTable(Fertiliser_SourceData.Fertiliser_Products_Data1(),FertiliserProducts[[#Headers],[Include or Exclude]], 0,4)</f>
        <v/>
      </c>
      <c r="U142" s="185" t="str" cm="1">
        <f t="array" ref="U142">Common_InputFunctions.Utility_DisplayArrayInTable(Fertiliser_SourceData.Fertiliser_Products_Data1(),FertiliserProducts[[#Headers],[Include or Exclude]], 0,4)</f>
        <v/>
      </c>
      <c r="V142" s="185" t="str" cm="1">
        <f t="array" ref="V142">Common_InputFunctions.Utility_DisplayArrayInTable(Fertiliser_SourceData.Fertiliser_Products_Data1(),FertiliserProducts[[#Headers],[Include or Exclude]], 0,4)</f>
        <v/>
      </c>
      <c r="W142" s="185" t="str" cm="1">
        <f t="array" ref="W142">Common_InputFunctions.Utility_DisplayArrayInTable(Fertiliser_SourceData.Fertiliser_Products_Data1(),FertiliserProducts[[#Headers],[Include or Exclude]], 0,4)</f>
        <v/>
      </c>
      <c r="X142" s="185" t="str" cm="1">
        <f t="array" ref="X142">Common_InputFunctions.Utility_DisplayArrayInTable(Fertiliser_SourceData.Fertiliser_Products_Data1(),FertiliserProducts[[#Headers],[Include or Exclude]], 0,4)</f>
        <v/>
      </c>
      <c r="Y142" s="185" t="str" cm="1">
        <f t="array" ref="Y142">Common_InputFunctions.Utility_DisplayArrayInTable(Fertiliser_SourceData.Fertiliser_Products_Data1(),FertiliserProducts[[#Headers],[Include or Exclude]], 0,4)</f>
        <v/>
      </c>
      <c r="Z142" s="185" t="str" cm="1">
        <f t="array" ref="Z142">Common_InputFunctions.Utility_DisplayArrayInTable(Fertiliser_SourceData.Fertiliser_Products_Data1(),FertiliserProducts[[#Headers],[Include or Exclude]], 0,4)</f>
        <v/>
      </c>
      <c r="AA142" s="185" t="str" cm="1">
        <f t="array" ref="AA142">Common_InputFunctions.Utility_DisplayArrayInTable(Fertiliser_SourceData.Fertiliser_Products_Data1(),FertiliserProducts[[#Headers],[Include or Exclude]], 0,4)</f>
        <v/>
      </c>
      <c r="AB142" s="185" t="str" cm="1">
        <f t="array" ref="AB142">Common_InputFunctions.Utility_DisplayArrayInTable(Fertiliser_SourceData.Fertiliser_Products_Data1(),FertiliserProducts[[#Headers],[Include or Exclude]], 0,4)</f>
        <v/>
      </c>
      <c r="AC142" s="185" t="str" cm="1">
        <f t="array" ref="AC142">Common_InputFunctions.Utility_DisplayArrayInTable(Fertiliser_SourceData.Fertiliser_Products_Data1(),FertiliserProducts[[#Headers],[Include or Exclude]], 0,4)</f>
        <v/>
      </c>
      <c r="AD142" s="185" t="str" cm="1">
        <f t="array" ref="AD142">Common_InputFunctions.Utility_DisplayArrayInTable(Fertiliser_SourceData.Fertiliser_Products_Data1(),FertiliserProducts[[#Headers],[Include or Exclude]], 0,4)</f>
        <v/>
      </c>
      <c r="AE142" s="185" t="str" cm="1">
        <f t="array" ref="AE142">Common_InputFunctions.Utility_DisplayArrayInTable(Fertiliser_SourceData.Fertiliser_Products_Data1(),FertiliserProducts[[#Headers],[Include or Exclude]], 0,4)</f>
        <v/>
      </c>
    </row>
    <row r="143" spans="4:31" ht="20.100000000000001" customHeight="1" x14ac:dyDescent="0.25">
      <c r="D143" s="185" t="str" cm="1">
        <f t="array" ref="D143">Common_InputFunctions.Utility_DisplayArrayInTable(Fertiliser_SourceData.Fertiliser_Products_Data1(),FertiliserProducts[[#Headers],[Include or Exclude]], -1)</f>
        <v/>
      </c>
      <c r="E143" s="185" t="str" cm="1">
        <f t="array" ref="E143">Common_InputFunctions.Utility_DisplayArrayInTable(Fertiliser_SourceData.Fertiliser_Products_Data1(),FertiliserProducts[[#Headers],[Include or Exclude]], 0)</f>
        <v/>
      </c>
      <c r="F143" s="185" t="str" cm="1">
        <f t="array" ref="F143">Common_InputFunctions.Utility_DisplayArrayInTable(Fertiliser_SourceData.Fertiliser_Products_Data1(),FertiliserProducts[[#Headers],[Include or Exclude]], 0)</f>
        <v/>
      </c>
      <c r="G143" s="185" t="str" cm="1">
        <f t="array" ref="G143">Common_InputFunctions.Utility_DisplayArrayInTable(Fertiliser_SourceData.Fertiliser_Products_Data1(),FertiliserProducts[[#Headers],[Include or Exclude]], 0)</f>
        <v/>
      </c>
      <c r="H143" s="185" t="str" cm="1">
        <f t="array" ref="H143">Common_InputFunctions.Utility_DisplayArrayInTable(Fertiliser_SourceData.Fertiliser_Products_Data1(),FertiliserProducts[[#Headers],[Include or Exclude]], 0,4)</f>
        <v/>
      </c>
      <c r="I143" s="185" t="str" cm="1">
        <f t="array" ref="I143">Common_InputFunctions.Utility_DisplayArrayInTable(Fertiliser_SourceData.Fertiliser_Products_Data1(),FertiliserProducts[[#Headers],[Include or Exclude]], 0,4)</f>
        <v/>
      </c>
      <c r="J143" s="185" t="str" cm="1">
        <f t="array" ref="J143">Common_InputFunctions.Utility_DisplayArrayInTable(Fertiliser_SourceData.Fertiliser_Products_Data1(),FertiliserProducts[[#Headers],[Include or Exclude]], 0,4)</f>
        <v/>
      </c>
      <c r="K143" s="185" t="str" cm="1">
        <f t="array" ref="K143">Common_InputFunctions.Utility_DisplayArrayInTable(Fertiliser_SourceData.Fertiliser_Products_Data1(),FertiliserProducts[[#Headers],[Include or Exclude]], 0,4)</f>
        <v/>
      </c>
      <c r="L143" s="185" t="str" cm="1">
        <f t="array" ref="L143">Common_InputFunctions.Utility_DisplayArrayInTable(Fertiliser_SourceData.Fertiliser_Products_Data1(),FertiliserProducts[[#Headers],[Include or Exclude]], 0,4)</f>
        <v/>
      </c>
      <c r="M143" s="185" t="str" cm="1">
        <f t="array" ref="M143">Common_InputFunctions.Utility_DisplayArrayInTable(Fertiliser_SourceData.Fertiliser_Products_Data1(),FertiliserProducts[[#Headers],[Include or Exclude]], 0,4)</f>
        <v/>
      </c>
      <c r="N143" s="185" t="str" cm="1">
        <f t="array" ref="N143">Common_InputFunctions.Utility_DisplayArrayInTable(Fertiliser_SourceData.Fertiliser_Products_Data1(),FertiliserProducts[[#Headers],[Include or Exclude]], 0,4)</f>
        <v/>
      </c>
      <c r="O143" s="185" t="str" cm="1">
        <f t="array" ref="O143">Common_InputFunctions.Utility_DisplayArrayInTable(Fertiliser_SourceData.Fertiliser_Products_Data1(),FertiliserProducts[[#Headers],[Include or Exclude]], 0,4)</f>
        <v/>
      </c>
      <c r="P143" s="185" t="str" cm="1">
        <f t="array" ref="P143">Common_InputFunctions.Utility_DisplayArrayInTable(Fertiliser_SourceData.Fertiliser_Products_Data1(),FertiliserProducts[[#Headers],[Include or Exclude]], 0,4)</f>
        <v/>
      </c>
      <c r="Q143" s="185" t="str" cm="1">
        <f t="array" ref="Q143">Common_InputFunctions.Utility_DisplayArrayInTable(Fertiliser_SourceData.Fertiliser_Products_Data1(),FertiliserProducts[[#Headers],[Include or Exclude]], 0,4)</f>
        <v/>
      </c>
      <c r="R143" s="185" t="str" cm="1">
        <f t="array" ref="R143">Common_InputFunctions.Utility_DisplayArrayInTable(Fertiliser_SourceData.Fertiliser_Products_Data1(),FertiliserProducts[[#Headers],[Include or Exclude]], 0,4)</f>
        <v/>
      </c>
      <c r="S143" s="185" t="str" cm="1">
        <f t="array" ref="S143">Common_InputFunctions.Utility_DisplayArrayInTable(Fertiliser_SourceData.Fertiliser_Products_Data1(),FertiliserProducts[[#Headers],[Include or Exclude]], 0,4)</f>
        <v/>
      </c>
      <c r="T143" s="185" t="str" cm="1">
        <f t="array" ref="T143">Common_InputFunctions.Utility_DisplayArrayInTable(Fertiliser_SourceData.Fertiliser_Products_Data1(),FertiliserProducts[[#Headers],[Include or Exclude]], 0,4)</f>
        <v/>
      </c>
      <c r="U143" s="185" t="str" cm="1">
        <f t="array" ref="U143">Common_InputFunctions.Utility_DisplayArrayInTable(Fertiliser_SourceData.Fertiliser_Products_Data1(),FertiliserProducts[[#Headers],[Include or Exclude]], 0,4)</f>
        <v/>
      </c>
      <c r="V143" s="185" t="str" cm="1">
        <f t="array" ref="V143">Common_InputFunctions.Utility_DisplayArrayInTable(Fertiliser_SourceData.Fertiliser_Products_Data1(),FertiliserProducts[[#Headers],[Include or Exclude]], 0,4)</f>
        <v/>
      </c>
      <c r="W143" s="185" t="str" cm="1">
        <f t="array" ref="W143">Common_InputFunctions.Utility_DisplayArrayInTable(Fertiliser_SourceData.Fertiliser_Products_Data1(),FertiliserProducts[[#Headers],[Include or Exclude]], 0,4)</f>
        <v/>
      </c>
      <c r="X143" s="185" t="str" cm="1">
        <f t="array" ref="X143">Common_InputFunctions.Utility_DisplayArrayInTable(Fertiliser_SourceData.Fertiliser_Products_Data1(),FertiliserProducts[[#Headers],[Include or Exclude]], 0,4)</f>
        <v/>
      </c>
      <c r="Y143" s="185" t="str" cm="1">
        <f t="array" ref="Y143">Common_InputFunctions.Utility_DisplayArrayInTable(Fertiliser_SourceData.Fertiliser_Products_Data1(),FertiliserProducts[[#Headers],[Include or Exclude]], 0,4)</f>
        <v/>
      </c>
      <c r="Z143" s="185" t="str" cm="1">
        <f t="array" ref="Z143">Common_InputFunctions.Utility_DisplayArrayInTable(Fertiliser_SourceData.Fertiliser_Products_Data1(),FertiliserProducts[[#Headers],[Include or Exclude]], 0,4)</f>
        <v/>
      </c>
      <c r="AA143" s="185" t="str" cm="1">
        <f t="array" ref="AA143">Common_InputFunctions.Utility_DisplayArrayInTable(Fertiliser_SourceData.Fertiliser_Products_Data1(),FertiliserProducts[[#Headers],[Include or Exclude]], 0,4)</f>
        <v/>
      </c>
      <c r="AB143" s="185" t="str" cm="1">
        <f t="array" ref="AB143">Common_InputFunctions.Utility_DisplayArrayInTable(Fertiliser_SourceData.Fertiliser_Products_Data1(),FertiliserProducts[[#Headers],[Include or Exclude]], 0,4)</f>
        <v/>
      </c>
      <c r="AC143" s="185" t="str" cm="1">
        <f t="array" ref="AC143">Common_InputFunctions.Utility_DisplayArrayInTable(Fertiliser_SourceData.Fertiliser_Products_Data1(),FertiliserProducts[[#Headers],[Include or Exclude]], 0,4)</f>
        <v/>
      </c>
      <c r="AD143" s="185" t="str" cm="1">
        <f t="array" ref="AD143">Common_InputFunctions.Utility_DisplayArrayInTable(Fertiliser_SourceData.Fertiliser_Products_Data1(),FertiliserProducts[[#Headers],[Include or Exclude]], 0,4)</f>
        <v/>
      </c>
      <c r="AE143" s="185" t="str" cm="1">
        <f t="array" ref="AE143">Common_InputFunctions.Utility_DisplayArrayInTable(Fertiliser_SourceData.Fertiliser_Products_Data1(),FertiliserProducts[[#Headers],[Include or Exclude]], 0,4)</f>
        <v/>
      </c>
    </row>
    <row r="144" spans="4:31" ht="20.100000000000001" customHeight="1" x14ac:dyDescent="0.25">
      <c r="D144" s="185" t="str" cm="1">
        <f t="array" ref="D144">Common_InputFunctions.Utility_DisplayArrayInTable(Fertiliser_SourceData.Fertiliser_Products_Data1(),FertiliserProducts[[#Headers],[Include or Exclude]], -1)</f>
        <v/>
      </c>
      <c r="E144" s="185" t="str" cm="1">
        <f t="array" ref="E144">Common_InputFunctions.Utility_DisplayArrayInTable(Fertiliser_SourceData.Fertiliser_Products_Data1(),FertiliserProducts[[#Headers],[Include or Exclude]], 0)</f>
        <v/>
      </c>
      <c r="F144" s="185" t="str" cm="1">
        <f t="array" ref="F144">Common_InputFunctions.Utility_DisplayArrayInTable(Fertiliser_SourceData.Fertiliser_Products_Data1(),FertiliserProducts[[#Headers],[Include or Exclude]], 0)</f>
        <v/>
      </c>
      <c r="G144" s="185" t="str" cm="1">
        <f t="array" ref="G144">Common_InputFunctions.Utility_DisplayArrayInTable(Fertiliser_SourceData.Fertiliser_Products_Data1(),FertiliserProducts[[#Headers],[Include or Exclude]], 0)</f>
        <v/>
      </c>
      <c r="H144" s="185" t="str" cm="1">
        <f t="array" ref="H144">Common_InputFunctions.Utility_DisplayArrayInTable(Fertiliser_SourceData.Fertiliser_Products_Data1(),FertiliserProducts[[#Headers],[Include or Exclude]], 0,4)</f>
        <v/>
      </c>
      <c r="I144" s="185" t="str" cm="1">
        <f t="array" ref="I144">Common_InputFunctions.Utility_DisplayArrayInTable(Fertiliser_SourceData.Fertiliser_Products_Data1(),FertiliserProducts[[#Headers],[Include or Exclude]], 0,4)</f>
        <v/>
      </c>
      <c r="J144" s="185" t="str" cm="1">
        <f t="array" ref="J144">Common_InputFunctions.Utility_DisplayArrayInTable(Fertiliser_SourceData.Fertiliser_Products_Data1(),FertiliserProducts[[#Headers],[Include or Exclude]], 0,4)</f>
        <v/>
      </c>
      <c r="K144" s="185" t="str" cm="1">
        <f t="array" ref="K144">Common_InputFunctions.Utility_DisplayArrayInTable(Fertiliser_SourceData.Fertiliser_Products_Data1(),FertiliserProducts[[#Headers],[Include or Exclude]], 0,4)</f>
        <v/>
      </c>
      <c r="L144" s="185" t="str" cm="1">
        <f t="array" ref="L144">Common_InputFunctions.Utility_DisplayArrayInTable(Fertiliser_SourceData.Fertiliser_Products_Data1(),FertiliserProducts[[#Headers],[Include or Exclude]], 0,4)</f>
        <v/>
      </c>
      <c r="M144" s="185" t="str" cm="1">
        <f t="array" ref="M144">Common_InputFunctions.Utility_DisplayArrayInTable(Fertiliser_SourceData.Fertiliser_Products_Data1(),FertiliserProducts[[#Headers],[Include or Exclude]], 0,4)</f>
        <v/>
      </c>
      <c r="N144" s="185" t="str" cm="1">
        <f t="array" ref="N144">Common_InputFunctions.Utility_DisplayArrayInTable(Fertiliser_SourceData.Fertiliser_Products_Data1(),FertiliserProducts[[#Headers],[Include or Exclude]], 0,4)</f>
        <v/>
      </c>
      <c r="O144" s="185" t="str" cm="1">
        <f t="array" ref="O144">Common_InputFunctions.Utility_DisplayArrayInTable(Fertiliser_SourceData.Fertiliser_Products_Data1(),FertiliserProducts[[#Headers],[Include or Exclude]], 0,4)</f>
        <v/>
      </c>
      <c r="P144" s="185" t="str" cm="1">
        <f t="array" ref="P144">Common_InputFunctions.Utility_DisplayArrayInTable(Fertiliser_SourceData.Fertiliser_Products_Data1(),FertiliserProducts[[#Headers],[Include or Exclude]], 0,4)</f>
        <v/>
      </c>
      <c r="Q144" s="185" t="str" cm="1">
        <f t="array" ref="Q144">Common_InputFunctions.Utility_DisplayArrayInTable(Fertiliser_SourceData.Fertiliser_Products_Data1(),FertiliserProducts[[#Headers],[Include or Exclude]], 0,4)</f>
        <v/>
      </c>
      <c r="R144" s="185" t="str" cm="1">
        <f t="array" ref="R144">Common_InputFunctions.Utility_DisplayArrayInTable(Fertiliser_SourceData.Fertiliser_Products_Data1(),FertiliserProducts[[#Headers],[Include or Exclude]], 0,4)</f>
        <v/>
      </c>
      <c r="S144" s="185" t="str" cm="1">
        <f t="array" ref="S144">Common_InputFunctions.Utility_DisplayArrayInTable(Fertiliser_SourceData.Fertiliser_Products_Data1(),FertiliserProducts[[#Headers],[Include or Exclude]], 0,4)</f>
        <v/>
      </c>
      <c r="T144" s="185" t="str" cm="1">
        <f t="array" ref="T144">Common_InputFunctions.Utility_DisplayArrayInTable(Fertiliser_SourceData.Fertiliser_Products_Data1(),FertiliserProducts[[#Headers],[Include or Exclude]], 0,4)</f>
        <v/>
      </c>
      <c r="U144" s="185" t="str" cm="1">
        <f t="array" ref="U144">Common_InputFunctions.Utility_DisplayArrayInTable(Fertiliser_SourceData.Fertiliser_Products_Data1(),FertiliserProducts[[#Headers],[Include or Exclude]], 0,4)</f>
        <v/>
      </c>
      <c r="V144" s="185" t="str" cm="1">
        <f t="array" ref="V144">Common_InputFunctions.Utility_DisplayArrayInTable(Fertiliser_SourceData.Fertiliser_Products_Data1(),FertiliserProducts[[#Headers],[Include or Exclude]], 0,4)</f>
        <v/>
      </c>
      <c r="W144" s="185" t="str" cm="1">
        <f t="array" ref="W144">Common_InputFunctions.Utility_DisplayArrayInTable(Fertiliser_SourceData.Fertiliser_Products_Data1(),FertiliserProducts[[#Headers],[Include or Exclude]], 0,4)</f>
        <v/>
      </c>
      <c r="X144" s="185" t="str" cm="1">
        <f t="array" ref="X144">Common_InputFunctions.Utility_DisplayArrayInTable(Fertiliser_SourceData.Fertiliser_Products_Data1(),FertiliserProducts[[#Headers],[Include or Exclude]], 0,4)</f>
        <v/>
      </c>
      <c r="Y144" s="185" t="str" cm="1">
        <f t="array" ref="Y144">Common_InputFunctions.Utility_DisplayArrayInTable(Fertiliser_SourceData.Fertiliser_Products_Data1(),FertiliserProducts[[#Headers],[Include or Exclude]], 0,4)</f>
        <v/>
      </c>
      <c r="Z144" s="185" t="str" cm="1">
        <f t="array" ref="Z144">Common_InputFunctions.Utility_DisplayArrayInTable(Fertiliser_SourceData.Fertiliser_Products_Data1(),FertiliserProducts[[#Headers],[Include or Exclude]], 0,4)</f>
        <v/>
      </c>
      <c r="AA144" s="185" t="str" cm="1">
        <f t="array" ref="AA144">Common_InputFunctions.Utility_DisplayArrayInTable(Fertiliser_SourceData.Fertiliser_Products_Data1(),FertiliserProducts[[#Headers],[Include or Exclude]], 0,4)</f>
        <v/>
      </c>
      <c r="AB144" s="185" t="str" cm="1">
        <f t="array" ref="AB144">Common_InputFunctions.Utility_DisplayArrayInTable(Fertiliser_SourceData.Fertiliser_Products_Data1(),FertiliserProducts[[#Headers],[Include or Exclude]], 0,4)</f>
        <v/>
      </c>
      <c r="AC144" s="185" t="str" cm="1">
        <f t="array" ref="AC144">Common_InputFunctions.Utility_DisplayArrayInTable(Fertiliser_SourceData.Fertiliser_Products_Data1(),FertiliserProducts[[#Headers],[Include or Exclude]], 0,4)</f>
        <v/>
      </c>
      <c r="AD144" s="185" t="str" cm="1">
        <f t="array" ref="AD144">Common_InputFunctions.Utility_DisplayArrayInTable(Fertiliser_SourceData.Fertiliser_Products_Data1(),FertiliserProducts[[#Headers],[Include or Exclude]], 0,4)</f>
        <v/>
      </c>
      <c r="AE144" s="185" t="str" cm="1">
        <f t="array" ref="AE144">Common_InputFunctions.Utility_DisplayArrayInTable(Fertiliser_SourceData.Fertiliser_Products_Data1(),FertiliserProducts[[#Headers],[Include or Exclude]], 0,4)</f>
        <v/>
      </c>
    </row>
    <row r="145" spans="4:31" ht="20.100000000000001" customHeight="1" x14ac:dyDescent="0.25">
      <c r="D145" s="185" t="str" cm="1">
        <f t="array" ref="D145">Common_InputFunctions.Utility_DisplayArrayInTable(Fertiliser_SourceData.Fertiliser_Products_Data1(),FertiliserProducts[[#Headers],[Include or Exclude]], -1)</f>
        <v/>
      </c>
      <c r="E145" s="185" t="str" cm="1">
        <f t="array" ref="E145">Common_InputFunctions.Utility_DisplayArrayInTable(Fertiliser_SourceData.Fertiliser_Products_Data1(),FertiliserProducts[[#Headers],[Include or Exclude]], 0)</f>
        <v/>
      </c>
      <c r="F145" s="185" t="str" cm="1">
        <f t="array" ref="F145">Common_InputFunctions.Utility_DisplayArrayInTable(Fertiliser_SourceData.Fertiliser_Products_Data1(),FertiliserProducts[[#Headers],[Include or Exclude]], 0)</f>
        <v/>
      </c>
      <c r="G145" s="185" t="str" cm="1">
        <f t="array" ref="G145">Common_InputFunctions.Utility_DisplayArrayInTable(Fertiliser_SourceData.Fertiliser_Products_Data1(),FertiliserProducts[[#Headers],[Include or Exclude]], 0)</f>
        <v/>
      </c>
      <c r="H145" s="185" t="str" cm="1">
        <f t="array" ref="H145">Common_InputFunctions.Utility_DisplayArrayInTable(Fertiliser_SourceData.Fertiliser_Products_Data1(),FertiliserProducts[[#Headers],[Include or Exclude]], 0,4)</f>
        <v/>
      </c>
      <c r="I145" s="185" t="str" cm="1">
        <f t="array" ref="I145">Common_InputFunctions.Utility_DisplayArrayInTable(Fertiliser_SourceData.Fertiliser_Products_Data1(),FertiliserProducts[[#Headers],[Include or Exclude]], 0,4)</f>
        <v/>
      </c>
      <c r="J145" s="185" t="str" cm="1">
        <f t="array" ref="J145">Common_InputFunctions.Utility_DisplayArrayInTable(Fertiliser_SourceData.Fertiliser_Products_Data1(),FertiliserProducts[[#Headers],[Include or Exclude]], 0,4)</f>
        <v/>
      </c>
      <c r="K145" s="185" t="str" cm="1">
        <f t="array" ref="K145">Common_InputFunctions.Utility_DisplayArrayInTable(Fertiliser_SourceData.Fertiliser_Products_Data1(),FertiliserProducts[[#Headers],[Include or Exclude]], 0,4)</f>
        <v/>
      </c>
      <c r="L145" s="185" t="str" cm="1">
        <f t="array" ref="L145">Common_InputFunctions.Utility_DisplayArrayInTable(Fertiliser_SourceData.Fertiliser_Products_Data1(),FertiliserProducts[[#Headers],[Include or Exclude]], 0,4)</f>
        <v/>
      </c>
      <c r="M145" s="185" t="str" cm="1">
        <f t="array" ref="M145">Common_InputFunctions.Utility_DisplayArrayInTable(Fertiliser_SourceData.Fertiliser_Products_Data1(),FertiliserProducts[[#Headers],[Include or Exclude]], 0,4)</f>
        <v/>
      </c>
      <c r="N145" s="185" t="str" cm="1">
        <f t="array" ref="N145">Common_InputFunctions.Utility_DisplayArrayInTable(Fertiliser_SourceData.Fertiliser_Products_Data1(),FertiliserProducts[[#Headers],[Include or Exclude]], 0,4)</f>
        <v/>
      </c>
      <c r="O145" s="185" t="str" cm="1">
        <f t="array" ref="O145">Common_InputFunctions.Utility_DisplayArrayInTable(Fertiliser_SourceData.Fertiliser_Products_Data1(),FertiliserProducts[[#Headers],[Include or Exclude]], 0,4)</f>
        <v/>
      </c>
      <c r="P145" s="185" t="str" cm="1">
        <f t="array" ref="P145">Common_InputFunctions.Utility_DisplayArrayInTable(Fertiliser_SourceData.Fertiliser_Products_Data1(),FertiliserProducts[[#Headers],[Include or Exclude]], 0,4)</f>
        <v/>
      </c>
      <c r="Q145" s="185" t="str" cm="1">
        <f t="array" ref="Q145">Common_InputFunctions.Utility_DisplayArrayInTable(Fertiliser_SourceData.Fertiliser_Products_Data1(),FertiliserProducts[[#Headers],[Include or Exclude]], 0,4)</f>
        <v/>
      </c>
      <c r="R145" s="185" t="str" cm="1">
        <f t="array" ref="R145">Common_InputFunctions.Utility_DisplayArrayInTable(Fertiliser_SourceData.Fertiliser_Products_Data1(),FertiliserProducts[[#Headers],[Include or Exclude]], 0,4)</f>
        <v/>
      </c>
      <c r="S145" s="185" t="str" cm="1">
        <f t="array" ref="S145">Common_InputFunctions.Utility_DisplayArrayInTable(Fertiliser_SourceData.Fertiliser_Products_Data1(),FertiliserProducts[[#Headers],[Include or Exclude]], 0,4)</f>
        <v/>
      </c>
      <c r="T145" s="185" t="str" cm="1">
        <f t="array" ref="T145">Common_InputFunctions.Utility_DisplayArrayInTable(Fertiliser_SourceData.Fertiliser_Products_Data1(),FertiliserProducts[[#Headers],[Include or Exclude]], 0,4)</f>
        <v/>
      </c>
      <c r="U145" s="185" t="str" cm="1">
        <f t="array" ref="U145">Common_InputFunctions.Utility_DisplayArrayInTable(Fertiliser_SourceData.Fertiliser_Products_Data1(),FertiliserProducts[[#Headers],[Include or Exclude]], 0,4)</f>
        <v/>
      </c>
      <c r="V145" s="185" t="str" cm="1">
        <f t="array" ref="V145">Common_InputFunctions.Utility_DisplayArrayInTable(Fertiliser_SourceData.Fertiliser_Products_Data1(),FertiliserProducts[[#Headers],[Include or Exclude]], 0,4)</f>
        <v/>
      </c>
      <c r="W145" s="185" t="str" cm="1">
        <f t="array" ref="W145">Common_InputFunctions.Utility_DisplayArrayInTable(Fertiliser_SourceData.Fertiliser_Products_Data1(),FertiliserProducts[[#Headers],[Include or Exclude]], 0,4)</f>
        <v/>
      </c>
      <c r="X145" s="185" t="str" cm="1">
        <f t="array" ref="X145">Common_InputFunctions.Utility_DisplayArrayInTable(Fertiliser_SourceData.Fertiliser_Products_Data1(),FertiliserProducts[[#Headers],[Include or Exclude]], 0,4)</f>
        <v/>
      </c>
      <c r="Y145" s="185" t="str" cm="1">
        <f t="array" ref="Y145">Common_InputFunctions.Utility_DisplayArrayInTable(Fertiliser_SourceData.Fertiliser_Products_Data1(),FertiliserProducts[[#Headers],[Include or Exclude]], 0,4)</f>
        <v/>
      </c>
      <c r="Z145" s="185" t="str" cm="1">
        <f t="array" ref="Z145">Common_InputFunctions.Utility_DisplayArrayInTable(Fertiliser_SourceData.Fertiliser_Products_Data1(),FertiliserProducts[[#Headers],[Include or Exclude]], 0,4)</f>
        <v/>
      </c>
      <c r="AA145" s="185" t="str" cm="1">
        <f t="array" ref="AA145">Common_InputFunctions.Utility_DisplayArrayInTable(Fertiliser_SourceData.Fertiliser_Products_Data1(),FertiliserProducts[[#Headers],[Include or Exclude]], 0,4)</f>
        <v/>
      </c>
      <c r="AB145" s="185" t="str" cm="1">
        <f t="array" ref="AB145">Common_InputFunctions.Utility_DisplayArrayInTable(Fertiliser_SourceData.Fertiliser_Products_Data1(),FertiliserProducts[[#Headers],[Include or Exclude]], 0,4)</f>
        <v/>
      </c>
      <c r="AC145" s="185" t="str" cm="1">
        <f t="array" ref="AC145">Common_InputFunctions.Utility_DisplayArrayInTable(Fertiliser_SourceData.Fertiliser_Products_Data1(),FertiliserProducts[[#Headers],[Include or Exclude]], 0,4)</f>
        <v/>
      </c>
      <c r="AD145" s="185" t="str" cm="1">
        <f t="array" ref="AD145">Common_InputFunctions.Utility_DisplayArrayInTable(Fertiliser_SourceData.Fertiliser_Products_Data1(),FertiliserProducts[[#Headers],[Include or Exclude]], 0,4)</f>
        <v/>
      </c>
      <c r="AE145" s="185" t="str" cm="1">
        <f t="array" ref="AE145">Common_InputFunctions.Utility_DisplayArrayInTable(Fertiliser_SourceData.Fertiliser_Products_Data1(),FertiliserProducts[[#Headers],[Include or Exclude]], 0,4)</f>
        <v/>
      </c>
    </row>
    <row r="146" spans="4:31" ht="20.100000000000001" customHeight="1" x14ac:dyDescent="0.25">
      <c r="D146" s="185" t="str" cm="1">
        <f t="array" ref="D146">Common_InputFunctions.Utility_DisplayArrayInTable(Fertiliser_SourceData.Fertiliser_Products_Data1(),FertiliserProducts[[#Headers],[Include or Exclude]], -1)</f>
        <v/>
      </c>
      <c r="E146" s="185" t="str" cm="1">
        <f t="array" ref="E146">Common_InputFunctions.Utility_DisplayArrayInTable(Fertiliser_SourceData.Fertiliser_Products_Data1(),FertiliserProducts[[#Headers],[Include or Exclude]], 0)</f>
        <v/>
      </c>
      <c r="F146" s="185" t="str" cm="1">
        <f t="array" ref="F146">Common_InputFunctions.Utility_DisplayArrayInTable(Fertiliser_SourceData.Fertiliser_Products_Data1(),FertiliserProducts[[#Headers],[Include or Exclude]], 0)</f>
        <v/>
      </c>
      <c r="G146" s="185" t="str" cm="1">
        <f t="array" ref="G146">Common_InputFunctions.Utility_DisplayArrayInTable(Fertiliser_SourceData.Fertiliser_Products_Data1(),FertiliserProducts[[#Headers],[Include or Exclude]], 0)</f>
        <v/>
      </c>
      <c r="H146" s="185" t="str" cm="1">
        <f t="array" ref="H146">Common_InputFunctions.Utility_DisplayArrayInTable(Fertiliser_SourceData.Fertiliser_Products_Data1(),FertiliserProducts[[#Headers],[Include or Exclude]], 0,4)</f>
        <v/>
      </c>
      <c r="I146" s="185" t="str" cm="1">
        <f t="array" ref="I146">Common_InputFunctions.Utility_DisplayArrayInTable(Fertiliser_SourceData.Fertiliser_Products_Data1(),FertiliserProducts[[#Headers],[Include or Exclude]], 0,4)</f>
        <v/>
      </c>
      <c r="J146" s="185" t="str" cm="1">
        <f t="array" ref="J146">Common_InputFunctions.Utility_DisplayArrayInTable(Fertiliser_SourceData.Fertiliser_Products_Data1(),FertiliserProducts[[#Headers],[Include or Exclude]], 0,4)</f>
        <v/>
      </c>
      <c r="K146" s="185" t="str" cm="1">
        <f t="array" ref="K146">Common_InputFunctions.Utility_DisplayArrayInTable(Fertiliser_SourceData.Fertiliser_Products_Data1(),FertiliserProducts[[#Headers],[Include or Exclude]], 0,4)</f>
        <v/>
      </c>
      <c r="L146" s="185" t="str" cm="1">
        <f t="array" ref="L146">Common_InputFunctions.Utility_DisplayArrayInTable(Fertiliser_SourceData.Fertiliser_Products_Data1(),FertiliserProducts[[#Headers],[Include or Exclude]], 0,4)</f>
        <v/>
      </c>
      <c r="M146" s="185" t="str" cm="1">
        <f t="array" ref="M146">Common_InputFunctions.Utility_DisplayArrayInTable(Fertiliser_SourceData.Fertiliser_Products_Data1(),FertiliserProducts[[#Headers],[Include or Exclude]], 0,4)</f>
        <v/>
      </c>
      <c r="N146" s="185" t="str" cm="1">
        <f t="array" ref="N146">Common_InputFunctions.Utility_DisplayArrayInTable(Fertiliser_SourceData.Fertiliser_Products_Data1(),FertiliserProducts[[#Headers],[Include or Exclude]], 0,4)</f>
        <v/>
      </c>
      <c r="O146" s="185" t="str" cm="1">
        <f t="array" ref="O146">Common_InputFunctions.Utility_DisplayArrayInTable(Fertiliser_SourceData.Fertiliser_Products_Data1(),FertiliserProducts[[#Headers],[Include or Exclude]], 0,4)</f>
        <v/>
      </c>
      <c r="P146" s="185" t="str" cm="1">
        <f t="array" ref="P146">Common_InputFunctions.Utility_DisplayArrayInTable(Fertiliser_SourceData.Fertiliser_Products_Data1(),FertiliserProducts[[#Headers],[Include or Exclude]], 0,4)</f>
        <v/>
      </c>
      <c r="Q146" s="185" t="str" cm="1">
        <f t="array" ref="Q146">Common_InputFunctions.Utility_DisplayArrayInTable(Fertiliser_SourceData.Fertiliser_Products_Data1(),FertiliserProducts[[#Headers],[Include or Exclude]], 0,4)</f>
        <v/>
      </c>
      <c r="R146" s="185" t="str" cm="1">
        <f t="array" ref="R146">Common_InputFunctions.Utility_DisplayArrayInTable(Fertiliser_SourceData.Fertiliser_Products_Data1(),FertiliserProducts[[#Headers],[Include or Exclude]], 0,4)</f>
        <v/>
      </c>
      <c r="S146" s="185" t="str" cm="1">
        <f t="array" ref="S146">Common_InputFunctions.Utility_DisplayArrayInTable(Fertiliser_SourceData.Fertiliser_Products_Data1(),FertiliserProducts[[#Headers],[Include or Exclude]], 0,4)</f>
        <v/>
      </c>
      <c r="T146" s="185" t="str" cm="1">
        <f t="array" ref="T146">Common_InputFunctions.Utility_DisplayArrayInTable(Fertiliser_SourceData.Fertiliser_Products_Data1(),FertiliserProducts[[#Headers],[Include or Exclude]], 0,4)</f>
        <v/>
      </c>
      <c r="U146" s="185" t="str" cm="1">
        <f t="array" ref="U146">Common_InputFunctions.Utility_DisplayArrayInTable(Fertiliser_SourceData.Fertiliser_Products_Data1(),FertiliserProducts[[#Headers],[Include or Exclude]], 0,4)</f>
        <v/>
      </c>
      <c r="V146" s="185" t="str" cm="1">
        <f t="array" ref="V146">Common_InputFunctions.Utility_DisplayArrayInTable(Fertiliser_SourceData.Fertiliser_Products_Data1(),FertiliserProducts[[#Headers],[Include or Exclude]], 0,4)</f>
        <v/>
      </c>
      <c r="W146" s="185" t="str" cm="1">
        <f t="array" ref="W146">Common_InputFunctions.Utility_DisplayArrayInTable(Fertiliser_SourceData.Fertiliser_Products_Data1(),FertiliserProducts[[#Headers],[Include or Exclude]], 0,4)</f>
        <v/>
      </c>
      <c r="X146" s="185" t="str" cm="1">
        <f t="array" ref="X146">Common_InputFunctions.Utility_DisplayArrayInTable(Fertiliser_SourceData.Fertiliser_Products_Data1(),FertiliserProducts[[#Headers],[Include or Exclude]], 0,4)</f>
        <v/>
      </c>
      <c r="Y146" s="185" t="str" cm="1">
        <f t="array" ref="Y146">Common_InputFunctions.Utility_DisplayArrayInTable(Fertiliser_SourceData.Fertiliser_Products_Data1(),FertiliserProducts[[#Headers],[Include or Exclude]], 0,4)</f>
        <v/>
      </c>
      <c r="Z146" s="185" t="str" cm="1">
        <f t="array" ref="Z146">Common_InputFunctions.Utility_DisplayArrayInTable(Fertiliser_SourceData.Fertiliser_Products_Data1(),FertiliserProducts[[#Headers],[Include or Exclude]], 0,4)</f>
        <v/>
      </c>
      <c r="AA146" s="185" t="str" cm="1">
        <f t="array" ref="AA146">Common_InputFunctions.Utility_DisplayArrayInTable(Fertiliser_SourceData.Fertiliser_Products_Data1(),FertiliserProducts[[#Headers],[Include or Exclude]], 0,4)</f>
        <v/>
      </c>
      <c r="AB146" s="185" t="str" cm="1">
        <f t="array" ref="AB146">Common_InputFunctions.Utility_DisplayArrayInTable(Fertiliser_SourceData.Fertiliser_Products_Data1(),FertiliserProducts[[#Headers],[Include or Exclude]], 0,4)</f>
        <v/>
      </c>
      <c r="AC146" s="185" t="str" cm="1">
        <f t="array" ref="AC146">Common_InputFunctions.Utility_DisplayArrayInTable(Fertiliser_SourceData.Fertiliser_Products_Data1(),FertiliserProducts[[#Headers],[Include or Exclude]], 0,4)</f>
        <v/>
      </c>
      <c r="AD146" s="185" t="str" cm="1">
        <f t="array" ref="AD146">Common_InputFunctions.Utility_DisplayArrayInTable(Fertiliser_SourceData.Fertiliser_Products_Data1(),FertiliserProducts[[#Headers],[Include or Exclude]], 0,4)</f>
        <v/>
      </c>
      <c r="AE146" s="185" t="str" cm="1">
        <f t="array" ref="AE146">Common_InputFunctions.Utility_DisplayArrayInTable(Fertiliser_SourceData.Fertiliser_Products_Data1(),FertiliserProducts[[#Headers],[Include or Exclude]], 0,4)</f>
        <v/>
      </c>
    </row>
    <row r="147" spans="4:31" ht="20.100000000000001" customHeight="1" x14ac:dyDescent="0.25">
      <c r="D147" s="185" t="str" cm="1">
        <f t="array" ref="D147">Common_InputFunctions.Utility_DisplayArrayInTable(Fertiliser_SourceData.Fertiliser_Products_Data1(),FertiliserProducts[[#Headers],[Include or Exclude]], -1)</f>
        <v/>
      </c>
      <c r="E147" s="185" t="str" cm="1">
        <f t="array" ref="E147">Common_InputFunctions.Utility_DisplayArrayInTable(Fertiliser_SourceData.Fertiliser_Products_Data1(),FertiliserProducts[[#Headers],[Include or Exclude]], 0)</f>
        <v/>
      </c>
      <c r="F147" s="185" t="str" cm="1">
        <f t="array" ref="F147">Common_InputFunctions.Utility_DisplayArrayInTable(Fertiliser_SourceData.Fertiliser_Products_Data1(),FertiliserProducts[[#Headers],[Include or Exclude]], 0)</f>
        <v/>
      </c>
      <c r="G147" s="185" t="str" cm="1">
        <f t="array" ref="G147">Common_InputFunctions.Utility_DisplayArrayInTable(Fertiliser_SourceData.Fertiliser_Products_Data1(),FertiliserProducts[[#Headers],[Include or Exclude]], 0)</f>
        <v/>
      </c>
      <c r="H147" s="185" t="str" cm="1">
        <f t="array" ref="H147">Common_InputFunctions.Utility_DisplayArrayInTable(Fertiliser_SourceData.Fertiliser_Products_Data1(),FertiliserProducts[[#Headers],[Include or Exclude]], 0,4)</f>
        <v/>
      </c>
      <c r="I147" s="185" t="str" cm="1">
        <f t="array" ref="I147">Common_InputFunctions.Utility_DisplayArrayInTable(Fertiliser_SourceData.Fertiliser_Products_Data1(),FertiliserProducts[[#Headers],[Include or Exclude]], 0,4)</f>
        <v/>
      </c>
      <c r="J147" s="185" t="str" cm="1">
        <f t="array" ref="J147">Common_InputFunctions.Utility_DisplayArrayInTable(Fertiliser_SourceData.Fertiliser_Products_Data1(),FertiliserProducts[[#Headers],[Include or Exclude]], 0,4)</f>
        <v/>
      </c>
      <c r="K147" s="185" t="str" cm="1">
        <f t="array" ref="K147">Common_InputFunctions.Utility_DisplayArrayInTable(Fertiliser_SourceData.Fertiliser_Products_Data1(),FertiliserProducts[[#Headers],[Include or Exclude]], 0,4)</f>
        <v/>
      </c>
      <c r="L147" s="185" t="str" cm="1">
        <f t="array" ref="L147">Common_InputFunctions.Utility_DisplayArrayInTable(Fertiliser_SourceData.Fertiliser_Products_Data1(),FertiliserProducts[[#Headers],[Include or Exclude]], 0,4)</f>
        <v/>
      </c>
      <c r="M147" s="185" t="str" cm="1">
        <f t="array" ref="M147">Common_InputFunctions.Utility_DisplayArrayInTable(Fertiliser_SourceData.Fertiliser_Products_Data1(),FertiliserProducts[[#Headers],[Include or Exclude]], 0,4)</f>
        <v/>
      </c>
      <c r="N147" s="185" t="str" cm="1">
        <f t="array" ref="N147">Common_InputFunctions.Utility_DisplayArrayInTable(Fertiliser_SourceData.Fertiliser_Products_Data1(),FertiliserProducts[[#Headers],[Include or Exclude]], 0,4)</f>
        <v/>
      </c>
      <c r="O147" s="185" t="str" cm="1">
        <f t="array" ref="O147">Common_InputFunctions.Utility_DisplayArrayInTable(Fertiliser_SourceData.Fertiliser_Products_Data1(),FertiliserProducts[[#Headers],[Include or Exclude]], 0,4)</f>
        <v/>
      </c>
      <c r="P147" s="185" t="str" cm="1">
        <f t="array" ref="P147">Common_InputFunctions.Utility_DisplayArrayInTable(Fertiliser_SourceData.Fertiliser_Products_Data1(),FertiliserProducts[[#Headers],[Include or Exclude]], 0,4)</f>
        <v/>
      </c>
      <c r="Q147" s="185" t="str" cm="1">
        <f t="array" ref="Q147">Common_InputFunctions.Utility_DisplayArrayInTable(Fertiliser_SourceData.Fertiliser_Products_Data1(),FertiliserProducts[[#Headers],[Include or Exclude]], 0,4)</f>
        <v/>
      </c>
      <c r="R147" s="185" t="str" cm="1">
        <f t="array" ref="R147">Common_InputFunctions.Utility_DisplayArrayInTable(Fertiliser_SourceData.Fertiliser_Products_Data1(),FertiliserProducts[[#Headers],[Include or Exclude]], 0,4)</f>
        <v/>
      </c>
      <c r="S147" s="185" t="str" cm="1">
        <f t="array" ref="S147">Common_InputFunctions.Utility_DisplayArrayInTable(Fertiliser_SourceData.Fertiliser_Products_Data1(),FertiliserProducts[[#Headers],[Include or Exclude]], 0,4)</f>
        <v/>
      </c>
      <c r="T147" s="185" t="str" cm="1">
        <f t="array" ref="T147">Common_InputFunctions.Utility_DisplayArrayInTable(Fertiliser_SourceData.Fertiliser_Products_Data1(),FertiliserProducts[[#Headers],[Include or Exclude]], 0,4)</f>
        <v/>
      </c>
      <c r="U147" s="185" t="str" cm="1">
        <f t="array" ref="U147">Common_InputFunctions.Utility_DisplayArrayInTable(Fertiliser_SourceData.Fertiliser_Products_Data1(),FertiliserProducts[[#Headers],[Include or Exclude]], 0,4)</f>
        <v/>
      </c>
      <c r="V147" s="185" t="str" cm="1">
        <f t="array" ref="V147">Common_InputFunctions.Utility_DisplayArrayInTable(Fertiliser_SourceData.Fertiliser_Products_Data1(),FertiliserProducts[[#Headers],[Include or Exclude]], 0,4)</f>
        <v/>
      </c>
      <c r="W147" s="185" t="str" cm="1">
        <f t="array" ref="W147">Common_InputFunctions.Utility_DisplayArrayInTable(Fertiliser_SourceData.Fertiliser_Products_Data1(),FertiliserProducts[[#Headers],[Include or Exclude]], 0,4)</f>
        <v/>
      </c>
      <c r="X147" s="185" t="str" cm="1">
        <f t="array" ref="X147">Common_InputFunctions.Utility_DisplayArrayInTable(Fertiliser_SourceData.Fertiliser_Products_Data1(),FertiliserProducts[[#Headers],[Include or Exclude]], 0,4)</f>
        <v/>
      </c>
      <c r="Y147" s="185" t="str" cm="1">
        <f t="array" ref="Y147">Common_InputFunctions.Utility_DisplayArrayInTable(Fertiliser_SourceData.Fertiliser_Products_Data1(),FertiliserProducts[[#Headers],[Include or Exclude]], 0,4)</f>
        <v/>
      </c>
      <c r="Z147" s="185" t="str" cm="1">
        <f t="array" ref="Z147">Common_InputFunctions.Utility_DisplayArrayInTable(Fertiliser_SourceData.Fertiliser_Products_Data1(),FertiliserProducts[[#Headers],[Include or Exclude]], 0,4)</f>
        <v/>
      </c>
      <c r="AA147" s="185" t="str" cm="1">
        <f t="array" ref="AA147">Common_InputFunctions.Utility_DisplayArrayInTable(Fertiliser_SourceData.Fertiliser_Products_Data1(),FertiliserProducts[[#Headers],[Include or Exclude]], 0,4)</f>
        <v/>
      </c>
      <c r="AB147" s="185" t="str" cm="1">
        <f t="array" ref="AB147">Common_InputFunctions.Utility_DisplayArrayInTable(Fertiliser_SourceData.Fertiliser_Products_Data1(),FertiliserProducts[[#Headers],[Include or Exclude]], 0,4)</f>
        <v/>
      </c>
      <c r="AC147" s="185" t="str" cm="1">
        <f t="array" ref="AC147">Common_InputFunctions.Utility_DisplayArrayInTable(Fertiliser_SourceData.Fertiliser_Products_Data1(),FertiliserProducts[[#Headers],[Include or Exclude]], 0,4)</f>
        <v/>
      </c>
      <c r="AD147" s="185" t="str" cm="1">
        <f t="array" ref="AD147">Common_InputFunctions.Utility_DisplayArrayInTable(Fertiliser_SourceData.Fertiliser_Products_Data1(),FertiliserProducts[[#Headers],[Include or Exclude]], 0,4)</f>
        <v/>
      </c>
      <c r="AE147" s="185" t="str" cm="1">
        <f t="array" ref="AE147">Common_InputFunctions.Utility_DisplayArrayInTable(Fertiliser_SourceData.Fertiliser_Products_Data1(),FertiliserProducts[[#Headers],[Include or Exclude]], 0,4)</f>
        <v/>
      </c>
    </row>
    <row r="148" spans="4:31" ht="20.100000000000001" customHeight="1" x14ac:dyDescent="0.25">
      <c r="D148" s="185" t="str" cm="1">
        <f t="array" ref="D148">Common_InputFunctions.Utility_DisplayArrayInTable(Fertiliser_SourceData.Fertiliser_Products_Data1(),FertiliserProducts[[#Headers],[Include or Exclude]], -1)</f>
        <v/>
      </c>
      <c r="E148" s="185" t="str" cm="1">
        <f t="array" ref="E148">Common_InputFunctions.Utility_DisplayArrayInTable(Fertiliser_SourceData.Fertiliser_Products_Data1(),FertiliserProducts[[#Headers],[Include or Exclude]], 0)</f>
        <v/>
      </c>
      <c r="F148" s="185" t="str" cm="1">
        <f t="array" ref="F148">Common_InputFunctions.Utility_DisplayArrayInTable(Fertiliser_SourceData.Fertiliser_Products_Data1(),FertiliserProducts[[#Headers],[Include or Exclude]], 0)</f>
        <v/>
      </c>
      <c r="G148" s="185" t="str" cm="1">
        <f t="array" ref="G148">Common_InputFunctions.Utility_DisplayArrayInTable(Fertiliser_SourceData.Fertiliser_Products_Data1(),FertiliserProducts[[#Headers],[Include or Exclude]], 0)</f>
        <v/>
      </c>
      <c r="H148" s="185" t="str" cm="1">
        <f t="array" ref="H148">Common_InputFunctions.Utility_DisplayArrayInTable(Fertiliser_SourceData.Fertiliser_Products_Data1(),FertiliserProducts[[#Headers],[Include or Exclude]], 0,4)</f>
        <v/>
      </c>
      <c r="I148" s="185" t="str" cm="1">
        <f t="array" ref="I148">Common_InputFunctions.Utility_DisplayArrayInTable(Fertiliser_SourceData.Fertiliser_Products_Data1(),FertiliserProducts[[#Headers],[Include or Exclude]], 0,4)</f>
        <v/>
      </c>
      <c r="J148" s="185" t="str" cm="1">
        <f t="array" ref="J148">Common_InputFunctions.Utility_DisplayArrayInTable(Fertiliser_SourceData.Fertiliser_Products_Data1(),FertiliserProducts[[#Headers],[Include or Exclude]], 0,4)</f>
        <v/>
      </c>
      <c r="K148" s="185" t="str" cm="1">
        <f t="array" ref="K148">Common_InputFunctions.Utility_DisplayArrayInTable(Fertiliser_SourceData.Fertiliser_Products_Data1(),FertiliserProducts[[#Headers],[Include or Exclude]], 0,4)</f>
        <v/>
      </c>
      <c r="L148" s="185" t="str" cm="1">
        <f t="array" ref="L148">Common_InputFunctions.Utility_DisplayArrayInTable(Fertiliser_SourceData.Fertiliser_Products_Data1(),FertiliserProducts[[#Headers],[Include or Exclude]], 0,4)</f>
        <v/>
      </c>
      <c r="M148" s="185" t="str" cm="1">
        <f t="array" ref="M148">Common_InputFunctions.Utility_DisplayArrayInTable(Fertiliser_SourceData.Fertiliser_Products_Data1(),FertiliserProducts[[#Headers],[Include or Exclude]], 0,4)</f>
        <v/>
      </c>
      <c r="N148" s="185" t="str" cm="1">
        <f t="array" ref="N148">Common_InputFunctions.Utility_DisplayArrayInTable(Fertiliser_SourceData.Fertiliser_Products_Data1(),FertiliserProducts[[#Headers],[Include or Exclude]], 0,4)</f>
        <v/>
      </c>
      <c r="O148" s="185" t="str" cm="1">
        <f t="array" ref="O148">Common_InputFunctions.Utility_DisplayArrayInTable(Fertiliser_SourceData.Fertiliser_Products_Data1(),FertiliserProducts[[#Headers],[Include or Exclude]], 0,4)</f>
        <v/>
      </c>
      <c r="P148" s="185" t="str" cm="1">
        <f t="array" ref="P148">Common_InputFunctions.Utility_DisplayArrayInTable(Fertiliser_SourceData.Fertiliser_Products_Data1(),FertiliserProducts[[#Headers],[Include or Exclude]], 0,4)</f>
        <v/>
      </c>
      <c r="Q148" s="185" t="str" cm="1">
        <f t="array" ref="Q148">Common_InputFunctions.Utility_DisplayArrayInTable(Fertiliser_SourceData.Fertiliser_Products_Data1(),FertiliserProducts[[#Headers],[Include or Exclude]], 0,4)</f>
        <v/>
      </c>
      <c r="R148" s="185" t="str" cm="1">
        <f t="array" ref="R148">Common_InputFunctions.Utility_DisplayArrayInTable(Fertiliser_SourceData.Fertiliser_Products_Data1(),FertiliserProducts[[#Headers],[Include or Exclude]], 0,4)</f>
        <v/>
      </c>
      <c r="S148" s="185" t="str" cm="1">
        <f t="array" ref="S148">Common_InputFunctions.Utility_DisplayArrayInTable(Fertiliser_SourceData.Fertiliser_Products_Data1(),FertiliserProducts[[#Headers],[Include or Exclude]], 0,4)</f>
        <v/>
      </c>
      <c r="T148" s="185" t="str" cm="1">
        <f t="array" ref="T148">Common_InputFunctions.Utility_DisplayArrayInTable(Fertiliser_SourceData.Fertiliser_Products_Data1(),FertiliserProducts[[#Headers],[Include or Exclude]], 0,4)</f>
        <v/>
      </c>
      <c r="U148" s="185" t="str" cm="1">
        <f t="array" ref="U148">Common_InputFunctions.Utility_DisplayArrayInTable(Fertiliser_SourceData.Fertiliser_Products_Data1(),FertiliserProducts[[#Headers],[Include or Exclude]], 0,4)</f>
        <v/>
      </c>
      <c r="V148" s="185" t="str" cm="1">
        <f t="array" ref="V148">Common_InputFunctions.Utility_DisplayArrayInTable(Fertiliser_SourceData.Fertiliser_Products_Data1(),FertiliserProducts[[#Headers],[Include or Exclude]], 0,4)</f>
        <v/>
      </c>
      <c r="W148" s="185" t="str" cm="1">
        <f t="array" ref="W148">Common_InputFunctions.Utility_DisplayArrayInTable(Fertiliser_SourceData.Fertiliser_Products_Data1(),FertiliserProducts[[#Headers],[Include or Exclude]], 0,4)</f>
        <v/>
      </c>
      <c r="X148" s="185" t="str" cm="1">
        <f t="array" ref="X148">Common_InputFunctions.Utility_DisplayArrayInTable(Fertiliser_SourceData.Fertiliser_Products_Data1(),FertiliserProducts[[#Headers],[Include or Exclude]], 0,4)</f>
        <v/>
      </c>
      <c r="Y148" s="185" t="str" cm="1">
        <f t="array" ref="Y148">Common_InputFunctions.Utility_DisplayArrayInTable(Fertiliser_SourceData.Fertiliser_Products_Data1(),FertiliserProducts[[#Headers],[Include or Exclude]], 0,4)</f>
        <v/>
      </c>
      <c r="Z148" s="185" t="str" cm="1">
        <f t="array" ref="Z148">Common_InputFunctions.Utility_DisplayArrayInTable(Fertiliser_SourceData.Fertiliser_Products_Data1(),FertiliserProducts[[#Headers],[Include or Exclude]], 0,4)</f>
        <v/>
      </c>
      <c r="AA148" s="185" t="str" cm="1">
        <f t="array" ref="AA148">Common_InputFunctions.Utility_DisplayArrayInTable(Fertiliser_SourceData.Fertiliser_Products_Data1(),FertiliserProducts[[#Headers],[Include or Exclude]], 0,4)</f>
        <v/>
      </c>
      <c r="AB148" s="185" t="str" cm="1">
        <f t="array" ref="AB148">Common_InputFunctions.Utility_DisplayArrayInTable(Fertiliser_SourceData.Fertiliser_Products_Data1(),FertiliserProducts[[#Headers],[Include or Exclude]], 0,4)</f>
        <v/>
      </c>
      <c r="AC148" s="185" t="str" cm="1">
        <f t="array" ref="AC148">Common_InputFunctions.Utility_DisplayArrayInTable(Fertiliser_SourceData.Fertiliser_Products_Data1(),FertiliserProducts[[#Headers],[Include or Exclude]], 0,4)</f>
        <v/>
      </c>
      <c r="AD148" s="185" t="str" cm="1">
        <f t="array" ref="AD148">Common_InputFunctions.Utility_DisplayArrayInTable(Fertiliser_SourceData.Fertiliser_Products_Data1(),FertiliserProducts[[#Headers],[Include or Exclude]], 0,4)</f>
        <v/>
      </c>
      <c r="AE148" s="185" t="str" cm="1">
        <f t="array" ref="AE148">Common_InputFunctions.Utility_DisplayArrayInTable(Fertiliser_SourceData.Fertiliser_Products_Data1(),FertiliserProducts[[#Headers],[Include or Exclude]], 0,4)</f>
        <v/>
      </c>
    </row>
    <row r="149" spans="4:31" ht="20.100000000000001" customHeight="1" x14ac:dyDescent="0.25">
      <c r="D149" s="185" t="str" cm="1">
        <f t="array" ref="D149">Common_InputFunctions.Utility_DisplayArrayInTable(Fertiliser_SourceData.Fertiliser_Products_Data1(),FertiliserProducts[[#Headers],[Include or Exclude]], -1)</f>
        <v/>
      </c>
      <c r="E149" s="185" t="str" cm="1">
        <f t="array" ref="E149">Common_InputFunctions.Utility_DisplayArrayInTable(Fertiliser_SourceData.Fertiliser_Products_Data1(),FertiliserProducts[[#Headers],[Include or Exclude]], 0)</f>
        <v/>
      </c>
      <c r="F149" s="185" t="str" cm="1">
        <f t="array" ref="F149">Common_InputFunctions.Utility_DisplayArrayInTable(Fertiliser_SourceData.Fertiliser_Products_Data1(),FertiliserProducts[[#Headers],[Include or Exclude]], 0)</f>
        <v/>
      </c>
      <c r="G149" s="185" t="str" cm="1">
        <f t="array" ref="G149">Common_InputFunctions.Utility_DisplayArrayInTable(Fertiliser_SourceData.Fertiliser_Products_Data1(),FertiliserProducts[[#Headers],[Include or Exclude]], 0)</f>
        <v/>
      </c>
      <c r="H149" s="185" t="str" cm="1">
        <f t="array" ref="H149">Common_InputFunctions.Utility_DisplayArrayInTable(Fertiliser_SourceData.Fertiliser_Products_Data1(),FertiliserProducts[[#Headers],[Include or Exclude]], 0,4)</f>
        <v/>
      </c>
      <c r="I149" s="185" t="str" cm="1">
        <f t="array" ref="I149">Common_InputFunctions.Utility_DisplayArrayInTable(Fertiliser_SourceData.Fertiliser_Products_Data1(),FertiliserProducts[[#Headers],[Include or Exclude]], 0,4)</f>
        <v/>
      </c>
      <c r="J149" s="185" t="str" cm="1">
        <f t="array" ref="J149">Common_InputFunctions.Utility_DisplayArrayInTable(Fertiliser_SourceData.Fertiliser_Products_Data1(),FertiliserProducts[[#Headers],[Include or Exclude]], 0,4)</f>
        <v/>
      </c>
      <c r="K149" s="185" t="str" cm="1">
        <f t="array" ref="K149">Common_InputFunctions.Utility_DisplayArrayInTable(Fertiliser_SourceData.Fertiliser_Products_Data1(),FertiliserProducts[[#Headers],[Include or Exclude]], 0,4)</f>
        <v/>
      </c>
      <c r="L149" s="185" t="str" cm="1">
        <f t="array" ref="L149">Common_InputFunctions.Utility_DisplayArrayInTable(Fertiliser_SourceData.Fertiliser_Products_Data1(),FertiliserProducts[[#Headers],[Include or Exclude]], 0,4)</f>
        <v/>
      </c>
      <c r="M149" s="185" t="str" cm="1">
        <f t="array" ref="M149">Common_InputFunctions.Utility_DisplayArrayInTable(Fertiliser_SourceData.Fertiliser_Products_Data1(),FertiliserProducts[[#Headers],[Include or Exclude]], 0,4)</f>
        <v/>
      </c>
      <c r="N149" s="185" t="str" cm="1">
        <f t="array" ref="N149">Common_InputFunctions.Utility_DisplayArrayInTable(Fertiliser_SourceData.Fertiliser_Products_Data1(),FertiliserProducts[[#Headers],[Include or Exclude]], 0,4)</f>
        <v/>
      </c>
      <c r="O149" s="185" t="str" cm="1">
        <f t="array" ref="O149">Common_InputFunctions.Utility_DisplayArrayInTable(Fertiliser_SourceData.Fertiliser_Products_Data1(),FertiliserProducts[[#Headers],[Include or Exclude]], 0,4)</f>
        <v/>
      </c>
      <c r="P149" s="185" t="str" cm="1">
        <f t="array" ref="P149">Common_InputFunctions.Utility_DisplayArrayInTable(Fertiliser_SourceData.Fertiliser_Products_Data1(),FertiliserProducts[[#Headers],[Include or Exclude]], 0,4)</f>
        <v/>
      </c>
      <c r="Q149" s="185" t="str" cm="1">
        <f t="array" ref="Q149">Common_InputFunctions.Utility_DisplayArrayInTable(Fertiliser_SourceData.Fertiliser_Products_Data1(),FertiliserProducts[[#Headers],[Include or Exclude]], 0,4)</f>
        <v/>
      </c>
      <c r="R149" s="185" t="str" cm="1">
        <f t="array" ref="R149">Common_InputFunctions.Utility_DisplayArrayInTable(Fertiliser_SourceData.Fertiliser_Products_Data1(),FertiliserProducts[[#Headers],[Include or Exclude]], 0,4)</f>
        <v/>
      </c>
      <c r="S149" s="185" t="str" cm="1">
        <f t="array" ref="S149">Common_InputFunctions.Utility_DisplayArrayInTable(Fertiliser_SourceData.Fertiliser_Products_Data1(),FertiliserProducts[[#Headers],[Include or Exclude]], 0,4)</f>
        <v/>
      </c>
      <c r="T149" s="185" t="str" cm="1">
        <f t="array" ref="T149">Common_InputFunctions.Utility_DisplayArrayInTable(Fertiliser_SourceData.Fertiliser_Products_Data1(),FertiliserProducts[[#Headers],[Include or Exclude]], 0,4)</f>
        <v/>
      </c>
      <c r="U149" s="185" t="str" cm="1">
        <f t="array" ref="U149">Common_InputFunctions.Utility_DisplayArrayInTable(Fertiliser_SourceData.Fertiliser_Products_Data1(),FertiliserProducts[[#Headers],[Include or Exclude]], 0,4)</f>
        <v/>
      </c>
      <c r="V149" s="185" t="str" cm="1">
        <f t="array" ref="V149">Common_InputFunctions.Utility_DisplayArrayInTable(Fertiliser_SourceData.Fertiliser_Products_Data1(),FertiliserProducts[[#Headers],[Include or Exclude]], 0,4)</f>
        <v/>
      </c>
      <c r="W149" s="185" t="str" cm="1">
        <f t="array" ref="W149">Common_InputFunctions.Utility_DisplayArrayInTable(Fertiliser_SourceData.Fertiliser_Products_Data1(),FertiliserProducts[[#Headers],[Include or Exclude]], 0,4)</f>
        <v/>
      </c>
      <c r="X149" s="185" t="str" cm="1">
        <f t="array" ref="X149">Common_InputFunctions.Utility_DisplayArrayInTable(Fertiliser_SourceData.Fertiliser_Products_Data1(),FertiliserProducts[[#Headers],[Include or Exclude]], 0,4)</f>
        <v/>
      </c>
      <c r="Y149" s="185" t="str" cm="1">
        <f t="array" ref="Y149">Common_InputFunctions.Utility_DisplayArrayInTable(Fertiliser_SourceData.Fertiliser_Products_Data1(),FertiliserProducts[[#Headers],[Include or Exclude]], 0,4)</f>
        <v/>
      </c>
      <c r="Z149" s="185" t="str" cm="1">
        <f t="array" ref="Z149">Common_InputFunctions.Utility_DisplayArrayInTable(Fertiliser_SourceData.Fertiliser_Products_Data1(),FertiliserProducts[[#Headers],[Include or Exclude]], 0,4)</f>
        <v/>
      </c>
      <c r="AA149" s="185" t="str" cm="1">
        <f t="array" ref="AA149">Common_InputFunctions.Utility_DisplayArrayInTable(Fertiliser_SourceData.Fertiliser_Products_Data1(),FertiliserProducts[[#Headers],[Include or Exclude]], 0,4)</f>
        <v/>
      </c>
      <c r="AB149" s="185" t="str" cm="1">
        <f t="array" ref="AB149">Common_InputFunctions.Utility_DisplayArrayInTable(Fertiliser_SourceData.Fertiliser_Products_Data1(),FertiliserProducts[[#Headers],[Include or Exclude]], 0,4)</f>
        <v/>
      </c>
      <c r="AC149" s="185" t="str" cm="1">
        <f t="array" ref="AC149">Common_InputFunctions.Utility_DisplayArrayInTable(Fertiliser_SourceData.Fertiliser_Products_Data1(),FertiliserProducts[[#Headers],[Include or Exclude]], 0,4)</f>
        <v/>
      </c>
      <c r="AD149" s="185" t="str" cm="1">
        <f t="array" ref="AD149">Common_InputFunctions.Utility_DisplayArrayInTable(Fertiliser_SourceData.Fertiliser_Products_Data1(),FertiliserProducts[[#Headers],[Include or Exclude]], 0,4)</f>
        <v/>
      </c>
      <c r="AE149" s="185" t="str" cm="1">
        <f t="array" ref="AE149">Common_InputFunctions.Utility_DisplayArrayInTable(Fertiliser_SourceData.Fertiliser_Products_Data1(),FertiliserProducts[[#Headers],[Include or Exclude]], 0,4)</f>
        <v/>
      </c>
    </row>
    <row r="150" spans="4:31" ht="20.100000000000001" customHeight="1" x14ac:dyDescent="0.25">
      <c r="D150" s="185" t="str" cm="1">
        <f t="array" ref="D150">Common_InputFunctions.Utility_DisplayArrayInTable(Fertiliser_SourceData.Fertiliser_Products_Data1(),FertiliserProducts[[#Headers],[Include or Exclude]], -1)</f>
        <v/>
      </c>
      <c r="E150" s="185" t="str" cm="1">
        <f t="array" ref="E150">Common_InputFunctions.Utility_DisplayArrayInTable(Fertiliser_SourceData.Fertiliser_Products_Data1(),FertiliserProducts[[#Headers],[Include or Exclude]], 0)</f>
        <v/>
      </c>
      <c r="F150" s="185" t="str" cm="1">
        <f t="array" ref="F150">Common_InputFunctions.Utility_DisplayArrayInTable(Fertiliser_SourceData.Fertiliser_Products_Data1(),FertiliserProducts[[#Headers],[Include or Exclude]], 0)</f>
        <v/>
      </c>
      <c r="G150" s="185" t="str" cm="1">
        <f t="array" ref="G150">Common_InputFunctions.Utility_DisplayArrayInTable(Fertiliser_SourceData.Fertiliser_Products_Data1(),FertiliserProducts[[#Headers],[Include or Exclude]], 0)</f>
        <v/>
      </c>
      <c r="H150" s="185" t="str" cm="1">
        <f t="array" ref="H150">Common_InputFunctions.Utility_DisplayArrayInTable(Fertiliser_SourceData.Fertiliser_Products_Data1(),FertiliserProducts[[#Headers],[Include or Exclude]], 0,4)</f>
        <v/>
      </c>
      <c r="I150" s="185" t="str" cm="1">
        <f t="array" ref="I150">Common_InputFunctions.Utility_DisplayArrayInTable(Fertiliser_SourceData.Fertiliser_Products_Data1(),FertiliserProducts[[#Headers],[Include or Exclude]], 0,4)</f>
        <v/>
      </c>
      <c r="J150" s="185" t="str" cm="1">
        <f t="array" ref="J150">Common_InputFunctions.Utility_DisplayArrayInTable(Fertiliser_SourceData.Fertiliser_Products_Data1(),FertiliserProducts[[#Headers],[Include or Exclude]], 0,4)</f>
        <v/>
      </c>
      <c r="K150" s="185" t="str" cm="1">
        <f t="array" ref="K150">Common_InputFunctions.Utility_DisplayArrayInTable(Fertiliser_SourceData.Fertiliser_Products_Data1(),FertiliserProducts[[#Headers],[Include or Exclude]], 0,4)</f>
        <v/>
      </c>
      <c r="L150" s="185" t="str" cm="1">
        <f t="array" ref="L150">Common_InputFunctions.Utility_DisplayArrayInTable(Fertiliser_SourceData.Fertiliser_Products_Data1(),FertiliserProducts[[#Headers],[Include or Exclude]], 0,4)</f>
        <v/>
      </c>
      <c r="M150" s="185" t="str" cm="1">
        <f t="array" ref="M150">Common_InputFunctions.Utility_DisplayArrayInTable(Fertiliser_SourceData.Fertiliser_Products_Data1(),FertiliserProducts[[#Headers],[Include or Exclude]], 0,4)</f>
        <v/>
      </c>
      <c r="N150" s="185" t="str" cm="1">
        <f t="array" ref="N150">Common_InputFunctions.Utility_DisplayArrayInTable(Fertiliser_SourceData.Fertiliser_Products_Data1(),FertiliserProducts[[#Headers],[Include or Exclude]], 0,4)</f>
        <v/>
      </c>
      <c r="O150" s="185" t="str" cm="1">
        <f t="array" ref="O150">Common_InputFunctions.Utility_DisplayArrayInTable(Fertiliser_SourceData.Fertiliser_Products_Data1(),FertiliserProducts[[#Headers],[Include or Exclude]], 0,4)</f>
        <v/>
      </c>
      <c r="P150" s="185" t="str" cm="1">
        <f t="array" ref="P150">Common_InputFunctions.Utility_DisplayArrayInTable(Fertiliser_SourceData.Fertiliser_Products_Data1(),FertiliserProducts[[#Headers],[Include or Exclude]], 0,4)</f>
        <v/>
      </c>
      <c r="Q150" s="185" t="str" cm="1">
        <f t="array" ref="Q150">Common_InputFunctions.Utility_DisplayArrayInTable(Fertiliser_SourceData.Fertiliser_Products_Data1(),FertiliserProducts[[#Headers],[Include or Exclude]], 0,4)</f>
        <v/>
      </c>
      <c r="R150" s="185" t="str" cm="1">
        <f t="array" ref="R150">Common_InputFunctions.Utility_DisplayArrayInTable(Fertiliser_SourceData.Fertiliser_Products_Data1(),FertiliserProducts[[#Headers],[Include or Exclude]], 0,4)</f>
        <v/>
      </c>
      <c r="S150" s="185" t="str" cm="1">
        <f t="array" ref="S150">Common_InputFunctions.Utility_DisplayArrayInTable(Fertiliser_SourceData.Fertiliser_Products_Data1(),FertiliserProducts[[#Headers],[Include or Exclude]], 0,4)</f>
        <v/>
      </c>
      <c r="T150" s="185" t="str" cm="1">
        <f t="array" ref="T150">Common_InputFunctions.Utility_DisplayArrayInTable(Fertiliser_SourceData.Fertiliser_Products_Data1(),FertiliserProducts[[#Headers],[Include or Exclude]], 0,4)</f>
        <v/>
      </c>
      <c r="U150" s="185" t="str" cm="1">
        <f t="array" ref="U150">Common_InputFunctions.Utility_DisplayArrayInTable(Fertiliser_SourceData.Fertiliser_Products_Data1(),FertiliserProducts[[#Headers],[Include or Exclude]], 0,4)</f>
        <v/>
      </c>
      <c r="V150" s="185" t="str" cm="1">
        <f t="array" ref="V150">Common_InputFunctions.Utility_DisplayArrayInTable(Fertiliser_SourceData.Fertiliser_Products_Data1(),FertiliserProducts[[#Headers],[Include or Exclude]], 0,4)</f>
        <v/>
      </c>
      <c r="W150" s="185" t="str" cm="1">
        <f t="array" ref="W150">Common_InputFunctions.Utility_DisplayArrayInTable(Fertiliser_SourceData.Fertiliser_Products_Data1(),FertiliserProducts[[#Headers],[Include or Exclude]], 0,4)</f>
        <v/>
      </c>
      <c r="X150" s="185" t="str" cm="1">
        <f t="array" ref="X150">Common_InputFunctions.Utility_DisplayArrayInTable(Fertiliser_SourceData.Fertiliser_Products_Data1(),FertiliserProducts[[#Headers],[Include or Exclude]], 0,4)</f>
        <v/>
      </c>
      <c r="Y150" s="185" t="str" cm="1">
        <f t="array" ref="Y150">Common_InputFunctions.Utility_DisplayArrayInTable(Fertiliser_SourceData.Fertiliser_Products_Data1(),FertiliserProducts[[#Headers],[Include or Exclude]], 0,4)</f>
        <v/>
      </c>
      <c r="Z150" s="185" t="str" cm="1">
        <f t="array" ref="Z150">Common_InputFunctions.Utility_DisplayArrayInTable(Fertiliser_SourceData.Fertiliser_Products_Data1(),FertiliserProducts[[#Headers],[Include or Exclude]], 0,4)</f>
        <v/>
      </c>
      <c r="AA150" s="185" t="str" cm="1">
        <f t="array" ref="AA150">Common_InputFunctions.Utility_DisplayArrayInTable(Fertiliser_SourceData.Fertiliser_Products_Data1(),FertiliserProducts[[#Headers],[Include or Exclude]], 0,4)</f>
        <v/>
      </c>
      <c r="AB150" s="185" t="str" cm="1">
        <f t="array" ref="AB150">Common_InputFunctions.Utility_DisplayArrayInTable(Fertiliser_SourceData.Fertiliser_Products_Data1(),FertiliserProducts[[#Headers],[Include or Exclude]], 0,4)</f>
        <v/>
      </c>
      <c r="AC150" s="185" t="str" cm="1">
        <f t="array" ref="AC150">Common_InputFunctions.Utility_DisplayArrayInTable(Fertiliser_SourceData.Fertiliser_Products_Data1(),FertiliserProducts[[#Headers],[Include or Exclude]], 0,4)</f>
        <v/>
      </c>
      <c r="AD150" s="185" t="str" cm="1">
        <f t="array" ref="AD150">Common_InputFunctions.Utility_DisplayArrayInTable(Fertiliser_SourceData.Fertiliser_Products_Data1(),FertiliserProducts[[#Headers],[Include or Exclude]], 0,4)</f>
        <v/>
      </c>
      <c r="AE150" s="185" t="str" cm="1">
        <f t="array" ref="AE150">Common_InputFunctions.Utility_DisplayArrayInTable(Fertiliser_SourceData.Fertiliser_Products_Data1(),FertiliserProducts[[#Headers],[Include or Exclude]], 0,4)</f>
        <v/>
      </c>
    </row>
    <row r="151" spans="4:31" ht="20.100000000000001" customHeight="1" x14ac:dyDescent="0.25">
      <c r="D151" s="185" t="str" cm="1">
        <f t="array" ref="D151">Common_InputFunctions.Utility_DisplayArrayInTable(Fertiliser_SourceData.Fertiliser_Products_Data1(),FertiliserProducts[[#Headers],[Include or Exclude]], -1)</f>
        <v/>
      </c>
      <c r="E151" s="185" t="str" cm="1">
        <f t="array" ref="E151">Common_InputFunctions.Utility_DisplayArrayInTable(Fertiliser_SourceData.Fertiliser_Products_Data1(),FertiliserProducts[[#Headers],[Include or Exclude]], 0)</f>
        <v/>
      </c>
      <c r="F151" s="185" t="str" cm="1">
        <f t="array" ref="F151">Common_InputFunctions.Utility_DisplayArrayInTable(Fertiliser_SourceData.Fertiliser_Products_Data1(),FertiliserProducts[[#Headers],[Include or Exclude]], 0)</f>
        <v/>
      </c>
      <c r="G151" s="185" t="str" cm="1">
        <f t="array" ref="G151">Common_InputFunctions.Utility_DisplayArrayInTable(Fertiliser_SourceData.Fertiliser_Products_Data1(),FertiliserProducts[[#Headers],[Include or Exclude]], 0)</f>
        <v/>
      </c>
      <c r="H151" s="185" t="str" cm="1">
        <f t="array" ref="H151">Common_InputFunctions.Utility_DisplayArrayInTable(Fertiliser_SourceData.Fertiliser_Products_Data1(),FertiliserProducts[[#Headers],[Include or Exclude]], 0,4)</f>
        <v/>
      </c>
      <c r="I151" s="185" t="str" cm="1">
        <f t="array" ref="I151">Common_InputFunctions.Utility_DisplayArrayInTable(Fertiliser_SourceData.Fertiliser_Products_Data1(),FertiliserProducts[[#Headers],[Include or Exclude]], 0,4)</f>
        <v/>
      </c>
      <c r="J151" s="185" t="str" cm="1">
        <f t="array" ref="J151">Common_InputFunctions.Utility_DisplayArrayInTable(Fertiliser_SourceData.Fertiliser_Products_Data1(),FertiliserProducts[[#Headers],[Include or Exclude]], 0,4)</f>
        <v/>
      </c>
      <c r="K151" s="185" t="str" cm="1">
        <f t="array" ref="K151">Common_InputFunctions.Utility_DisplayArrayInTable(Fertiliser_SourceData.Fertiliser_Products_Data1(),FertiliserProducts[[#Headers],[Include or Exclude]], 0,4)</f>
        <v/>
      </c>
      <c r="L151" s="185" t="str" cm="1">
        <f t="array" ref="L151">Common_InputFunctions.Utility_DisplayArrayInTable(Fertiliser_SourceData.Fertiliser_Products_Data1(),FertiliserProducts[[#Headers],[Include or Exclude]], 0,4)</f>
        <v/>
      </c>
      <c r="M151" s="185" t="str" cm="1">
        <f t="array" ref="M151">Common_InputFunctions.Utility_DisplayArrayInTable(Fertiliser_SourceData.Fertiliser_Products_Data1(),FertiliserProducts[[#Headers],[Include or Exclude]], 0,4)</f>
        <v/>
      </c>
      <c r="N151" s="185" t="str" cm="1">
        <f t="array" ref="N151">Common_InputFunctions.Utility_DisplayArrayInTable(Fertiliser_SourceData.Fertiliser_Products_Data1(),FertiliserProducts[[#Headers],[Include or Exclude]], 0,4)</f>
        <v/>
      </c>
      <c r="O151" s="185" t="str" cm="1">
        <f t="array" ref="O151">Common_InputFunctions.Utility_DisplayArrayInTable(Fertiliser_SourceData.Fertiliser_Products_Data1(),FertiliserProducts[[#Headers],[Include or Exclude]], 0,4)</f>
        <v/>
      </c>
      <c r="P151" s="185" t="str" cm="1">
        <f t="array" ref="P151">Common_InputFunctions.Utility_DisplayArrayInTable(Fertiliser_SourceData.Fertiliser_Products_Data1(),FertiliserProducts[[#Headers],[Include or Exclude]], 0,4)</f>
        <v/>
      </c>
      <c r="Q151" s="185" t="str" cm="1">
        <f t="array" ref="Q151">Common_InputFunctions.Utility_DisplayArrayInTable(Fertiliser_SourceData.Fertiliser_Products_Data1(),FertiliserProducts[[#Headers],[Include or Exclude]], 0,4)</f>
        <v/>
      </c>
      <c r="R151" s="185" t="str" cm="1">
        <f t="array" ref="R151">Common_InputFunctions.Utility_DisplayArrayInTable(Fertiliser_SourceData.Fertiliser_Products_Data1(),FertiliserProducts[[#Headers],[Include or Exclude]], 0,4)</f>
        <v/>
      </c>
      <c r="S151" s="185" t="str" cm="1">
        <f t="array" ref="S151">Common_InputFunctions.Utility_DisplayArrayInTable(Fertiliser_SourceData.Fertiliser_Products_Data1(),FertiliserProducts[[#Headers],[Include or Exclude]], 0,4)</f>
        <v/>
      </c>
      <c r="T151" s="185" t="str" cm="1">
        <f t="array" ref="T151">Common_InputFunctions.Utility_DisplayArrayInTable(Fertiliser_SourceData.Fertiliser_Products_Data1(),FertiliserProducts[[#Headers],[Include or Exclude]], 0,4)</f>
        <v/>
      </c>
      <c r="U151" s="185" t="str" cm="1">
        <f t="array" ref="U151">Common_InputFunctions.Utility_DisplayArrayInTable(Fertiliser_SourceData.Fertiliser_Products_Data1(),FertiliserProducts[[#Headers],[Include or Exclude]], 0,4)</f>
        <v/>
      </c>
      <c r="V151" s="185" t="str" cm="1">
        <f t="array" ref="V151">Common_InputFunctions.Utility_DisplayArrayInTable(Fertiliser_SourceData.Fertiliser_Products_Data1(),FertiliserProducts[[#Headers],[Include or Exclude]], 0,4)</f>
        <v/>
      </c>
      <c r="W151" s="185" t="str" cm="1">
        <f t="array" ref="W151">Common_InputFunctions.Utility_DisplayArrayInTable(Fertiliser_SourceData.Fertiliser_Products_Data1(),FertiliserProducts[[#Headers],[Include or Exclude]], 0,4)</f>
        <v/>
      </c>
      <c r="X151" s="185" t="str" cm="1">
        <f t="array" ref="X151">Common_InputFunctions.Utility_DisplayArrayInTable(Fertiliser_SourceData.Fertiliser_Products_Data1(),FertiliserProducts[[#Headers],[Include or Exclude]], 0,4)</f>
        <v/>
      </c>
      <c r="Y151" s="185" t="str" cm="1">
        <f t="array" ref="Y151">Common_InputFunctions.Utility_DisplayArrayInTable(Fertiliser_SourceData.Fertiliser_Products_Data1(),FertiliserProducts[[#Headers],[Include or Exclude]], 0,4)</f>
        <v/>
      </c>
      <c r="Z151" s="185" t="str" cm="1">
        <f t="array" ref="Z151">Common_InputFunctions.Utility_DisplayArrayInTable(Fertiliser_SourceData.Fertiliser_Products_Data1(),FertiliserProducts[[#Headers],[Include or Exclude]], 0,4)</f>
        <v/>
      </c>
      <c r="AA151" s="185" t="str" cm="1">
        <f t="array" ref="AA151">Common_InputFunctions.Utility_DisplayArrayInTable(Fertiliser_SourceData.Fertiliser_Products_Data1(),FertiliserProducts[[#Headers],[Include or Exclude]], 0,4)</f>
        <v/>
      </c>
      <c r="AB151" s="185" t="str" cm="1">
        <f t="array" ref="AB151">Common_InputFunctions.Utility_DisplayArrayInTable(Fertiliser_SourceData.Fertiliser_Products_Data1(),FertiliserProducts[[#Headers],[Include or Exclude]], 0,4)</f>
        <v/>
      </c>
      <c r="AC151" s="185" t="str" cm="1">
        <f t="array" ref="AC151">Common_InputFunctions.Utility_DisplayArrayInTable(Fertiliser_SourceData.Fertiliser_Products_Data1(),FertiliserProducts[[#Headers],[Include or Exclude]], 0,4)</f>
        <v/>
      </c>
      <c r="AD151" s="185" t="str" cm="1">
        <f t="array" ref="AD151">Common_InputFunctions.Utility_DisplayArrayInTable(Fertiliser_SourceData.Fertiliser_Products_Data1(),FertiliserProducts[[#Headers],[Include or Exclude]], 0,4)</f>
        <v/>
      </c>
      <c r="AE151" s="185" t="str" cm="1">
        <f t="array" ref="AE151">Common_InputFunctions.Utility_DisplayArrayInTable(Fertiliser_SourceData.Fertiliser_Products_Data1(),FertiliserProducts[[#Headers],[Include or Exclude]], 0,4)</f>
        <v/>
      </c>
    </row>
    <row r="152" spans="4:31" ht="20.100000000000001" customHeight="1" x14ac:dyDescent="0.25">
      <c r="D152" s="185" t="str" cm="1">
        <f t="array" ref="D152">Common_InputFunctions.Utility_DisplayArrayInTable(Fertiliser_SourceData.Fertiliser_Products_Data1(),FertiliserProducts[[#Headers],[Include or Exclude]], -1)</f>
        <v/>
      </c>
      <c r="E152" s="185" t="str" cm="1">
        <f t="array" ref="E152">Common_InputFunctions.Utility_DisplayArrayInTable(Fertiliser_SourceData.Fertiliser_Products_Data1(),FertiliserProducts[[#Headers],[Include or Exclude]], 0)</f>
        <v/>
      </c>
      <c r="F152" s="185" t="str" cm="1">
        <f t="array" ref="F152">Common_InputFunctions.Utility_DisplayArrayInTable(Fertiliser_SourceData.Fertiliser_Products_Data1(),FertiliserProducts[[#Headers],[Include or Exclude]], 0)</f>
        <v/>
      </c>
      <c r="G152" s="185" t="str" cm="1">
        <f t="array" ref="G152">Common_InputFunctions.Utility_DisplayArrayInTable(Fertiliser_SourceData.Fertiliser_Products_Data1(),FertiliserProducts[[#Headers],[Include or Exclude]], 0)</f>
        <v/>
      </c>
      <c r="H152" s="185" t="str" cm="1">
        <f t="array" ref="H152">Common_InputFunctions.Utility_DisplayArrayInTable(Fertiliser_SourceData.Fertiliser_Products_Data1(),FertiliserProducts[[#Headers],[Include or Exclude]], 0,4)</f>
        <v/>
      </c>
      <c r="I152" s="185" t="str" cm="1">
        <f t="array" ref="I152">Common_InputFunctions.Utility_DisplayArrayInTable(Fertiliser_SourceData.Fertiliser_Products_Data1(),FertiliserProducts[[#Headers],[Include or Exclude]], 0,4)</f>
        <v/>
      </c>
      <c r="J152" s="185" t="str" cm="1">
        <f t="array" ref="J152">Common_InputFunctions.Utility_DisplayArrayInTable(Fertiliser_SourceData.Fertiliser_Products_Data1(),FertiliserProducts[[#Headers],[Include or Exclude]], 0,4)</f>
        <v/>
      </c>
      <c r="K152" s="185" t="str" cm="1">
        <f t="array" ref="K152">Common_InputFunctions.Utility_DisplayArrayInTable(Fertiliser_SourceData.Fertiliser_Products_Data1(),FertiliserProducts[[#Headers],[Include or Exclude]], 0,4)</f>
        <v/>
      </c>
      <c r="L152" s="185" t="str" cm="1">
        <f t="array" ref="L152">Common_InputFunctions.Utility_DisplayArrayInTable(Fertiliser_SourceData.Fertiliser_Products_Data1(),FertiliserProducts[[#Headers],[Include or Exclude]], 0,4)</f>
        <v/>
      </c>
      <c r="M152" s="185" t="str" cm="1">
        <f t="array" ref="M152">Common_InputFunctions.Utility_DisplayArrayInTable(Fertiliser_SourceData.Fertiliser_Products_Data1(),FertiliserProducts[[#Headers],[Include or Exclude]], 0,4)</f>
        <v/>
      </c>
      <c r="N152" s="185" t="str" cm="1">
        <f t="array" ref="N152">Common_InputFunctions.Utility_DisplayArrayInTable(Fertiliser_SourceData.Fertiliser_Products_Data1(),FertiliserProducts[[#Headers],[Include or Exclude]], 0,4)</f>
        <v/>
      </c>
      <c r="O152" s="185" t="str" cm="1">
        <f t="array" ref="O152">Common_InputFunctions.Utility_DisplayArrayInTable(Fertiliser_SourceData.Fertiliser_Products_Data1(),FertiliserProducts[[#Headers],[Include or Exclude]], 0,4)</f>
        <v/>
      </c>
      <c r="P152" s="185" t="str" cm="1">
        <f t="array" ref="P152">Common_InputFunctions.Utility_DisplayArrayInTable(Fertiliser_SourceData.Fertiliser_Products_Data1(),FertiliserProducts[[#Headers],[Include or Exclude]], 0,4)</f>
        <v/>
      </c>
      <c r="Q152" s="185" t="str" cm="1">
        <f t="array" ref="Q152">Common_InputFunctions.Utility_DisplayArrayInTable(Fertiliser_SourceData.Fertiliser_Products_Data1(),FertiliserProducts[[#Headers],[Include or Exclude]], 0,4)</f>
        <v/>
      </c>
      <c r="R152" s="185" t="str" cm="1">
        <f t="array" ref="R152">Common_InputFunctions.Utility_DisplayArrayInTable(Fertiliser_SourceData.Fertiliser_Products_Data1(),FertiliserProducts[[#Headers],[Include or Exclude]], 0,4)</f>
        <v/>
      </c>
      <c r="S152" s="185" t="str" cm="1">
        <f t="array" ref="S152">Common_InputFunctions.Utility_DisplayArrayInTable(Fertiliser_SourceData.Fertiliser_Products_Data1(),FertiliserProducts[[#Headers],[Include or Exclude]], 0,4)</f>
        <v/>
      </c>
      <c r="T152" s="185" t="str" cm="1">
        <f t="array" ref="T152">Common_InputFunctions.Utility_DisplayArrayInTable(Fertiliser_SourceData.Fertiliser_Products_Data1(),FertiliserProducts[[#Headers],[Include or Exclude]], 0,4)</f>
        <v/>
      </c>
      <c r="U152" s="185" t="str" cm="1">
        <f t="array" ref="U152">Common_InputFunctions.Utility_DisplayArrayInTable(Fertiliser_SourceData.Fertiliser_Products_Data1(),FertiliserProducts[[#Headers],[Include or Exclude]], 0,4)</f>
        <v/>
      </c>
      <c r="V152" s="185" t="str" cm="1">
        <f t="array" ref="V152">Common_InputFunctions.Utility_DisplayArrayInTable(Fertiliser_SourceData.Fertiliser_Products_Data1(),FertiliserProducts[[#Headers],[Include or Exclude]], 0,4)</f>
        <v/>
      </c>
      <c r="W152" s="185" t="str" cm="1">
        <f t="array" ref="W152">Common_InputFunctions.Utility_DisplayArrayInTable(Fertiliser_SourceData.Fertiliser_Products_Data1(),FertiliserProducts[[#Headers],[Include or Exclude]], 0,4)</f>
        <v/>
      </c>
      <c r="X152" s="185" t="str" cm="1">
        <f t="array" ref="X152">Common_InputFunctions.Utility_DisplayArrayInTable(Fertiliser_SourceData.Fertiliser_Products_Data1(),FertiliserProducts[[#Headers],[Include or Exclude]], 0,4)</f>
        <v/>
      </c>
      <c r="Y152" s="185" t="str" cm="1">
        <f t="array" ref="Y152">Common_InputFunctions.Utility_DisplayArrayInTable(Fertiliser_SourceData.Fertiliser_Products_Data1(),FertiliserProducts[[#Headers],[Include or Exclude]], 0,4)</f>
        <v/>
      </c>
      <c r="Z152" s="185" t="str" cm="1">
        <f t="array" ref="Z152">Common_InputFunctions.Utility_DisplayArrayInTable(Fertiliser_SourceData.Fertiliser_Products_Data1(),FertiliserProducts[[#Headers],[Include or Exclude]], 0,4)</f>
        <v/>
      </c>
      <c r="AA152" s="185" t="str" cm="1">
        <f t="array" ref="AA152">Common_InputFunctions.Utility_DisplayArrayInTable(Fertiliser_SourceData.Fertiliser_Products_Data1(),FertiliserProducts[[#Headers],[Include or Exclude]], 0,4)</f>
        <v/>
      </c>
      <c r="AB152" s="185" t="str" cm="1">
        <f t="array" ref="AB152">Common_InputFunctions.Utility_DisplayArrayInTable(Fertiliser_SourceData.Fertiliser_Products_Data1(),FertiliserProducts[[#Headers],[Include or Exclude]], 0,4)</f>
        <v/>
      </c>
      <c r="AC152" s="185" t="str" cm="1">
        <f t="array" ref="AC152">Common_InputFunctions.Utility_DisplayArrayInTable(Fertiliser_SourceData.Fertiliser_Products_Data1(),FertiliserProducts[[#Headers],[Include or Exclude]], 0,4)</f>
        <v/>
      </c>
      <c r="AD152" s="185" t="str" cm="1">
        <f t="array" ref="AD152">Common_InputFunctions.Utility_DisplayArrayInTable(Fertiliser_SourceData.Fertiliser_Products_Data1(),FertiliserProducts[[#Headers],[Include or Exclude]], 0,4)</f>
        <v/>
      </c>
      <c r="AE152" s="185" t="str" cm="1">
        <f t="array" ref="AE152">Common_InputFunctions.Utility_DisplayArrayInTable(Fertiliser_SourceData.Fertiliser_Products_Data1(),FertiliserProducts[[#Headers],[Include or Exclude]], 0,4)</f>
        <v/>
      </c>
    </row>
    <row r="153" spans="4:31" ht="20.100000000000001" customHeight="1" x14ac:dyDescent="0.25">
      <c r="D153" s="185" t="str" cm="1">
        <f t="array" ref="D153">Common_InputFunctions.Utility_DisplayArrayInTable(Fertiliser_SourceData.Fertiliser_Products_Data1(),FertiliserProducts[[#Headers],[Include or Exclude]], -1)</f>
        <v/>
      </c>
      <c r="E153" s="185" t="str" cm="1">
        <f t="array" ref="E153">Common_InputFunctions.Utility_DisplayArrayInTable(Fertiliser_SourceData.Fertiliser_Products_Data1(),FertiliserProducts[[#Headers],[Include or Exclude]], 0)</f>
        <v/>
      </c>
      <c r="F153" s="185" t="str" cm="1">
        <f t="array" ref="F153">Common_InputFunctions.Utility_DisplayArrayInTable(Fertiliser_SourceData.Fertiliser_Products_Data1(),FertiliserProducts[[#Headers],[Include or Exclude]], 0)</f>
        <v/>
      </c>
      <c r="G153" s="185" t="str" cm="1">
        <f t="array" ref="G153">Common_InputFunctions.Utility_DisplayArrayInTable(Fertiliser_SourceData.Fertiliser_Products_Data1(),FertiliserProducts[[#Headers],[Include or Exclude]], 0)</f>
        <v/>
      </c>
      <c r="H153" s="185" t="str" cm="1">
        <f t="array" ref="H153">Common_InputFunctions.Utility_DisplayArrayInTable(Fertiliser_SourceData.Fertiliser_Products_Data1(),FertiliserProducts[[#Headers],[Include or Exclude]], 0,4)</f>
        <v/>
      </c>
      <c r="I153" s="185" t="str" cm="1">
        <f t="array" ref="I153">Common_InputFunctions.Utility_DisplayArrayInTable(Fertiliser_SourceData.Fertiliser_Products_Data1(),FertiliserProducts[[#Headers],[Include or Exclude]], 0,4)</f>
        <v/>
      </c>
      <c r="J153" s="185" t="str" cm="1">
        <f t="array" ref="J153">Common_InputFunctions.Utility_DisplayArrayInTable(Fertiliser_SourceData.Fertiliser_Products_Data1(),FertiliserProducts[[#Headers],[Include or Exclude]], 0,4)</f>
        <v/>
      </c>
      <c r="K153" s="185" t="str" cm="1">
        <f t="array" ref="K153">Common_InputFunctions.Utility_DisplayArrayInTable(Fertiliser_SourceData.Fertiliser_Products_Data1(),FertiliserProducts[[#Headers],[Include or Exclude]], 0,4)</f>
        <v/>
      </c>
      <c r="L153" s="185" t="str" cm="1">
        <f t="array" ref="L153">Common_InputFunctions.Utility_DisplayArrayInTable(Fertiliser_SourceData.Fertiliser_Products_Data1(),FertiliserProducts[[#Headers],[Include or Exclude]], 0,4)</f>
        <v/>
      </c>
      <c r="M153" s="185" t="str" cm="1">
        <f t="array" ref="M153">Common_InputFunctions.Utility_DisplayArrayInTable(Fertiliser_SourceData.Fertiliser_Products_Data1(),FertiliserProducts[[#Headers],[Include or Exclude]], 0,4)</f>
        <v/>
      </c>
      <c r="N153" s="185" t="str" cm="1">
        <f t="array" ref="N153">Common_InputFunctions.Utility_DisplayArrayInTable(Fertiliser_SourceData.Fertiliser_Products_Data1(),FertiliserProducts[[#Headers],[Include or Exclude]], 0,4)</f>
        <v/>
      </c>
      <c r="O153" s="185" t="str" cm="1">
        <f t="array" ref="O153">Common_InputFunctions.Utility_DisplayArrayInTable(Fertiliser_SourceData.Fertiliser_Products_Data1(),FertiliserProducts[[#Headers],[Include or Exclude]], 0,4)</f>
        <v/>
      </c>
      <c r="P153" s="185" t="str" cm="1">
        <f t="array" ref="P153">Common_InputFunctions.Utility_DisplayArrayInTable(Fertiliser_SourceData.Fertiliser_Products_Data1(),FertiliserProducts[[#Headers],[Include or Exclude]], 0,4)</f>
        <v/>
      </c>
      <c r="Q153" s="185" t="str" cm="1">
        <f t="array" ref="Q153">Common_InputFunctions.Utility_DisplayArrayInTable(Fertiliser_SourceData.Fertiliser_Products_Data1(),FertiliserProducts[[#Headers],[Include or Exclude]], 0,4)</f>
        <v/>
      </c>
      <c r="R153" s="185" t="str" cm="1">
        <f t="array" ref="R153">Common_InputFunctions.Utility_DisplayArrayInTable(Fertiliser_SourceData.Fertiliser_Products_Data1(),FertiliserProducts[[#Headers],[Include or Exclude]], 0,4)</f>
        <v/>
      </c>
      <c r="S153" s="185" t="str" cm="1">
        <f t="array" ref="S153">Common_InputFunctions.Utility_DisplayArrayInTable(Fertiliser_SourceData.Fertiliser_Products_Data1(),FertiliserProducts[[#Headers],[Include or Exclude]], 0,4)</f>
        <v/>
      </c>
      <c r="T153" s="185" t="str" cm="1">
        <f t="array" ref="T153">Common_InputFunctions.Utility_DisplayArrayInTable(Fertiliser_SourceData.Fertiliser_Products_Data1(),FertiliserProducts[[#Headers],[Include or Exclude]], 0,4)</f>
        <v/>
      </c>
      <c r="U153" s="185" t="str" cm="1">
        <f t="array" ref="U153">Common_InputFunctions.Utility_DisplayArrayInTable(Fertiliser_SourceData.Fertiliser_Products_Data1(),FertiliserProducts[[#Headers],[Include or Exclude]], 0,4)</f>
        <v/>
      </c>
      <c r="V153" s="185" t="str" cm="1">
        <f t="array" ref="V153">Common_InputFunctions.Utility_DisplayArrayInTable(Fertiliser_SourceData.Fertiliser_Products_Data1(),FertiliserProducts[[#Headers],[Include or Exclude]], 0,4)</f>
        <v/>
      </c>
      <c r="W153" s="185" t="str" cm="1">
        <f t="array" ref="W153">Common_InputFunctions.Utility_DisplayArrayInTable(Fertiliser_SourceData.Fertiliser_Products_Data1(),FertiliserProducts[[#Headers],[Include or Exclude]], 0,4)</f>
        <v/>
      </c>
      <c r="X153" s="185" t="str" cm="1">
        <f t="array" ref="X153">Common_InputFunctions.Utility_DisplayArrayInTable(Fertiliser_SourceData.Fertiliser_Products_Data1(),FertiliserProducts[[#Headers],[Include or Exclude]], 0,4)</f>
        <v/>
      </c>
      <c r="Y153" s="185" t="str" cm="1">
        <f t="array" ref="Y153">Common_InputFunctions.Utility_DisplayArrayInTable(Fertiliser_SourceData.Fertiliser_Products_Data1(),FertiliserProducts[[#Headers],[Include or Exclude]], 0,4)</f>
        <v/>
      </c>
      <c r="Z153" s="185" t="str" cm="1">
        <f t="array" ref="Z153">Common_InputFunctions.Utility_DisplayArrayInTable(Fertiliser_SourceData.Fertiliser_Products_Data1(),FertiliserProducts[[#Headers],[Include or Exclude]], 0,4)</f>
        <v/>
      </c>
      <c r="AA153" s="185" t="str" cm="1">
        <f t="array" ref="AA153">Common_InputFunctions.Utility_DisplayArrayInTable(Fertiliser_SourceData.Fertiliser_Products_Data1(),FertiliserProducts[[#Headers],[Include or Exclude]], 0,4)</f>
        <v/>
      </c>
      <c r="AB153" s="185" t="str" cm="1">
        <f t="array" ref="AB153">Common_InputFunctions.Utility_DisplayArrayInTable(Fertiliser_SourceData.Fertiliser_Products_Data1(),FertiliserProducts[[#Headers],[Include or Exclude]], 0,4)</f>
        <v/>
      </c>
      <c r="AC153" s="185" t="str" cm="1">
        <f t="array" ref="AC153">Common_InputFunctions.Utility_DisplayArrayInTable(Fertiliser_SourceData.Fertiliser_Products_Data1(),FertiliserProducts[[#Headers],[Include or Exclude]], 0,4)</f>
        <v/>
      </c>
      <c r="AD153" s="185" t="str" cm="1">
        <f t="array" ref="AD153">Common_InputFunctions.Utility_DisplayArrayInTable(Fertiliser_SourceData.Fertiliser_Products_Data1(),FertiliserProducts[[#Headers],[Include or Exclude]], 0,4)</f>
        <v/>
      </c>
      <c r="AE153" s="185"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244E-E434-4969-A06A-956938805C03}">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2" customFormat="1" ht="30" customHeight="1" x14ac:dyDescent="0.35">
      <c r="A1" s="16" t="e" vm="1">
        <v>#VALUE!</v>
      </c>
      <c r="C1" s="32" t="s">
        <v>751</v>
      </c>
      <c r="AG1"/>
      <c r="AH1"/>
      <c r="AI1"/>
    </row>
    <row r="2" spans="1:35" s="3" customFormat="1" ht="20.100000000000001" customHeight="1" x14ac:dyDescent="0.25">
      <c r="A2"/>
      <c r="AG2"/>
      <c r="AH2"/>
      <c r="AI2"/>
    </row>
    <row r="3" spans="1:3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4"/>
      <c r="W3" s="34"/>
      <c r="X3" s="34"/>
      <c r="Y3" s="34"/>
      <c r="Z3" s="34"/>
      <c r="AA3" s="34"/>
      <c r="AB3" s="34"/>
      <c r="AC3" s="34"/>
      <c r="AD3" s="34"/>
      <c r="AE3" s="34"/>
      <c r="AF3" s="34"/>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6"/>
      <c r="F5" s="176"/>
      <c r="G5" s="176"/>
      <c r="H5" s="176"/>
      <c r="I5" s="176"/>
      <c r="J5" s="176"/>
      <c r="K5" s="176"/>
      <c r="L5" s="176"/>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6"/>
      <c r="F6" s="176"/>
      <c r="G6" s="176"/>
      <c r="H6" s="176"/>
      <c r="I6" s="176"/>
      <c r="J6" s="176"/>
      <c r="K6" s="176"/>
      <c r="L6" s="176"/>
    </row>
    <row r="7" spans="1:35" ht="20.100000000000001" customHeight="1" x14ac:dyDescent="0.25">
      <c r="A7" s="7" t="s">
        <v>0</v>
      </c>
      <c r="D7" s="28" t="str" cm="1">
        <f t="array" ref="D7">Fuel_SourceData.Fuel_Scope1Scope3EmissionFactorsTransport_Source()</f>
        <v>Australian National Greenhouse Accounts Factors 2025 - Table 9</v>
      </c>
      <c r="E7" s="176"/>
      <c r="F7" s="176"/>
      <c r="G7" s="176"/>
      <c r="H7" s="176"/>
      <c r="I7" s="176"/>
      <c r="J7" s="176"/>
      <c r="K7" s="176"/>
      <c r="L7" s="176"/>
    </row>
    <row r="8" spans="1:35" ht="20.100000000000001" customHeight="1" x14ac:dyDescent="0.25">
      <c r="A8" s="5" t="str">
        <f>HYPERLINK("#'Input - Enterprise'!A1", "Enterprise")</f>
        <v>Enterprise</v>
      </c>
      <c r="D8" s="37" t="str" cm="1">
        <f t="array" ref="D8">"⚠️" &amp; Fuel_SourceData.Fuel_Scope1Scope3EmissionFactorsTransport_Variation()</f>
        <v>⚠️VARIATION OF SOURCE DATA: 'NE' values returned as zero for calculations.</v>
      </c>
      <c r="E8" s="176"/>
      <c r="F8" s="176"/>
      <c r="G8" s="176"/>
      <c r="H8" s="176"/>
      <c r="I8" s="176"/>
      <c r="J8" s="176"/>
      <c r="K8" s="176"/>
      <c r="L8" s="176"/>
    </row>
    <row r="9" spans="1:35" ht="20.100000000000001" customHeight="1" x14ac:dyDescent="0.25">
      <c r="A9" s="5" t="str">
        <f>HYPERLINK("#'Input - Site'!A1", "Site")</f>
        <v>Site</v>
      </c>
      <c r="D9" s="225" t="s">
        <v>752</v>
      </c>
      <c r="E9" s="225" t="s">
        <v>753</v>
      </c>
      <c r="F9" s="225" t="s">
        <v>754</v>
      </c>
      <c r="G9" s="225" t="s">
        <v>755</v>
      </c>
      <c r="H9" s="225" t="s">
        <v>756</v>
      </c>
      <c r="I9" s="225" t="s">
        <v>757</v>
      </c>
      <c r="J9" s="225" t="s">
        <v>758</v>
      </c>
      <c r="K9" s="225" t="s">
        <v>759</v>
      </c>
      <c r="L9" s="225" t="s">
        <v>760</v>
      </c>
    </row>
    <row r="10" spans="1:35" ht="20.100000000000001" customHeight="1" x14ac:dyDescent="0.25">
      <c r="A10" s="5" t="str">
        <f>HYPERLINK("#'Input - Pasture Beef'!A1", "Pasture Beef")</f>
        <v>Pasture Beef</v>
      </c>
      <c r="D10" s="226" t="str" cm="1">
        <f t="array" ref="D10">Common_InputFunctions.Utility_DisplayArrayInTable(Fuel_SourceData.Fuel_Scope1Scope3EmissionFactorsTransport_Data(), Table_Fuel_EFs_Transport[[#Headers],[Transport type]], 0)</f>
        <v>Cars and light commercial vehicles</v>
      </c>
      <c r="E10" s="226" t="str" cm="1">
        <f t="array" ref="E10">Common_InputFunctions.Utility_DisplayArrayInTable(Fuel_SourceData.Fuel_Scope1Scope3EmissionFactorsTransport_Data(), Table_Fuel_EFs_Transport[[#Headers],[Transport type]], 0)</f>
        <v>Gasoline</v>
      </c>
      <c r="F10" s="226" cm="1">
        <f t="array" ref="F10">Common_InputFunctions.Utility_DisplayArrayInTable(Fuel_SourceData.Fuel_Scope1Scope3EmissionFactorsTransport_Data(), Table_Fuel_EFs_Transport[[#Headers],[Transport type]], 0)</f>
        <v>34.200000000000003</v>
      </c>
      <c r="G10" s="226" t="str" cm="1">
        <f t="array" ref="G10">Common_InputFunctions.Utility_DisplayArrayInTable(Fuel_SourceData.Fuel_Scope1Scope3EmissionFactorsTransport_Data(), Table_Fuel_EFs_Transport[[#Headers],[Transport type]], 0)</f>
        <v>kl</v>
      </c>
      <c r="H10" s="226" cm="1">
        <f t="array" ref="H10">Common_InputFunctions.Utility_DisplayArrayInTable(Fuel_SourceData.Fuel_Scope1Scope3EmissionFactorsTransport_Data(), Table_Fuel_EFs_Transport[[#Headers],[Transport type]], 0)</f>
        <v>67.400000000000006</v>
      </c>
      <c r="I10" s="226" cm="1">
        <f t="array" ref="I10">Common_InputFunctions.Utility_DisplayArrayInTable(Fuel_SourceData.Fuel_Scope1Scope3EmissionFactorsTransport_Data(), Table_Fuel_EFs_Transport[[#Headers],[Transport type]], 0)</f>
        <v>0.02</v>
      </c>
      <c r="J10" s="226" cm="1">
        <f t="array" ref="J10">Common_InputFunctions.Utility_DisplayArrayInTable(Fuel_SourceData.Fuel_Scope1Scope3EmissionFactorsTransport_Data(), Table_Fuel_EFs_Transport[[#Headers],[Transport type]], 0)</f>
        <v>0.2</v>
      </c>
      <c r="K10" s="226" cm="1">
        <f t="array" ref="K10">Common_InputFunctions.Utility_DisplayArrayInTable(Fuel_SourceData.Fuel_Scope1Scope3EmissionFactorsTransport_Data(), Table_Fuel_EFs_Transport[[#Headers],[Transport type]], 0)</f>
        <v>67.62</v>
      </c>
      <c r="L10" s="226"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6" t="str" cm="1">
        <f t="array" ref="D11">Common_InputFunctions.Utility_DisplayArrayInTable(Fuel_SourceData.Fuel_Scope1Scope3EmissionFactorsTransport_Data(), Table_Fuel_EFs_Transport[[#Headers],[Transport type]], 0)</f>
        <v>Cars and light commercial vehicles</v>
      </c>
      <c r="E11" s="226" t="str" cm="1">
        <f t="array" ref="E11">Common_InputFunctions.Utility_DisplayArrayInTable(Fuel_SourceData.Fuel_Scope1Scope3EmissionFactorsTransport_Data(), Table_Fuel_EFs_Transport[[#Headers],[Transport type]], 0)</f>
        <v>Diesel oil</v>
      </c>
      <c r="F11" s="226" cm="1">
        <f t="array" ref="F11">Common_InputFunctions.Utility_DisplayArrayInTable(Fuel_SourceData.Fuel_Scope1Scope3EmissionFactorsTransport_Data(), Table_Fuel_EFs_Transport[[#Headers],[Transport type]], 0)</f>
        <v>38.6</v>
      </c>
      <c r="G11" s="226" t="str" cm="1">
        <f t="array" ref="G11">Common_InputFunctions.Utility_DisplayArrayInTable(Fuel_SourceData.Fuel_Scope1Scope3EmissionFactorsTransport_Data(), Table_Fuel_EFs_Transport[[#Headers],[Transport type]], 0)</f>
        <v>kl</v>
      </c>
      <c r="H11" s="226" cm="1">
        <f t="array" ref="H11">Common_InputFunctions.Utility_DisplayArrayInTable(Fuel_SourceData.Fuel_Scope1Scope3EmissionFactorsTransport_Data(), Table_Fuel_EFs_Transport[[#Headers],[Transport type]], 0)</f>
        <v>69.900000000000006</v>
      </c>
      <c r="I11" s="226" cm="1">
        <f t="array" ref="I11">Common_InputFunctions.Utility_DisplayArrayInTable(Fuel_SourceData.Fuel_Scope1Scope3EmissionFactorsTransport_Data(), Table_Fuel_EFs_Transport[[#Headers],[Transport type]], 0)</f>
        <v>0.01</v>
      </c>
      <c r="J11" s="226" cm="1">
        <f t="array" ref="J11">Common_InputFunctions.Utility_DisplayArrayInTable(Fuel_SourceData.Fuel_Scope1Scope3EmissionFactorsTransport_Data(), Table_Fuel_EFs_Transport[[#Headers],[Transport type]], 0)</f>
        <v>0.5</v>
      </c>
      <c r="K11" s="226" cm="1">
        <f t="array" ref="K11">Common_InputFunctions.Utility_DisplayArrayInTable(Fuel_SourceData.Fuel_Scope1Scope3EmissionFactorsTransport_Data(), Table_Fuel_EFs_Transport[[#Headers],[Transport type]], 0)</f>
        <v>70.41</v>
      </c>
      <c r="L11" s="226"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6" t="str" cm="1">
        <f t="array" ref="D12">Common_InputFunctions.Utility_DisplayArrayInTable(Fuel_SourceData.Fuel_Scope1Scope3EmissionFactorsTransport_Data(), Table_Fuel_EFs_Transport[[#Headers],[Transport type]], 0)</f>
        <v>Cars and light commercial vehicles</v>
      </c>
      <c r="E12" s="226" t="str" cm="1">
        <f t="array" ref="E12">Common_InputFunctions.Utility_DisplayArrayInTable(Fuel_SourceData.Fuel_Scope1Scope3EmissionFactorsTransport_Data(), Table_Fuel_EFs_Transport[[#Headers],[Transport type]], 0)</f>
        <v>Liquefied petroleum gas (LPG)</v>
      </c>
      <c r="F12" s="226" cm="1">
        <f t="array" ref="F12">Common_InputFunctions.Utility_DisplayArrayInTable(Fuel_SourceData.Fuel_Scope1Scope3EmissionFactorsTransport_Data(), Table_Fuel_EFs_Transport[[#Headers],[Transport type]], 0)</f>
        <v>26.2</v>
      </c>
      <c r="G12" s="226" t="str" cm="1">
        <f t="array" ref="G12">Common_InputFunctions.Utility_DisplayArrayInTable(Fuel_SourceData.Fuel_Scope1Scope3EmissionFactorsTransport_Data(), Table_Fuel_EFs_Transport[[#Headers],[Transport type]], 0)</f>
        <v>kl</v>
      </c>
      <c r="H12" s="226" cm="1">
        <f t="array" ref="H12">Common_InputFunctions.Utility_DisplayArrayInTable(Fuel_SourceData.Fuel_Scope1Scope3EmissionFactorsTransport_Data(), Table_Fuel_EFs_Transport[[#Headers],[Transport type]], 0)</f>
        <v>60.2</v>
      </c>
      <c r="I12" s="226" cm="1">
        <f t="array" ref="I12">Common_InputFunctions.Utility_DisplayArrayInTable(Fuel_SourceData.Fuel_Scope1Scope3EmissionFactorsTransport_Data(), Table_Fuel_EFs_Transport[[#Headers],[Transport type]], 0)</f>
        <v>0.5</v>
      </c>
      <c r="J12" s="226" cm="1">
        <f t="array" ref="J12">Common_InputFunctions.Utility_DisplayArrayInTable(Fuel_SourceData.Fuel_Scope1Scope3EmissionFactorsTransport_Data(), Table_Fuel_EFs_Transport[[#Headers],[Transport type]], 0)</f>
        <v>0.3</v>
      </c>
      <c r="K12" s="226" cm="1">
        <f t="array" ref="K12">Common_InputFunctions.Utility_DisplayArrayInTable(Fuel_SourceData.Fuel_Scope1Scope3EmissionFactorsTransport_Data(), Table_Fuel_EFs_Transport[[#Headers],[Transport type]], 0)</f>
        <v>61</v>
      </c>
      <c r="L12" s="226"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6" t="str" cm="1">
        <f t="array" ref="D13">Common_InputFunctions.Utility_DisplayArrayInTable(Fuel_SourceData.Fuel_Scope1Scope3EmissionFactorsTransport_Data(), Table_Fuel_EFs_Transport[[#Headers],[Transport type]], 0)</f>
        <v>Cars and light commercial vehicles</v>
      </c>
      <c r="E13" s="226" t="str" cm="1">
        <f t="array" ref="E13">Common_InputFunctions.Utility_DisplayArrayInTable(Fuel_SourceData.Fuel_Scope1Scope3EmissionFactorsTransport_Data(), Table_Fuel_EFs_Transport[[#Headers],[Transport type]], 0)</f>
        <v>Fuel oil</v>
      </c>
      <c r="F13" s="226" cm="1">
        <f t="array" ref="F13">Common_InputFunctions.Utility_DisplayArrayInTable(Fuel_SourceData.Fuel_Scope1Scope3EmissionFactorsTransport_Data(), Table_Fuel_EFs_Transport[[#Headers],[Transport type]], 0)</f>
        <v>39.700000000000003</v>
      </c>
      <c r="G13" s="226" t="str" cm="1">
        <f t="array" ref="G13">Common_InputFunctions.Utility_DisplayArrayInTable(Fuel_SourceData.Fuel_Scope1Scope3EmissionFactorsTransport_Data(), Table_Fuel_EFs_Transport[[#Headers],[Transport type]], 0)</f>
        <v>kl</v>
      </c>
      <c r="H13" s="226" cm="1">
        <f t="array" ref="H13">Common_InputFunctions.Utility_DisplayArrayInTable(Fuel_SourceData.Fuel_Scope1Scope3EmissionFactorsTransport_Data(), Table_Fuel_EFs_Transport[[#Headers],[Transport type]], 0)</f>
        <v>73.599999999999994</v>
      </c>
      <c r="I13" s="226" cm="1">
        <f t="array" ref="I13">Common_InputFunctions.Utility_DisplayArrayInTable(Fuel_SourceData.Fuel_Scope1Scope3EmissionFactorsTransport_Data(), Table_Fuel_EFs_Transport[[#Headers],[Transport type]], 0)</f>
        <v>0.08</v>
      </c>
      <c r="J13" s="226" cm="1">
        <f t="array" ref="J13">Common_InputFunctions.Utility_DisplayArrayInTable(Fuel_SourceData.Fuel_Scope1Scope3EmissionFactorsTransport_Data(), Table_Fuel_EFs_Transport[[#Headers],[Transport type]], 0)</f>
        <v>0.5</v>
      </c>
      <c r="K13" s="226" cm="1">
        <f t="array" ref="K13">Common_InputFunctions.Utility_DisplayArrayInTable(Fuel_SourceData.Fuel_Scope1Scope3EmissionFactorsTransport_Data(), Table_Fuel_EFs_Transport[[#Headers],[Transport type]], 0)</f>
        <v>74.180000000000007</v>
      </c>
      <c r="L13" s="226"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6" t="str" cm="1">
        <f t="array" ref="D14">Common_InputFunctions.Utility_DisplayArrayInTable(Fuel_SourceData.Fuel_Scope1Scope3EmissionFactorsTransport_Data(), Table_Fuel_EFs_Transport[[#Headers],[Transport type]], 0)</f>
        <v>Cars and light commercial vehicles</v>
      </c>
      <c r="E14" s="226" t="str" cm="1">
        <f t="array" ref="E14">Common_InputFunctions.Utility_DisplayArrayInTable(Fuel_SourceData.Fuel_Scope1Scope3EmissionFactorsTransport_Data(), Table_Fuel_EFs_Transport[[#Headers],[Transport type]], 0)</f>
        <v>Ethanol</v>
      </c>
      <c r="F14" s="226" cm="1">
        <f t="array" ref="F14">Common_InputFunctions.Utility_DisplayArrayInTable(Fuel_SourceData.Fuel_Scope1Scope3EmissionFactorsTransport_Data(), Table_Fuel_EFs_Transport[[#Headers],[Transport type]], 0)</f>
        <v>23.4</v>
      </c>
      <c r="G14" s="226" t="str" cm="1">
        <f t="array" ref="G14">Common_InputFunctions.Utility_DisplayArrayInTable(Fuel_SourceData.Fuel_Scope1Scope3EmissionFactorsTransport_Data(), Table_Fuel_EFs_Transport[[#Headers],[Transport type]], 0)</f>
        <v>kl</v>
      </c>
      <c r="H14" s="226" cm="1">
        <f t="array" ref="H14">Common_InputFunctions.Utility_DisplayArrayInTable(Fuel_SourceData.Fuel_Scope1Scope3EmissionFactorsTransport_Data(), Table_Fuel_EFs_Transport[[#Headers],[Transport type]], 0)</f>
        <v>0</v>
      </c>
      <c r="I14" s="226" cm="1">
        <f t="array" ref="I14">Common_InputFunctions.Utility_DisplayArrayInTable(Fuel_SourceData.Fuel_Scope1Scope3EmissionFactorsTransport_Data(), Table_Fuel_EFs_Transport[[#Headers],[Transport type]], 0)</f>
        <v>0.2</v>
      </c>
      <c r="J14" s="226" cm="1">
        <f t="array" ref="J14">Common_InputFunctions.Utility_DisplayArrayInTable(Fuel_SourceData.Fuel_Scope1Scope3EmissionFactorsTransport_Data(), Table_Fuel_EFs_Transport[[#Headers],[Transport type]], 0)</f>
        <v>0.2</v>
      </c>
      <c r="K14" s="226" cm="1">
        <f t="array" ref="K14">Common_InputFunctions.Utility_DisplayArrayInTable(Fuel_SourceData.Fuel_Scope1Scope3EmissionFactorsTransport_Data(), Table_Fuel_EFs_Transport[[#Headers],[Transport type]], 0)</f>
        <v>0.4</v>
      </c>
      <c r="L14" s="226"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6" t="str" cm="1">
        <f t="array" ref="D15">Common_InputFunctions.Utility_DisplayArrayInTable(Fuel_SourceData.Fuel_Scope1Scope3EmissionFactorsTransport_Data(), Table_Fuel_EFs_Transport[[#Headers],[Transport type]], 0)</f>
        <v>Cars and light commercial vehicles</v>
      </c>
      <c r="E15" s="226" t="str" cm="1">
        <f t="array" ref="E15">Common_InputFunctions.Utility_DisplayArrayInTable(Fuel_SourceData.Fuel_Scope1Scope3EmissionFactorsTransport_Data(), Table_Fuel_EFs_Transport[[#Headers],[Transport type]], 0)</f>
        <v>Biodiesel</v>
      </c>
      <c r="F15" s="226" cm="1">
        <f t="array" ref="F15">Common_InputFunctions.Utility_DisplayArrayInTable(Fuel_SourceData.Fuel_Scope1Scope3EmissionFactorsTransport_Data(), Table_Fuel_EFs_Transport[[#Headers],[Transport type]], 0)</f>
        <v>34.6</v>
      </c>
      <c r="G15" s="226" t="str" cm="1">
        <f t="array" ref="G15">Common_InputFunctions.Utility_DisplayArrayInTable(Fuel_SourceData.Fuel_Scope1Scope3EmissionFactorsTransport_Data(), Table_Fuel_EFs_Transport[[#Headers],[Transport type]], 0)</f>
        <v>kl</v>
      </c>
      <c r="H15" s="226" cm="1">
        <f t="array" ref="H15">Common_InputFunctions.Utility_DisplayArrayInTable(Fuel_SourceData.Fuel_Scope1Scope3EmissionFactorsTransport_Data(), Table_Fuel_EFs_Transport[[#Headers],[Transport type]], 0)</f>
        <v>0</v>
      </c>
      <c r="I15" s="226" cm="1">
        <f t="array" ref="I15">Common_InputFunctions.Utility_DisplayArrayInTable(Fuel_SourceData.Fuel_Scope1Scope3EmissionFactorsTransport_Data(), Table_Fuel_EFs_Transport[[#Headers],[Transport type]], 0)</f>
        <v>0.8</v>
      </c>
      <c r="J15" s="226" cm="1">
        <f t="array" ref="J15">Common_InputFunctions.Utility_DisplayArrayInTable(Fuel_SourceData.Fuel_Scope1Scope3EmissionFactorsTransport_Data(), Table_Fuel_EFs_Transport[[#Headers],[Transport type]], 0)</f>
        <v>1.7</v>
      </c>
      <c r="K15" s="226" cm="1">
        <f t="array" ref="K15">Common_InputFunctions.Utility_DisplayArrayInTable(Fuel_SourceData.Fuel_Scope1Scope3EmissionFactorsTransport_Data(), Table_Fuel_EFs_Transport[[#Headers],[Transport type]], 0)</f>
        <v>2.5</v>
      </c>
      <c r="L15" s="226" t="str" cm="1">
        <f t="array" ref="L15">Common_InputFunctions.Utility_DisplayArrayInTable(Fuel_SourceData.Fuel_Scope1Scope3EmissionFactorsTransport_Data(), Table_Fuel_EFs_Transport[[#Headers],[Transport type]], 0)</f>
        <v>NE</v>
      </c>
    </row>
    <row r="16" spans="1:35" ht="20.100000000000001" customHeight="1" x14ac:dyDescent="0.25">
      <c r="D16" s="226" t="str" cm="1">
        <f t="array" ref="D16">Common_InputFunctions.Utility_DisplayArrayInTable(Fuel_SourceData.Fuel_Scope1Scope3EmissionFactorsTransport_Data(), Table_Fuel_EFs_Transport[[#Headers],[Transport type]], 0)</f>
        <v>Cars and light commercial vehicles</v>
      </c>
      <c r="E16" s="226" t="str" cm="1">
        <f t="array" ref="E16">Common_InputFunctions.Utility_DisplayArrayInTable(Fuel_SourceData.Fuel_Scope1Scope3EmissionFactorsTransport_Data(), Table_Fuel_EFs_Transport[[#Headers],[Transport type]], 0)</f>
        <v>Renewable diesel</v>
      </c>
      <c r="F16" s="226" cm="1">
        <f t="array" ref="F16">Common_InputFunctions.Utility_DisplayArrayInTable(Fuel_SourceData.Fuel_Scope1Scope3EmissionFactorsTransport_Data(), Table_Fuel_EFs_Transport[[#Headers],[Transport type]], 0)</f>
        <v>38.6</v>
      </c>
      <c r="G16" s="226" t="str" cm="1">
        <f t="array" ref="G16">Common_InputFunctions.Utility_DisplayArrayInTable(Fuel_SourceData.Fuel_Scope1Scope3EmissionFactorsTransport_Data(), Table_Fuel_EFs_Transport[[#Headers],[Transport type]], 0)</f>
        <v>kl</v>
      </c>
      <c r="H16" s="226" cm="1">
        <f t="array" ref="H16">Common_InputFunctions.Utility_DisplayArrayInTable(Fuel_SourceData.Fuel_Scope1Scope3EmissionFactorsTransport_Data(), Table_Fuel_EFs_Transport[[#Headers],[Transport type]], 0)</f>
        <v>0</v>
      </c>
      <c r="I16" s="226" cm="1">
        <f t="array" ref="I16">Common_InputFunctions.Utility_DisplayArrayInTable(Fuel_SourceData.Fuel_Scope1Scope3EmissionFactorsTransport_Data(), Table_Fuel_EFs_Transport[[#Headers],[Transport type]], 0)</f>
        <v>0.01</v>
      </c>
      <c r="J16" s="226" cm="1">
        <f t="array" ref="J16">Common_InputFunctions.Utility_DisplayArrayInTable(Fuel_SourceData.Fuel_Scope1Scope3EmissionFactorsTransport_Data(), Table_Fuel_EFs_Transport[[#Headers],[Transport type]], 0)</f>
        <v>0.5</v>
      </c>
      <c r="K16" s="226" cm="1">
        <f t="array" ref="K16">Common_InputFunctions.Utility_DisplayArrayInTable(Fuel_SourceData.Fuel_Scope1Scope3EmissionFactorsTransport_Data(), Table_Fuel_EFs_Transport[[#Headers],[Transport type]], 0)</f>
        <v>0.51</v>
      </c>
      <c r="L16" s="226" t="str" cm="1">
        <f t="array" ref="L16">Common_InputFunctions.Utility_DisplayArrayInTable(Fuel_SourceData.Fuel_Scope1Scope3EmissionFactorsTransport_Data(), Table_Fuel_EFs_Transport[[#Headers],[Transport type]], 0)</f>
        <v>NE</v>
      </c>
    </row>
    <row r="17" spans="1:12" ht="20.100000000000001" customHeight="1" x14ac:dyDescent="0.25">
      <c r="D17" s="226" t="str" cm="1">
        <f t="array" ref="D17">Common_InputFunctions.Utility_DisplayArrayInTable(Fuel_SourceData.Fuel_Scope1Scope3EmissionFactorsTransport_Data(), Table_Fuel_EFs_Transport[[#Headers],[Transport type]], 0)</f>
        <v>Cars and light commercial vehicles</v>
      </c>
      <c r="E17" s="226" t="str" cm="1">
        <f t="array" ref="E17">Common_InputFunctions.Utility_DisplayArrayInTable(Fuel_SourceData.Fuel_Scope1Scope3EmissionFactorsTransport_Data(), Table_Fuel_EFs_Transport[[#Headers],[Transport type]], 0)</f>
        <v>Other biofuels</v>
      </c>
      <c r="F17" s="226" cm="1">
        <f t="array" ref="F17">Common_InputFunctions.Utility_DisplayArrayInTable(Fuel_SourceData.Fuel_Scope1Scope3EmissionFactorsTransport_Data(), Table_Fuel_EFs_Transport[[#Headers],[Transport type]], 0)</f>
        <v>23.4</v>
      </c>
      <c r="G17" s="226" t="str" cm="1">
        <f t="array" ref="G17">Common_InputFunctions.Utility_DisplayArrayInTable(Fuel_SourceData.Fuel_Scope1Scope3EmissionFactorsTransport_Data(), Table_Fuel_EFs_Transport[[#Headers],[Transport type]], 0)</f>
        <v>kl</v>
      </c>
      <c r="H17" s="226" cm="1">
        <f t="array" ref="H17">Common_InputFunctions.Utility_DisplayArrayInTable(Fuel_SourceData.Fuel_Scope1Scope3EmissionFactorsTransport_Data(), Table_Fuel_EFs_Transport[[#Headers],[Transport type]], 0)</f>
        <v>0</v>
      </c>
      <c r="I17" s="226" cm="1">
        <f t="array" ref="I17">Common_InputFunctions.Utility_DisplayArrayInTable(Fuel_SourceData.Fuel_Scope1Scope3EmissionFactorsTransport_Data(), Table_Fuel_EFs_Transport[[#Headers],[Transport type]], 0)</f>
        <v>0.8</v>
      </c>
      <c r="J17" s="226" cm="1">
        <f t="array" ref="J17">Common_InputFunctions.Utility_DisplayArrayInTable(Fuel_SourceData.Fuel_Scope1Scope3EmissionFactorsTransport_Data(), Table_Fuel_EFs_Transport[[#Headers],[Transport type]], 0)</f>
        <v>1.7</v>
      </c>
      <c r="K17" s="226" cm="1">
        <f t="array" ref="K17">Common_InputFunctions.Utility_DisplayArrayInTable(Fuel_SourceData.Fuel_Scope1Scope3EmissionFactorsTransport_Data(), Table_Fuel_EFs_Transport[[#Headers],[Transport type]], 0)</f>
        <v>2.5</v>
      </c>
      <c r="L17" s="226"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6" t="str" cm="1">
        <f t="array" ref="D18">Common_InputFunctions.Utility_DisplayArrayInTable(Fuel_SourceData.Fuel_Scope1Scope3EmissionFactorsTransport_Data(), Table_Fuel_EFs_Transport[[#Headers],[Transport type]], 0)</f>
        <v>Light duty vehicles</v>
      </c>
      <c r="E18" s="226" t="str" cm="1">
        <f t="array" ref="E18">Common_InputFunctions.Utility_DisplayArrayInTable(Fuel_SourceData.Fuel_Scope1Scope3EmissionFactorsTransport_Data(), Table_Fuel_EFs_Transport[[#Headers],[Transport type]], 0)</f>
        <v>Compressed natural gas</v>
      </c>
      <c r="F18" s="226" cm="1">
        <f t="array" ref="F18">Common_InputFunctions.Utility_DisplayArrayInTable(Fuel_SourceData.Fuel_Scope1Scope3EmissionFactorsTransport_Data(), Table_Fuel_EFs_Transport[[#Headers],[Transport type]], 0)</f>
        <v>3.9300000000000002E-2</v>
      </c>
      <c r="G18" s="226" t="str" cm="1">
        <f t="array" ref="G18">Common_InputFunctions.Utility_DisplayArrayInTable(Fuel_SourceData.Fuel_Scope1Scope3EmissionFactorsTransport_Data(), Table_Fuel_EFs_Transport[[#Headers],[Transport type]], 0)</f>
        <v>m3</v>
      </c>
      <c r="H18" s="226" cm="1">
        <f t="array" ref="H18">Common_InputFunctions.Utility_DisplayArrayInTable(Fuel_SourceData.Fuel_Scope1Scope3EmissionFactorsTransport_Data(), Table_Fuel_EFs_Transport[[#Headers],[Transport type]], 0)</f>
        <v>51.4</v>
      </c>
      <c r="I18" s="226" cm="1">
        <f t="array" ref="I18">Common_InputFunctions.Utility_DisplayArrayInTable(Fuel_SourceData.Fuel_Scope1Scope3EmissionFactorsTransport_Data(), Table_Fuel_EFs_Transport[[#Headers],[Transport type]], 0)</f>
        <v>7.3</v>
      </c>
      <c r="J18" s="226" cm="1">
        <f t="array" ref="J18">Common_InputFunctions.Utility_DisplayArrayInTable(Fuel_SourceData.Fuel_Scope1Scope3EmissionFactorsTransport_Data(), Table_Fuel_EFs_Transport[[#Headers],[Transport type]], 0)</f>
        <v>0.3</v>
      </c>
      <c r="K18" s="226" cm="1">
        <f t="array" ref="K18">Common_InputFunctions.Utility_DisplayArrayInTable(Fuel_SourceData.Fuel_Scope1Scope3EmissionFactorsTransport_Data(), Table_Fuel_EFs_Transport[[#Headers],[Transport type]], 0)</f>
        <v>59</v>
      </c>
      <c r="L18" s="226"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6" t="str" cm="1">
        <f t="array" ref="D19">Common_InputFunctions.Utility_DisplayArrayInTable(Fuel_SourceData.Fuel_Scope1Scope3EmissionFactorsTransport_Data(), Table_Fuel_EFs_Transport[[#Headers],[Transport type]], 0)</f>
        <v>Light duty vehicles</v>
      </c>
      <c r="E19" s="226" t="str" cm="1">
        <f t="array" ref="E19">Common_InputFunctions.Utility_DisplayArrayInTable(Fuel_SourceData.Fuel_Scope1Scope3EmissionFactorsTransport_Data(), Table_Fuel_EFs_Transport[[#Headers],[Transport type]], 0)</f>
        <v>Liquefied natural gas</v>
      </c>
      <c r="F19" s="226" cm="1">
        <f t="array" ref="F19">Common_InputFunctions.Utility_DisplayArrayInTable(Fuel_SourceData.Fuel_Scope1Scope3EmissionFactorsTransport_Data(), Table_Fuel_EFs_Transport[[#Headers],[Transport type]], 0)</f>
        <v>25.3</v>
      </c>
      <c r="G19" s="226" t="str" cm="1">
        <f t="array" ref="G19">Common_InputFunctions.Utility_DisplayArrayInTable(Fuel_SourceData.Fuel_Scope1Scope3EmissionFactorsTransport_Data(), Table_Fuel_EFs_Transport[[#Headers],[Transport type]], 0)</f>
        <v>kl</v>
      </c>
      <c r="H19" s="226" cm="1">
        <f t="array" ref="H19">Common_InputFunctions.Utility_DisplayArrayInTable(Fuel_SourceData.Fuel_Scope1Scope3EmissionFactorsTransport_Data(), Table_Fuel_EFs_Transport[[#Headers],[Transport type]], 0)</f>
        <v>51.4</v>
      </c>
      <c r="I19" s="226" cm="1">
        <f t="array" ref="I19">Common_InputFunctions.Utility_DisplayArrayInTable(Fuel_SourceData.Fuel_Scope1Scope3EmissionFactorsTransport_Data(), Table_Fuel_EFs_Transport[[#Headers],[Transport type]], 0)</f>
        <v>7.3</v>
      </c>
      <c r="J19" s="226" cm="1">
        <f t="array" ref="J19">Common_InputFunctions.Utility_DisplayArrayInTable(Fuel_SourceData.Fuel_Scope1Scope3EmissionFactorsTransport_Data(), Table_Fuel_EFs_Transport[[#Headers],[Transport type]], 0)</f>
        <v>0.3</v>
      </c>
      <c r="K19" s="226" cm="1">
        <f t="array" ref="K19">Common_InputFunctions.Utility_DisplayArrayInTable(Fuel_SourceData.Fuel_Scope1Scope3EmissionFactorsTransport_Data(), Table_Fuel_EFs_Transport[[#Headers],[Transport type]], 0)</f>
        <v>59</v>
      </c>
      <c r="L19" s="226"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6" t="str" cm="1">
        <f t="array" ref="D20">Common_InputFunctions.Utility_DisplayArrayInTable(Fuel_SourceData.Fuel_Scope1Scope3EmissionFactorsTransport_Data(), Table_Fuel_EFs_Transport[[#Headers],[Transport type]], 0)</f>
        <v>Heavy duty vehicles</v>
      </c>
      <c r="E20" s="226" t="str" cm="1">
        <f t="array" ref="E20">Common_InputFunctions.Utility_DisplayArrayInTable(Fuel_SourceData.Fuel_Scope1Scope3EmissionFactorsTransport_Data(), Table_Fuel_EFs_Transport[[#Headers],[Transport type]], 0)</f>
        <v>Compressed natural gas</v>
      </c>
      <c r="F20" s="226" cm="1">
        <f t="array" ref="F20">Common_InputFunctions.Utility_DisplayArrayInTable(Fuel_SourceData.Fuel_Scope1Scope3EmissionFactorsTransport_Data(), Table_Fuel_EFs_Transport[[#Headers],[Transport type]], 0)</f>
        <v>3.9300000000000002E-2</v>
      </c>
      <c r="G20" s="226" t="str" cm="1">
        <f t="array" ref="G20">Common_InputFunctions.Utility_DisplayArrayInTable(Fuel_SourceData.Fuel_Scope1Scope3EmissionFactorsTransport_Data(), Table_Fuel_EFs_Transport[[#Headers],[Transport type]], 0)</f>
        <v>m3</v>
      </c>
      <c r="H20" s="226" cm="1">
        <f t="array" ref="H20">Common_InputFunctions.Utility_DisplayArrayInTable(Fuel_SourceData.Fuel_Scope1Scope3EmissionFactorsTransport_Data(), Table_Fuel_EFs_Transport[[#Headers],[Transport type]], 0)</f>
        <v>51.4</v>
      </c>
      <c r="I20" s="226" cm="1">
        <f t="array" ref="I20">Common_InputFunctions.Utility_DisplayArrayInTable(Fuel_SourceData.Fuel_Scope1Scope3EmissionFactorsTransport_Data(), Table_Fuel_EFs_Transport[[#Headers],[Transport type]], 0)</f>
        <v>2.8</v>
      </c>
      <c r="J20" s="226" cm="1">
        <f t="array" ref="J20">Common_InputFunctions.Utility_DisplayArrayInTable(Fuel_SourceData.Fuel_Scope1Scope3EmissionFactorsTransport_Data(), Table_Fuel_EFs_Transport[[#Headers],[Transport type]], 0)</f>
        <v>0.3</v>
      </c>
      <c r="K20" s="226" cm="1">
        <f t="array" ref="K20">Common_InputFunctions.Utility_DisplayArrayInTable(Fuel_SourceData.Fuel_Scope1Scope3EmissionFactorsTransport_Data(), Table_Fuel_EFs_Transport[[#Headers],[Transport type]], 0)</f>
        <v>54.5</v>
      </c>
      <c r="L20" s="226"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6" t="str" cm="1">
        <f t="array" ref="D21">Common_InputFunctions.Utility_DisplayArrayInTable(Fuel_SourceData.Fuel_Scope1Scope3EmissionFactorsTransport_Data(), Table_Fuel_EFs_Transport[[#Headers],[Transport type]], 0)</f>
        <v>Heavy duty vehicles</v>
      </c>
      <c r="E21" s="226" t="str" cm="1">
        <f t="array" ref="E21">Common_InputFunctions.Utility_DisplayArrayInTable(Fuel_SourceData.Fuel_Scope1Scope3EmissionFactorsTransport_Data(), Table_Fuel_EFs_Transport[[#Headers],[Transport type]], 0)</f>
        <v>Liquefied natural gas</v>
      </c>
      <c r="F21" s="226" cm="1">
        <f t="array" ref="F21">Common_InputFunctions.Utility_DisplayArrayInTable(Fuel_SourceData.Fuel_Scope1Scope3EmissionFactorsTransport_Data(), Table_Fuel_EFs_Transport[[#Headers],[Transport type]], 0)</f>
        <v>25.3</v>
      </c>
      <c r="G21" s="226" t="str" cm="1">
        <f t="array" ref="G21">Common_InputFunctions.Utility_DisplayArrayInTable(Fuel_SourceData.Fuel_Scope1Scope3EmissionFactorsTransport_Data(), Table_Fuel_EFs_Transport[[#Headers],[Transport type]], 0)</f>
        <v>kl</v>
      </c>
      <c r="H21" s="226" cm="1">
        <f t="array" ref="H21">Common_InputFunctions.Utility_DisplayArrayInTable(Fuel_SourceData.Fuel_Scope1Scope3EmissionFactorsTransport_Data(), Table_Fuel_EFs_Transport[[#Headers],[Transport type]], 0)</f>
        <v>51.4</v>
      </c>
      <c r="I21" s="226" cm="1">
        <f t="array" ref="I21">Common_InputFunctions.Utility_DisplayArrayInTable(Fuel_SourceData.Fuel_Scope1Scope3EmissionFactorsTransport_Data(), Table_Fuel_EFs_Transport[[#Headers],[Transport type]], 0)</f>
        <v>2.8</v>
      </c>
      <c r="J21" s="226" cm="1">
        <f t="array" ref="J21">Common_InputFunctions.Utility_DisplayArrayInTable(Fuel_SourceData.Fuel_Scope1Scope3EmissionFactorsTransport_Data(), Table_Fuel_EFs_Transport[[#Headers],[Transport type]], 0)</f>
        <v>0.3</v>
      </c>
      <c r="K21" s="226" cm="1">
        <f t="array" ref="K21">Common_InputFunctions.Utility_DisplayArrayInTable(Fuel_SourceData.Fuel_Scope1Scope3EmissionFactorsTransport_Data(), Table_Fuel_EFs_Transport[[#Headers],[Transport type]], 0)</f>
        <v>54.5</v>
      </c>
      <c r="L21" s="226"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6" t="str" cm="1">
        <f t="array" ref="D22">Common_InputFunctions.Utility_DisplayArrayInTable(Fuel_SourceData.Fuel_Scope1Scope3EmissionFactorsTransport_Data(), Table_Fuel_EFs_Transport[[#Headers],[Transport type]], 0)</f>
        <v>Heavy duty vehicles</v>
      </c>
      <c r="E22" s="226" t="str" cm="1">
        <f t="array" ref="E22">Common_InputFunctions.Utility_DisplayArrayInTable(Fuel_SourceData.Fuel_Scope1Scope3EmissionFactorsTransport_Data(), Table_Fuel_EFs_Transport[[#Headers],[Transport type]], 0)</f>
        <v>Diesel oil - Euro iv or higher</v>
      </c>
      <c r="F22" s="226" cm="1">
        <f t="array" ref="F22">Common_InputFunctions.Utility_DisplayArrayInTable(Fuel_SourceData.Fuel_Scope1Scope3EmissionFactorsTransport_Data(), Table_Fuel_EFs_Transport[[#Headers],[Transport type]], 0)</f>
        <v>38.6</v>
      </c>
      <c r="G22" s="226" t="str" cm="1">
        <f t="array" ref="G22">Common_InputFunctions.Utility_DisplayArrayInTable(Fuel_SourceData.Fuel_Scope1Scope3EmissionFactorsTransport_Data(), Table_Fuel_EFs_Transport[[#Headers],[Transport type]], 0)</f>
        <v>kl</v>
      </c>
      <c r="H22" s="226" cm="1">
        <f t="array" ref="H22">Common_InputFunctions.Utility_DisplayArrayInTable(Fuel_SourceData.Fuel_Scope1Scope3EmissionFactorsTransport_Data(), Table_Fuel_EFs_Transport[[#Headers],[Transport type]], 0)</f>
        <v>69.900000000000006</v>
      </c>
      <c r="I22" s="226" cm="1">
        <f t="array" ref="I22">Common_InputFunctions.Utility_DisplayArrayInTable(Fuel_SourceData.Fuel_Scope1Scope3EmissionFactorsTransport_Data(), Table_Fuel_EFs_Transport[[#Headers],[Transport type]], 0)</f>
        <v>7.0000000000000007E-2</v>
      </c>
      <c r="J22" s="226" cm="1">
        <f t="array" ref="J22">Common_InputFunctions.Utility_DisplayArrayInTable(Fuel_SourceData.Fuel_Scope1Scope3EmissionFactorsTransport_Data(), Table_Fuel_EFs_Transport[[#Headers],[Transport type]], 0)</f>
        <v>0.4</v>
      </c>
      <c r="K22" s="226" cm="1">
        <f t="array" ref="K22">Common_InputFunctions.Utility_DisplayArrayInTable(Fuel_SourceData.Fuel_Scope1Scope3EmissionFactorsTransport_Data(), Table_Fuel_EFs_Transport[[#Headers],[Transport type]], 0)</f>
        <v>70.37</v>
      </c>
      <c r="L22" s="226"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6" t="str" cm="1">
        <f t="array" ref="D23">Common_InputFunctions.Utility_DisplayArrayInTable(Fuel_SourceData.Fuel_Scope1Scope3EmissionFactorsTransport_Data(), Table_Fuel_EFs_Transport[[#Headers],[Transport type]], 0)</f>
        <v>Heavy duty vehicles</v>
      </c>
      <c r="E23" s="226" t="str" cm="1">
        <f t="array" ref="E23">Common_InputFunctions.Utility_DisplayArrayInTable(Fuel_SourceData.Fuel_Scope1Scope3EmissionFactorsTransport_Data(), Table_Fuel_EFs_Transport[[#Headers],[Transport type]], 0)</f>
        <v>Diesel oil - Euro iii</v>
      </c>
      <c r="F23" s="226" cm="1">
        <f t="array" ref="F23">Common_InputFunctions.Utility_DisplayArrayInTable(Fuel_SourceData.Fuel_Scope1Scope3EmissionFactorsTransport_Data(), Table_Fuel_EFs_Transport[[#Headers],[Transport type]], 0)</f>
        <v>38.6</v>
      </c>
      <c r="G23" s="226" t="str" cm="1">
        <f t="array" ref="G23">Common_InputFunctions.Utility_DisplayArrayInTable(Fuel_SourceData.Fuel_Scope1Scope3EmissionFactorsTransport_Data(), Table_Fuel_EFs_Transport[[#Headers],[Transport type]], 0)</f>
        <v>kl</v>
      </c>
      <c r="H23" s="226" cm="1">
        <f t="array" ref="H23">Common_InputFunctions.Utility_DisplayArrayInTable(Fuel_SourceData.Fuel_Scope1Scope3EmissionFactorsTransport_Data(), Table_Fuel_EFs_Transport[[#Headers],[Transport type]], 0)</f>
        <v>69.900000000000006</v>
      </c>
      <c r="I23" s="226" cm="1">
        <f t="array" ref="I23">Common_InputFunctions.Utility_DisplayArrayInTable(Fuel_SourceData.Fuel_Scope1Scope3EmissionFactorsTransport_Data(), Table_Fuel_EFs_Transport[[#Headers],[Transport type]], 0)</f>
        <v>0.1</v>
      </c>
      <c r="J23" s="226" cm="1">
        <f t="array" ref="J23">Common_InputFunctions.Utility_DisplayArrayInTable(Fuel_SourceData.Fuel_Scope1Scope3EmissionFactorsTransport_Data(), Table_Fuel_EFs_Transport[[#Headers],[Transport type]], 0)</f>
        <v>0.4</v>
      </c>
      <c r="K23" s="226" cm="1">
        <f t="array" ref="K23">Common_InputFunctions.Utility_DisplayArrayInTable(Fuel_SourceData.Fuel_Scope1Scope3EmissionFactorsTransport_Data(), Table_Fuel_EFs_Transport[[#Headers],[Transport type]], 0)</f>
        <v>70.400000000000006</v>
      </c>
      <c r="L23" s="226"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6" t="str" cm="1">
        <f t="array" ref="D24">Common_InputFunctions.Utility_DisplayArrayInTable(Fuel_SourceData.Fuel_Scope1Scope3EmissionFactorsTransport_Data(), Table_Fuel_EFs_Transport[[#Headers],[Transport type]], 0)</f>
        <v>Heavy duty vehicles</v>
      </c>
      <c r="E24" s="226" t="str" cm="1">
        <f t="array" ref="E24">Common_InputFunctions.Utility_DisplayArrayInTable(Fuel_SourceData.Fuel_Scope1Scope3EmissionFactorsTransport_Data(), Table_Fuel_EFs_Transport[[#Headers],[Transport type]], 0)</f>
        <v>Diesel oil - Euro i</v>
      </c>
      <c r="F24" s="226" cm="1">
        <f t="array" ref="F24">Common_InputFunctions.Utility_DisplayArrayInTable(Fuel_SourceData.Fuel_Scope1Scope3EmissionFactorsTransport_Data(), Table_Fuel_EFs_Transport[[#Headers],[Transport type]], 0)</f>
        <v>38.6</v>
      </c>
      <c r="G24" s="226" t="str" cm="1">
        <f t="array" ref="G24">Common_InputFunctions.Utility_DisplayArrayInTable(Fuel_SourceData.Fuel_Scope1Scope3EmissionFactorsTransport_Data(), Table_Fuel_EFs_Transport[[#Headers],[Transport type]], 0)</f>
        <v>kl</v>
      </c>
      <c r="H24" s="226" cm="1">
        <f t="array" ref="H24">Common_InputFunctions.Utility_DisplayArrayInTable(Fuel_SourceData.Fuel_Scope1Scope3EmissionFactorsTransport_Data(), Table_Fuel_EFs_Transport[[#Headers],[Transport type]], 0)</f>
        <v>69.900000000000006</v>
      </c>
      <c r="I24" s="226" cm="1">
        <f t="array" ref="I24">Common_InputFunctions.Utility_DisplayArrayInTable(Fuel_SourceData.Fuel_Scope1Scope3EmissionFactorsTransport_Data(), Table_Fuel_EFs_Transport[[#Headers],[Transport type]], 0)</f>
        <v>0.2</v>
      </c>
      <c r="J24" s="226" cm="1">
        <f t="array" ref="J24">Common_InputFunctions.Utility_DisplayArrayInTable(Fuel_SourceData.Fuel_Scope1Scope3EmissionFactorsTransport_Data(), Table_Fuel_EFs_Transport[[#Headers],[Transport type]], 0)</f>
        <v>0.4</v>
      </c>
      <c r="K24" s="226" cm="1">
        <f t="array" ref="K24">Common_InputFunctions.Utility_DisplayArrayInTable(Fuel_SourceData.Fuel_Scope1Scope3EmissionFactorsTransport_Data(), Table_Fuel_EFs_Transport[[#Headers],[Transport type]], 0)</f>
        <v>70.5</v>
      </c>
      <c r="L24" s="226"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6" t="str" cm="1">
        <f t="array" ref="D25">Common_InputFunctions.Utility_DisplayArrayInTable(Fuel_SourceData.Fuel_Scope1Scope3EmissionFactorsTransport_Data(), Table_Fuel_EFs_Transport[[#Headers],[Transport type]], 0)</f>
        <v>Heavy duty vehicles</v>
      </c>
      <c r="E25" s="226" t="str" cm="1">
        <f t="array" ref="E25">Common_InputFunctions.Utility_DisplayArrayInTable(Fuel_SourceData.Fuel_Scope1Scope3EmissionFactorsTransport_Data(), Table_Fuel_EFs_Transport[[#Headers],[Transport type]], 0)</f>
        <v>Renewable diesel – Euro iv or higher</v>
      </c>
      <c r="F25" s="226" cm="1">
        <f t="array" ref="F25">Common_InputFunctions.Utility_DisplayArrayInTable(Fuel_SourceData.Fuel_Scope1Scope3EmissionFactorsTransport_Data(), Table_Fuel_EFs_Transport[[#Headers],[Transport type]], 0)</f>
        <v>38.6</v>
      </c>
      <c r="G25" s="226" t="str" cm="1">
        <f t="array" ref="G25">Common_InputFunctions.Utility_DisplayArrayInTable(Fuel_SourceData.Fuel_Scope1Scope3EmissionFactorsTransport_Data(), Table_Fuel_EFs_Transport[[#Headers],[Transport type]], 0)</f>
        <v>kl</v>
      </c>
      <c r="H25" s="226" cm="1">
        <f t="array" ref="H25">Common_InputFunctions.Utility_DisplayArrayInTable(Fuel_SourceData.Fuel_Scope1Scope3EmissionFactorsTransport_Data(), Table_Fuel_EFs_Transport[[#Headers],[Transport type]], 0)</f>
        <v>0</v>
      </c>
      <c r="I25" s="226" cm="1">
        <f t="array" ref="I25">Common_InputFunctions.Utility_DisplayArrayInTable(Fuel_SourceData.Fuel_Scope1Scope3EmissionFactorsTransport_Data(), Table_Fuel_EFs_Transport[[#Headers],[Transport type]], 0)</f>
        <v>7.0000000000000007E-2</v>
      </c>
      <c r="J25" s="226" cm="1">
        <f t="array" ref="J25">Common_InputFunctions.Utility_DisplayArrayInTable(Fuel_SourceData.Fuel_Scope1Scope3EmissionFactorsTransport_Data(), Table_Fuel_EFs_Transport[[#Headers],[Transport type]], 0)</f>
        <v>0.4</v>
      </c>
      <c r="K25" s="226" cm="1">
        <f t="array" ref="K25">Common_InputFunctions.Utility_DisplayArrayInTable(Fuel_SourceData.Fuel_Scope1Scope3EmissionFactorsTransport_Data(), Table_Fuel_EFs_Transport[[#Headers],[Transport type]], 0)</f>
        <v>0.47</v>
      </c>
      <c r="L25" s="226"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6" t="str" cm="1">
        <f t="array" ref="D26">Common_InputFunctions.Utility_DisplayArrayInTable(Fuel_SourceData.Fuel_Scope1Scope3EmissionFactorsTransport_Data(), Table_Fuel_EFs_Transport[[#Headers],[Transport type]], 0)</f>
        <v>Heavy duty vehicles</v>
      </c>
      <c r="E26" s="226" t="str" cm="1">
        <f t="array" ref="E26">Common_InputFunctions.Utility_DisplayArrayInTable(Fuel_SourceData.Fuel_Scope1Scope3EmissionFactorsTransport_Data(), Table_Fuel_EFs_Transport[[#Headers],[Transport type]], 0)</f>
        <v>Renewable diesel – Euro iii</v>
      </c>
      <c r="F26" s="226" cm="1">
        <f t="array" ref="F26">Common_InputFunctions.Utility_DisplayArrayInTable(Fuel_SourceData.Fuel_Scope1Scope3EmissionFactorsTransport_Data(), Table_Fuel_EFs_Transport[[#Headers],[Transport type]], 0)</f>
        <v>38.6</v>
      </c>
      <c r="G26" s="226" t="str" cm="1">
        <f t="array" ref="G26">Common_InputFunctions.Utility_DisplayArrayInTable(Fuel_SourceData.Fuel_Scope1Scope3EmissionFactorsTransport_Data(), Table_Fuel_EFs_Transport[[#Headers],[Transport type]], 0)</f>
        <v>kl</v>
      </c>
      <c r="H26" s="226" cm="1">
        <f t="array" ref="H26">Common_InputFunctions.Utility_DisplayArrayInTable(Fuel_SourceData.Fuel_Scope1Scope3EmissionFactorsTransport_Data(), Table_Fuel_EFs_Transport[[#Headers],[Transport type]], 0)</f>
        <v>0</v>
      </c>
      <c r="I26" s="226" cm="1">
        <f t="array" ref="I26">Common_InputFunctions.Utility_DisplayArrayInTable(Fuel_SourceData.Fuel_Scope1Scope3EmissionFactorsTransport_Data(), Table_Fuel_EFs_Transport[[#Headers],[Transport type]], 0)</f>
        <v>0.1</v>
      </c>
      <c r="J26" s="226" cm="1">
        <f t="array" ref="J26">Common_InputFunctions.Utility_DisplayArrayInTable(Fuel_SourceData.Fuel_Scope1Scope3EmissionFactorsTransport_Data(), Table_Fuel_EFs_Transport[[#Headers],[Transport type]], 0)</f>
        <v>0.4</v>
      </c>
      <c r="K26" s="226" cm="1">
        <f t="array" ref="K26">Common_InputFunctions.Utility_DisplayArrayInTable(Fuel_SourceData.Fuel_Scope1Scope3EmissionFactorsTransport_Data(), Table_Fuel_EFs_Transport[[#Headers],[Transport type]], 0)</f>
        <v>0.5</v>
      </c>
      <c r="L26" s="226"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6" t="str" cm="1">
        <f t="array" ref="D27">Common_InputFunctions.Utility_DisplayArrayInTable(Fuel_SourceData.Fuel_Scope1Scope3EmissionFactorsTransport_Data(), Table_Fuel_EFs_Transport[[#Headers],[Transport type]], 0)</f>
        <v>Heavy duty vehicles</v>
      </c>
      <c r="E27" s="226" t="str" cm="1">
        <f t="array" ref="E27">Common_InputFunctions.Utility_DisplayArrayInTable(Fuel_SourceData.Fuel_Scope1Scope3EmissionFactorsTransport_Data(), Table_Fuel_EFs_Transport[[#Headers],[Transport type]], 0)</f>
        <v>Renewable diesel – Euro i</v>
      </c>
      <c r="F27" s="226" cm="1">
        <f t="array" ref="F27">Common_InputFunctions.Utility_DisplayArrayInTable(Fuel_SourceData.Fuel_Scope1Scope3EmissionFactorsTransport_Data(), Table_Fuel_EFs_Transport[[#Headers],[Transport type]], 0)</f>
        <v>38.6</v>
      </c>
      <c r="G27" s="226" t="str" cm="1">
        <f t="array" ref="G27">Common_InputFunctions.Utility_DisplayArrayInTable(Fuel_SourceData.Fuel_Scope1Scope3EmissionFactorsTransport_Data(), Table_Fuel_EFs_Transport[[#Headers],[Transport type]], 0)</f>
        <v>kl</v>
      </c>
      <c r="H27" s="226" cm="1">
        <f t="array" ref="H27">Common_InputFunctions.Utility_DisplayArrayInTable(Fuel_SourceData.Fuel_Scope1Scope3EmissionFactorsTransport_Data(), Table_Fuel_EFs_Transport[[#Headers],[Transport type]], 0)</f>
        <v>0</v>
      </c>
      <c r="I27" s="226" cm="1">
        <f t="array" ref="I27">Common_InputFunctions.Utility_DisplayArrayInTable(Fuel_SourceData.Fuel_Scope1Scope3EmissionFactorsTransport_Data(), Table_Fuel_EFs_Transport[[#Headers],[Transport type]], 0)</f>
        <v>0.2</v>
      </c>
      <c r="J27" s="226" cm="1">
        <f t="array" ref="J27">Common_InputFunctions.Utility_DisplayArrayInTable(Fuel_SourceData.Fuel_Scope1Scope3EmissionFactorsTransport_Data(), Table_Fuel_EFs_Transport[[#Headers],[Transport type]], 0)</f>
        <v>0.4</v>
      </c>
      <c r="K27" s="226" cm="1">
        <f t="array" ref="K27">Common_InputFunctions.Utility_DisplayArrayInTable(Fuel_SourceData.Fuel_Scope1Scope3EmissionFactorsTransport_Data(), Table_Fuel_EFs_Transport[[#Headers],[Transport type]], 0)</f>
        <v>0.6</v>
      </c>
      <c r="L27" s="226"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6" t="str" cm="1">
        <f t="array" ref="D28">Common_InputFunctions.Utility_DisplayArrayInTable(Fuel_SourceData.Fuel_Scope1Scope3EmissionFactorsTransport_Data(), Table_Fuel_EFs_Transport[[#Headers],[Transport type]], 0)</f>
        <v>Aviation</v>
      </c>
      <c r="E28" s="226" t="str" cm="1">
        <f t="array" ref="E28">Common_InputFunctions.Utility_DisplayArrayInTable(Fuel_SourceData.Fuel_Scope1Scope3EmissionFactorsTransport_Data(), Table_Fuel_EFs_Transport[[#Headers],[Transport type]], 0)</f>
        <v>Gasoline for use as fuel in an aircraft</v>
      </c>
      <c r="F28" s="226" cm="1">
        <f t="array" ref="F28">Common_InputFunctions.Utility_DisplayArrayInTable(Fuel_SourceData.Fuel_Scope1Scope3EmissionFactorsTransport_Data(), Table_Fuel_EFs_Transport[[#Headers],[Transport type]], 0)</f>
        <v>33.1</v>
      </c>
      <c r="G28" s="226" t="str" cm="1">
        <f t="array" ref="G28">Common_InputFunctions.Utility_DisplayArrayInTable(Fuel_SourceData.Fuel_Scope1Scope3EmissionFactorsTransport_Data(), Table_Fuel_EFs_Transport[[#Headers],[Transport type]], 0)</f>
        <v>kl</v>
      </c>
      <c r="H28" s="226" cm="1">
        <f t="array" ref="H28">Common_InputFunctions.Utility_DisplayArrayInTable(Fuel_SourceData.Fuel_Scope1Scope3EmissionFactorsTransport_Data(), Table_Fuel_EFs_Transport[[#Headers],[Transport type]], 0)</f>
        <v>67</v>
      </c>
      <c r="I28" s="226" cm="1">
        <f t="array" ref="I28">Common_InputFunctions.Utility_DisplayArrayInTable(Fuel_SourceData.Fuel_Scope1Scope3EmissionFactorsTransport_Data(), Table_Fuel_EFs_Transport[[#Headers],[Transport type]], 0)</f>
        <v>0.06</v>
      </c>
      <c r="J28" s="226" cm="1">
        <f t="array" ref="J28">Common_InputFunctions.Utility_DisplayArrayInTable(Fuel_SourceData.Fuel_Scope1Scope3EmissionFactorsTransport_Data(), Table_Fuel_EFs_Transport[[#Headers],[Transport type]], 0)</f>
        <v>0.6</v>
      </c>
      <c r="K28" s="226" cm="1">
        <f t="array" ref="K28">Common_InputFunctions.Utility_DisplayArrayInTable(Fuel_SourceData.Fuel_Scope1Scope3EmissionFactorsTransport_Data(), Table_Fuel_EFs_Transport[[#Headers],[Transport type]], 0)</f>
        <v>67.66</v>
      </c>
      <c r="L28" s="226"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6" t="str" cm="1">
        <f t="array" ref="D29">Common_InputFunctions.Utility_DisplayArrayInTable(Fuel_SourceData.Fuel_Scope1Scope3EmissionFactorsTransport_Data(), Table_Fuel_EFs_Transport[[#Headers],[Transport type]], 0)</f>
        <v>Aviation</v>
      </c>
      <c r="E29" s="226" t="str" cm="1">
        <f t="array" ref="E29">Common_InputFunctions.Utility_DisplayArrayInTable(Fuel_SourceData.Fuel_Scope1Scope3EmissionFactorsTransport_Data(), Table_Fuel_EFs_Transport[[#Headers],[Transport type]], 0)</f>
        <v>Kerosene for use as fuel in an aircraft</v>
      </c>
      <c r="F29" s="226" cm="1">
        <f t="array" ref="F29">Common_InputFunctions.Utility_DisplayArrayInTable(Fuel_SourceData.Fuel_Scope1Scope3EmissionFactorsTransport_Data(), Table_Fuel_EFs_Transport[[#Headers],[Transport type]], 0)</f>
        <v>36.799999999999997</v>
      </c>
      <c r="G29" s="226" t="str" cm="1">
        <f t="array" ref="G29">Common_InputFunctions.Utility_DisplayArrayInTable(Fuel_SourceData.Fuel_Scope1Scope3EmissionFactorsTransport_Data(), Table_Fuel_EFs_Transport[[#Headers],[Transport type]], 0)</f>
        <v>kl</v>
      </c>
      <c r="H29" s="226" cm="1">
        <f t="array" ref="H29">Common_InputFunctions.Utility_DisplayArrayInTable(Fuel_SourceData.Fuel_Scope1Scope3EmissionFactorsTransport_Data(), Table_Fuel_EFs_Transport[[#Headers],[Transport type]], 0)</f>
        <v>69.599999999999994</v>
      </c>
      <c r="I29" s="226" cm="1">
        <f t="array" ref="I29">Common_InputFunctions.Utility_DisplayArrayInTable(Fuel_SourceData.Fuel_Scope1Scope3EmissionFactorsTransport_Data(), Table_Fuel_EFs_Transport[[#Headers],[Transport type]], 0)</f>
        <v>0.01</v>
      </c>
      <c r="J29" s="226" cm="1">
        <f t="array" ref="J29">Common_InputFunctions.Utility_DisplayArrayInTable(Fuel_SourceData.Fuel_Scope1Scope3EmissionFactorsTransport_Data(), Table_Fuel_EFs_Transport[[#Headers],[Transport type]], 0)</f>
        <v>0.6</v>
      </c>
      <c r="K29" s="226" cm="1">
        <f t="array" ref="K29">Common_InputFunctions.Utility_DisplayArrayInTable(Fuel_SourceData.Fuel_Scope1Scope3EmissionFactorsTransport_Data(), Table_Fuel_EFs_Transport[[#Headers],[Transport type]], 0)</f>
        <v>70.209999999999994</v>
      </c>
      <c r="L29" s="226"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6" t="str" cm="1">
        <f t="array" ref="D30">Common_InputFunctions.Utility_DisplayArrayInTable(Fuel_SourceData.Fuel_Scope1Scope3EmissionFactorsTransport_Data(), Table_Fuel_EFs_Transport[[#Headers],[Transport type]], 0)</f>
        <v>Aviation</v>
      </c>
      <c r="E30" s="226" t="str" cm="1">
        <f t="array" ref="E30">Common_InputFunctions.Utility_DisplayArrayInTable(Fuel_SourceData.Fuel_Scope1Scope3EmissionFactorsTransport_Data(), Table_Fuel_EFs_Transport[[#Headers],[Transport type]], 0)</f>
        <v>Renewable aviation kerosene</v>
      </c>
      <c r="F30" s="226" cm="1">
        <f t="array" ref="F30">Common_InputFunctions.Utility_DisplayArrayInTable(Fuel_SourceData.Fuel_Scope1Scope3EmissionFactorsTransport_Data(), Table_Fuel_EFs_Transport[[#Headers],[Transport type]], 0)</f>
        <v>36.799999999999997</v>
      </c>
      <c r="G30" s="226" t="str" cm="1">
        <f t="array" ref="G30">Common_InputFunctions.Utility_DisplayArrayInTable(Fuel_SourceData.Fuel_Scope1Scope3EmissionFactorsTransport_Data(), Table_Fuel_EFs_Transport[[#Headers],[Transport type]], 0)</f>
        <v>kl</v>
      </c>
      <c r="H30" s="226" cm="1">
        <f t="array" ref="H30">Common_InputFunctions.Utility_DisplayArrayInTable(Fuel_SourceData.Fuel_Scope1Scope3EmissionFactorsTransport_Data(), Table_Fuel_EFs_Transport[[#Headers],[Transport type]], 0)</f>
        <v>0</v>
      </c>
      <c r="I30" s="226" cm="1">
        <f t="array" ref="I30">Common_InputFunctions.Utility_DisplayArrayInTable(Fuel_SourceData.Fuel_Scope1Scope3EmissionFactorsTransport_Data(), Table_Fuel_EFs_Transport[[#Headers],[Transport type]], 0)</f>
        <v>0.01</v>
      </c>
      <c r="J30" s="226" cm="1">
        <f t="array" ref="J30">Common_InputFunctions.Utility_DisplayArrayInTable(Fuel_SourceData.Fuel_Scope1Scope3EmissionFactorsTransport_Data(), Table_Fuel_EFs_Transport[[#Headers],[Transport type]], 0)</f>
        <v>0.6</v>
      </c>
      <c r="K30" s="226" cm="1">
        <f t="array" ref="K30">Common_InputFunctions.Utility_DisplayArrayInTable(Fuel_SourceData.Fuel_Scope1Scope3EmissionFactorsTransport_Data(), Table_Fuel_EFs_Transport[[#Headers],[Transport type]], 0)</f>
        <v>0.61</v>
      </c>
      <c r="L30" s="226"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6" t="str" cm="1">
        <f t="array" ref="D31">Common_InputFunctions.Utility_DisplayArrayInTable(Fuel_SourceData.Fuel_Scope1Scope3EmissionFactorsTransport_Data(), Table_Fuel_EFs_Transport[[#Headers],[Transport type]], 0)</f>
        <v>Vessels</v>
      </c>
      <c r="E31" s="226" t="str" cm="1">
        <f t="array" ref="E31">Common_InputFunctions.Utility_DisplayArrayInTable(Fuel_SourceData.Fuel_Scope1Scope3EmissionFactorsTransport_Data(), Table_Fuel_EFs_Transport[[#Headers],[Transport type]], 0)</f>
        <v>Gasoline</v>
      </c>
      <c r="F31" s="226" cm="1">
        <f t="array" ref="F31">Common_InputFunctions.Utility_DisplayArrayInTable(Fuel_SourceData.Fuel_Scope1Scope3EmissionFactorsTransport_Data(), Table_Fuel_EFs_Transport[[#Headers],[Transport type]], 0)</f>
        <v>34.200000000000003</v>
      </c>
      <c r="G31" s="226" t="str" cm="1">
        <f t="array" ref="G31">Common_InputFunctions.Utility_DisplayArrayInTable(Fuel_SourceData.Fuel_Scope1Scope3EmissionFactorsTransport_Data(), Table_Fuel_EFs_Transport[[#Headers],[Transport type]], 0)</f>
        <v>kL</v>
      </c>
      <c r="H31" s="226" cm="1">
        <f t="array" ref="H31">Common_InputFunctions.Utility_DisplayArrayInTable(Fuel_SourceData.Fuel_Scope1Scope3EmissionFactorsTransport_Data(), Table_Fuel_EFs_Transport[[#Headers],[Transport type]], 0)</f>
        <v>67.400000000000006</v>
      </c>
      <c r="I31" s="226" cm="1">
        <f t="array" ref="I31">Common_InputFunctions.Utility_DisplayArrayInTable(Fuel_SourceData.Fuel_Scope1Scope3EmissionFactorsTransport_Data(), Table_Fuel_EFs_Transport[[#Headers],[Transport type]], 0)</f>
        <v>10.1</v>
      </c>
      <c r="J31" s="226" cm="1">
        <f t="array" ref="J31">Common_InputFunctions.Utility_DisplayArrayInTable(Fuel_SourceData.Fuel_Scope1Scope3EmissionFactorsTransport_Data(), Table_Fuel_EFs_Transport[[#Headers],[Transport type]], 0)</f>
        <v>0.3</v>
      </c>
      <c r="K31" s="226" t="str" cm="1">
        <f t="array" ref="K31">Common_InputFunctions.Utility_DisplayArrayInTable(Fuel_SourceData.Fuel_Scope1Scope3EmissionFactorsTransport_Data(), Table_Fuel_EFs_Transport[[#Headers],[Transport type]], 0)</f>
        <v/>
      </c>
      <c r="L31" s="226"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7" t="str" cm="1">
        <f t="array" ref="D32">Common_InputFunctions.Utility_DisplayArrayInTable(Fuel_SourceData.Fuel_Scope1Scope3EmissionFactorsTransport_Data(), Table_Fuel_EFs_Transport[[#Headers],[Transport type]], 0)</f>
        <v>Vessels</v>
      </c>
      <c r="E32" s="227" t="str" cm="1">
        <f t="array" ref="E32">Common_InputFunctions.Utility_DisplayArrayInTable(Fuel_SourceData.Fuel_Scope1Scope3EmissionFactorsTransport_Data(), Table_Fuel_EFs_Transport[[#Headers],[Transport type]], 0)</f>
        <v>Diesel oil</v>
      </c>
      <c r="F32" s="227" cm="1">
        <f t="array" ref="F32">Common_InputFunctions.Utility_DisplayArrayInTable(Fuel_SourceData.Fuel_Scope1Scope3EmissionFactorsTransport_Data(), Table_Fuel_EFs_Transport[[#Headers],[Transport type]], 0)</f>
        <v>38.6</v>
      </c>
      <c r="G32" s="227" t="str" cm="1">
        <f t="array" ref="G32">Common_InputFunctions.Utility_DisplayArrayInTable(Fuel_SourceData.Fuel_Scope1Scope3EmissionFactorsTransport_Data(), Table_Fuel_EFs_Transport[[#Headers],[Transport type]], 0)</f>
        <v>kL</v>
      </c>
      <c r="H32" s="227" cm="1">
        <f t="array" ref="H32">Common_InputFunctions.Utility_DisplayArrayInTable(Fuel_SourceData.Fuel_Scope1Scope3EmissionFactorsTransport_Data(), Table_Fuel_EFs_Transport[[#Headers],[Transport type]], 0)</f>
        <v>69.900000000000006</v>
      </c>
      <c r="I32" s="227" cm="1">
        <f t="array" ref="I32">Common_InputFunctions.Utility_DisplayArrayInTable(Fuel_SourceData.Fuel_Scope1Scope3EmissionFactorsTransport_Data(), Table_Fuel_EFs_Transport[[#Headers],[Transport type]], 0)</f>
        <v>0.2</v>
      </c>
      <c r="J32" s="227" cm="1">
        <f t="array" ref="J32">Common_InputFunctions.Utility_DisplayArrayInTable(Fuel_SourceData.Fuel_Scope1Scope3EmissionFactorsTransport_Data(), Table_Fuel_EFs_Transport[[#Headers],[Transport type]], 0)</f>
        <v>0.5</v>
      </c>
      <c r="K32" s="227" t="str" cm="1">
        <f t="array" ref="K32">Common_InputFunctions.Utility_DisplayArrayInTable(Fuel_SourceData.Fuel_Scope1Scope3EmissionFactorsTransport_Data(), Table_Fuel_EFs_Transport[[#Headers],[Transport type]], 0)</f>
        <v/>
      </c>
      <c r="L32" s="227"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7" t="str" cm="1">
        <f t="array" ref="D33">Common_InputFunctions.Utility_DisplayArrayInTable(Fuel_SourceData.Fuel_Scope1Scope3EmissionFactorsTransport_Data(), Table_Fuel_EFs_Transport[[#Headers],[Transport type]], 0)</f>
        <v>Vessels</v>
      </c>
      <c r="E33" s="227" t="str" cm="1">
        <f t="array" ref="E33">Common_InputFunctions.Utility_DisplayArrayInTable(Fuel_SourceData.Fuel_Scope1Scope3EmissionFactorsTransport_Data(), Table_Fuel_EFs_Transport[[#Headers],[Transport type]], 0)</f>
        <v>Fuel Oil</v>
      </c>
      <c r="F33" s="227" cm="1">
        <f t="array" ref="F33">Common_InputFunctions.Utility_DisplayArrayInTable(Fuel_SourceData.Fuel_Scope1Scope3EmissionFactorsTransport_Data(), Table_Fuel_EFs_Transport[[#Headers],[Transport type]], 0)</f>
        <v>39.700000000000003</v>
      </c>
      <c r="G33" s="227" t="str" cm="1">
        <f t="array" ref="G33">Common_InputFunctions.Utility_DisplayArrayInTable(Fuel_SourceData.Fuel_Scope1Scope3EmissionFactorsTransport_Data(), Table_Fuel_EFs_Transport[[#Headers],[Transport type]], 0)</f>
        <v>kL</v>
      </c>
      <c r="H33" s="227" cm="1">
        <f t="array" ref="H33">Common_InputFunctions.Utility_DisplayArrayInTable(Fuel_SourceData.Fuel_Scope1Scope3EmissionFactorsTransport_Data(), Table_Fuel_EFs_Transport[[#Headers],[Transport type]], 0)</f>
        <v>73.599999999999994</v>
      </c>
      <c r="I33" s="227" cm="1">
        <f t="array" ref="I33">Common_InputFunctions.Utility_DisplayArrayInTable(Fuel_SourceData.Fuel_Scope1Scope3EmissionFactorsTransport_Data(), Table_Fuel_EFs_Transport[[#Headers],[Transport type]], 0)</f>
        <v>0.2</v>
      </c>
      <c r="J33" s="227" cm="1">
        <f t="array" ref="J33">Common_InputFunctions.Utility_DisplayArrayInTable(Fuel_SourceData.Fuel_Scope1Scope3EmissionFactorsTransport_Data(), Table_Fuel_EFs_Transport[[#Headers],[Transport type]], 0)</f>
        <v>0.5</v>
      </c>
      <c r="K33" s="227" t="str" cm="1">
        <f t="array" ref="K33">Common_InputFunctions.Utility_DisplayArrayInTable(Fuel_SourceData.Fuel_Scope1Scope3EmissionFactorsTransport_Data(), Table_Fuel_EFs_Transport[[#Headers],[Transport type]], 0)</f>
        <v/>
      </c>
      <c r="L33" s="227"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7" t="str" cm="1">
        <f t="array" ref="D34">Common_InputFunctions.Utility_DisplayArrayInTable(Fuel_SourceData.Fuel_Scope1Scope3EmissionFactorsTransport_Data(), Table_Fuel_EFs_Transport[[#Headers],[Transport type]], 0)</f>
        <v>Off-road Agriculture and forestry equipment</v>
      </c>
      <c r="E34" s="227" t="str" cm="1">
        <f t="array" ref="E34">Common_InputFunctions.Utility_DisplayArrayInTable(Fuel_SourceData.Fuel_Scope1Scope3EmissionFactorsTransport_Data(), Table_Fuel_EFs_Transport[[#Headers],[Transport type]], 0)</f>
        <v>Diesel oil</v>
      </c>
      <c r="F34" s="227" cm="1">
        <f t="array" ref="F34">Common_InputFunctions.Utility_DisplayArrayInTable(Fuel_SourceData.Fuel_Scope1Scope3EmissionFactorsTransport_Data(), Table_Fuel_EFs_Transport[[#Headers],[Transport type]], 0)</f>
        <v>38.6</v>
      </c>
      <c r="G34" s="227" t="str" cm="1">
        <f t="array" ref="G34">Common_InputFunctions.Utility_DisplayArrayInTable(Fuel_SourceData.Fuel_Scope1Scope3EmissionFactorsTransport_Data(), Table_Fuel_EFs_Transport[[#Headers],[Transport type]], 0)</f>
        <v>kL</v>
      </c>
      <c r="H34" s="227" cm="1">
        <f t="array" ref="H34">Common_InputFunctions.Utility_DisplayArrayInTable(Fuel_SourceData.Fuel_Scope1Scope3EmissionFactorsTransport_Data(), Table_Fuel_EFs_Transport[[#Headers],[Transport type]], 0)</f>
        <v>69.900000000000006</v>
      </c>
      <c r="I34" s="227" cm="1">
        <f t="array" ref="I34">Common_InputFunctions.Utility_DisplayArrayInTable(Fuel_SourceData.Fuel_Scope1Scope3EmissionFactorsTransport_Data(), Table_Fuel_EFs_Transport[[#Headers],[Transport type]], 0)</f>
        <v>0.3</v>
      </c>
      <c r="J34" s="227" cm="1">
        <f t="array" ref="J34">Common_InputFunctions.Utility_DisplayArrayInTable(Fuel_SourceData.Fuel_Scope1Scope3EmissionFactorsTransport_Data(), Table_Fuel_EFs_Transport[[#Headers],[Transport type]], 0)</f>
        <v>0.5</v>
      </c>
      <c r="K34" s="227" t="str" cm="1">
        <f t="array" ref="K34">Common_InputFunctions.Utility_DisplayArrayInTable(Fuel_SourceData.Fuel_Scope1Scope3EmissionFactorsTransport_Data(), Table_Fuel_EFs_Transport[[#Headers],[Transport type]], 0)</f>
        <v/>
      </c>
      <c r="L34" s="227"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0"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8"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1" t="s">
        <v>761</v>
      </c>
      <c r="E39" s="31" t="s">
        <v>762</v>
      </c>
      <c r="F39" s="31" t="s">
        <v>763</v>
      </c>
      <c r="G39" s="31" t="s">
        <v>764</v>
      </c>
      <c r="H39" s="31" t="s">
        <v>765</v>
      </c>
      <c r="I39" s="31" t="s">
        <v>766</v>
      </c>
      <c r="J39" s="31" t="s">
        <v>767</v>
      </c>
    </row>
    <row r="40" spans="1:12" ht="20.100000000000001" customHeight="1" x14ac:dyDescent="0.25">
      <c r="A40" s="5" t="str">
        <f>HYPERLINK("#'Constants - Common Livestock'!A1", "Constants - Common Livestock")</f>
        <v>Constants - Common Livestock</v>
      </c>
      <c r="D40" s="31" t="str" cm="1">
        <f t="array" ref="D40">Common_InputFunctions.Utility_DisplayArrayInTable(Fuel_SourceData.Fuel_Scope1Scope3EmissionFactorsTransportOffRoad_Data(), Table_SourceData_Fuel_TransportOffroad[[#Headers],[Transport type t]],0)</f>
        <v>Vessel</v>
      </c>
      <c r="E40" s="31" t="str" cm="1">
        <f t="array" ref="E40">Common_InputFunctions.Utility_DisplayArrayInTable(Fuel_SourceData.Fuel_Scope1Scope3EmissionFactorsTransportOffRoad_Data(), Table_SourceData_Fuel_TransportOffroad[[#Headers],[Transport type t]],0)</f>
        <v>Petrol</v>
      </c>
      <c r="F40" s="31" cm="1">
        <f t="array" ref="F40">Common_InputFunctions.Utility_DisplayArrayInTable(Fuel_SourceData.Fuel_Scope1Scope3EmissionFactorsTransportOffRoad_Data(), Table_SourceData_Fuel_TransportOffroad[[#Headers],[Transport type t]],0)</f>
        <v>34.200000000000003</v>
      </c>
      <c r="G40" s="31" cm="1">
        <f t="array" ref="G40">Common_InputFunctions.Utility_DisplayArrayInTable(Fuel_SourceData.Fuel_Scope1Scope3EmissionFactorsTransportOffRoad_Data(), Table_SourceData_Fuel_TransportOffroad[[#Headers],[Transport type t]],0)</f>
        <v>67.400000000000006</v>
      </c>
      <c r="H40" s="31" cm="1">
        <f t="array" ref="H40">Common_InputFunctions.Utility_DisplayArrayInTable(Fuel_SourceData.Fuel_Scope1Scope3EmissionFactorsTransportOffRoad_Data(), Table_SourceData_Fuel_TransportOffroad[[#Headers],[Transport type t]],0)</f>
        <v>10.1</v>
      </c>
      <c r="I40" s="31" cm="1">
        <f t="array" ref="I40">Common_InputFunctions.Utility_DisplayArrayInTable(Fuel_SourceData.Fuel_Scope1Scope3EmissionFactorsTransportOffRoad_Data(), Table_SourceData_Fuel_TransportOffroad[[#Headers],[Transport type t]],0)</f>
        <v>0.3</v>
      </c>
      <c r="J40" s="31"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1" t="str" cm="1">
        <f t="array" ref="E41">Common_InputFunctions.Utility_DisplayArrayInTable(Fuel_SourceData.Fuel_Scope1Scope3EmissionFactorsTransportOffRoad_Data(), Table_SourceData_Fuel_TransportOffroad[[#Headers],[Transport type t]],0)</f>
        <v>Diesel</v>
      </c>
      <c r="F41" s="31" cm="1">
        <f t="array" ref="F41">Common_InputFunctions.Utility_DisplayArrayInTable(Fuel_SourceData.Fuel_Scope1Scope3EmissionFactorsTransportOffRoad_Data(), Table_SourceData_Fuel_TransportOffroad[[#Headers],[Transport type t]],0)</f>
        <v>38.6</v>
      </c>
      <c r="G41" s="31" cm="1">
        <f t="array" ref="G41">Common_InputFunctions.Utility_DisplayArrayInTable(Fuel_SourceData.Fuel_Scope1Scope3EmissionFactorsTransportOffRoad_Data(), Table_SourceData_Fuel_TransportOffroad[[#Headers],[Transport type t]],0)</f>
        <v>69.900000000000006</v>
      </c>
      <c r="H41" s="31" cm="1">
        <f t="array" ref="H41">Common_InputFunctions.Utility_DisplayArrayInTable(Fuel_SourceData.Fuel_Scope1Scope3EmissionFactorsTransportOffRoad_Data(), Table_SourceData_Fuel_TransportOffroad[[#Headers],[Transport type t]],0)</f>
        <v>0.2</v>
      </c>
      <c r="I41" s="31" cm="1">
        <f t="array" ref="I41">Common_InputFunctions.Utility_DisplayArrayInTable(Fuel_SourceData.Fuel_Scope1Scope3EmissionFactorsTransportOffRoad_Data(), Table_SourceData_Fuel_TransportOffroad[[#Headers],[Transport type t]],0)</f>
        <v>0.5</v>
      </c>
      <c r="J41" s="31"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1" t="str" cm="1">
        <f t="array" ref="E42">Common_InputFunctions.Utility_DisplayArrayInTable(Fuel_SourceData.Fuel_Scope1Scope3EmissionFactorsTransportOffRoad_Data(), Table_SourceData_Fuel_TransportOffroad[[#Headers],[Transport type t]],0)</f>
        <v>Fuel Oil</v>
      </c>
      <c r="F42" s="31" cm="1">
        <f t="array" ref="F42">Common_InputFunctions.Utility_DisplayArrayInTable(Fuel_SourceData.Fuel_Scope1Scope3EmissionFactorsTransportOffRoad_Data(), Table_SourceData_Fuel_TransportOffroad[[#Headers],[Transport type t]],0)</f>
        <v>39.700000000000003</v>
      </c>
      <c r="G42" s="31" cm="1">
        <f t="array" ref="G42">Common_InputFunctions.Utility_DisplayArrayInTable(Fuel_SourceData.Fuel_Scope1Scope3EmissionFactorsTransportOffRoad_Data(), Table_SourceData_Fuel_TransportOffroad[[#Headers],[Transport type t]],0)</f>
        <v>73.599999999999994</v>
      </c>
      <c r="H42" s="31" cm="1">
        <f t="array" ref="H42">Common_InputFunctions.Utility_DisplayArrayInTable(Fuel_SourceData.Fuel_Scope1Scope3EmissionFactorsTransportOffRoad_Data(), Table_SourceData_Fuel_TransportOffroad[[#Headers],[Transport type t]],0)</f>
        <v>0.2</v>
      </c>
      <c r="I42" s="31" cm="1">
        <f t="array" ref="I42">Common_InputFunctions.Utility_DisplayArrayInTable(Fuel_SourceData.Fuel_Scope1Scope3EmissionFactorsTransportOffRoad_Data(), Table_SourceData_Fuel_TransportOffroad[[#Headers],[Transport type t]],0)</f>
        <v>0.5</v>
      </c>
      <c r="J42" s="31"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5"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1" t="str" cm="1">
        <f t="array" ref="E43">Common_InputFunctions.Utility_DisplayArrayInTable(Fuel_SourceData.Fuel_Scope1Scope3EmissionFactorsTransportOffRoad_Data(), Table_SourceData_Fuel_TransportOffroad[[#Headers],[Transport type t]],0)</f>
        <v>Diesel</v>
      </c>
      <c r="F43" s="31" cm="1">
        <f t="array" ref="F43">Common_InputFunctions.Utility_DisplayArrayInTable(Fuel_SourceData.Fuel_Scope1Scope3EmissionFactorsTransportOffRoad_Data(), Table_SourceData_Fuel_TransportOffroad[[#Headers],[Transport type t]],0)</f>
        <v>38.6</v>
      </c>
      <c r="G43" s="31" cm="1">
        <f t="array" ref="G43">Common_InputFunctions.Utility_DisplayArrayInTable(Fuel_SourceData.Fuel_Scope1Scope3EmissionFactorsTransportOffRoad_Data(), Table_SourceData_Fuel_TransportOffroad[[#Headers],[Transport type t]],0)</f>
        <v>69.900000000000006</v>
      </c>
      <c r="H43" s="31" cm="1">
        <f t="array" ref="H43">Common_InputFunctions.Utility_DisplayArrayInTable(Fuel_SourceData.Fuel_Scope1Scope3EmissionFactorsTransportOffRoad_Data(), Table_SourceData_Fuel_TransportOffroad[[#Headers],[Transport type t]],0)</f>
        <v>0.3</v>
      </c>
      <c r="I43" s="31" cm="1">
        <f t="array" ref="I43">Common_InputFunctions.Utility_DisplayArrayInTable(Fuel_SourceData.Fuel_Scope1Scope3EmissionFactorsTransportOffRoad_Data(), Table_SourceData_Fuel_TransportOffroad[[#Headers],[Transport type t]],0)</f>
        <v>0.5</v>
      </c>
      <c r="J43" s="31"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6"/>
      <c r="F49" s="176"/>
      <c r="G49" s="176"/>
      <c r="H49" s="176"/>
      <c r="I49" s="176"/>
      <c r="J49" s="176"/>
      <c r="K49" s="176"/>
      <c r="L49" s="176"/>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6"/>
      <c r="F50" s="176"/>
      <c r="G50" s="176"/>
      <c r="H50" s="176"/>
      <c r="I50" s="176"/>
      <c r="J50" s="176"/>
      <c r="K50" s="176"/>
      <c r="L50" s="176"/>
    </row>
    <row r="51" spans="4:12" ht="20.100000000000001" customHeight="1" x14ac:dyDescent="0.25">
      <c r="D51" s="28" t="str" cm="1">
        <f t="array" ref="D51">Fuel_SourceData.Fuel_Scope1Scope3EmissionFactorsStationaryLiquid_Source()</f>
        <v>Australian National Greenhouse Accounts Factors 2025 - Table 8</v>
      </c>
      <c r="E51" s="176"/>
      <c r="F51" s="176"/>
      <c r="G51" s="176"/>
      <c r="H51" s="176"/>
      <c r="I51" s="176"/>
      <c r="J51" s="176"/>
      <c r="K51" s="176"/>
      <c r="L51" s="176"/>
    </row>
    <row r="52" spans="4:12" ht="20.100000000000001" customHeight="1" x14ac:dyDescent="0.25">
      <c r="D52" s="37" t="str" cm="1">
        <f t="array" ref="D52">"⚠️" &amp; Fuel_SourceData.Fuel_Scope1Scope3EmissionFactorsStationaryLiquid_Variation()</f>
        <v>⚠️VARIATION OF SOURCE DATA: 'NE' values returned as zero for calculations.</v>
      </c>
      <c r="E52" s="176"/>
      <c r="F52" s="176"/>
      <c r="G52" s="176"/>
      <c r="H52" s="176"/>
      <c r="I52" s="176"/>
      <c r="J52" s="176"/>
      <c r="K52" s="176"/>
      <c r="L52" s="176"/>
    </row>
    <row r="53" spans="4:12" ht="20.100000000000001" customHeight="1" x14ac:dyDescent="0.25">
      <c r="D53" s="194" t="s">
        <v>753</v>
      </c>
      <c r="E53" s="225" t="s">
        <v>754</v>
      </c>
      <c r="F53" s="194" t="s">
        <v>755</v>
      </c>
      <c r="G53" s="225" t="s">
        <v>756</v>
      </c>
      <c r="H53" s="225" t="s">
        <v>757</v>
      </c>
      <c r="I53" s="225" t="s">
        <v>758</v>
      </c>
      <c r="J53" s="225" t="s">
        <v>759</v>
      </c>
      <c r="K53" s="225" t="s">
        <v>760</v>
      </c>
      <c r="L53" s="176"/>
    </row>
    <row r="54" spans="4:12" ht="20.100000000000001" customHeight="1" x14ac:dyDescent="0.25">
      <c r="D54" s="22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8" cm="1">
        <f t="array" ref="E54">Common_InputFunctions.Utility_DisplayArrayInTable(Fuel_SourceData.Fuel_Scope1Scope3EmissionFactorsStationaryLiquid_Data(), Table_Fuel_EFs_StationaryLiquid[[#Headers],[Fuel combusted]],0)</f>
        <v>38.799999999999997</v>
      </c>
      <c r="F54" s="228" t="str" cm="1">
        <f t="array" ref="F54">Common_InputFunctions.Utility_DisplayArrayInTable(Fuel_SourceData.Fuel_Scope1Scope3EmissionFactorsStationaryLiquid_Data(), Table_Fuel_EFs_StationaryLiquid[[#Headers],[Fuel combusted]],0)</f>
        <v>kl</v>
      </c>
      <c r="G54" s="228" cm="1">
        <f t="array" ref="G54">Common_InputFunctions.Utility_DisplayArrayInTable(Fuel_SourceData.Fuel_Scope1Scope3EmissionFactorsStationaryLiquid_Data(), Table_Fuel_EFs_StationaryLiquid[[#Headers],[Fuel combusted]],0)</f>
        <v>13.9</v>
      </c>
      <c r="H54" s="228" cm="1">
        <f t="array" ref="H54">Common_InputFunctions.Utility_DisplayArrayInTable(Fuel_SourceData.Fuel_Scope1Scope3EmissionFactorsStationaryLiquid_Data(), Table_Fuel_EFs_StationaryLiquid[[#Headers],[Fuel combusted]],0)</f>
        <v>0</v>
      </c>
      <c r="I54" s="228" cm="1">
        <f t="array" ref="I54">Common_InputFunctions.Utility_DisplayArrayInTable(Fuel_SourceData.Fuel_Scope1Scope3EmissionFactorsStationaryLiquid_Data(), Table_Fuel_EFs_StationaryLiquid[[#Headers],[Fuel combusted]],0)</f>
        <v>0</v>
      </c>
      <c r="J54" s="228" cm="1">
        <f t="array" ref="J54">Common_InputFunctions.Utility_DisplayArrayInTable(Fuel_SourceData.Fuel_Scope1Scope3EmissionFactorsStationaryLiquid_Data(), Table_Fuel_EFs_StationaryLiquid[[#Headers],[Fuel combusted]],0)</f>
        <v>13.9</v>
      </c>
      <c r="K54" s="228" cm="1">
        <f t="array" ref="K54">Common_InputFunctions.Utility_DisplayArrayInTable(Fuel_SourceData.Fuel_Scope1Scope3EmissionFactorsStationaryLiquid_Data(), Table_Fuel_EFs_StationaryLiquid[[#Headers],[Fuel combusted]],0)</f>
        <v>18</v>
      </c>
      <c r="L54" s="176"/>
    </row>
    <row r="55" spans="4:12" ht="20.100000000000001" customHeight="1" x14ac:dyDescent="0.25">
      <c r="D55" s="228" t="str" cm="1">
        <f t="array" ref="D55">Common_InputFunctions.Utility_DisplayArrayInTable(Fuel_SourceData.Fuel_Scope1Scope3EmissionFactorsStationaryLiquid_Data(), Table_Fuel_EFs_StationaryLiquid[[#Headers],[Fuel combusted]],0)</f>
        <v>Petroleum based greases</v>
      </c>
      <c r="E55" s="228" cm="1">
        <f t="array" ref="E55">Common_InputFunctions.Utility_DisplayArrayInTable(Fuel_SourceData.Fuel_Scope1Scope3EmissionFactorsStationaryLiquid_Data(), Table_Fuel_EFs_StationaryLiquid[[#Headers],[Fuel combusted]],0)</f>
        <v>38.799999999999997</v>
      </c>
      <c r="F55" s="228" t="str" cm="1">
        <f t="array" ref="F55">Common_InputFunctions.Utility_DisplayArrayInTable(Fuel_SourceData.Fuel_Scope1Scope3EmissionFactorsStationaryLiquid_Data(), Table_Fuel_EFs_StationaryLiquid[[#Headers],[Fuel combusted]],0)</f>
        <v>kl</v>
      </c>
      <c r="G55" s="228" cm="1">
        <f t="array" ref="G55">Common_InputFunctions.Utility_DisplayArrayInTable(Fuel_SourceData.Fuel_Scope1Scope3EmissionFactorsStationaryLiquid_Data(), Table_Fuel_EFs_StationaryLiquid[[#Headers],[Fuel combusted]],0)</f>
        <v>3.5</v>
      </c>
      <c r="H55" s="228" cm="1">
        <f t="array" ref="H55">Common_InputFunctions.Utility_DisplayArrayInTable(Fuel_SourceData.Fuel_Scope1Scope3EmissionFactorsStationaryLiquid_Data(), Table_Fuel_EFs_StationaryLiquid[[#Headers],[Fuel combusted]],0)</f>
        <v>0</v>
      </c>
      <c r="I55" s="228" cm="1">
        <f t="array" ref="I55">Common_InputFunctions.Utility_DisplayArrayInTable(Fuel_SourceData.Fuel_Scope1Scope3EmissionFactorsStationaryLiquid_Data(), Table_Fuel_EFs_StationaryLiquid[[#Headers],[Fuel combusted]],0)</f>
        <v>0</v>
      </c>
      <c r="J55" s="228" cm="1">
        <f t="array" ref="J55">Common_InputFunctions.Utility_DisplayArrayInTable(Fuel_SourceData.Fuel_Scope1Scope3EmissionFactorsStationaryLiquid_Data(), Table_Fuel_EFs_StationaryLiquid[[#Headers],[Fuel combusted]],0)</f>
        <v>3.5</v>
      </c>
      <c r="K55" s="228" cm="1">
        <f t="array" ref="K55">Common_InputFunctions.Utility_DisplayArrayInTable(Fuel_SourceData.Fuel_Scope1Scope3EmissionFactorsStationaryLiquid_Data(), Table_Fuel_EFs_StationaryLiquid[[#Headers],[Fuel combusted]],0)</f>
        <v>18</v>
      </c>
      <c r="L55" s="176"/>
    </row>
    <row r="56" spans="4:12" ht="20.100000000000001" customHeight="1" x14ac:dyDescent="0.25">
      <c r="D56" s="228" t="str" cm="1">
        <f t="array" ref="D56">Common_InputFunctions.Utility_DisplayArrayInTable(Fuel_SourceData.Fuel_Scope1Scope3EmissionFactorsStationaryLiquid_Data(), Table_Fuel_EFs_StationaryLiquid[[#Headers],[Fuel combusted]],0)</f>
        <v>Crude oil including crude oil condensates</v>
      </c>
      <c r="E56" s="228" cm="1">
        <f t="array" ref="E56">Common_InputFunctions.Utility_DisplayArrayInTable(Fuel_SourceData.Fuel_Scope1Scope3EmissionFactorsStationaryLiquid_Data(), Table_Fuel_EFs_StationaryLiquid[[#Headers],[Fuel combusted]],0)</f>
        <v>45.3</v>
      </c>
      <c r="F56" s="228" t="str" cm="1">
        <f t="array" ref="F56">Common_InputFunctions.Utility_DisplayArrayInTable(Fuel_SourceData.Fuel_Scope1Scope3EmissionFactorsStationaryLiquid_Data(), Table_Fuel_EFs_StationaryLiquid[[#Headers],[Fuel combusted]],0)</f>
        <v>t</v>
      </c>
      <c r="G56" s="228" cm="1">
        <f t="array" ref="G56">Common_InputFunctions.Utility_DisplayArrayInTable(Fuel_SourceData.Fuel_Scope1Scope3EmissionFactorsStationaryLiquid_Data(), Table_Fuel_EFs_StationaryLiquid[[#Headers],[Fuel combusted]],0)</f>
        <v>69.599999999999994</v>
      </c>
      <c r="H56" s="228" cm="1">
        <f t="array" ref="H56">Common_InputFunctions.Utility_DisplayArrayInTable(Fuel_SourceData.Fuel_Scope1Scope3EmissionFactorsStationaryLiquid_Data(), Table_Fuel_EFs_StationaryLiquid[[#Headers],[Fuel combusted]],0)</f>
        <v>0.08</v>
      </c>
      <c r="I56" s="228" cm="1">
        <f t="array" ref="I56">Common_InputFunctions.Utility_DisplayArrayInTable(Fuel_SourceData.Fuel_Scope1Scope3EmissionFactorsStationaryLiquid_Data(), Table_Fuel_EFs_StationaryLiquid[[#Headers],[Fuel combusted]],0)</f>
        <v>0.2</v>
      </c>
      <c r="J56" s="228" cm="1">
        <f t="array" ref="J56">Common_InputFunctions.Utility_DisplayArrayInTable(Fuel_SourceData.Fuel_Scope1Scope3EmissionFactorsStationaryLiquid_Data(), Table_Fuel_EFs_StationaryLiquid[[#Headers],[Fuel combusted]],0)</f>
        <v>69.88</v>
      </c>
      <c r="K56" s="228" t="str" cm="1">
        <f t="array" ref="K56">Common_InputFunctions.Utility_DisplayArrayInTable(Fuel_SourceData.Fuel_Scope1Scope3EmissionFactorsStationaryLiquid_Data(), Table_Fuel_EFs_StationaryLiquid[[#Headers],[Fuel combusted]],0)</f>
        <v>NE</v>
      </c>
      <c r="L56" s="176"/>
    </row>
    <row r="57" spans="4:12" ht="20.100000000000001" customHeight="1" x14ac:dyDescent="0.25">
      <c r="D57" s="228" t="str" cm="1">
        <f t="array" ref="D57">Common_InputFunctions.Utility_DisplayArrayInTable(Fuel_SourceData.Fuel_Scope1Scope3EmissionFactorsStationaryLiquid_Data(), Table_Fuel_EFs_StationaryLiquid[[#Headers],[Fuel combusted]],0)</f>
        <v>Other natural gas liquids</v>
      </c>
      <c r="E57" s="228" cm="1">
        <f t="array" ref="E57">Common_InputFunctions.Utility_DisplayArrayInTable(Fuel_SourceData.Fuel_Scope1Scope3EmissionFactorsStationaryLiquid_Data(), Table_Fuel_EFs_StationaryLiquid[[#Headers],[Fuel combusted]],0)</f>
        <v>46.5</v>
      </c>
      <c r="F57" s="228" t="str" cm="1">
        <f t="array" ref="F57">Common_InputFunctions.Utility_DisplayArrayInTable(Fuel_SourceData.Fuel_Scope1Scope3EmissionFactorsStationaryLiquid_Data(), Table_Fuel_EFs_StationaryLiquid[[#Headers],[Fuel combusted]],0)</f>
        <v>t</v>
      </c>
      <c r="G57" s="228" cm="1">
        <f t="array" ref="G57">Common_InputFunctions.Utility_DisplayArrayInTable(Fuel_SourceData.Fuel_Scope1Scope3EmissionFactorsStationaryLiquid_Data(), Table_Fuel_EFs_StationaryLiquid[[#Headers],[Fuel combusted]],0)</f>
        <v>61</v>
      </c>
      <c r="H57" s="228" cm="1">
        <f t="array" ref="H57">Common_InputFunctions.Utility_DisplayArrayInTable(Fuel_SourceData.Fuel_Scope1Scope3EmissionFactorsStationaryLiquid_Data(), Table_Fuel_EFs_StationaryLiquid[[#Headers],[Fuel combusted]],0)</f>
        <v>0.08</v>
      </c>
      <c r="I57" s="228" cm="1">
        <f t="array" ref="I57">Common_InputFunctions.Utility_DisplayArrayInTable(Fuel_SourceData.Fuel_Scope1Scope3EmissionFactorsStationaryLiquid_Data(), Table_Fuel_EFs_StationaryLiquid[[#Headers],[Fuel combusted]],0)</f>
        <v>0.2</v>
      </c>
      <c r="J57" s="228" cm="1">
        <f t="array" ref="J57">Common_InputFunctions.Utility_DisplayArrayInTable(Fuel_SourceData.Fuel_Scope1Scope3EmissionFactorsStationaryLiquid_Data(), Table_Fuel_EFs_StationaryLiquid[[#Headers],[Fuel combusted]],0)</f>
        <v>61.28</v>
      </c>
      <c r="K57" s="228" t="str" cm="1">
        <f t="array" ref="K57">Common_InputFunctions.Utility_DisplayArrayInTable(Fuel_SourceData.Fuel_Scope1Scope3EmissionFactorsStationaryLiquid_Data(), Table_Fuel_EFs_StationaryLiquid[[#Headers],[Fuel combusted]],0)</f>
        <v>NE</v>
      </c>
      <c r="L57" s="176"/>
    </row>
    <row r="58" spans="4:12" ht="20.100000000000001" customHeight="1" x14ac:dyDescent="0.25">
      <c r="D58" s="22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8" cm="1">
        <f t="array" ref="E58">Common_InputFunctions.Utility_DisplayArrayInTable(Fuel_SourceData.Fuel_Scope1Scope3EmissionFactorsStationaryLiquid_Data(), Table_Fuel_EFs_StationaryLiquid[[#Headers],[Fuel combusted]],0)</f>
        <v>34.200000000000003</v>
      </c>
      <c r="F58" s="228" t="str" cm="1">
        <f t="array" ref="F58">Common_InputFunctions.Utility_DisplayArrayInTable(Fuel_SourceData.Fuel_Scope1Scope3EmissionFactorsStationaryLiquid_Data(), Table_Fuel_EFs_StationaryLiquid[[#Headers],[Fuel combusted]],0)</f>
        <v>kL</v>
      </c>
      <c r="G58" s="228" cm="1">
        <f t="array" ref="G58">Common_InputFunctions.Utility_DisplayArrayInTable(Fuel_SourceData.Fuel_Scope1Scope3EmissionFactorsStationaryLiquid_Data(), Table_Fuel_EFs_StationaryLiquid[[#Headers],[Fuel combusted]],0)</f>
        <v>67.400000000000006</v>
      </c>
      <c r="H58" s="228" cm="1">
        <f t="array" ref="H58">Common_InputFunctions.Utility_DisplayArrayInTable(Fuel_SourceData.Fuel_Scope1Scope3EmissionFactorsStationaryLiquid_Data(), Table_Fuel_EFs_StationaryLiquid[[#Headers],[Fuel combusted]],0)</f>
        <v>0.2</v>
      </c>
      <c r="I58" s="228" cm="1">
        <f t="array" ref="I58">Common_InputFunctions.Utility_DisplayArrayInTable(Fuel_SourceData.Fuel_Scope1Scope3EmissionFactorsStationaryLiquid_Data(), Table_Fuel_EFs_StationaryLiquid[[#Headers],[Fuel combusted]],0)</f>
        <v>0.2</v>
      </c>
      <c r="J58" s="228" cm="1">
        <f t="array" ref="J58">Common_InputFunctions.Utility_DisplayArrayInTable(Fuel_SourceData.Fuel_Scope1Scope3EmissionFactorsStationaryLiquid_Data(), Table_Fuel_EFs_StationaryLiquid[[#Headers],[Fuel combusted]],0)</f>
        <v>67.8</v>
      </c>
      <c r="K58" s="228" cm="1">
        <f t="array" ref="K58">Common_InputFunctions.Utility_DisplayArrayInTable(Fuel_SourceData.Fuel_Scope1Scope3EmissionFactorsStationaryLiquid_Data(), Table_Fuel_EFs_StationaryLiquid[[#Headers],[Fuel combusted]],0)</f>
        <v>17.2</v>
      </c>
      <c r="L58" s="176"/>
    </row>
    <row r="59" spans="4:12" ht="20.100000000000001" customHeight="1" x14ac:dyDescent="0.25">
      <c r="D59" s="228" t="str" cm="1">
        <f t="array" ref="D59">Common_InputFunctions.Utility_DisplayArrayInTable(Fuel_SourceData.Fuel_Scope1Scope3EmissionFactorsStationaryLiquid_Data(), Table_Fuel_EFs_StationaryLiquid[[#Headers],[Fuel combusted]],0)</f>
        <v>Aviation gasoline</v>
      </c>
      <c r="E59" s="228" cm="1">
        <f t="array" ref="E59">Common_InputFunctions.Utility_DisplayArrayInTable(Fuel_SourceData.Fuel_Scope1Scope3EmissionFactorsStationaryLiquid_Data(), Table_Fuel_EFs_StationaryLiquid[[#Headers],[Fuel combusted]],0)</f>
        <v>33.1</v>
      </c>
      <c r="F59" s="228" t="str" cm="1">
        <f t="array" ref="F59">Common_InputFunctions.Utility_DisplayArrayInTable(Fuel_SourceData.Fuel_Scope1Scope3EmissionFactorsStationaryLiquid_Data(), Table_Fuel_EFs_StationaryLiquid[[#Headers],[Fuel combusted]],0)</f>
        <v>kL</v>
      </c>
      <c r="G59" s="228" cm="1">
        <f t="array" ref="G59">Common_InputFunctions.Utility_DisplayArrayInTable(Fuel_SourceData.Fuel_Scope1Scope3EmissionFactorsStationaryLiquid_Data(), Table_Fuel_EFs_StationaryLiquid[[#Headers],[Fuel combusted]],0)</f>
        <v>67</v>
      </c>
      <c r="H59" s="228" cm="1">
        <f t="array" ref="H59">Common_InputFunctions.Utility_DisplayArrayInTable(Fuel_SourceData.Fuel_Scope1Scope3EmissionFactorsStationaryLiquid_Data(), Table_Fuel_EFs_StationaryLiquid[[#Headers],[Fuel combusted]],0)</f>
        <v>0.2</v>
      </c>
      <c r="I59" s="228" cm="1">
        <f t="array" ref="I59">Common_InputFunctions.Utility_DisplayArrayInTable(Fuel_SourceData.Fuel_Scope1Scope3EmissionFactorsStationaryLiquid_Data(), Table_Fuel_EFs_StationaryLiquid[[#Headers],[Fuel combusted]],0)</f>
        <v>0.2</v>
      </c>
      <c r="J59" s="228" cm="1">
        <f t="array" ref="J59">Common_InputFunctions.Utility_DisplayArrayInTable(Fuel_SourceData.Fuel_Scope1Scope3EmissionFactorsStationaryLiquid_Data(), Table_Fuel_EFs_StationaryLiquid[[#Headers],[Fuel combusted]],0)</f>
        <v>67.400000000000006</v>
      </c>
      <c r="K59" s="228" cm="1">
        <f t="array" ref="K59">Common_InputFunctions.Utility_DisplayArrayInTable(Fuel_SourceData.Fuel_Scope1Scope3EmissionFactorsStationaryLiquid_Data(), Table_Fuel_EFs_StationaryLiquid[[#Headers],[Fuel combusted]],0)</f>
        <v>18</v>
      </c>
      <c r="L59" s="176"/>
    </row>
    <row r="60" spans="4:12" ht="20.100000000000001" customHeight="1" x14ac:dyDescent="0.25">
      <c r="D60" s="228" t="str" cm="1">
        <f t="array" ref="D60">Common_InputFunctions.Utility_DisplayArrayInTable(Fuel_SourceData.Fuel_Scope1Scope3EmissionFactorsStationaryLiquid_Data(), Table_Fuel_EFs_StationaryLiquid[[#Headers],[Fuel combusted]],0)</f>
        <v>Kerosene (other than for use as fuel in an aircraft)</v>
      </c>
      <c r="E60" s="228" cm="1">
        <f t="array" ref="E60">Common_InputFunctions.Utility_DisplayArrayInTable(Fuel_SourceData.Fuel_Scope1Scope3EmissionFactorsStationaryLiquid_Data(), Table_Fuel_EFs_StationaryLiquid[[#Headers],[Fuel combusted]],0)</f>
        <v>37.5</v>
      </c>
      <c r="F60" s="228" t="str" cm="1">
        <f t="array" ref="F60">Common_InputFunctions.Utility_DisplayArrayInTable(Fuel_SourceData.Fuel_Scope1Scope3EmissionFactorsStationaryLiquid_Data(), Table_Fuel_EFs_StationaryLiquid[[#Headers],[Fuel combusted]],0)</f>
        <v>kL</v>
      </c>
      <c r="G60" s="228" cm="1">
        <f t="array" ref="G60">Common_InputFunctions.Utility_DisplayArrayInTable(Fuel_SourceData.Fuel_Scope1Scope3EmissionFactorsStationaryLiquid_Data(), Table_Fuel_EFs_StationaryLiquid[[#Headers],[Fuel combusted]],0)</f>
        <v>68.900000000000006</v>
      </c>
      <c r="H60" s="228" cm="1">
        <f t="array" ref="H60">Common_InputFunctions.Utility_DisplayArrayInTable(Fuel_SourceData.Fuel_Scope1Scope3EmissionFactorsStationaryLiquid_Data(), Table_Fuel_EFs_StationaryLiquid[[#Headers],[Fuel combusted]],0)</f>
        <v>0.01</v>
      </c>
      <c r="I60" s="228" cm="1">
        <f t="array" ref="I60">Common_InputFunctions.Utility_DisplayArrayInTable(Fuel_SourceData.Fuel_Scope1Scope3EmissionFactorsStationaryLiquid_Data(), Table_Fuel_EFs_StationaryLiquid[[#Headers],[Fuel combusted]],0)</f>
        <v>0.2</v>
      </c>
      <c r="J60" s="228" cm="1">
        <f t="array" ref="J60">Common_InputFunctions.Utility_DisplayArrayInTable(Fuel_SourceData.Fuel_Scope1Scope3EmissionFactorsStationaryLiquid_Data(), Table_Fuel_EFs_StationaryLiquid[[#Headers],[Fuel combusted]],0)</f>
        <v>69.11</v>
      </c>
      <c r="K60" s="228" cm="1">
        <f t="array" ref="K60">Common_InputFunctions.Utility_DisplayArrayInTable(Fuel_SourceData.Fuel_Scope1Scope3EmissionFactorsStationaryLiquid_Data(), Table_Fuel_EFs_StationaryLiquid[[#Headers],[Fuel combusted]],0)</f>
        <v>18</v>
      </c>
      <c r="L60" s="176"/>
    </row>
    <row r="61" spans="4:12" ht="20.100000000000001" customHeight="1" x14ac:dyDescent="0.25">
      <c r="D61" s="228" t="str" cm="1">
        <f t="array" ref="D61">Common_InputFunctions.Utility_DisplayArrayInTable(Fuel_SourceData.Fuel_Scope1Scope3EmissionFactorsStationaryLiquid_Data(), Table_Fuel_EFs_StationaryLiquid[[#Headers],[Fuel combusted]],0)</f>
        <v>Aviation turbine fuel / kerosene</v>
      </c>
      <c r="E61" s="228" cm="1">
        <f t="array" ref="E61">Common_InputFunctions.Utility_DisplayArrayInTable(Fuel_SourceData.Fuel_Scope1Scope3EmissionFactorsStationaryLiquid_Data(), Table_Fuel_EFs_StationaryLiquid[[#Headers],[Fuel combusted]],0)</f>
        <v>36.799999999999997</v>
      </c>
      <c r="F61" s="228" t="str" cm="1">
        <f t="array" ref="F61">Common_InputFunctions.Utility_DisplayArrayInTable(Fuel_SourceData.Fuel_Scope1Scope3EmissionFactorsStationaryLiquid_Data(), Table_Fuel_EFs_StationaryLiquid[[#Headers],[Fuel combusted]],0)</f>
        <v>kL</v>
      </c>
      <c r="G61" s="228" cm="1">
        <f t="array" ref="G61">Common_InputFunctions.Utility_DisplayArrayInTable(Fuel_SourceData.Fuel_Scope1Scope3EmissionFactorsStationaryLiquid_Data(), Table_Fuel_EFs_StationaryLiquid[[#Headers],[Fuel combusted]],0)</f>
        <v>69.599999999999994</v>
      </c>
      <c r="H61" s="228" cm="1">
        <f t="array" ref="H61">Common_InputFunctions.Utility_DisplayArrayInTable(Fuel_SourceData.Fuel_Scope1Scope3EmissionFactorsStationaryLiquid_Data(), Table_Fuel_EFs_StationaryLiquid[[#Headers],[Fuel combusted]],0)</f>
        <v>0.02</v>
      </c>
      <c r="I61" s="228" cm="1">
        <f t="array" ref="I61">Common_InputFunctions.Utility_DisplayArrayInTable(Fuel_SourceData.Fuel_Scope1Scope3EmissionFactorsStationaryLiquid_Data(), Table_Fuel_EFs_StationaryLiquid[[#Headers],[Fuel combusted]],0)</f>
        <v>0.2</v>
      </c>
      <c r="J61" s="228" cm="1">
        <f t="array" ref="J61">Common_InputFunctions.Utility_DisplayArrayInTable(Fuel_SourceData.Fuel_Scope1Scope3EmissionFactorsStationaryLiquid_Data(), Table_Fuel_EFs_StationaryLiquid[[#Headers],[Fuel combusted]],0)</f>
        <v>69.819999999999993</v>
      </c>
      <c r="K61" s="228" cm="1">
        <f t="array" ref="K61">Common_InputFunctions.Utility_DisplayArrayInTable(Fuel_SourceData.Fuel_Scope1Scope3EmissionFactorsStationaryLiquid_Data(), Table_Fuel_EFs_StationaryLiquid[[#Headers],[Fuel combusted]],0)</f>
        <v>18</v>
      </c>
      <c r="L61" s="176"/>
    </row>
    <row r="62" spans="4:12" ht="20.100000000000001" customHeight="1" x14ac:dyDescent="0.25">
      <c r="D62" s="228" t="str" cm="1">
        <f t="array" ref="D62">Common_InputFunctions.Utility_DisplayArrayInTable(Fuel_SourceData.Fuel_Scope1Scope3EmissionFactorsStationaryLiquid_Data(), Table_Fuel_EFs_StationaryLiquid[[#Headers],[Fuel combusted]],0)</f>
        <v>Heating oil</v>
      </c>
      <c r="E62" s="228" cm="1">
        <f t="array" ref="E62">Common_InputFunctions.Utility_DisplayArrayInTable(Fuel_SourceData.Fuel_Scope1Scope3EmissionFactorsStationaryLiquid_Data(), Table_Fuel_EFs_StationaryLiquid[[#Headers],[Fuel combusted]],0)</f>
        <v>37.299999999999997</v>
      </c>
      <c r="F62" s="228" t="str" cm="1">
        <f t="array" ref="F62">Common_InputFunctions.Utility_DisplayArrayInTable(Fuel_SourceData.Fuel_Scope1Scope3EmissionFactorsStationaryLiquid_Data(), Table_Fuel_EFs_StationaryLiquid[[#Headers],[Fuel combusted]],0)</f>
        <v>kL</v>
      </c>
      <c r="G62" s="228" cm="1">
        <f t="array" ref="G62">Common_InputFunctions.Utility_DisplayArrayInTable(Fuel_SourceData.Fuel_Scope1Scope3EmissionFactorsStationaryLiquid_Data(), Table_Fuel_EFs_StationaryLiquid[[#Headers],[Fuel combusted]],0)</f>
        <v>69.5</v>
      </c>
      <c r="H62" s="228" cm="1">
        <f t="array" ref="H62">Common_InputFunctions.Utility_DisplayArrayInTable(Fuel_SourceData.Fuel_Scope1Scope3EmissionFactorsStationaryLiquid_Data(), Table_Fuel_EFs_StationaryLiquid[[#Headers],[Fuel combusted]],0)</f>
        <v>0.03</v>
      </c>
      <c r="I62" s="228" cm="1">
        <f t="array" ref="I62">Common_InputFunctions.Utility_DisplayArrayInTable(Fuel_SourceData.Fuel_Scope1Scope3EmissionFactorsStationaryLiquid_Data(), Table_Fuel_EFs_StationaryLiquid[[#Headers],[Fuel combusted]],0)</f>
        <v>0.2</v>
      </c>
      <c r="J62" s="228" cm="1">
        <f t="array" ref="J62">Common_InputFunctions.Utility_DisplayArrayInTable(Fuel_SourceData.Fuel_Scope1Scope3EmissionFactorsStationaryLiquid_Data(), Table_Fuel_EFs_StationaryLiquid[[#Headers],[Fuel combusted]],0)</f>
        <v>69.73</v>
      </c>
      <c r="K62" s="228" cm="1">
        <f t="array" ref="K62">Common_InputFunctions.Utility_DisplayArrayInTable(Fuel_SourceData.Fuel_Scope1Scope3EmissionFactorsStationaryLiquid_Data(), Table_Fuel_EFs_StationaryLiquid[[#Headers],[Fuel combusted]],0)</f>
        <v>18</v>
      </c>
      <c r="L62" s="176"/>
    </row>
    <row r="63" spans="4:12" ht="20.100000000000001" customHeight="1" x14ac:dyDescent="0.25">
      <c r="D63" s="228" t="str" cm="1">
        <f t="array" ref="D63">Common_InputFunctions.Utility_DisplayArrayInTable(Fuel_SourceData.Fuel_Scope1Scope3EmissionFactorsStationaryLiquid_Data(), Table_Fuel_EFs_StationaryLiquid[[#Headers],[Fuel combusted]],0)</f>
        <v>Diesel oil</v>
      </c>
      <c r="E63" s="228" cm="1">
        <f t="array" ref="E63">Common_InputFunctions.Utility_DisplayArrayInTable(Fuel_SourceData.Fuel_Scope1Scope3EmissionFactorsStationaryLiquid_Data(), Table_Fuel_EFs_StationaryLiquid[[#Headers],[Fuel combusted]],0)</f>
        <v>38.6</v>
      </c>
      <c r="F63" s="228" t="str" cm="1">
        <f t="array" ref="F63">Common_InputFunctions.Utility_DisplayArrayInTable(Fuel_SourceData.Fuel_Scope1Scope3EmissionFactorsStationaryLiquid_Data(), Table_Fuel_EFs_StationaryLiquid[[#Headers],[Fuel combusted]],0)</f>
        <v>kL</v>
      </c>
      <c r="G63" s="228" cm="1">
        <f t="array" ref="G63">Common_InputFunctions.Utility_DisplayArrayInTable(Fuel_SourceData.Fuel_Scope1Scope3EmissionFactorsStationaryLiquid_Data(), Table_Fuel_EFs_StationaryLiquid[[#Headers],[Fuel combusted]],0)</f>
        <v>69.900000000000006</v>
      </c>
      <c r="H63" s="228" cm="1">
        <f t="array" ref="H63">Common_InputFunctions.Utility_DisplayArrayInTable(Fuel_SourceData.Fuel_Scope1Scope3EmissionFactorsStationaryLiquid_Data(), Table_Fuel_EFs_StationaryLiquid[[#Headers],[Fuel combusted]],0)</f>
        <v>0.1</v>
      </c>
      <c r="I63" s="228" cm="1">
        <f t="array" ref="I63">Common_InputFunctions.Utility_DisplayArrayInTable(Fuel_SourceData.Fuel_Scope1Scope3EmissionFactorsStationaryLiquid_Data(), Table_Fuel_EFs_StationaryLiquid[[#Headers],[Fuel combusted]],0)</f>
        <v>0.2</v>
      </c>
      <c r="J63" s="228" cm="1">
        <f t="array" ref="J63">Common_InputFunctions.Utility_DisplayArrayInTable(Fuel_SourceData.Fuel_Scope1Scope3EmissionFactorsStationaryLiquid_Data(), Table_Fuel_EFs_StationaryLiquid[[#Headers],[Fuel combusted]],0)</f>
        <v>70.2</v>
      </c>
      <c r="K63" s="228" cm="1">
        <f t="array" ref="K63">Common_InputFunctions.Utility_DisplayArrayInTable(Fuel_SourceData.Fuel_Scope1Scope3EmissionFactorsStationaryLiquid_Data(), Table_Fuel_EFs_StationaryLiquid[[#Headers],[Fuel combusted]],0)</f>
        <v>17.3</v>
      </c>
      <c r="L63" s="176"/>
    </row>
    <row r="64" spans="4:12" ht="20.100000000000001" customHeight="1" x14ac:dyDescent="0.25">
      <c r="D64" s="228" t="str" cm="1">
        <f t="array" ref="D64">Common_InputFunctions.Utility_DisplayArrayInTable(Fuel_SourceData.Fuel_Scope1Scope3EmissionFactorsStationaryLiquid_Data(), Table_Fuel_EFs_StationaryLiquid[[#Headers],[Fuel combusted]],0)</f>
        <v>Fuel oil</v>
      </c>
      <c r="E64" s="228" cm="1">
        <f t="array" ref="E64">Common_InputFunctions.Utility_DisplayArrayInTable(Fuel_SourceData.Fuel_Scope1Scope3EmissionFactorsStationaryLiquid_Data(), Table_Fuel_EFs_StationaryLiquid[[#Headers],[Fuel combusted]],0)</f>
        <v>39.700000000000003</v>
      </c>
      <c r="F64" s="228" t="str" cm="1">
        <f t="array" ref="F64">Common_InputFunctions.Utility_DisplayArrayInTable(Fuel_SourceData.Fuel_Scope1Scope3EmissionFactorsStationaryLiquid_Data(), Table_Fuel_EFs_StationaryLiquid[[#Headers],[Fuel combusted]],0)</f>
        <v>kL</v>
      </c>
      <c r="G64" s="228" cm="1">
        <f t="array" ref="G64">Common_InputFunctions.Utility_DisplayArrayInTable(Fuel_SourceData.Fuel_Scope1Scope3EmissionFactorsStationaryLiquid_Data(), Table_Fuel_EFs_StationaryLiquid[[#Headers],[Fuel combusted]],0)</f>
        <v>73.599999999999994</v>
      </c>
      <c r="H64" s="228" cm="1">
        <f t="array" ref="H64">Common_InputFunctions.Utility_DisplayArrayInTable(Fuel_SourceData.Fuel_Scope1Scope3EmissionFactorsStationaryLiquid_Data(), Table_Fuel_EFs_StationaryLiquid[[#Headers],[Fuel combusted]],0)</f>
        <v>0.04</v>
      </c>
      <c r="I64" s="228" cm="1">
        <f t="array" ref="I64">Common_InputFunctions.Utility_DisplayArrayInTable(Fuel_SourceData.Fuel_Scope1Scope3EmissionFactorsStationaryLiquid_Data(), Table_Fuel_EFs_StationaryLiquid[[#Headers],[Fuel combusted]],0)</f>
        <v>0.2</v>
      </c>
      <c r="J64" s="228" cm="1">
        <f t="array" ref="J64">Common_InputFunctions.Utility_DisplayArrayInTable(Fuel_SourceData.Fuel_Scope1Scope3EmissionFactorsStationaryLiquid_Data(), Table_Fuel_EFs_StationaryLiquid[[#Headers],[Fuel combusted]],0)</f>
        <v>73.84</v>
      </c>
      <c r="K64" s="228" cm="1">
        <f t="array" ref="K64">Common_InputFunctions.Utility_DisplayArrayInTable(Fuel_SourceData.Fuel_Scope1Scope3EmissionFactorsStationaryLiquid_Data(), Table_Fuel_EFs_StationaryLiquid[[#Headers],[Fuel combusted]],0)</f>
        <v>18</v>
      </c>
      <c r="L64" s="176"/>
    </row>
    <row r="65" spans="4:13" ht="20.100000000000001" customHeight="1" x14ac:dyDescent="0.25">
      <c r="D65" s="228" t="str" cm="1">
        <f t="array" ref="D65">Common_InputFunctions.Utility_DisplayArrayInTable(Fuel_SourceData.Fuel_Scope1Scope3EmissionFactorsStationaryLiquid_Data(), Table_Fuel_EFs_StationaryLiquid[[#Headers],[Fuel combusted]],0)</f>
        <v>Liquefied aromatic hydrocarbons</v>
      </c>
      <c r="E65" s="228" cm="1">
        <f t="array" ref="E65">Common_InputFunctions.Utility_DisplayArrayInTable(Fuel_SourceData.Fuel_Scope1Scope3EmissionFactorsStationaryLiquid_Data(), Table_Fuel_EFs_StationaryLiquid[[#Headers],[Fuel combusted]],0)</f>
        <v>34.4</v>
      </c>
      <c r="F65" s="228" t="str" cm="1">
        <f t="array" ref="F65">Common_InputFunctions.Utility_DisplayArrayInTable(Fuel_SourceData.Fuel_Scope1Scope3EmissionFactorsStationaryLiquid_Data(), Table_Fuel_EFs_StationaryLiquid[[#Headers],[Fuel combusted]],0)</f>
        <v>kL</v>
      </c>
      <c r="G65" s="228" cm="1">
        <f t="array" ref="G65">Common_InputFunctions.Utility_DisplayArrayInTable(Fuel_SourceData.Fuel_Scope1Scope3EmissionFactorsStationaryLiquid_Data(), Table_Fuel_EFs_StationaryLiquid[[#Headers],[Fuel combusted]],0)</f>
        <v>69.7</v>
      </c>
      <c r="H65" s="228" cm="1">
        <f t="array" ref="H65">Common_InputFunctions.Utility_DisplayArrayInTable(Fuel_SourceData.Fuel_Scope1Scope3EmissionFactorsStationaryLiquid_Data(), Table_Fuel_EFs_StationaryLiquid[[#Headers],[Fuel combusted]],0)</f>
        <v>0.03</v>
      </c>
      <c r="I65" s="228" cm="1">
        <f t="array" ref="I65">Common_InputFunctions.Utility_DisplayArrayInTable(Fuel_SourceData.Fuel_Scope1Scope3EmissionFactorsStationaryLiquid_Data(), Table_Fuel_EFs_StationaryLiquid[[#Headers],[Fuel combusted]],0)</f>
        <v>0.2</v>
      </c>
      <c r="J65" s="228" cm="1">
        <f t="array" ref="J65">Common_InputFunctions.Utility_DisplayArrayInTable(Fuel_SourceData.Fuel_Scope1Scope3EmissionFactorsStationaryLiquid_Data(), Table_Fuel_EFs_StationaryLiquid[[#Headers],[Fuel combusted]],0)</f>
        <v>69.930000000000007</v>
      </c>
      <c r="K65" s="228" cm="1">
        <f t="array" ref="K65">Common_InputFunctions.Utility_DisplayArrayInTable(Fuel_SourceData.Fuel_Scope1Scope3EmissionFactorsStationaryLiquid_Data(), Table_Fuel_EFs_StationaryLiquid[[#Headers],[Fuel combusted]],0)</f>
        <v>18</v>
      </c>
      <c r="L65" s="176"/>
    </row>
    <row r="66" spans="4:13" ht="20.100000000000001" customHeight="1" x14ac:dyDescent="0.25">
      <c r="D66" s="228" t="str" cm="1">
        <f t="array" ref="D66">Common_InputFunctions.Utility_DisplayArrayInTable(Fuel_SourceData.Fuel_Scope1Scope3EmissionFactorsStationaryLiquid_Data(), Table_Fuel_EFs_StationaryLiquid[[#Headers],[Fuel combusted]],0)</f>
        <v>Solvents: mineral turpentine or white spirits</v>
      </c>
      <c r="E66" s="228" cm="1">
        <f t="array" ref="E66">Common_InputFunctions.Utility_DisplayArrayInTable(Fuel_SourceData.Fuel_Scope1Scope3EmissionFactorsStationaryLiquid_Data(), Table_Fuel_EFs_StationaryLiquid[[#Headers],[Fuel combusted]],0)</f>
        <v>34.4</v>
      </c>
      <c r="F66" s="228" t="str" cm="1">
        <f t="array" ref="F66">Common_InputFunctions.Utility_DisplayArrayInTable(Fuel_SourceData.Fuel_Scope1Scope3EmissionFactorsStationaryLiquid_Data(), Table_Fuel_EFs_StationaryLiquid[[#Headers],[Fuel combusted]],0)</f>
        <v>kL</v>
      </c>
      <c r="G66" s="228" cm="1">
        <f t="array" ref="G66">Common_InputFunctions.Utility_DisplayArrayInTable(Fuel_SourceData.Fuel_Scope1Scope3EmissionFactorsStationaryLiquid_Data(), Table_Fuel_EFs_StationaryLiquid[[#Headers],[Fuel combusted]],0)</f>
        <v>69.7</v>
      </c>
      <c r="H66" s="228" cm="1">
        <f t="array" ref="H66">Common_InputFunctions.Utility_DisplayArrayInTable(Fuel_SourceData.Fuel_Scope1Scope3EmissionFactorsStationaryLiquid_Data(), Table_Fuel_EFs_StationaryLiquid[[#Headers],[Fuel combusted]],0)</f>
        <v>0.03</v>
      </c>
      <c r="I66" s="228" cm="1">
        <f t="array" ref="I66">Common_InputFunctions.Utility_DisplayArrayInTable(Fuel_SourceData.Fuel_Scope1Scope3EmissionFactorsStationaryLiquid_Data(), Table_Fuel_EFs_StationaryLiquid[[#Headers],[Fuel combusted]],0)</f>
        <v>0.2</v>
      </c>
      <c r="J66" s="228" cm="1">
        <f t="array" ref="J66">Common_InputFunctions.Utility_DisplayArrayInTable(Fuel_SourceData.Fuel_Scope1Scope3EmissionFactorsStationaryLiquid_Data(), Table_Fuel_EFs_StationaryLiquid[[#Headers],[Fuel combusted]],0)</f>
        <v>69.930000000000007</v>
      </c>
      <c r="K66" s="228" cm="1">
        <f t="array" ref="K66">Common_InputFunctions.Utility_DisplayArrayInTable(Fuel_SourceData.Fuel_Scope1Scope3EmissionFactorsStationaryLiquid_Data(), Table_Fuel_EFs_StationaryLiquid[[#Headers],[Fuel combusted]],0)</f>
        <v>18</v>
      </c>
      <c r="L66" s="176"/>
    </row>
    <row r="67" spans="4:13" ht="20.100000000000001" customHeight="1" x14ac:dyDescent="0.25">
      <c r="D67" s="228" t="str" cm="1">
        <f t="array" ref="D67">Common_InputFunctions.Utility_DisplayArrayInTable(Fuel_SourceData.Fuel_Scope1Scope3EmissionFactorsStationaryLiquid_Data(), Table_Fuel_EFs_StationaryLiquid[[#Headers],[Fuel combusted]],0)</f>
        <v>Liquefied petroleum gas (LPG)</v>
      </c>
      <c r="E67" s="228" cm="1">
        <f t="array" ref="E67">Common_InputFunctions.Utility_DisplayArrayInTable(Fuel_SourceData.Fuel_Scope1Scope3EmissionFactorsStationaryLiquid_Data(), Table_Fuel_EFs_StationaryLiquid[[#Headers],[Fuel combusted]],0)</f>
        <v>25.7</v>
      </c>
      <c r="F67" s="228" t="str" cm="1">
        <f t="array" ref="F67">Common_InputFunctions.Utility_DisplayArrayInTable(Fuel_SourceData.Fuel_Scope1Scope3EmissionFactorsStationaryLiquid_Data(), Table_Fuel_EFs_StationaryLiquid[[#Headers],[Fuel combusted]],0)</f>
        <v>kL</v>
      </c>
      <c r="G67" s="228" cm="1">
        <f t="array" ref="G67">Common_InputFunctions.Utility_DisplayArrayInTable(Fuel_SourceData.Fuel_Scope1Scope3EmissionFactorsStationaryLiquid_Data(), Table_Fuel_EFs_StationaryLiquid[[#Headers],[Fuel combusted]],0)</f>
        <v>60.2</v>
      </c>
      <c r="H67" s="228" cm="1">
        <f t="array" ref="H67">Common_InputFunctions.Utility_DisplayArrayInTable(Fuel_SourceData.Fuel_Scope1Scope3EmissionFactorsStationaryLiquid_Data(), Table_Fuel_EFs_StationaryLiquid[[#Headers],[Fuel combusted]],0)</f>
        <v>0.2</v>
      </c>
      <c r="I67" s="228" cm="1">
        <f t="array" ref="I67">Common_InputFunctions.Utility_DisplayArrayInTable(Fuel_SourceData.Fuel_Scope1Scope3EmissionFactorsStationaryLiquid_Data(), Table_Fuel_EFs_StationaryLiquid[[#Headers],[Fuel combusted]],0)</f>
        <v>0.2</v>
      </c>
      <c r="J67" s="228" cm="1">
        <f t="array" ref="J67">Common_InputFunctions.Utility_DisplayArrayInTable(Fuel_SourceData.Fuel_Scope1Scope3EmissionFactorsStationaryLiquid_Data(), Table_Fuel_EFs_StationaryLiquid[[#Headers],[Fuel combusted]],0)</f>
        <v>60.6</v>
      </c>
      <c r="K67" s="228" cm="1">
        <f t="array" ref="K67">Common_InputFunctions.Utility_DisplayArrayInTable(Fuel_SourceData.Fuel_Scope1Scope3EmissionFactorsStationaryLiquid_Data(), Table_Fuel_EFs_StationaryLiquid[[#Headers],[Fuel combusted]],0)</f>
        <v>20.2</v>
      </c>
      <c r="L67" s="176"/>
    </row>
    <row r="68" spans="4:13" ht="20.100000000000001" customHeight="1" x14ac:dyDescent="0.25">
      <c r="D68" s="228" t="str" cm="1">
        <f t="array" ref="D68">Common_InputFunctions.Utility_DisplayArrayInTable(Fuel_SourceData.Fuel_Scope1Scope3EmissionFactorsStationaryLiquid_Data(), Table_Fuel_EFs_StationaryLiquid[[#Headers],[Fuel combusted]],0)</f>
        <v>Naphtha</v>
      </c>
      <c r="E68" s="228" cm="1">
        <f t="array" ref="E68">Common_InputFunctions.Utility_DisplayArrayInTable(Fuel_SourceData.Fuel_Scope1Scope3EmissionFactorsStationaryLiquid_Data(), Table_Fuel_EFs_StationaryLiquid[[#Headers],[Fuel combusted]],0)</f>
        <v>31.4</v>
      </c>
      <c r="F68" s="228" t="str" cm="1">
        <f t="array" ref="F68">Common_InputFunctions.Utility_DisplayArrayInTable(Fuel_SourceData.Fuel_Scope1Scope3EmissionFactorsStationaryLiquid_Data(), Table_Fuel_EFs_StationaryLiquid[[#Headers],[Fuel combusted]],0)</f>
        <v>kL</v>
      </c>
      <c r="G68" s="228" cm="1">
        <f t="array" ref="G68">Common_InputFunctions.Utility_DisplayArrayInTable(Fuel_SourceData.Fuel_Scope1Scope3EmissionFactorsStationaryLiquid_Data(), Table_Fuel_EFs_StationaryLiquid[[#Headers],[Fuel combusted]],0)</f>
        <v>69.8</v>
      </c>
      <c r="H68" s="228" cm="1">
        <f t="array" ref="H68">Common_InputFunctions.Utility_DisplayArrayInTable(Fuel_SourceData.Fuel_Scope1Scope3EmissionFactorsStationaryLiquid_Data(), Table_Fuel_EFs_StationaryLiquid[[#Headers],[Fuel combusted]],0)</f>
        <v>0.01</v>
      </c>
      <c r="I68" s="228" cm="1">
        <f t="array" ref="I68">Common_InputFunctions.Utility_DisplayArrayInTable(Fuel_SourceData.Fuel_Scope1Scope3EmissionFactorsStationaryLiquid_Data(), Table_Fuel_EFs_StationaryLiquid[[#Headers],[Fuel combusted]],0)</f>
        <v>0.01</v>
      </c>
      <c r="J68" s="228" cm="1">
        <f t="array" ref="J68">Common_InputFunctions.Utility_DisplayArrayInTable(Fuel_SourceData.Fuel_Scope1Scope3EmissionFactorsStationaryLiquid_Data(), Table_Fuel_EFs_StationaryLiquid[[#Headers],[Fuel combusted]],0)</f>
        <v>69.819999999999993</v>
      </c>
      <c r="K68" s="228" cm="1">
        <f t="array" ref="K68">Common_InputFunctions.Utility_DisplayArrayInTable(Fuel_SourceData.Fuel_Scope1Scope3EmissionFactorsStationaryLiquid_Data(), Table_Fuel_EFs_StationaryLiquid[[#Headers],[Fuel combusted]],0)</f>
        <v>18</v>
      </c>
      <c r="L68" s="176"/>
    </row>
    <row r="69" spans="4:13" ht="20.100000000000001" customHeight="1" x14ac:dyDescent="0.25">
      <c r="D69" s="228" t="str" cm="1">
        <f t="array" ref="D69">Common_InputFunctions.Utility_DisplayArrayInTable(Fuel_SourceData.Fuel_Scope1Scope3EmissionFactorsStationaryLiquid_Data(), Table_Fuel_EFs_StationaryLiquid[[#Headers],[Fuel combusted]],0)</f>
        <v>Petroleum coke</v>
      </c>
      <c r="E69" s="228" cm="1">
        <f t="array" ref="E69">Common_InputFunctions.Utility_DisplayArrayInTable(Fuel_SourceData.Fuel_Scope1Scope3EmissionFactorsStationaryLiquid_Data(), Table_Fuel_EFs_StationaryLiquid[[#Headers],[Fuel combusted]],0)</f>
        <v>34.200000000000003</v>
      </c>
      <c r="F69" s="228" t="str" cm="1">
        <f t="array" ref="F69">Common_InputFunctions.Utility_DisplayArrayInTable(Fuel_SourceData.Fuel_Scope1Scope3EmissionFactorsStationaryLiquid_Data(), Table_Fuel_EFs_StationaryLiquid[[#Headers],[Fuel combusted]],0)</f>
        <v>t</v>
      </c>
      <c r="G69" s="228" cm="1">
        <f t="array" ref="G69">Common_InputFunctions.Utility_DisplayArrayInTable(Fuel_SourceData.Fuel_Scope1Scope3EmissionFactorsStationaryLiquid_Data(), Table_Fuel_EFs_StationaryLiquid[[#Headers],[Fuel combusted]],0)</f>
        <v>92.6</v>
      </c>
      <c r="H69" s="228" cm="1">
        <f t="array" ref="H69">Common_InputFunctions.Utility_DisplayArrayInTable(Fuel_SourceData.Fuel_Scope1Scope3EmissionFactorsStationaryLiquid_Data(), Table_Fuel_EFs_StationaryLiquid[[#Headers],[Fuel combusted]],0)</f>
        <v>0.08</v>
      </c>
      <c r="I69" s="228" cm="1">
        <f t="array" ref="I69">Common_InputFunctions.Utility_DisplayArrayInTable(Fuel_SourceData.Fuel_Scope1Scope3EmissionFactorsStationaryLiquid_Data(), Table_Fuel_EFs_StationaryLiquid[[#Headers],[Fuel combusted]],0)</f>
        <v>0.2</v>
      </c>
      <c r="J69" s="228" cm="1">
        <f t="array" ref="J69">Common_InputFunctions.Utility_DisplayArrayInTable(Fuel_SourceData.Fuel_Scope1Scope3EmissionFactorsStationaryLiquid_Data(), Table_Fuel_EFs_StationaryLiquid[[#Headers],[Fuel combusted]],0)</f>
        <v>92.88</v>
      </c>
      <c r="K69" s="228" cm="1">
        <f t="array" ref="K69">Common_InputFunctions.Utility_DisplayArrayInTable(Fuel_SourceData.Fuel_Scope1Scope3EmissionFactorsStationaryLiquid_Data(), Table_Fuel_EFs_StationaryLiquid[[#Headers],[Fuel combusted]],0)</f>
        <v>18</v>
      </c>
      <c r="L69" s="176"/>
    </row>
    <row r="70" spans="4:13" ht="20.100000000000001" customHeight="1" x14ac:dyDescent="0.25">
      <c r="D70" s="228" t="str" cm="1">
        <f t="array" ref="D70">Common_InputFunctions.Utility_DisplayArrayInTable(Fuel_SourceData.Fuel_Scope1Scope3EmissionFactorsStationaryLiquid_Data(), Table_Fuel_EFs_StationaryLiquid[[#Headers],[Fuel combusted]],0)</f>
        <v>Refinery gas and liquids</v>
      </c>
      <c r="E70" s="228" cm="1">
        <f t="array" ref="E70">Common_InputFunctions.Utility_DisplayArrayInTable(Fuel_SourceData.Fuel_Scope1Scope3EmissionFactorsStationaryLiquid_Data(), Table_Fuel_EFs_StationaryLiquid[[#Headers],[Fuel combusted]],0)</f>
        <v>42.9</v>
      </c>
      <c r="F70" s="228" t="str" cm="1">
        <f t="array" ref="F70">Common_InputFunctions.Utility_DisplayArrayInTable(Fuel_SourceData.Fuel_Scope1Scope3EmissionFactorsStationaryLiquid_Data(), Table_Fuel_EFs_StationaryLiquid[[#Headers],[Fuel combusted]],0)</f>
        <v>t</v>
      </c>
      <c r="G70" s="228" cm="1">
        <f t="array" ref="G70">Common_InputFunctions.Utility_DisplayArrayInTable(Fuel_SourceData.Fuel_Scope1Scope3EmissionFactorsStationaryLiquid_Data(), Table_Fuel_EFs_StationaryLiquid[[#Headers],[Fuel combusted]],0)</f>
        <v>54.7</v>
      </c>
      <c r="H70" s="228" cm="1">
        <f t="array" ref="H70">Common_InputFunctions.Utility_DisplayArrayInTable(Fuel_SourceData.Fuel_Scope1Scope3EmissionFactorsStationaryLiquid_Data(), Table_Fuel_EFs_StationaryLiquid[[#Headers],[Fuel combusted]],0)</f>
        <v>0.03</v>
      </c>
      <c r="I70" s="228" cm="1">
        <f t="array" ref="I70">Common_InputFunctions.Utility_DisplayArrayInTable(Fuel_SourceData.Fuel_Scope1Scope3EmissionFactorsStationaryLiquid_Data(), Table_Fuel_EFs_StationaryLiquid[[#Headers],[Fuel combusted]],0)</f>
        <v>0.03</v>
      </c>
      <c r="J70" s="228" cm="1">
        <f t="array" ref="J70">Common_InputFunctions.Utility_DisplayArrayInTable(Fuel_SourceData.Fuel_Scope1Scope3EmissionFactorsStationaryLiquid_Data(), Table_Fuel_EFs_StationaryLiquid[[#Headers],[Fuel combusted]],0)</f>
        <v>54.76</v>
      </c>
      <c r="K70" s="228" cm="1">
        <f t="array" ref="K70">Common_InputFunctions.Utility_DisplayArrayInTable(Fuel_SourceData.Fuel_Scope1Scope3EmissionFactorsStationaryLiquid_Data(), Table_Fuel_EFs_StationaryLiquid[[#Headers],[Fuel combusted]],0)</f>
        <v>18</v>
      </c>
      <c r="L70" s="176"/>
    </row>
    <row r="71" spans="4:13" ht="20.100000000000001" customHeight="1" x14ac:dyDescent="0.25">
      <c r="D71" s="228" t="str" cm="1">
        <f t="array" ref="D71">Common_InputFunctions.Utility_DisplayArrayInTable(Fuel_SourceData.Fuel_Scope1Scope3EmissionFactorsStationaryLiquid_Data(), Table_Fuel_EFs_StationaryLiquid[[#Headers],[Fuel combusted]],0)</f>
        <v>Refinery coke</v>
      </c>
      <c r="E71" s="228" cm="1">
        <f t="array" ref="E71">Common_InputFunctions.Utility_DisplayArrayInTable(Fuel_SourceData.Fuel_Scope1Scope3EmissionFactorsStationaryLiquid_Data(), Table_Fuel_EFs_StationaryLiquid[[#Headers],[Fuel combusted]],0)</f>
        <v>34.200000000000003</v>
      </c>
      <c r="F71" s="228" t="str" cm="1">
        <f t="array" ref="F71">Common_InputFunctions.Utility_DisplayArrayInTable(Fuel_SourceData.Fuel_Scope1Scope3EmissionFactorsStationaryLiquid_Data(), Table_Fuel_EFs_StationaryLiquid[[#Headers],[Fuel combusted]],0)</f>
        <v>t</v>
      </c>
      <c r="G71" s="228" cm="1">
        <f t="array" ref="G71">Common_InputFunctions.Utility_DisplayArrayInTable(Fuel_SourceData.Fuel_Scope1Scope3EmissionFactorsStationaryLiquid_Data(), Table_Fuel_EFs_StationaryLiquid[[#Headers],[Fuel combusted]],0)</f>
        <v>92.6</v>
      </c>
      <c r="H71" s="228" cm="1">
        <f t="array" ref="H71">Common_InputFunctions.Utility_DisplayArrayInTable(Fuel_SourceData.Fuel_Scope1Scope3EmissionFactorsStationaryLiquid_Data(), Table_Fuel_EFs_StationaryLiquid[[#Headers],[Fuel combusted]],0)</f>
        <v>0.08</v>
      </c>
      <c r="I71" s="228" cm="1">
        <f t="array" ref="I71">Common_InputFunctions.Utility_DisplayArrayInTable(Fuel_SourceData.Fuel_Scope1Scope3EmissionFactorsStationaryLiquid_Data(), Table_Fuel_EFs_StationaryLiquid[[#Headers],[Fuel combusted]],0)</f>
        <v>0.2</v>
      </c>
      <c r="J71" s="228" cm="1">
        <f t="array" ref="J71">Common_InputFunctions.Utility_DisplayArrayInTable(Fuel_SourceData.Fuel_Scope1Scope3EmissionFactorsStationaryLiquid_Data(), Table_Fuel_EFs_StationaryLiquid[[#Headers],[Fuel combusted]],0)</f>
        <v>92.88</v>
      </c>
      <c r="K71" s="228" cm="1">
        <f t="array" ref="K71">Common_InputFunctions.Utility_DisplayArrayInTable(Fuel_SourceData.Fuel_Scope1Scope3EmissionFactorsStationaryLiquid_Data(), Table_Fuel_EFs_StationaryLiquid[[#Headers],[Fuel combusted]],0)</f>
        <v>18</v>
      </c>
      <c r="L71" s="176"/>
    </row>
    <row r="72" spans="4:13" ht="20.100000000000001" customHeight="1" x14ac:dyDescent="0.25">
      <c r="D72" s="228" t="str" cm="1">
        <f t="array" ref="D72">Common_InputFunctions.Utility_DisplayArrayInTable(Fuel_SourceData.Fuel_Scope1Scope3EmissionFactorsStationaryLiquid_Data(), Table_Fuel_EFs_StationaryLiquid[[#Headers],[Fuel combusted]],0)</f>
        <v>Petroleum based products other than mentioned in the items above</v>
      </c>
      <c r="E72" s="228" cm="1">
        <f t="array" ref="E72">Common_InputFunctions.Utility_DisplayArrayInTable(Fuel_SourceData.Fuel_Scope1Scope3EmissionFactorsStationaryLiquid_Data(), Table_Fuel_EFs_StationaryLiquid[[#Headers],[Fuel combusted]],0)</f>
        <v>34.4</v>
      </c>
      <c r="F72" s="228" t="str" cm="1">
        <f t="array" ref="F72">Common_InputFunctions.Utility_DisplayArrayInTable(Fuel_SourceData.Fuel_Scope1Scope3EmissionFactorsStationaryLiquid_Data(), Table_Fuel_EFs_StationaryLiquid[[#Headers],[Fuel combusted]],0)</f>
        <v>kL</v>
      </c>
      <c r="G72" s="228" cm="1">
        <f t="array" ref="G72">Common_InputFunctions.Utility_DisplayArrayInTable(Fuel_SourceData.Fuel_Scope1Scope3EmissionFactorsStationaryLiquid_Data(), Table_Fuel_EFs_StationaryLiquid[[#Headers],[Fuel combusted]],0)</f>
        <v>69.8</v>
      </c>
      <c r="H72" s="228" cm="1">
        <f t="array" ref="H72">Common_InputFunctions.Utility_DisplayArrayInTable(Fuel_SourceData.Fuel_Scope1Scope3EmissionFactorsStationaryLiquid_Data(), Table_Fuel_EFs_StationaryLiquid[[#Headers],[Fuel combusted]],0)</f>
        <v>0.02</v>
      </c>
      <c r="I72" s="228" cm="1">
        <f t="array" ref="I72">Common_InputFunctions.Utility_DisplayArrayInTable(Fuel_SourceData.Fuel_Scope1Scope3EmissionFactorsStationaryLiquid_Data(), Table_Fuel_EFs_StationaryLiquid[[#Headers],[Fuel combusted]],0)</f>
        <v>0.1</v>
      </c>
      <c r="J72" s="228" cm="1">
        <f t="array" ref="J72">Common_InputFunctions.Utility_DisplayArrayInTable(Fuel_SourceData.Fuel_Scope1Scope3EmissionFactorsStationaryLiquid_Data(), Table_Fuel_EFs_StationaryLiquid[[#Headers],[Fuel combusted]],0)</f>
        <v>69.92</v>
      </c>
      <c r="K72" s="228" cm="1">
        <f t="array" ref="K72">Common_InputFunctions.Utility_DisplayArrayInTable(Fuel_SourceData.Fuel_Scope1Scope3EmissionFactorsStationaryLiquid_Data(), Table_Fuel_EFs_StationaryLiquid[[#Headers],[Fuel combusted]],0)</f>
        <v>18</v>
      </c>
      <c r="L72" s="176"/>
    </row>
    <row r="73" spans="4:13" ht="20.100000000000001" customHeight="1" x14ac:dyDescent="0.25">
      <c r="D73" s="228" t="str" cm="1">
        <f t="array" ref="D73">Common_InputFunctions.Utility_DisplayArrayInTable(Fuel_SourceData.Fuel_Scope1Scope3EmissionFactorsStationaryLiquid_Data(), Table_Fuel_EFs_StationaryLiquid[[#Headers],[Fuel combusted]],0)</f>
        <v>Biodiesel</v>
      </c>
      <c r="E73" s="228" cm="1">
        <f t="array" ref="E73">Common_InputFunctions.Utility_DisplayArrayInTable(Fuel_SourceData.Fuel_Scope1Scope3EmissionFactorsStationaryLiquid_Data(), Table_Fuel_EFs_StationaryLiquid[[#Headers],[Fuel combusted]],0)</f>
        <v>34.6</v>
      </c>
      <c r="F73" s="228" t="str" cm="1">
        <f t="array" ref="F73">Common_InputFunctions.Utility_DisplayArrayInTable(Fuel_SourceData.Fuel_Scope1Scope3EmissionFactorsStationaryLiquid_Data(), Table_Fuel_EFs_StationaryLiquid[[#Headers],[Fuel combusted]],0)</f>
        <v>kL</v>
      </c>
      <c r="G73" s="228" cm="1">
        <f t="array" ref="G73">Common_InputFunctions.Utility_DisplayArrayInTable(Fuel_SourceData.Fuel_Scope1Scope3EmissionFactorsStationaryLiquid_Data(), Table_Fuel_EFs_StationaryLiquid[[#Headers],[Fuel combusted]],0)</f>
        <v>0</v>
      </c>
      <c r="H73" s="228" cm="1">
        <f t="array" ref="H73">Common_InputFunctions.Utility_DisplayArrayInTable(Fuel_SourceData.Fuel_Scope1Scope3EmissionFactorsStationaryLiquid_Data(), Table_Fuel_EFs_StationaryLiquid[[#Headers],[Fuel combusted]],0)</f>
        <v>0.08</v>
      </c>
      <c r="I73" s="228" cm="1">
        <f t="array" ref="I73">Common_InputFunctions.Utility_DisplayArrayInTable(Fuel_SourceData.Fuel_Scope1Scope3EmissionFactorsStationaryLiquid_Data(), Table_Fuel_EFs_StationaryLiquid[[#Headers],[Fuel combusted]],0)</f>
        <v>0.2</v>
      </c>
      <c r="J73" s="228" cm="1">
        <f t="array" ref="J73">Common_InputFunctions.Utility_DisplayArrayInTable(Fuel_SourceData.Fuel_Scope1Scope3EmissionFactorsStationaryLiquid_Data(), Table_Fuel_EFs_StationaryLiquid[[#Headers],[Fuel combusted]],0)</f>
        <v>0.28000000000000003</v>
      </c>
      <c r="K73" s="228" t="str" cm="1">
        <f t="array" ref="K73">Common_InputFunctions.Utility_DisplayArrayInTable(Fuel_SourceData.Fuel_Scope1Scope3EmissionFactorsStationaryLiquid_Data(), Table_Fuel_EFs_StationaryLiquid[[#Headers],[Fuel combusted]],0)</f>
        <v>NE</v>
      </c>
      <c r="L73" s="176"/>
    </row>
    <row r="74" spans="4:13" ht="20.100000000000001" customHeight="1" x14ac:dyDescent="0.25">
      <c r="D74" s="228" t="str" cm="1">
        <f t="array" ref="D74">Common_InputFunctions.Utility_DisplayArrayInTable(Fuel_SourceData.Fuel_Scope1Scope3EmissionFactorsStationaryLiquid_Data(), Table_Fuel_EFs_StationaryLiquid[[#Headers],[Fuel combusted]],0)</f>
        <v>Ethanol for use as a fuel in an internal combustion engine</v>
      </c>
      <c r="E74" s="228" cm="1">
        <f t="array" ref="E74">Common_InputFunctions.Utility_DisplayArrayInTable(Fuel_SourceData.Fuel_Scope1Scope3EmissionFactorsStationaryLiquid_Data(), Table_Fuel_EFs_StationaryLiquid[[#Headers],[Fuel combusted]],0)</f>
        <v>23.4</v>
      </c>
      <c r="F74" s="228" t="str" cm="1">
        <f t="array" ref="F74">Common_InputFunctions.Utility_DisplayArrayInTable(Fuel_SourceData.Fuel_Scope1Scope3EmissionFactorsStationaryLiquid_Data(), Table_Fuel_EFs_StationaryLiquid[[#Headers],[Fuel combusted]],0)</f>
        <v>kL</v>
      </c>
      <c r="G74" s="228" cm="1">
        <f t="array" ref="G74">Common_InputFunctions.Utility_DisplayArrayInTable(Fuel_SourceData.Fuel_Scope1Scope3EmissionFactorsStationaryLiquid_Data(), Table_Fuel_EFs_StationaryLiquid[[#Headers],[Fuel combusted]],0)</f>
        <v>0</v>
      </c>
      <c r="H74" s="228" cm="1">
        <f t="array" ref="H74">Common_InputFunctions.Utility_DisplayArrayInTable(Fuel_SourceData.Fuel_Scope1Scope3EmissionFactorsStationaryLiquid_Data(), Table_Fuel_EFs_StationaryLiquid[[#Headers],[Fuel combusted]],0)</f>
        <v>0.08</v>
      </c>
      <c r="I74" s="228" cm="1">
        <f t="array" ref="I74">Common_InputFunctions.Utility_DisplayArrayInTable(Fuel_SourceData.Fuel_Scope1Scope3EmissionFactorsStationaryLiquid_Data(), Table_Fuel_EFs_StationaryLiquid[[#Headers],[Fuel combusted]],0)</f>
        <v>0.2</v>
      </c>
      <c r="J74" s="228" cm="1">
        <f t="array" ref="J74">Common_InputFunctions.Utility_DisplayArrayInTable(Fuel_SourceData.Fuel_Scope1Scope3EmissionFactorsStationaryLiquid_Data(), Table_Fuel_EFs_StationaryLiquid[[#Headers],[Fuel combusted]],0)</f>
        <v>0.28000000000000003</v>
      </c>
      <c r="K74" s="228" t="str" cm="1">
        <f t="array" ref="K74">Common_InputFunctions.Utility_DisplayArrayInTable(Fuel_SourceData.Fuel_Scope1Scope3EmissionFactorsStationaryLiquid_Data(), Table_Fuel_EFs_StationaryLiquid[[#Headers],[Fuel combusted]],0)</f>
        <v>NE</v>
      </c>
      <c r="L74" s="176"/>
    </row>
    <row r="75" spans="4:13" ht="20.100000000000001" customHeight="1" x14ac:dyDescent="0.25">
      <c r="D75" s="228" t="str" cm="1">
        <f t="array" ref="D75">Common_InputFunctions.Utility_DisplayArrayInTable(Fuel_SourceData.Fuel_Scope1Scope3EmissionFactorsStationaryLiquid_Data(), Table_Fuel_EFs_StationaryLiquid[[#Headers],[Fuel combusted]],0)</f>
        <v>Biofuels other than those mentioned in the items above and below</v>
      </c>
      <c r="E75" s="228" cm="1">
        <f t="array" ref="E75">Common_InputFunctions.Utility_DisplayArrayInTable(Fuel_SourceData.Fuel_Scope1Scope3EmissionFactorsStationaryLiquid_Data(), Table_Fuel_EFs_StationaryLiquid[[#Headers],[Fuel combusted]],0)</f>
        <v>23.4</v>
      </c>
      <c r="F75" s="228" t="str" cm="1">
        <f t="array" ref="F75">Common_InputFunctions.Utility_DisplayArrayInTable(Fuel_SourceData.Fuel_Scope1Scope3EmissionFactorsStationaryLiquid_Data(), Table_Fuel_EFs_StationaryLiquid[[#Headers],[Fuel combusted]],0)</f>
        <v>kL</v>
      </c>
      <c r="G75" s="228" cm="1">
        <f t="array" ref="G75">Common_InputFunctions.Utility_DisplayArrayInTable(Fuel_SourceData.Fuel_Scope1Scope3EmissionFactorsStationaryLiquid_Data(), Table_Fuel_EFs_StationaryLiquid[[#Headers],[Fuel combusted]],0)</f>
        <v>0</v>
      </c>
      <c r="H75" s="228" cm="1">
        <f t="array" ref="H75">Common_InputFunctions.Utility_DisplayArrayInTable(Fuel_SourceData.Fuel_Scope1Scope3EmissionFactorsStationaryLiquid_Data(), Table_Fuel_EFs_StationaryLiquid[[#Headers],[Fuel combusted]],0)</f>
        <v>0.08</v>
      </c>
      <c r="I75" s="228" cm="1">
        <f t="array" ref="I75">Common_InputFunctions.Utility_DisplayArrayInTable(Fuel_SourceData.Fuel_Scope1Scope3EmissionFactorsStationaryLiquid_Data(), Table_Fuel_EFs_StationaryLiquid[[#Headers],[Fuel combusted]],0)</f>
        <v>0.2</v>
      </c>
      <c r="J75" s="228" cm="1">
        <f t="array" ref="J75">Common_InputFunctions.Utility_DisplayArrayInTable(Fuel_SourceData.Fuel_Scope1Scope3EmissionFactorsStationaryLiquid_Data(), Table_Fuel_EFs_StationaryLiquid[[#Headers],[Fuel combusted]],0)</f>
        <v>0.28000000000000003</v>
      </c>
      <c r="K75" s="228" t="str" cm="1">
        <f t="array" ref="K75">Common_InputFunctions.Utility_DisplayArrayInTable(Fuel_SourceData.Fuel_Scope1Scope3EmissionFactorsStationaryLiquid_Data(), Table_Fuel_EFs_StationaryLiquid[[#Headers],[Fuel combusted]],0)</f>
        <v>NE</v>
      </c>
      <c r="L75" s="176"/>
    </row>
    <row r="76" spans="4:13" ht="20.100000000000001" customHeight="1" x14ac:dyDescent="0.25">
      <c r="D76" s="228" t="str" cm="1">
        <f t="array" ref="D76">Common_InputFunctions.Utility_DisplayArrayInTable(Fuel_SourceData.Fuel_Scope1Scope3EmissionFactorsStationaryLiquid_Data(), Table_Fuel_EFs_StationaryLiquid[[#Headers],[Fuel combusted]],0)</f>
        <v>Renewable aviation kerosene</v>
      </c>
      <c r="E76" s="228" cm="1">
        <f t="array" ref="E76">Common_InputFunctions.Utility_DisplayArrayInTable(Fuel_SourceData.Fuel_Scope1Scope3EmissionFactorsStationaryLiquid_Data(), Table_Fuel_EFs_StationaryLiquid[[#Headers],[Fuel combusted]],0)</f>
        <v>36.799999999999997</v>
      </c>
      <c r="F76" s="228" t="str" cm="1">
        <f t="array" ref="F76">Common_InputFunctions.Utility_DisplayArrayInTable(Fuel_SourceData.Fuel_Scope1Scope3EmissionFactorsStationaryLiquid_Data(), Table_Fuel_EFs_StationaryLiquid[[#Headers],[Fuel combusted]],0)</f>
        <v>kL</v>
      </c>
      <c r="G76" s="228" cm="1">
        <f t="array" ref="G76">Common_InputFunctions.Utility_DisplayArrayInTable(Fuel_SourceData.Fuel_Scope1Scope3EmissionFactorsStationaryLiquid_Data(), Table_Fuel_EFs_StationaryLiquid[[#Headers],[Fuel combusted]],0)</f>
        <v>0</v>
      </c>
      <c r="H76" s="228" cm="1">
        <f t="array" ref="H76">Common_InputFunctions.Utility_DisplayArrayInTable(Fuel_SourceData.Fuel_Scope1Scope3EmissionFactorsStationaryLiquid_Data(), Table_Fuel_EFs_StationaryLiquid[[#Headers],[Fuel combusted]],0)</f>
        <v>0.02</v>
      </c>
      <c r="I76" s="228" cm="1">
        <f t="array" ref="I76">Common_InputFunctions.Utility_DisplayArrayInTable(Fuel_SourceData.Fuel_Scope1Scope3EmissionFactorsStationaryLiquid_Data(), Table_Fuel_EFs_StationaryLiquid[[#Headers],[Fuel combusted]],0)</f>
        <v>0.2</v>
      </c>
      <c r="J76" s="228" cm="1">
        <f t="array" ref="J76">Common_InputFunctions.Utility_DisplayArrayInTable(Fuel_SourceData.Fuel_Scope1Scope3EmissionFactorsStationaryLiquid_Data(), Table_Fuel_EFs_StationaryLiquid[[#Headers],[Fuel combusted]],0)</f>
        <v>0.22</v>
      </c>
      <c r="K76" s="228" t="str" cm="1">
        <f t="array" ref="K76">Common_InputFunctions.Utility_DisplayArrayInTable(Fuel_SourceData.Fuel_Scope1Scope3EmissionFactorsStationaryLiquid_Data(), Table_Fuel_EFs_StationaryLiquid[[#Headers],[Fuel combusted]],0)</f>
        <v>NE</v>
      </c>
      <c r="L76" s="176"/>
    </row>
    <row r="77" spans="4:13" ht="20.100000000000001" customHeight="1" x14ac:dyDescent="0.25">
      <c r="D77" s="228" t="str" cm="1">
        <f t="array" ref="D77">Common_InputFunctions.Utility_DisplayArrayInTable(Fuel_SourceData.Fuel_Scope1Scope3EmissionFactorsStationaryLiquid_Data(), Table_Fuel_EFs_StationaryLiquid[[#Headers],[Fuel combusted]],0)</f>
        <v>Renewable diesel</v>
      </c>
      <c r="E77" s="228" cm="1">
        <f t="array" ref="E77">Common_InputFunctions.Utility_DisplayArrayInTable(Fuel_SourceData.Fuel_Scope1Scope3EmissionFactorsStationaryLiquid_Data(), Table_Fuel_EFs_StationaryLiquid[[#Headers],[Fuel combusted]],0)</f>
        <v>38.6</v>
      </c>
      <c r="F77" s="228" t="str" cm="1">
        <f t="array" ref="F77">Common_InputFunctions.Utility_DisplayArrayInTable(Fuel_SourceData.Fuel_Scope1Scope3EmissionFactorsStationaryLiquid_Data(), Table_Fuel_EFs_StationaryLiquid[[#Headers],[Fuel combusted]],0)</f>
        <v>kL</v>
      </c>
      <c r="G77" s="228" cm="1">
        <f t="array" ref="G77">Common_InputFunctions.Utility_DisplayArrayInTable(Fuel_SourceData.Fuel_Scope1Scope3EmissionFactorsStationaryLiquid_Data(), Table_Fuel_EFs_StationaryLiquid[[#Headers],[Fuel combusted]],0)</f>
        <v>0</v>
      </c>
      <c r="H77" s="228" cm="1">
        <f t="array" ref="H77">Common_InputFunctions.Utility_DisplayArrayInTable(Fuel_SourceData.Fuel_Scope1Scope3EmissionFactorsStationaryLiquid_Data(), Table_Fuel_EFs_StationaryLiquid[[#Headers],[Fuel combusted]],0)</f>
        <v>0.1</v>
      </c>
      <c r="I77" s="228" cm="1">
        <f t="array" ref="I77">Common_InputFunctions.Utility_DisplayArrayInTable(Fuel_SourceData.Fuel_Scope1Scope3EmissionFactorsStationaryLiquid_Data(), Table_Fuel_EFs_StationaryLiquid[[#Headers],[Fuel combusted]],0)</f>
        <v>0.2</v>
      </c>
      <c r="J77" s="228" cm="1">
        <f t="array" ref="J77">Common_InputFunctions.Utility_DisplayArrayInTable(Fuel_SourceData.Fuel_Scope1Scope3EmissionFactorsStationaryLiquid_Data(), Table_Fuel_EFs_StationaryLiquid[[#Headers],[Fuel combusted]],0)</f>
        <v>0.3</v>
      </c>
      <c r="K77" s="228" t="str" cm="1">
        <f t="array" ref="K77">Common_InputFunctions.Utility_DisplayArrayInTable(Fuel_SourceData.Fuel_Scope1Scope3EmissionFactorsStationaryLiquid_Data(), Table_Fuel_EFs_StationaryLiquid[[#Headers],[Fuel combusted]],0)</f>
        <v>NE</v>
      </c>
      <c r="L77" s="176"/>
    </row>
    <row r="78" spans="4:13" ht="20.100000000000001" customHeight="1" x14ac:dyDescent="0.25">
      <c r="D78" s="176"/>
      <c r="E78" s="176"/>
      <c r="F78" s="176"/>
      <c r="G78" s="176"/>
      <c r="H78" s="176"/>
      <c r="I78" s="176"/>
      <c r="J78" s="176"/>
      <c r="K78" s="176"/>
      <c r="L78" s="176"/>
    </row>
    <row r="79" spans="4:13" ht="20.100000000000001" customHeight="1" x14ac:dyDescent="0.25">
      <c r="D79" s="176"/>
      <c r="E79" s="176"/>
      <c r="F79" s="176"/>
      <c r="G79" s="176"/>
      <c r="H79" s="176"/>
      <c r="I79" s="176"/>
      <c r="J79" s="176"/>
      <c r="K79" s="176"/>
      <c r="L79" s="176"/>
      <c r="M79" s="176"/>
    </row>
    <row r="80" spans="4:13" ht="20.100000000000001" customHeight="1" x14ac:dyDescent="0.25">
      <c r="D80" s="176"/>
      <c r="E80" s="176"/>
      <c r="F80" s="176"/>
      <c r="G80" s="176"/>
      <c r="H80" s="176"/>
      <c r="I80" s="176"/>
      <c r="J80" s="176"/>
      <c r="K80" s="176"/>
      <c r="L80" s="176"/>
      <c r="M80" s="176"/>
    </row>
    <row r="81" spans="4:12" ht="20.100000000000001" customHeight="1" x14ac:dyDescent="0.25">
      <c r="D81" s="2" t="str" cm="1">
        <f t="array" ref="D81">Fuel_SourceData.Fuel_Scope1EmissionFactorsStationaryGaseous_Title()</f>
        <v>Fuel scope 1 emission factors - Stationary gaseous fuels</v>
      </c>
      <c r="E81" s="176"/>
      <c r="F81" s="176"/>
      <c r="G81" s="176"/>
      <c r="H81" s="176"/>
      <c r="I81" s="176"/>
      <c r="J81" s="176"/>
      <c r="K81" s="176"/>
      <c r="L81" s="176"/>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6"/>
      <c r="F82" s="176"/>
      <c r="G82" s="176"/>
      <c r="H82" s="176"/>
      <c r="I82" s="176"/>
      <c r="J82" s="176"/>
      <c r="K82" s="176"/>
      <c r="L82" s="176"/>
    </row>
    <row r="83" spans="4:12" ht="20.100000000000001" customHeight="1" x14ac:dyDescent="0.25">
      <c r="D83" s="28" t="str" cm="1">
        <f t="array" ref="D83">Fuel_SourceData.Fuel_Scope1EmissionFactorsStationaryGaseous_Source()</f>
        <v>Australian National Greenhouse Accounts Factors 2025 - Table 5</v>
      </c>
      <c r="E83" s="176"/>
      <c r="F83" s="176"/>
      <c r="G83" s="176"/>
      <c r="H83" s="176"/>
      <c r="I83" s="176"/>
      <c r="J83" s="176"/>
      <c r="K83" s="176"/>
      <c r="L83" s="176"/>
    </row>
    <row r="84" spans="4:12" ht="20.100000000000001" customHeight="1" x14ac:dyDescent="0.25">
      <c r="D84" s="37"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6"/>
      <c r="F84" s="176"/>
      <c r="G84" s="176"/>
      <c r="H84" s="176"/>
      <c r="I84" s="176"/>
      <c r="J84" s="176"/>
      <c r="K84" s="176"/>
      <c r="L84" s="176"/>
    </row>
    <row r="85" spans="4:12" ht="20.100000000000001" customHeight="1" x14ac:dyDescent="0.25">
      <c r="D85" s="176"/>
      <c r="E85" s="176"/>
      <c r="F85" s="176"/>
      <c r="G85" s="176"/>
      <c r="H85" s="176"/>
      <c r="I85" s="176"/>
      <c r="J85" s="176"/>
      <c r="K85" s="176"/>
      <c r="L85" s="176"/>
    </row>
    <row r="86" spans="4:12" ht="20.100000000000001" customHeight="1" x14ac:dyDescent="0.25">
      <c r="D86" s="194" t="s">
        <v>753</v>
      </c>
      <c r="E86" s="225" t="s">
        <v>754</v>
      </c>
      <c r="F86" s="194" t="s">
        <v>755</v>
      </c>
      <c r="G86" s="225" t="s">
        <v>756</v>
      </c>
      <c r="H86" s="225" t="s">
        <v>757</v>
      </c>
      <c r="I86" s="225" t="s">
        <v>758</v>
      </c>
      <c r="J86" s="225" t="s">
        <v>759</v>
      </c>
      <c r="K86" s="176"/>
      <c r="L86" s="176"/>
    </row>
    <row r="87" spans="4:12" ht="20.100000000000001" customHeight="1" x14ac:dyDescent="0.25">
      <c r="D87" s="228" t="str" cm="1">
        <f t="array" ref="D87">Common_InputFunctions.Utility_DisplayArrayInTable(Fuel_SourceData.Fuel_Scope1EmissionFactorsStationaryGaseous_Data(), Table_Fuel_EFs_StationaryGaseous[[#Headers],[Fuel combusted]],0)</f>
        <v>Natural gas distributed in a pipeline</v>
      </c>
      <c r="E87" s="228" cm="1">
        <f t="array" ref="E87">Common_InputFunctions.Utility_DisplayArrayInTable(Fuel_SourceData.Fuel_Scope1EmissionFactorsStationaryGaseous_Data(), Table_Fuel_EFs_StationaryGaseous[[#Headers],[Fuel combusted]],0)</f>
        <v>3.9300000000000002E-2</v>
      </c>
      <c r="F87" s="228" t="str" cm="1">
        <f t="array" ref="F87">Common_InputFunctions.Utility_DisplayArrayInTable(Fuel_SourceData.Fuel_Scope1EmissionFactorsStationaryGaseous_Data(), Table_Fuel_EFs_StationaryGaseous[[#Headers],[Fuel combusted]],0)</f>
        <v>m3</v>
      </c>
      <c r="G87" s="228" cm="1">
        <f t="array" ref="G87">Common_InputFunctions.Utility_DisplayArrayInTable(Fuel_SourceData.Fuel_Scope1EmissionFactorsStationaryGaseous_Data(), Table_Fuel_EFs_StationaryGaseous[[#Headers],[Fuel combusted]],0)</f>
        <v>51.4</v>
      </c>
      <c r="H87" s="228" cm="1">
        <f t="array" ref="H87">Common_InputFunctions.Utility_DisplayArrayInTable(Fuel_SourceData.Fuel_Scope1EmissionFactorsStationaryGaseous_Data(), Table_Fuel_EFs_StationaryGaseous[[#Headers],[Fuel combusted]],0)</f>
        <v>0.1</v>
      </c>
      <c r="I87" s="228" cm="1">
        <f t="array" ref="I87">Common_InputFunctions.Utility_DisplayArrayInTable(Fuel_SourceData.Fuel_Scope1EmissionFactorsStationaryGaseous_Data(), Table_Fuel_EFs_StationaryGaseous[[#Headers],[Fuel combusted]],0)</f>
        <v>0.03</v>
      </c>
      <c r="J87" s="228" cm="1">
        <f t="array" ref="J87">Common_InputFunctions.Utility_DisplayArrayInTable(Fuel_SourceData.Fuel_Scope1EmissionFactorsStationaryGaseous_Data(), Table_Fuel_EFs_StationaryGaseous[[#Headers],[Fuel combusted]],0)</f>
        <v>51.53</v>
      </c>
      <c r="K87" s="176"/>
      <c r="L87" s="176"/>
    </row>
    <row r="88" spans="4:12" ht="20.100000000000001" customHeight="1" x14ac:dyDescent="0.25">
      <c r="D88" s="228" t="str" cm="1">
        <f t="array" ref="D88">Common_InputFunctions.Utility_DisplayArrayInTable(Fuel_SourceData.Fuel_Scope1EmissionFactorsStationaryGaseous_Data(), Table_Fuel_EFs_StationaryGaseous[[#Headers],[Fuel combusted]],0)</f>
        <v>Coal seam methane that is captured for combustion</v>
      </c>
      <c r="E88" s="228" cm="1">
        <f t="array" ref="E88">Common_InputFunctions.Utility_DisplayArrayInTable(Fuel_SourceData.Fuel_Scope1EmissionFactorsStationaryGaseous_Data(), Table_Fuel_EFs_StationaryGaseous[[#Headers],[Fuel combusted]],0)</f>
        <v>3.7699999999999997E-2</v>
      </c>
      <c r="F88" s="228" t="str" cm="1">
        <f t="array" ref="F88">Common_InputFunctions.Utility_DisplayArrayInTable(Fuel_SourceData.Fuel_Scope1EmissionFactorsStationaryGaseous_Data(), Table_Fuel_EFs_StationaryGaseous[[#Headers],[Fuel combusted]],0)</f>
        <v>m3</v>
      </c>
      <c r="G88" s="228" cm="1">
        <f t="array" ref="G88">Common_InputFunctions.Utility_DisplayArrayInTable(Fuel_SourceData.Fuel_Scope1EmissionFactorsStationaryGaseous_Data(), Table_Fuel_EFs_StationaryGaseous[[#Headers],[Fuel combusted]],0)</f>
        <v>51.4</v>
      </c>
      <c r="H88" s="228" cm="1">
        <f t="array" ref="H88">Common_InputFunctions.Utility_DisplayArrayInTable(Fuel_SourceData.Fuel_Scope1EmissionFactorsStationaryGaseous_Data(), Table_Fuel_EFs_StationaryGaseous[[#Headers],[Fuel combusted]],0)</f>
        <v>0.2</v>
      </c>
      <c r="I88" s="228" cm="1">
        <f t="array" ref="I88">Common_InputFunctions.Utility_DisplayArrayInTable(Fuel_SourceData.Fuel_Scope1EmissionFactorsStationaryGaseous_Data(), Table_Fuel_EFs_StationaryGaseous[[#Headers],[Fuel combusted]],0)</f>
        <v>0.03</v>
      </c>
      <c r="J88" s="228" cm="1">
        <f t="array" ref="J88">Common_InputFunctions.Utility_DisplayArrayInTable(Fuel_SourceData.Fuel_Scope1EmissionFactorsStationaryGaseous_Data(), Table_Fuel_EFs_StationaryGaseous[[#Headers],[Fuel combusted]],0)</f>
        <v>51.63</v>
      </c>
      <c r="K88" s="176"/>
      <c r="L88" s="176"/>
    </row>
    <row r="89" spans="4:12" ht="20.100000000000001" customHeight="1" x14ac:dyDescent="0.25">
      <c r="D89" s="228" t="str" cm="1">
        <f t="array" ref="D89">Common_InputFunctions.Utility_DisplayArrayInTable(Fuel_SourceData.Fuel_Scope1EmissionFactorsStationaryGaseous_Data(), Table_Fuel_EFs_StationaryGaseous[[#Headers],[Fuel combusted]],0)</f>
        <v>Coal mine waste gas that is captured for combustion</v>
      </c>
      <c r="E89" s="228" cm="1">
        <f t="array" ref="E89">Common_InputFunctions.Utility_DisplayArrayInTable(Fuel_SourceData.Fuel_Scope1EmissionFactorsStationaryGaseous_Data(), Table_Fuel_EFs_StationaryGaseous[[#Headers],[Fuel combusted]],0)</f>
        <v>3.7699999999999997E-2</v>
      </c>
      <c r="F89" s="228" t="str" cm="1">
        <f t="array" ref="F89">Common_InputFunctions.Utility_DisplayArrayInTable(Fuel_SourceData.Fuel_Scope1EmissionFactorsStationaryGaseous_Data(), Table_Fuel_EFs_StationaryGaseous[[#Headers],[Fuel combusted]],0)</f>
        <v>m3</v>
      </c>
      <c r="G89" s="228" cm="1">
        <f t="array" ref="G89">Common_InputFunctions.Utility_DisplayArrayInTable(Fuel_SourceData.Fuel_Scope1EmissionFactorsStationaryGaseous_Data(), Table_Fuel_EFs_StationaryGaseous[[#Headers],[Fuel combusted]],0)</f>
        <v>51.9</v>
      </c>
      <c r="H89" s="228" cm="1">
        <f t="array" ref="H89">Common_InputFunctions.Utility_DisplayArrayInTable(Fuel_SourceData.Fuel_Scope1EmissionFactorsStationaryGaseous_Data(), Table_Fuel_EFs_StationaryGaseous[[#Headers],[Fuel combusted]],0)</f>
        <v>4.5999999999999996</v>
      </c>
      <c r="I89" s="228" cm="1">
        <f t="array" ref="I89">Common_InputFunctions.Utility_DisplayArrayInTable(Fuel_SourceData.Fuel_Scope1EmissionFactorsStationaryGaseous_Data(), Table_Fuel_EFs_StationaryGaseous[[#Headers],[Fuel combusted]],0)</f>
        <v>0.3</v>
      </c>
      <c r="J89" s="228" cm="1">
        <f t="array" ref="J89">Common_InputFunctions.Utility_DisplayArrayInTable(Fuel_SourceData.Fuel_Scope1EmissionFactorsStationaryGaseous_Data(), Table_Fuel_EFs_StationaryGaseous[[#Headers],[Fuel combusted]],0)</f>
        <v>56.8</v>
      </c>
      <c r="K89" s="176"/>
      <c r="L89" s="176"/>
    </row>
    <row r="90" spans="4:12" ht="20.100000000000001" customHeight="1" x14ac:dyDescent="0.25">
      <c r="D90" s="228" t="str" cm="1">
        <f t="array" ref="D90">Common_InputFunctions.Utility_DisplayArrayInTable(Fuel_SourceData.Fuel_Scope1EmissionFactorsStationaryGaseous_Data(), Table_Fuel_EFs_StationaryGaseous[[#Headers],[Fuel combusted]],0)</f>
        <v>Compressed natural gas(reverting to standard conditions)</v>
      </c>
      <c r="E90" s="228" cm="1">
        <f t="array" ref="E90">Common_InputFunctions.Utility_DisplayArrayInTable(Fuel_SourceData.Fuel_Scope1EmissionFactorsStationaryGaseous_Data(), Table_Fuel_EFs_StationaryGaseous[[#Headers],[Fuel combusted]],0)</f>
        <v>3.9300000000000002E-2</v>
      </c>
      <c r="F90" s="228" t="str" cm="1">
        <f t="array" ref="F90">Common_InputFunctions.Utility_DisplayArrayInTable(Fuel_SourceData.Fuel_Scope1EmissionFactorsStationaryGaseous_Data(), Table_Fuel_EFs_StationaryGaseous[[#Headers],[Fuel combusted]],0)</f>
        <v>m3</v>
      </c>
      <c r="G90" s="228" cm="1">
        <f t="array" ref="G90">Common_InputFunctions.Utility_DisplayArrayInTable(Fuel_SourceData.Fuel_Scope1EmissionFactorsStationaryGaseous_Data(), Table_Fuel_EFs_StationaryGaseous[[#Headers],[Fuel combusted]],0)</f>
        <v>51.4</v>
      </c>
      <c r="H90" s="228" cm="1">
        <f t="array" ref="H90">Common_InputFunctions.Utility_DisplayArrayInTable(Fuel_SourceData.Fuel_Scope1EmissionFactorsStationaryGaseous_Data(), Table_Fuel_EFs_StationaryGaseous[[#Headers],[Fuel combusted]],0)</f>
        <v>0.1</v>
      </c>
      <c r="I90" s="228" cm="1">
        <f t="array" ref="I90">Common_InputFunctions.Utility_DisplayArrayInTable(Fuel_SourceData.Fuel_Scope1EmissionFactorsStationaryGaseous_Data(), Table_Fuel_EFs_StationaryGaseous[[#Headers],[Fuel combusted]],0)</f>
        <v>0.03</v>
      </c>
      <c r="J90" s="228" cm="1">
        <f t="array" ref="J90">Common_InputFunctions.Utility_DisplayArrayInTable(Fuel_SourceData.Fuel_Scope1EmissionFactorsStationaryGaseous_Data(), Table_Fuel_EFs_StationaryGaseous[[#Headers],[Fuel combusted]],0)</f>
        <v>51.53</v>
      </c>
      <c r="K90" s="176"/>
      <c r="L90" s="176"/>
    </row>
    <row r="91" spans="4:12" ht="20.100000000000001" customHeight="1" x14ac:dyDescent="0.25">
      <c r="D91" s="228" t="str" cm="1">
        <f t="array" ref="D91">Common_InputFunctions.Utility_DisplayArrayInTable(Fuel_SourceData.Fuel_Scope1EmissionFactorsStationaryGaseous_Data(), Table_Fuel_EFs_StationaryGaseous[[#Headers],[Fuel combusted]],0)</f>
        <v>Unprocessed natural gas</v>
      </c>
      <c r="E91" s="228" cm="1">
        <f t="array" ref="E91">Common_InputFunctions.Utility_DisplayArrayInTable(Fuel_SourceData.Fuel_Scope1EmissionFactorsStationaryGaseous_Data(), Table_Fuel_EFs_StationaryGaseous[[#Headers],[Fuel combusted]],0)</f>
        <v>3.9300000000000002E-2</v>
      </c>
      <c r="F91" s="228" t="str" cm="1">
        <f t="array" ref="F91">Common_InputFunctions.Utility_DisplayArrayInTable(Fuel_SourceData.Fuel_Scope1EmissionFactorsStationaryGaseous_Data(), Table_Fuel_EFs_StationaryGaseous[[#Headers],[Fuel combusted]],0)</f>
        <v>m3</v>
      </c>
      <c r="G91" s="228" cm="1">
        <f t="array" ref="G91">Common_InputFunctions.Utility_DisplayArrayInTable(Fuel_SourceData.Fuel_Scope1EmissionFactorsStationaryGaseous_Data(), Table_Fuel_EFs_StationaryGaseous[[#Headers],[Fuel combusted]],0)</f>
        <v>51.4</v>
      </c>
      <c r="H91" s="228" cm="1">
        <f t="array" ref="H91">Common_InputFunctions.Utility_DisplayArrayInTable(Fuel_SourceData.Fuel_Scope1EmissionFactorsStationaryGaseous_Data(), Table_Fuel_EFs_StationaryGaseous[[#Headers],[Fuel combusted]],0)</f>
        <v>0.1</v>
      </c>
      <c r="I91" s="228" cm="1">
        <f t="array" ref="I91">Common_InputFunctions.Utility_DisplayArrayInTable(Fuel_SourceData.Fuel_Scope1EmissionFactorsStationaryGaseous_Data(), Table_Fuel_EFs_StationaryGaseous[[#Headers],[Fuel combusted]],0)</f>
        <v>0.03</v>
      </c>
      <c r="J91" s="228" cm="1">
        <f t="array" ref="J91">Common_InputFunctions.Utility_DisplayArrayInTable(Fuel_SourceData.Fuel_Scope1EmissionFactorsStationaryGaseous_Data(), Table_Fuel_EFs_StationaryGaseous[[#Headers],[Fuel combusted]],0)</f>
        <v>51.53</v>
      </c>
      <c r="K91" s="176"/>
      <c r="L91" s="176"/>
    </row>
    <row r="92" spans="4:12" ht="20.100000000000001" customHeight="1" x14ac:dyDescent="0.25">
      <c r="D92" s="228" t="str" cm="1">
        <f t="array" ref="D92">Common_InputFunctions.Utility_DisplayArrayInTable(Fuel_SourceData.Fuel_Scope1EmissionFactorsStationaryGaseous_Data(), Table_Fuel_EFs_StationaryGaseous[[#Headers],[Fuel combusted]],0)</f>
        <v>Ethane</v>
      </c>
      <c r="E92" s="228" cm="1">
        <f t="array" ref="E92">Common_InputFunctions.Utility_DisplayArrayInTable(Fuel_SourceData.Fuel_Scope1EmissionFactorsStationaryGaseous_Data(), Table_Fuel_EFs_StationaryGaseous[[#Headers],[Fuel combusted]],0)</f>
        <v>6.2899999999999998E-2</v>
      </c>
      <c r="F92" s="228" t="str" cm="1">
        <f t="array" ref="F92">Common_InputFunctions.Utility_DisplayArrayInTable(Fuel_SourceData.Fuel_Scope1EmissionFactorsStationaryGaseous_Data(), Table_Fuel_EFs_StationaryGaseous[[#Headers],[Fuel combusted]],0)</f>
        <v>m3</v>
      </c>
      <c r="G92" s="228" cm="1">
        <f t="array" ref="G92">Common_InputFunctions.Utility_DisplayArrayInTable(Fuel_SourceData.Fuel_Scope1EmissionFactorsStationaryGaseous_Data(), Table_Fuel_EFs_StationaryGaseous[[#Headers],[Fuel combusted]],0)</f>
        <v>56.5</v>
      </c>
      <c r="H92" s="228" cm="1">
        <f t="array" ref="H92">Common_InputFunctions.Utility_DisplayArrayInTable(Fuel_SourceData.Fuel_Scope1EmissionFactorsStationaryGaseous_Data(), Table_Fuel_EFs_StationaryGaseous[[#Headers],[Fuel combusted]],0)</f>
        <v>0.03</v>
      </c>
      <c r="I92" s="228" cm="1">
        <f t="array" ref="I92">Common_InputFunctions.Utility_DisplayArrayInTable(Fuel_SourceData.Fuel_Scope1EmissionFactorsStationaryGaseous_Data(), Table_Fuel_EFs_StationaryGaseous[[#Headers],[Fuel combusted]],0)</f>
        <v>0.03</v>
      </c>
      <c r="J92" s="228" cm="1">
        <f t="array" ref="J92">Common_InputFunctions.Utility_DisplayArrayInTable(Fuel_SourceData.Fuel_Scope1EmissionFactorsStationaryGaseous_Data(), Table_Fuel_EFs_StationaryGaseous[[#Headers],[Fuel combusted]],0)</f>
        <v>56.56</v>
      </c>
      <c r="K92" s="176"/>
      <c r="L92" s="176"/>
    </row>
    <row r="93" spans="4:12" ht="20.100000000000001" customHeight="1" x14ac:dyDescent="0.25">
      <c r="D93" s="228" t="str" cm="1">
        <f t="array" ref="D93">Common_InputFunctions.Utility_DisplayArrayInTable(Fuel_SourceData.Fuel_Scope1EmissionFactorsStationaryGaseous_Data(), Table_Fuel_EFs_StationaryGaseous[[#Headers],[Fuel combusted]],0)</f>
        <v>Coke oven gas</v>
      </c>
      <c r="E93" s="228" cm="1">
        <f t="array" ref="E93">Common_InputFunctions.Utility_DisplayArrayInTable(Fuel_SourceData.Fuel_Scope1EmissionFactorsStationaryGaseous_Data(), Table_Fuel_EFs_StationaryGaseous[[#Headers],[Fuel combusted]],0)</f>
        <v>1.8100000000000002E-2</v>
      </c>
      <c r="F93" s="228" t="str" cm="1">
        <f t="array" ref="F93">Common_InputFunctions.Utility_DisplayArrayInTable(Fuel_SourceData.Fuel_Scope1EmissionFactorsStationaryGaseous_Data(), Table_Fuel_EFs_StationaryGaseous[[#Headers],[Fuel combusted]],0)</f>
        <v>m3</v>
      </c>
      <c r="G93" s="228" cm="1">
        <f t="array" ref="G93">Common_InputFunctions.Utility_DisplayArrayInTable(Fuel_SourceData.Fuel_Scope1EmissionFactorsStationaryGaseous_Data(), Table_Fuel_EFs_StationaryGaseous[[#Headers],[Fuel combusted]],0)</f>
        <v>37</v>
      </c>
      <c r="H93" s="228" cm="1">
        <f t="array" ref="H93">Common_InputFunctions.Utility_DisplayArrayInTable(Fuel_SourceData.Fuel_Scope1EmissionFactorsStationaryGaseous_Data(), Table_Fuel_EFs_StationaryGaseous[[#Headers],[Fuel combusted]],0)</f>
        <v>0.03</v>
      </c>
      <c r="I93" s="228" cm="1">
        <f t="array" ref="I93">Common_InputFunctions.Utility_DisplayArrayInTable(Fuel_SourceData.Fuel_Scope1EmissionFactorsStationaryGaseous_Data(), Table_Fuel_EFs_StationaryGaseous[[#Headers],[Fuel combusted]],0)</f>
        <v>0.05</v>
      </c>
      <c r="J93" s="228" cm="1">
        <f t="array" ref="J93">Common_InputFunctions.Utility_DisplayArrayInTable(Fuel_SourceData.Fuel_Scope1EmissionFactorsStationaryGaseous_Data(), Table_Fuel_EFs_StationaryGaseous[[#Headers],[Fuel combusted]],0)</f>
        <v>37.08</v>
      </c>
      <c r="K93" s="176"/>
      <c r="L93" s="176"/>
    </row>
    <row r="94" spans="4:12" ht="20.100000000000001" customHeight="1" x14ac:dyDescent="0.25">
      <c r="D94" s="228" t="str" cm="1">
        <f t="array" ref="D94">Common_InputFunctions.Utility_DisplayArrayInTable(Fuel_SourceData.Fuel_Scope1EmissionFactorsStationaryGaseous_Data(), Table_Fuel_EFs_StationaryGaseous[[#Headers],[Fuel combusted]],0)</f>
        <v>Blast furnace gas</v>
      </c>
      <c r="E94" s="228" cm="1">
        <f t="array" ref="E94">Common_InputFunctions.Utility_DisplayArrayInTable(Fuel_SourceData.Fuel_Scope1EmissionFactorsStationaryGaseous_Data(), Table_Fuel_EFs_StationaryGaseous[[#Headers],[Fuel combusted]],0)</f>
        <v>4.0000000000000001E-3</v>
      </c>
      <c r="F94" s="228" t="str" cm="1">
        <f t="array" ref="F94">Common_InputFunctions.Utility_DisplayArrayInTable(Fuel_SourceData.Fuel_Scope1EmissionFactorsStationaryGaseous_Data(), Table_Fuel_EFs_StationaryGaseous[[#Headers],[Fuel combusted]],0)</f>
        <v>m3</v>
      </c>
      <c r="G94" s="228" cm="1">
        <f t="array" ref="G94">Common_InputFunctions.Utility_DisplayArrayInTable(Fuel_SourceData.Fuel_Scope1EmissionFactorsStationaryGaseous_Data(), Table_Fuel_EFs_StationaryGaseous[[#Headers],[Fuel combusted]],0)</f>
        <v>234</v>
      </c>
      <c r="H94" s="228" cm="1">
        <f t="array" ref="H94">Common_InputFunctions.Utility_DisplayArrayInTable(Fuel_SourceData.Fuel_Scope1EmissionFactorsStationaryGaseous_Data(), Table_Fuel_EFs_StationaryGaseous[[#Headers],[Fuel combusted]],0)</f>
        <v>0.03</v>
      </c>
      <c r="I94" s="228" cm="1">
        <f t="array" ref="I94">Common_InputFunctions.Utility_DisplayArrayInTable(Fuel_SourceData.Fuel_Scope1EmissionFactorsStationaryGaseous_Data(), Table_Fuel_EFs_StationaryGaseous[[#Headers],[Fuel combusted]],0)</f>
        <v>0.02</v>
      </c>
      <c r="J94" s="228" cm="1">
        <f t="array" ref="J94">Common_InputFunctions.Utility_DisplayArrayInTable(Fuel_SourceData.Fuel_Scope1EmissionFactorsStationaryGaseous_Data(), Table_Fuel_EFs_StationaryGaseous[[#Headers],[Fuel combusted]],0)</f>
        <v>234.05</v>
      </c>
      <c r="K94" s="176"/>
      <c r="L94" s="176"/>
    </row>
    <row r="95" spans="4:12" ht="20.100000000000001" customHeight="1" x14ac:dyDescent="0.25">
      <c r="D95" s="228" t="str" cm="1">
        <f t="array" ref="D95">Common_InputFunctions.Utility_DisplayArrayInTable(Fuel_SourceData.Fuel_Scope1EmissionFactorsStationaryGaseous_Data(), Table_Fuel_EFs_StationaryGaseous[[#Headers],[Fuel combusted]],0)</f>
        <v>Town gas</v>
      </c>
      <c r="E95" s="228" cm="1">
        <f t="array" ref="E95">Common_InputFunctions.Utility_DisplayArrayInTable(Fuel_SourceData.Fuel_Scope1EmissionFactorsStationaryGaseous_Data(), Table_Fuel_EFs_StationaryGaseous[[#Headers],[Fuel combusted]],0)</f>
        <v>3.9E-2</v>
      </c>
      <c r="F95" s="228" t="str" cm="1">
        <f t="array" ref="F95">Common_InputFunctions.Utility_DisplayArrayInTable(Fuel_SourceData.Fuel_Scope1EmissionFactorsStationaryGaseous_Data(), Table_Fuel_EFs_StationaryGaseous[[#Headers],[Fuel combusted]],0)</f>
        <v>m3</v>
      </c>
      <c r="G95" s="228" cm="1">
        <f t="array" ref="G95">Common_InputFunctions.Utility_DisplayArrayInTable(Fuel_SourceData.Fuel_Scope1EmissionFactorsStationaryGaseous_Data(), Table_Fuel_EFs_StationaryGaseous[[#Headers],[Fuel combusted]],0)</f>
        <v>60.2</v>
      </c>
      <c r="H95" s="228" cm="1">
        <f t="array" ref="H95">Common_InputFunctions.Utility_DisplayArrayInTable(Fuel_SourceData.Fuel_Scope1EmissionFactorsStationaryGaseous_Data(), Table_Fuel_EFs_StationaryGaseous[[#Headers],[Fuel combusted]],0)</f>
        <v>0.04</v>
      </c>
      <c r="I95" s="228" cm="1">
        <f t="array" ref="I95">Common_InputFunctions.Utility_DisplayArrayInTable(Fuel_SourceData.Fuel_Scope1EmissionFactorsStationaryGaseous_Data(), Table_Fuel_EFs_StationaryGaseous[[#Headers],[Fuel combusted]],0)</f>
        <v>0.03</v>
      </c>
      <c r="J95" s="228" cm="1">
        <f t="array" ref="J95">Common_InputFunctions.Utility_DisplayArrayInTable(Fuel_SourceData.Fuel_Scope1EmissionFactorsStationaryGaseous_Data(), Table_Fuel_EFs_StationaryGaseous[[#Headers],[Fuel combusted]],0)</f>
        <v>60.27</v>
      </c>
      <c r="K95" s="176"/>
      <c r="L95" s="176"/>
    </row>
    <row r="96" spans="4:12" ht="20.100000000000001" customHeight="1" x14ac:dyDescent="0.25">
      <c r="D96" s="228" t="str" cm="1">
        <f t="array" ref="D96">Common_InputFunctions.Utility_DisplayArrayInTable(Fuel_SourceData.Fuel_Scope1EmissionFactorsStationaryGaseous_Data(), Table_Fuel_EFs_StationaryGaseous[[#Headers],[Fuel combusted]],0)</f>
        <v>Liquefied natural gas</v>
      </c>
      <c r="E96" s="228" cm="1">
        <f t="array" ref="E96">Common_InputFunctions.Utility_DisplayArrayInTable(Fuel_SourceData.Fuel_Scope1EmissionFactorsStationaryGaseous_Data(), Table_Fuel_EFs_StationaryGaseous[[#Headers],[Fuel combusted]],0)</f>
        <v>25.3</v>
      </c>
      <c r="F96" s="228" t="str" cm="1">
        <f t="array" ref="F96">Common_InputFunctions.Utility_DisplayArrayInTable(Fuel_SourceData.Fuel_Scope1EmissionFactorsStationaryGaseous_Data(), Table_Fuel_EFs_StationaryGaseous[[#Headers],[Fuel combusted]],0)</f>
        <v>kL</v>
      </c>
      <c r="G96" s="228" cm="1">
        <f t="array" ref="G96">Common_InputFunctions.Utility_DisplayArrayInTable(Fuel_SourceData.Fuel_Scope1EmissionFactorsStationaryGaseous_Data(), Table_Fuel_EFs_StationaryGaseous[[#Headers],[Fuel combusted]],0)</f>
        <v>51.4</v>
      </c>
      <c r="H96" s="228" cm="1">
        <f t="array" ref="H96">Common_InputFunctions.Utility_DisplayArrayInTable(Fuel_SourceData.Fuel_Scope1EmissionFactorsStationaryGaseous_Data(), Table_Fuel_EFs_StationaryGaseous[[#Headers],[Fuel combusted]],0)</f>
        <v>0.1</v>
      </c>
      <c r="I96" s="228" cm="1">
        <f t="array" ref="I96">Common_InputFunctions.Utility_DisplayArrayInTable(Fuel_SourceData.Fuel_Scope1EmissionFactorsStationaryGaseous_Data(), Table_Fuel_EFs_StationaryGaseous[[#Headers],[Fuel combusted]],0)</f>
        <v>0.03</v>
      </c>
      <c r="J96" s="228" cm="1">
        <f t="array" ref="J96">Common_InputFunctions.Utility_DisplayArrayInTable(Fuel_SourceData.Fuel_Scope1EmissionFactorsStationaryGaseous_Data(), Table_Fuel_EFs_StationaryGaseous[[#Headers],[Fuel combusted]],0)</f>
        <v>51.53</v>
      </c>
      <c r="K96" s="176"/>
      <c r="L96" s="176"/>
    </row>
    <row r="97" spans="4:13" ht="20.100000000000001" customHeight="1" x14ac:dyDescent="0.25">
      <c r="D97" s="228" t="str" cm="1">
        <f t="array" ref="D97">Common_InputFunctions.Utility_DisplayArrayInTable(Fuel_SourceData.Fuel_Scope1EmissionFactorsStationaryGaseous_Data(), Table_Fuel_EFs_StationaryGaseous[[#Headers],[Fuel combusted]],0)</f>
        <v>Gaseous fossil fuels other than those mentioned in the items above</v>
      </c>
      <c r="E97" s="228" cm="1">
        <f t="array" ref="E97">Common_InputFunctions.Utility_DisplayArrayInTable(Fuel_SourceData.Fuel_Scope1EmissionFactorsStationaryGaseous_Data(), Table_Fuel_EFs_StationaryGaseous[[#Headers],[Fuel combusted]],0)</f>
        <v>3.9E-2</v>
      </c>
      <c r="F97" s="228" t="str" cm="1">
        <f t="array" ref="F97">Common_InputFunctions.Utility_DisplayArrayInTable(Fuel_SourceData.Fuel_Scope1EmissionFactorsStationaryGaseous_Data(), Table_Fuel_EFs_StationaryGaseous[[#Headers],[Fuel combusted]],0)</f>
        <v>m3</v>
      </c>
      <c r="G97" s="228" cm="1">
        <f t="array" ref="G97">Common_InputFunctions.Utility_DisplayArrayInTable(Fuel_SourceData.Fuel_Scope1EmissionFactorsStationaryGaseous_Data(), Table_Fuel_EFs_StationaryGaseous[[#Headers],[Fuel combusted]],0)</f>
        <v>51.4</v>
      </c>
      <c r="H97" s="228" cm="1">
        <f t="array" ref="H97">Common_InputFunctions.Utility_DisplayArrayInTable(Fuel_SourceData.Fuel_Scope1EmissionFactorsStationaryGaseous_Data(), Table_Fuel_EFs_StationaryGaseous[[#Headers],[Fuel combusted]],0)</f>
        <v>0.1</v>
      </c>
      <c r="I97" s="228" cm="1">
        <f t="array" ref="I97">Common_InputFunctions.Utility_DisplayArrayInTable(Fuel_SourceData.Fuel_Scope1EmissionFactorsStationaryGaseous_Data(), Table_Fuel_EFs_StationaryGaseous[[#Headers],[Fuel combusted]],0)</f>
        <v>0.03</v>
      </c>
      <c r="J97" s="228" cm="1">
        <f t="array" ref="J97">Common_InputFunctions.Utility_DisplayArrayInTable(Fuel_SourceData.Fuel_Scope1EmissionFactorsStationaryGaseous_Data(), Table_Fuel_EFs_StationaryGaseous[[#Headers],[Fuel combusted]],0)</f>
        <v>51.53</v>
      </c>
      <c r="K97" s="176"/>
      <c r="L97" s="176"/>
    </row>
    <row r="98" spans="4:13" ht="20.100000000000001" customHeight="1" x14ac:dyDescent="0.25">
      <c r="D98" s="228" t="str" cm="1">
        <f t="array" ref="D98">Common_InputFunctions.Utility_DisplayArrayInTable(Fuel_SourceData.Fuel_Scope1EmissionFactorsStationaryGaseous_Data(), Table_Fuel_EFs_StationaryGaseous[[#Headers],[Fuel combusted]],0)</f>
        <v>Landfill biogas that is captured for combustion (methane only)</v>
      </c>
      <c r="E98" s="228" cm="1">
        <f t="array" ref="E98">Common_InputFunctions.Utility_DisplayArrayInTable(Fuel_SourceData.Fuel_Scope1EmissionFactorsStationaryGaseous_Data(), Table_Fuel_EFs_StationaryGaseous[[#Headers],[Fuel combusted]],0)</f>
        <v>3.7699999999999997E-2</v>
      </c>
      <c r="F98" s="228" t="str" cm="1">
        <f t="array" ref="F98">Common_InputFunctions.Utility_DisplayArrayInTable(Fuel_SourceData.Fuel_Scope1EmissionFactorsStationaryGaseous_Data(), Table_Fuel_EFs_StationaryGaseous[[#Headers],[Fuel combusted]],0)</f>
        <v>m3</v>
      </c>
      <c r="G98" s="228" cm="1">
        <f t="array" ref="G98">Common_InputFunctions.Utility_DisplayArrayInTable(Fuel_SourceData.Fuel_Scope1EmissionFactorsStationaryGaseous_Data(), Table_Fuel_EFs_StationaryGaseous[[#Headers],[Fuel combusted]],0)</f>
        <v>0</v>
      </c>
      <c r="H98" s="228" cm="1">
        <f t="array" ref="H98">Common_InputFunctions.Utility_DisplayArrayInTable(Fuel_SourceData.Fuel_Scope1EmissionFactorsStationaryGaseous_Data(), Table_Fuel_EFs_StationaryGaseous[[#Headers],[Fuel combusted]],0)</f>
        <v>6.4</v>
      </c>
      <c r="I98" s="228" cm="1">
        <f t="array" ref="I98">Common_InputFunctions.Utility_DisplayArrayInTable(Fuel_SourceData.Fuel_Scope1EmissionFactorsStationaryGaseous_Data(), Table_Fuel_EFs_StationaryGaseous[[#Headers],[Fuel combusted]],0)</f>
        <v>0.03</v>
      </c>
      <c r="J98" s="228" cm="1">
        <f t="array" ref="J98">Common_InputFunctions.Utility_DisplayArrayInTable(Fuel_SourceData.Fuel_Scope1EmissionFactorsStationaryGaseous_Data(), Table_Fuel_EFs_StationaryGaseous[[#Headers],[Fuel combusted]],0)</f>
        <v>6.43</v>
      </c>
      <c r="K98" s="176"/>
      <c r="L98" s="176"/>
    </row>
    <row r="99" spans="4:13" ht="20.100000000000001" customHeight="1" x14ac:dyDescent="0.25">
      <c r="D99" s="228" t="str" cm="1">
        <f t="array" ref="D99">Common_InputFunctions.Utility_DisplayArrayInTable(Fuel_SourceData.Fuel_Scope1EmissionFactorsStationaryGaseous_Data(), Table_Fuel_EFs_StationaryGaseous[[#Headers],[Fuel combusted]],0)</f>
        <v>Sludge biogas that is captured for combustion (methane only)</v>
      </c>
      <c r="E99" s="228" cm="1">
        <f t="array" ref="E99">Common_InputFunctions.Utility_DisplayArrayInTable(Fuel_SourceData.Fuel_Scope1EmissionFactorsStationaryGaseous_Data(), Table_Fuel_EFs_StationaryGaseous[[#Headers],[Fuel combusted]],0)</f>
        <v>3.7699999999999997E-2</v>
      </c>
      <c r="F99" s="228" t="str" cm="1">
        <f t="array" ref="F99">Common_InputFunctions.Utility_DisplayArrayInTable(Fuel_SourceData.Fuel_Scope1EmissionFactorsStationaryGaseous_Data(), Table_Fuel_EFs_StationaryGaseous[[#Headers],[Fuel combusted]],0)</f>
        <v>m3</v>
      </c>
      <c r="G99" s="228" cm="1">
        <f t="array" ref="G99">Common_InputFunctions.Utility_DisplayArrayInTable(Fuel_SourceData.Fuel_Scope1EmissionFactorsStationaryGaseous_Data(), Table_Fuel_EFs_StationaryGaseous[[#Headers],[Fuel combusted]],0)</f>
        <v>0</v>
      </c>
      <c r="H99" s="228" cm="1">
        <f t="array" ref="H99">Common_InputFunctions.Utility_DisplayArrayInTable(Fuel_SourceData.Fuel_Scope1EmissionFactorsStationaryGaseous_Data(), Table_Fuel_EFs_StationaryGaseous[[#Headers],[Fuel combusted]],0)</f>
        <v>6.4</v>
      </c>
      <c r="I99" s="228" cm="1">
        <f t="array" ref="I99">Common_InputFunctions.Utility_DisplayArrayInTable(Fuel_SourceData.Fuel_Scope1EmissionFactorsStationaryGaseous_Data(), Table_Fuel_EFs_StationaryGaseous[[#Headers],[Fuel combusted]],0)</f>
        <v>0.03</v>
      </c>
      <c r="J99" s="228" cm="1">
        <f t="array" ref="J99">Common_InputFunctions.Utility_DisplayArrayInTable(Fuel_SourceData.Fuel_Scope1EmissionFactorsStationaryGaseous_Data(), Table_Fuel_EFs_StationaryGaseous[[#Headers],[Fuel combusted]],0)</f>
        <v>6.43</v>
      </c>
      <c r="K99" s="176"/>
      <c r="L99" s="176"/>
    </row>
    <row r="100" spans="4:13" ht="20.100000000000001" customHeight="1" x14ac:dyDescent="0.25">
      <c r="D100" s="22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8" cm="1">
        <f t="array" ref="E100">Common_InputFunctions.Utility_DisplayArrayInTable(Fuel_SourceData.Fuel_Scope1EmissionFactorsStationaryGaseous_Data(), Table_Fuel_EFs_StationaryGaseous[[#Headers],[Fuel combusted]],0)</f>
        <v>3.6999999999999998E-2</v>
      </c>
      <c r="F100" s="228" t="str" cm="1">
        <f t="array" ref="F100">Common_InputFunctions.Utility_DisplayArrayInTable(Fuel_SourceData.Fuel_Scope1EmissionFactorsStationaryGaseous_Data(), Table_Fuel_EFs_StationaryGaseous[[#Headers],[Fuel combusted]],0)</f>
        <v>m3</v>
      </c>
      <c r="G100" s="228" cm="1">
        <f t="array" ref="G100">Common_InputFunctions.Utility_DisplayArrayInTable(Fuel_SourceData.Fuel_Scope1EmissionFactorsStationaryGaseous_Data(), Table_Fuel_EFs_StationaryGaseous[[#Headers],[Fuel combusted]],0)</f>
        <v>0</v>
      </c>
      <c r="H100" s="228" cm="1">
        <f t="array" ref="H100">Common_InputFunctions.Utility_DisplayArrayInTable(Fuel_SourceData.Fuel_Scope1EmissionFactorsStationaryGaseous_Data(), Table_Fuel_EFs_StationaryGaseous[[#Headers],[Fuel combusted]],0)</f>
        <v>6.4</v>
      </c>
      <c r="I100" s="228" cm="1">
        <f t="array" ref="I100">Common_InputFunctions.Utility_DisplayArrayInTable(Fuel_SourceData.Fuel_Scope1EmissionFactorsStationaryGaseous_Data(), Table_Fuel_EFs_StationaryGaseous[[#Headers],[Fuel combusted]],0)</f>
        <v>0.03</v>
      </c>
      <c r="J100" s="228" cm="1">
        <f t="array" ref="J100">Common_InputFunctions.Utility_DisplayArrayInTable(Fuel_SourceData.Fuel_Scope1EmissionFactorsStationaryGaseous_Data(), Table_Fuel_EFs_StationaryGaseous[[#Headers],[Fuel combusted]],0)</f>
        <v>6.43</v>
      </c>
      <c r="K100" s="176"/>
      <c r="L100" s="176"/>
    </row>
    <row r="101" spans="4:13" ht="20.100000000000001" customHeight="1" x14ac:dyDescent="0.25">
      <c r="D101" s="228" t="str" cm="1">
        <f t="array" ref="D101">Common_InputFunctions.Utility_DisplayArrayInTable(Fuel_SourceData.Fuel_Scope1EmissionFactorsStationaryGaseous_Data(), Table_Fuel_EFs_StationaryGaseous[[#Headers],[Fuel combusted]],0)</f>
        <v>Biomethane</v>
      </c>
      <c r="E101" s="228" cm="1">
        <f t="array" ref="E101">Common_InputFunctions.Utility_DisplayArrayInTable(Fuel_SourceData.Fuel_Scope1EmissionFactorsStationaryGaseous_Data(), Table_Fuel_EFs_StationaryGaseous[[#Headers],[Fuel combusted]],0)</f>
        <v>3.9300000000000002E-2</v>
      </c>
      <c r="F101" s="228" t="str" cm="1">
        <f t="array" ref="F101">Common_InputFunctions.Utility_DisplayArrayInTable(Fuel_SourceData.Fuel_Scope1EmissionFactorsStationaryGaseous_Data(), Table_Fuel_EFs_StationaryGaseous[[#Headers],[Fuel combusted]],0)</f>
        <v>m3</v>
      </c>
      <c r="G101" s="228" cm="1">
        <f t="array" ref="G101">Common_InputFunctions.Utility_DisplayArrayInTable(Fuel_SourceData.Fuel_Scope1EmissionFactorsStationaryGaseous_Data(), Table_Fuel_EFs_StationaryGaseous[[#Headers],[Fuel combusted]],0)</f>
        <v>0</v>
      </c>
      <c r="H101" s="228" cm="1">
        <f t="array" ref="H101">Common_InputFunctions.Utility_DisplayArrayInTable(Fuel_SourceData.Fuel_Scope1EmissionFactorsStationaryGaseous_Data(), Table_Fuel_EFs_StationaryGaseous[[#Headers],[Fuel combusted]],0)</f>
        <v>0.1</v>
      </c>
      <c r="I101" s="228" cm="1">
        <f t="array" ref="I101">Common_InputFunctions.Utility_DisplayArrayInTable(Fuel_SourceData.Fuel_Scope1EmissionFactorsStationaryGaseous_Data(), Table_Fuel_EFs_StationaryGaseous[[#Headers],[Fuel combusted]],0)</f>
        <v>0.03</v>
      </c>
      <c r="J101" s="228" cm="1">
        <f t="array" ref="J101">Common_InputFunctions.Utility_DisplayArrayInTable(Fuel_SourceData.Fuel_Scope1EmissionFactorsStationaryGaseous_Data(), Table_Fuel_EFs_StationaryGaseous[[#Headers],[Fuel combusted]],0)</f>
        <v>0.13</v>
      </c>
      <c r="K101" s="176"/>
      <c r="L101" s="176"/>
    </row>
    <row r="102" spans="4:13" ht="20.100000000000001" customHeight="1" x14ac:dyDescent="0.25">
      <c r="D102" s="228" t="str" cm="1">
        <f t="array" ref="D102">Common_InputFunctions.Utility_DisplayArrayInTable(Fuel_SourceData.Fuel_Scope1EmissionFactorsStationaryGaseous_Data(), Table_Fuel_EFs_StationaryGaseous[[#Headers],[Fuel combusted]],0)</f>
        <v>Hydrogen</v>
      </c>
      <c r="E102" s="228" cm="1">
        <f t="array" ref="E102">Common_InputFunctions.Utility_DisplayArrayInTable(Fuel_SourceData.Fuel_Scope1EmissionFactorsStationaryGaseous_Data(), Table_Fuel_EFs_StationaryGaseous[[#Headers],[Fuel combusted]],0)</f>
        <v>1.2200000000000001E-2</v>
      </c>
      <c r="F102" s="228" t="str" cm="1">
        <f t="array" ref="F102">Common_InputFunctions.Utility_DisplayArrayInTable(Fuel_SourceData.Fuel_Scope1EmissionFactorsStationaryGaseous_Data(), Table_Fuel_EFs_StationaryGaseous[[#Headers],[Fuel combusted]],0)</f>
        <v>m3</v>
      </c>
      <c r="G102" s="228" cm="1">
        <f t="array" ref="G102">Common_InputFunctions.Utility_DisplayArrayInTable(Fuel_SourceData.Fuel_Scope1EmissionFactorsStationaryGaseous_Data(), Table_Fuel_EFs_StationaryGaseous[[#Headers],[Fuel combusted]],0)</f>
        <v>0</v>
      </c>
      <c r="H102" s="228" cm="1">
        <f t="array" ref="H102">Common_InputFunctions.Utility_DisplayArrayInTable(Fuel_SourceData.Fuel_Scope1EmissionFactorsStationaryGaseous_Data(), Table_Fuel_EFs_StationaryGaseous[[#Headers],[Fuel combusted]],0)</f>
        <v>0</v>
      </c>
      <c r="I102" s="228" cm="1">
        <f t="array" ref="I102">Common_InputFunctions.Utility_DisplayArrayInTable(Fuel_SourceData.Fuel_Scope1EmissionFactorsStationaryGaseous_Data(), Table_Fuel_EFs_StationaryGaseous[[#Headers],[Fuel combusted]],0)</f>
        <v>0.5</v>
      </c>
      <c r="J102" s="228" cm="1">
        <f t="array" ref="J102">Common_InputFunctions.Utility_DisplayArrayInTable(Fuel_SourceData.Fuel_Scope1EmissionFactorsStationaryGaseous_Data(), Table_Fuel_EFs_StationaryGaseous[[#Headers],[Fuel combusted]],0)</f>
        <v>0.5</v>
      </c>
      <c r="K102" s="176"/>
      <c r="L102" s="176"/>
    </row>
    <row r="103" spans="4:13" ht="20.100000000000001" customHeight="1" x14ac:dyDescent="0.25">
      <c r="D103" s="228" t="str" cm="1">
        <f t="array" ref="D103">Common_InputFunctions.Utility_DisplayArrayInTable(Fuel_SourceData.Fuel_Scope1EmissionFactorsStationaryGaseous_Data(), Table_Fuel_EFs_StationaryGaseous[[#Headers],[Fuel combusted]],0)</f>
        <v>Natural gas distributed in a pipeline - Gigajoules</v>
      </c>
      <c r="E103" s="228" cm="1">
        <f t="array" ref="E103">Common_InputFunctions.Utility_DisplayArrayInTable(Fuel_SourceData.Fuel_Scope1EmissionFactorsStationaryGaseous_Data(), Table_Fuel_EFs_StationaryGaseous[[#Headers],[Fuel combusted]],0)</f>
        <v>1</v>
      </c>
      <c r="F103" s="228" t="str" cm="1">
        <f t="array" ref="F103">Common_InputFunctions.Utility_DisplayArrayInTable(Fuel_SourceData.Fuel_Scope1EmissionFactorsStationaryGaseous_Data(), Table_Fuel_EFs_StationaryGaseous[[#Headers],[Fuel combusted]],0)</f>
        <v>GJ</v>
      </c>
      <c r="G103" s="228" cm="1">
        <f t="array" ref="G103">Common_InputFunctions.Utility_DisplayArrayInTable(Fuel_SourceData.Fuel_Scope1EmissionFactorsStationaryGaseous_Data(), Table_Fuel_EFs_StationaryGaseous[[#Headers],[Fuel combusted]],0)</f>
        <v>51.4</v>
      </c>
      <c r="H103" s="228" cm="1">
        <f t="array" ref="H103">Common_InputFunctions.Utility_DisplayArrayInTable(Fuel_SourceData.Fuel_Scope1EmissionFactorsStationaryGaseous_Data(), Table_Fuel_EFs_StationaryGaseous[[#Headers],[Fuel combusted]],0)</f>
        <v>0.1</v>
      </c>
      <c r="I103" s="228" cm="1">
        <f t="array" ref="I103">Common_InputFunctions.Utility_DisplayArrayInTable(Fuel_SourceData.Fuel_Scope1EmissionFactorsStationaryGaseous_Data(), Table_Fuel_EFs_StationaryGaseous[[#Headers],[Fuel combusted]],0)</f>
        <v>0.03</v>
      </c>
      <c r="J103" s="228" cm="1">
        <f t="array" ref="J103">Common_InputFunctions.Utility_DisplayArrayInTable(Fuel_SourceData.Fuel_Scope1EmissionFactorsStationaryGaseous_Data(), Table_Fuel_EFs_StationaryGaseous[[#Headers],[Fuel combusted]],0)</f>
        <v>51.53</v>
      </c>
      <c r="K103" s="176"/>
      <c r="L103" s="176"/>
    </row>
    <row r="104" spans="4:13" ht="20.100000000000001" customHeight="1" x14ac:dyDescent="0.25">
      <c r="D104" s="228" t="str" cm="1">
        <f t="array" ref="D104">Common_InputFunctions.Utility_DisplayArrayInTable(Fuel_SourceData.Fuel_Scope1EmissionFactorsStationaryGaseous_Data(), Table_Fuel_EFs_StationaryGaseous[[#Headers],[Fuel combusted]],0)</f>
        <v>Town gas - Gigajoules</v>
      </c>
      <c r="E104" s="228" cm="1">
        <f t="array" ref="E104">Common_InputFunctions.Utility_DisplayArrayInTable(Fuel_SourceData.Fuel_Scope1EmissionFactorsStationaryGaseous_Data(), Table_Fuel_EFs_StationaryGaseous[[#Headers],[Fuel combusted]],0)</f>
        <v>1</v>
      </c>
      <c r="F104" s="228" t="str" cm="1">
        <f t="array" ref="F104">Common_InputFunctions.Utility_DisplayArrayInTable(Fuel_SourceData.Fuel_Scope1EmissionFactorsStationaryGaseous_Data(), Table_Fuel_EFs_StationaryGaseous[[#Headers],[Fuel combusted]],0)</f>
        <v>GJ</v>
      </c>
      <c r="G104" s="228" cm="1">
        <f t="array" ref="G104">Common_InputFunctions.Utility_DisplayArrayInTable(Fuel_SourceData.Fuel_Scope1EmissionFactorsStationaryGaseous_Data(), Table_Fuel_EFs_StationaryGaseous[[#Headers],[Fuel combusted]],0)</f>
        <v>60.2</v>
      </c>
      <c r="H104" s="228" cm="1">
        <f t="array" ref="H104">Common_InputFunctions.Utility_DisplayArrayInTable(Fuel_SourceData.Fuel_Scope1EmissionFactorsStationaryGaseous_Data(), Table_Fuel_EFs_StationaryGaseous[[#Headers],[Fuel combusted]],0)</f>
        <v>0.04</v>
      </c>
      <c r="I104" s="228" cm="1">
        <f t="array" ref="I104">Common_InputFunctions.Utility_DisplayArrayInTable(Fuel_SourceData.Fuel_Scope1EmissionFactorsStationaryGaseous_Data(), Table_Fuel_EFs_StationaryGaseous[[#Headers],[Fuel combusted]],0)</f>
        <v>0.03</v>
      </c>
      <c r="J104" s="228" cm="1">
        <f t="array" ref="J104">Common_InputFunctions.Utility_DisplayArrayInTable(Fuel_SourceData.Fuel_Scope1EmissionFactorsStationaryGaseous_Data(), Table_Fuel_EFs_StationaryGaseous[[#Headers],[Fuel combusted]],0)</f>
        <v>60.27</v>
      </c>
      <c r="K104" s="176"/>
      <c r="L104" s="176"/>
    </row>
    <row r="105" spans="4:13" ht="20.100000000000001" customHeight="1" x14ac:dyDescent="0.25">
      <c r="D105" s="176"/>
      <c r="E105" s="176"/>
      <c r="F105" s="176"/>
      <c r="G105" s="176"/>
      <c r="H105" s="176"/>
      <c r="I105" s="176"/>
      <c r="J105" s="176"/>
      <c r="K105" s="176"/>
      <c r="L105" s="176"/>
      <c r="M105" s="176"/>
    </row>
    <row r="106" spans="4:13" ht="20.100000000000001" customHeight="1" x14ac:dyDescent="0.25">
      <c r="D106" s="176"/>
      <c r="E106" s="176"/>
      <c r="F106" s="176"/>
      <c r="G106" s="176"/>
      <c r="H106" s="176"/>
      <c r="I106" s="176"/>
      <c r="J106" s="176"/>
      <c r="K106" s="176"/>
      <c r="L106" s="176"/>
      <c r="M106" s="176"/>
    </row>
    <row r="107" spans="4:13" ht="20.100000000000001" customHeight="1" x14ac:dyDescent="0.25">
      <c r="D107" s="2" t="str" cm="1">
        <f t="array" ref="D107">Fuel_SourceData.Fuel_Scope3EmissionFactorsStationaryGaseous_Title()</f>
        <v>Fuel scope 3 emission factors - Stationary gaseous fuels</v>
      </c>
      <c r="E107" s="176"/>
      <c r="F107" s="176"/>
      <c r="G107" s="176"/>
      <c r="H107" s="176"/>
      <c r="I107" s="176"/>
      <c r="J107" s="176"/>
      <c r="K107" s="176"/>
      <c r="L107" s="176"/>
    </row>
    <row r="108" spans="4:13" ht="20.100000000000001" customHeight="1" x14ac:dyDescent="0.25">
      <c r="D108" s="1" t="str" cm="1">
        <f t="array" ref="D108">Fuel_SourceData.Fuel_Scope3EmissionFactorsStationaryGaseous_Description()</f>
        <v>Indirect (Scope 3) emission factors for the consumption of natural gas.</v>
      </c>
      <c r="E108" s="176"/>
      <c r="F108" s="176"/>
      <c r="G108" s="176"/>
      <c r="H108" s="176"/>
      <c r="I108" s="176"/>
      <c r="J108" s="176"/>
      <c r="K108" s="176"/>
      <c r="L108" s="176"/>
    </row>
    <row r="109" spans="4:13" ht="20.100000000000001" customHeight="1" x14ac:dyDescent="0.25">
      <c r="D109" s="28" t="str" cm="1">
        <f t="array" ref="D109">Fuel_SourceData.Fuel_Scope3EmissionFactorsStationaryGaseous_Source()</f>
        <v>Australian National Greenhouse Accounts Factors 2025 - Table 6</v>
      </c>
      <c r="E109" s="176"/>
      <c r="F109" s="176"/>
      <c r="G109" s="176"/>
      <c r="H109" s="176"/>
      <c r="I109" s="176"/>
      <c r="J109" s="176"/>
      <c r="K109" s="176"/>
      <c r="L109" s="176"/>
    </row>
    <row r="110" spans="4:13" ht="20.100000000000001" customHeight="1" x14ac:dyDescent="0.25">
      <c r="D110" s="37"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6"/>
      <c r="F110" s="176"/>
      <c r="G110" s="176"/>
      <c r="H110" s="176"/>
      <c r="I110" s="176"/>
      <c r="J110" s="176"/>
      <c r="K110" s="176"/>
      <c r="L110" s="176"/>
    </row>
    <row r="111" spans="4:13" ht="20.100000000000001" customHeight="1" x14ac:dyDescent="0.25">
      <c r="D111" s="176"/>
      <c r="E111" s="176"/>
      <c r="F111" s="176"/>
      <c r="G111" s="176"/>
      <c r="H111" s="176"/>
      <c r="I111" s="176"/>
      <c r="J111" s="176"/>
      <c r="K111" s="176"/>
      <c r="L111" s="176"/>
    </row>
    <row r="112" spans="4:13" ht="20.100000000000001" customHeight="1" x14ac:dyDescent="0.25">
      <c r="D112" s="194" t="s">
        <v>768</v>
      </c>
      <c r="E112" s="225" t="s">
        <v>702</v>
      </c>
      <c r="F112" s="225" t="s">
        <v>769</v>
      </c>
      <c r="G112" s="176"/>
      <c r="H112" s="89" t="s">
        <v>770</v>
      </c>
      <c r="I112" s="176"/>
      <c r="J112" s="176"/>
      <c r="K112" s="176"/>
      <c r="L112" s="176"/>
    </row>
    <row r="113" spans="4:13" ht="20.100000000000001" customHeight="1" x14ac:dyDescent="0.25">
      <c r="D113" s="229" t="str" cm="1">
        <f t="array" ref="D113">Common_InputFunctions.Utility_DisplayArrayInTable(Fuel_SourceData.Fuel_Scope3EmissionFactorsStationaryGaseous_Data(), Table_Fuel_EFs_StationaryGaseous34[[#Headers],[State or territory]],0)</f>
        <v>New South Wales</v>
      </c>
      <c r="E113" s="229" cm="1">
        <f t="array" ref="E113">Common_InputFunctions.Utility_DisplayArrayInTable(Fuel_SourceData.Fuel_Scope3EmissionFactorsStationaryGaseous_Data(), Table_Fuel_EFs_StationaryGaseous34[[#Headers],[State or territory]],0)</f>
        <v>13.1</v>
      </c>
      <c r="F113" s="229" cm="1">
        <f t="array" ref="F113">Common_InputFunctions.Utility_DisplayArrayInTable(Fuel_SourceData.Fuel_Scope3EmissionFactorsStationaryGaseous_Data(), Table_Fuel_EFs_StationaryGaseous34[[#Headers],[State or territory]],0)</f>
        <v>14</v>
      </c>
      <c r="G113" s="230"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6"/>
      <c r="J113" s="176"/>
      <c r="K113" s="176"/>
      <c r="L113" s="176"/>
    </row>
    <row r="114" spans="4:13" ht="20.100000000000001" customHeight="1" x14ac:dyDescent="0.25">
      <c r="D114" s="229" t="str" cm="1">
        <f t="array" ref="D114">Common_InputFunctions.Utility_DisplayArrayInTable(Fuel_SourceData.Fuel_Scope3EmissionFactorsStationaryGaseous_Data(), Table_Fuel_EFs_StationaryGaseous34[[#Headers],[State or territory]],0)</f>
        <v>ACT</v>
      </c>
      <c r="E114" s="229" cm="1">
        <f t="array" ref="E114">Common_InputFunctions.Utility_DisplayArrayInTable(Fuel_SourceData.Fuel_Scope3EmissionFactorsStationaryGaseous_Data(), Table_Fuel_EFs_StationaryGaseous34[[#Headers],[State or territory]],0)</f>
        <v>13.1</v>
      </c>
      <c r="F114" s="229" cm="1">
        <f t="array" ref="F114">Common_InputFunctions.Utility_DisplayArrayInTable(Fuel_SourceData.Fuel_Scope3EmissionFactorsStationaryGaseous_Data(), Table_Fuel_EFs_StationaryGaseous34[[#Headers],[State or territory]],0)</f>
        <v>14</v>
      </c>
      <c r="G114" s="230" t="str">
        <v/>
      </c>
      <c r="H114" s="1" t="str">
        <v>Gas reaches end users either from the metro distribution networks or direct from the high - pressure distribution pipelines.</v>
      </c>
      <c r="I114" s="176"/>
      <c r="J114" s="176"/>
      <c r="K114" s="176"/>
      <c r="L114" s="176"/>
    </row>
    <row r="115" spans="4:13" ht="20.100000000000001" customHeight="1" x14ac:dyDescent="0.25">
      <c r="D115" s="229" t="str" cm="1">
        <f t="array" ref="D115">Common_InputFunctions.Utility_DisplayArrayInTable(Fuel_SourceData.Fuel_Scope3EmissionFactorsStationaryGaseous_Data(), Table_Fuel_EFs_StationaryGaseous34[[#Headers],[State or territory]],0)</f>
        <v>Victoria</v>
      </c>
      <c r="E115" s="229" cm="1">
        <f t="array" ref="E115">Common_InputFunctions.Utility_DisplayArrayInTable(Fuel_SourceData.Fuel_Scope3EmissionFactorsStationaryGaseous_Data(), Table_Fuel_EFs_StationaryGaseous34[[#Headers],[State or territory]],0)</f>
        <v>4</v>
      </c>
      <c r="F115" s="229" cm="1">
        <f t="array" ref="F115">Common_InputFunctions.Utility_DisplayArrayInTable(Fuel_SourceData.Fuel_Scope3EmissionFactorsStationaryGaseous_Data(), Table_Fuel_EFs_StationaryGaseous34[[#Headers],[State or territory]],0)</f>
        <v>4</v>
      </c>
      <c r="G115" s="230" t="str">
        <v/>
      </c>
      <c r="H115" s="1" t="str">
        <v>Households and commercial users tend to be served by the former, and electricity generators and large industrial plants from the latter.</v>
      </c>
      <c r="I115" s="176"/>
      <c r="J115" s="176"/>
      <c r="K115" s="176"/>
      <c r="L115" s="176"/>
    </row>
    <row r="116" spans="4:13" ht="20.100000000000001" customHeight="1" x14ac:dyDescent="0.25">
      <c r="D116" s="229" t="str" cm="1">
        <f t="array" ref="D116">Common_InputFunctions.Utility_DisplayArrayInTable(Fuel_SourceData.Fuel_Scope3EmissionFactorsStationaryGaseous_Data(), Table_Fuel_EFs_StationaryGaseous34[[#Headers],[State or territory]],0)</f>
        <v>Queensland</v>
      </c>
      <c r="E116" s="229" cm="1">
        <f t="array" ref="E116">Common_InputFunctions.Utility_DisplayArrayInTable(Fuel_SourceData.Fuel_Scope3EmissionFactorsStationaryGaseous_Data(), Table_Fuel_EFs_StationaryGaseous34[[#Headers],[State or territory]],0)</f>
        <v>8.8000000000000007</v>
      </c>
      <c r="F116" s="229" cm="1">
        <f t="array" ref="F116">Common_InputFunctions.Utility_DisplayArrayInTable(Fuel_SourceData.Fuel_Scope3EmissionFactorsStationaryGaseous_Data(), Table_Fuel_EFs_StationaryGaseous34[[#Headers],[State or territory]],0)</f>
        <v>7.9</v>
      </c>
      <c r="G116" s="230" t="str">
        <v>-</v>
      </c>
      <c r="H116" s="1" t="str">
        <v>Metro is defined as located on or east of the dividing range in NSW, including Canberra and Queanbeyan, Melbourne, Brisbane, Adelaide or Perth.</v>
      </c>
      <c r="I116" s="176"/>
      <c r="J116" s="176"/>
      <c r="K116" s="176"/>
      <c r="L116" s="176"/>
    </row>
    <row r="117" spans="4:13" ht="20.100000000000001" customHeight="1" x14ac:dyDescent="0.25">
      <c r="D117" s="229" t="str" cm="1">
        <f t="array" ref="D117">Common_InputFunctions.Utility_DisplayArrayInTable(Fuel_SourceData.Fuel_Scope3EmissionFactorsStationaryGaseous_Data(), Table_Fuel_EFs_StationaryGaseous34[[#Headers],[State or territory]],0)</f>
        <v>South Australia</v>
      </c>
      <c r="E117" s="229" cm="1">
        <f t="array" ref="E117">Common_InputFunctions.Utility_DisplayArrayInTable(Fuel_SourceData.Fuel_Scope3EmissionFactorsStationaryGaseous_Data(), Table_Fuel_EFs_StationaryGaseous34[[#Headers],[State or territory]],0)</f>
        <v>10.7</v>
      </c>
      <c r="F117" s="229" cm="1">
        <f t="array" ref="F117">Common_InputFunctions.Utility_DisplayArrayInTable(Fuel_SourceData.Fuel_Scope3EmissionFactorsStationaryGaseous_Data(), Table_Fuel_EFs_StationaryGaseous34[[#Headers],[State or territory]],0)</f>
        <v>10.6</v>
      </c>
      <c r="G117" s="230" t="str">
        <v/>
      </c>
      <c r="H117" s="1" t="str">
        <v>Otherwise, the non - metro factor should be used.</v>
      </c>
      <c r="I117" s="176"/>
      <c r="J117" s="176"/>
      <c r="K117" s="176"/>
      <c r="L117" s="176"/>
    </row>
    <row r="118" spans="4:13" ht="20.100000000000001" customHeight="1" x14ac:dyDescent="0.25">
      <c r="D118" s="229" t="str" cm="1">
        <f t="array" ref="D118">Common_InputFunctions.Utility_DisplayArrayInTable(Fuel_SourceData.Fuel_Scope3EmissionFactorsStationaryGaseous_Data(), Table_Fuel_EFs_StationaryGaseous34[[#Headers],[State or territory]],0)</f>
        <v>Western Australia</v>
      </c>
      <c r="E118" s="229" cm="1">
        <f t="array" ref="E118">Common_InputFunctions.Utility_DisplayArrayInTable(Fuel_SourceData.Fuel_Scope3EmissionFactorsStationaryGaseous_Data(), Table_Fuel_EFs_StationaryGaseous34[[#Headers],[State or territory]],0)</f>
        <v>4.0999999999999996</v>
      </c>
      <c r="F118" s="229" cm="1">
        <f t="array" ref="F118">Common_InputFunctions.Utility_DisplayArrayInTable(Fuel_SourceData.Fuel_Scope3EmissionFactorsStationaryGaseous_Data(), Table_Fuel_EFs_StationaryGaseous34[[#Headers],[State or territory]],0)</f>
        <v>4</v>
      </c>
      <c r="G118" s="230" t="str">
        <v>-</v>
      </c>
      <c r="H118" s="1" t="str">
        <v>Factors are calculated for all natural gas distributed in a pipeline which may include coal seam methane.</v>
      </c>
      <c r="I118" s="176"/>
      <c r="J118" s="176"/>
      <c r="K118" s="176"/>
      <c r="L118" s="176"/>
    </row>
    <row r="119" spans="4:13" ht="20.100000000000001" customHeight="1" x14ac:dyDescent="0.25">
      <c r="D119" s="229" t="str" cm="1">
        <f t="array" ref="D119">Common_InputFunctions.Utility_DisplayArrayInTable(Fuel_SourceData.Fuel_Scope3EmissionFactorsStationaryGaseous_Data(), Table_Fuel_EFs_StationaryGaseous34[[#Headers],[State or territory]],0)</f>
        <v>Tasmania</v>
      </c>
      <c r="E119" s="229" cm="1">
        <f t="array" ref="E119">Common_InputFunctions.Utility_DisplayArrayInTable(Fuel_SourceData.Fuel_Scope3EmissionFactorsStationaryGaseous_Data(), Table_Fuel_EFs_StationaryGaseous34[[#Headers],[State or territory]],0)</f>
        <v>4</v>
      </c>
      <c r="F119" s="229" cm="1">
        <f t="array" ref="F119">Common_InputFunctions.Utility_DisplayArrayInTable(Fuel_SourceData.Fuel_Scope3EmissionFactorsStationaryGaseous_Data(), Table_Fuel_EFs_StationaryGaseous34[[#Headers],[State or territory]],0)</f>
        <v>4</v>
      </c>
      <c r="G119" s="230" t="str">
        <v>-</v>
      </c>
      <c r="H119" s="1" t="str">
        <v>Table 6 is not applicable to ethane. See Table 7 Indirect (Scope 3) emissions from the consumption of ethane.</v>
      </c>
      <c r="I119" s="176"/>
      <c r="J119" s="176"/>
      <c r="K119" s="176"/>
      <c r="L119" s="176"/>
    </row>
    <row r="120" spans="4:13" ht="20.100000000000001" customHeight="1" x14ac:dyDescent="0.25">
      <c r="D120" s="229" t="str" cm="1">
        <f t="array" ref="D120">Common_InputFunctions.Utility_DisplayArrayInTable(Fuel_SourceData.Fuel_Scope3EmissionFactorsStationaryGaseous_Data(), Table_Fuel_EFs_StationaryGaseous34[[#Headers],[State or territory]],0)</f>
        <v>Northern Territory</v>
      </c>
      <c r="E120" s="229" cm="1">
        <f t="array" ref="E120">Common_InputFunctions.Utility_DisplayArrayInTable(Fuel_SourceData.Fuel_Scope3EmissionFactorsStationaryGaseous_Data(), Table_Fuel_EFs_StationaryGaseous34[[#Headers],[State or territory]],0)</f>
        <v>4.0999999999999996</v>
      </c>
      <c r="F120" s="229" cm="1">
        <f t="array" ref="F120">Common_InputFunctions.Utility_DisplayArrayInTable(Fuel_SourceData.Fuel_Scope3EmissionFactorsStationaryGaseous_Data(), Table_Fuel_EFs_StationaryGaseous34[[#Headers],[State or territory]],0)</f>
        <v>4</v>
      </c>
      <c r="G120" s="230" t="str">
        <v>-</v>
      </c>
      <c r="H120" s="1" t="str">
        <v>C = Confidential. Scope 3 emission factors for Tasmania and the Northern Territory are not available due to confidentiality constraints that arise</v>
      </c>
      <c r="I120" s="176"/>
      <c r="J120" s="176"/>
      <c r="K120" s="176"/>
      <c r="L120" s="176"/>
    </row>
    <row r="121" spans="4:13" ht="20.100000000000001" customHeight="1" x14ac:dyDescent="0.25">
      <c r="D121" s="8"/>
      <c r="E121" s="8"/>
      <c r="F121" s="8"/>
      <c r="G121" s="230" t="str">
        <v/>
      </c>
      <c r="H121" s="1" t="str">
        <v>from the use of a limited number of NGER data inputs. It is suggested that for Tasmania the use of the Victorian emission factors is appropriate,</v>
      </c>
      <c r="I121" s="176"/>
      <c r="J121" s="176"/>
      <c r="K121" s="176"/>
      <c r="L121" s="176"/>
    </row>
    <row r="122" spans="4:13" ht="20.100000000000001" customHeight="1" x14ac:dyDescent="0.25">
      <c r="D122" s="176"/>
      <c r="F122" s="231"/>
      <c r="G122" s="230" t="str">
        <v/>
      </c>
      <c r="H122" s="1" t="str">
        <v>while for Northern Territory the use of the Western Australian emission factors is appropriate.</v>
      </c>
      <c r="I122" s="176"/>
      <c r="J122" s="176"/>
      <c r="K122" s="176"/>
      <c r="L122" s="176"/>
    </row>
    <row r="123" spans="4:13" ht="20.100000000000001" customHeight="1" x14ac:dyDescent="0.25">
      <c r="D123" s="232"/>
      <c r="F123" s="231"/>
      <c r="G123" s="230" t="str">
        <v>-</v>
      </c>
      <c r="H123" s="1" t="str">
        <v>Scope 3 emission factors do not include fugitive emission leakage from low pressure natural gas distribution pipeline networks while those from high pressure</v>
      </c>
      <c r="I123" s="176"/>
      <c r="J123" s="176"/>
      <c r="K123" s="176"/>
      <c r="L123" s="176"/>
    </row>
    <row r="124" spans="4:13" ht="20.100000000000001" customHeight="1" x14ac:dyDescent="0.25">
      <c r="D124" s="232"/>
      <c r="F124" s="231"/>
      <c r="G124" s="176" t="str">
        <v/>
      </c>
      <c r="H124" s="1" t="str">
        <v>gas networks are considered negligible.</v>
      </c>
      <c r="I124" s="176"/>
      <c r="J124" s="176"/>
      <c r="K124" s="176"/>
      <c r="L124" s="176"/>
    </row>
    <row r="125" spans="4:13" ht="20.100000000000001" customHeight="1" x14ac:dyDescent="0.25">
      <c r="D125" s="232"/>
      <c r="F125" s="231"/>
      <c r="G125" s="176"/>
      <c r="H125" s="176"/>
      <c r="I125" s="176"/>
      <c r="J125" s="176"/>
      <c r="K125" s="176"/>
      <c r="L125" s="176"/>
    </row>
    <row r="126" spans="4:13" ht="20.100000000000001" customHeight="1" x14ac:dyDescent="0.25">
      <c r="D126" s="176"/>
      <c r="E126" s="176"/>
      <c r="F126" s="176"/>
      <c r="G126" s="176"/>
      <c r="H126" s="176"/>
      <c r="I126" s="176"/>
      <c r="J126" s="176"/>
      <c r="K126" s="176"/>
      <c r="L126" s="176"/>
      <c r="M126" s="176"/>
    </row>
    <row r="127" spans="4:13" ht="20.100000000000001" customHeight="1" x14ac:dyDescent="0.25">
      <c r="D127" s="176"/>
      <c r="E127" s="176"/>
      <c r="F127" s="176"/>
      <c r="G127" s="176"/>
      <c r="H127" s="176"/>
      <c r="I127" s="176"/>
      <c r="J127" s="176"/>
      <c r="K127" s="176"/>
      <c r="L127" s="176"/>
      <c r="M127" s="176"/>
    </row>
    <row r="128" spans="4:13" ht="20.100000000000001" customHeight="1" x14ac:dyDescent="0.25">
      <c r="D128" s="176"/>
      <c r="E128" s="176"/>
      <c r="F128" s="176"/>
      <c r="G128" s="176"/>
      <c r="H128" s="176"/>
      <c r="I128" s="176"/>
      <c r="J128" s="176"/>
      <c r="K128" s="176"/>
      <c r="L128" s="176"/>
      <c r="M128" s="176"/>
    </row>
    <row r="129" spans="4:33" ht="20.100000000000001" customHeight="1" x14ac:dyDescent="0.25">
      <c r="D129" s="233"/>
      <c r="E129" s="176"/>
      <c r="F129" s="176"/>
      <c r="G129" s="176"/>
      <c r="H129" s="176"/>
      <c r="I129" s="176"/>
      <c r="J129" s="176"/>
      <c r="K129" s="176"/>
      <c r="L129" s="176"/>
    </row>
    <row r="130" spans="4:33" ht="20.100000000000001" customHeight="1" x14ac:dyDescent="0.25">
      <c r="D130" s="234" t="s">
        <v>771</v>
      </c>
      <c r="E130" s="234" t="s">
        <v>711</v>
      </c>
      <c r="F130" s="234" t="s">
        <v>772</v>
      </c>
      <c r="G130" s="234" t="s">
        <v>714</v>
      </c>
      <c r="H130" s="234" t="s">
        <v>716</v>
      </c>
      <c r="I130" s="234" t="s">
        <v>717</v>
      </c>
      <c r="J130" s="176"/>
      <c r="K130" s="176"/>
      <c r="L130" s="176"/>
    </row>
    <row r="131" spans="4:33" ht="20.100000000000001" customHeight="1" x14ac:dyDescent="0.25">
      <c r="D131" s="235" t="str">
        <f>$D$143</f>
        <v>Petrol</v>
      </c>
      <c r="E131" s="235" t="str">
        <f>$D$143</f>
        <v>Petrol</v>
      </c>
      <c r="F131" s="235" t="str">
        <f>$D$150</f>
        <v>Avgas</v>
      </c>
      <c r="G131" s="235" t="str">
        <f>$D$143</f>
        <v>Petrol</v>
      </c>
      <c r="H131" s="235" t="str">
        <f>$D$144</f>
        <v>Diesel</v>
      </c>
      <c r="I131" s="235" t="str">
        <f>$D$143</f>
        <v>Petrol</v>
      </c>
      <c r="J131" s="176"/>
      <c r="K131" s="176"/>
      <c r="L131" s="176"/>
    </row>
    <row r="132" spans="4:33" ht="20.100000000000001" customHeight="1" x14ac:dyDescent="0.25">
      <c r="D132" s="235" t="str">
        <f>$D$144</f>
        <v>Diesel</v>
      </c>
      <c r="E132" s="235" t="str">
        <f>$D$144</f>
        <v>Diesel</v>
      </c>
      <c r="F132" s="235" t="str">
        <f>$D$151</f>
        <v>Jet A1, Jet B</v>
      </c>
      <c r="G132" s="235" t="str">
        <f>$D$144</f>
        <v>Diesel</v>
      </c>
      <c r="H132" s="235"/>
      <c r="I132" s="235" t="str">
        <f>$D$144</f>
        <v>Diesel</v>
      </c>
      <c r="J132" s="176"/>
      <c r="K132" s="176"/>
      <c r="L132" s="176"/>
    </row>
    <row r="133" spans="4:33" ht="20.100000000000001" customHeight="1" x14ac:dyDescent="0.25">
      <c r="D133" s="235" t="str">
        <f>$D$145</f>
        <v>Liquefied petroleum gas (LPG)</v>
      </c>
      <c r="E133" s="235" t="str">
        <f>$D$145</f>
        <v>Liquefied petroleum gas (LPG)</v>
      </c>
      <c r="F133" s="235" t="str">
        <f>$D$152</f>
        <v>Renewable aviation kerosene</v>
      </c>
      <c r="G133" s="235" t="str">
        <f>$D$145</f>
        <v>Liquefied petroleum gas (LPG)</v>
      </c>
      <c r="H133" s="235"/>
      <c r="I133" s="235" t="s">
        <v>718</v>
      </c>
      <c r="J133" s="176"/>
      <c r="K133" s="176"/>
      <c r="L133" s="176"/>
    </row>
    <row r="134" spans="4:33" ht="20.100000000000001" customHeight="1" x14ac:dyDescent="0.25">
      <c r="D134" s="235" t="str">
        <f>$D$146</f>
        <v>Biodiesel</v>
      </c>
      <c r="E134" s="235" t="str">
        <f>$D$146</f>
        <v>Biodiesel</v>
      </c>
      <c r="F134" s="234"/>
      <c r="G134" s="235" t="str">
        <f>$D$160</f>
        <v>Fuel oil</v>
      </c>
      <c r="H134" s="235"/>
      <c r="I134" s="235"/>
      <c r="J134" s="176"/>
      <c r="K134" s="176"/>
      <c r="L134" s="176"/>
    </row>
    <row r="135" spans="4:33" ht="20.100000000000001" customHeight="1" x14ac:dyDescent="0.25">
      <c r="D135" s="235" t="str">
        <f>$D$147</f>
        <v>Ethanol</v>
      </c>
      <c r="E135" s="235" t="str">
        <f>$D$147</f>
        <v>Ethanol</v>
      </c>
      <c r="F135" s="234"/>
      <c r="G135" s="235" t="str">
        <f>$D$147</f>
        <v>Ethanol</v>
      </c>
      <c r="H135" s="235"/>
      <c r="I135" s="235"/>
      <c r="J135" s="176"/>
      <c r="K135" s="176"/>
      <c r="L135" s="176"/>
    </row>
    <row r="136" spans="4:33" ht="20.100000000000001" customHeight="1" x14ac:dyDescent="0.25">
      <c r="D136" s="235" t="str">
        <f>$D$148</f>
        <v>Other biofuels</v>
      </c>
      <c r="E136" s="235" t="str">
        <f>$D$148</f>
        <v>Other biofuels</v>
      </c>
      <c r="F136" s="234"/>
      <c r="G136" s="235" t="str">
        <f>$D$146</f>
        <v>Biodiesel</v>
      </c>
      <c r="H136" s="235"/>
      <c r="I136" s="235"/>
      <c r="J136" s="176"/>
      <c r="K136" s="176"/>
      <c r="L136" s="176"/>
    </row>
    <row r="137" spans="4:33" ht="20.100000000000001" customHeight="1" x14ac:dyDescent="0.25">
      <c r="D137" s="235" t="str">
        <f>$D$149</f>
        <v>Renewable diesel</v>
      </c>
      <c r="E137" s="235" t="str">
        <f>$D$149</f>
        <v>Renewable diesel</v>
      </c>
      <c r="F137" s="234"/>
      <c r="G137" s="235" t="str">
        <f>$D$149</f>
        <v>Renewable diesel</v>
      </c>
      <c r="H137" s="235"/>
      <c r="I137" s="235"/>
      <c r="J137" s="176"/>
      <c r="K137" s="176"/>
      <c r="L137" s="176"/>
    </row>
    <row r="138" spans="4:33" ht="20.100000000000001" customHeight="1" x14ac:dyDescent="0.25">
      <c r="D138" s="234"/>
      <c r="E138" s="236" t="str">
        <f>$D$161</f>
        <v>Natural gas (via pipeline) in GJ</v>
      </c>
      <c r="F138" s="236"/>
      <c r="G138" s="235" t="str">
        <f>$D$148</f>
        <v>Other biofuels</v>
      </c>
      <c r="H138" s="235"/>
      <c r="I138" s="235"/>
      <c r="J138" s="176"/>
      <c r="K138" s="176"/>
      <c r="L138" s="176"/>
    </row>
    <row r="139" spans="4:33" ht="20.100000000000001" customHeight="1" x14ac:dyDescent="0.25">
      <c r="D139" s="236"/>
      <c r="E139" s="236" t="str">
        <f>$D$162</f>
        <v>Town gas in GJ</v>
      </c>
      <c r="F139" s="236"/>
      <c r="G139" s="236"/>
      <c r="H139" s="236"/>
      <c r="I139" s="236"/>
      <c r="J139" s="176"/>
      <c r="K139" s="176"/>
      <c r="L139" s="176"/>
    </row>
    <row r="140" spans="4:33" ht="20.100000000000001" customHeight="1" x14ac:dyDescent="0.25">
      <c r="D140" s="176"/>
      <c r="E140" s="176"/>
      <c r="F140" s="176"/>
      <c r="G140" s="176"/>
      <c r="H140" s="176"/>
      <c r="I140" s="176"/>
      <c r="J140" s="176"/>
      <c r="K140" s="176"/>
      <c r="L140" s="176"/>
    </row>
    <row r="141" spans="4:33" ht="20.100000000000001" customHeight="1" x14ac:dyDescent="0.25">
      <c r="D141" s="176"/>
      <c r="E141" s="176"/>
      <c r="F141" s="176"/>
      <c r="G141" s="176"/>
      <c r="H141" s="176"/>
      <c r="I141" s="176"/>
      <c r="J141" s="176"/>
      <c r="K141" s="176"/>
      <c r="L141" s="176"/>
    </row>
    <row r="142" spans="4:33" ht="20.100000000000001" customHeight="1" x14ac:dyDescent="0.25">
      <c r="D142" t="s">
        <v>773</v>
      </c>
      <c r="E142" t="s">
        <v>133</v>
      </c>
      <c r="F142" t="s">
        <v>774</v>
      </c>
      <c r="G142" s="176"/>
      <c r="H142" s="176"/>
      <c r="I142" s="176"/>
      <c r="J142" s="176"/>
      <c r="K142" s="176"/>
      <c r="L142" s="176"/>
      <c r="M142" s="176"/>
      <c r="AG142" s="1"/>
    </row>
    <row r="143" spans="4:33" ht="20.100000000000001" customHeight="1" x14ac:dyDescent="0.25">
      <c r="D143" s="235" t="s">
        <v>713</v>
      </c>
      <c r="E143" t="s">
        <v>775</v>
      </c>
      <c r="F143" t="s">
        <v>776</v>
      </c>
      <c r="G143" s="176"/>
      <c r="H143" s="176"/>
      <c r="I143" s="176"/>
      <c r="J143" s="176"/>
      <c r="K143" s="176"/>
      <c r="L143" s="176"/>
      <c r="M143" s="176"/>
      <c r="AG143" s="1"/>
    </row>
    <row r="144" spans="4:33" ht="20.100000000000001" customHeight="1" x14ac:dyDescent="0.25">
      <c r="D144" s="235" t="s">
        <v>715</v>
      </c>
      <c r="E144" t="s">
        <v>775</v>
      </c>
      <c r="F144" t="s">
        <v>776</v>
      </c>
      <c r="G144" s="176"/>
      <c r="H144" s="176"/>
      <c r="I144" s="176"/>
      <c r="J144" s="176"/>
      <c r="K144" s="176"/>
      <c r="L144" s="176"/>
      <c r="M144" s="176"/>
      <c r="AG144" s="1"/>
    </row>
    <row r="145" spans="4:33" ht="20.100000000000001" customHeight="1" x14ac:dyDescent="0.25">
      <c r="D145" s="235" t="s">
        <v>777</v>
      </c>
      <c r="E145" t="s">
        <v>775</v>
      </c>
      <c r="F145" t="s">
        <v>776</v>
      </c>
      <c r="G145" s="176"/>
      <c r="H145" s="176"/>
      <c r="I145" s="176"/>
      <c r="J145" s="176"/>
      <c r="K145" s="176"/>
      <c r="L145" s="176"/>
      <c r="M145" s="176"/>
      <c r="AG145" s="1"/>
    </row>
    <row r="146" spans="4:33" ht="20.100000000000001" customHeight="1" x14ac:dyDescent="0.25">
      <c r="D146" s="235" t="s">
        <v>778</v>
      </c>
      <c r="E146" t="s">
        <v>775</v>
      </c>
      <c r="F146" t="s">
        <v>776</v>
      </c>
      <c r="G146" s="176"/>
      <c r="H146" s="176"/>
      <c r="I146" s="176"/>
      <c r="J146" s="176"/>
      <c r="K146" s="176"/>
      <c r="L146" s="176"/>
      <c r="M146" s="176"/>
      <c r="AG146" s="1"/>
    </row>
    <row r="147" spans="4:33" ht="20.100000000000001" customHeight="1" x14ac:dyDescent="0.25">
      <c r="D147" s="235" t="s">
        <v>779</v>
      </c>
      <c r="E147" t="s">
        <v>775</v>
      </c>
      <c r="F147" t="s">
        <v>776</v>
      </c>
      <c r="G147" s="176"/>
      <c r="H147" s="176"/>
      <c r="I147" s="176"/>
      <c r="J147" s="176"/>
      <c r="K147" s="176"/>
      <c r="L147" s="176"/>
      <c r="M147" s="176"/>
      <c r="AG147" s="1"/>
    </row>
    <row r="148" spans="4:33" ht="20.100000000000001" customHeight="1" x14ac:dyDescent="0.25">
      <c r="D148" s="235" t="s">
        <v>780</v>
      </c>
      <c r="E148" t="s">
        <v>775</v>
      </c>
      <c r="F148" t="s">
        <v>776</v>
      </c>
      <c r="G148" s="176"/>
      <c r="H148" s="176"/>
      <c r="I148" s="176"/>
      <c r="J148" s="176"/>
      <c r="K148" s="176"/>
      <c r="L148" s="176"/>
      <c r="M148" s="176"/>
      <c r="AG148" s="1"/>
    </row>
    <row r="149" spans="4:33" ht="20.100000000000001" customHeight="1" x14ac:dyDescent="0.25">
      <c r="D149" s="235" t="s">
        <v>781</v>
      </c>
      <c r="E149" t="s">
        <v>775</v>
      </c>
      <c r="F149" t="s">
        <v>776</v>
      </c>
      <c r="G149" s="176"/>
      <c r="H149" s="176"/>
      <c r="I149" s="176"/>
      <c r="J149" s="176"/>
      <c r="K149" s="176"/>
      <c r="L149" s="176"/>
      <c r="M149" s="176"/>
      <c r="AG149" s="1"/>
    </row>
    <row r="150" spans="4:33" ht="20.100000000000001" customHeight="1" x14ac:dyDescent="0.25">
      <c r="D150" s="235" t="s">
        <v>782</v>
      </c>
      <c r="E150" t="s">
        <v>775</v>
      </c>
      <c r="F150" t="s">
        <v>776</v>
      </c>
      <c r="G150" s="176"/>
      <c r="H150" s="176"/>
      <c r="I150" s="176"/>
      <c r="J150" s="176"/>
      <c r="K150" s="176"/>
      <c r="L150" s="176"/>
      <c r="M150" s="176"/>
      <c r="AG150" s="1"/>
    </row>
    <row r="151" spans="4:33" ht="20.100000000000001" customHeight="1" x14ac:dyDescent="0.25">
      <c r="D151" s="235" t="s">
        <v>783</v>
      </c>
      <c r="E151" t="s">
        <v>775</v>
      </c>
      <c r="F151" t="s">
        <v>776</v>
      </c>
      <c r="G151" s="176"/>
      <c r="H151" s="176"/>
      <c r="I151" s="176"/>
      <c r="J151" s="176"/>
      <c r="K151" s="176"/>
      <c r="L151" s="176"/>
      <c r="M151" s="176"/>
      <c r="AG151" s="1"/>
    </row>
    <row r="152" spans="4:33" ht="20.100000000000001" customHeight="1" x14ac:dyDescent="0.25">
      <c r="D152" s="237" t="s">
        <v>784</v>
      </c>
      <c r="E152" s="8" t="s">
        <v>775</v>
      </c>
      <c r="F152" t="s">
        <v>776</v>
      </c>
      <c r="G152" s="176"/>
      <c r="H152" s="176"/>
      <c r="I152" s="176"/>
      <c r="J152" s="176"/>
      <c r="K152" s="176"/>
      <c r="L152" s="176"/>
      <c r="M152" s="176"/>
      <c r="AG152" s="1"/>
    </row>
    <row r="153" spans="4:33" ht="20.100000000000001" customHeight="1" x14ac:dyDescent="0.25">
      <c r="D153" s="237" t="s">
        <v>785</v>
      </c>
      <c r="E153" s="8" t="s">
        <v>775</v>
      </c>
      <c r="F153" t="s">
        <v>776</v>
      </c>
      <c r="G153" s="176"/>
      <c r="H153" s="176"/>
      <c r="I153" s="176"/>
      <c r="J153" s="176"/>
      <c r="K153" s="176"/>
      <c r="L153" s="176"/>
      <c r="M153" s="176"/>
      <c r="AG153" s="1"/>
    </row>
    <row r="154" spans="4:33" ht="20.100000000000001" customHeight="1" x14ac:dyDescent="0.25">
      <c r="D154" s="237" t="s">
        <v>786</v>
      </c>
      <c r="E154" s="8" t="s">
        <v>775</v>
      </c>
      <c r="F154" t="s">
        <v>776</v>
      </c>
      <c r="G154" s="176"/>
      <c r="H154" s="176"/>
      <c r="I154" s="176"/>
      <c r="J154" s="176"/>
      <c r="K154" s="176"/>
      <c r="L154" s="176"/>
      <c r="M154" s="176"/>
      <c r="AG154" s="1"/>
    </row>
    <row r="155" spans="4:33" ht="20.100000000000001" customHeight="1" x14ac:dyDescent="0.25">
      <c r="D155" s="237" t="s">
        <v>787</v>
      </c>
      <c r="E155" s="8" t="s">
        <v>775</v>
      </c>
      <c r="F155" t="s">
        <v>776</v>
      </c>
      <c r="G155" s="176"/>
      <c r="H155" s="176"/>
      <c r="I155" s="176"/>
      <c r="J155" s="176"/>
      <c r="K155" s="176"/>
      <c r="L155" s="176"/>
      <c r="M155" s="176"/>
      <c r="AG155" s="1"/>
    </row>
    <row r="156" spans="4:33" ht="20.100000000000001" customHeight="1" x14ac:dyDescent="0.25">
      <c r="D156" s="237" t="s">
        <v>788</v>
      </c>
      <c r="E156" s="8" t="s">
        <v>775</v>
      </c>
      <c r="F156" t="s">
        <v>776</v>
      </c>
      <c r="G156" s="176"/>
      <c r="H156" s="176"/>
      <c r="I156" s="176"/>
      <c r="J156" s="176"/>
      <c r="K156" s="176"/>
      <c r="L156" s="176"/>
      <c r="M156" s="176"/>
      <c r="AG156" s="1"/>
    </row>
    <row r="157" spans="4:33" ht="20.100000000000001" customHeight="1" x14ac:dyDescent="0.25">
      <c r="D157" s="237" t="s">
        <v>789</v>
      </c>
      <c r="E157" s="8" t="s">
        <v>775</v>
      </c>
      <c r="F157" t="s">
        <v>776</v>
      </c>
      <c r="G157" s="176"/>
      <c r="H157" s="176"/>
      <c r="I157" s="176"/>
      <c r="J157" s="176"/>
      <c r="K157" s="176"/>
      <c r="L157" s="176"/>
      <c r="M157" s="176"/>
      <c r="AG157" s="1"/>
    </row>
    <row r="158" spans="4:33" ht="20.100000000000001" customHeight="1" x14ac:dyDescent="0.25">
      <c r="D158" s="237" t="s">
        <v>790</v>
      </c>
      <c r="E158" s="8" t="s">
        <v>775</v>
      </c>
      <c r="F158" t="s">
        <v>776</v>
      </c>
      <c r="G158" s="176"/>
      <c r="H158" s="176"/>
      <c r="I158" s="176"/>
      <c r="J158" s="176"/>
      <c r="K158" s="176"/>
      <c r="L158" s="176"/>
      <c r="M158" s="176"/>
      <c r="AG158" s="1"/>
    </row>
    <row r="159" spans="4:33" ht="20.100000000000001" customHeight="1" x14ac:dyDescent="0.25">
      <c r="D159" s="237" t="s">
        <v>791</v>
      </c>
      <c r="E159" s="8" t="s">
        <v>775</v>
      </c>
      <c r="F159" t="s">
        <v>776</v>
      </c>
      <c r="G159" s="176"/>
      <c r="H159" s="176"/>
      <c r="I159" s="176"/>
      <c r="J159" s="176"/>
      <c r="K159" s="176"/>
      <c r="L159" s="176"/>
      <c r="M159" s="176"/>
      <c r="AG159" s="1"/>
    </row>
    <row r="160" spans="4:33" ht="20.100000000000001" customHeight="1" x14ac:dyDescent="0.25">
      <c r="D160" s="237" t="s">
        <v>718</v>
      </c>
      <c r="E160" s="8" t="s">
        <v>775</v>
      </c>
      <c r="F160" t="s">
        <v>776</v>
      </c>
      <c r="G160" s="176"/>
      <c r="H160" s="176"/>
      <c r="I160" s="176"/>
      <c r="J160" s="176"/>
      <c r="K160" s="176"/>
      <c r="L160" s="176"/>
      <c r="M160" s="176"/>
      <c r="AG160" s="1"/>
    </row>
    <row r="161" spans="4:33" ht="20.100000000000001" customHeight="1" x14ac:dyDescent="0.25">
      <c r="D161" s="236" t="s">
        <v>792</v>
      </c>
      <c r="E161" s="176" t="s">
        <v>793</v>
      </c>
      <c r="F161" s="176" t="s">
        <v>793</v>
      </c>
      <c r="G161" s="176"/>
      <c r="H161" s="176"/>
      <c r="I161" s="176"/>
      <c r="J161" s="176"/>
      <c r="K161" s="176"/>
      <c r="L161" s="176"/>
      <c r="M161" s="176"/>
      <c r="AG161" s="1"/>
    </row>
    <row r="162" spans="4:33" ht="20.100000000000001" customHeight="1" x14ac:dyDescent="0.25">
      <c r="D162" s="176" t="s">
        <v>712</v>
      </c>
      <c r="E162" s="176" t="s">
        <v>793</v>
      </c>
      <c r="F162" s="176" t="s">
        <v>793</v>
      </c>
      <c r="G162" s="176"/>
      <c r="H162" s="176"/>
      <c r="I162" s="176"/>
      <c r="J162" s="176"/>
      <c r="K162" s="176"/>
      <c r="L162" s="176"/>
      <c r="M162" s="176"/>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3" customWidth="1"/>
    <col min="2" max="2" width="2.7109375" style="3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3" customWidth="1"/>
    <col min="34" max="39" width="21.85546875" style="33" customWidth="1"/>
    <col min="40" max="44" width="20.7109375" style="33" customWidth="1"/>
    <col min="45" max="65" width="9.140625" style="33"/>
    <col min="66" max="16384" width="9.140625" style="36"/>
  </cols>
  <sheetData>
    <row r="1" spans="1:65" s="32" customFormat="1" ht="30" customHeight="1" x14ac:dyDescent="0.35">
      <c r="A1" s="16" t="e" vm="1">
        <v>#VALUE!</v>
      </c>
      <c r="C1" s="32" t="s">
        <v>32</v>
      </c>
    </row>
    <row r="2" spans="1:65" s="3" customFormat="1" ht="20.100000000000001" customHeight="1" x14ac:dyDescent="0.25">
      <c r="A2"/>
    </row>
    <row r="3" spans="1:65" ht="20.100000000000001" customHeight="1" x14ac:dyDescent="0.25">
      <c r="A3" s="5" t="str">
        <f>HYPERLINK("#'Home'!A1", "Home")</f>
        <v>Home</v>
      </c>
      <c r="C3" s="34"/>
      <c r="D3" s="34"/>
      <c r="E3" s="34"/>
      <c r="F3" s="34"/>
      <c r="G3" s="34"/>
      <c r="H3" s="34"/>
      <c r="I3" s="34"/>
      <c r="J3" s="34"/>
      <c r="K3" s="34"/>
      <c r="L3" s="34"/>
      <c r="M3" s="34"/>
      <c r="N3" s="34"/>
      <c r="O3" s="34"/>
      <c r="P3" s="34"/>
      <c r="Q3" s="34"/>
      <c r="R3" s="34"/>
      <c r="S3" s="34"/>
      <c r="T3" s="34"/>
      <c r="U3" s="34"/>
      <c r="V3" s="35"/>
      <c r="W3" s="35"/>
    </row>
    <row r="4" spans="1:65" ht="20.100000000000001" customHeight="1" x14ac:dyDescent="0.25">
      <c r="A4" s="5" t="str">
        <f>HYPERLINK("#'Results'!A1", "Results")</f>
        <v>Results</v>
      </c>
      <c r="BM4" s="36"/>
    </row>
    <row r="5" spans="1:65" ht="20.100000000000001" customHeight="1" x14ac:dyDescent="0.25">
      <c r="A5"/>
      <c r="D5" s="2" t="str" cm="1">
        <f t="array" ref="D5">Common_SourceData.Common_SourceData_AustralianStatesTerritories_Title()</f>
        <v>Australian states and territories</v>
      </c>
      <c r="BM5" s="36"/>
    </row>
    <row r="6" spans="1:65" ht="20.100000000000001" customHeight="1" x14ac:dyDescent="0.25">
      <c r="A6"/>
      <c r="D6" s="31" t="s">
        <v>33</v>
      </c>
      <c r="E6" s="31" t="s">
        <v>34</v>
      </c>
      <c r="F6" s="31" t="s">
        <v>35</v>
      </c>
    </row>
    <row r="7" spans="1:65" ht="20.100000000000001" customHeight="1" x14ac:dyDescent="0.25">
      <c r="A7" s="7" t="s">
        <v>0</v>
      </c>
      <c r="D7" s="31" t="str" cm="1">
        <f t="array" ref="D7">Common_InputFunctions.Utility_DisplayArrayInTable(Common_SourceData.Common_SourceData_AustralianStatesTerritories_Data(),Table_AustralianStates[[#Headers],[State/Territory]],0)</f>
        <v>New South Wales</v>
      </c>
      <c r="E7" s="31" t="str" cm="1">
        <f t="array" ref="E7">Common_InputFunctions.Utility_DisplayArrayInTable(Common_SourceData.Common_SourceData_AustralianStatesTerritories_Data(),Table_AustralianStates[[#Headers],[State/Territory]],0)</f>
        <v>New South Wales</v>
      </c>
      <c r="F7" s="31"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1" t="str" cm="1">
        <f t="array" ref="D8">Common_InputFunctions.Utility_DisplayArrayInTable(Common_SourceData.Common_SourceData_AustralianStatesTerritories_Data(),Table_AustralianStates[[#Headers],[State/Territory]],0)</f>
        <v>Australian Capital Territory</v>
      </c>
      <c r="E8" s="31" t="str" cm="1">
        <f t="array" ref="E8">Common_InputFunctions.Utility_DisplayArrayInTable(Common_SourceData.Common_SourceData_AustralianStatesTerritories_Data(),Table_AustralianStates[[#Headers],[State/Territory]],0)</f>
        <v>ACT</v>
      </c>
      <c r="F8" s="31"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1" t="str" cm="1">
        <f t="array" ref="D9">Common_InputFunctions.Utility_DisplayArrayInTable(Common_SourceData.Common_SourceData_AustralianStatesTerritories_Data(),Table_AustralianStates[[#Headers],[State/Territory]],0)</f>
        <v>Victoria</v>
      </c>
      <c r="E9" s="31" t="str" cm="1">
        <f t="array" ref="E9">Common_InputFunctions.Utility_DisplayArrayInTable(Common_SourceData.Common_SourceData_AustralianStatesTerritories_Data(),Table_AustralianStates[[#Headers],[State/Territory]],0)</f>
        <v>Victoria</v>
      </c>
      <c r="F9" s="31"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1" t="str" cm="1">
        <f t="array" ref="D10">Common_InputFunctions.Utility_DisplayArrayInTable(Common_SourceData.Common_SourceData_AustralianStatesTerritories_Data(),Table_AustralianStates[[#Headers],[State/Territory]],0)</f>
        <v>Queensland</v>
      </c>
      <c r="E10" s="31" t="str" cm="1">
        <f t="array" ref="E10">Common_InputFunctions.Utility_DisplayArrayInTable(Common_SourceData.Common_SourceData_AustralianStatesTerritories_Data(),Table_AustralianStates[[#Headers],[State/Territory]],0)</f>
        <v>Queensland</v>
      </c>
      <c r="F10" s="31"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1" t="str" cm="1">
        <f t="array" ref="D11">Common_InputFunctions.Utility_DisplayArrayInTable(Common_SourceData.Common_SourceData_AustralianStatesTerritories_Data(),Table_AustralianStates[[#Headers],[State/Territory]],0)</f>
        <v>South Australia</v>
      </c>
      <c r="E11" s="31" t="str" cm="1">
        <f t="array" ref="E11">Common_InputFunctions.Utility_DisplayArrayInTable(Common_SourceData.Common_SourceData_AustralianStatesTerritories_Data(),Table_AustralianStates[[#Headers],[State/Territory]],0)</f>
        <v>South Australia</v>
      </c>
      <c r="F11" s="31" t="str" cm="1">
        <f t="array" ref="F11">Common_InputFunctions.Utility_DisplayArrayInTable(Common_SourceData.Common_SourceData_AustralianStatesTerritories_Data(),Table_AustralianStates[[#Headers],[State/Territory]],0)</f>
        <v>SA</v>
      </c>
      <c r="BM11" s="36"/>
    </row>
    <row r="12" spans="1:65" ht="20.100000000000001" customHeight="1" x14ac:dyDescent="0.25">
      <c r="A12" s="5" t="str">
        <f>HYPERLINK("#'Input - Pasture'!A1", "Pasture")</f>
        <v>Pasture</v>
      </c>
      <c r="D12" s="31" t="str" cm="1">
        <f t="array" ref="D12">Common_InputFunctions.Utility_DisplayArrayInTable(Common_SourceData.Common_SourceData_AustralianStatesTerritories_Data(),Table_AustralianStates[[#Headers],[State/Territory]],0)</f>
        <v>Western Australia</v>
      </c>
      <c r="E12" s="31" t="str" cm="1">
        <f t="array" ref="E12">Common_InputFunctions.Utility_DisplayArrayInTable(Common_SourceData.Common_SourceData_AustralianStatesTerritories_Data(),Table_AustralianStates[[#Headers],[State/Territory]],0)</f>
        <v>Western Australia</v>
      </c>
      <c r="F12" s="31" t="str" cm="1">
        <f t="array" ref="F12">Common_InputFunctions.Utility_DisplayArrayInTable(Common_SourceData.Common_SourceData_AustralianStatesTerritories_Data(),Table_AustralianStates[[#Headers],[State/Territory]],0)</f>
        <v>WA</v>
      </c>
      <c r="BM12" s="36"/>
    </row>
    <row r="13" spans="1:65" ht="20.100000000000001" customHeight="1" x14ac:dyDescent="0.25">
      <c r="A13" s="5" t="str">
        <f>HYPERLINK("#'Input - Fertiliser'!A1", "Fertiliser")</f>
        <v>Fertiliser</v>
      </c>
      <c r="D13" s="31" t="str" cm="1">
        <f t="array" ref="D13">Common_InputFunctions.Utility_DisplayArrayInTable(Common_SourceData.Common_SourceData_AustralianStatesTerritories_Data(),Table_AustralianStates[[#Headers],[State/Territory]],0)</f>
        <v>Tasmania</v>
      </c>
      <c r="E13" s="31" t="str" cm="1">
        <f t="array" ref="E13">Common_InputFunctions.Utility_DisplayArrayInTable(Common_SourceData.Common_SourceData_AustralianStatesTerritories_Data(),Table_AustralianStates[[#Headers],[State/Territory]],0)</f>
        <v>Tasmania</v>
      </c>
      <c r="F13" s="31"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1" t="str" cm="1">
        <f t="array" ref="D14">Common_InputFunctions.Utility_DisplayArrayInTable(Common_SourceData.Common_SourceData_AustralianStatesTerritories_Data(),Table_AustralianStates[[#Headers],[State/Territory]],0)</f>
        <v>Northern Territory</v>
      </c>
      <c r="E14" s="31" t="str" cm="1">
        <f t="array" ref="E14">Common_InputFunctions.Utility_DisplayArrayInTable(Common_SourceData.Common_SourceData_AustralianStatesTerritories_Data(),Table_AustralianStates[[#Headers],[State/Territory]],0)</f>
        <v>Northern Territory</v>
      </c>
      <c r="F14" s="31"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8"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1" t="s">
        <v>36</v>
      </c>
    </row>
    <row r="21" spans="1:4" ht="20.100000000000001" customHeight="1" x14ac:dyDescent="0.25">
      <c r="A21" s="5" t="str">
        <f>HYPERLINK("#'4.2.1.3-4 Soil direct N20'!A1", "4.2.1.3-4 Soil direct N2O")</f>
        <v>4.2.1.3-4 Soil direct N2O</v>
      </c>
      <c r="D21" s="31"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1"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1"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1"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1"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1"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1"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1"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1"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1"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8" t="str" cm="1">
        <f t="array" ref="D35">Common_SourceData.Common_SourceData_GWP_Source()</f>
        <v>XXXXXXX</v>
      </c>
    </row>
    <row r="36" spans="1:8" ht="20.100000000000001" customHeight="1" x14ac:dyDescent="0.25">
      <c r="A36"/>
      <c r="D36" s="31" t="s">
        <v>37</v>
      </c>
      <c r="E36" s="31" t="s">
        <v>38</v>
      </c>
    </row>
    <row r="37" spans="1:8" ht="20.100000000000001" customHeight="1" x14ac:dyDescent="0.25">
      <c r="A37" s="250" t="s">
        <v>1</v>
      </c>
      <c r="D37" s="31" t="str" cm="1">
        <f t="array" ref="D37">Common_InputFunctions.Utility_DisplayArrayInTable(Common_SourceData.Common_SourceData_GWP_Data(), Table_GWPData[[#Headers],[Gas]], 0)</f>
        <v>CO2</v>
      </c>
      <c r="E37" s="31"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1" t="str" cm="1">
        <f t="array" ref="D38">Common_InputFunctions.Utility_DisplayArrayInTable(Common_SourceData.Common_SourceData_GWP_Data(), Table_GWPData[[#Headers],[Gas]], 0)</f>
        <v>CH4</v>
      </c>
      <c r="E38" s="31"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1" t="str" cm="1">
        <f t="array" ref="D39">Common_InputFunctions.Utility_DisplayArrayInTable(Common_SourceData.Common_SourceData_GWP_Data(), Table_GWPData[[#Headers],[Gas]], 0)</f>
        <v>N2O</v>
      </c>
      <c r="E39" s="31"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1" t="str" cm="1">
        <f t="array" ref="D40">Common_InputFunctions.Utility_DisplayArrayInTable(Common_SourceData.Common_SourceData_GWP_Data(), Table_GWPData[[#Headers],[Gas]], 0)</f>
        <v>CF4</v>
      </c>
      <c r="E40" s="31"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1" t="str" cm="1">
        <f t="array" ref="D41">Common_InputFunctions.Utility_DisplayArrayInTable(Common_SourceData.Common_SourceData_GWP_Data(), Table_GWPData[[#Headers],[Gas]], 0)</f>
        <v>C2F6</v>
      </c>
      <c r="E41" s="31"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1" t="str" cm="1">
        <f t="array" ref="D42">Common_InputFunctions.Utility_DisplayArrayInTable(Common_SourceData.Common_SourceData_GWP_Data(), Table_GWPData[[#Headers],[Gas]], 0)</f>
        <v>SF6</v>
      </c>
      <c r="E42" s="31"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1" t="str" cm="1">
        <f t="array" ref="D43">Common_InputFunctions.Utility_DisplayArrayInTable(Common_SourceData.Common_SourceData_GWP_Data(), Table_GWPData[[#Headers],[Gas]], 0)</f>
        <v>NF3</v>
      </c>
      <c r="E43" s="31" cm="1">
        <f t="array" ref="E43">Common_InputFunctions.Utility_DisplayArrayInTable(Common_SourceData.Common_SourceData_GWP_Data(), Table_GWPData[[#Headers],[Gas]], 0)</f>
        <v>17200</v>
      </c>
    </row>
    <row r="44" spans="1:8" ht="20.100000000000001" customHeight="1" x14ac:dyDescent="0.25">
      <c r="A44" s="125"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8" t="str" cm="1">
        <f t="array" ref="D46">Common_SourceData.Common_SourceData_ConvertGasElementalToMolecular_Source()</f>
        <v>XXXXXXX</v>
      </c>
    </row>
    <row r="47" spans="1:8" ht="20.100000000000001" customHeight="1" x14ac:dyDescent="0.25">
      <c r="A47"/>
      <c r="D47" s="31" t="s">
        <v>37</v>
      </c>
      <c r="E47" s="31" t="s">
        <v>39</v>
      </c>
      <c r="F47" s="31" t="s">
        <v>40</v>
      </c>
      <c r="G47" s="31" t="s">
        <v>41</v>
      </c>
      <c r="H47" s="31" t="s">
        <v>42</v>
      </c>
    </row>
    <row r="48" spans="1:8" ht="20.100000000000001" customHeight="1" x14ac:dyDescent="0.25">
      <c r="A48"/>
      <c r="D48" s="31" t="str" cm="1">
        <f t="array" ref="D48">Common_InputFunctions.Utility_DisplayArrayInTable(Common_SourceData.Common_SourceData_ConvertGasElementalToMolecular_Data(),Table_GasToMolecularConversionFactor[[#Headers],[Gas]], 0)</f>
        <v>CO2</v>
      </c>
      <c r="E48" s="31" t="str" cm="1">
        <f t="array" ref="E48">Common_InputFunctions.Utility_DisplayArrayInTable(Common_SourceData.Common_SourceData_ConvertGasElementalToMolecular_Data(),Table_GasToMolecularConversionFactor[[#Headers],[Gas]], 0)</f>
        <v>44/12</v>
      </c>
      <c r="F48" s="31" cm="1">
        <f t="array" ref="F48">Common_InputFunctions.Utility_DisplayArrayInTable(Common_SourceData.Common_SourceData_ConvertGasElementalToMolecular_Data(),Table_GasToMolecularConversionFactor[[#Headers],[Gas]], 0)</f>
        <v>44</v>
      </c>
      <c r="G48" s="31" cm="1">
        <f t="array" ref="G48">Common_InputFunctions.Utility_DisplayArrayInTable(Common_SourceData.Common_SourceData_ConvertGasElementalToMolecular_Data(),Table_GasToMolecularConversionFactor[[#Headers],[Gas]], 0)</f>
        <v>12</v>
      </c>
      <c r="H48" s="31">
        <f>Table_GasToMolecularConversionFactor[[#This Row],[Conversion factor 1]]/Table_GasToMolecularConversionFactor[[#This Row],[Conversion factor 2]]</f>
        <v>3.6666666666666665</v>
      </c>
    </row>
    <row r="49" spans="1:8" ht="20.100000000000001" customHeight="1" x14ac:dyDescent="0.25">
      <c r="A49"/>
      <c r="D49" s="31" t="str" cm="1">
        <f t="array" ref="D49">Common_InputFunctions.Utility_DisplayArrayInTable(Common_SourceData.Common_SourceData_ConvertGasElementalToMolecular_Data(),Table_GasToMolecularConversionFactor[[#Headers],[Gas]], 0)</f>
        <v>CH4</v>
      </c>
      <c r="E49" s="31" t="str" cm="1">
        <f t="array" ref="E49">Common_InputFunctions.Utility_DisplayArrayInTable(Common_SourceData.Common_SourceData_ConvertGasElementalToMolecular_Data(),Table_GasToMolecularConversionFactor[[#Headers],[Gas]], 0)</f>
        <v>16/12</v>
      </c>
      <c r="F49" s="31" cm="1">
        <f t="array" ref="F49">Common_InputFunctions.Utility_DisplayArrayInTable(Common_SourceData.Common_SourceData_ConvertGasElementalToMolecular_Data(),Table_GasToMolecularConversionFactor[[#Headers],[Gas]], 0)</f>
        <v>16</v>
      </c>
      <c r="G49" s="31" cm="1">
        <f t="array" ref="G49">Common_InputFunctions.Utility_DisplayArrayInTable(Common_SourceData.Common_SourceData_ConvertGasElementalToMolecular_Data(),Table_GasToMolecularConversionFactor[[#Headers],[Gas]], 0)</f>
        <v>12</v>
      </c>
      <c r="H49" s="31">
        <f>Table_GasToMolecularConversionFactor[[#This Row],[Conversion factor 1]]/Table_GasToMolecularConversionFactor[[#This Row],[Conversion factor 2]]</f>
        <v>1.3333333333333333</v>
      </c>
    </row>
    <row r="50" spans="1:8" ht="20.100000000000001" customHeight="1" x14ac:dyDescent="0.25">
      <c r="A50"/>
      <c r="D50" s="31" t="str" cm="1">
        <f t="array" ref="D50">Common_InputFunctions.Utility_DisplayArrayInTable(Common_SourceData.Common_SourceData_ConvertGasElementalToMolecular_Data(),Table_GasToMolecularConversionFactor[[#Headers],[Gas]], 0)</f>
        <v>N2O</v>
      </c>
      <c r="E50" s="31" t="str" cm="1">
        <f t="array" ref="E50">Common_InputFunctions.Utility_DisplayArrayInTable(Common_SourceData.Common_SourceData_ConvertGasElementalToMolecular_Data(),Table_GasToMolecularConversionFactor[[#Headers],[Gas]], 0)</f>
        <v>44/28</v>
      </c>
      <c r="F50" s="31" cm="1">
        <f t="array" ref="F50">Common_InputFunctions.Utility_DisplayArrayInTable(Common_SourceData.Common_SourceData_ConvertGasElementalToMolecular_Data(),Table_GasToMolecularConversionFactor[[#Headers],[Gas]], 0)</f>
        <v>44</v>
      </c>
      <c r="G50" s="31" cm="1">
        <f t="array" ref="G50">Common_InputFunctions.Utility_DisplayArrayInTable(Common_SourceData.Common_SourceData_ConvertGasElementalToMolecular_Data(),Table_GasToMolecularConversionFactor[[#Headers],[Gas]], 0)</f>
        <v>28</v>
      </c>
      <c r="H50" s="31">
        <f>Table_GasToMolecularConversionFactor[[#This Row],[Conversion factor 1]]/Table_GasToMolecularConversionFactor[[#This Row],[Conversion factor 2]]</f>
        <v>1.5714285714285714</v>
      </c>
    </row>
    <row r="51" spans="1:8" ht="20.100000000000001" customHeight="1" x14ac:dyDescent="0.25">
      <c r="A51"/>
      <c r="D51" s="31" t="str" cm="1">
        <f t="array" ref="D51">Common_InputFunctions.Utility_DisplayArrayInTable(Common_SourceData.Common_SourceData_ConvertGasElementalToMolecular_Data(),Table_GasToMolecularConversionFactor[[#Headers],[Gas]], 0)</f>
        <v>Nox</v>
      </c>
      <c r="E51" s="31" t="str" cm="1">
        <f t="array" ref="E51">Common_InputFunctions.Utility_DisplayArrayInTable(Common_SourceData.Common_SourceData_ConvertGasElementalToMolecular_Data(),Table_GasToMolecularConversionFactor[[#Headers],[Gas]], 0)</f>
        <v>46/14</v>
      </c>
      <c r="F51" s="31" cm="1">
        <f t="array" ref="F51">Common_InputFunctions.Utility_DisplayArrayInTable(Common_SourceData.Common_SourceData_ConvertGasElementalToMolecular_Data(),Table_GasToMolecularConversionFactor[[#Headers],[Gas]], 0)</f>
        <v>46</v>
      </c>
      <c r="G51" s="31" cm="1">
        <f t="array" ref="G51">Common_InputFunctions.Utility_DisplayArrayInTable(Common_SourceData.Common_SourceData_ConvertGasElementalToMolecular_Data(),Table_GasToMolecularConversionFactor[[#Headers],[Gas]], 0)</f>
        <v>14</v>
      </c>
      <c r="H51" s="31">
        <f>Table_GasToMolecularConversionFactor[[#This Row],[Conversion factor 1]]/Table_GasToMolecularConversionFactor[[#This Row],[Conversion factor 2]]</f>
        <v>3.2857142857142856</v>
      </c>
    </row>
    <row r="52" spans="1:8" ht="20.100000000000001" customHeight="1" x14ac:dyDescent="0.25">
      <c r="A52"/>
      <c r="D52" s="31" t="str" cm="1">
        <f t="array" ref="D52">Common_InputFunctions.Utility_DisplayArrayInTable(Common_SourceData.Common_SourceData_ConvertGasElementalToMolecular_Data(),Table_GasToMolecularConversionFactor[[#Headers],[Gas]], 0)</f>
        <v>CO</v>
      </c>
      <c r="E52" s="31" t="str" cm="1">
        <f t="array" ref="E52">Common_InputFunctions.Utility_DisplayArrayInTable(Common_SourceData.Common_SourceData_ConvertGasElementalToMolecular_Data(),Table_GasToMolecularConversionFactor[[#Headers],[Gas]], 0)</f>
        <v>28/12</v>
      </c>
      <c r="F52" s="31" cm="1">
        <f t="array" ref="F52">Common_InputFunctions.Utility_DisplayArrayInTable(Common_SourceData.Common_SourceData_ConvertGasElementalToMolecular_Data(),Table_GasToMolecularConversionFactor[[#Headers],[Gas]], 0)</f>
        <v>28</v>
      </c>
      <c r="G52" s="31" cm="1">
        <f t="array" ref="G52">Common_InputFunctions.Utility_DisplayArrayInTable(Common_SourceData.Common_SourceData_ConvertGasElementalToMolecular_Data(),Table_GasToMolecularConversionFactor[[#Headers],[Gas]], 0)</f>
        <v>12</v>
      </c>
      <c r="H52" s="31">
        <f>Table_GasToMolecularConversionFactor[[#This Row],[Conversion factor 1]]/Table_GasToMolecularConversionFactor[[#This Row],[Conversion factor 2]]</f>
        <v>2.3333333333333335</v>
      </c>
    </row>
    <row r="53" spans="1:8" ht="20.100000000000001" customHeight="1" x14ac:dyDescent="0.25">
      <c r="A53"/>
      <c r="D53" s="31" t="str" cm="1">
        <f t="array" ref="D53">Common_InputFunctions.Utility_DisplayArrayInTable(Common_SourceData.Common_SourceData_ConvertGasElementalToMolecular_Data(),Table_GasToMolecularConversionFactor[[#Headers],[Gas]], 0)</f>
        <v>CO2 Lime</v>
      </c>
      <c r="E53" s="31" t="str" cm="1">
        <f t="array" ref="E53">Common_InputFunctions.Utility_DisplayArrayInTable(Common_SourceData.Common_SourceData_ConvertGasElementalToMolecular_Data(),Table_GasToMolecularConversionFactor[[#Headers],[Gas]], 0)</f>
        <v>44/12</v>
      </c>
      <c r="F53" s="31" cm="1">
        <f t="array" ref="F53">Common_InputFunctions.Utility_DisplayArrayInTable(Common_SourceData.Common_SourceData_ConvertGasElementalToMolecular_Data(),Table_GasToMolecularConversionFactor[[#Headers],[Gas]], 0)</f>
        <v>44</v>
      </c>
      <c r="G53" s="31" cm="1">
        <f t="array" ref="G53">Common_InputFunctions.Utility_DisplayArrayInTable(Common_SourceData.Common_SourceData_ConvertGasElementalToMolecular_Data(),Table_GasToMolecularConversionFactor[[#Headers],[Gas]], 0)</f>
        <v>12</v>
      </c>
      <c r="H53" s="31">
        <f>Table_GasToMolecularConversionFactor[[#This Row],[Conversion factor 1]]/Table_GasToMolecularConversionFactor[[#This Row],[Conversion factor 2]]</f>
        <v>3.6666666666666665</v>
      </c>
    </row>
    <row r="54" spans="1:8" ht="20.100000000000001" customHeight="1" x14ac:dyDescent="0.25">
      <c r="A54"/>
      <c r="D54" s="31" t="str" cm="1">
        <f t="array" ref="D54">Common_InputFunctions.Utility_DisplayArrayInTable(Common_SourceData.Common_SourceData_ConvertGasElementalToMolecular_Data(),Table_GasToMolecularConversionFactor[[#Headers],[Gas]], 0)</f>
        <v>NMVOC</v>
      </c>
      <c r="E54" s="31" t="str" cm="1">
        <f t="array" ref="E54">Common_InputFunctions.Utility_DisplayArrayInTable(Common_SourceData.Common_SourceData_ConvertGasElementalToMolecular_Data(),Table_GasToMolecularConversionFactor[[#Headers],[Gas]], 0)</f>
        <v>14/12</v>
      </c>
      <c r="F54" s="31" cm="1">
        <f t="array" ref="F54">Common_InputFunctions.Utility_DisplayArrayInTable(Common_SourceData.Common_SourceData_ConvertGasElementalToMolecular_Data(),Table_GasToMolecularConversionFactor[[#Headers],[Gas]], 0)</f>
        <v>14</v>
      </c>
      <c r="G54" s="31" cm="1">
        <f t="array" ref="G54">Common_InputFunctions.Utility_DisplayArrayInTable(Common_SourceData.Common_SourceData_ConvertGasElementalToMolecular_Data(),Table_GasToMolecularConversionFactor[[#Headers],[Gas]], 0)</f>
        <v>12</v>
      </c>
      <c r="H54" s="31">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8" t="str" cm="1">
        <f t="array" ref="D58">Common_SourceData.Common_SourceData_WetAndDryZones_Source()</f>
        <v>VEERG 2026: Table 1.2: Translating climate zones to wet and dry zones</v>
      </c>
    </row>
    <row r="59" spans="1:8" ht="20.100000000000001" customHeight="1" x14ac:dyDescent="0.25">
      <c r="A59"/>
      <c r="D59" s="37" t="str" cm="1">
        <f t="array" ref="D59:D61">"⚠️" &amp; Common_SourceData.Common_SourceData_WetAndDryZones_Variation()</f>
        <v>⚠️VARIATION OF SOURCE DATA:</v>
      </c>
    </row>
    <row r="60" spans="1:8" ht="20.100000000000001" customHeight="1" x14ac:dyDescent="0.25">
      <c r="A60"/>
      <c r="D60" s="37" t="str">
        <v>⚠️Added warm / cool temperate moist / dry - low frost and high temp classes to accommodate climate scenarios excluded by VEERG criteria.</v>
      </c>
    </row>
    <row r="61" spans="1:8" ht="20.100000000000001" customHeight="1" x14ac:dyDescent="0.25">
      <c r="A61"/>
      <c r="D61" s="37" t="str">
        <v>⚠️Fixed typo - Changed 'Fry' to 'Dry'.</v>
      </c>
    </row>
    <row r="62" spans="1:8" ht="20.100000000000001" customHeight="1" x14ac:dyDescent="0.25">
      <c r="A62"/>
    </row>
    <row r="63" spans="1:8" ht="20.100000000000001" customHeight="1" x14ac:dyDescent="0.25">
      <c r="A63"/>
      <c r="D63" s="31" t="s">
        <v>43</v>
      </c>
      <c r="E63" s="31" t="s">
        <v>44</v>
      </c>
    </row>
    <row r="64" spans="1:8" ht="20.100000000000001" customHeight="1" x14ac:dyDescent="0.25">
      <c r="A64"/>
      <c r="D64" s="31" t="str" cm="1">
        <f t="array" ref="D64">Common_InputFunctions.Utility_DisplayArrayInTable(Common_SourceData.Common_SourceData_WetAndDryZones_Data(), Table_SourceData_WetDryZones[[#Headers],[Climate zone]], 0)</f>
        <v>Tropical montane</v>
      </c>
      <c r="E64" s="31"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1" t="str" cm="1">
        <f t="array" ref="D65">Common_InputFunctions.Utility_DisplayArrayInTable(Common_SourceData.Common_SourceData_WetAndDryZones_Data(), Table_SourceData_WetDryZones[[#Headers],[Climate zone]], 0)</f>
        <v>Tropical wet</v>
      </c>
      <c r="E65" s="31"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1" t="str" cm="1">
        <f t="array" ref="D66">Common_InputFunctions.Utility_DisplayArrayInTable(Common_SourceData.Common_SourceData_WetAndDryZones_Data(), Table_SourceData_WetDryZones[[#Headers],[Climate zone]], 0)</f>
        <v>Tropical moist</v>
      </c>
      <c r="E66" s="31"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1" t="str" cm="1">
        <f t="array" ref="D67">Common_InputFunctions.Utility_DisplayArrayInTable(Common_SourceData.Common_SourceData_WetAndDryZones_Data(), Table_SourceData_WetDryZones[[#Headers],[Climate zone]], 0)</f>
        <v>Tropical dry</v>
      </c>
      <c r="E67" s="31"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1" t="str" cm="1">
        <f t="array" ref="D68">Common_InputFunctions.Utility_DisplayArrayInTable(Common_SourceData.Common_SourceData_WetAndDryZones_Data(), Table_SourceData_WetDryZones[[#Headers],[Climate zone]], 0)</f>
        <v>Warm temperate moist</v>
      </c>
      <c r="E68" s="31"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1" t="str" cm="1">
        <f t="array" ref="D69">Common_InputFunctions.Utility_DisplayArrayInTable(Common_SourceData.Common_SourceData_WetAndDryZones_Data(), Table_SourceData_WetDryZones[[#Headers],[Climate zone]], 0)</f>
        <v>Warm temperate dry</v>
      </c>
      <c r="E69" s="31"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1" t="str" cm="1">
        <f t="array" ref="D70">Common_InputFunctions.Utility_DisplayArrayInTable(Common_SourceData.Common_SourceData_WetAndDryZones_Data(), Table_SourceData_WetDryZones[[#Headers],[Climate zone]], 0)</f>
        <v>Cool temperate moist</v>
      </c>
      <c r="E70" s="31"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1" t="str" cm="1">
        <f t="array" ref="D71">Common_InputFunctions.Utility_DisplayArrayInTable(Common_SourceData.Common_SourceData_WetAndDryZones_Data(), Table_SourceData_WetDryZones[[#Headers],[Climate zone]], 0)</f>
        <v>Cool temperate dry</v>
      </c>
      <c r="E71" s="31"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1" t="str" cm="1">
        <f t="array" ref="D72">Common_InputFunctions.Utility_DisplayArrayInTable(Common_SourceData.Common_SourceData_WetAndDryZones_Data(), Table_SourceData_WetDryZones[[#Headers],[Climate zone]], 0)</f>
        <v>Warm temperate moist - low frost</v>
      </c>
      <c r="E72" s="31"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1" t="str" cm="1">
        <f t="array" ref="D73">Common_InputFunctions.Utility_DisplayArrayInTable(Common_SourceData.Common_SourceData_WetAndDryZones_Data(), Table_SourceData_WetDryZones[[#Headers],[Climate zone]], 0)</f>
        <v>Warm temperate dry - low frost</v>
      </c>
      <c r="E73" s="31"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1" t="str" cm="1">
        <f t="array" ref="D74">Common_InputFunctions.Utility_DisplayArrayInTable(Common_SourceData.Common_SourceData_WetAndDryZones_Data(), Table_SourceData_WetDryZones[[#Headers],[Climate zone]], 0)</f>
        <v>Warm temperate moist - high temp</v>
      </c>
      <c r="E74" s="31"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1" t="str" cm="1">
        <f t="array" ref="D75">Common_InputFunctions.Utility_DisplayArrayInTable(Common_SourceData.Common_SourceData_WetAndDryZones_Data(), Table_SourceData_WetDryZones[[#Headers],[Climate zone]], 0)</f>
        <v>Warm temperate dry - high temp</v>
      </c>
      <c r="E75" s="31"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1" t="str" cm="1">
        <f t="array" ref="D76">Common_InputFunctions.Utility_DisplayArrayInTable(Common_SourceData.Common_SourceData_WetAndDryZones_Data(), Table_SourceData_WetDryZones[[#Headers],[Climate zone]], 0)</f>
        <v>Cool temperate moist - low frost</v>
      </c>
      <c r="E76" s="31"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1" t="str" cm="1">
        <f t="array" ref="D77">Common_InputFunctions.Utility_DisplayArrayInTable(Common_SourceData.Common_SourceData_WetAndDryZones_Data(), Table_SourceData_WetDryZones[[#Headers],[Climate zone]], 0)</f>
        <v>Cool temperate dry - low frost</v>
      </c>
      <c r="E77" s="31"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8" t="str" cm="1">
        <f t="array" ref="D82">Common_SourceData.Common_SourceData_ClimateZones_Source()</f>
        <v>VEERG 2026: Table 1.3: Climate and Rainfall zone classifications and definitions</v>
      </c>
    </row>
    <row r="83" spans="1:20" ht="20.100000000000001" customHeight="1" x14ac:dyDescent="0.25">
      <c r="A83"/>
      <c r="D83" s="37" t="str" cm="1">
        <f t="array" ref="D83:D87">"⚠️" &amp; Common_SourceData.Common_SourceData_ClimateZones_Variation()</f>
        <v>⚠️VARIATION OF SOURCE DATA:</v>
      </c>
    </row>
    <row r="84" spans="1:20" ht="20.100000000000001" customHeight="1" x14ac:dyDescent="0.25">
      <c r="A84"/>
      <c r="D84" s="37" t="str">
        <v>⚠️Added warm / cool temperate moist / dry - low frost and high temp classes to accommodate climate scenarios excluded by VEERG criteria.</v>
      </c>
    </row>
    <row r="85" spans="1:20" ht="20.100000000000001" customHeight="1" x14ac:dyDescent="0.25">
      <c r="A85"/>
      <c r="D85" s="37" t="str">
        <v>⚠️Fixed typo in MAT value for warm temperate dry - changed 10 to 11.</v>
      </c>
    </row>
    <row r="86" spans="1:20" ht="20.100000000000001" customHeight="1" x14ac:dyDescent="0.25">
      <c r="A86"/>
      <c r="D86" s="37" t="str">
        <v>⚠️Added min and max columns for MAT, MAP, frost days per year, elevation, MAP:PET to calculate zones from real climate data.</v>
      </c>
    </row>
    <row r="87" spans="1:20" ht="20.100000000000001" customHeight="1" x14ac:dyDescent="0.25">
      <c r="A87"/>
      <c r="D87" s="37" t="str">
        <v>⚠️GAF accepts rainfall as a proxy for precipitation.</v>
      </c>
    </row>
    <row r="88" spans="1:20" ht="20.100000000000001" customHeight="1" x14ac:dyDescent="0.25">
      <c r="A88"/>
    </row>
    <row r="89" spans="1:20" ht="20.100000000000001" customHeight="1" x14ac:dyDescent="0.25">
      <c r="A89"/>
      <c r="D89" s="31" t="s">
        <v>43</v>
      </c>
      <c r="E89" s="31" t="s">
        <v>45</v>
      </c>
      <c r="F89" s="31" t="s">
        <v>46</v>
      </c>
      <c r="G89" s="31" t="s">
        <v>47</v>
      </c>
      <c r="H89" s="31" t="s">
        <v>48</v>
      </c>
      <c r="I89" s="31" t="s">
        <v>49</v>
      </c>
      <c r="J89" s="31" t="s">
        <v>50</v>
      </c>
      <c r="K89" s="31" t="s">
        <v>51</v>
      </c>
      <c r="L89" s="31" t="s">
        <v>52</v>
      </c>
      <c r="M89" s="31" t="s">
        <v>53</v>
      </c>
      <c r="N89" s="31" t="s">
        <v>54</v>
      </c>
      <c r="O89" s="31" t="s">
        <v>55</v>
      </c>
      <c r="P89" s="31" t="s">
        <v>56</v>
      </c>
      <c r="Q89" s="31" t="s">
        <v>57</v>
      </c>
      <c r="R89" s="31" t="s">
        <v>58</v>
      </c>
      <c r="S89" s="31" t="s">
        <v>59</v>
      </c>
      <c r="T89" s="31"/>
    </row>
    <row r="90" spans="1:20" ht="20.100000000000001" customHeight="1" x14ac:dyDescent="0.25">
      <c r="A90"/>
      <c r="D90" s="31" t="str" cm="1">
        <f t="array" ref="D90">Common_InputFunctions.Utility_DisplayArrayInTable(Common_SourceData.Common_SourceData_ClimateZones_Data(), Table_SourceData_ClimateZones[[#Headers],[Climate zone]], 0)</f>
        <v>Tropical montane</v>
      </c>
      <c r="E90" s="31" t="str" cm="1">
        <f t="array" ref="E90">Common_InputFunctions.Utility_DisplayArrayInTable(Common_SourceData.Common_SourceData_ClimateZones_Data(), Table_SourceData_ClimateZones[[#Headers],[Climate zone]], 0)</f>
        <v>&gt; 18 C</v>
      </c>
      <c r="F90" s="31" t="str" cm="1">
        <f t="array" ref="F90">Common_InputFunctions.Utility_DisplayArrayInTable(Common_SourceData.Common_SourceData_ClimateZones_Data(), Table_SourceData_ClimateZones[[#Headers],[Climate zone]], 0)</f>
        <v>Any</v>
      </c>
      <c r="G90" s="31" t="str" cm="1">
        <f t="array" ref="G90">Common_InputFunctions.Utility_DisplayArrayInTable(Common_SourceData.Common_SourceData_ClimateZones_Data(), Table_SourceData_ClimateZones[[#Headers],[Climate zone]], 0)</f>
        <v>≤ 7</v>
      </c>
      <c r="H90" s="31" t="str" cm="1">
        <f t="array" ref="H90">Common_InputFunctions.Utility_DisplayArrayInTable(Common_SourceData.Common_SourceData_ClimateZones_Data(), Table_SourceData_ClimateZones[[#Headers],[Climate zone]], 0)</f>
        <v>&gt; 1000 m</v>
      </c>
      <c r="I90" s="31" t="str" cm="1">
        <f t="array" ref="I90">Common_InputFunctions.Utility_DisplayArrayInTable(Common_SourceData.Common_SourceData_ClimateZones_Data(), Table_SourceData_ClimateZones[[#Headers],[Climate zone]], 0)</f>
        <v>Any</v>
      </c>
      <c r="J90" s="31" cm="1">
        <f t="array" ref="J90">Common_InputFunctions.Utility_DisplayArrayInTable(Common_SourceData.Common_SourceData_ClimateZones_Data(), Table_SourceData_ClimateZones[[#Headers],[Climate zone]], 0)</f>
        <v>18.001000000000001</v>
      </c>
      <c r="K90" s="31" cm="1">
        <f t="array" ref="K90">Common_InputFunctions.Utility_DisplayArrayInTable(Common_SourceData.Common_SourceData_ClimateZones_Data(), Table_SourceData_ClimateZones[[#Headers],[Climate zone]], 0)</f>
        <v>999999</v>
      </c>
      <c r="L90" s="31" cm="1">
        <f t="array" ref="L90">Common_InputFunctions.Utility_DisplayArrayInTable(Common_SourceData.Common_SourceData_ClimateZones_Data(), Table_SourceData_ClimateZones[[#Headers],[Climate zone]], 0)</f>
        <v>-999999</v>
      </c>
      <c r="M90" s="31" cm="1">
        <f t="array" ref="M90">Common_InputFunctions.Utility_DisplayArrayInTable(Common_SourceData.Common_SourceData_ClimateZones_Data(), Table_SourceData_ClimateZones[[#Headers],[Climate zone]], 0)</f>
        <v>999999</v>
      </c>
      <c r="N90" s="31" cm="1">
        <f t="array" ref="N90">Common_InputFunctions.Utility_DisplayArrayInTable(Common_SourceData.Common_SourceData_ClimateZones_Data(), Table_SourceData_ClimateZones[[#Headers],[Climate zone]], 0)</f>
        <v>-999999</v>
      </c>
      <c r="O90" s="31" cm="1">
        <f t="array" ref="O90">Common_InputFunctions.Utility_DisplayArrayInTable(Common_SourceData.Common_SourceData_ClimateZones_Data(), Table_SourceData_ClimateZones[[#Headers],[Climate zone]], 0)</f>
        <v>7</v>
      </c>
      <c r="P90" s="31" cm="1">
        <f t="array" ref="P90">Common_InputFunctions.Utility_DisplayArrayInTable(Common_SourceData.Common_SourceData_ClimateZones_Data(), Table_SourceData_ClimateZones[[#Headers],[Climate zone]], 0)</f>
        <v>1000</v>
      </c>
      <c r="Q90" s="31" cm="1">
        <f t="array" ref="Q90">Common_InputFunctions.Utility_DisplayArrayInTable(Common_SourceData.Common_SourceData_ClimateZones_Data(), Table_SourceData_ClimateZones[[#Headers],[Climate zone]], 0)</f>
        <v>999999</v>
      </c>
      <c r="R90" s="31" cm="1">
        <f t="array" ref="R90">Common_InputFunctions.Utility_DisplayArrayInTable(Common_SourceData.Common_SourceData_ClimateZones_Data(), Table_SourceData_ClimateZones[[#Headers],[Climate zone]], 0)</f>
        <v>-999999</v>
      </c>
      <c r="S90" s="31" cm="1">
        <f t="array" ref="S90">Common_InputFunctions.Utility_DisplayArrayInTable(Common_SourceData.Common_SourceData_ClimateZones_Data(), Table_SourceData_ClimateZones[[#Headers],[Climate zone]], 0)</f>
        <v>999999</v>
      </c>
      <c r="T90" s="31"/>
    </row>
    <row r="91" spans="1:20" ht="20.100000000000001" customHeight="1" x14ac:dyDescent="0.25">
      <c r="A91"/>
      <c r="D91" s="31" t="str" cm="1">
        <f t="array" ref="D91">Common_InputFunctions.Utility_DisplayArrayInTable(Common_SourceData.Common_SourceData_ClimateZones_Data(), Table_SourceData_ClimateZones[[#Headers],[Climate zone]], 0)</f>
        <v>Tropical wet</v>
      </c>
      <c r="E91" s="31" t="str" cm="1">
        <f t="array" ref="E91">Common_InputFunctions.Utility_DisplayArrayInTable(Common_SourceData.Common_SourceData_ClimateZones_Data(), Table_SourceData_ClimateZones[[#Headers],[Climate zone]], 0)</f>
        <v>&gt; 18 C</v>
      </c>
      <c r="F91" s="31" t="str" cm="1">
        <f t="array" ref="F91">Common_InputFunctions.Utility_DisplayArrayInTable(Common_SourceData.Common_SourceData_ClimateZones_Data(), Table_SourceData_ClimateZones[[#Headers],[Climate zone]], 0)</f>
        <v>&gt; 2000 mm</v>
      </c>
      <c r="G91" s="31" t="str" cm="1">
        <f t="array" ref="G91">Common_InputFunctions.Utility_DisplayArrayInTable(Common_SourceData.Common_SourceData_ClimateZones_Data(), Table_SourceData_ClimateZones[[#Headers],[Climate zone]], 0)</f>
        <v>≤ 7</v>
      </c>
      <c r="H91" s="31" t="str" cm="1">
        <f t="array" ref="H91">Common_InputFunctions.Utility_DisplayArrayInTable(Common_SourceData.Common_SourceData_ClimateZones_Data(), Table_SourceData_ClimateZones[[#Headers],[Climate zone]], 0)</f>
        <v>≤ 1000 m</v>
      </c>
      <c r="I91" s="31" t="str" cm="1">
        <f t="array" ref="I91">Common_InputFunctions.Utility_DisplayArrayInTable(Common_SourceData.Common_SourceData_ClimateZones_Data(), Table_SourceData_ClimateZones[[#Headers],[Climate zone]], 0)</f>
        <v>Any</v>
      </c>
      <c r="J91" s="31" cm="1">
        <f t="array" ref="J91">Common_InputFunctions.Utility_DisplayArrayInTable(Common_SourceData.Common_SourceData_ClimateZones_Data(), Table_SourceData_ClimateZones[[#Headers],[Climate zone]], 0)</f>
        <v>18.001000000000001</v>
      </c>
      <c r="K91" s="31" cm="1">
        <f t="array" ref="K91">Common_InputFunctions.Utility_DisplayArrayInTable(Common_SourceData.Common_SourceData_ClimateZones_Data(), Table_SourceData_ClimateZones[[#Headers],[Climate zone]], 0)</f>
        <v>999999</v>
      </c>
      <c r="L91" s="31" cm="1">
        <f t="array" ref="L91">Common_InputFunctions.Utility_DisplayArrayInTable(Common_SourceData.Common_SourceData_ClimateZones_Data(), Table_SourceData_ClimateZones[[#Headers],[Climate zone]], 0)</f>
        <v>2000.001</v>
      </c>
      <c r="M91" s="31" cm="1">
        <f t="array" ref="M91">Common_InputFunctions.Utility_DisplayArrayInTable(Common_SourceData.Common_SourceData_ClimateZones_Data(), Table_SourceData_ClimateZones[[#Headers],[Climate zone]], 0)</f>
        <v>999999</v>
      </c>
      <c r="N91" s="31" cm="1">
        <f t="array" ref="N91">Common_InputFunctions.Utility_DisplayArrayInTable(Common_SourceData.Common_SourceData_ClimateZones_Data(), Table_SourceData_ClimateZones[[#Headers],[Climate zone]], 0)</f>
        <v>-999999</v>
      </c>
      <c r="O91" s="31" cm="1">
        <f t="array" ref="O91">Common_InputFunctions.Utility_DisplayArrayInTable(Common_SourceData.Common_SourceData_ClimateZones_Data(), Table_SourceData_ClimateZones[[#Headers],[Climate zone]], 0)</f>
        <v>7</v>
      </c>
      <c r="P91" s="31" cm="1">
        <f t="array" ref="P91">Common_InputFunctions.Utility_DisplayArrayInTable(Common_SourceData.Common_SourceData_ClimateZones_Data(), Table_SourceData_ClimateZones[[#Headers],[Climate zone]], 0)</f>
        <v>-999999</v>
      </c>
      <c r="Q91" s="31" cm="1">
        <f t="array" ref="Q91">Common_InputFunctions.Utility_DisplayArrayInTable(Common_SourceData.Common_SourceData_ClimateZones_Data(), Table_SourceData_ClimateZones[[#Headers],[Climate zone]], 0)</f>
        <v>999.99900000000002</v>
      </c>
      <c r="R91" s="31" cm="1">
        <f t="array" ref="R91">Common_InputFunctions.Utility_DisplayArrayInTable(Common_SourceData.Common_SourceData_ClimateZones_Data(), Table_SourceData_ClimateZones[[#Headers],[Climate zone]], 0)</f>
        <v>-999999</v>
      </c>
      <c r="S91" s="31" cm="1">
        <f t="array" ref="S91">Common_InputFunctions.Utility_DisplayArrayInTable(Common_SourceData.Common_SourceData_ClimateZones_Data(), Table_SourceData_ClimateZones[[#Headers],[Climate zone]], 0)</f>
        <v>999999</v>
      </c>
      <c r="T91" s="31"/>
    </row>
    <row r="92" spans="1:20" ht="20.100000000000001" customHeight="1" x14ac:dyDescent="0.25">
      <c r="A92"/>
      <c r="D92" s="31" t="str" cm="1">
        <f t="array" ref="D92">Common_InputFunctions.Utility_DisplayArrayInTable(Common_SourceData.Common_SourceData_ClimateZones_Data(), Table_SourceData_ClimateZones[[#Headers],[Climate zone]], 0)</f>
        <v>Tropical moist</v>
      </c>
      <c r="E92" s="31" t="str" cm="1">
        <f t="array" ref="E92">Common_InputFunctions.Utility_DisplayArrayInTable(Common_SourceData.Common_SourceData_ClimateZones_Data(), Table_SourceData_ClimateZones[[#Headers],[Climate zone]], 0)</f>
        <v>&gt; 18 C</v>
      </c>
      <c r="F92" s="31" t="str" cm="1">
        <f t="array" ref="F92">Common_InputFunctions.Utility_DisplayArrayInTable(Common_SourceData.Common_SourceData_ClimateZones_Data(), Table_SourceData_ClimateZones[[#Headers],[Climate zone]], 0)</f>
        <v>&gt; 1000 mm - ≤ 2000 mm</v>
      </c>
      <c r="G92" s="31" t="str" cm="1">
        <f t="array" ref="G92">Common_InputFunctions.Utility_DisplayArrayInTable(Common_SourceData.Common_SourceData_ClimateZones_Data(), Table_SourceData_ClimateZones[[#Headers],[Climate zone]], 0)</f>
        <v>≤ 7</v>
      </c>
      <c r="H92" s="31" t="str" cm="1">
        <f t="array" ref="H92">Common_InputFunctions.Utility_DisplayArrayInTable(Common_SourceData.Common_SourceData_ClimateZones_Data(), Table_SourceData_ClimateZones[[#Headers],[Climate zone]], 0)</f>
        <v>≤ 1000 m</v>
      </c>
      <c r="I92" s="31" t="str" cm="1">
        <f t="array" ref="I92">Common_InputFunctions.Utility_DisplayArrayInTable(Common_SourceData.Common_SourceData_ClimateZones_Data(), Table_SourceData_ClimateZones[[#Headers],[Climate zone]], 0)</f>
        <v>Any</v>
      </c>
      <c r="J92" s="31" cm="1">
        <f t="array" ref="J92">Common_InputFunctions.Utility_DisplayArrayInTable(Common_SourceData.Common_SourceData_ClimateZones_Data(), Table_SourceData_ClimateZones[[#Headers],[Climate zone]], 0)</f>
        <v>18.001000000000001</v>
      </c>
      <c r="K92" s="31" cm="1">
        <f t="array" ref="K92">Common_InputFunctions.Utility_DisplayArrayInTable(Common_SourceData.Common_SourceData_ClimateZones_Data(), Table_SourceData_ClimateZones[[#Headers],[Climate zone]], 0)</f>
        <v>999999</v>
      </c>
      <c r="L92" s="31" cm="1">
        <f t="array" ref="L92">Common_InputFunctions.Utility_DisplayArrayInTable(Common_SourceData.Common_SourceData_ClimateZones_Data(), Table_SourceData_ClimateZones[[#Headers],[Climate zone]], 0)</f>
        <v>1000.001</v>
      </c>
      <c r="M92" s="31" cm="1">
        <f t="array" ref="M92">Common_InputFunctions.Utility_DisplayArrayInTable(Common_SourceData.Common_SourceData_ClimateZones_Data(), Table_SourceData_ClimateZones[[#Headers],[Climate zone]], 0)</f>
        <v>2000</v>
      </c>
      <c r="N92" s="31" cm="1">
        <f t="array" ref="N92">Common_InputFunctions.Utility_DisplayArrayInTable(Common_SourceData.Common_SourceData_ClimateZones_Data(), Table_SourceData_ClimateZones[[#Headers],[Climate zone]], 0)</f>
        <v>-999999</v>
      </c>
      <c r="O92" s="31" cm="1">
        <f t="array" ref="O92">Common_InputFunctions.Utility_DisplayArrayInTable(Common_SourceData.Common_SourceData_ClimateZones_Data(), Table_SourceData_ClimateZones[[#Headers],[Climate zone]], 0)</f>
        <v>7</v>
      </c>
      <c r="P92" s="31" cm="1">
        <f t="array" ref="P92">Common_InputFunctions.Utility_DisplayArrayInTable(Common_SourceData.Common_SourceData_ClimateZones_Data(), Table_SourceData_ClimateZones[[#Headers],[Climate zone]], 0)</f>
        <v>-999999</v>
      </c>
      <c r="Q92" s="31" cm="1">
        <f t="array" ref="Q92">Common_InputFunctions.Utility_DisplayArrayInTable(Common_SourceData.Common_SourceData_ClimateZones_Data(), Table_SourceData_ClimateZones[[#Headers],[Climate zone]], 0)</f>
        <v>999.99900000000002</v>
      </c>
      <c r="R92" s="31" cm="1">
        <f t="array" ref="R92">Common_InputFunctions.Utility_DisplayArrayInTable(Common_SourceData.Common_SourceData_ClimateZones_Data(), Table_SourceData_ClimateZones[[#Headers],[Climate zone]], 0)</f>
        <v>-999999</v>
      </c>
      <c r="S92" s="31" cm="1">
        <f t="array" ref="S92">Common_InputFunctions.Utility_DisplayArrayInTable(Common_SourceData.Common_SourceData_ClimateZones_Data(), Table_SourceData_ClimateZones[[#Headers],[Climate zone]], 0)</f>
        <v>999999</v>
      </c>
      <c r="T92" s="31"/>
    </row>
    <row r="93" spans="1:20" ht="20.100000000000001" customHeight="1" x14ac:dyDescent="0.25">
      <c r="A93"/>
      <c r="D93" s="31" t="str" cm="1">
        <f t="array" ref="D93">Common_InputFunctions.Utility_DisplayArrayInTable(Common_SourceData.Common_SourceData_ClimateZones_Data(), Table_SourceData_ClimateZones[[#Headers],[Climate zone]], 0)</f>
        <v>Tropical dry</v>
      </c>
      <c r="E93" s="31" t="str" cm="1">
        <f t="array" ref="E93">Common_InputFunctions.Utility_DisplayArrayInTable(Common_SourceData.Common_SourceData_ClimateZones_Data(), Table_SourceData_ClimateZones[[#Headers],[Climate zone]], 0)</f>
        <v>&gt; 18 C</v>
      </c>
      <c r="F93" s="31" t="str" cm="1">
        <f t="array" ref="F93">Common_InputFunctions.Utility_DisplayArrayInTable(Common_SourceData.Common_SourceData_ClimateZones_Data(), Table_SourceData_ClimateZones[[#Headers],[Climate zone]], 0)</f>
        <v>≤ 1000 mm</v>
      </c>
      <c r="G93" s="31" t="str" cm="1">
        <f t="array" ref="G93">Common_InputFunctions.Utility_DisplayArrayInTable(Common_SourceData.Common_SourceData_ClimateZones_Data(), Table_SourceData_ClimateZones[[#Headers],[Climate zone]], 0)</f>
        <v>≤ 7</v>
      </c>
      <c r="H93" s="31" t="str" cm="1">
        <f t="array" ref="H93">Common_InputFunctions.Utility_DisplayArrayInTable(Common_SourceData.Common_SourceData_ClimateZones_Data(), Table_SourceData_ClimateZones[[#Headers],[Climate zone]], 0)</f>
        <v>≤ 1000 m</v>
      </c>
      <c r="I93" s="31" t="str" cm="1">
        <f t="array" ref="I93">Common_InputFunctions.Utility_DisplayArrayInTable(Common_SourceData.Common_SourceData_ClimateZones_Data(), Table_SourceData_ClimateZones[[#Headers],[Climate zone]], 0)</f>
        <v>Any</v>
      </c>
      <c r="J93" s="31" cm="1">
        <f t="array" ref="J93">Common_InputFunctions.Utility_DisplayArrayInTable(Common_SourceData.Common_SourceData_ClimateZones_Data(), Table_SourceData_ClimateZones[[#Headers],[Climate zone]], 0)</f>
        <v>18.001000000000001</v>
      </c>
      <c r="K93" s="31" cm="1">
        <f t="array" ref="K93">Common_InputFunctions.Utility_DisplayArrayInTable(Common_SourceData.Common_SourceData_ClimateZones_Data(), Table_SourceData_ClimateZones[[#Headers],[Climate zone]], 0)</f>
        <v>999999</v>
      </c>
      <c r="L93" s="31" cm="1">
        <f t="array" ref="L93">Common_InputFunctions.Utility_DisplayArrayInTable(Common_SourceData.Common_SourceData_ClimateZones_Data(), Table_SourceData_ClimateZones[[#Headers],[Climate zone]], 0)</f>
        <v>-999999</v>
      </c>
      <c r="M93" s="31" cm="1">
        <f t="array" ref="M93">Common_InputFunctions.Utility_DisplayArrayInTable(Common_SourceData.Common_SourceData_ClimateZones_Data(), Table_SourceData_ClimateZones[[#Headers],[Climate zone]], 0)</f>
        <v>1000</v>
      </c>
      <c r="N93" s="31" cm="1">
        <f t="array" ref="N93">Common_InputFunctions.Utility_DisplayArrayInTable(Common_SourceData.Common_SourceData_ClimateZones_Data(), Table_SourceData_ClimateZones[[#Headers],[Climate zone]], 0)</f>
        <v>-999999</v>
      </c>
      <c r="O93" s="31" cm="1">
        <f t="array" ref="O93">Common_InputFunctions.Utility_DisplayArrayInTable(Common_SourceData.Common_SourceData_ClimateZones_Data(), Table_SourceData_ClimateZones[[#Headers],[Climate zone]], 0)</f>
        <v>7</v>
      </c>
      <c r="P93" s="31" cm="1">
        <f t="array" ref="P93">Common_InputFunctions.Utility_DisplayArrayInTable(Common_SourceData.Common_SourceData_ClimateZones_Data(), Table_SourceData_ClimateZones[[#Headers],[Climate zone]], 0)</f>
        <v>-999999</v>
      </c>
      <c r="Q93" s="31" cm="1">
        <f t="array" ref="Q93">Common_InputFunctions.Utility_DisplayArrayInTable(Common_SourceData.Common_SourceData_ClimateZones_Data(), Table_SourceData_ClimateZones[[#Headers],[Climate zone]], 0)</f>
        <v>999.99900000000002</v>
      </c>
      <c r="R93" s="31" cm="1">
        <f t="array" ref="R93">Common_InputFunctions.Utility_DisplayArrayInTable(Common_SourceData.Common_SourceData_ClimateZones_Data(), Table_SourceData_ClimateZones[[#Headers],[Climate zone]], 0)</f>
        <v>-999999</v>
      </c>
      <c r="S93" s="31" cm="1">
        <f t="array" ref="S93">Common_InputFunctions.Utility_DisplayArrayInTable(Common_SourceData.Common_SourceData_ClimateZones_Data(), Table_SourceData_ClimateZones[[#Headers],[Climate zone]], 0)</f>
        <v>999999</v>
      </c>
      <c r="T93" s="31"/>
    </row>
    <row r="94" spans="1:20" ht="20.100000000000001" customHeight="1" x14ac:dyDescent="0.25">
      <c r="A94"/>
      <c r="D94" s="31" t="str" cm="1">
        <f t="array" ref="D94">Common_InputFunctions.Utility_DisplayArrayInTable(Common_SourceData.Common_SourceData_ClimateZones_Data(), Table_SourceData_ClimateZones[[#Headers],[Climate zone]], 0)</f>
        <v>Warm temperate moist</v>
      </c>
      <c r="E94" s="31" t="str" cm="1">
        <f t="array" ref="E94">Common_InputFunctions.Utility_DisplayArrayInTable(Common_SourceData.Common_SourceData_ClimateZones_Data(), Table_SourceData_ClimateZones[[#Headers],[Climate zone]], 0)</f>
        <v>&gt; 10 C</v>
      </c>
      <c r="F94" s="31" t="str" cm="1">
        <f t="array" ref="F94">Common_InputFunctions.Utility_DisplayArrayInTable(Common_SourceData.Common_SourceData_ClimateZones_Data(), Table_SourceData_ClimateZones[[#Headers],[Climate zone]], 0)</f>
        <v>Any</v>
      </c>
      <c r="G94" s="31" t="str" cm="1">
        <f t="array" ref="G94">Common_InputFunctions.Utility_DisplayArrayInTable(Common_SourceData.Common_SourceData_ClimateZones_Data(), Table_SourceData_ClimateZones[[#Headers],[Climate zone]], 0)</f>
        <v>Any</v>
      </c>
      <c r="H94" s="31" t="str" cm="1">
        <f t="array" ref="H94">Common_InputFunctions.Utility_DisplayArrayInTable(Common_SourceData.Common_SourceData_ClimateZones_Data(), Table_SourceData_ClimateZones[[#Headers],[Climate zone]], 0)</f>
        <v>Any</v>
      </c>
      <c r="I94" s="31" t="str" cm="1">
        <f t="array" ref="I94">Common_InputFunctions.Utility_DisplayArrayInTable(Common_SourceData.Common_SourceData_ClimateZones_Data(), Table_SourceData_ClimateZones[[#Headers],[Climate zone]], 0)</f>
        <v>&gt; 1</v>
      </c>
      <c r="J94" s="31" cm="1">
        <f t="array" ref="J94">Common_InputFunctions.Utility_DisplayArrayInTable(Common_SourceData.Common_SourceData_ClimateZones_Data(), Table_SourceData_ClimateZones[[#Headers],[Climate zone]], 0)</f>
        <v>10.000999999999999</v>
      </c>
      <c r="K94" s="31" cm="1">
        <f t="array" ref="K94">Common_InputFunctions.Utility_DisplayArrayInTable(Common_SourceData.Common_SourceData_ClimateZones_Data(), Table_SourceData_ClimateZones[[#Headers],[Climate zone]], 0)</f>
        <v>999999</v>
      </c>
      <c r="L94" s="31" cm="1">
        <f t="array" ref="L94">Common_InputFunctions.Utility_DisplayArrayInTable(Common_SourceData.Common_SourceData_ClimateZones_Data(), Table_SourceData_ClimateZones[[#Headers],[Climate zone]], 0)</f>
        <v>-999999</v>
      </c>
      <c r="M94" s="31" cm="1">
        <f t="array" ref="M94">Common_InputFunctions.Utility_DisplayArrayInTable(Common_SourceData.Common_SourceData_ClimateZones_Data(), Table_SourceData_ClimateZones[[#Headers],[Climate zone]], 0)</f>
        <v>999999</v>
      </c>
      <c r="N94" s="31" cm="1">
        <f t="array" ref="N94">Common_InputFunctions.Utility_DisplayArrayInTable(Common_SourceData.Common_SourceData_ClimateZones_Data(), Table_SourceData_ClimateZones[[#Headers],[Climate zone]], 0)</f>
        <v>-999999</v>
      </c>
      <c r="O94" s="31" cm="1">
        <f t="array" ref="O94">Common_InputFunctions.Utility_DisplayArrayInTable(Common_SourceData.Common_SourceData_ClimateZones_Data(), Table_SourceData_ClimateZones[[#Headers],[Climate zone]], 0)</f>
        <v>999999</v>
      </c>
      <c r="P94" s="31" cm="1">
        <f t="array" ref="P94">Common_InputFunctions.Utility_DisplayArrayInTable(Common_SourceData.Common_SourceData_ClimateZones_Data(), Table_SourceData_ClimateZones[[#Headers],[Climate zone]], 0)</f>
        <v>-999999</v>
      </c>
      <c r="Q94" s="31" cm="1">
        <f t="array" ref="Q94">Common_InputFunctions.Utility_DisplayArrayInTable(Common_SourceData.Common_SourceData_ClimateZones_Data(), Table_SourceData_ClimateZones[[#Headers],[Climate zone]], 0)</f>
        <v>999999</v>
      </c>
      <c r="R94" s="31" cm="1">
        <f t="array" ref="R94">Common_InputFunctions.Utility_DisplayArrayInTable(Common_SourceData.Common_SourceData_ClimateZones_Data(), Table_SourceData_ClimateZones[[#Headers],[Climate zone]], 0)</f>
        <v>1.0009999999999999</v>
      </c>
      <c r="S94" s="31" cm="1">
        <f t="array" ref="S94">Common_InputFunctions.Utility_DisplayArrayInTable(Common_SourceData.Common_SourceData_ClimateZones_Data(), Table_SourceData_ClimateZones[[#Headers],[Climate zone]], 0)</f>
        <v>999999</v>
      </c>
      <c r="T94" s="31"/>
    </row>
    <row r="95" spans="1:20" ht="20.100000000000001" customHeight="1" x14ac:dyDescent="0.25">
      <c r="A95"/>
      <c r="D95" s="31" t="str" cm="1">
        <f t="array" ref="D95">Common_InputFunctions.Utility_DisplayArrayInTable(Common_SourceData.Common_SourceData_ClimateZones_Data(), Table_SourceData_ClimateZones[[#Headers],[Climate zone]], 0)</f>
        <v>Warm temperate dry</v>
      </c>
      <c r="E95" s="31" t="str" cm="1">
        <f t="array" ref="E95">Common_InputFunctions.Utility_DisplayArrayInTable(Common_SourceData.Common_SourceData_ClimateZones_Data(), Table_SourceData_ClimateZones[[#Headers],[Climate zone]], 0)</f>
        <v>&gt; 10 C</v>
      </c>
      <c r="F95" s="31" t="str" cm="1">
        <f t="array" ref="F95">Common_InputFunctions.Utility_DisplayArrayInTable(Common_SourceData.Common_SourceData_ClimateZones_Data(), Table_SourceData_ClimateZones[[#Headers],[Climate zone]], 0)</f>
        <v>Any</v>
      </c>
      <c r="G95" s="31" t="str" cm="1">
        <f t="array" ref="G95">Common_InputFunctions.Utility_DisplayArrayInTable(Common_SourceData.Common_SourceData_ClimateZones_Data(), Table_SourceData_ClimateZones[[#Headers],[Climate zone]], 0)</f>
        <v>Any</v>
      </c>
      <c r="H95" s="31" t="str" cm="1">
        <f t="array" ref="H95">Common_InputFunctions.Utility_DisplayArrayInTable(Common_SourceData.Common_SourceData_ClimateZones_Data(), Table_SourceData_ClimateZones[[#Headers],[Climate zone]], 0)</f>
        <v>Any</v>
      </c>
      <c r="I95" s="31" t="str" cm="1">
        <f t="array" ref="I95">Common_InputFunctions.Utility_DisplayArrayInTable(Common_SourceData.Common_SourceData_ClimateZones_Data(), Table_SourceData_ClimateZones[[#Headers],[Climate zone]], 0)</f>
        <v>≤ 1</v>
      </c>
      <c r="J95" s="31" cm="1">
        <f t="array" ref="J95">Common_InputFunctions.Utility_DisplayArrayInTable(Common_SourceData.Common_SourceData_ClimateZones_Data(), Table_SourceData_ClimateZones[[#Headers],[Climate zone]], 0)</f>
        <v>10.000999999999999</v>
      </c>
      <c r="K95" s="31" cm="1">
        <f t="array" ref="K95">Common_InputFunctions.Utility_DisplayArrayInTable(Common_SourceData.Common_SourceData_ClimateZones_Data(), Table_SourceData_ClimateZones[[#Headers],[Climate zone]], 0)</f>
        <v>999999</v>
      </c>
      <c r="L95" s="31" cm="1">
        <f t="array" ref="L95">Common_InputFunctions.Utility_DisplayArrayInTable(Common_SourceData.Common_SourceData_ClimateZones_Data(), Table_SourceData_ClimateZones[[#Headers],[Climate zone]], 0)</f>
        <v>-999999</v>
      </c>
      <c r="M95" s="31" cm="1">
        <f t="array" ref="M95">Common_InputFunctions.Utility_DisplayArrayInTable(Common_SourceData.Common_SourceData_ClimateZones_Data(), Table_SourceData_ClimateZones[[#Headers],[Climate zone]], 0)</f>
        <v>999999</v>
      </c>
      <c r="N95" s="31" cm="1">
        <f t="array" ref="N95">Common_InputFunctions.Utility_DisplayArrayInTable(Common_SourceData.Common_SourceData_ClimateZones_Data(), Table_SourceData_ClimateZones[[#Headers],[Climate zone]], 0)</f>
        <v>-999999</v>
      </c>
      <c r="O95" s="31" cm="1">
        <f t="array" ref="O95">Common_InputFunctions.Utility_DisplayArrayInTable(Common_SourceData.Common_SourceData_ClimateZones_Data(), Table_SourceData_ClimateZones[[#Headers],[Climate zone]], 0)</f>
        <v>999999</v>
      </c>
      <c r="P95" s="31" cm="1">
        <f t="array" ref="P95">Common_InputFunctions.Utility_DisplayArrayInTable(Common_SourceData.Common_SourceData_ClimateZones_Data(), Table_SourceData_ClimateZones[[#Headers],[Climate zone]], 0)</f>
        <v>-999999</v>
      </c>
      <c r="Q95" s="31" cm="1">
        <f t="array" ref="Q95">Common_InputFunctions.Utility_DisplayArrayInTable(Common_SourceData.Common_SourceData_ClimateZones_Data(), Table_SourceData_ClimateZones[[#Headers],[Climate zone]], 0)</f>
        <v>999999</v>
      </c>
      <c r="R95" s="31" cm="1">
        <f t="array" ref="R95">Common_InputFunctions.Utility_DisplayArrayInTable(Common_SourceData.Common_SourceData_ClimateZones_Data(), Table_SourceData_ClimateZones[[#Headers],[Climate zone]], 0)</f>
        <v>-999999</v>
      </c>
      <c r="S95" s="31" cm="1">
        <f t="array" ref="S95">Common_InputFunctions.Utility_DisplayArrayInTable(Common_SourceData.Common_SourceData_ClimateZones_Data(), Table_SourceData_ClimateZones[[#Headers],[Climate zone]], 0)</f>
        <v>1</v>
      </c>
      <c r="T95" s="31"/>
    </row>
    <row r="96" spans="1:20" ht="20.100000000000001" customHeight="1" x14ac:dyDescent="0.25">
      <c r="A96"/>
      <c r="D96" s="31" t="str" cm="1">
        <f t="array" ref="D96">Common_InputFunctions.Utility_DisplayArrayInTable(Common_SourceData.Common_SourceData_ClimateZones_Data(), Table_SourceData_ClimateZones[[#Headers],[Climate zone]], 0)</f>
        <v>Cool temperate moist</v>
      </c>
      <c r="E96" s="31" t="str" cm="1">
        <f t="array" ref="E96">Common_InputFunctions.Utility_DisplayArrayInTable(Common_SourceData.Common_SourceData_ClimateZones_Data(), Table_SourceData_ClimateZones[[#Headers],[Climate zone]], 0)</f>
        <v>&gt; 0 C - ≤ 10 C</v>
      </c>
      <c r="F96" s="31" t="str" cm="1">
        <f t="array" ref="F96">Common_InputFunctions.Utility_DisplayArrayInTable(Common_SourceData.Common_SourceData_ClimateZones_Data(), Table_SourceData_ClimateZones[[#Headers],[Climate zone]], 0)</f>
        <v>Any</v>
      </c>
      <c r="G96" s="31" t="str" cm="1">
        <f t="array" ref="G96">Common_InputFunctions.Utility_DisplayArrayInTable(Common_SourceData.Common_SourceData_ClimateZones_Data(), Table_SourceData_ClimateZones[[#Headers],[Climate zone]], 0)</f>
        <v>Any</v>
      </c>
      <c r="H96" s="31" t="str" cm="1">
        <f t="array" ref="H96">Common_InputFunctions.Utility_DisplayArrayInTable(Common_SourceData.Common_SourceData_ClimateZones_Data(), Table_SourceData_ClimateZones[[#Headers],[Climate zone]], 0)</f>
        <v>Any</v>
      </c>
      <c r="I96" s="31" t="str" cm="1">
        <f t="array" ref="I96">Common_InputFunctions.Utility_DisplayArrayInTable(Common_SourceData.Common_SourceData_ClimateZones_Data(), Table_SourceData_ClimateZones[[#Headers],[Climate zone]], 0)</f>
        <v>&gt; 1</v>
      </c>
      <c r="J96" s="31" cm="1">
        <f t="array" ref="J96">Common_InputFunctions.Utility_DisplayArrayInTable(Common_SourceData.Common_SourceData_ClimateZones_Data(), Table_SourceData_ClimateZones[[#Headers],[Climate zone]], 0)</f>
        <v>-999999</v>
      </c>
      <c r="K96" s="31" cm="1">
        <f t="array" ref="K96">Common_InputFunctions.Utility_DisplayArrayInTable(Common_SourceData.Common_SourceData_ClimateZones_Data(), Table_SourceData_ClimateZones[[#Headers],[Climate zone]], 0)</f>
        <v>10</v>
      </c>
      <c r="L96" s="31" cm="1">
        <f t="array" ref="L96">Common_InputFunctions.Utility_DisplayArrayInTable(Common_SourceData.Common_SourceData_ClimateZones_Data(), Table_SourceData_ClimateZones[[#Headers],[Climate zone]], 0)</f>
        <v>-999999</v>
      </c>
      <c r="M96" s="31" cm="1">
        <f t="array" ref="M96">Common_InputFunctions.Utility_DisplayArrayInTable(Common_SourceData.Common_SourceData_ClimateZones_Data(), Table_SourceData_ClimateZones[[#Headers],[Climate zone]], 0)</f>
        <v>999999</v>
      </c>
      <c r="N96" s="31" cm="1">
        <f t="array" ref="N96">Common_InputFunctions.Utility_DisplayArrayInTable(Common_SourceData.Common_SourceData_ClimateZones_Data(), Table_SourceData_ClimateZones[[#Headers],[Climate zone]], 0)</f>
        <v>-999999</v>
      </c>
      <c r="O96" s="31" cm="1">
        <f t="array" ref="O96">Common_InputFunctions.Utility_DisplayArrayInTable(Common_SourceData.Common_SourceData_ClimateZones_Data(), Table_SourceData_ClimateZones[[#Headers],[Climate zone]], 0)</f>
        <v>999999</v>
      </c>
      <c r="P96" s="31" cm="1">
        <f t="array" ref="P96">Common_InputFunctions.Utility_DisplayArrayInTable(Common_SourceData.Common_SourceData_ClimateZones_Data(), Table_SourceData_ClimateZones[[#Headers],[Climate zone]], 0)</f>
        <v>-999999</v>
      </c>
      <c r="Q96" s="31" cm="1">
        <f t="array" ref="Q96">Common_InputFunctions.Utility_DisplayArrayInTable(Common_SourceData.Common_SourceData_ClimateZones_Data(), Table_SourceData_ClimateZones[[#Headers],[Climate zone]], 0)</f>
        <v>999999</v>
      </c>
      <c r="R96" s="31" cm="1">
        <f t="array" ref="R96">Common_InputFunctions.Utility_DisplayArrayInTable(Common_SourceData.Common_SourceData_ClimateZones_Data(), Table_SourceData_ClimateZones[[#Headers],[Climate zone]], 0)</f>
        <v>1.0009999999999999</v>
      </c>
      <c r="S96" s="31" cm="1">
        <f t="array" ref="S96">Common_InputFunctions.Utility_DisplayArrayInTable(Common_SourceData.Common_SourceData_ClimateZones_Data(), Table_SourceData_ClimateZones[[#Headers],[Climate zone]], 0)</f>
        <v>999999</v>
      </c>
      <c r="T96" s="31"/>
    </row>
    <row r="97" spans="1:20" ht="20.100000000000001" customHeight="1" x14ac:dyDescent="0.25">
      <c r="A97"/>
      <c r="D97" s="31" t="str" cm="1">
        <f t="array" ref="D97">Common_InputFunctions.Utility_DisplayArrayInTable(Common_SourceData.Common_SourceData_ClimateZones_Data(), Table_SourceData_ClimateZones[[#Headers],[Climate zone]], 0)</f>
        <v>Cool temperate dry</v>
      </c>
      <c r="E97" s="31" t="str" cm="1">
        <f t="array" ref="E97">Common_InputFunctions.Utility_DisplayArrayInTable(Common_SourceData.Common_SourceData_ClimateZones_Data(), Table_SourceData_ClimateZones[[#Headers],[Climate zone]], 0)</f>
        <v>&gt; 0 C - ≤ 10 C</v>
      </c>
      <c r="F97" s="31" t="str" cm="1">
        <f t="array" ref="F97">Common_InputFunctions.Utility_DisplayArrayInTable(Common_SourceData.Common_SourceData_ClimateZones_Data(), Table_SourceData_ClimateZones[[#Headers],[Climate zone]], 0)</f>
        <v>Any</v>
      </c>
      <c r="G97" s="31" t="str" cm="1">
        <f t="array" ref="G97">Common_InputFunctions.Utility_DisplayArrayInTable(Common_SourceData.Common_SourceData_ClimateZones_Data(), Table_SourceData_ClimateZones[[#Headers],[Climate zone]], 0)</f>
        <v>Any</v>
      </c>
      <c r="H97" s="31" t="str" cm="1">
        <f t="array" ref="H97">Common_InputFunctions.Utility_DisplayArrayInTable(Common_SourceData.Common_SourceData_ClimateZones_Data(), Table_SourceData_ClimateZones[[#Headers],[Climate zone]], 0)</f>
        <v>Any</v>
      </c>
      <c r="I97" s="31" t="str" cm="1">
        <f t="array" ref="I97">Common_InputFunctions.Utility_DisplayArrayInTable(Common_SourceData.Common_SourceData_ClimateZones_Data(), Table_SourceData_ClimateZones[[#Headers],[Climate zone]], 0)</f>
        <v>≤ 1</v>
      </c>
      <c r="J97" s="31" cm="1">
        <f t="array" ref="J97">Common_InputFunctions.Utility_DisplayArrayInTable(Common_SourceData.Common_SourceData_ClimateZones_Data(), Table_SourceData_ClimateZones[[#Headers],[Climate zone]], 0)</f>
        <v>-999999</v>
      </c>
      <c r="K97" s="31" cm="1">
        <f t="array" ref="K97">Common_InputFunctions.Utility_DisplayArrayInTable(Common_SourceData.Common_SourceData_ClimateZones_Data(), Table_SourceData_ClimateZones[[#Headers],[Climate zone]], 0)</f>
        <v>10</v>
      </c>
      <c r="L97" s="31" cm="1">
        <f t="array" ref="L97">Common_InputFunctions.Utility_DisplayArrayInTable(Common_SourceData.Common_SourceData_ClimateZones_Data(), Table_SourceData_ClimateZones[[#Headers],[Climate zone]], 0)</f>
        <v>-999999</v>
      </c>
      <c r="M97" s="31" cm="1">
        <f t="array" ref="M97">Common_InputFunctions.Utility_DisplayArrayInTable(Common_SourceData.Common_SourceData_ClimateZones_Data(), Table_SourceData_ClimateZones[[#Headers],[Climate zone]], 0)</f>
        <v>999999</v>
      </c>
      <c r="N97" s="31" cm="1">
        <f t="array" ref="N97">Common_InputFunctions.Utility_DisplayArrayInTable(Common_SourceData.Common_SourceData_ClimateZones_Data(), Table_SourceData_ClimateZones[[#Headers],[Climate zone]], 0)</f>
        <v>-999999</v>
      </c>
      <c r="O97" s="31" cm="1">
        <f t="array" ref="O97">Common_InputFunctions.Utility_DisplayArrayInTable(Common_SourceData.Common_SourceData_ClimateZones_Data(), Table_SourceData_ClimateZones[[#Headers],[Climate zone]], 0)</f>
        <v>999999</v>
      </c>
      <c r="P97" s="31" cm="1">
        <f t="array" ref="P97">Common_InputFunctions.Utility_DisplayArrayInTable(Common_SourceData.Common_SourceData_ClimateZones_Data(), Table_SourceData_ClimateZones[[#Headers],[Climate zone]], 0)</f>
        <v>-999999</v>
      </c>
      <c r="Q97" s="31" cm="1">
        <f t="array" ref="Q97">Common_InputFunctions.Utility_DisplayArrayInTable(Common_SourceData.Common_SourceData_ClimateZones_Data(), Table_SourceData_ClimateZones[[#Headers],[Climate zone]], 0)</f>
        <v>999999</v>
      </c>
      <c r="R97" s="31" cm="1">
        <f t="array" ref="R97">Common_InputFunctions.Utility_DisplayArrayInTable(Common_SourceData.Common_SourceData_ClimateZones_Data(), Table_SourceData_ClimateZones[[#Headers],[Climate zone]], 0)</f>
        <v>-999999</v>
      </c>
      <c r="S97" s="31" cm="1">
        <f t="array" ref="S97">Common_InputFunctions.Utility_DisplayArrayInTable(Common_SourceData.Common_SourceData_ClimateZones_Data(), Table_SourceData_ClimateZones[[#Headers],[Climate zone]], 0)</f>
        <v>1</v>
      </c>
      <c r="T97" s="31"/>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8" t="str" cm="1">
        <f t="array" ref="D106">Common_SourceData.Common_SourceData_TemperatureZones_Source()</f>
        <v>VEERG 2026: Table 1.3: Climate and Rainfall zone classifications and definitions</v>
      </c>
    </row>
    <row r="107" spans="1:20" ht="20.100000000000001" customHeight="1" x14ac:dyDescent="0.25">
      <c r="A107"/>
      <c r="D107" s="37"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1" t="s">
        <v>60</v>
      </c>
      <c r="E109" s="31" t="s">
        <v>45</v>
      </c>
      <c r="F109" s="31" t="s">
        <v>61</v>
      </c>
      <c r="G109" s="31" t="s">
        <v>62</v>
      </c>
    </row>
    <row r="110" spans="1:20" ht="20.100000000000001" customHeight="1" x14ac:dyDescent="0.25">
      <c r="A110"/>
      <c r="D110" s="31" t="str" cm="1">
        <f t="array" ref="D110">Common_InputFunctions.Utility_DisplayArrayInTable(Common_SourceData.Common_SourceData_TemperatureZones_Data(),Table_SourceData_TemperatureZones[[#Headers],[Temperature Zone]],0)</f>
        <v>Warm</v>
      </c>
      <c r="E110" s="31" t="str" cm="1">
        <f t="array" ref="E110">Common_InputFunctions.Utility_DisplayArrayInTable(Common_SourceData.Common_SourceData_TemperatureZones_Data(),Table_SourceData_TemperatureZones[[#Headers],[Temperature Zone]],0)</f>
        <v>≥ 26 C</v>
      </c>
      <c r="F110" s="31" cm="1">
        <f t="array" ref="F110">Common_InputFunctions.Utility_DisplayArrayInTable(Common_SourceData.Common_SourceData_TemperatureZones_Data(),Table_SourceData_TemperatureZones[[#Headers],[Temperature Zone]],0)</f>
        <v>26</v>
      </c>
      <c r="G110" s="31"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1" t="str" cm="1">
        <f t="array" ref="D111">Common_InputFunctions.Utility_DisplayArrayInTable(Common_SourceData.Common_SourceData_TemperatureZones_Data(),Table_SourceData_TemperatureZones[[#Headers],[Temperature Zone]],0)</f>
        <v>Temperate</v>
      </c>
      <c r="E111" s="31" t="str" cm="1">
        <f t="array" ref="E111">Common_InputFunctions.Utility_DisplayArrayInTable(Common_SourceData.Common_SourceData_TemperatureZones_Data(),Table_SourceData_TemperatureZones[[#Headers],[Temperature Zone]],0)</f>
        <v>15 - 25 C</v>
      </c>
      <c r="F111" s="31" cm="1">
        <f t="array" ref="F111">Common_InputFunctions.Utility_DisplayArrayInTable(Common_SourceData.Common_SourceData_TemperatureZones_Data(),Table_SourceData_TemperatureZones[[#Headers],[Temperature Zone]],0)</f>
        <v>15</v>
      </c>
      <c r="G111" s="31"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1" t="str" cm="1">
        <f t="array" ref="D112">Common_InputFunctions.Utility_DisplayArrayInTable(Common_SourceData.Common_SourceData_TemperatureZones_Data(),Table_SourceData_TemperatureZones[[#Headers],[Temperature Zone]],0)</f>
        <v>Cool</v>
      </c>
      <c r="E112" s="31" t="str" cm="1">
        <f t="array" ref="E112">Common_InputFunctions.Utility_DisplayArrayInTable(Common_SourceData.Common_SourceData_TemperatureZones_Data(),Table_SourceData_TemperatureZones[[#Headers],[Temperature Zone]],0)</f>
        <v>≤ 14 C</v>
      </c>
      <c r="F112" s="31" cm="1">
        <f t="array" ref="F112">Common_InputFunctions.Utility_DisplayArrayInTable(Common_SourceData.Common_SourceData_TemperatureZones_Data(),Table_SourceData_TemperatureZones[[#Headers],[Temperature Zone]],0)</f>
        <v>-999999</v>
      </c>
      <c r="G112" s="31"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3"/>
    </row>
    <row r="116" spans="1:66" ht="20.100000000000001" customHeight="1" x14ac:dyDescent="0.25">
      <c r="A116"/>
      <c r="D116" s="28" t="str" cm="1">
        <f t="array" ref="D116">Common_SourceData.Common_SourceData_RainfallZones_Source()</f>
        <v>VEERG 2026: Table 1.3: Climate and Rainfall zone classifications and definitions</v>
      </c>
      <c r="BN116" s="33"/>
    </row>
    <row r="117" spans="1:66" ht="20.100000000000001" customHeight="1" x14ac:dyDescent="0.25">
      <c r="A117"/>
      <c r="D117" s="37" t="str" cm="1">
        <f t="array" ref="D117">"⚠️" &amp; Common_SourceData.Common_SourceData_RainfallZones_Variation()</f>
        <v>⚠️VARIATION OF SOURCE DATA: Added extra Rainfall min and Rainfall max columns to calculate zone from real rainfall data.</v>
      </c>
      <c r="BN117" s="33"/>
    </row>
    <row r="118" spans="1:66" ht="20.100000000000001" customHeight="1" x14ac:dyDescent="0.25">
      <c r="A118"/>
      <c r="BN118" s="33"/>
    </row>
    <row r="119" spans="1:66" ht="20.100000000000001" customHeight="1" x14ac:dyDescent="0.25">
      <c r="A119"/>
      <c r="D119" s="31" t="s">
        <v>63</v>
      </c>
      <c r="E119" s="31" t="s">
        <v>64</v>
      </c>
      <c r="F119" s="31" t="s">
        <v>52</v>
      </c>
      <c r="G119" s="31" t="s">
        <v>53</v>
      </c>
      <c r="BN119" s="33"/>
    </row>
    <row r="120" spans="1:66" ht="20.100000000000001" customHeight="1" x14ac:dyDescent="0.25">
      <c r="A120"/>
      <c r="D120" s="31" t="str" cm="1">
        <f t="array" ref="D120">Common_InputFunctions.Utility_DisplayArrayInTable(Common_SourceData.Common_SourceData_RainfallZones_Data(),Table_SourceData_RainfallZones[[#Headers],[Rainfall Zone]],0)</f>
        <v>High rainfall</v>
      </c>
      <c r="E120" s="31" t="str" cm="1">
        <f t="array" ref="E120">Common_InputFunctions.Utility_DisplayArrayInTable(Common_SourceData.Common_SourceData_RainfallZones_Data(),Table_SourceData_RainfallZones[[#Headers],[Rainfall Zone]],0)</f>
        <v>Annual rainfall &gt; 600mm</v>
      </c>
      <c r="F120" s="31" cm="1">
        <f t="array" ref="F120">Common_InputFunctions.Utility_DisplayArrayInTable(Common_SourceData.Common_SourceData_RainfallZones_Data(),Table_SourceData_RainfallZones[[#Headers],[Rainfall Zone]],0)</f>
        <v>600.00099999999998</v>
      </c>
      <c r="G120" s="31" cm="1">
        <f t="array" ref="G120">Common_InputFunctions.Utility_DisplayArrayInTable(Common_SourceData.Common_SourceData_RainfallZones_Data(),Table_SourceData_RainfallZones[[#Headers],[Rainfall Zone]],0)</f>
        <v>999999</v>
      </c>
      <c r="BN120" s="33"/>
    </row>
    <row r="121" spans="1:66" ht="20.100000000000001" customHeight="1" x14ac:dyDescent="0.25">
      <c r="A121"/>
      <c r="D121" s="31" t="str" cm="1">
        <f t="array" ref="D121">Common_InputFunctions.Utility_DisplayArrayInTable(Common_SourceData.Common_SourceData_RainfallZones_Data(),Table_SourceData_RainfallZones[[#Headers],[Rainfall Zone]],0)</f>
        <v>Low rainfall</v>
      </c>
      <c r="E121" s="31" t="str" cm="1">
        <f t="array" ref="E121">Common_InputFunctions.Utility_DisplayArrayInTable(Common_SourceData.Common_SourceData_RainfallZones_Data(),Table_SourceData_RainfallZones[[#Headers],[Rainfall Zone]],0)</f>
        <v>Annual rainfall ≤ 600mm</v>
      </c>
      <c r="F121" s="31" cm="1">
        <f t="array" ref="F121">Common_InputFunctions.Utility_DisplayArrayInTable(Common_SourceData.Common_SourceData_RainfallZones_Data(),Table_SourceData_RainfallZones[[#Headers],[Rainfall Zone]],0)</f>
        <v>-999999</v>
      </c>
      <c r="G121" s="31" cm="1">
        <f t="array" ref="G121">Common_InputFunctions.Utility_DisplayArrayInTable(Common_SourceData.Common_SourceData_RainfallZones_Data(),Table_SourceData_RainfallZones[[#Headers],[Rainfall Zone]],0)</f>
        <v>600</v>
      </c>
      <c r="BN121" s="33"/>
    </row>
    <row r="122" spans="1:66" ht="20.100000000000001" customHeight="1" x14ac:dyDescent="0.25">
      <c r="A122"/>
      <c r="BN122" s="33"/>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1" t="s">
        <v>65</v>
      </c>
      <c r="E127" s="31" t="s">
        <v>66</v>
      </c>
    </row>
    <row r="128" spans="1:66" ht="20.100000000000001" customHeight="1" x14ac:dyDescent="0.25">
      <c r="A128"/>
      <c r="D128" s="31" t="str" cm="1">
        <f t="array" ref="D128">Common_InputFunctions.Utility_DisplayArrayInTable(Common_SourceData.Common_SourceData_LeachingZones_Data(), Table_SourceData_LeachingZones[[#Headers],[Leaching Zone]], 0)</f>
        <v>Leaching occurs</v>
      </c>
      <c r="E128" s="3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1" t="str" cm="1">
        <f t="array" ref="D129">Common_InputFunctions.Utility_DisplayArrayInTable(Common_SourceData.Common_SourceData_LeachingZones_Data(), Table_SourceData_LeachingZones[[#Headers],[Leaching Zone]], 0)</f>
        <v>Leaching does not occur</v>
      </c>
      <c r="E129" s="3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8" t="str" cm="1">
        <f t="array" ref="D133">Common_SourceData.Common_SourceData_FracWET_Source()</f>
        <v>VEERG 2026:5.5.2.3 Constant Parameters</v>
      </c>
      <c r="E133" s="8"/>
    </row>
    <row r="134" spans="1:77" ht="20.100000000000001" customHeight="1" x14ac:dyDescent="0.25">
      <c r="A134"/>
      <c r="D134" t="s">
        <v>67</v>
      </c>
      <c r="E134" t="s">
        <v>68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1"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3"/>
      <c r="BO138" s="33"/>
      <c r="BP138" s="33"/>
      <c r="BQ138" s="33"/>
      <c r="BR138" s="33"/>
      <c r="BS138" s="33"/>
      <c r="BT138" s="33"/>
      <c r="BU138" s="33"/>
      <c r="BV138" s="33"/>
      <c r="BW138" s="33"/>
      <c r="BX138" s="33"/>
      <c r="BY138" s="33"/>
    </row>
    <row r="139" spans="1:77" ht="20.100000000000001" customHeight="1" x14ac:dyDescent="0.25">
      <c r="A139"/>
      <c r="D139" s="2" t="str" cm="1">
        <f t="array" ref="D139">Common_SourceData.Common_SourceData_FracWETIrrigation_Title()</f>
        <v>FracWET for irrigation types</v>
      </c>
      <c r="BN139" s="33"/>
      <c r="BO139" s="33"/>
      <c r="BP139" s="33"/>
      <c r="BQ139" s="33"/>
      <c r="BR139" s="33"/>
      <c r="BS139" s="33"/>
      <c r="BT139" s="33"/>
      <c r="BU139" s="33"/>
      <c r="BV139" s="33"/>
      <c r="BW139" s="33"/>
      <c r="BX139" s="33"/>
      <c r="BY139" s="33"/>
    </row>
    <row r="140" spans="1:77" ht="20.100000000000001" customHeight="1" x14ac:dyDescent="0.25">
      <c r="A140"/>
      <c r="D140" s="28" t="str" cm="1">
        <f t="array" ref="D140">Common_SourceData.Common_SourceData_FracWETIrrigation_Source()</f>
        <v>VEERG 2026: Chapter 1, section 1.8.2 Leaching, climate and rainfall zones</v>
      </c>
      <c r="BN140" s="33"/>
      <c r="BO140" s="33"/>
      <c r="BP140" s="33"/>
      <c r="BQ140" s="33"/>
      <c r="BR140" s="33"/>
      <c r="BS140" s="33"/>
      <c r="BT140" s="33"/>
      <c r="BU140" s="33"/>
      <c r="BV140" s="33"/>
      <c r="BW140" s="33"/>
      <c r="BX140" s="33"/>
      <c r="BY140" s="33"/>
    </row>
    <row r="141" spans="1:77" ht="20.100000000000001" customHeight="1" x14ac:dyDescent="0.25">
      <c r="A141"/>
      <c r="D141" s="37" t="str" cm="1">
        <f t="array" ref="D141">Common_SourceData.Common_SourceData_FracWETIrrigation_Variation()</f>
        <v>VARIATION FROM SOURCE DATA: Table created based on VEERG text 'Areas are subject to leaching (i.e., in the leaching zone) when... the land is irrigated (except drip irrigation).'</v>
      </c>
      <c r="BN141" s="33"/>
    </row>
    <row r="142" spans="1:77" ht="20.100000000000001" customHeight="1" x14ac:dyDescent="0.25">
      <c r="A142"/>
      <c r="D142" s="31" t="s">
        <v>69</v>
      </c>
      <c r="E142" s="31" t="s">
        <v>68</v>
      </c>
      <c r="BN142" s="33"/>
    </row>
    <row r="143" spans="1:77" ht="20.100000000000001" customHeight="1" x14ac:dyDescent="0.25">
      <c r="A143"/>
      <c r="D143" s="31" t="str" cm="1">
        <f t="array" ref="D143">Common_InputFunctions.Utility_DisplayArrayInTable(Common_SourceData.Common_SourceData_FracWETIrrigation_Data(), Table_SourceData_FracWETIrrigation[[#Headers],[Irrigation type i]], 0)</f>
        <v>Not irrigated</v>
      </c>
      <c r="E143" s="31" cm="1">
        <f t="array" ref="E143">Common_InputFunctions.Utility_DisplayArrayInTable(Common_SourceData.Common_SourceData_FracWETIrrigation_Data(), Table_SourceData_FracWETIrrigation[[#Headers],[Irrigation type i]], 0)</f>
        <v>0</v>
      </c>
      <c r="BN143" s="33"/>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1" cm="1">
        <f t="array" ref="E144">Common_InputFunctions.Utility_DisplayArrayInTable(Common_SourceData.Common_SourceData_FracWETIrrigation_Data(), Table_SourceData_FracWETIrrigation[[#Headers],[Irrigation type i]], 0)</f>
        <v>0</v>
      </c>
      <c r="BN144" s="33"/>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1" cm="1">
        <f t="array" ref="E145">Common_InputFunctions.Utility_DisplayArrayInTable(Common_SourceData.Common_SourceData_FracWETIrrigation_Data(), Table_SourceData_FracWETIrrigation[[#Headers],[Irrigation type i]], 0)</f>
        <v>1</v>
      </c>
      <c r="BN145" s="33"/>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1" cm="1">
        <f t="array" ref="E146">Common_InputFunctions.Utility_DisplayArrayInTable(Common_SourceData.Common_SourceData_FracWETIrrigation_Data(), Table_SourceData_FracWETIrrigation[[#Headers],[Irrigation type i]], 0)</f>
        <v>1</v>
      </c>
      <c r="BN146" s="33"/>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1" cm="1">
        <f t="array" ref="E147">Common_InputFunctions.Utility_DisplayArrayInTable(Common_SourceData.Common_SourceData_FracWETIrrigation_Data(), Table_SourceData_FracWETIrrigation[[#Headers],[Irrigation type i]], 0)</f>
        <v>1</v>
      </c>
      <c r="BN147" s="33"/>
    </row>
    <row r="148" spans="1:66" ht="20.100000000000001" customHeight="1" x14ac:dyDescent="0.25">
      <c r="A148"/>
      <c r="BN148" s="33"/>
    </row>
    <row r="149" spans="1:66" ht="20.100000000000001" customHeight="1" x14ac:dyDescent="0.25">
      <c r="A149"/>
      <c r="BN149" s="33"/>
    </row>
    <row r="150" spans="1:66" ht="20.100000000000001" customHeight="1" x14ac:dyDescent="0.25">
      <c r="A150"/>
      <c r="D150" s="2" t="str" cm="1">
        <f t="array" ref="D150">Common_SourceData.Common_SourceData_DataScores_Scope3_Title()</f>
        <v>Australian data scores for scope 3</v>
      </c>
      <c r="BN150" s="33"/>
    </row>
    <row r="151" spans="1:66" ht="20.100000000000001" customHeight="1" x14ac:dyDescent="0.25">
      <c r="A151"/>
      <c r="D151" s="28" t="str" cm="1">
        <f t="array" ref="D151">Common_SourceData.Common_SourceData_DataScores_Scope3_Source()</f>
        <v>VEERG 2026: XXXXXXXX</v>
      </c>
      <c r="BN151" s="33"/>
    </row>
    <row r="152" spans="1:66" ht="20.100000000000001" customHeight="1" x14ac:dyDescent="0.25">
      <c r="A152"/>
      <c r="BN152" s="33"/>
    </row>
    <row r="153" spans="1:66" ht="20.100000000000001" customHeight="1" x14ac:dyDescent="0.25">
      <c r="A153"/>
      <c r="D153" s="31" t="s">
        <v>70</v>
      </c>
      <c r="E153" s="31" t="s">
        <v>71</v>
      </c>
      <c r="BC153" s="36"/>
      <c r="BD153" s="36"/>
      <c r="BE153" s="36"/>
      <c r="BF153" s="36"/>
      <c r="BG153" s="36"/>
      <c r="BH153" s="36"/>
      <c r="BI153" s="36"/>
      <c r="BJ153" s="36"/>
      <c r="BK153" s="36"/>
      <c r="BL153" s="36"/>
      <c r="BM153" s="36"/>
    </row>
    <row r="154" spans="1:66" ht="20.100000000000001" customHeight="1" x14ac:dyDescent="0.25">
      <c r="A154"/>
      <c r="D154" s="31" t="str" cm="1">
        <f t="array" ref="D154">Common_InputFunctions.Utility_DisplayArrayInTable(Common_SourceData.Common_SourceData_DataScores_Scope3_Data(), Table_SourceData_DataScores_Scope3[[#Headers],[Data source]], 0)</f>
        <v>International scope 3 database</v>
      </c>
      <c r="E154" s="31" cm="1">
        <f t="array" ref="E154">Common_InputFunctions.Utility_DisplayArrayInTable(Common_SourceData.Common_SourceData_DataScores_Scope3_Data(), Table_SourceData_DataScores_Scope3[[#Headers],[Data source]], 0)</f>
        <v>1</v>
      </c>
      <c r="BC154" s="36"/>
      <c r="BD154" s="36"/>
      <c r="BE154" s="36"/>
      <c r="BF154" s="36"/>
      <c r="BG154" s="36"/>
      <c r="BH154" s="36"/>
      <c r="BI154" s="36"/>
      <c r="BJ154" s="36"/>
      <c r="BK154" s="36"/>
      <c r="BL154" s="36"/>
      <c r="BM154" s="36"/>
    </row>
    <row r="155" spans="1:66" ht="20.100000000000001" customHeight="1" x14ac:dyDescent="0.25">
      <c r="A155"/>
      <c r="D155" s="31" t="str" cm="1">
        <f t="array" ref="D155">Common_InputFunctions.Utility_DisplayArrayInTable(Common_SourceData.Common_SourceData_DataScores_Scope3_Data(), Table_SourceData_DataScores_Scope3[[#Headers],[Data source]], 0)</f>
        <v>Australian scope 3 database</v>
      </c>
      <c r="E155" s="31" cm="1">
        <f t="array" ref="E155">Common_InputFunctions.Utility_DisplayArrayInTable(Common_SourceData.Common_SourceData_DataScores_Scope3_Data(), Table_SourceData_DataScores_Scope3[[#Headers],[Data source]], 0)</f>
        <v>2</v>
      </c>
      <c r="BC155" s="36"/>
      <c r="BD155" s="36"/>
      <c r="BE155" s="36"/>
      <c r="BF155" s="36"/>
      <c r="BG155" s="36"/>
      <c r="BH155" s="36"/>
      <c r="BI155" s="36"/>
      <c r="BJ155" s="36"/>
      <c r="BK155" s="36"/>
      <c r="BL155" s="36"/>
      <c r="BM155" s="36"/>
    </row>
    <row r="156" spans="1:66" ht="20.100000000000001" customHeight="1" x14ac:dyDescent="0.25">
      <c r="A156"/>
      <c r="D156" s="31" t="str" cm="1">
        <f t="array" ref="D156">Common_InputFunctions.Utility_DisplayArrayInTable(Common_SourceData.Common_SourceData_DataScores_Scope3_Data(), Table_SourceData_DataScores_Scope3[[#Headers],[Data source]], 0)</f>
        <v>State or regional scope 3 database</v>
      </c>
      <c r="E156" s="31"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1" t="str" cm="1">
        <f t="array" ref="D157">Common_InputFunctions.Utility_DisplayArrayInTable(Common_SourceData.Common_SourceData_DataScores_Scope3_Data(), Table_SourceData_DataScores_Scope3[[#Headers],[Data source]], 0)</f>
        <v>Emissions intensity calculated from approved method</v>
      </c>
      <c r="E157" s="31"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1" t="str" cm="1">
        <f t="array" ref="D158">Common_InputFunctions.Utility_DisplayArrayInTable(Common_SourceData.Common_SourceData_DataScores_Scope3_Data(), Table_SourceData_DataScores_Scope3[[#Headers],[Data source]], 0)</f>
        <v>Verified credential matching ISO14067</v>
      </c>
      <c r="E158" s="31"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8" t="str" cm="1">
        <f t="array" ref="D162">Common_SourceData.Common_SourceData_FracLEACH_Source()</f>
        <v>VEERG 2026:5.5.2.3 Constant Parameters</v>
      </c>
      <c r="E162" s="8"/>
    </row>
    <row r="163" spans="4:68" ht="20.100000000000001" customHeight="1" x14ac:dyDescent="0.25">
      <c r="D163" s="28"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3"/>
      <c r="BO165" s="33"/>
      <c r="BP165" s="33"/>
    </row>
    <row r="166" spans="4:68" ht="20.100000000000001" customHeight="1" x14ac:dyDescent="0.25">
      <c r="BN166" s="33"/>
      <c r="BO166" s="33"/>
      <c r="BP166" s="33"/>
    </row>
    <row r="167" spans="4:68" ht="20.100000000000001" customHeight="1" x14ac:dyDescent="0.25">
      <c r="D167" s="2" t="str" cm="1">
        <f t="array" ref="D167">Common_SourceData.Common_SourceData_EFleach_Title()</f>
        <v>Emission factor for nitrogen leaching and runoff</v>
      </c>
      <c r="BN167" s="33"/>
      <c r="BO167" s="33"/>
      <c r="BP167" s="33"/>
    </row>
    <row r="168" spans="4:68" ht="20.100000000000001" customHeight="1" x14ac:dyDescent="0.25">
      <c r="D168" s="28" t="str" cm="1">
        <f t="array" ref="D168">Common_SourceData.Common_SourceData_EFleach_Source()</f>
        <v>VEERG 2026:5.5.2.3 Constant Parameters</v>
      </c>
      <c r="BN168" s="33"/>
      <c r="BO168" s="33"/>
      <c r="BP168" s="33"/>
    </row>
    <row r="169" spans="4:68" ht="20.100000000000001" customHeight="1" x14ac:dyDescent="0.25">
      <c r="D169" s="28" t="str" cm="1">
        <f t="array" ref="D169">Common_SourceData.Common_SourceData_EFleach_NIRReference()</f>
        <v>National Inventory Report Volume 1: Equation 3.D.B_10</v>
      </c>
      <c r="BN169" s="33"/>
      <c r="BO169" s="33"/>
      <c r="BP169" s="33"/>
    </row>
    <row r="170" spans="4:68" ht="20.100000000000001" customHeight="1" x14ac:dyDescent="0.25">
      <c r="D170" s="1" t="str" cm="1">
        <f t="array" ref="D170:E170">Common_SourceData.Common_SourceData_EFleach_Data()</f>
        <v>EFleach</v>
      </c>
      <c r="E170" s="1">
        <v>1.0999999999999999E-2</v>
      </c>
      <c r="BN170" s="33"/>
      <c r="BO170" s="33"/>
      <c r="BP170" s="33"/>
    </row>
    <row r="171" spans="4:68" ht="20.100000000000001" customHeight="1" x14ac:dyDescent="0.25">
      <c r="BN171" s="33"/>
      <c r="BO171" s="33"/>
      <c r="BP171" s="33"/>
    </row>
    <row r="172" spans="4:68" ht="20.100000000000001" customHeight="1" x14ac:dyDescent="0.25">
      <c r="BN172" s="33"/>
      <c r="BO172" s="33"/>
      <c r="BP172" s="33"/>
    </row>
    <row r="173" spans="4:68" ht="20.100000000000001" customHeight="1" x14ac:dyDescent="0.25">
      <c r="D173" s="2" t="str" cm="1">
        <f t="array" ref="D173">Common_SourceData.Common_SourceData_DensityOfMethane_Title()</f>
        <v>p = density of methane</v>
      </c>
      <c r="BN173" s="33"/>
      <c r="BO173" s="33"/>
      <c r="BP173" s="33"/>
    </row>
    <row r="174" spans="4:68" ht="20.100000000000001" customHeight="1" x14ac:dyDescent="0.25">
      <c r="D174" s="28" t="str" cm="1">
        <f t="array" ref="D174">Common_SourceData.Common_SourceData_DensityOfMethane_Source()</f>
        <v>National Inventory Report 2023 Volume 1: Equations 3.B.1a_2, 3.B.1c_2, 3.B.3_1, 3.B.4g_2</v>
      </c>
      <c r="BN174" s="33"/>
      <c r="BO174" s="33"/>
      <c r="BP174" s="33"/>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3"/>
      <c r="BO175" s="33"/>
      <c r="BP175" s="33"/>
    </row>
    <row r="176" spans="4:68" ht="20.100000000000001" customHeight="1" x14ac:dyDescent="0.25">
      <c r="BN176" s="33"/>
      <c r="BO176" s="33"/>
      <c r="BP176" s="33"/>
    </row>
    <row r="177" spans="4:68" ht="20.100000000000001" customHeight="1" x14ac:dyDescent="0.25">
      <c r="BN177" s="33"/>
      <c r="BO177" s="33"/>
      <c r="BP177" s="33"/>
    </row>
    <row r="178" spans="4:68" ht="20.100000000000001" customHeight="1" x14ac:dyDescent="0.25">
      <c r="D178" s="2" t="str" cm="1">
        <f t="array" ref="D178">Common_SourceData.Common_SourceData_EFN2O_Title()</f>
        <v>Nitrous oxide emission factors for inorganic fertiliser application</v>
      </c>
      <c r="BN178" s="33"/>
      <c r="BO178" s="33"/>
      <c r="BP178" s="33"/>
    </row>
    <row r="179" spans="4:68" ht="20.100000000000001" customHeight="1" x14ac:dyDescent="0.25">
      <c r="D179" s="28" t="str" cm="1">
        <f t="array" ref="D179">Common_SourceData.Common_SourceData_EFN2O_Source()</f>
        <v>VEERG 2026: Table A.2.2.1</v>
      </c>
      <c r="BN179" s="33"/>
      <c r="BO179" s="33"/>
      <c r="BP179" s="33"/>
    </row>
    <row r="180" spans="4:68" ht="20.100000000000001" customHeight="1" x14ac:dyDescent="0.25">
      <c r="D180" s="15" t="str" cm="1">
        <f t="array" ref="D180">Common_SourceData.Common_SourceData_EFN2O_Unit()</f>
        <v>(kg N2O-N / kg N</v>
      </c>
    </row>
    <row r="181" spans="4:68" ht="20.100000000000001" customHeight="1" x14ac:dyDescent="0.25">
      <c r="D181" s="37" t="str" cm="1">
        <f t="array" ref="D181:D185">Common_SourceData.Common_SourceData_EFN2O_Variation()</f>
        <v>VARIATION OF SOURCE DATA:</v>
      </c>
    </row>
    <row r="182" spans="4:68" ht="20.100000000000001" customHeight="1" x14ac:dyDescent="0.25">
      <c r="D182" s="37" t="str">
        <v>Removed duplicate 'Aquaculture' row.</v>
      </c>
    </row>
    <row r="183" spans="4:68" ht="20.100000000000001" customHeight="1" x14ac:dyDescent="0.25">
      <c r="D183" s="37" t="str">
        <v>Removed asterisks to aid lookup.</v>
      </c>
    </row>
    <row r="184" spans="4:68" ht="20.100000000000001" customHeight="1" x14ac:dyDescent="0.25">
      <c r="D184" s="37" t="str">
        <v>Added 'production system only', 'rainfall zone' and 'irrigation method' columns to aid lookup.</v>
      </c>
    </row>
    <row r="185" spans="4:68" ht="20.100000000000001" customHeight="1" x14ac:dyDescent="0.25">
      <c r="D185" s="37" t="str">
        <v>Duplicated 'non-irrigated pasture' row with same EF for low and high rainfall zones to aid lookup.</v>
      </c>
    </row>
    <row r="186" spans="4:68" ht="20.100000000000001" customHeight="1" x14ac:dyDescent="0.25">
      <c r="D186" s="31" t="s">
        <v>72</v>
      </c>
      <c r="E186" s="31" t="s">
        <v>73</v>
      </c>
      <c r="F186" s="31" t="s">
        <v>74</v>
      </c>
      <c r="G186" s="31" t="s">
        <v>75</v>
      </c>
      <c r="H186" s="31" t="s">
        <v>76</v>
      </c>
    </row>
    <row r="187" spans="4:68" ht="20.100000000000001" customHeight="1" x14ac:dyDescent="0.25">
      <c r="D187" s="31" t="str" cm="1">
        <f t="array" ref="D187">Common_InputFunctions.Utility_DisplayArrayInTable(Common_SourceData.Common_SourceData_EFN2O_Data(), Table_SourceData_Common_EFN2O[[#Headers],[Production system j]], 0)</f>
        <v>Irrigated pasture</v>
      </c>
      <c r="E187" s="31" cm="1">
        <f t="array" ref="E187">Common_InputFunctions.Utility_DisplayArrayInTable(Common_SourceData.Common_SourceData_EFN2O_Data(), Table_SourceData_Common_EFN2O[[#Headers],[Production system j]], 0)</f>
        <v>5.8999999999999999E-3</v>
      </c>
      <c r="F187" s="31" t="str" cm="1">
        <f t="array" ref="F187">Common_InputFunctions.Utility_DisplayArrayInTable(Common_SourceData.Common_SourceData_EFN2O_Data(), Table_SourceData_Common_EFN2O[[#Headers],[Production system j]], 0)</f>
        <v>Pasture</v>
      </c>
      <c r="G187" s="31" t="str" cm="1">
        <f t="array" ref="G187">Common_InputFunctions.Utility_DisplayArrayInTable(Common_SourceData.Common_SourceData_EFN2O_Data(), Table_SourceData_Common_EFN2O[[#Headers],[Production system j]], 0)</f>
        <v>Any</v>
      </c>
      <c r="H187" s="31" t="str" cm="1">
        <f t="array" ref="H187">Common_InputFunctions.Utility_DisplayArrayInTable(Common_SourceData.Common_SourceData_EFN2O_Data(), Table_SourceData_Common_EFN2O[[#Headers],[Production system j]], 0)</f>
        <v>Any</v>
      </c>
    </row>
    <row r="188" spans="4:68" ht="20.100000000000001" customHeight="1" x14ac:dyDescent="0.25">
      <c r="D188" s="31" t="str" cm="1">
        <f t="array" ref="D188">Common_InputFunctions.Utility_DisplayArrayInTable(Common_SourceData.Common_SourceData_EFN2O_Data(), Table_SourceData_Common_EFN2O[[#Headers],[Production system j]], 0)</f>
        <v>Irrigated crop</v>
      </c>
      <c r="E188" s="31" cm="1">
        <f t="array" ref="E188">Common_InputFunctions.Utility_DisplayArrayInTable(Common_SourceData.Common_SourceData_EFN2O_Data(), Table_SourceData_Common_EFN2O[[#Headers],[Production system j]], 0)</f>
        <v>7.0000000000000001E-3</v>
      </c>
      <c r="F188" s="31" t="str" cm="1">
        <f t="array" ref="F188">Common_InputFunctions.Utility_DisplayArrayInTable(Common_SourceData.Common_SourceData_EFN2O_Data(), Table_SourceData_Common_EFN2O[[#Headers],[Production system j]], 0)</f>
        <v>Crop</v>
      </c>
      <c r="G188" s="31" t="str" cm="1">
        <f t="array" ref="G188">Common_InputFunctions.Utility_DisplayArrayInTable(Common_SourceData.Common_SourceData_EFN2O_Data(), Table_SourceData_Common_EFN2O[[#Headers],[Production system j]], 0)</f>
        <v>Any</v>
      </c>
      <c r="H188" s="31" t="str" cm="1">
        <f t="array" ref="H188">Common_InputFunctions.Utility_DisplayArrayInTable(Common_SourceData.Common_SourceData_EFN2O_Data(), Table_SourceData_Common_EFN2O[[#Headers],[Production system j]], 0)</f>
        <v>Any</v>
      </c>
    </row>
    <row r="189" spans="4:68" ht="20.100000000000001" customHeight="1" x14ac:dyDescent="0.25">
      <c r="D189" s="31" t="str" cm="1">
        <f t="array" ref="D189">Common_InputFunctions.Utility_DisplayArrayInTable(Common_SourceData.Common_SourceData_EFN2O_Data(), Table_SourceData_Common_EFN2O[[#Headers],[Production system j]], 0)</f>
        <v>Non-irrigated pasture</v>
      </c>
      <c r="E189" s="31" cm="1">
        <f t="array" ref="E189">Common_InputFunctions.Utility_DisplayArrayInTable(Common_SourceData.Common_SourceData_EFN2O_Data(), Table_SourceData_Common_EFN2O[[#Headers],[Production system j]], 0)</f>
        <v>1.8E-3</v>
      </c>
      <c r="F189" s="31" t="str" cm="1">
        <f t="array" ref="F189">Common_InputFunctions.Utility_DisplayArrayInTable(Common_SourceData.Common_SourceData_EFN2O_Data(), Table_SourceData_Common_EFN2O[[#Headers],[Production system j]], 0)</f>
        <v>Pasture</v>
      </c>
      <c r="G189" s="31" t="str" cm="1">
        <f t="array" ref="G189">Common_InputFunctions.Utility_DisplayArrayInTable(Common_SourceData.Common_SourceData_EFN2O_Data(), Table_SourceData_Common_EFN2O[[#Headers],[Production system j]], 0)</f>
        <v>Not irrigated</v>
      </c>
      <c r="H189" s="31"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1" t="str" cm="1">
        <f t="array" ref="D190">Common_InputFunctions.Utility_DisplayArrayInTable(Common_SourceData.Common_SourceData_EFN2O_Data(), Table_SourceData_Common_EFN2O[[#Headers],[Production system j]], 0)</f>
        <v>Non-irrigated pasture</v>
      </c>
      <c r="E190" s="31" cm="1">
        <f t="array" ref="E190">Common_InputFunctions.Utility_DisplayArrayInTable(Common_SourceData.Common_SourceData_EFN2O_Data(), Table_SourceData_Common_EFN2O[[#Headers],[Production system j]], 0)</f>
        <v>1.8E-3</v>
      </c>
      <c r="F190" s="31" t="str" cm="1">
        <f t="array" ref="F190">Common_InputFunctions.Utility_DisplayArrayInTable(Common_SourceData.Common_SourceData_EFN2O_Data(), Table_SourceData_Common_EFN2O[[#Headers],[Production system j]], 0)</f>
        <v>Pasture</v>
      </c>
      <c r="G190" s="31" t="str" cm="1">
        <f t="array" ref="G190">Common_InputFunctions.Utility_DisplayArrayInTable(Common_SourceData.Common_SourceData_EFN2O_Data(), Table_SourceData_Common_EFN2O[[#Headers],[Production system j]], 0)</f>
        <v>Not irrigated</v>
      </c>
      <c r="H190" s="31"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1" t="str" cm="1">
        <f t="array" ref="D191">Common_InputFunctions.Utility_DisplayArrayInTable(Common_SourceData.Common_SourceData_EFN2O_Data(), Table_SourceData_Common_EFN2O[[#Headers],[Production system j]], 0)</f>
        <v>Non-irrigated crop (low rainfall)</v>
      </c>
      <c r="E191" s="31" cm="1">
        <f t="array" ref="E191">Common_InputFunctions.Utility_DisplayArrayInTable(Common_SourceData.Common_SourceData_EFN2O_Data(), Table_SourceData_Common_EFN2O[[#Headers],[Production system j]], 0)</f>
        <v>2.8999999999999998E-3</v>
      </c>
      <c r="F191" s="31" t="str" cm="1">
        <f t="array" ref="F191">Common_InputFunctions.Utility_DisplayArrayInTable(Common_SourceData.Common_SourceData_EFN2O_Data(), Table_SourceData_Common_EFN2O[[#Headers],[Production system j]], 0)</f>
        <v>Crop</v>
      </c>
      <c r="G191" s="31" t="str" cm="1">
        <f t="array" ref="G191">Common_InputFunctions.Utility_DisplayArrayInTable(Common_SourceData.Common_SourceData_EFN2O_Data(), Table_SourceData_Common_EFN2O[[#Headers],[Production system j]], 0)</f>
        <v>Not irrigated</v>
      </c>
      <c r="H191" s="31"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1" t="str" cm="1">
        <f t="array" ref="D192">Common_InputFunctions.Utility_DisplayArrayInTable(Common_SourceData.Common_SourceData_EFN2O_Data(), Table_SourceData_Common_EFN2O[[#Headers],[Production system j]], 0)</f>
        <v>Non-irrigated crop (high rainfall)</v>
      </c>
      <c r="E192" s="31" cm="1">
        <f t="array" ref="E192">Common_InputFunctions.Utility_DisplayArrayInTable(Common_SourceData.Common_SourceData_EFN2O_Data(), Table_SourceData_Common_EFN2O[[#Headers],[Production system j]], 0)</f>
        <v>8.0000000000000002E-3</v>
      </c>
      <c r="F192" s="31" t="str" cm="1">
        <f t="array" ref="F192">Common_InputFunctions.Utility_DisplayArrayInTable(Common_SourceData.Common_SourceData_EFN2O_Data(), Table_SourceData_Common_EFN2O[[#Headers],[Production system j]], 0)</f>
        <v>Crop</v>
      </c>
      <c r="G192" s="31" t="str" cm="1">
        <f t="array" ref="G192">Common_InputFunctions.Utility_DisplayArrayInTable(Common_SourceData.Common_SourceData_EFN2O_Data(), Table_SourceData_Common_EFN2O[[#Headers],[Production system j]], 0)</f>
        <v>Not irrigated</v>
      </c>
      <c r="H192" s="31"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1" t="str" cm="1">
        <f t="array" ref="D193">Common_InputFunctions.Utility_DisplayArrayInTable(Common_SourceData.Common_SourceData_EFN2O_Data(), Table_SourceData_Common_EFN2O[[#Headers],[Production system j]], 0)</f>
        <v>Sugar</v>
      </c>
      <c r="E193" s="31" cm="1">
        <f t="array" ref="E193">Common_InputFunctions.Utility_DisplayArrayInTable(Common_SourceData.Common_SourceData_EFN2O_Data(), Table_SourceData_Common_EFN2O[[#Headers],[Production system j]], 0)</f>
        <v>1.9900000000000001E-2</v>
      </c>
      <c r="F193" s="31" t="str" cm="1">
        <f t="array" ref="F193">Common_InputFunctions.Utility_DisplayArrayInTable(Common_SourceData.Common_SourceData_EFN2O_Data(), Table_SourceData_Common_EFN2O[[#Headers],[Production system j]], 0)</f>
        <v>Sugar</v>
      </c>
      <c r="G193" s="31" t="str" cm="1">
        <f t="array" ref="G193">Common_InputFunctions.Utility_DisplayArrayInTable(Common_SourceData.Common_SourceData_EFN2O_Data(), Table_SourceData_Common_EFN2O[[#Headers],[Production system j]], 0)</f>
        <v>Any</v>
      </c>
      <c r="H193" s="31" t="str" cm="1">
        <f t="array" ref="H193">Common_InputFunctions.Utility_DisplayArrayInTable(Common_SourceData.Common_SourceData_EFN2O_Data(), Table_SourceData_Common_EFN2O[[#Headers],[Production system j]], 0)</f>
        <v>Any</v>
      </c>
    </row>
    <row r="194" spans="4:8" ht="20.100000000000001" customHeight="1" x14ac:dyDescent="0.25">
      <c r="D194" s="31" t="str" cm="1">
        <f t="array" ref="D194">Common_InputFunctions.Utility_DisplayArrayInTable(Common_SourceData.Common_SourceData_EFN2O_Data(), Table_SourceData_Common_EFN2O[[#Headers],[Production system j]], 0)</f>
        <v>Cotton</v>
      </c>
      <c r="E194" s="31" cm="1">
        <f t="array" ref="E194">Common_InputFunctions.Utility_DisplayArrayInTable(Common_SourceData.Common_SourceData_EFN2O_Data(), Table_SourceData_Common_EFN2O[[#Headers],[Production system j]], 0)</f>
        <v>5.3E-3</v>
      </c>
      <c r="F194" s="31" t="str" cm="1">
        <f t="array" ref="F194">Common_InputFunctions.Utility_DisplayArrayInTable(Common_SourceData.Common_SourceData_EFN2O_Data(), Table_SourceData_Common_EFN2O[[#Headers],[Production system j]], 0)</f>
        <v>Cotton</v>
      </c>
      <c r="G194" s="31" t="str" cm="1">
        <f t="array" ref="G194">Common_InputFunctions.Utility_DisplayArrayInTable(Common_SourceData.Common_SourceData_EFN2O_Data(), Table_SourceData_Common_EFN2O[[#Headers],[Production system j]], 0)</f>
        <v>Any</v>
      </c>
      <c r="H194" s="31" t="str" cm="1">
        <f t="array" ref="H194">Common_InputFunctions.Utility_DisplayArrayInTable(Common_SourceData.Common_SourceData_EFN2O_Data(), Table_SourceData_Common_EFN2O[[#Headers],[Production system j]], 0)</f>
        <v>Any</v>
      </c>
    </row>
    <row r="195" spans="4:8" ht="20.100000000000001" customHeight="1" x14ac:dyDescent="0.25">
      <c r="D195" s="31" t="str" cm="1">
        <f t="array" ref="D195">Common_InputFunctions.Utility_DisplayArrayInTable(Common_SourceData.Common_SourceData_EFN2O_Data(), Table_SourceData_Common_EFN2O[[#Headers],[Production system j]], 0)</f>
        <v>Horticultural crops</v>
      </c>
      <c r="E195" s="31" cm="1">
        <f t="array" ref="E195">Common_InputFunctions.Utility_DisplayArrayInTable(Common_SourceData.Common_SourceData_EFN2O_Data(), Table_SourceData_Common_EFN2O[[#Headers],[Production system j]], 0)</f>
        <v>6.4000000000000003E-3</v>
      </c>
      <c r="F195" s="31" t="str" cm="1">
        <f t="array" ref="F195">Common_InputFunctions.Utility_DisplayArrayInTable(Common_SourceData.Common_SourceData_EFN2O_Data(), Table_SourceData_Common_EFN2O[[#Headers],[Production system j]], 0)</f>
        <v>Horticultural crops</v>
      </c>
      <c r="G195" s="31" t="str" cm="1">
        <f t="array" ref="G195">Common_InputFunctions.Utility_DisplayArrayInTable(Common_SourceData.Common_SourceData_EFN2O_Data(), Table_SourceData_Common_EFN2O[[#Headers],[Production system j]], 0)</f>
        <v>Any</v>
      </c>
      <c r="H195" s="31" t="str" cm="1">
        <f t="array" ref="H195">Common_InputFunctions.Utility_DisplayArrayInTable(Common_SourceData.Common_SourceData_EFN2O_Data(), Table_SourceData_Common_EFN2O[[#Headers],[Production system j]], 0)</f>
        <v>Any</v>
      </c>
    </row>
    <row r="196" spans="4:8" ht="20.100000000000001" customHeight="1" x14ac:dyDescent="0.25">
      <c r="D196" s="31" t="str" cm="1">
        <f t="array" ref="D196">Common_InputFunctions.Utility_DisplayArrayInTable(Common_SourceData.Common_SourceData_EFN2O_Data(), Table_SourceData_Common_EFN2O[[#Headers],[Production system j]], 0)</f>
        <v>Rice (continuous flooding)</v>
      </c>
      <c r="E196" s="31" cm="1">
        <f t="array" ref="E196">Common_InputFunctions.Utility_DisplayArrayInTable(Common_SourceData.Common_SourceData_EFN2O_Data(), Table_SourceData_Common_EFN2O[[#Headers],[Production system j]], 0)</f>
        <v>3.0000000000000001E-3</v>
      </c>
      <c r="F196" s="31" t="str" cm="1">
        <f t="array" ref="F196">Common_InputFunctions.Utility_DisplayArrayInTable(Common_SourceData.Common_SourceData_EFN2O_Data(), Table_SourceData_Common_EFN2O[[#Headers],[Production system j]], 0)</f>
        <v>Rice</v>
      </c>
      <c r="G196" s="31" t="str" cm="1">
        <f t="array" ref="G196">Common_InputFunctions.Utility_DisplayArrayInTable(Common_SourceData.Common_SourceData_EFN2O_Data(), Table_SourceData_Common_EFN2O[[#Headers],[Production system j]], 0)</f>
        <v>Continuous flooding</v>
      </c>
      <c r="H196" s="31" t="str" cm="1">
        <f t="array" ref="H196">Common_InputFunctions.Utility_DisplayArrayInTable(Common_SourceData.Common_SourceData_EFN2O_Data(), Table_SourceData_Common_EFN2O[[#Headers],[Production system j]], 0)</f>
        <v>Any</v>
      </c>
    </row>
    <row r="197" spans="4:8" x14ac:dyDescent="0.25">
      <c r="D197" s="31" t="str" cm="1">
        <f t="array" ref="D197">Common_InputFunctions.Utility_DisplayArrayInTable(Common_SourceData.Common_SourceData_EFN2O_Data(), Table_SourceData_Common_EFN2O[[#Headers],[Production system j]], 0)</f>
        <v>Rice (single and multiple drainage, or alternate wetting and drying)</v>
      </c>
      <c r="E197" s="31" cm="1">
        <f t="array" ref="E197">Common_InputFunctions.Utility_DisplayArrayInTable(Common_SourceData.Common_SourceData_EFN2O_Data(), Table_SourceData_Common_EFN2O[[#Headers],[Production system j]], 0)</f>
        <v>5.0000000000000001E-3</v>
      </c>
      <c r="F197" s="31" t="str" cm="1">
        <f t="array" ref="F197">Common_InputFunctions.Utility_DisplayArrayInTable(Common_SourceData.Common_SourceData_EFN2O_Data(), Table_SourceData_Common_EFN2O[[#Headers],[Production system j]], 0)</f>
        <v>Rice</v>
      </c>
      <c r="G197" s="31" t="str" cm="1">
        <f t="array" ref="G197">Common_InputFunctions.Utility_DisplayArrayInTable(Common_SourceData.Common_SourceData_EFN2O_Data(), Table_SourceData_Common_EFN2O[[#Headers],[Production system j]], 0)</f>
        <v>Single and multiple drainage, or alternate wetting and drying</v>
      </c>
      <c r="H197" s="31" t="str" cm="1">
        <f t="array" ref="H197">Common_InputFunctions.Utility_DisplayArrayInTable(Common_SourceData.Common_SourceData_EFN2O_Data(), Table_SourceData_Common_EFN2O[[#Headers],[Production system j]], 0)</f>
        <v>Any</v>
      </c>
    </row>
    <row r="198" spans="4:8" x14ac:dyDescent="0.25">
      <c r="D198" s="31" t="str" cm="1">
        <f t="array" ref="D198">Common_InputFunctions.Utility_DisplayArrayInTable(Common_SourceData.Common_SourceData_EFN2O_Data(), Table_SourceData_Common_EFN2O[[#Headers],[Production system j]], 0)</f>
        <v>Aquaculture</v>
      </c>
      <c r="E198" s="31" cm="1">
        <f t="array" ref="E198">Common_InputFunctions.Utility_DisplayArrayInTable(Common_SourceData.Common_SourceData_EFN2O_Data(), Table_SourceData_Common_EFN2O[[#Headers],[Production system j]], 0)</f>
        <v>2.5999999999999999E-3</v>
      </c>
      <c r="F198" s="31" t="str" cm="1">
        <f t="array" ref="F198">Common_InputFunctions.Utility_DisplayArrayInTable(Common_SourceData.Common_SourceData_EFN2O_Data(), Table_SourceData_Common_EFN2O[[#Headers],[Production system j]], 0)</f>
        <v>Aquaculture</v>
      </c>
      <c r="G198" s="31" t="str" cm="1">
        <f t="array" ref="G198">Common_InputFunctions.Utility_DisplayArrayInTable(Common_SourceData.Common_SourceData_EFN2O_Data(), Table_SourceData_Common_EFN2O[[#Headers],[Production system j]], 0)</f>
        <v>Any</v>
      </c>
      <c r="H198" s="31" t="str" cm="1">
        <f t="array" ref="H198">Common_InputFunctions.Utility_DisplayArrayInTable(Common_SourceData.Common_SourceData_EFN2O_Data(), Table_SourceData_Common_EFN2O[[#Headers],[Production system j]], 0)</f>
        <v>Any</v>
      </c>
    </row>
    <row r="199" spans="4:8" x14ac:dyDescent="0.25">
      <c r="D199" s="31" t="str" cm="1">
        <f t="array" ref="D199">Common_InputFunctions.Utility_DisplayArrayInTable(Common_SourceData.Common_SourceData_EFN2O_Data(), Table_SourceData_Common_EFN2O[[#Headers],[Production system j]], 0)</f>
        <v>Forestry</v>
      </c>
      <c r="E199" s="31" cm="1">
        <f t="array" ref="E199">Common_InputFunctions.Utility_DisplayArrayInTable(Common_SourceData.Common_SourceData_EFN2O_Data(), Table_SourceData_Common_EFN2O[[#Headers],[Production system j]], 0)</f>
        <v>1.8E-3</v>
      </c>
      <c r="F199" s="31" t="str" cm="1">
        <f t="array" ref="F199">Common_InputFunctions.Utility_DisplayArrayInTable(Common_SourceData.Common_SourceData_EFN2O_Data(), Table_SourceData_Common_EFN2O[[#Headers],[Production system j]], 0)</f>
        <v>Forestry</v>
      </c>
      <c r="G199" s="31" t="str" cm="1">
        <f t="array" ref="G199">Common_InputFunctions.Utility_DisplayArrayInTable(Common_SourceData.Common_SourceData_EFN2O_Data(), Table_SourceData_Common_EFN2O[[#Headers],[Production system j]], 0)</f>
        <v>Any</v>
      </c>
      <c r="H199" s="31"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8" t="str" cm="1">
        <f t="array" ref="D203">Common_SourceData.Common_SourceData_EFPastureRangeAndPaddock_Source()</f>
        <v>VEERG 2026: Table A.2.2.2</v>
      </c>
    </row>
    <row r="204" spans="4:8" x14ac:dyDescent="0.25">
      <c r="D204" s="37"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1" t="s">
        <v>43</v>
      </c>
      <c r="E206" s="31" t="s">
        <v>77</v>
      </c>
    </row>
    <row r="207" spans="4:8" x14ac:dyDescent="0.25">
      <c r="D207" s="31" t="str" cm="1">
        <f t="array" ref="D207">Common_InputFunctions.Utility_DisplayArrayInTable(Common_SourceData.Common_SourceData_EFPastureRangeAndPaddock_Data(), Table_SourceData_EFPastureRangeAndPaddock[[#Headers],[Climate zone]], 0)</f>
        <v>Wet climate zone</v>
      </c>
      <c r="E207" s="31"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1"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1" t="s">
        <v>78</v>
      </c>
      <c r="E212" s="31" t="s">
        <v>79</v>
      </c>
    </row>
    <row r="213" spans="4:5" x14ac:dyDescent="0.25">
      <c r="D213" s="31" t="str" cm="1">
        <f t="array" ref="D213">Common_InputFunctions.Utility_DisplayArrayInTable(Common_SourceData.Common_SourceData_MonthsToSeasons_Data(), Table_SourceData_Common_MonthToSeason[[#Headers],[Month]], 0)</f>
        <v>January</v>
      </c>
      <c r="E213" s="31"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1"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1"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1"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1"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1"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1"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1"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1"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1"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1"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1"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8" t="str" cm="1">
        <f t="array" ref="D228">Common_SourceData.Common_SourceData_MCFTemperatureZone_Source()</f>
        <v>VEERG 2026: Table A.1.8.1</v>
      </c>
    </row>
    <row r="229" spans="4:19" x14ac:dyDescent="0.25">
      <c r="D229" s="3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1" t="s">
        <v>80</v>
      </c>
      <c r="E231" s="31" t="s">
        <v>81</v>
      </c>
      <c r="F231" s="38" t="s">
        <v>82</v>
      </c>
      <c r="G231" s="31" t="s">
        <v>83</v>
      </c>
      <c r="H231" s="31" t="s">
        <v>84</v>
      </c>
      <c r="I231" s="31" t="s">
        <v>85</v>
      </c>
      <c r="J231" s="31" t="s">
        <v>86</v>
      </c>
      <c r="K231" s="31" t="s">
        <v>87</v>
      </c>
      <c r="L231" s="31" t="s">
        <v>88</v>
      </c>
      <c r="M231" s="31" t="s">
        <v>89</v>
      </c>
      <c r="N231" s="31" t="s">
        <v>90</v>
      </c>
      <c r="O231" s="31" t="s">
        <v>91</v>
      </c>
      <c r="P231" s="31" t="s">
        <v>92</v>
      </c>
      <c r="Q231" s="31" t="s">
        <v>93</v>
      </c>
      <c r="R231" s="31" t="s">
        <v>94</v>
      </c>
      <c r="S231" s="31" t="s">
        <v>95</v>
      </c>
    </row>
    <row r="232" spans="4:19" x14ac:dyDescent="0.25">
      <c r="D232" s="31" t="str" cm="1">
        <f t="array" ref="D232">Common_InputFunctions.Utility_DisplayArrayInTable(Common_SourceData.Common_SourceData_MCFTemperatureZone_Data(),Table_SourceData_Common_MCFTemperatureZone[[#Headers],[Temperature zone]],0)</f>
        <v>Cool</v>
      </c>
      <c r="E232" s="31" t="str" cm="1">
        <f t="array" ref="E232">Common_InputFunctions.Utility_DisplayArrayInTable(Common_SourceData.Common_SourceData_MCFTemperatureZone_Data(),Table_SourceData_Common_MCFTemperatureZone[[#Headers],[Temperature zone]],0)</f>
        <v>≤10</v>
      </c>
      <c r="F232" s="31" cm="1">
        <f t="array" ref="F232">Common_InputFunctions.Utility_DisplayArrayInTable(Common_SourceData.Common_SourceData_MCFTemperatureZone_Data(),Table_SourceData_Common_MCFTemperatureZone[[#Headers],[Temperature zone]],0)</f>
        <v>0.66</v>
      </c>
      <c r="G232" s="31" cm="1">
        <f t="array" ref="G232">Common_InputFunctions.Utility_DisplayArrayInTable(Common_SourceData.Common_SourceData_MCFTemperatureZone_Data(),Table_SourceData_Common_MCFTemperatureZone[[#Headers],[Temperature zone]],0)</f>
        <v>0.1</v>
      </c>
      <c r="H232" s="31" cm="1">
        <f t="array" ref="H232">Common_InputFunctions.Utility_DisplayArrayInTable(Common_SourceData.Common_SourceData_MCFTemperatureZone_Data(),Table_SourceData_Common_MCFTemperatureZone[[#Headers],[Temperature zone]],0)</f>
        <v>0.1</v>
      </c>
      <c r="I232" s="31" cm="1">
        <f t="array" ref="I232">Common_InputFunctions.Utility_DisplayArrayInTable(Common_SourceData.Common_SourceData_MCFTemperatureZone_Data(),Table_SourceData_Common_MCFTemperatureZone[[#Headers],[Temperature zone]],0)</f>
        <v>1E-3</v>
      </c>
      <c r="J232" s="31" cm="1">
        <f t="array" ref="J232">Common_InputFunctions.Utility_DisplayArrayInTable(Common_SourceData.Common_SourceData_MCFTemperatureZone_Data(),Table_SourceData_Common_MCFTemperatureZone[[#Headers],[Temperature zone]],0)</f>
        <v>5.0000000000000001E-3</v>
      </c>
      <c r="K232" s="31" cm="1">
        <f t="array" ref="K232">Common_InputFunctions.Utility_DisplayArrayInTable(Common_SourceData.Common_SourceData_MCFTemperatureZone_Data(),Table_SourceData_Common_MCFTemperatureZone[[#Headers],[Temperature zone]],0)</f>
        <v>0.02</v>
      </c>
      <c r="L232" s="31" cm="1">
        <f t="array" ref="L232">Common_InputFunctions.Utility_DisplayArrayInTable(Common_SourceData.Common_SourceData_MCFTemperatureZone_Data(),Table_SourceData_Common_MCFTemperatureZone[[#Headers],[Temperature zone]],0)</f>
        <v>0.03</v>
      </c>
      <c r="M232" s="31" cm="1">
        <f t="array" ref="M232">Common_InputFunctions.Utility_DisplayArrayInTable(Common_SourceData.Common_SourceData_MCFTemperatureZone_Data(),Table_SourceData_Common_MCFTemperatureZone[[#Headers],[Temperature zone]],0)</f>
        <v>0.04</v>
      </c>
      <c r="N232" s="31" cm="1">
        <f t="array" ref="N232">Common_InputFunctions.Utility_DisplayArrayInTable(Common_SourceData.Common_SourceData_MCFTemperatureZone_Data(),Table_SourceData_Common_MCFTemperatureZone[[#Headers],[Temperature zone]],0)</f>
        <v>1.4999999999999999E-2</v>
      </c>
      <c r="O232" s="31" cm="1">
        <f t="array" ref="O232">Common_InputFunctions.Utility_DisplayArrayInTable(Common_SourceData.Common_SourceData_MCFTemperatureZone_Data(),Table_SourceData_Common_MCFTemperatureZone[[#Headers],[Temperature zone]],0)</f>
        <v>1.4999999999999999E-2</v>
      </c>
      <c r="P232" s="31" cm="1">
        <f t="array" ref="P232">Common_InputFunctions.Utility_DisplayArrayInTable(Common_SourceData.Common_SourceData_MCFTemperatureZone_Data(),Table_SourceData_Common_MCFTemperatureZone[[#Headers],[Temperature zone]],0)</f>
        <v>0</v>
      </c>
      <c r="Q232" s="31" cm="1">
        <f t="array" ref="Q232">Common_InputFunctions.Utility_DisplayArrayInTable(Common_SourceData.Common_SourceData_MCFTemperatureZone_Data(),Table_SourceData_Common_MCFTemperatureZone[[#Headers],[Temperature zone]],0)</f>
        <v>0</v>
      </c>
      <c r="R232" s="31" cm="1">
        <f t="array" ref="R232">Common_InputFunctions.Utility_DisplayArrayInTable(Common_SourceData.Common_SourceData_MCFTemperatureZone_Data(),Table_SourceData_Common_MCFTemperatureZone[[#Headers],[Temperature zone]],0)</f>
        <v>4.7000000000000002E-3</v>
      </c>
      <c r="S232" s="31"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1" cm="1">
        <f t="array" ref="E233">Common_InputFunctions.Utility_DisplayArrayInTable(Common_SourceData.Common_SourceData_MCFTemperatureZone_Data(),Table_SourceData_Common_MCFTemperatureZone[[#Headers],[Temperature zone]],0)</f>
        <v>11</v>
      </c>
      <c r="F233" s="31" cm="1">
        <f t="array" ref="F233">Common_InputFunctions.Utility_DisplayArrayInTable(Common_SourceData.Common_SourceData_MCFTemperatureZone_Data(),Table_SourceData_Common_MCFTemperatureZone[[#Headers],[Temperature zone]],0)</f>
        <v>0.68</v>
      </c>
      <c r="G233" s="31" cm="1">
        <f t="array" ref="G233">Common_InputFunctions.Utility_DisplayArrayInTable(Common_SourceData.Common_SourceData_MCFTemperatureZone_Data(),Table_SourceData_Common_MCFTemperatureZone[[#Headers],[Temperature zone]],0)</f>
        <v>0.1</v>
      </c>
      <c r="H233" s="31" cm="1">
        <f t="array" ref="H233">Common_InputFunctions.Utility_DisplayArrayInTable(Common_SourceData.Common_SourceData_MCFTemperatureZone_Data(),Table_SourceData_Common_MCFTemperatureZone[[#Headers],[Temperature zone]],0)</f>
        <v>0.11</v>
      </c>
      <c r="I233" s="31" cm="1">
        <f t="array" ref="I233">Common_InputFunctions.Utility_DisplayArrayInTable(Common_SourceData.Common_SourceData_MCFTemperatureZone_Data(),Table_SourceData_Common_MCFTemperatureZone[[#Headers],[Temperature zone]],0)</f>
        <v>1E-3</v>
      </c>
      <c r="J233" s="31" cm="1">
        <f t="array" ref="J233">Common_InputFunctions.Utility_DisplayArrayInTable(Common_SourceData.Common_SourceData_MCFTemperatureZone_Data(),Table_SourceData_Common_MCFTemperatureZone[[#Headers],[Temperature zone]],0)</f>
        <v>5.0000000000000001E-3</v>
      </c>
      <c r="K233" s="31" cm="1">
        <f t="array" ref="K233">Common_InputFunctions.Utility_DisplayArrayInTable(Common_SourceData.Common_SourceData_MCFTemperatureZone_Data(),Table_SourceData_Common_MCFTemperatureZone[[#Headers],[Temperature zone]],0)</f>
        <v>0.02</v>
      </c>
      <c r="L233" s="31" cm="1">
        <f t="array" ref="L233">Common_InputFunctions.Utility_DisplayArrayInTable(Common_SourceData.Common_SourceData_MCFTemperatureZone_Data(),Table_SourceData_Common_MCFTemperatureZone[[#Headers],[Temperature zone]],0)</f>
        <v>0.03</v>
      </c>
      <c r="M233" s="31" cm="1">
        <f t="array" ref="M233">Common_InputFunctions.Utility_DisplayArrayInTable(Common_SourceData.Common_SourceData_MCFTemperatureZone_Data(),Table_SourceData_Common_MCFTemperatureZone[[#Headers],[Temperature zone]],0)</f>
        <v>0.04</v>
      </c>
      <c r="N233" s="31" cm="1">
        <f t="array" ref="N233">Common_InputFunctions.Utility_DisplayArrayInTable(Common_SourceData.Common_SourceData_MCFTemperatureZone_Data(),Table_SourceData_Common_MCFTemperatureZone[[#Headers],[Temperature zone]],0)</f>
        <v>1.4999999999999999E-2</v>
      </c>
      <c r="O233" s="31" cm="1">
        <f t="array" ref="O233">Common_InputFunctions.Utility_DisplayArrayInTable(Common_SourceData.Common_SourceData_MCFTemperatureZone_Data(),Table_SourceData_Common_MCFTemperatureZone[[#Headers],[Temperature zone]],0)</f>
        <v>1.4999999999999999E-2</v>
      </c>
      <c r="P233" s="31" cm="1">
        <f t="array" ref="P233">Common_InputFunctions.Utility_DisplayArrayInTable(Common_SourceData.Common_SourceData_MCFTemperatureZone_Data(),Table_SourceData_Common_MCFTemperatureZone[[#Headers],[Temperature zone]],0)</f>
        <v>0</v>
      </c>
      <c r="Q233" s="31" cm="1">
        <f t="array" ref="Q233">Common_InputFunctions.Utility_DisplayArrayInTable(Common_SourceData.Common_SourceData_MCFTemperatureZone_Data(),Table_SourceData_Common_MCFTemperatureZone[[#Headers],[Temperature zone]],0)</f>
        <v>0</v>
      </c>
      <c r="R233" s="31" cm="1">
        <f t="array" ref="R233">Common_InputFunctions.Utility_DisplayArrayInTable(Common_SourceData.Common_SourceData_MCFTemperatureZone_Data(),Table_SourceData_Common_MCFTemperatureZone[[#Headers],[Temperature zone]],0)</f>
        <v>4.7000000000000002E-3</v>
      </c>
      <c r="S233" s="31"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1" cm="1">
        <f t="array" ref="E234">Common_InputFunctions.Utility_DisplayArrayInTable(Common_SourceData.Common_SourceData_MCFTemperatureZone_Data(),Table_SourceData_Common_MCFTemperatureZone[[#Headers],[Temperature zone]],0)</f>
        <v>12</v>
      </c>
      <c r="F234" s="31" cm="1">
        <f t="array" ref="F234">Common_InputFunctions.Utility_DisplayArrayInTable(Common_SourceData.Common_SourceData_MCFTemperatureZone_Data(),Table_SourceData_Common_MCFTemperatureZone[[#Headers],[Temperature zone]],0)</f>
        <v>0.7</v>
      </c>
      <c r="G234" s="31" cm="1">
        <f t="array" ref="G234">Common_InputFunctions.Utility_DisplayArrayInTable(Common_SourceData.Common_SourceData_MCFTemperatureZone_Data(),Table_SourceData_Common_MCFTemperatureZone[[#Headers],[Temperature zone]],0)</f>
        <v>0.1</v>
      </c>
      <c r="H234" s="31" cm="1">
        <f t="array" ref="H234">Common_InputFunctions.Utility_DisplayArrayInTable(Common_SourceData.Common_SourceData_MCFTemperatureZone_Data(),Table_SourceData_Common_MCFTemperatureZone[[#Headers],[Temperature zone]],0)</f>
        <v>0.13</v>
      </c>
      <c r="I234" s="31" cm="1">
        <f t="array" ref="I234">Common_InputFunctions.Utility_DisplayArrayInTable(Common_SourceData.Common_SourceData_MCFTemperatureZone_Data(),Table_SourceData_Common_MCFTemperatureZone[[#Headers],[Temperature zone]],0)</f>
        <v>1E-3</v>
      </c>
      <c r="J234" s="31" cm="1">
        <f t="array" ref="J234">Common_InputFunctions.Utility_DisplayArrayInTable(Common_SourceData.Common_SourceData_MCFTemperatureZone_Data(),Table_SourceData_Common_MCFTemperatureZone[[#Headers],[Temperature zone]],0)</f>
        <v>5.0000000000000001E-3</v>
      </c>
      <c r="K234" s="31" cm="1">
        <f t="array" ref="K234">Common_InputFunctions.Utility_DisplayArrayInTable(Common_SourceData.Common_SourceData_MCFTemperatureZone_Data(),Table_SourceData_Common_MCFTemperatureZone[[#Headers],[Temperature zone]],0)</f>
        <v>0.02</v>
      </c>
      <c r="L234" s="31" cm="1">
        <f t="array" ref="L234">Common_InputFunctions.Utility_DisplayArrayInTable(Common_SourceData.Common_SourceData_MCFTemperatureZone_Data(),Table_SourceData_Common_MCFTemperatureZone[[#Headers],[Temperature zone]],0)</f>
        <v>0.03</v>
      </c>
      <c r="M234" s="31" cm="1">
        <f t="array" ref="M234">Common_InputFunctions.Utility_DisplayArrayInTable(Common_SourceData.Common_SourceData_MCFTemperatureZone_Data(),Table_SourceData_Common_MCFTemperatureZone[[#Headers],[Temperature zone]],0)</f>
        <v>0.04</v>
      </c>
      <c r="N234" s="31" cm="1">
        <f t="array" ref="N234">Common_InputFunctions.Utility_DisplayArrayInTable(Common_SourceData.Common_SourceData_MCFTemperatureZone_Data(),Table_SourceData_Common_MCFTemperatureZone[[#Headers],[Temperature zone]],0)</f>
        <v>1.4999999999999999E-2</v>
      </c>
      <c r="O234" s="31" cm="1">
        <f t="array" ref="O234">Common_InputFunctions.Utility_DisplayArrayInTable(Common_SourceData.Common_SourceData_MCFTemperatureZone_Data(),Table_SourceData_Common_MCFTemperatureZone[[#Headers],[Temperature zone]],0)</f>
        <v>1.4999999999999999E-2</v>
      </c>
      <c r="P234" s="31" cm="1">
        <f t="array" ref="P234">Common_InputFunctions.Utility_DisplayArrayInTable(Common_SourceData.Common_SourceData_MCFTemperatureZone_Data(),Table_SourceData_Common_MCFTemperatureZone[[#Headers],[Temperature zone]],0)</f>
        <v>0</v>
      </c>
      <c r="Q234" s="31" cm="1">
        <f t="array" ref="Q234">Common_InputFunctions.Utility_DisplayArrayInTable(Common_SourceData.Common_SourceData_MCFTemperatureZone_Data(),Table_SourceData_Common_MCFTemperatureZone[[#Headers],[Temperature zone]],0)</f>
        <v>0</v>
      </c>
      <c r="R234" s="31" cm="1">
        <f t="array" ref="R234">Common_InputFunctions.Utility_DisplayArrayInTable(Common_SourceData.Common_SourceData_MCFTemperatureZone_Data(),Table_SourceData_Common_MCFTemperatureZone[[#Headers],[Temperature zone]],0)</f>
        <v>4.7000000000000002E-3</v>
      </c>
      <c r="S234" s="31"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1" cm="1">
        <f t="array" ref="E235">Common_InputFunctions.Utility_DisplayArrayInTable(Common_SourceData.Common_SourceData_MCFTemperatureZone_Data(),Table_SourceData_Common_MCFTemperatureZone[[#Headers],[Temperature zone]],0)</f>
        <v>13</v>
      </c>
      <c r="F235" s="31" cm="1">
        <f t="array" ref="F235">Common_InputFunctions.Utility_DisplayArrayInTable(Common_SourceData.Common_SourceData_MCFTemperatureZone_Data(),Table_SourceData_Common_MCFTemperatureZone[[#Headers],[Temperature zone]],0)</f>
        <v>0.71</v>
      </c>
      <c r="G235" s="31" cm="1">
        <f t="array" ref="G235">Common_InputFunctions.Utility_DisplayArrayInTable(Common_SourceData.Common_SourceData_MCFTemperatureZone_Data(),Table_SourceData_Common_MCFTemperatureZone[[#Headers],[Temperature zone]],0)</f>
        <v>0.1</v>
      </c>
      <c r="H235" s="31" cm="1">
        <f t="array" ref="H235">Common_InputFunctions.Utility_DisplayArrayInTable(Common_SourceData.Common_SourceData_MCFTemperatureZone_Data(),Table_SourceData_Common_MCFTemperatureZone[[#Headers],[Temperature zone]],0)</f>
        <v>0.14000000000000001</v>
      </c>
      <c r="I235" s="31" cm="1">
        <f t="array" ref="I235">Common_InputFunctions.Utility_DisplayArrayInTable(Common_SourceData.Common_SourceData_MCFTemperatureZone_Data(),Table_SourceData_Common_MCFTemperatureZone[[#Headers],[Temperature zone]],0)</f>
        <v>1E-3</v>
      </c>
      <c r="J235" s="31" cm="1">
        <f t="array" ref="J235">Common_InputFunctions.Utility_DisplayArrayInTable(Common_SourceData.Common_SourceData_MCFTemperatureZone_Data(),Table_SourceData_Common_MCFTemperatureZone[[#Headers],[Temperature zone]],0)</f>
        <v>5.0000000000000001E-3</v>
      </c>
      <c r="K235" s="31" cm="1">
        <f t="array" ref="K235">Common_InputFunctions.Utility_DisplayArrayInTable(Common_SourceData.Common_SourceData_MCFTemperatureZone_Data(),Table_SourceData_Common_MCFTemperatureZone[[#Headers],[Temperature zone]],0)</f>
        <v>0.02</v>
      </c>
      <c r="L235" s="31" cm="1">
        <f t="array" ref="L235">Common_InputFunctions.Utility_DisplayArrayInTable(Common_SourceData.Common_SourceData_MCFTemperatureZone_Data(),Table_SourceData_Common_MCFTemperatureZone[[#Headers],[Temperature zone]],0)</f>
        <v>0.03</v>
      </c>
      <c r="M235" s="31" cm="1">
        <f t="array" ref="M235">Common_InputFunctions.Utility_DisplayArrayInTable(Common_SourceData.Common_SourceData_MCFTemperatureZone_Data(),Table_SourceData_Common_MCFTemperatureZone[[#Headers],[Temperature zone]],0)</f>
        <v>0.04</v>
      </c>
      <c r="N235" s="31" cm="1">
        <f t="array" ref="N235">Common_InputFunctions.Utility_DisplayArrayInTable(Common_SourceData.Common_SourceData_MCFTemperatureZone_Data(),Table_SourceData_Common_MCFTemperatureZone[[#Headers],[Temperature zone]],0)</f>
        <v>1.4999999999999999E-2</v>
      </c>
      <c r="O235" s="31" cm="1">
        <f t="array" ref="O235">Common_InputFunctions.Utility_DisplayArrayInTable(Common_SourceData.Common_SourceData_MCFTemperatureZone_Data(),Table_SourceData_Common_MCFTemperatureZone[[#Headers],[Temperature zone]],0)</f>
        <v>1.4999999999999999E-2</v>
      </c>
      <c r="P235" s="31" cm="1">
        <f t="array" ref="P235">Common_InputFunctions.Utility_DisplayArrayInTable(Common_SourceData.Common_SourceData_MCFTemperatureZone_Data(),Table_SourceData_Common_MCFTemperatureZone[[#Headers],[Temperature zone]],0)</f>
        <v>0</v>
      </c>
      <c r="Q235" s="31" cm="1">
        <f t="array" ref="Q235">Common_InputFunctions.Utility_DisplayArrayInTable(Common_SourceData.Common_SourceData_MCFTemperatureZone_Data(),Table_SourceData_Common_MCFTemperatureZone[[#Headers],[Temperature zone]],0)</f>
        <v>0</v>
      </c>
      <c r="R235" s="31" cm="1">
        <f t="array" ref="R235">Common_InputFunctions.Utility_DisplayArrayInTable(Common_SourceData.Common_SourceData_MCFTemperatureZone_Data(),Table_SourceData_Common_MCFTemperatureZone[[#Headers],[Temperature zone]],0)</f>
        <v>4.7000000000000002E-3</v>
      </c>
      <c r="S235" s="31"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1" cm="1">
        <f t="array" ref="E236">Common_InputFunctions.Utility_DisplayArrayInTable(Common_SourceData.Common_SourceData_MCFTemperatureZone_Data(),Table_SourceData_Common_MCFTemperatureZone[[#Headers],[Temperature zone]],0)</f>
        <v>14</v>
      </c>
      <c r="F236" s="31" cm="1">
        <f t="array" ref="F236">Common_InputFunctions.Utility_DisplayArrayInTable(Common_SourceData.Common_SourceData_MCFTemperatureZone_Data(),Table_SourceData_Common_MCFTemperatureZone[[#Headers],[Temperature zone]],0)</f>
        <v>0.73</v>
      </c>
      <c r="G236" s="31" cm="1">
        <f t="array" ref="G236">Common_InputFunctions.Utility_DisplayArrayInTable(Common_SourceData.Common_SourceData_MCFTemperatureZone_Data(),Table_SourceData_Common_MCFTemperatureZone[[#Headers],[Temperature zone]],0)</f>
        <v>0.1</v>
      </c>
      <c r="H236" s="31" cm="1">
        <f t="array" ref="H236">Common_InputFunctions.Utility_DisplayArrayInTable(Common_SourceData.Common_SourceData_MCFTemperatureZone_Data(),Table_SourceData_Common_MCFTemperatureZone[[#Headers],[Temperature zone]],0)</f>
        <v>0.15</v>
      </c>
      <c r="I236" s="31" cm="1">
        <f t="array" ref="I236">Common_InputFunctions.Utility_DisplayArrayInTable(Common_SourceData.Common_SourceData_MCFTemperatureZone_Data(),Table_SourceData_Common_MCFTemperatureZone[[#Headers],[Temperature zone]],0)</f>
        <v>1E-3</v>
      </c>
      <c r="J236" s="31" cm="1">
        <f t="array" ref="J236">Common_InputFunctions.Utility_DisplayArrayInTable(Common_SourceData.Common_SourceData_MCFTemperatureZone_Data(),Table_SourceData_Common_MCFTemperatureZone[[#Headers],[Temperature zone]],0)</f>
        <v>5.0000000000000001E-3</v>
      </c>
      <c r="K236" s="31" cm="1">
        <f t="array" ref="K236">Common_InputFunctions.Utility_DisplayArrayInTable(Common_SourceData.Common_SourceData_MCFTemperatureZone_Data(),Table_SourceData_Common_MCFTemperatureZone[[#Headers],[Temperature zone]],0)</f>
        <v>0.02</v>
      </c>
      <c r="L236" s="31" cm="1">
        <f t="array" ref="L236">Common_InputFunctions.Utility_DisplayArrayInTable(Common_SourceData.Common_SourceData_MCFTemperatureZone_Data(),Table_SourceData_Common_MCFTemperatureZone[[#Headers],[Temperature zone]],0)</f>
        <v>0.03</v>
      </c>
      <c r="M236" s="31" cm="1">
        <f t="array" ref="M236">Common_InputFunctions.Utility_DisplayArrayInTable(Common_SourceData.Common_SourceData_MCFTemperatureZone_Data(),Table_SourceData_Common_MCFTemperatureZone[[#Headers],[Temperature zone]],0)</f>
        <v>0.04</v>
      </c>
      <c r="N236" s="31" cm="1">
        <f t="array" ref="N236">Common_InputFunctions.Utility_DisplayArrayInTable(Common_SourceData.Common_SourceData_MCFTemperatureZone_Data(),Table_SourceData_Common_MCFTemperatureZone[[#Headers],[Temperature zone]],0)</f>
        <v>1.4999999999999999E-2</v>
      </c>
      <c r="O236" s="31" cm="1">
        <f t="array" ref="O236">Common_InputFunctions.Utility_DisplayArrayInTable(Common_SourceData.Common_SourceData_MCFTemperatureZone_Data(),Table_SourceData_Common_MCFTemperatureZone[[#Headers],[Temperature zone]],0)</f>
        <v>1.4999999999999999E-2</v>
      </c>
      <c r="P236" s="31" cm="1">
        <f t="array" ref="P236">Common_InputFunctions.Utility_DisplayArrayInTable(Common_SourceData.Common_SourceData_MCFTemperatureZone_Data(),Table_SourceData_Common_MCFTemperatureZone[[#Headers],[Temperature zone]],0)</f>
        <v>0</v>
      </c>
      <c r="Q236" s="31" cm="1">
        <f t="array" ref="Q236">Common_InputFunctions.Utility_DisplayArrayInTable(Common_SourceData.Common_SourceData_MCFTemperatureZone_Data(),Table_SourceData_Common_MCFTemperatureZone[[#Headers],[Temperature zone]],0)</f>
        <v>0</v>
      </c>
      <c r="R236" s="31" cm="1">
        <f t="array" ref="R236">Common_InputFunctions.Utility_DisplayArrayInTable(Common_SourceData.Common_SourceData_MCFTemperatureZone_Data(),Table_SourceData_Common_MCFTemperatureZone[[#Headers],[Temperature zone]],0)</f>
        <v>4.7000000000000002E-3</v>
      </c>
      <c r="S236" s="31"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1" cm="1">
        <f t="array" ref="E237">Common_InputFunctions.Utility_DisplayArrayInTable(Common_SourceData.Common_SourceData_MCFTemperatureZone_Data(),Table_SourceData_Common_MCFTemperatureZone[[#Headers],[Temperature zone]],0)</f>
        <v>15</v>
      </c>
      <c r="F237" s="31" cm="1">
        <f t="array" ref="F237">Common_InputFunctions.Utility_DisplayArrayInTable(Common_SourceData.Common_SourceData_MCFTemperatureZone_Data(),Table_SourceData_Common_MCFTemperatureZone[[#Headers],[Temperature zone]],0)</f>
        <v>0.74</v>
      </c>
      <c r="G237" s="31" cm="1">
        <f t="array" ref="G237">Common_InputFunctions.Utility_DisplayArrayInTable(Common_SourceData.Common_SourceData_MCFTemperatureZone_Data(),Table_SourceData_Common_MCFTemperatureZone[[#Headers],[Temperature zone]],0)</f>
        <v>0.1</v>
      </c>
      <c r="H237" s="31" cm="1">
        <f t="array" ref="H237">Common_InputFunctions.Utility_DisplayArrayInTable(Common_SourceData.Common_SourceData_MCFTemperatureZone_Data(),Table_SourceData_Common_MCFTemperatureZone[[#Headers],[Temperature zone]],0)</f>
        <v>0.17</v>
      </c>
      <c r="I237" s="31" cm="1">
        <f t="array" ref="I237">Common_InputFunctions.Utility_DisplayArrayInTable(Common_SourceData.Common_SourceData_MCFTemperatureZone_Data(),Table_SourceData_Common_MCFTemperatureZone[[#Headers],[Temperature zone]],0)</f>
        <v>5.0000000000000001E-3</v>
      </c>
      <c r="J237" s="31" cm="1">
        <f t="array" ref="J237">Common_InputFunctions.Utility_DisplayArrayInTable(Common_SourceData.Common_SourceData_MCFTemperatureZone_Data(),Table_SourceData_Common_MCFTemperatureZone[[#Headers],[Temperature zone]],0)</f>
        <v>0.01</v>
      </c>
      <c r="K237" s="31" cm="1">
        <f t="array" ref="K237">Common_InputFunctions.Utility_DisplayArrayInTable(Common_SourceData.Common_SourceData_MCFTemperatureZone_Data(),Table_SourceData_Common_MCFTemperatureZone[[#Headers],[Temperature zone]],0)</f>
        <v>0.02</v>
      </c>
      <c r="L237" s="31" cm="1">
        <f t="array" ref="L237">Common_InputFunctions.Utility_DisplayArrayInTable(Common_SourceData.Common_SourceData_MCFTemperatureZone_Data(),Table_SourceData_Common_MCFTemperatureZone[[#Headers],[Temperature zone]],0)</f>
        <v>0.03</v>
      </c>
      <c r="M237" s="31" cm="1">
        <f t="array" ref="M237">Common_InputFunctions.Utility_DisplayArrayInTable(Common_SourceData.Common_SourceData_MCFTemperatureZone_Data(),Table_SourceData_Common_MCFTemperatureZone[[#Headers],[Temperature zone]],0)</f>
        <v>0.04</v>
      </c>
      <c r="N237" s="31" cm="1">
        <f t="array" ref="N237">Common_InputFunctions.Utility_DisplayArrayInTable(Common_SourceData.Common_SourceData_MCFTemperatureZone_Data(),Table_SourceData_Common_MCFTemperatureZone[[#Headers],[Temperature zone]],0)</f>
        <v>1.4999999999999999E-2</v>
      </c>
      <c r="O237" s="31" cm="1">
        <f t="array" ref="O237">Common_InputFunctions.Utility_DisplayArrayInTable(Common_SourceData.Common_SourceData_MCFTemperatureZone_Data(),Table_SourceData_Common_MCFTemperatureZone[[#Headers],[Temperature zone]],0)</f>
        <v>1.4999999999999999E-2</v>
      </c>
      <c r="P237" s="31" cm="1">
        <f t="array" ref="P237">Common_InputFunctions.Utility_DisplayArrayInTable(Common_SourceData.Common_SourceData_MCFTemperatureZone_Data(),Table_SourceData_Common_MCFTemperatureZone[[#Headers],[Temperature zone]],0)</f>
        <v>0</v>
      </c>
      <c r="Q237" s="31" cm="1">
        <f t="array" ref="Q237">Common_InputFunctions.Utility_DisplayArrayInTable(Common_SourceData.Common_SourceData_MCFTemperatureZone_Data(),Table_SourceData_Common_MCFTemperatureZone[[#Headers],[Temperature zone]],0)</f>
        <v>0</v>
      </c>
      <c r="R237" s="31" cm="1">
        <f t="array" ref="R237">Common_InputFunctions.Utility_DisplayArrayInTable(Common_SourceData.Common_SourceData_MCFTemperatureZone_Data(),Table_SourceData_Common_MCFTemperatureZone[[#Headers],[Temperature zone]],0)</f>
        <v>4.7000000000000002E-3</v>
      </c>
      <c r="S237" s="31"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1" cm="1">
        <f t="array" ref="E238">Common_InputFunctions.Utility_DisplayArrayInTable(Common_SourceData.Common_SourceData_MCFTemperatureZone_Data(),Table_SourceData_Common_MCFTemperatureZone[[#Headers],[Temperature zone]],0)</f>
        <v>16</v>
      </c>
      <c r="F238" s="31" cm="1">
        <f t="array" ref="F238">Common_InputFunctions.Utility_DisplayArrayInTable(Common_SourceData.Common_SourceData_MCFTemperatureZone_Data(),Table_SourceData_Common_MCFTemperatureZone[[#Headers],[Temperature zone]],0)</f>
        <v>0.75</v>
      </c>
      <c r="G238" s="31" cm="1">
        <f t="array" ref="G238">Common_InputFunctions.Utility_DisplayArrayInTable(Common_SourceData.Common_SourceData_MCFTemperatureZone_Data(),Table_SourceData_Common_MCFTemperatureZone[[#Headers],[Temperature zone]],0)</f>
        <v>0.1</v>
      </c>
      <c r="H238" s="31" cm="1">
        <f t="array" ref="H238">Common_InputFunctions.Utility_DisplayArrayInTable(Common_SourceData.Common_SourceData_MCFTemperatureZone_Data(),Table_SourceData_Common_MCFTemperatureZone[[#Headers],[Temperature zone]],0)</f>
        <v>0.18</v>
      </c>
      <c r="I238" s="31" cm="1">
        <f t="array" ref="I238">Common_InputFunctions.Utility_DisplayArrayInTable(Common_SourceData.Common_SourceData_MCFTemperatureZone_Data(),Table_SourceData_Common_MCFTemperatureZone[[#Headers],[Temperature zone]],0)</f>
        <v>5.0000000000000001E-3</v>
      </c>
      <c r="J238" s="31" cm="1">
        <f t="array" ref="J238">Common_InputFunctions.Utility_DisplayArrayInTable(Common_SourceData.Common_SourceData_MCFTemperatureZone_Data(),Table_SourceData_Common_MCFTemperatureZone[[#Headers],[Temperature zone]],0)</f>
        <v>0.01</v>
      </c>
      <c r="K238" s="31" cm="1">
        <f t="array" ref="K238">Common_InputFunctions.Utility_DisplayArrayInTable(Common_SourceData.Common_SourceData_MCFTemperatureZone_Data(),Table_SourceData_Common_MCFTemperatureZone[[#Headers],[Temperature zone]],0)</f>
        <v>0.02</v>
      </c>
      <c r="L238" s="31" cm="1">
        <f t="array" ref="L238">Common_InputFunctions.Utility_DisplayArrayInTable(Common_SourceData.Common_SourceData_MCFTemperatureZone_Data(),Table_SourceData_Common_MCFTemperatureZone[[#Headers],[Temperature zone]],0)</f>
        <v>0.03</v>
      </c>
      <c r="M238" s="31" cm="1">
        <f t="array" ref="M238">Common_InputFunctions.Utility_DisplayArrayInTable(Common_SourceData.Common_SourceData_MCFTemperatureZone_Data(),Table_SourceData_Common_MCFTemperatureZone[[#Headers],[Temperature zone]],0)</f>
        <v>0.04</v>
      </c>
      <c r="N238" s="31" cm="1">
        <f t="array" ref="N238">Common_InputFunctions.Utility_DisplayArrayInTable(Common_SourceData.Common_SourceData_MCFTemperatureZone_Data(),Table_SourceData_Common_MCFTemperatureZone[[#Headers],[Temperature zone]],0)</f>
        <v>1.4999999999999999E-2</v>
      </c>
      <c r="O238" s="31" cm="1">
        <f t="array" ref="O238">Common_InputFunctions.Utility_DisplayArrayInTable(Common_SourceData.Common_SourceData_MCFTemperatureZone_Data(),Table_SourceData_Common_MCFTemperatureZone[[#Headers],[Temperature zone]],0)</f>
        <v>1.4999999999999999E-2</v>
      </c>
      <c r="P238" s="31" cm="1">
        <f t="array" ref="P238">Common_InputFunctions.Utility_DisplayArrayInTable(Common_SourceData.Common_SourceData_MCFTemperatureZone_Data(),Table_SourceData_Common_MCFTemperatureZone[[#Headers],[Temperature zone]],0)</f>
        <v>0</v>
      </c>
      <c r="Q238" s="31" cm="1">
        <f t="array" ref="Q238">Common_InputFunctions.Utility_DisplayArrayInTable(Common_SourceData.Common_SourceData_MCFTemperatureZone_Data(),Table_SourceData_Common_MCFTemperatureZone[[#Headers],[Temperature zone]],0)</f>
        <v>0</v>
      </c>
      <c r="R238" s="31" cm="1">
        <f t="array" ref="R238">Common_InputFunctions.Utility_DisplayArrayInTable(Common_SourceData.Common_SourceData_MCFTemperatureZone_Data(),Table_SourceData_Common_MCFTemperatureZone[[#Headers],[Temperature zone]],0)</f>
        <v>4.7000000000000002E-3</v>
      </c>
      <c r="S238" s="31"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1" cm="1">
        <f t="array" ref="E239">Common_InputFunctions.Utility_DisplayArrayInTable(Common_SourceData.Common_SourceData_MCFTemperatureZone_Data(),Table_SourceData_Common_MCFTemperatureZone[[#Headers],[Temperature zone]],0)</f>
        <v>17</v>
      </c>
      <c r="F239" s="31" cm="1">
        <f t="array" ref="F239">Common_InputFunctions.Utility_DisplayArrayInTable(Common_SourceData.Common_SourceData_MCFTemperatureZone_Data(),Table_SourceData_Common_MCFTemperatureZone[[#Headers],[Temperature zone]],0)</f>
        <v>0.76</v>
      </c>
      <c r="G239" s="31" cm="1">
        <f t="array" ref="G239">Common_InputFunctions.Utility_DisplayArrayInTable(Common_SourceData.Common_SourceData_MCFTemperatureZone_Data(),Table_SourceData_Common_MCFTemperatureZone[[#Headers],[Temperature zone]],0)</f>
        <v>0.1</v>
      </c>
      <c r="H239" s="31" cm="1">
        <f t="array" ref="H239">Common_InputFunctions.Utility_DisplayArrayInTable(Common_SourceData.Common_SourceData_MCFTemperatureZone_Data(),Table_SourceData_Common_MCFTemperatureZone[[#Headers],[Temperature zone]],0)</f>
        <v>0.2</v>
      </c>
      <c r="I239" s="31" cm="1">
        <f t="array" ref="I239">Common_InputFunctions.Utility_DisplayArrayInTable(Common_SourceData.Common_SourceData_MCFTemperatureZone_Data(),Table_SourceData_Common_MCFTemperatureZone[[#Headers],[Temperature zone]],0)</f>
        <v>5.0000000000000001E-3</v>
      </c>
      <c r="J239" s="31" cm="1">
        <f t="array" ref="J239">Common_InputFunctions.Utility_DisplayArrayInTable(Common_SourceData.Common_SourceData_MCFTemperatureZone_Data(),Table_SourceData_Common_MCFTemperatureZone[[#Headers],[Temperature zone]],0)</f>
        <v>0.01</v>
      </c>
      <c r="K239" s="31" cm="1">
        <f t="array" ref="K239">Common_InputFunctions.Utility_DisplayArrayInTable(Common_SourceData.Common_SourceData_MCFTemperatureZone_Data(),Table_SourceData_Common_MCFTemperatureZone[[#Headers],[Temperature zone]],0)</f>
        <v>0.02</v>
      </c>
      <c r="L239" s="31" cm="1">
        <f t="array" ref="L239">Common_InputFunctions.Utility_DisplayArrayInTable(Common_SourceData.Common_SourceData_MCFTemperatureZone_Data(),Table_SourceData_Common_MCFTemperatureZone[[#Headers],[Temperature zone]],0)</f>
        <v>0.03</v>
      </c>
      <c r="M239" s="31" cm="1">
        <f t="array" ref="M239">Common_InputFunctions.Utility_DisplayArrayInTable(Common_SourceData.Common_SourceData_MCFTemperatureZone_Data(),Table_SourceData_Common_MCFTemperatureZone[[#Headers],[Temperature zone]],0)</f>
        <v>0.04</v>
      </c>
      <c r="N239" s="31" cm="1">
        <f t="array" ref="N239">Common_InputFunctions.Utility_DisplayArrayInTable(Common_SourceData.Common_SourceData_MCFTemperatureZone_Data(),Table_SourceData_Common_MCFTemperatureZone[[#Headers],[Temperature zone]],0)</f>
        <v>1.4999999999999999E-2</v>
      </c>
      <c r="O239" s="31" cm="1">
        <f t="array" ref="O239">Common_InputFunctions.Utility_DisplayArrayInTable(Common_SourceData.Common_SourceData_MCFTemperatureZone_Data(),Table_SourceData_Common_MCFTemperatureZone[[#Headers],[Temperature zone]],0)</f>
        <v>1.4999999999999999E-2</v>
      </c>
      <c r="P239" s="31" cm="1">
        <f t="array" ref="P239">Common_InputFunctions.Utility_DisplayArrayInTable(Common_SourceData.Common_SourceData_MCFTemperatureZone_Data(),Table_SourceData_Common_MCFTemperatureZone[[#Headers],[Temperature zone]],0)</f>
        <v>0</v>
      </c>
      <c r="Q239" s="31" cm="1">
        <f t="array" ref="Q239">Common_InputFunctions.Utility_DisplayArrayInTable(Common_SourceData.Common_SourceData_MCFTemperatureZone_Data(),Table_SourceData_Common_MCFTemperatureZone[[#Headers],[Temperature zone]],0)</f>
        <v>0</v>
      </c>
      <c r="R239" s="31" cm="1">
        <f t="array" ref="R239">Common_InputFunctions.Utility_DisplayArrayInTable(Common_SourceData.Common_SourceData_MCFTemperatureZone_Data(),Table_SourceData_Common_MCFTemperatureZone[[#Headers],[Temperature zone]],0)</f>
        <v>4.7000000000000002E-3</v>
      </c>
      <c r="S239" s="31"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1" cm="1">
        <f t="array" ref="E240">Common_InputFunctions.Utility_DisplayArrayInTable(Common_SourceData.Common_SourceData_MCFTemperatureZone_Data(),Table_SourceData_Common_MCFTemperatureZone[[#Headers],[Temperature zone]],0)</f>
        <v>18</v>
      </c>
      <c r="F240" s="31" cm="1">
        <f t="array" ref="F240">Common_InputFunctions.Utility_DisplayArrayInTable(Common_SourceData.Common_SourceData_MCFTemperatureZone_Data(),Table_SourceData_Common_MCFTemperatureZone[[#Headers],[Temperature zone]],0)</f>
        <v>0.77</v>
      </c>
      <c r="G240" s="31" cm="1">
        <f t="array" ref="G240">Common_InputFunctions.Utility_DisplayArrayInTable(Common_SourceData.Common_SourceData_MCFTemperatureZone_Data(),Table_SourceData_Common_MCFTemperatureZone[[#Headers],[Temperature zone]],0)</f>
        <v>0.1</v>
      </c>
      <c r="H240" s="31" cm="1">
        <f t="array" ref="H240">Common_InputFunctions.Utility_DisplayArrayInTable(Common_SourceData.Common_SourceData_MCFTemperatureZone_Data(),Table_SourceData_Common_MCFTemperatureZone[[#Headers],[Temperature zone]],0)</f>
        <v>0.22</v>
      </c>
      <c r="I240" s="31" cm="1">
        <f t="array" ref="I240">Common_InputFunctions.Utility_DisplayArrayInTable(Common_SourceData.Common_SourceData_MCFTemperatureZone_Data(),Table_SourceData_Common_MCFTemperatureZone[[#Headers],[Temperature zone]],0)</f>
        <v>5.0000000000000001E-3</v>
      </c>
      <c r="J240" s="31" cm="1">
        <f t="array" ref="J240">Common_InputFunctions.Utility_DisplayArrayInTable(Common_SourceData.Common_SourceData_MCFTemperatureZone_Data(),Table_SourceData_Common_MCFTemperatureZone[[#Headers],[Temperature zone]],0)</f>
        <v>0.01</v>
      </c>
      <c r="K240" s="31" cm="1">
        <f t="array" ref="K240">Common_InputFunctions.Utility_DisplayArrayInTable(Common_SourceData.Common_SourceData_MCFTemperatureZone_Data(),Table_SourceData_Common_MCFTemperatureZone[[#Headers],[Temperature zone]],0)</f>
        <v>0.02</v>
      </c>
      <c r="L240" s="31" cm="1">
        <f t="array" ref="L240">Common_InputFunctions.Utility_DisplayArrayInTable(Common_SourceData.Common_SourceData_MCFTemperatureZone_Data(),Table_SourceData_Common_MCFTemperatureZone[[#Headers],[Temperature zone]],0)</f>
        <v>0.03</v>
      </c>
      <c r="M240" s="31" cm="1">
        <f t="array" ref="M240">Common_InputFunctions.Utility_DisplayArrayInTable(Common_SourceData.Common_SourceData_MCFTemperatureZone_Data(),Table_SourceData_Common_MCFTemperatureZone[[#Headers],[Temperature zone]],0)</f>
        <v>0.04</v>
      </c>
      <c r="N240" s="31" cm="1">
        <f t="array" ref="N240">Common_InputFunctions.Utility_DisplayArrayInTable(Common_SourceData.Common_SourceData_MCFTemperatureZone_Data(),Table_SourceData_Common_MCFTemperatureZone[[#Headers],[Temperature zone]],0)</f>
        <v>1.4999999999999999E-2</v>
      </c>
      <c r="O240" s="31" cm="1">
        <f t="array" ref="O240">Common_InputFunctions.Utility_DisplayArrayInTable(Common_SourceData.Common_SourceData_MCFTemperatureZone_Data(),Table_SourceData_Common_MCFTemperatureZone[[#Headers],[Temperature zone]],0)</f>
        <v>1.4999999999999999E-2</v>
      </c>
      <c r="P240" s="31" cm="1">
        <f t="array" ref="P240">Common_InputFunctions.Utility_DisplayArrayInTable(Common_SourceData.Common_SourceData_MCFTemperatureZone_Data(),Table_SourceData_Common_MCFTemperatureZone[[#Headers],[Temperature zone]],0)</f>
        <v>0</v>
      </c>
      <c r="Q240" s="31" cm="1">
        <f t="array" ref="Q240">Common_InputFunctions.Utility_DisplayArrayInTable(Common_SourceData.Common_SourceData_MCFTemperatureZone_Data(),Table_SourceData_Common_MCFTemperatureZone[[#Headers],[Temperature zone]],0)</f>
        <v>0</v>
      </c>
      <c r="R240" s="31" cm="1">
        <f t="array" ref="R240">Common_InputFunctions.Utility_DisplayArrayInTable(Common_SourceData.Common_SourceData_MCFTemperatureZone_Data(),Table_SourceData_Common_MCFTemperatureZone[[#Headers],[Temperature zone]],0)</f>
        <v>4.7000000000000002E-3</v>
      </c>
      <c r="S240" s="31"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1" cm="1">
        <f t="array" ref="E241">Common_InputFunctions.Utility_DisplayArrayInTable(Common_SourceData.Common_SourceData_MCFTemperatureZone_Data(),Table_SourceData_Common_MCFTemperatureZone[[#Headers],[Temperature zone]],0)</f>
        <v>19</v>
      </c>
      <c r="F241" s="31" cm="1">
        <f t="array" ref="F241">Common_InputFunctions.Utility_DisplayArrayInTable(Common_SourceData.Common_SourceData_MCFTemperatureZone_Data(),Table_SourceData_Common_MCFTemperatureZone[[#Headers],[Temperature zone]],0)</f>
        <v>0.77</v>
      </c>
      <c r="G241" s="31" cm="1">
        <f t="array" ref="G241">Common_InputFunctions.Utility_DisplayArrayInTable(Common_SourceData.Common_SourceData_MCFTemperatureZone_Data(),Table_SourceData_Common_MCFTemperatureZone[[#Headers],[Temperature zone]],0)</f>
        <v>0.1</v>
      </c>
      <c r="H241" s="31" cm="1">
        <f t="array" ref="H241">Common_InputFunctions.Utility_DisplayArrayInTable(Common_SourceData.Common_SourceData_MCFTemperatureZone_Data(),Table_SourceData_Common_MCFTemperatureZone[[#Headers],[Temperature zone]],0)</f>
        <v>0.24</v>
      </c>
      <c r="I241" s="31" cm="1">
        <f t="array" ref="I241">Common_InputFunctions.Utility_DisplayArrayInTable(Common_SourceData.Common_SourceData_MCFTemperatureZone_Data(),Table_SourceData_Common_MCFTemperatureZone[[#Headers],[Temperature zone]],0)</f>
        <v>5.0000000000000001E-3</v>
      </c>
      <c r="J241" s="31" cm="1">
        <f t="array" ref="J241">Common_InputFunctions.Utility_DisplayArrayInTable(Common_SourceData.Common_SourceData_MCFTemperatureZone_Data(),Table_SourceData_Common_MCFTemperatureZone[[#Headers],[Temperature zone]],0)</f>
        <v>0.01</v>
      </c>
      <c r="K241" s="31" cm="1">
        <f t="array" ref="K241">Common_InputFunctions.Utility_DisplayArrayInTable(Common_SourceData.Common_SourceData_MCFTemperatureZone_Data(),Table_SourceData_Common_MCFTemperatureZone[[#Headers],[Temperature zone]],0)</f>
        <v>0.02</v>
      </c>
      <c r="L241" s="31" cm="1">
        <f t="array" ref="L241">Common_InputFunctions.Utility_DisplayArrayInTable(Common_SourceData.Common_SourceData_MCFTemperatureZone_Data(),Table_SourceData_Common_MCFTemperatureZone[[#Headers],[Temperature zone]],0)</f>
        <v>0.03</v>
      </c>
      <c r="M241" s="31" cm="1">
        <f t="array" ref="M241">Common_InputFunctions.Utility_DisplayArrayInTable(Common_SourceData.Common_SourceData_MCFTemperatureZone_Data(),Table_SourceData_Common_MCFTemperatureZone[[#Headers],[Temperature zone]],0)</f>
        <v>0.04</v>
      </c>
      <c r="N241" s="31" cm="1">
        <f t="array" ref="N241">Common_InputFunctions.Utility_DisplayArrayInTable(Common_SourceData.Common_SourceData_MCFTemperatureZone_Data(),Table_SourceData_Common_MCFTemperatureZone[[#Headers],[Temperature zone]],0)</f>
        <v>1.4999999999999999E-2</v>
      </c>
      <c r="O241" s="31" cm="1">
        <f t="array" ref="O241">Common_InputFunctions.Utility_DisplayArrayInTable(Common_SourceData.Common_SourceData_MCFTemperatureZone_Data(),Table_SourceData_Common_MCFTemperatureZone[[#Headers],[Temperature zone]],0)</f>
        <v>1.4999999999999999E-2</v>
      </c>
      <c r="P241" s="31" cm="1">
        <f t="array" ref="P241">Common_InputFunctions.Utility_DisplayArrayInTable(Common_SourceData.Common_SourceData_MCFTemperatureZone_Data(),Table_SourceData_Common_MCFTemperatureZone[[#Headers],[Temperature zone]],0)</f>
        <v>0</v>
      </c>
      <c r="Q241" s="31" cm="1">
        <f t="array" ref="Q241">Common_InputFunctions.Utility_DisplayArrayInTable(Common_SourceData.Common_SourceData_MCFTemperatureZone_Data(),Table_SourceData_Common_MCFTemperatureZone[[#Headers],[Temperature zone]],0)</f>
        <v>0</v>
      </c>
      <c r="R241" s="31" cm="1">
        <f t="array" ref="R241">Common_InputFunctions.Utility_DisplayArrayInTable(Common_SourceData.Common_SourceData_MCFTemperatureZone_Data(),Table_SourceData_Common_MCFTemperatureZone[[#Headers],[Temperature zone]],0)</f>
        <v>4.7000000000000002E-3</v>
      </c>
      <c r="S241" s="31"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1" cm="1">
        <f t="array" ref="E242">Common_InputFunctions.Utility_DisplayArrayInTable(Common_SourceData.Common_SourceData_MCFTemperatureZone_Data(),Table_SourceData_Common_MCFTemperatureZone[[#Headers],[Temperature zone]],0)</f>
        <v>20</v>
      </c>
      <c r="F242" s="31" cm="1">
        <f t="array" ref="F242">Common_InputFunctions.Utility_DisplayArrayInTable(Common_SourceData.Common_SourceData_MCFTemperatureZone_Data(),Table_SourceData_Common_MCFTemperatureZone[[#Headers],[Temperature zone]],0)</f>
        <v>0.78</v>
      </c>
      <c r="G242" s="31" cm="1">
        <f t="array" ref="G242">Common_InputFunctions.Utility_DisplayArrayInTable(Common_SourceData.Common_SourceData_MCFTemperatureZone_Data(),Table_SourceData_Common_MCFTemperatureZone[[#Headers],[Temperature zone]],0)</f>
        <v>0.1</v>
      </c>
      <c r="H242" s="31" cm="1">
        <f t="array" ref="H242">Common_InputFunctions.Utility_DisplayArrayInTable(Common_SourceData.Common_SourceData_MCFTemperatureZone_Data(),Table_SourceData_Common_MCFTemperatureZone[[#Headers],[Temperature zone]],0)</f>
        <v>0.26</v>
      </c>
      <c r="I242" s="31" cm="1">
        <f t="array" ref="I242">Common_InputFunctions.Utility_DisplayArrayInTable(Common_SourceData.Common_SourceData_MCFTemperatureZone_Data(),Table_SourceData_Common_MCFTemperatureZone[[#Headers],[Temperature zone]],0)</f>
        <v>5.0000000000000001E-3</v>
      </c>
      <c r="J242" s="31" cm="1">
        <f t="array" ref="J242">Common_InputFunctions.Utility_DisplayArrayInTable(Common_SourceData.Common_SourceData_MCFTemperatureZone_Data(),Table_SourceData_Common_MCFTemperatureZone[[#Headers],[Temperature zone]],0)</f>
        <v>0.01</v>
      </c>
      <c r="K242" s="31" cm="1">
        <f t="array" ref="K242">Common_InputFunctions.Utility_DisplayArrayInTable(Common_SourceData.Common_SourceData_MCFTemperatureZone_Data(),Table_SourceData_Common_MCFTemperatureZone[[#Headers],[Temperature zone]],0)</f>
        <v>0.02</v>
      </c>
      <c r="L242" s="31" cm="1">
        <f t="array" ref="L242">Common_InputFunctions.Utility_DisplayArrayInTable(Common_SourceData.Common_SourceData_MCFTemperatureZone_Data(),Table_SourceData_Common_MCFTemperatureZone[[#Headers],[Temperature zone]],0)</f>
        <v>0.03</v>
      </c>
      <c r="M242" s="31" cm="1">
        <f t="array" ref="M242">Common_InputFunctions.Utility_DisplayArrayInTable(Common_SourceData.Common_SourceData_MCFTemperatureZone_Data(),Table_SourceData_Common_MCFTemperatureZone[[#Headers],[Temperature zone]],0)</f>
        <v>0.04</v>
      </c>
      <c r="N242" s="31" cm="1">
        <f t="array" ref="N242">Common_InputFunctions.Utility_DisplayArrayInTable(Common_SourceData.Common_SourceData_MCFTemperatureZone_Data(),Table_SourceData_Common_MCFTemperatureZone[[#Headers],[Temperature zone]],0)</f>
        <v>1.4999999999999999E-2</v>
      </c>
      <c r="O242" s="31" cm="1">
        <f t="array" ref="O242">Common_InputFunctions.Utility_DisplayArrayInTable(Common_SourceData.Common_SourceData_MCFTemperatureZone_Data(),Table_SourceData_Common_MCFTemperatureZone[[#Headers],[Temperature zone]],0)</f>
        <v>1.4999999999999999E-2</v>
      </c>
      <c r="P242" s="31" cm="1">
        <f t="array" ref="P242">Common_InputFunctions.Utility_DisplayArrayInTable(Common_SourceData.Common_SourceData_MCFTemperatureZone_Data(),Table_SourceData_Common_MCFTemperatureZone[[#Headers],[Temperature zone]],0)</f>
        <v>0</v>
      </c>
      <c r="Q242" s="31" cm="1">
        <f t="array" ref="Q242">Common_InputFunctions.Utility_DisplayArrayInTable(Common_SourceData.Common_SourceData_MCFTemperatureZone_Data(),Table_SourceData_Common_MCFTemperatureZone[[#Headers],[Temperature zone]],0)</f>
        <v>0</v>
      </c>
      <c r="R242" s="31" cm="1">
        <f t="array" ref="R242">Common_InputFunctions.Utility_DisplayArrayInTable(Common_SourceData.Common_SourceData_MCFTemperatureZone_Data(),Table_SourceData_Common_MCFTemperatureZone[[#Headers],[Temperature zone]],0)</f>
        <v>4.7000000000000002E-3</v>
      </c>
      <c r="S242" s="31"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1" cm="1">
        <f t="array" ref="E243">Common_InputFunctions.Utility_DisplayArrayInTable(Common_SourceData.Common_SourceData_MCFTemperatureZone_Data(),Table_SourceData_Common_MCFTemperatureZone[[#Headers],[Temperature zone]],0)</f>
        <v>21</v>
      </c>
      <c r="F243" s="31" cm="1">
        <f t="array" ref="F243">Common_InputFunctions.Utility_DisplayArrayInTable(Common_SourceData.Common_SourceData_MCFTemperatureZone_Data(),Table_SourceData_Common_MCFTemperatureZone[[#Headers],[Temperature zone]],0)</f>
        <v>0.78</v>
      </c>
      <c r="G243" s="31" cm="1">
        <f t="array" ref="G243">Common_InputFunctions.Utility_DisplayArrayInTable(Common_SourceData.Common_SourceData_MCFTemperatureZone_Data(),Table_SourceData_Common_MCFTemperatureZone[[#Headers],[Temperature zone]],0)</f>
        <v>0.1</v>
      </c>
      <c r="H243" s="31" cm="1">
        <f t="array" ref="H243">Common_InputFunctions.Utility_DisplayArrayInTable(Common_SourceData.Common_SourceData_MCFTemperatureZone_Data(),Table_SourceData_Common_MCFTemperatureZone[[#Headers],[Temperature zone]],0)</f>
        <v>0.28999999999999998</v>
      </c>
      <c r="I243" s="31" cm="1">
        <f t="array" ref="I243">Common_InputFunctions.Utility_DisplayArrayInTable(Common_SourceData.Common_SourceData_MCFTemperatureZone_Data(),Table_SourceData_Common_MCFTemperatureZone[[#Headers],[Temperature zone]],0)</f>
        <v>5.0000000000000001E-3</v>
      </c>
      <c r="J243" s="31" cm="1">
        <f t="array" ref="J243">Common_InputFunctions.Utility_DisplayArrayInTable(Common_SourceData.Common_SourceData_MCFTemperatureZone_Data(),Table_SourceData_Common_MCFTemperatureZone[[#Headers],[Temperature zone]],0)</f>
        <v>0.01</v>
      </c>
      <c r="K243" s="31" cm="1">
        <f t="array" ref="K243">Common_InputFunctions.Utility_DisplayArrayInTable(Common_SourceData.Common_SourceData_MCFTemperatureZone_Data(),Table_SourceData_Common_MCFTemperatureZone[[#Headers],[Temperature zone]],0)</f>
        <v>0.02</v>
      </c>
      <c r="L243" s="31" cm="1">
        <f t="array" ref="L243">Common_InputFunctions.Utility_DisplayArrayInTable(Common_SourceData.Common_SourceData_MCFTemperatureZone_Data(),Table_SourceData_Common_MCFTemperatureZone[[#Headers],[Temperature zone]],0)</f>
        <v>0.03</v>
      </c>
      <c r="M243" s="31" cm="1">
        <f t="array" ref="M243">Common_InputFunctions.Utility_DisplayArrayInTable(Common_SourceData.Common_SourceData_MCFTemperatureZone_Data(),Table_SourceData_Common_MCFTemperatureZone[[#Headers],[Temperature zone]],0)</f>
        <v>0.04</v>
      </c>
      <c r="N243" s="31" cm="1">
        <f t="array" ref="N243">Common_InputFunctions.Utility_DisplayArrayInTable(Common_SourceData.Common_SourceData_MCFTemperatureZone_Data(),Table_SourceData_Common_MCFTemperatureZone[[#Headers],[Temperature zone]],0)</f>
        <v>1.4999999999999999E-2</v>
      </c>
      <c r="O243" s="31" cm="1">
        <f t="array" ref="O243">Common_InputFunctions.Utility_DisplayArrayInTable(Common_SourceData.Common_SourceData_MCFTemperatureZone_Data(),Table_SourceData_Common_MCFTemperatureZone[[#Headers],[Temperature zone]],0)</f>
        <v>1.4999999999999999E-2</v>
      </c>
      <c r="P243" s="31" cm="1">
        <f t="array" ref="P243">Common_InputFunctions.Utility_DisplayArrayInTable(Common_SourceData.Common_SourceData_MCFTemperatureZone_Data(),Table_SourceData_Common_MCFTemperatureZone[[#Headers],[Temperature zone]],0)</f>
        <v>0</v>
      </c>
      <c r="Q243" s="31" cm="1">
        <f t="array" ref="Q243">Common_InputFunctions.Utility_DisplayArrayInTable(Common_SourceData.Common_SourceData_MCFTemperatureZone_Data(),Table_SourceData_Common_MCFTemperatureZone[[#Headers],[Temperature zone]],0)</f>
        <v>0</v>
      </c>
      <c r="R243" s="31" cm="1">
        <f t="array" ref="R243">Common_InputFunctions.Utility_DisplayArrayInTable(Common_SourceData.Common_SourceData_MCFTemperatureZone_Data(),Table_SourceData_Common_MCFTemperatureZone[[#Headers],[Temperature zone]],0)</f>
        <v>4.7000000000000002E-3</v>
      </c>
      <c r="S243" s="31"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1" cm="1">
        <f t="array" ref="E244">Common_InputFunctions.Utility_DisplayArrayInTable(Common_SourceData.Common_SourceData_MCFTemperatureZone_Data(),Table_SourceData_Common_MCFTemperatureZone[[#Headers],[Temperature zone]],0)</f>
        <v>22</v>
      </c>
      <c r="F244" s="31" cm="1">
        <f t="array" ref="F244">Common_InputFunctions.Utility_DisplayArrayInTable(Common_SourceData.Common_SourceData_MCFTemperatureZone_Data(),Table_SourceData_Common_MCFTemperatureZone[[#Headers],[Temperature zone]],0)</f>
        <v>0.78</v>
      </c>
      <c r="G244" s="31" cm="1">
        <f t="array" ref="G244">Common_InputFunctions.Utility_DisplayArrayInTable(Common_SourceData.Common_SourceData_MCFTemperatureZone_Data(),Table_SourceData_Common_MCFTemperatureZone[[#Headers],[Temperature zone]],0)</f>
        <v>0.1</v>
      </c>
      <c r="H244" s="31" cm="1">
        <f t="array" ref="H244">Common_InputFunctions.Utility_DisplayArrayInTable(Common_SourceData.Common_SourceData_MCFTemperatureZone_Data(),Table_SourceData_Common_MCFTemperatureZone[[#Headers],[Temperature zone]],0)</f>
        <v>0.31</v>
      </c>
      <c r="I244" s="31" cm="1">
        <f t="array" ref="I244">Common_InputFunctions.Utility_DisplayArrayInTable(Common_SourceData.Common_SourceData_MCFTemperatureZone_Data(),Table_SourceData_Common_MCFTemperatureZone[[#Headers],[Temperature zone]],0)</f>
        <v>5.0000000000000001E-3</v>
      </c>
      <c r="J244" s="31" cm="1">
        <f t="array" ref="J244">Common_InputFunctions.Utility_DisplayArrayInTable(Common_SourceData.Common_SourceData_MCFTemperatureZone_Data(),Table_SourceData_Common_MCFTemperatureZone[[#Headers],[Temperature zone]],0)</f>
        <v>0.01</v>
      </c>
      <c r="K244" s="31" cm="1">
        <f t="array" ref="K244">Common_InputFunctions.Utility_DisplayArrayInTable(Common_SourceData.Common_SourceData_MCFTemperatureZone_Data(),Table_SourceData_Common_MCFTemperatureZone[[#Headers],[Temperature zone]],0)</f>
        <v>0.02</v>
      </c>
      <c r="L244" s="31" cm="1">
        <f t="array" ref="L244">Common_InputFunctions.Utility_DisplayArrayInTable(Common_SourceData.Common_SourceData_MCFTemperatureZone_Data(),Table_SourceData_Common_MCFTemperatureZone[[#Headers],[Temperature zone]],0)</f>
        <v>0.03</v>
      </c>
      <c r="M244" s="31" cm="1">
        <f t="array" ref="M244">Common_InputFunctions.Utility_DisplayArrayInTable(Common_SourceData.Common_SourceData_MCFTemperatureZone_Data(),Table_SourceData_Common_MCFTemperatureZone[[#Headers],[Temperature zone]],0)</f>
        <v>0.04</v>
      </c>
      <c r="N244" s="31" cm="1">
        <f t="array" ref="N244">Common_InputFunctions.Utility_DisplayArrayInTable(Common_SourceData.Common_SourceData_MCFTemperatureZone_Data(),Table_SourceData_Common_MCFTemperatureZone[[#Headers],[Temperature zone]],0)</f>
        <v>1.4999999999999999E-2</v>
      </c>
      <c r="O244" s="31" cm="1">
        <f t="array" ref="O244">Common_InputFunctions.Utility_DisplayArrayInTable(Common_SourceData.Common_SourceData_MCFTemperatureZone_Data(),Table_SourceData_Common_MCFTemperatureZone[[#Headers],[Temperature zone]],0)</f>
        <v>1.4999999999999999E-2</v>
      </c>
      <c r="P244" s="31" cm="1">
        <f t="array" ref="P244">Common_InputFunctions.Utility_DisplayArrayInTable(Common_SourceData.Common_SourceData_MCFTemperatureZone_Data(),Table_SourceData_Common_MCFTemperatureZone[[#Headers],[Temperature zone]],0)</f>
        <v>0</v>
      </c>
      <c r="Q244" s="31" cm="1">
        <f t="array" ref="Q244">Common_InputFunctions.Utility_DisplayArrayInTable(Common_SourceData.Common_SourceData_MCFTemperatureZone_Data(),Table_SourceData_Common_MCFTemperatureZone[[#Headers],[Temperature zone]],0)</f>
        <v>0</v>
      </c>
      <c r="R244" s="31" cm="1">
        <f t="array" ref="R244">Common_InputFunctions.Utility_DisplayArrayInTable(Common_SourceData.Common_SourceData_MCFTemperatureZone_Data(),Table_SourceData_Common_MCFTemperatureZone[[#Headers],[Temperature zone]],0)</f>
        <v>4.7000000000000002E-3</v>
      </c>
      <c r="S244" s="31"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1" cm="1">
        <f t="array" ref="E245">Common_InputFunctions.Utility_DisplayArrayInTable(Common_SourceData.Common_SourceData_MCFTemperatureZone_Data(),Table_SourceData_Common_MCFTemperatureZone[[#Headers],[Temperature zone]],0)</f>
        <v>23</v>
      </c>
      <c r="F245" s="31" cm="1">
        <f t="array" ref="F245">Common_InputFunctions.Utility_DisplayArrayInTable(Common_SourceData.Common_SourceData_MCFTemperatureZone_Data(),Table_SourceData_Common_MCFTemperatureZone[[#Headers],[Temperature zone]],0)</f>
        <v>0.79</v>
      </c>
      <c r="G245" s="31" cm="1">
        <f t="array" ref="G245">Common_InputFunctions.Utility_DisplayArrayInTable(Common_SourceData.Common_SourceData_MCFTemperatureZone_Data(),Table_SourceData_Common_MCFTemperatureZone[[#Headers],[Temperature zone]],0)</f>
        <v>0.1</v>
      </c>
      <c r="H245" s="31" cm="1">
        <f t="array" ref="H245">Common_InputFunctions.Utility_DisplayArrayInTable(Common_SourceData.Common_SourceData_MCFTemperatureZone_Data(),Table_SourceData_Common_MCFTemperatureZone[[#Headers],[Temperature zone]],0)</f>
        <v>0.34</v>
      </c>
      <c r="I245" s="31" cm="1">
        <f t="array" ref="I245">Common_InputFunctions.Utility_DisplayArrayInTable(Common_SourceData.Common_SourceData_MCFTemperatureZone_Data(),Table_SourceData_Common_MCFTemperatureZone[[#Headers],[Temperature zone]],0)</f>
        <v>5.0000000000000001E-3</v>
      </c>
      <c r="J245" s="31" cm="1">
        <f t="array" ref="J245">Common_InputFunctions.Utility_DisplayArrayInTable(Common_SourceData.Common_SourceData_MCFTemperatureZone_Data(),Table_SourceData_Common_MCFTemperatureZone[[#Headers],[Temperature zone]],0)</f>
        <v>0.01</v>
      </c>
      <c r="K245" s="31" cm="1">
        <f t="array" ref="K245">Common_InputFunctions.Utility_DisplayArrayInTable(Common_SourceData.Common_SourceData_MCFTemperatureZone_Data(),Table_SourceData_Common_MCFTemperatureZone[[#Headers],[Temperature zone]],0)</f>
        <v>0.02</v>
      </c>
      <c r="L245" s="31" cm="1">
        <f t="array" ref="L245">Common_InputFunctions.Utility_DisplayArrayInTable(Common_SourceData.Common_SourceData_MCFTemperatureZone_Data(),Table_SourceData_Common_MCFTemperatureZone[[#Headers],[Temperature zone]],0)</f>
        <v>0.03</v>
      </c>
      <c r="M245" s="31" cm="1">
        <f t="array" ref="M245">Common_InputFunctions.Utility_DisplayArrayInTable(Common_SourceData.Common_SourceData_MCFTemperatureZone_Data(),Table_SourceData_Common_MCFTemperatureZone[[#Headers],[Temperature zone]],0)</f>
        <v>0.04</v>
      </c>
      <c r="N245" s="31" cm="1">
        <f t="array" ref="N245">Common_InputFunctions.Utility_DisplayArrayInTable(Common_SourceData.Common_SourceData_MCFTemperatureZone_Data(),Table_SourceData_Common_MCFTemperatureZone[[#Headers],[Temperature zone]],0)</f>
        <v>1.4999999999999999E-2</v>
      </c>
      <c r="O245" s="31" cm="1">
        <f t="array" ref="O245">Common_InputFunctions.Utility_DisplayArrayInTable(Common_SourceData.Common_SourceData_MCFTemperatureZone_Data(),Table_SourceData_Common_MCFTemperatureZone[[#Headers],[Temperature zone]],0)</f>
        <v>1.4999999999999999E-2</v>
      </c>
      <c r="P245" s="31" cm="1">
        <f t="array" ref="P245">Common_InputFunctions.Utility_DisplayArrayInTable(Common_SourceData.Common_SourceData_MCFTemperatureZone_Data(),Table_SourceData_Common_MCFTemperatureZone[[#Headers],[Temperature zone]],0)</f>
        <v>0</v>
      </c>
      <c r="Q245" s="31" cm="1">
        <f t="array" ref="Q245">Common_InputFunctions.Utility_DisplayArrayInTable(Common_SourceData.Common_SourceData_MCFTemperatureZone_Data(),Table_SourceData_Common_MCFTemperatureZone[[#Headers],[Temperature zone]],0)</f>
        <v>0</v>
      </c>
      <c r="R245" s="31" cm="1">
        <f t="array" ref="R245">Common_InputFunctions.Utility_DisplayArrayInTable(Common_SourceData.Common_SourceData_MCFTemperatureZone_Data(),Table_SourceData_Common_MCFTemperatureZone[[#Headers],[Temperature zone]],0)</f>
        <v>4.7000000000000002E-3</v>
      </c>
      <c r="S245" s="31"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1" cm="1">
        <f t="array" ref="E246">Common_InputFunctions.Utility_DisplayArrayInTable(Common_SourceData.Common_SourceData_MCFTemperatureZone_Data(),Table_SourceData_Common_MCFTemperatureZone[[#Headers],[Temperature zone]],0)</f>
        <v>24</v>
      </c>
      <c r="F246" s="31" cm="1">
        <f t="array" ref="F246">Common_InputFunctions.Utility_DisplayArrayInTable(Common_SourceData.Common_SourceData_MCFTemperatureZone_Data(),Table_SourceData_Common_MCFTemperatureZone[[#Headers],[Temperature zone]],0)</f>
        <v>0.79</v>
      </c>
      <c r="G246" s="31" cm="1">
        <f t="array" ref="G246">Common_InputFunctions.Utility_DisplayArrayInTable(Common_SourceData.Common_SourceData_MCFTemperatureZone_Data(),Table_SourceData_Common_MCFTemperatureZone[[#Headers],[Temperature zone]],0)</f>
        <v>0.1</v>
      </c>
      <c r="H246" s="31" cm="1">
        <f t="array" ref="H246">Common_InputFunctions.Utility_DisplayArrayInTable(Common_SourceData.Common_SourceData_MCFTemperatureZone_Data(),Table_SourceData_Common_MCFTemperatureZone[[#Headers],[Temperature zone]],0)</f>
        <v>0.37</v>
      </c>
      <c r="I246" s="31" cm="1">
        <f t="array" ref="I246">Common_InputFunctions.Utility_DisplayArrayInTable(Common_SourceData.Common_SourceData_MCFTemperatureZone_Data(),Table_SourceData_Common_MCFTemperatureZone[[#Headers],[Temperature zone]],0)</f>
        <v>5.0000000000000001E-3</v>
      </c>
      <c r="J246" s="31" cm="1">
        <f t="array" ref="J246">Common_InputFunctions.Utility_DisplayArrayInTable(Common_SourceData.Common_SourceData_MCFTemperatureZone_Data(),Table_SourceData_Common_MCFTemperatureZone[[#Headers],[Temperature zone]],0)</f>
        <v>0.01</v>
      </c>
      <c r="K246" s="31" cm="1">
        <f t="array" ref="K246">Common_InputFunctions.Utility_DisplayArrayInTable(Common_SourceData.Common_SourceData_MCFTemperatureZone_Data(),Table_SourceData_Common_MCFTemperatureZone[[#Headers],[Temperature zone]],0)</f>
        <v>0.02</v>
      </c>
      <c r="L246" s="31" cm="1">
        <f t="array" ref="L246">Common_InputFunctions.Utility_DisplayArrayInTable(Common_SourceData.Common_SourceData_MCFTemperatureZone_Data(),Table_SourceData_Common_MCFTemperatureZone[[#Headers],[Temperature zone]],0)</f>
        <v>0.03</v>
      </c>
      <c r="M246" s="31" cm="1">
        <f t="array" ref="M246">Common_InputFunctions.Utility_DisplayArrayInTable(Common_SourceData.Common_SourceData_MCFTemperatureZone_Data(),Table_SourceData_Common_MCFTemperatureZone[[#Headers],[Temperature zone]],0)</f>
        <v>0.04</v>
      </c>
      <c r="N246" s="31" cm="1">
        <f t="array" ref="N246">Common_InputFunctions.Utility_DisplayArrayInTable(Common_SourceData.Common_SourceData_MCFTemperatureZone_Data(),Table_SourceData_Common_MCFTemperatureZone[[#Headers],[Temperature zone]],0)</f>
        <v>1.4999999999999999E-2</v>
      </c>
      <c r="O246" s="31" cm="1">
        <f t="array" ref="O246">Common_InputFunctions.Utility_DisplayArrayInTable(Common_SourceData.Common_SourceData_MCFTemperatureZone_Data(),Table_SourceData_Common_MCFTemperatureZone[[#Headers],[Temperature zone]],0)</f>
        <v>1.4999999999999999E-2</v>
      </c>
      <c r="P246" s="31" cm="1">
        <f t="array" ref="P246">Common_InputFunctions.Utility_DisplayArrayInTable(Common_SourceData.Common_SourceData_MCFTemperatureZone_Data(),Table_SourceData_Common_MCFTemperatureZone[[#Headers],[Temperature zone]],0)</f>
        <v>0</v>
      </c>
      <c r="Q246" s="31" cm="1">
        <f t="array" ref="Q246">Common_InputFunctions.Utility_DisplayArrayInTable(Common_SourceData.Common_SourceData_MCFTemperatureZone_Data(),Table_SourceData_Common_MCFTemperatureZone[[#Headers],[Temperature zone]],0)</f>
        <v>0</v>
      </c>
      <c r="R246" s="31" cm="1">
        <f t="array" ref="R246">Common_InputFunctions.Utility_DisplayArrayInTable(Common_SourceData.Common_SourceData_MCFTemperatureZone_Data(),Table_SourceData_Common_MCFTemperatureZone[[#Headers],[Temperature zone]],0)</f>
        <v>4.7000000000000002E-3</v>
      </c>
      <c r="S246" s="31"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1" cm="1">
        <f t="array" ref="E247">Common_InputFunctions.Utility_DisplayArrayInTable(Common_SourceData.Common_SourceData_MCFTemperatureZone_Data(),Table_SourceData_Common_MCFTemperatureZone[[#Headers],[Temperature zone]],0)</f>
        <v>25</v>
      </c>
      <c r="F247" s="31" cm="1">
        <f t="array" ref="F247">Common_InputFunctions.Utility_DisplayArrayInTable(Common_SourceData.Common_SourceData_MCFTemperatureZone_Data(),Table_SourceData_Common_MCFTemperatureZone[[#Headers],[Temperature zone]],0)</f>
        <v>0.79</v>
      </c>
      <c r="G247" s="31" cm="1">
        <f t="array" ref="G247">Common_InputFunctions.Utility_DisplayArrayInTable(Common_SourceData.Common_SourceData_MCFTemperatureZone_Data(),Table_SourceData_Common_MCFTemperatureZone[[#Headers],[Temperature zone]],0)</f>
        <v>0.1</v>
      </c>
      <c r="H247" s="31" cm="1">
        <f t="array" ref="H247">Common_InputFunctions.Utility_DisplayArrayInTable(Common_SourceData.Common_SourceData_MCFTemperatureZone_Data(),Table_SourceData_Common_MCFTemperatureZone[[#Headers],[Temperature zone]],0)</f>
        <v>0.41</v>
      </c>
      <c r="I247" s="31" cm="1">
        <f t="array" ref="I247">Common_InputFunctions.Utility_DisplayArrayInTable(Common_SourceData.Common_SourceData_MCFTemperatureZone_Data(),Table_SourceData_Common_MCFTemperatureZone[[#Headers],[Temperature zone]],0)</f>
        <v>5.0000000000000001E-3</v>
      </c>
      <c r="J247" s="31" cm="1">
        <f t="array" ref="J247">Common_InputFunctions.Utility_DisplayArrayInTable(Common_SourceData.Common_SourceData_MCFTemperatureZone_Data(),Table_SourceData_Common_MCFTemperatureZone[[#Headers],[Temperature zone]],0)</f>
        <v>0.01</v>
      </c>
      <c r="K247" s="31" cm="1">
        <f t="array" ref="K247">Common_InputFunctions.Utility_DisplayArrayInTable(Common_SourceData.Common_SourceData_MCFTemperatureZone_Data(),Table_SourceData_Common_MCFTemperatureZone[[#Headers],[Temperature zone]],0)</f>
        <v>0.02</v>
      </c>
      <c r="L247" s="31" cm="1">
        <f t="array" ref="L247">Common_InputFunctions.Utility_DisplayArrayInTable(Common_SourceData.Common_SourceData_MCFTemperatureZone_Data(),Table_SourceData_Common_MCFTemperatureZone[[#Headers],[Temperature zone]],0)</f>
        <v>0.03</v>
      </c>
      <c r="M247" s="31" cm="1">
        <f t="array" ref="M247">Common_InputFunctions.Utility_DisplayArrayInTable(Common_SourceData.Common_SourceData_MCFTemperatureZone_Data(),Table_SourceData_Common_MCFTemperatureZone[[#Headers],[Temperature zone]],0)</f>
        <v>0.04</v>
      </c>
      <c r="N247" s="31" cm="1">
        <f t="array" ref="N247">Common_InputFunctions.Utility_DisplayArrayInTable(Common_SourceData.Common_SourceData_MCFTemperatureZone_Data(),Table_SourceData_Common_MCFTemperatureZone[[#Headers],[Temperature zone]],0)</f>
        <v>1.4999999999999999E-2</v>
      </c>
      <c r="O247" s="31" cm="1">
        <f t="array" ref="O247">Common_InputFunctions.Utility_DisplayArrayInTable(Common_SourceData.Common_SourceData_MCFTemperatureZone_Data(),Table_SourceData_Common_MCFTemperatureZone[[#Headers],[Temperature zone]],0)</f>
        <v>1.4999999999999999E-2</v>
      </c>
      <c r="P247" s="31" cm="1">
        <f t="array" ref="P247">Common_InputFunctions.Utility_DisplayArrayInTable(Common_SourceData.Common_SourceData_MCFTemperatureZone_Data(),Table_SourceData_Common_MCFTemperatureZone[[#Headers],[Temperature zone]],0)</f>
        <v>0</v>
      </c>
      <c r="Q247" s="31" cm="1">
        <f t="array" ref="Q247">Common_InputFunctions.Utility_DisplayArrayInTable(Common_SourceData.Common_SourceData_MCFTemperatureZone_Data(),Table_SourceData_Common_MCFTemperatureZone[[#Headers],[Temperature zone]],0)</f>
        <v>0</v>
      </c>
      <c r="R247" s="31" cm="1">
        <f t="array" ref="R247">Common_InputFunctions.Utility_DisplayArrayInTable(Common_SourceData.Common_SourceData_MCFTemperatureZone_Data(),Table_SourceData_Common_MCFTemperatureZone[[#Headers],[Temperature zone]],0)</f>
        <v>4.7000000000000002E-3</v>
      </c>
      <c r="S247" s="31"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1" cm="1">
        <f t="array" ref="E248">Common_InputFunctions.Utility_DisplayArrayInTable(Common_SourceData.Common_SourceData_MCFTemperatureZone_Data(),Table_SourceData_Common_MCFTemperatureZone[[#Headers],[Temperature zone]],0)</f>
        <v>26</v>
      </c>
      <c r="F248" s="31" cm="1">
        <f t="array" ref="F248">Common_InputFunctions.Utility_DisplayArrayInTable(Common_SourceData.Common_SourceData_MCFTemperatureZone_Data(),Table_SourceData_Common_MCFTemperatureZone[[#Headers],[Temperature zone]],0)</f>
        <v>0.79</v>
      </c>
      <c r="G248" s="31" cm="1">
        <f t="array" ref="G248">Common_InputFunctions.Utility_DisplayArrayInTable(Common_SourceData.Common_SourceData_MCFTemperatureZone_Data(),Table_SourceData_Common_MCFTemperatureZone[[#Headers],[Temperature zone]],0)</f>
        <v>0.1</v>
      </c>
      <c r="H248" s="31" cm="1">
        <f t="array" ref="H248">Common_InputFunctions.Utility_DisplayArrayInTable(Common_SourceData.Common_SourceData_MCFTemperatureZone_Data(),Table_SourceData_Common_MCFTemperatureZone[[#Headers],[Temperature zone]],0)</f>
        <v>0.44</v>
      </c>
      <c r="I248" s="31" cm="1">
        <f t="array" ref="I248">Common_InputFunctions.Utility_DisplayArrayInTable(Common_SourceData.Common_SourceData_MCFTemperatureZone_Data(),Table_SourceData_Common_MCFTemperatureZone[[#Headers],[Temperature zone]],0)</f>
        <v>0.01</v>
      </c>
      <c r="J248" s="31" cm="1">
        <f t="array" ref="J248">Common_InputFunctions.Utility_DisplayArrayInTable(Common_SourceData.Common_SourceData_MCFTemperatureZone_Data(),Table_SourceData_Common_MCFTemperatureZone[[#Headers],[Temperature zone]],0)</f>
        <v>1.4999999999999999E-2</v>
      </c>
      <c r="K248" s="31" cm="1">
        <f t="array" ref="K248">Common_InputFunctions.Utility_DisplayArrayInTable(Common_SourceData.Common_SourceData_MCFTemperatureZone_Data(),Table_SourceData_Common_MCFTemperatureZone[[#Headers],[Temperature zone]],0)</f>
        <v>0.02</v>
      </c>
      <c r="L248" s="31" cm="1">
        <f t="array" ref="L248">Common_InputFunctions.Utility_DisplayArrayInTable(Common_SourceData.Common_SourceData_MCFTemperatureZone_Data(),Table_SourceData_Common_MCFTemperatureZone[[#Headers],[Temperature zone]],0)</f>
        <v>0.03</v>
      </c>
      <c r="M248" s="31" cm="1">
        <f t="array" ref="M248">Common_InputFunctions.Utility_DisplayArrayInTable(Common_SourceData.Common_SourceData_MCFTemperatureZone_Data(),Table_SourceData_Common_MCFTemperatureZone[[#Headers],[Temperature zone]],0)</f>
        <v>0.04</v>
      </c>
      <c r="N248" s="31" cm="1">
        <f t="array" ref="N248">Common_InputFunctions.Utility_DisplayArrayInTable(Common_SourceData.Common_SourceData_MCFTemperatureZone_Data(),Table_SourceData_Common_MCFTemperatureZone[[#Headers],[Temperature zone]],0)</f>
        <v>1.4999999999999999E-2</v>
      </c>
      <c r="O248" s="31" cm="1">
        <f t="array" ref="O248">Common_InputFunctions.Utility_DisplayArrayInTable(Common_SourceData.Common_SourceData_MCFTemperatureZone_Data(),Table_SourceData_Common_MCFTemperatureZone[[#Headers],[Temperature zone]],0)</f>
        <v>1.4999999999999999E-2</v>
      </c>
      <c r="P248" s="31" cm="1">
        <f t="array" ref="P248">Common_InputFunctions.Utility_DisplayArrayInTable(Common_SourceData.Common_SourceData_MCFTemperatureZone_Data(),Table_SourceData_Common_MCFTemperatureZone[[#Headers],[Temperature zone]],0)</f>
        <v>0</v>
      </c>
      <c r="Q248" s="31" cm="1">
        <f t="array" ref="Q248">Common_InputFunctions.Utility_DisplayArrayInTable(Common_SourceData.Common_SourceData_MCFTemperatureZone_Data(),Table_SourceData_Common_MCFTemperatureZone[[#Headers],[Temperature zone]],0)</f>
        <v>0</v>
      </c>
      <c r="R248" s="31" cm="1">
        <f t="array" ref="R248">Common_InputFunctions.Utility_DisplayArrayInTable(Common_SourceData.Common_SourceData_MCFTemperatureZone_Data(),Table_SourceData_Common_MCFTemperatureZone[[#Headers],[Temperature zone]],0)</f>
        <v>4.7000000000000002E-3</v>
      </c>
      <c r="S248" s="31"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1" cm="1">
        <f t="array" ref="E249">Common_InputFunctions.Utility_DisplayArrayInTable(Common_SourceData.Common_SourceData_MCFTemperatureZone_Data(),Table_SourceData_Common_MCFTemperatureZone[[#Headers],[Temperature zone]],0)</f>
        <v>27</v>
      </c>
      <c r="F249" s="31" cm="1">
        <f t="array" ref="F249">Common_InputFunctions.Utility_DisplayArrayInTable(Common_SourceData.Common_SourceData_MCFTemperatureZone_Data(),Table_SourceData_Common_MCFTemperatureZone[[#Headers],[Temperature zone]],0)</f>
        <v>0.8</v>
      </c>
      <c r="G249" s="31" cm="1">
        <f t="array" ref="G249">Common_InputFunctions.Utility_DisplayArrayInTable(Common_SourceData.Common_SourceData_MCFTemperatureZone_Data(),Table_SourceData_Common_MCFTemperatureZone[[#Headers],[Temperature zone]],0)</f>
        <v>0.1</v>
      </c>
      <c r="H249" s="31" cm="1">
        <f t="array" ref="H249">Common_InputFunctions.Utility_DisplayArrayInTable(Common_SourceData.Common_SourceData_MCFTemperatureZone_Data(),Table_SourceData_Common_MCFTemperatureZone[[#Headers],[Temperature zone]],0)</f>
        <v>0.48</v>
      </c>
      <c r="I249" s="31" cm="1">
        <f t="array" ref="I249">Common_InputFunctions.Utility_DisplayArrayInTable(Common_SourceData.Common_SourceData_MCFTemperatureZone_Data(),Table_SourceData_Common_MCFTemperatureZone[[#Headers],[Temperature zone]],0)</f>
        <v>0.01</v>
      </c>
      <c r="J249" s="31" cm="1">
        <f t="array" ref="J249">Common_InputFunctions.Utility_DisplayArrayInTable(Common_SourceData.Common_SourceData_MCFTemperatureZone_Data(),Table_SourceData_Common_MCFTemperatureZone[[#Headers],[Temperature zone]],0)</f>
        <v>1.4999999999999999E-2</v>
      </c>
      <c r="K249" s="31" cm="1">
        <f t="array" ref="K249">Common_InputFunctions.Utility_DisplayArrayInTable(Common_SourceData.Common_SourceData_MCFTemperatureZone_Data(),Table_SourceData_Common_MCFTemperatureZone[[#Headers],[Temperature zone]],0)</f>
        <v>0.02</v>
      </c>
      <c r="L249" s="31" cm="1">
        <f t="array" ref="L249">Common_InputFunctions.Utility_DisplayArrayInTable(Common_SourceData.Common_SourceData_MCFTemperatureZone_Data(),Table_SourceData_Common_MCFTemperatureZone[[#Headers],[Temperature zone]],0)</f>
        <v>0.03</v>
      </c>
      <c r="M249" s="31" cm="1">
        <f t="array" ref="M249">Common_InputFunctions.Utility_DisplayArrayInTable(Common_SourceData.Common_SourceData_MCFTemperatureZone_Data(),Table_SourceData_Common_MCFTemperatureZone[[#Headers],[Temperature zone]],0)</f>
        <v>0.04</v>
      </c>
      <c r="N249" s="31" cm="1">
        <f t="array" ref="N249">Common_InputFunctions.Utility_DisplayArrayInTable(Common_SourceData.Common_SourceData_MCFTemperatureZone_Data(),Table_SourceData_Common_MCFTemperatureZone[[#Headers],[Temperature zone]],0)</f>
        <v>1.4999999999999999E-2</v>
      </c>
      <c r="O249" s="31" cm="1">
        <f t="array" ref="O249">Common_InputFunctions.Utility_DisplayArrayInTable(Common_SourceData.Common_SourceData_MCFTemperatureZone_Data(),Table_SourceData_Common_MCFTemperatureZone[[#Headers],[Temperature zone]],0)</f>
        <v>1.4999999999999999E-2</v>
      </c>
      <c r="P249" s="31" cm="1">
        <f t="array" ref="P249">Common_InputFunctions.Utility_DisplayArrayInTable(Common_SourceData.Common_SourceData_MCFTemperatureZone_Data(),Table_SourceData_Common_MCFTemperatureZone[[#Headers],[Temperature zone]],0)</f>
        <v>0</v>
      </c>
      <c r="Q249" s="31" cm="1">
        <f t="array" ref="Q249">Common_InputFunctions.Utility_DisplayArrayInTable(Common_SourceData.Common_SourceData_MCFTemperatureZone_Data(),Table_SourceData_Common_MCFTemperatureZone[[#Headers],[Temperature zone]],0)</f>
        <v>0</v>
      </c>
      <c r="R249" s="31" cm="1">
        <f t="array" ref="R249">Common_InputFunctions.Utility_DisplayArrayInTable(Common_SourceData.Common_SourceData_MCFTemperatureZone_Data(),Table_SourceData_Common_MCFTemperatureZone[[#Headers],[Temperature zone]],0)</f>
        <v>4.7000000000000002E-3</v>
      </c>
      <c r="S249" s="31"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1" t="str" cm="1">
        <f t="array" ref="E250">Common_InputFunctions.Utility_DisplayArrayInTable(Common_SourceData.Common_SourceData_MCFTemperatureZone_Data(),Table_SourceData_Common_MCFTemperatureZone[[#Headers],[Temperature zone]],0)</f>
        <v>≥28</v>
      </c>
      <c r="F250" s="31" cm="1">
        <f t="array" ref="F250">Common_InputFunctions.Utility_DisplayArrayInTable(Common_SourceData.Common_SourceData_MCFTemperatureZone_Data(),Table_SourceData_Common_MCFTemperatureZone[[#Headers],[Temperature zone]],0)</f>
        <v>0.8</v>
      </c>
      <c r="G250" s="31" cm="1">
        <f t="array" ref="G250">Common_InputFunctions.Utility_DisplayArrayInTable(Common_SourceData.Common_SourceData_MCFTemperatureZone_Data(),Table_SourceData_Common_MCFTemperatureZone[[#Headers],[Temperature zone]],0)</f>
        <v>0.1</v>
      </c>
      <c r="H250" s="31" cm="1">
        <f t="array" ref="H250">Common_InputFunctions.Utility_DisplayArrayInTable(Common_SourceData.Common_SourceData_MCFTemperatureZone_Data(),Table_SourceData_Common_MCFTemperatureZone[[#Headers],[Temperature zone]],0)</f>
        <v>0.5</v>
      </c>
      <c r="I250" s="31" cm="1">
        <f t="array" ref="I250">Common_InputFunctions.Utility_DisplayArrayInTable(Common_SourceData.Common_SourceData_MCFTemperatureZone_Data(),Table_SourceData_Common_MCFTemperatureZone[[#Headers],[Temperature zone]],0)</f>
        <v>0.01</v>
      </c>
      <c r="J250" s="31" cm="1">
        <f t="array" ref="J250">Common_InputFunctions.Utility_DisplayArrayInTable(Common_SourceData.Common_SourceData_MCFTemperatureZone_Data(),Table_SourceData_Common_MCFTemperatureZone[[#Headers],[Temperature zone]],0)</f>
        <v>1.4999999999999999E-2</v>
      </c>
      <c r="K250" s="31" cm="1">
        <f t="array" ref="K250">Common_InputFunctions.Utility_DisplayArrayInTable(Common_SourceData.Common_SourceData_MCFTemperatureZone_Data(),Table_SourceData_Common_MCFTemperatureZone[[#Headers],[Temperature zone]],0)</f>
        <v>0.02</v>
      </c>
      <c r="L250" s="31" cm="1">
        <f t="array" ref="L250">Common_InputFunctions.Utility_DisplayArrayInTable(Common_SourceData.Common_SourceData_MCFTemperatureZone_Data(),Table_SourceData_Common_MCFTemperatureZone[[#Headers],[Temperature zone]],0)</f>
        <v>0.03</v>
      </c>
      <c r="M250" s="31" cm="1">
        <f t="array" ref="M250">Common_InputFunctions.Utility_DisplayArrayInTable(Common_SourceData.Common_SourceData_MCFTemperatureZone_Data(),Table_SourceData_Common_MCFTemperatureZone[[#Headers],[Temperature zone]],0)</f>
        <v>0.04</v>
      </c>
      <c r="N250" s="31" cm="1">
        <f t="array" ref="N250">Common_InputFunctions.Utility_DisplayArrayInTable(Common_SourceData.Common_SourceData_MCFTemperatureZone_Data(),Table_SourceData_Common_MCFTemperatureZone[[#Headers],[Temperature zone]],0)</f>
        <v>1.4999999999999999E-2</v>
      </c>
      <c r="O250" s="31" cm="1">
        <f t="array" ref="O250">Common_InputFunctions.Utility_DisplayArrayInTable(Common_SourceData.Common_SourceData_MCFTemperatureZone_Data(),Table_SourceData_Common_MCFTemperatureZone[[#Headers],[Temperature zone]],0)</f>
        <v>1.4999999999999999E-2</v>
      </c>
      <c r="P250" s="31" cm="1">
        <f t="array" ref="P250">Common_InputFunctions.Utility_DisplayArrayInTable(Common_SourceData.Common_SourceData_MCFTemperatureZone_Data(),Table_SourceData_Common_MCFTemperatureZone[[#Headers],[Temperature zone]],0)</f>
        <v>0</v>
      </c>
      <c r="Q250" s="31" cm="1">
        <f t="array" ref="Q250">Common_InputFunctions.Utility_DisplayArrayInTable(Common_SourceData.Common_SourceData_MCFTemperatureZone_Data(),Table_SourceData_Common_MCFTemperatureZone[[#Headers],[Temperature zone]],0)</f>
        <v>0</v>
      </c>
      <c r="R250" s="31" cm="1">
        <f t="array" ref="R250">Common_InputFunctions.Utility_DisplayArrayInTable(Common_SourceData.Common_SourceData_MCFTemperatureZone_Data(),Table_SourceData_Common_MCFTemperatureZone[[#Headers],[Temperature zone]],0)</f>
        <v>4.7000000000000002E-3</v>
      </c>
      <c r="S250" s="31"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1" t="s">
        <v>96</v>
      </c>
      <c r="E257" s="31" t="s">
        <v>97</v>
      </c>
    </row>
    <row r="258" spans="4:5" x14ac:dyDescent="0.25">
      <c r="D258" s="31" t="str" cm="1">
        <f t="array" ref="D258">Common_InputFunctions.Utility_DisplayArrayInTable(Common_SourceData.Common_SourceData_EFOrganicFertiliserAndCropResidues_Data(), Table_SourceData_Common_EFOrganicFertCropResidues[[#Headers],[Climate Zone]], 0)</f>
        <v>Wet climate zone</v>
      </c>
      <c r="E258" s="31"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1"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1F405-EE82-49C4-924C-8BD644FA8224}">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0"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9AB6D-8D26-452F-BD3C-DBEBEAA19220}">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4" t="s">
        <v>865</v>
      </c>
      <c r="D1" s="245"/>
      <c r="E1" s="245"/>
      <c r="F1" s="245"/>
      <c r="G1" s="245"/>
      <c r="H1" s="245"/>
      <c r="I1" s="245"/>
      <c r="J1" s="245"/>
      <c r="K1" s="245"/>
      <c r="L1" s="245"/>
      <c r="M1" s="245"/>
      <c r="N1" s="245"/>
      <c r="O1" s="245"/>
      <c r="P1" s="245"/>
      <c r="Q1" s="245"/>
      <c r="R1" s="245"/>
      <c r="S1" s="245"/>
      <c r="T1" s="245"/>
      <c r="U1" s="245"/>
      <c r="V1" s="245"/>
      <c r="W1" s="245"/>
      <c r="X1" s="245"/>
      <c r="Y1" s="245"/>
      <c r="Z1" s="245"/>
      <c r="AA1" s="245"/>
      <c r="AB1" s="245"/>
      <c r="AC1" s="245"/>
      <c r="AD1" s="245"/>
      <c r="AE1" s="245"/>
      <c r="AF1" s="245"/>
      <c r="AG1" s="245"/>
      <c r="AH1" s="245"/>
      <c r="AI1" s="245"/>
      <c r="AJ1" s="245"/>
      <c r="AK1" s="245"/>
      <c r="AL1" s="245"/>
      <c r="AM1" s="245"/>
      <c r="AN1" s="245"/>
      <c r="AO1" s="245"/>
    </row>
    <row r="2" spans="1:42" ht="20.100000000000001" customHeight="1" x14ac:dyDescent="0.25">
      <c r="C2" s="245"/>
      <c r="D2" s="245"/>
      <c r="E2" s="245"/>
      <c r="F2" s="245"/>
      <c r="G2" s="245"/>
      <c r="H2" s="245"/>
      <c r="I2" s="245"/>
      <c r="J2" s="245"/>
      <c r="K2" s="245"/>
      <c r="L2" s="245"/>
      <c r="M2" s="245"/>
      <c r="N2" s="245"/>
      <c r="O2" s="245"/>
      <c r="P2" s="245"/>
      <c r="Q2" s="245"/>
      <c r="R2" s="245"/>
      <c r="S2" s="245"/>
      <c r="T2" s="245"/>
      <c r="U2" s="245"/>
      <c r="V2" s="245"/>
      <c r="W2" s="245"/>
      <c r="X2" s="245"/>
      <c r="Y2" s="245"/>
      <c r="Z2" s="245"/>
      <c r="AA2" s="245"/>
      <c r="AB2" s="245"/>
      <c r="AC2" s="245"/>
      <c r="AD2" s="245"/>
      <c r="AE2" s="245"/>
      <c r="AF2" s="245"/>
      <c r="AG2" s="245"/>
      <c r="AH2" s="245"/>
      <c r="AI2" s="245"/>
      <c r="AJ2" s="245"/>
      <c r="AK2" s="245"/>
      <c r="AL2" s="245"/>
      <c r="AM2" s="245"/>
      <c r="AN2" s="245"/>
      <c r="AO2" s="245"/>
      <c r="AP2" s="246"/>
    </row>
    <row r="3" spans="1:42" ht="20.100000000000001" customHeight="1" x14ac:dyDescent="0.25">
      <c r="A3" s="5" t="str">
        <f>HYPERLINK("#'Home'!A1", "Home")</f>
        <v>Home</v>
      </c>
      <c r="C3" s="247"/>
      <c r="D3" s="247"/>
      <c r="E3" s="247"/>
      <c r="F3" s="247"/>
      <c r="G3" s="247"/>
      <c r="H3" s="247"/>
      <c r="I3" s="247"/>
      <c r="J3" s="247"/>
      <c r="K3" s="247"/>
      <c r="L3" s="247"/>
      <c r="M3" s="247"/>
      <c r="N3" s="247"/>
      <c r="O3" s="247"/>
      <c r="P3" s="247"/>
      <c r="Q3" s="247"/>
      <c r="R3" s="247"/>
      <c r="S3" s="247"/>
      <c r="T3" s="247"/>
      <c r="U3" s="247"/>
      <c r="V3" s="247"/>
      <c r="W3" s="247"/>
      <c r="X3" s="247"/>
      <c r="Y3" s="247"/>
      <c r="Z3" s="247"/>
      <c r="AA3" s="247"/>
      <c r="AB3" s="247"/>
      <c r="AC3" s="247"/>
      <c r="AD3" s="247"/>
      <c r="AE3" s="247"/>
      <c r="AF3" s="247"/>
      <c r="AG3" s="247"/>
      <c r="AH3" s="247"/>
      <c r="AI3" s="247"/>
      <c r="AJ3" s="247"/>
      <c r="AK3" s="247"/>
      <c r="AL3" s="247"/>
      <c r="AM3" s="247"/>
      <c r="AN3" s="247"/>
      <c r="AO3" s="247"/>
    </row>
    <row r="4" spans="1:42" ht="20.100000000000001" customHeight="1" x14ac:dyDescent="0.25">
      <c r="A4" s="5" t="str">
        <f>HYPERLINK("#'Results'!A1", "Results")</f>
        <v>Results</v>
      </c>
    </row>
    <row r="5" spans="1:42" ht="20.100000000000001" customHeight="1" x14ac:dyDescent="0.25">
      <c r="D5" s="135" t="s">
        <v>866</v>
      </c>
      <c r="E5" s="55"/>
      <c r="F5" s="55"/>
      <c r="G5" s="55"/>
      <c r="H5" s="55"/>
      <c r="I5" s="55"/>
      <c r="J5" s="55"/>
      <c r="K5" s="55"/>
      <c r="L5" s="55"/>
      <c r="M5" s="55"/>
      <c r="N5" s="55"/>
      <c r="O5" s="56"/>
    </row>
    <row r="6" spans="1:42" ht="20.100000000000001" customHeight="1" x14ac:dyDescent="0.25">
      <c r="D6" s="249" t="s">
        <v>867</v>
      </c>
      <c r="E6" s="58"/>
      <c r="F6" s="58"/>
      <c r="G6" s="58"/>
      <c r="H6" s="58"/>
      <c r="I6" s="58"/>
      <c r="J6" s="58"/>
      <c r="K6" s="58"/>
      <c r="L6" s="58"/>
      <c r="M6" s="58"/>
      <c r="N6" s="58"/>
      <c r="O6" s="59"/>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0" t="s">
        <v>1</v>
      </c>
      <c r="L37" s="1" t="s">
        <v>868</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869</v>
      </c>
    </row>
    <row r="46" spans="1:48" x14ac:dyDescent="0.25">
      <c r="A46" s="125"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525</vt:i4>
      </vt:variant>
    </vt:vector>
  </HeadingPairs>
  <TitlesOfParts>
    <vt:vector size="560"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Result_Enterprise_Method1</vt:lpstr>
      <vt:lpstr>Result_Enterprise_Method2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2026-07-14T04:52:47Z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